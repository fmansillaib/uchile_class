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́ster en Finanzas WK/Business Analytics/Clase 4 - Optimización Port./"/>
    </mc:Choice>
  </mc:AlternateContent>
  <xr:revisionPtr revIDLastSave="0" documentId="13_ncr:1_{C9809F6C-E422-FE43-B4A1-51321EAC387B}" xr6:coauthVersionLast="47" xr6:coauthVersionMax="47" xr10:uidLastSave="{00000000-0000-0000-0000-000000000000}"/>
  <bookViews>
    <workbookView xWindow="-38400" yWindow="620" windowWidth="38400" windowHeight="20980" activeTab="6" xr2:uid="{3797E32A-894B-234D-91A3-238BB1257275}"/>
  </bookViews>
  <sheets>
    <sheet name="Optimización de Portafolio (2)" sheetId="3" state="hidden" r:id="rId1"/>
    <sheet name="Ratio de Sharpe" sheetId="1" r:id="rId2"/>
    <sheet name="Ratio de Traynor" sheetId="5" r:id="rId3"/>
    <sheet name="Ratio de Sortino" sheetId="6" r:id="rId4"/>
    <sheet name="Volatilidad Ideo" sheetId="7" r:id="rId5"/>
    <sheet name="Conditional Value at Risk" sheetId="8" r:id="rId6"/>
    <sheet name="PSR y DSR" sheetId="9" r:id="rId7"/>
    <sheet name="Optimización de Portafolio  (3)" sheetId="4" state="hidden" r:id="rId8"/>
    <sheet name="Costos de Transacción" sheetId="2" state="hidden" r:id="rId9"/>
  </sheets>
  <externalReferences>
    <externalReference r:id="rId10"/>
  </externalReferences>
  <definedNames>
    <definedName name="solver_adj" localSheetId="5" hidden="1">'Conditional Value at Risk'!$Z$20:$AC$20</definedName>
    <definedName name="solver_adj" localSheetId="8" hidden="1">'Costos de Transacción'!$P$13:$S$13</definedName>
    <definedName name="solver_adj" localSheetId="1" hidden="1">'Ratio de Sharpe'!$T$16:$W$16</definedName>
    <definedName name="solver_adj" localSheetId="3" hidden="1">'Ratio de Sortino'!$W$18:$Z$18</definedName>
    <definedName name="solver_adj" localSheetId="2" hidden="1">'Ratio de Traynor'!$U$17:$X$17</definedName>
    <definedName name="solver_adj" localSheetId="4" hidden="1">'Volatilidad Ideo'!$Y$19:$AB$19</definedName>
    <definedName name="solver_cvg" localSheetId="5" hidden="1">0.0001</definedName>
    <definedName name="solver_cvg" localSheetId="8" hidden="1">0.0001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cvg" localSheetId="4" hidden="1">0.0001</definedName>
    <definedName name="solver_drv" localSheetId="5" hidden="1">1</definedName>
    <definedName name="solver_drv" localSheetId="8" hidden="1">1</definedName>
    <definedName name="solver_drv" localSheetId="1" hidden="1">1</definedName>
    <definedName name="solver_drv" localSheetId="3" hidden="1">1</definedName>
    <definedName name="solver_drv" localSheetId="2" hidden="1">1</definedName>
    <definedName name="solver_drv" localSheetId="4" hidden="1">1</definedName>
    <definedName name="solver_eng" localSheetId="5" hidden="1">1</definedName>
    <definedName name="solver_eng" localSheetId="8" hidden="1">1</definedName>
    <definedName name="solver_eng" localSheetId="1" hidden="1">1</definedName>
    <definedName name="solver_eng" localSheetId="3" hidden="1">1</definedName>
    <definedName name="solver_eng" localSheetId="2" hidden="1">1</definedName>
    <definedName name="solver_eng" localSheetId="4" hidden="1">1</definedName>
    <definedName name="solver_itr" localSheetId="5" hidden="1">2147483647</definedName>
    <definedName name="solver_itr" localSheetId="8" hidden="1">2147483647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itr" localSheetId="4" hidden="1">2147483647</definedName>
    <definedName name="solver_lhs1" localSheetId="5" hidden="1">'Conditional Value at Risk'!$AD$20</definedName>
    <definedName name="solver_lhs1" localSheetId="8" hidden="1">'Costos de Transacción'!$P$14</definedName>
    <definedName name="solver_lhs1" localSheetId="1" hidden="1">'Ratio de Sharpe'!$X$16</definedName>
    <definedName name="solver_lhs1" localSheetId="3" hidden="1">'Ratio de Sortino'!$AA$18</definedName>
    <definedName name="solver_lhs1" localSheetId="2" hidden="1">'Ratio de Traynor'!$Y$17</definedName>
    <definedName name="solver_lhs1" localSheetId="4" hidden="1">'Volatilidad Ideo'!$AC$19</definedName>
    <definedName name="solver_lin" localSheetId="5" hidden="1">2</definedName>
    <definedName name="solver_lin" localSheetId="8" hidden="1">2</definedName>
    <definedName name="solver_lin" localSheetId="1" hidden="1">2</definedName>
    <definedName name="solver_lin" localSheetId="3" hidden="1">2</definedName>
    <definedName name="solver_lin" localSheetId="2" hidden="1">2</definedName>
    <definedName name="solver_lin" localSheetId="4" hidden="1">2</definedName>
    <definedName name="solver_mip" localSheetId="5" hidden="1">2147483647</definedName>
    <definedName name="solver_mip" localSheetId="8" hidden="1">2147483647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ip" localSheetId="4" hidden="1">2147483647</definedName>
    <definedName name="solver_mni" localSheetId="5" hidden="1">30</definedName>
    <definedName name="solver_mni" localSheetId="8" hidden="1">30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ni" localSheetId="4" hidden="1">30</definedName>
    <definedName name="solver_mrt" localSheetId="5" hidden="1">0.075</definedName>
    <definedName name="solver_mrt" localSheetId="8" hidden="1">0.075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rt" localSheetId="4" hidden="1">0.075</definedName>
    <definedName name="solver_msl" localSheetId="5" hidden="1">2</definedName>
    <definedName name="solver_msl" localSheetId="8" hidden="1">2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msl" localSheetId="4" hidden="1">2</definedName>
    <definedName name="solver_neg" localSheetId="5" hidden="1">1</definedName>
    <definedName name="solver_neg" localSheetId="8" hidden="1">1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eg" localSheetId="4" hidden="1">1</definedName>
    <definedName name="solver_nod" localSheetId="5" hidden="1">2147483647</definedName>
    <definedName name="solver_nod" localSheetId="8" hidden="1">2147483647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od" localSheetId="4" hidden="1">2147483647</definedName>
    <definedName name="solver_num" localSheetId="5" hidden="1">1</definedName>
    <definedName name="solver_num" localSheetId="8" hidden="1">1</definedName>
    <definedName name="solver_num" localSheetId="1" hidden="1">1</definedName>
    <definedName name="solver_num" localSheetId="3" hidden="1">1</definedName>
    <definedName name="solver_num" localSheetId="2" hidden="1">1</definedName>
    <definedName name="solver_num" localSheetId="4" hidden="1">1</definedName>
    <definedName name="solver_opt" localSheetId="5" hidden="1">'Conditional Value at Risk'!$Z$66</definedName>
    <definedName name="solver_opt" localSheetId="8" hidden="1">'Costos de Transacción'!$P$23</definedName>
    <definedName name="solver_opt" localSheetId="1" hidden="1">'Ratio de Sharpe'!$T$28</definedName>
    <definedName name="solver_opt" localSheetId="3" hidden="1">'Ratio de Sortino'!$W$44</definedName>
    <definedName name="solver_opt" localSheetId="2" hidden="1">'Ratio de Traynor'!$U$34</definedName>
    <definedName name="solver_opt" localSheetId="4" hidden="1">'Volatilidad Ideo'!$Y$55</definedName>
    <definedName name="solver_pre" localSheetId="5" hidden="1">0.000001</definedName>
    <definedName name="solver_pre" localSheetId="8" hidden="1">0.000001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pre" localSheetId="4" hidden="1">0.000001</definedName>
    <definedName name="solver_rbv" localSheetId="5" hidden="1">1</definedName>
    <definedName name="solver_rbv" localSheetId="8" hidden="1">1</definedName>
    <definedName name="solver_rbv" localSheetId="1" hidden="1">1</definedName>
    <definedName name="solver_rbv" localSheetId="3" hidden="1">1</definedName>
    <definedName name="solver_rbv" localSheetId="2" hidden="1">1</definedName>
    <definedName name="solver_rbv" localSheetId="4" hidden="1">1</definedName>
    <definedName name="solver_rel1" localSheetId="5" hidden="1">2</definedName>
    <definedName name="solver_rel1" localSheetId="8" hidden="1">2</definedName>
    <definedName name="solver_rel1" localSheetId="1" hidden="1">2</definedName>
    <definedName name="solver_rel1" localSheetId="3" hidden="1">2</definedName>
    <definedName name="solver_rel1" localSheetId="2" hidden="1">2</definedName>
    <definedName name="solver_rel1" localSheetId="4" hidden="1">2</definedName>
    <definedName name="solver_rhs1" localSheetId="5" hidden="1">1</definedName>
    <definedName name="solver_rhs1" localSheetId="8" hidden="1">1</definedName>
    <definedName name="solver_rhs1" localSheetId="1" hidden="1">1</definedName>
    <definedName name="solver_rhs1" localSheetId="3" hidden="1">1</definedName>
    <definedName name="solver_rhs1" localSheetId="2" hidden="1">1</definedName>
    <definedName name="solver_rhs1" localSheetId="4" hidden="1">1</definedName>
    <definedName name="solver_rlx" localSheetId="5" hidden="1">2</definedName>
    <definedName name="solver_rlx" localSheetId="8" hidden="1">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lx" localSheetId="4" hidden="1">2</definedName>
    <definedName name="solver_rsd" localSheetId="5" hidden="1">0</definedName>
    <definedName name="solver_rsd" localSheetId="8" hidden="1">0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rsd" localSheetId="4" hidden="1">0</definedName>
    <definedName name="solver_scl" localSheetId="5" hidden="1">1</definedName>
    <definedName name="solver_scl" localSheetId="8" hidden="1">1</definedName>
    <definedName name="solver_scl" localSheetId="1" hidden="1">1</definedName>
    <definedName name="solver_scl" localSheetId="3" hidden="1">1</definedName>
    <definedName name="solver_scl" localSheetId="2" hidden="1">1</definedName>
    <definedName name="solver_scl" localSheetId="4" hidden="1">1</definedName>
    <definedName name="solver_sho" localSheetId="5" hidden="1">2</definedName>
    <definedName name="solver_sho" localSheetId="8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ho" localSheetId="4" hidden="1">2</definedName>
    <definedName name="solver_ssz" localSheetId="5" hidden="1">100</definedName>
    <definedName name="solver_ssz" localSheetId="8" hidden="1">100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ssz" localSheetId="4" hidden="1">100</definedName>
    <definedName name="solver_tim" localSheetId="5" hidden="1">2147483647</definedName>
    <definedName name="solver_tim" localSheetId="8" hidden="1">2147483647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im" localSheetId="4" hidden="1">2147483647</definedName>
    <definedName name="solver_tol" localSheetId="5" hidden="1">0.01</definedName>
    <definedName name="solver_tol" localSheetId="8" hidden="1">0.01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ol" localSheetId="4" hidden="1">0.01</definedName>
    <definedName name="solver_typ" localSheetId="5" hidden="1">1</definedName>
    <definedName name="solver_typ" localSheetId="8" hidden="1">1</definedName>
    <definedName name="solver_typ" localSheetId="1" hidden="1">1</definedName>
    <definedName name="solver_typ" localSheetId="3" hidden="1">1</definedName>
    <definedName name="solver_typ" localSheetId="2" hidden="1">1</definedName>
    <definedName name="solver_typ" localSheetId="4" hidden="1">1</definedName>
    <definedName name="solver_val" localSheetId="5" hidden="1">0</definedName>
    <definedName name="solver_val" localSheetId="8" hidden="1">0</definedName>
    <definedName name="solver_val" localSheetId="1" hidden="1">0</definedName>
    <definedName name="solver_val" localSheetId="3" hidden="1">0</definedName>
    <definedName name="solver_val" localSheetId="2" hidden="1">0</definedName>
    <definedName name="solver_val" localSheetId="4" hidden="1">0</definedName>
    <definedName name="solver_ver" localSheetId="5" hidden="1">2</definedName>
    <definedName name="solver_ver" localSheetId="8" hidden="1">2</definedName>
    <definedName name="solver_ver" localSheetId="1" hidden="1">2</definedName>
    <definedName name="solver_ver" localSheetId="3" hidden="1">2</definedName>
    <definedName name="solver_ver" localSheetId="2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9" l="1"/>
  <c r="J19" i="9"/>
  <c r="K19" i="9"/>
  <c r="H19" i="9"/>
  <c r="I12" i="9"/>
  <c r="J12" i="9"/>
  <c r="K12" i="9"/>
  <c r="H12" i="9"/>
  <c r="H6" i="9" a="1"/>
  <c r="H6" i="9" s="1"/>
  <c r="H8" i="9" s="1"/>
  <c r="I11" i="9"/>
  <c r="J11" i="9"/>
  <c r="K11" i="9"/>
  <c r="I9" i="9"/>
  <c r="J9" i="9"/>
  <c r="K9" i="9"/>
  <c r="I10" i="9"/>
  <c r="J10" i="9"/>
  <c r="K10" i="9"/>
  <c r="H10" i="9"/>
  <c r="H9" i="9"/>
  <c r="H2" i="9"/>
  <c r="I8" i="9" s="1"/>
  <c r="K8" i="9"/>
  <c r="I7" i="9"/>
  <c r="J7" i="9"/>
  <c r="K7" i="9"/>
  <c r="H7" i="9"/>
  <c r="I6" i="9" a="1"/>
  <c r="I6" i="9" s="1"/>
  <c r="J6" i="9" a="1"/>
  <c r="J6" i="9"/>
  <c r="K6" i="9" a="1"/>
  <c r="K6" i="9" s="1"/>
  <c r="H3" i="9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3" i="8"/>
  <c r="AD20" i="8"/>
  <c r="Z63" i="8" a="1"/>
  <c r="Z63" i="8" s="1"/>
  <c r="N254" i="8"/>
  <c r="M254" i="8"/>
  <c r="L254" i="8"/>
  <c r="K254" i="8"/>
  <c r="J254" i="8"/>
  <c r="H254" i="8"/>
  <c r="N253" i="8"/>
  <c r="M253" i="8"/>
  <c r="L253" i="8"/>
  <c r="K253" i="8"/>
  <c r="J253" i="8"/>
  <c r="H253" i="8"/>
  <c r="N252" i="8"/>
  <c r="M252" i="8"/>
  <c r="L252" i="8"/>
  <c r="K252" i="8"/>
  <c r="J252" i="8"/>
  <c r="U252" i="8" s="1"/>
  <c r="H252" i="8"/>
  <c r="O252" i="8" s="1"/>
  <c r="U251" i="8"/>
  <c r="N251" i="8"/>
  <c r="M251" i="8"/>
  <c r="L251" i="8"/>
  <c r="K251" i="8"/>
  <c r="J251" i="8"/>
  <c r="S251" i="8" s="1"/>
  <c r="H251" i="8"/>
  <c r="N250" i="8"/>
  <c r="M250" i="8"/>
  <c r="L250" i="8"/>
  <c r="K250" i="8"/>
  <c r="J250" i="8"/>
  <c r="H250" i="8"/>
  <c r="N249" i="8"/>
  <c r="M249" i="8"/>
  <c r="L249" i="8"/>
  <c r="K249" i="8"/>
  <c r="J249" i="8"/>
  <c r="H249" i="8"/>
  <c r="O249" i="8" s="1"/>
  <c r="N248" i="8"/>
  <c r="M248" i="8"/>
  <c r="L248" i="8"/>
  <c r="K248" i="8"/>
  <c r="J248" i="8"/>
  <c r="H248" i="8"/>
  <c r="N247" i="8"/>
  <c r="M247" i="8"/>
  <c r="L247" i="8"/>
  <c r="K247" i="8"/>
  <c r="J247" i="8"/>
  <c r="H247" i="8"/>
  <c r="N246" i="8"/>
  <c r="M246" i="8"/>
  <c r="L246" i="8"/>
  <c r="K246" i="8"/>
  <c r="J246" i="8"/>
  <c r="H246" i="8"/>
  <c r="O246" i="8" s="1"/>
  <c r="N245" i="8"/>
  <c r="M245" i="8"/>
  <c r="L245" i="8"/>
  <c r="K245" i="8"/>
  <c r="J245" i="8"/>
  <c r="H245" i="8"/>
  <c r="N244" i="8"/>
  <c r="M244" i="8"/>
  <c r="L244" i="8"/>
  <c r="K244" i="8"/>
  <c r="J244" i="8"/>
  <c r="H244" i="8"/>
  <c r="O245" i="8" s="1"/>
  <c r="N243" i="8"/>
  <c r="M243" i="8"/>
  <c r="L243" i="8"/>
  <c r="K243" i="8"/>
  <c r="J243" i="8"/>
  <c r="H243" i="8"/>
  <c r="N242" i="8"/>
  <c r="M242" i="8"/>
  <c r="L242" i="8"/>
  <c r="K242" i="8"/>
  <c r="J242" i="8"/>
  <c r="R242" i="8" s="1"/>
  <c r="H242" i="8"/>
  <c r="O242" i="8" s="1"/>
  <c r="N241" i="8"/>
  <c r="M241" i="8"/>
  <c r="L241" i="8"/>
  <c r="K241" i="8"/>
  <c r="J241" i="8"/>
  <c r="H241" i="8"/>
  <c r="N240" i="8"/>
  <c r="M240" i="8"/>
  <c r="L240" i="8"/>
  <c r="K240" i="8"/>
  <c r="J240" i="8"/>
  <c r="H240" i="8"/>
  <c r="N239" i="8"/>
  <c r="M239" i="8"/>
  <c r="L239" i="8"/>
  <c r="K239" i="8"/>
  <c r="J239" i="8"/>
  <c r="H239" i="8"/>
  <c r="N238" i="8"/>
  <c r="M238" i="8"/>
  <c r="L238" i="8"/>
  <c r="K238" i="8"/>
  <c r="J238" i="8"/>
  <c r="H238" i="8"/>
  <c r="N237" i="8"/>
  <c r="M237" i="8"/>
  <c r="L237" i="8"/>
  <c r="K237" i="8"/>
  <c r="J237" i="8"/>
  <c r="H237" i="8"/>
  <c r="N236" i="8"/>
  <c r="M236" i="8"/>
  <c r="L236" i="8"/>
  <c r="K236" i="8"/>
  <c r="J236" i="8"/>
  <c r="H236" i="8"/>
  <c r="N235" i="8"/>
  <c r="M235" i="8"/>
  <c r="L235" i="8"/>
  <c r="K235" i="8"/>
  <c r="J235" i="8"/>
  <c r="H235" i="8"/>
  <c r="N234" i="8"/>
  <c r="M234" i="8"/>
  <c r="L234" i="8"/>
  <c r="K234" i="8"/>
  <c r="J234" i="8"/>
  <c r="H234" i="8"/>
  <c r="N233" i="8"/>
  <c r="M233" i="8"/>
  <c r="L233" i="8"/>
  <c r="K233" i="8"/>
  <c r="J233" i="8"/>
  <c r="H233" i="8"/>
  <c r="N232" i="8"/>
  <c r="M232" i="8"/>
  <c r="L232" i="8"/>
  <c r="K232" i="8"/>
  <c r="J232" i="8"/>
  <c r="U232" i="8" s="1"/>
  <c r="H232" i="8"/>
  <c r="O232" i="8" s="1"/>
  <c r="Q231" i="8"/>
  <c r="N231" i="8"/>
  <c r="M231" i="8"/>
  <c r="L231" i="8"/>
  <c r="K231" i="8"/>
  <c r="J231" i="8"/>
  <c r="H231" i="8"/>
  <c r="O231" i="8" s="1"/>
  <c r="N230" i="8"/>
  <c r="M230" i="8"/>
  <c r="L230" i="8"/>
  <c r="K230" i="8"/>
  <c r="J230" i="8"/>
  <c r="H230" i="8"/>
  <c r="N229" i="8"/>
  <c r="M229" i="8"/>
  <c r="L229" i="8"/>
  <c r="K229" i="8"/>
  <c r="J229" i="8"/>
  <c r="U229" i="8" s="1"/>
  <c r="H229" i="8"/>
  <c r="O229" i="8" s="1"/>
  <c r="N228" i="8"/>
  <c r="M228" i="8"/>
  <c r="L228" i="8"/>
  <c r="K228" i="8"/>
  <c r="J228" i="8"/>
  <c r="H228" i="8"/>
  <c r="N227" i="8"/>
  <c r="M227" i="8"/>
  <c r="L227" i="8"/>
  <c r="K227" i="8"/>
  <c r="J227" i="8"/>
  <c r="H227" i="8"/>
  <c r="N226" i="8"/>
  <c r="M226" i="8"/>
  <c r="L226" i="8"/>
  <c r="K226" i="8"/>
  <c r="J226" i="8"/>
  <c r="H226" i="8"/>
  <c r="O226" i="8" s="1"/>
  <c r="N225" i="8"/>
  <c r="M225" i="8"/>
  <c r="L225" i="8"/>
  <c r="K225" i="8"/>
  <c r="J225" i="8"/>
  <c r="H225" i="8"/>
  <c r="N224" i="8"/>
  <c r="M224" i="8"/>
  <c r="L224" i="8"/>
  <c r="K224" i="8"/>
  <c r="J224" i="8"/>
  <c r="U224" i="8" s="1"/>
  <c r="H224" i="8"/>
  <c r="O224" i="8" s="1"/>
  <c r="N223" i="8"/>
  <c r="M223" i="8"/>
  <c r="L223" i="8"/>
  <c r="K223" i="8"/>
  <c r="J223" i="8"/>
  <c r="H223" i="8"/>
  <c r="N222" i="8"/>
  <c r="M222" i="8"/>
  <c r="L222" i="8"/>
  <c r="K222" i="8"/>
  <c r="J222" i="8"/>
  <c r="H222" i="8"/>
  <c r="N221" i="8"/>
  <c r="M221" i="8"/>
  <c r="L221" i="8"/>
  <c r="K221" i="8"/>
  <c r="J221" i="8"/>
  <c r="U221" i="8" s="1"/>
  <c r="H221" i="8"/>
  <c r="O221" i="8" s="1"/>
  <c r="N220" i="8"/>
  <c r="M220" i="8"/>
  <c r="L220" i="8"/>
  <c r="K220" i="8"/>
  <c r="J220" i="8"/>
  <c r="H220" i="8"/>
  <c r="N219" i="8"/>
  <c r="M219" i="8"/>
  <c r="L219" i="8"/>
  <c r="K219" i="8"/>
  <c r="J219" i="8"/>
  <c r="H219" i="8"/>
  <c r="N218" i="8"/>
  <c r="M218" i="8"/>
  <c r="L218" i="8"/>
  <c r="K218" i="8"/>
  <c r="J218" i="8"/>
  <c r="H218" i="8"/>
  <c r="N217" i="8"/>
  <c r="M217" i="8"/>
  <c r="L217" i="8"/>
  <c r="K217" i="8"/>
  <c r="J217" i="8"/>
  <c r="H217" i="8"/>
  <c r="N216" i="8"/>
  <c r="M216" i="8"/>
  <c r="L216" i="8"/>
  <c r="K216" i="8"/>
  <c r="J216" i="8"/>
  <c r="H216" i="8"/>
  <c r="N215" i="8"/>
  <c r="M215" i="8"/>
  <c r="L215" i="8"/>
  <c r="K215" i="8"/>
  <c r="J215" i="8"/>
  <c r="H215" i="8"/>
  <c r="N214" i="8"/>
  <c r="M214" i="8"/>
  <c r="L214" i="8"/>
  <c r="K214" i="8"/>
  <c r="J214" i="8"/>
  <c r="H214" i="8"/>
  <c r="N213" i="8"/>
  <c r="M213" i="8"/>
  <c r="L213" i="8"/>
  <c r="K213" i="8"/>
  <c r="J213" i="8"/>
  <c r="H213" i="8"/>
  <c r="O213" i="8" s="1"/>
  <c r="N212" i="8"/>
  <c r="M212" i="8"/>
  <c r="L212" i="8"/>
  <c r="K212" i="8"/>
  <c r="J212" i="8"/>
  <c r="H212" i="8"/>
  <c r="N211" i="8"/>
  <c r="M211" i="8"/>
  <c r="L211" i="8"/>
  <c r="K211" i="8"/>
  <c r="J211" i="8"/>
  <c r="U211" i="8" s="1"/>
  <c r="H211" i="8"/>
  <c r="O211" i="8" s="1"/>
  <c r="N210" i="8"/>
  <c r="M210" i="8"/>
  <c r="L210" i="8"/>
  <c r="K210" i="8"/>
  <c r="J210" i="8"/>
  <c r="H210" i="8"/>
  <c r="N209" i="8"/>
  <c r="M209" i="8"/>
  <c r="L209" i="8"/>
  <c r="K209" i="8"/>
  <c r="J209" i="8"/>
  <c r="H209" i="8"/>
  <c r="N208" i="8"/>
  <c r="M208" i="8"/>
  <c r="L208" i="8"/>
  <c r="K208" i="8"/>
  <c r="R208" i="8" s="1"/>
  <c r="J208" i="8"/>
  <c r="H208" i="8"/>
  <c r="N207" i="8"/>
  <c r="M207" i="8"/>
  <c r="L207" i="8"/>
  <c r="K207" i="8"/>
  <c r="J207" i="8"/>
  <c r="H207" i="8"/>
  <c r="N206" i="8"/>
  <c r="M206" i="8"/>
  <c r="L206" i="8"/>
  <c r="K206" i="8"/>
  <c r="J206" i="8"/>
  <c r="H206" i="8"/>
  <c r="O206" i="8" s="1"/>
  <c r="O205" i="8"/>
  <c r="N205" i="8"/>
  <c r="M205" i="8"/>
  <c r="L205" i="8"/>
  <c r="K205" i="8"/>
  <c r="J205" i="8"/>
  <c r="H205" i="8"/>
  <c r="N204" i="8"/>
  <c r="M204" i="8"/>
  <c r="L204" i="8"/>
  <c r="K204" i="8"/>
  <c r="J204" i="8"/>
  <c r="H204" i="8"/>
  <c r="N203" i="8"/>
  <c r="M203" i="8"/>
  <c r="L203" i="8"/>
  <c r="K203" i="8"/>
  <c r="J203" i="8"/>
  <c r="H203" i="8"/>
  <c r="N202" i="8"/>
  <c r="M202" i="8"/>
  <c r="L202" i="8"/>
  <c r="K202" i="8"/>
  <c r="J202" i="8"/>
  <c r="H202" i="8"/>
  <c r="N201" i="8"/>
  <c r="M201" i="8"/>
  <c r="L201" i="8"/>
  <c r="K201" i="8"/>
  <c r="J201" i="8"/>
  <c r="H201" i="8"/>
  <c r="O201" i="8" s="1"/>
  <c r="N200" i="8"/>
  <c r="M200" i="8"/>
  <c r="L200" i="8"/>
  <c r="K200" i="8"/>
  <c r="J200" i="8"/>
  <c r="H200" i="8"/>
  <c r="N199" i="8"/>
  <c r="M199" i="8"/>
  <c r="L199" i="8"/>
  <c r="K199" i="8"/>
  <c r="J199" i="8"/>
  <c r="H199" i="8"/>
  <c r="N198" i="8"/>
  <c r="M198" i="8"/>
  <c r="L198" i="8"/>
  <c r="K198" i="8"/>
  <c r="J198" i="8"/>
  <c r="H198" i="8"/>
  <c r="O198" i="8" s="1"/>
  <c r="N197" i="8"/>
  <c r="M197" i="8"/>
  <c r="L197" i="8"/>
  <c r="K197" i="8"/>
  <c r="J197" i="8"/>
  <c r="H197" i="8"/>
  <c r="N196" i="8"/>
  <c r="M196" i="8"/>
  <c r="L196" i="8"/>
  <c r="K196" i="8"/>
  <c r="J196" i="8"/>
  <c r="U196" i="8" s="1"/>
  <c r="H196" i="8"/>
  <c r="N195" i="8"/>
  <c r="M195" i="8"/>
  <c r="L195" i="8"/>
  <c r="K195" i="8"/>
  <c r="J195" i="8"/>
  <c r="H195" i="8"/>
  <c r="N194" i="8"/>
  <c r="M194" i="8"/>
  <c r="L194" i="8"/>
  <c r="K194" i="8"/>
  <c r="J194" i="8"/>
  <c r="H194" i="8"/>
  <c r="N193" i="8"/>
  <c r="M193" i="8"/>
  <c r="L193" i="8"/>
  <c r="K193" i="8"/>
  <c r="J193" i="8"/>
  <c r="H193" i="8"/>
  <c r="O193" i="8" s="1"/>
  <c r="N192" i="8"/>
  <c r="M192" i="8"/>
  <c r="L192" i="8"/>
  <c r="K192" i="8"/>
  <c r="J192" i="8"/>
  <c r="H192" i="8"/>
  <c r="N191" i="8"/>
  <c r="M191" i="8"/>
  <c r="L191" i="8"/>
  <c r="K191" i="8"/>
  <c r="J191" i="8"/>
  <c r="H191" i="8"/>
  <c r="O191" i="8" s="1"/>
  <c r="N190" i="8"/>
  <c r="M190" i="8"/>
  <c r="L190" i="8"/>
  <c r="K190" i="8"/>
  <c r="J190" i="8"/>
  <c r="H190" i="8"/>
  <c r="N189" i="8"/>
  <c r="M189" i="8"/>
  <c r="L189" i="8"/>
  <c r="K189" i="8"/>
  <c r="J189" i="8"/>
  <c r="H189" i="8"/>
  <c r="N188" i="8"/>
  <c r="M188" i="8"/>
  <c r="L188" i="8"/>
  <c r="K188" i="8"/>
  <c r="J188" i="8"/>
  <c r="H188" i="8"/>
  <c r="O188" i="8" s="1"/>
  <c r="S187" i="8"/>
  <c r="R187" i="8"/>
  <c r="N187" i="8"/>
  <c r="M187" i="8"/>
  <c r="L187" i="8"/>
  <c r="K187" i="8"/>
  <c r="J187" i="8"/>
  <c r="Q187" i="8" s="1"/>
  <c r="H187" i="8"/>
  <c r="N186" i="8"/>
  <c r="M186" i="8"/>
  <c r="L186" i="8"/>
  <c r="S186" i="8" s="1"/>
  <c r="K186" i="8"/>
  <c r="U186" i="8" s="1"/>
  <c r="J186" i="8"/>
  <c r="H186" i="8"/>
  <c r="N185" i="8"/>
  <c r="M185" i="8"/>
  <c r="L185" i="8"/>
  <c r="K185" i="8"/>
  <c r="J185" i="8"/>
  <c r="H185" i="8"/>
  <c r="N184" i="8"/>
  <c r="M184" i="8"/>
  <c r="L184" i="8"/>
  <c r="K184" i="8"/>
  <c r="J184" i="8"/>
  <c r="H184" i="8"/>
  <c r="N183" i="8"/>
  <c r="M183" i="8"/>
  <c r="L183" i="8"/>
  <c r="K183" i="8"/>
  <c r="J183" i="8"/>
  <c r="H183" i="8"/>
  <c r="N182" i="8"/>
  <c r="M182" i="8"/>
  <c r="L182" i="8"/>
  <c r="K182" i="8"/>
  <c r="J182" i="8"/>
  <c r="H182" i="8"/>
  <c r="O182" i="8" s="1"/>
  <c r="N181" i="8"/>
  <c r="M181" i="8"/>
  <c r="L181" i="8"/>
  <c r="K181" i="8"/>
  <c r="J181" i="8"/>
  <c r="H181" i="8"/>
  <c r="N180" i="8"/>
  <c r="M180" i="8"/>
  <c r="L180" i="8"/>
  <c r="K180" i="8"/>
  <c r="J180" i="8"/>
  <c r="H180" i="8"/>
  <c r="N179" i="8"/>
  <c r="M179" i="8"/>
  <c r="L179" i="8"/>
  <c r="K179" i="8"/>
  <c r="J179" i="8"/>
  <c r="H179" i="8"/>
  <c r="N178" i="8"/>
  <c r="M178" i="8"/>
  <c r="L178" i="8"/>
  <c r="K178" i="8"/>
  <c r="J178" i="8"/>
  <c r="H178" i="8"/>
  <c r="N177" i="8"/>
  <c r="M177" i="8"/>
  <c r="L177" i="8"/>
  <c r="K177" i="8"/>
  <c r="J177" i="8"/>
  <c r="H177" i="8"/>
  <c r="N176" i="8"/>
  <c r="M176" i="8"/>
  <c r="L176" i="8"/>
  <c r="K176" i="8"/>
  <c r="J176" i="8"/>
  <c r="H176" i="8"/>
  <c r="N175" i="8"/>
  <c r="M175" i="8"/>
  <c r="L175" i="8"/>
  <c r="K175" i="8"/>
  <c r="J175" i="8"/>
  <c r="S175" i="8" s="1"/>
  <c r="H175" i="8"/>
  <c r="N174" i="8"/>
  <c r="M174" i="8"/>
  <c r="L174" i="8"/>
  <c r="K174" i="8"/>
  <c r="J174" i="8"/>
  <c r="H174" i="8"/>
  <c r="N173" i="8"/>
  <c r="M173" i="8"/>
  <c r="L173" i="8"/>
  <c r="K173" i="8"/>
  <c r="J173" i="8"/>
  <c r="H173" i="8"/>
  <c r="N172" i="8"/>
  <c r="M172" i="8"/>
  <c r="L172" i="8"/>
  <c r="K172" i="8"/>
  <c r="J172" i="8"/>
  <c r="H172" i="8"/>
  <c r="O172" i="8" s="1"/>
  <c r="N171" i="8"/>
  <c r="M171" i="8"/>
  <c r="L171" i="8"/>
  <c r="K171" i="8"/>
  <c r="J171" i="8"/>
  <c r="H171" i="8"/>
  <c r="N170" i="8"/>
  <c r="M170" i="8"/>
  <c r="L170" i="8"/>
  <c r="K170" i="8"/>
  <c r="J170" i="8"/>
  <c r="H170" i="8"/>
  <c r="N169" i="8"/>
  <c r="M169" i="8"/>
  <c r="L169" i="8"/>
  <c r="K169" i="8"/>
  <c r="J169" i="8"/>
  <c r="H169" i="8"/>
  <c r="N168" i="8"/>
  <c r="M168" i="8"/>
  <c r="L168" i="8"/>
  <c r="K168" i="8"/>
  <c r="J168" i="8"/>
  <c r="H168" i="8"/>
  <c r="N167" i="8"/>
  <c r="M167" i="8"/>
  <c r="L167" i="8"/>
  <c r="K167" i="8"/>
  <c r="J167" i="8"/>
  <c r="H167" i="8"/>
  <c r="N166" i="8"/>
  <c r="M166" i="8"/>
  <c r="L166" i="8"/>
  <c r="K166" i="8"/>
  <c r="J166" i="8"/>
  <c r="H166" i="8"/>
  <c r="N165" i="8"/>
  <c r="M165" i="8"/>
  <c r="L165" i="8"/>
  <c r="K165" i="8"/>
  <c r="J165" i="8"/>
  <c r="H165" i="8"/>
  <c r="N164" i="8"/>
  <c r="M164" i="8"/>
  <c r="L164" i="8"/>
  <c r="K164" i="8"/>
  <c r="J164" i="8"/>
  <c r="U164" i="8" s="1"/>
  <c r="H164" i="8"/>
  <c r="O164" i="8" s="1"/>
  <c r="N163" i="8"/>
  <c r="M163" i="8"/>
  <c r="L163" i="8"/>
  <c r="K163" i="8"/>
  <c r="J163" i="8"/>
  <c r="H163" i="8"/>
  <c r="N162" i="8"/>
  <c r="M162" i="8"/>
  <c r="L162" i="8"/>
  <c r="K162" i="8"/>
  <c r="J162" i="8"/>
  <c r="H162" i="8"/>
  <c r="N161" i="8"/>
  <c r="M161" i="8"/>
  <c r="L161" i="8"/>
  <c r="K161" i="8"/>
  <c r="J161" i="8"/>
  <c r="S161" i="8" s="1"/>
  <c r="H161" i="8"/>
  <c r="O161" i="8" s="1"/>
  <c r="N160" i="8"/>
  <c r="M160" i="8"/>
  <c r="L160" i="8"/>
  <c r="K160" i="8"/>
  <c r="J160" i="8"/>
  <c r="H160" i="8"/>
  <c r="N159" i="8"/>
  <c r="M159" i="8"/>
  <c r="L159" i="8"/>
  <c r="K159" i="8"/>
  <c r="J159" i="8"/>
  <c r="H159" i="8"/>
  <c r="N158" i="8"/>
  <c r="M158" i="8"/>
  <c r="L158" i="8"/>
  <c r="K158" i="8"/>
  <c r="J158" i="8"/>
  <c r="H158" i="8"/>
  <c r="N157" i="8"/>
  <c r="M157" i="8"/>
  <c r="L157" i="8"/>
  <c r="K157" i="8"/>
  <c r="J157" i="8"/>
  <c r="H157" i="8"/>
  <c r="N156" i="8"/>
  <c r="M156" i="8"/>
  <c r="L156" i="8"/>
  <c r="K156" i="8"/>
  <c r="J156" i="8"/>
  <c r="H156" i="8"/>
  <c r="O156" i="8" s="1"/>
  <c r="N155" i="8"/>
  <c r="M155" i="8"/>
  <c r="L155" i="8"/>
  <c r="K155" i="8"/>
  <c r="J155" i="8"/>
  <c r="H155" i="8"/>
  <c r="N154" i="8"/>
  <c r="M154" i="8"/>
  <c r="L154" i="8"/>
  <c r="K154" i="8"/>
  <c r="J154" i="8"/>
  <c r="H154" i="8"/>
  <c r="N153" i="8"/>
  <c r="M153" i="8"/>
  <c r="L153" i="8"/>
  <c r="K153" i="8"/>
  <c r="J153" i="8"/>
  <c r="H153" i="8"/>
  <c r="N152" i="8"/>
  <c r="M152" i="8"/>
  <c r="L152" i="8"/>
  <c r="K152" i="8"/>
  <c r="J152" i="8"/>
  <c r="H152" i="8"/>
  <c r="N151" i="8"/>
  <c r="M151" i="8"/>
  <c r="L151" i="8"/>
  <c r="K151" i="8"/>
  <c r="J151" i="8"/>
  <c r="H151" i="8"/>
  <c r="N150" i="8"/>
  <c r="M150" i="8"/>
  <c r="L150" i="8"/>
  <c r="K150" i="8"/>
  <c r="J150" i="8"/>
  <c r="H150" i="8"/>
  <c r="N149" i="8"/>
  <c r="M149" i="8"/>
  <c r="L149" i="8"/>
  <c r="K149" i="8"/>
  <c r="J149" i="8"/>
  <c r="H149" i="8"/>
  <c r="N148" i="8"/>
  <c r="M148" i="8"/>
  <c r="L148" i="8"/>
  <c r="K148" i="8"/>
  <c r="J148" i="8"/>
  <c r="U148" i="8" s="1"/>
  <c r="H148" i="8"/>
  <c r="O148" i="8" s="1"/>
  <c r="N147" i="8"/>
  <c r="M147" i="8"/>
  <c r="L147" i="8"/>
  <c r="K147" i="8"/>
  <c r="J147" i="8"/>
  <c r="H147" i="8"/>
  <c r="N146" i="8"/>
  <c r="M146" i="8"/>
  <c r="L146" i="8"/>
  <c r="K146" i="8"/>
  <c r="J146" i="8"/>
  <c r="S146" i="8" s="1"/>
  <c r="H146" i="8"/>
  <c r="O146" i="8" s="1"/>
  <c r="N145" i="8"/>
  <c r="M145" i="8"/>
  <c r="L145" i="8"/>
  <c r="K145" i="8"/>
  <c r="J145" i="8"/>
  <c r="H145" i="8"/>
  <c r="N144" i="8"/>
  <c r="M144" i="8"/>
  <c r="L144" i="8"/>
  <c r="K144" i="8"/>
  <c r="J144" i="8"/>
  <c r="H144" i="8"/>
  <c r="N143" i="8"/>
  <c r="M143" i="8"/>
  <c r="L143" i="8"/>
  <c r="K143" i="8"/>
  <c r="J143" i="8"/>
  <c r="H143" i="8"/>
  <c r="N142" i="8"/>
  <c r="M142" i="8"/>
  <c r="L142" i="8"/>
  <c r="K142" i="8"/>
  <c r="J142" i="8"/>
  <c r="H142" i="8"/>
  <c r="N141" i="8"/>
  <c r="M141" i="8"/>
  <c r="L141" i="8"/>
  <c r="K141" i="8"/>
  <c r="J141" i="8"/>
  <c r="H141" i="8"/>
  <c r="N140" i="8"/>
  <c r="M140" i="8"/>
  <c r="L140" i="8"/>
  <c r="K140" i="8"/>
  <c r="J140" i="8"/>
  <c r="S140" i="8" s="1"/>
  <c r="H140" i="8"/>
  <c r="N139" i="8"/>
  <c r="M139" i="8"/>
  <c r="L139" i="8"/>
  <c r="K139" i="8"/>
  <c r="J139" i="8"/>
  <c r="H139" i="8"/>
  <c r="N138" i="8"/>
  <c r="M138" i="8"/>
  <c r="L138" i="8"/>
  <c r="K138" i="8"/>
  <c r="J138" i="8"/>
  <c r="H138" i="8"/>
  <c r="O138" i="8" s="1"/>
  <c r="N137" i="8"/>
  <c r="M137" i="8"/>
  <c r="L137" i="8"/>
  <c r="K137" i="8"/>
  <c r="J137" i="8"/>
  <c r="H137" i="8"/>
  <c r="N136" i="8"/>
  <c r="M136" i="8"/>
  <c r="L136" i="8"/>
  <c r="K136" i="8"/>
  <c r="J136" i="8"/>
  <c r="U136" i="8" s="1"/>
  <c r="H136" i="8"/>
  <c r="N135" i="8"/>
  <c r="M135" i="8"/>
  <c r="L135" i="8"/>
  <c r="K135" i="8"/>
  <c r="J135" i="8"/>
  <c r="H135" i="8"/>
  <c r="O135" i="8" s="1"/>
  <c r="N134" i="8"/>
  <c r="M134" i="8"/>
  <c r="L134" i="8"/>
  <c r="K134" i="8"/>
  <c r="J134" i="8"/>
  <c r="H134" i="8"/>
  <c r="N133" i="8"/>
  <c r="M133" i="8"/>
  <c r="L133" i="8"/>
  <c r="K133" i="8"/>
  <c r="J133" i="8"/>
  <c r="H133" i="8"/>
  <c r="O133" i="8" s="1"/>
  <c r="N132" i="8"/>
  <c r="M132" i="8"/>
  <c r="L132" i="8"/>
  <c r="K132" i="8"/>
  <c r="J132" i="8"/>
  <c r="H132" i="8"/>
  <c r="N131" i="8"/>
  <c r="M131" i="8"/>
  <c r="L131" i="8"/>
  <c r="K131" i="8"/>
  <c r="J131" i="8"/>
  <c r="H131" i="8"/>
  <c r="N130" i="8"/>
  <c r="M130" i="8"/>
  <c r="L130" i="8"/>
  <c r="K130" i="8"/>
  <c r="J130" i="8"/>
  <c r="H130" i="8"/>
  <c r="N129" i="8"/>
  <c r="M129" i="8"/>
  <c r="L129" i="8"/>
  <c r="K129" i="8"/>
  <c r="J129" i="8"/>
  <c r="H129" i="8"/>
  <c r="N128" i="8"/>
  <c r="M128" i="8"/>
  <c r="L128" i="8"/>
  <c r="K128" i="8"/>
  <c r="J128" i="8"/>
  <c r="H128" i="8"/>
  <c r="N127" i="8"/>
  <c r="M127" i="8"/>
  <c r="L127" i="8"/>
  <c r="K127" i="8"/>
  <c r="J127" i="8"/>
  <c r="H127" i="8"/>
  <c r="N126" i="8"/>
  <c r="M126" i="8"/>
  <c r="L126" i="8"/>
  <c r="K126" i="8"/>
  <c r="J126" i="8"/>
  <c r="U126" i="8" s="1"/>
  <c r="H126" i="8"/>
  <c r="N125" i="8"/>
  <c r="M125" i="8"/>
  <c r="L125" i="8"/>
  <c r="K125" i="8"/>
  <c r="J125" i="8"/>
  <c r="H125" i="8"/>
  <c r="N124" i="8"/>
  <c r="M124" i="8"/>
  <c r="L124" i="8"/>
  <c r="K124" i="8"/>
  <c r="J124" i="8"/>
  <c r="H124" i="8"/>
  <c r="N123" i="8"/>
  <c r="M123" i="8"/>
  <c r="L123" i="8"/>
  <c r="K123" i="8"/>
  <c r="J123" i="8"/>
  <c r="H123" i="8"/>
  <c r="N122" i="8"/>
  <c r="M122" i="8"/>
  <c r="L122" i="8"/>
  <c r="K122" i="8"/>
  <c r="J122" i="8"/>
  <c r="H122" i="8"/>
  <c r="N121" i="8"/>
  <c r="M121" i="8"/>
  <c r="L121" i="8"/>
  <c r="K121" i="8"/>
  <c r="J121" i="8"/>
  <c r="H121" i="8"/>
  <c r="N120" i="8"/>
  <c r="M120" i="8"/>
  <c r="L120" i="8"/>
  <c r="K120" i="8"/>
  <c r="J120" i="8"/>
  <c r="H120" i="8"/>
  <c r="N119" i="8"/>
  <c r="M119" i="8"/>
  <c r="L119" i="8"/>
  <c r="K119" i="8"/>
  <c r="J119" i="8"/>
  <c r="H119" i="8"/>
  <c r="N118" i="8"/>
  <c r="M118" i="8"/>
  <c r="L118" i="8"/>
  <c r="K118" i="8"/>
  <c r="J118" i="8"/>
  <c r="S118" i="8" s="1"/>
  <c r="H118" i="8"/>
  <c r="O118" i="8" s="1"/>
  <c r="N117" i="8"/>
  <c r="M117" i="8"/>
  <c r="L117" i="8"/>
  <c r="K117" i="8"/>
  <c r="J117" i="8"/>
  <c r="H117" i="8"/>
  <c r="N116" i="8"/>
  <c r="M116" i="8"/>
  <c r="L116" i="8"/>
  <c r="K116" i="8"/>
  <c r="J116" i="8"/>
  <c r="H116" i="8"/>
  <c r="O117" i="8" s="1"/>
  <c r="N115" i="8"/>
  <c r="M115" i="8"/>
  <c r="L115" i="8"/>
  <c r="K115" i="8"/>
  <c r="J115" i="8"/>
  <c r="H115" i="8"/>
  <c r="N114" i="8"/>
  <c r="M114" i="8"/>
  <c r="L114" i="8"/>
  <c r="K114" i="8"/>
  <c r="J114" i="8"/>
  <c r="H114" i="8"/>
  <c r="N113" i="8"/>
  <c r="M113" i="8"/>
  <c r="L113" i="8"/>
  <c r="K113" i="8"/>
  <c r="J113" i="8"/>
  <c r="U113" i="8" s="1"/>
  <c r="H113" i="8"/>
  <c r="O113" i="8" s="1"/>
  <c r="N112" i="8"/>
  <c r="M112" i="8"/>
  <c r="L112" i="8"/>
  <c r="K112" i="8"/>
  <c r="J112" i="8"/>
  <c r="H112" i="8"/>
  <c r="N111" i="8"/>
  <c r="M111" i="8"/>
  <c r="L111" i="8"/>
  <c r="K111" i="8"/>
  <c r="J111" i="8"/>
  <c r="R111" i="8" s="1"/>
  <c r="H111" i="8"/>
  <c r="O112" i="8" s="1"/>
  <c r="N110" i="8"/>
  <c r="M110" i="8"/>
  <c r="L110" i="8"/>
  <c r="K110" i="8"/>
  <c r="J110" i="8"/>
  <c r="U110" i="8" s="1"/>
  <c r="H110" i="8"/>
  <c r="N109" i="8"/>
  <c r="M109" i="8"/>
  <c r="L109" i="8"/>
  <c r="K109" i="8"/>
  <c r="J109" i="8"/>
  <c r="H109" i="8"/>
  <c r="N108" i="8"/>
  <c r="M108" i="8"/>
  <c r="L108" i="8"/>
  <c r="K108" i="8"/>
  <c r="J108" i="8"/>
  <c r="H108" i="8"/>
  <c r="O108" i="8" s="1"/>
  <c r="N107" i="8"/>
  <c r="M107" i="8"/>
  <c r="L107" i="8"/>
  <c r="K107" i="8"/>
  <c r="J107" i="8"/>
  <c r="H107" i="8"/>
  <c r="N106" i="8"/>
  <c r="M106" i="8"/>
  <c r="L106" i="8"/>
  <c r="K106" i="8"/>
  <c r="J106" i="8"/>
  <c r="H106" i="8"/>
  <c r="N105" i="8"/>
  <c r="M105" i="8"/>
  <c r="L105" i="8"/>
  <c r="K105" i="8"/>
  <c r="J105" i="8"/>
  <c r="H105" i="8"/>
  <c r="O105" i="8" s="1"/>
  <c r="N104" i="8"/>
  <c r="M104" i="8"/>
  <c r="L104" i="8"/>
  <c r="K104" i="8"/>
  <c r="J104" i="8"/>
  <c r="H104" i="8"/>
  <c r="N103" i="8"/>
  <c r="M103" i="8"/>
  <c r="L103" i="8"/>
  <c r="K103" i="8"/>
  <c r="J103" i="8"/>
  <c r="H103" i="8"/>
  <c r="N102" i="8"/>
  <c r="M102" i="8"/>
  <c r="L102" i="8"/>
  <c r="K102" i="8"/>
  <c r="J102" i="8"/>
  <c r="H102" i="8"/>
  <c r="N101" i="8"/>
  <c r="M101" i="8"/>
  <c r="L101" i="8"/>
  <c r="K101" i="8"/>
  <c r="R101" i="8" s="1"/>
  <c r="J101" i="8"/>
  <c r="H101" i="8"/>
  <c r="N100" i="8"/>
  <c r="M100" i="8"/>
  <c r="L100" i="8"/>
  <c r="K100" i="8"/>
  <c r="J100" i="8"/>
  <c r="H100" i="8"/>
  <c r="N99" i="8"/>
  <c r="M99" i="8"/>
  <c r="L99" i="8"/>
  <c r="K99" i="8"/>
  <c r="J99" i="8"/>
  <c r="H99" i="8"/>
  <c r="O99" i="8" s="1"/>
  <c r="N98" i="8"/>
  <c r="M98" i="8"/>
  <c r="L98" i="8"/>
  <c r="K98" i="8"/>
  <c r="J98" i="8"/>
  <c r="H98" i="8"/>
  <c r="N97" i="8"/>
  <c r="M97" i="8"/>
  <c r="L97" i="8"/>
  <c r="K97" i="8"/>
  <c r="J97" i="8"/>
  <c r="H97" i="8"/>
  <c r="N96" i="8"/>
  <c r="M96" i="8"/>
  <c r="L96" i="8"/>
  <c r="K96" i="8"/>
  <c r="J96" i="8"/>
  <c r="H96" i="8"/>
  <c r="N95" i="8"/>
  <c r="M95" i="8"/>
  <c r="L95" i="8"/>
  <c r="K95" i="8"/>
  <c r="J95" i="8"/>
  <c r="H95" i="8"/>
  <c r="O95" i="8" s="1"/>
  <c r="N94" i="8"/>
  <c r="M94" i="8"/>
  <c r="L94" i="8"/>
  <c r="K94" i="8"/>
  <c r="J94" i="8"/>
  <c r="S94" i="8" s="1"/>
  <c r="H94" i="8"/>
  <c r="O94" i="8" s="1"/>
  <c r="N93" i="8"/>
  <c r="M93" i="8"/>
  <c r="L93" i="8"/>
  <c r="K93" i="8"/>
  <c r="J93" i="8"/>
  <c r="H93" i="8"/>
  <c r="N92" i="8"/>
  <c r="M92" i="8"/>
  <c r="L92" i="8"/>
  <c r="K92" i="8"/>
  <c r="J92" i="8"/>
  <c r="H92" i="8"/>
  <c r="N91" i="8"/>
  <c r="M91" i="8"/>
  <c r="L91" i="8"/>
  <c r="K91" i="8"/>
  <c r="J91" i="8"/>
  <c r="R91" i="8" s="1"/>
  <c r="H91" i="8"/>
  <c r="N90" i="8"/>
  <c r="M90" i="8"/>
  <c r="L90" i="8"/>
  <c r="K90" i="8"/>
  <c r="J90" i="8"/>
  <c r="H90" i="8"/>
  <c r="N89" i="8"/>
  <c r="M89" i="8"/>
  <c r="L89" i="8"/>
  <c r="K89" i="8"/>
  <c r="J89" i="8"/>
  <c r="H89" i="8"/>
  <c r="N88" i="8"/>
  <c r="M88" i="8"/>
  <c r="L88" i="8"/>
  <c r="K88" i="8"/>
  <c r="J88" i="8"/>
  <c r="H88" i="8"/>
  <c r="N87" i="8"/>
  <c r="M87" i="8"/>
  <c r="L87" i="8"/>
  <c r="K87" i="8"/>
  <c r="J87" i="8"/>
  <c r="H87" i="8"/>
  <c r="N86" i="8"/>
  <c r="M86" i="8"/>
  <c r="L86" i="8"/>
  <c r="K86" i="8"/>
  <c r="J86" i="8"/>
  <c r="H86" i="8"/>
  <c r="N85" i="8"/>
  <c r="M85" i="8"/>
  <c r="L85" i="8"/>
  <c r="K85" i="8"/>
  <c r="J85" i="8"/>
  <c r="H85" i="8"/>
  <c r="N84" i="8"/>
  <c r="M84" i="8"/>
  <c r="L84" i="8"/>
  <c r="K84" i="8"/>
  <c r="J84" i="8"/>
  <c r="H84" i="8"/>
  <c r="N83" i="8"/>
  <c r="M83" i="8"/>
  <c r="L83" i="8"/>
  <c r="K83" i="8"/>
  <c r="J83" i="8"/>
  <c r="H83" i="8"/>
  <c r="O83" i="8" s="1"/>
  <c r="O82" i="8"/>
  <c r="N82" i="8"/>
  <c r="M82" i="8"/>
  <c r="L82" i="8"/>
  <c r="K82" i="8"/>
  <c r="J82" i="8"/>
  <c r="H82" i="8"/>
  <c r="N81" i="8"/>
  <c r="M81" i="8"/>
  <c r="L81" i="8"/>
  <c r="K81" i="8"/>
  <c r="S81" i="8" s="1"/>
  <c r="J81" i="8"/>
  <c r="H81" i="8"/>
  <c r="N80" i="8"/>
  <c r="M80" i="8"/>
  <c r="L80" i="8"/>
  <c r="K80" i="8"/>
  <c r="J80" i="8"/>
  <c r="Q80" i="8" s="1"/>
  <c r="H80" i="8"/>
  <c r="O81" i="8" s="1"/>
  <c r="N79" i="8"/>
  <c r="M79" i="8"/>
  <c r="L79" i="8"/>
  <c r="K79" i="8"/>
  <c r="J79" i="8"/>
  <c r="H79" i="8"/>
  <c r="N78" i="8"/>
  <c r="M78" i="8"/>
  <c r="L78" i="8"/>
  <c r="K78" i="8"/>
  <c r="J78" i="8"/>
  <c r="R78" i="8" s="1"/>
  <c r="H78" i="8"/>
  <c r="O78" i="8" s="1"/>
  <c r="N77" i="8"/>
  <c r="M77" i="8"/>
  <c r="L77" i="8"/>
  <c r="K77" i="8"/>
  <c r="J77" i="8"/>
  <c r="H77" i="8"/>
  <c r="N76" i="8"/>
  <c r="M76" i="8"/>
  <c r="L76" i="8"/>
  <c r="K76" i="8"/>
  <c r="J76" i="8"/>
  <c r="H76" i="8"/>
  <c r="N75" i="8"/>
  <c r="M75" i="8"/>
  <c r="L75" i="8"/>
  <c r="K75" i="8"/>
  <c r="J75" i="8"/>
  <c r="H75" i="8"/>
  <c r="O75" i="8" s="1"/>
  <c r="N74" i="8"/>
  <c r="M74" i="8"/>
  <c r="L74" i="8"/>
  <c r="K74" i="8"/>
  <c r="J74" i="8"/>
  <c r="H74" i="8"/>
  <c r="N73" i="8"/>
  <c r="M73" i="8"/>
  <c r="L73" i="8"/>
  <c r="K73" i="8"/>
  <c r="J73" i="8"/>
  <c r="H73" i="8"/>
  <c r="O73" i="8" s="1"/>
  <c r="N72" i="8"/>
  <c r="M72" i="8"/>
  <c r="L72" i="8"/>
  <c r="K72" i="8"/>
  <c r="J72" i="8"/>
  <c r="H72" i="8"/>
  <c r="S71" i="8"/>
  <c r="R71" i="8"/>
  <c r="Q71" i="8"/>
  <c r="O71" i="8"/>
  <c r="N71" i="8"/>
  <c r="M71" i="8"/>
  <c r="L71" i="8"/>
  <c r="K71" i="8"/>
  <c r="J71" i="8"/>
  <c r="H71" i="8"/>
  <c r="O72" i="8" s="1"/>
  <c r="N70" i="8"/>
  <c r="M70" i="8"/>
  <c r="L70" i="8"/>
  <c r="K70" i="8"/>
  <c r="J70" i="8"/>
  <c r="H70" i="8"/>
  <c r="N69" i="8"/>
  <c r="M69" i="8"/>
  <c r="L69" i="8"/>
  <c r="K69" i="8"/>
  <c r="J69" i="8"/>
  <c r="H69" i="8"/>
  <c r="O69" i="8" s="1"/>
  <c r="N68" i="8"/>
  <c r="M68" i="8"/>
  <c r="L68" i="8"/>
  <c r="K68" i="8"/>
  <c r="J68" i="8"/>
  <c r="H68" i="8"/>
  <c r="N67" i="8"/>
  <c r="M67" i="8"/>
  <c r="L67" i="8"/>
  <c r="K67" i="8"/>
  <c r="J67" i="8"/>
  <c r="H67" i="8"/>
  <c r="N66" i="8"/>
  <c r="M66" i="8"/>
  <c r="L66" i="8"/>
  <c r="K66" i="8"/>
  <c r="J66" i="8"/>
  <c r="H66" i="8"/>
  <c r="Q65" i="8"/>
  <c r="N65" i="8"/>
  <c r="M65" i="8"/>
  <c r="R65" i="8" s="1"/>
  <c r="L65" i="8"/>
  <c r="K65" i="8"/>
  <c r="J65" i="8"/>
  <c r="H65" i="8"/>
  <c r="N64" i="8"/>
  <c r="M64" i="8"/>
  <c r="L64" i="8"/>
  <c r="K64" i="8"/>
  <c r="J64" i="8"/>
  <c r="H64" i="8"/>
  <c r="N63" i="8"/>
  <c r="M63" i="8"/>
  <c r="L63" i="8"/>
  <c r="K63" i="8"/>
  <c r="J63" i="8"/>
  <c r="H63" i="8"/>
  <c r="O63" i="8" s="1"/>
  <c r="N62" i="8"/>
  <c r="M62" i="8"/>
  <c r="L62" i="8"/>
  <c r="K62" i="8"/>
  <c r="J62" i="8"/>
  <c r="H62" i="8"/>
  <c r="N61" i="8"/>
  <c r="M61" i="8"/>
  <c r="L61" i="8"/>
  <c r="K61" i="8"/>
  <c r="J61" i="8"/>
  <c r="H61" i="8"/>
  <c r="O62" i="8" s="1"/>
  <c r="N60" i="8"/>
  <c r="M60" i="8"/>
  <c r="L60" i="8"/>
  <c r="K60" i="8"/>
  <c r="J60" i="8"/>
  <c r="H60" i="8"/>
  <c r="N59" i="8"/>
  <c r="M59" i="8"/>
  <c r="L59" i="8"/>
  <c r="K59" i="8"/>
  <c r="J59" i="8"/>
  <c r="H59" i="8"/>
  <c r="N58" i="8"/>
  <c r="M58" i="8"/>
  <c r="L58" i="8"/>
  <c r="K58" i="8"/>
  <c r="J58" i="8"/>
  <c r="H58" i="8"/>
  <c r="N57" i="8"/>
  <c r="M57" i="8"/>
  <c r="L57" i="8"/>
  <c r="K57" i="8"/>
  <c r="J57" i="8"/>
  <c r="H57" i="8"/>
  <c r="N56" i="8"/>
  <c r="M56" i="8"/>
  <c r="L56" i="8"/>
  <c r="K56" i="8"/>
  <c r="J56" i="8"/>
  <c r="H56" i="8"/>
  <c r="N55" i="8"/>
  <c r="M55" i="8"/>
  <c r="L55" i="8"/>
  <c r="K55" i="8"/>
  <c r="J55" i="8"/>
  <c r="H55" i="8"/>
  <c r="N54" i="8"/>
  <c r="M54" i="8"/>
  <c r="L54" i="8"/>
  <c r="K54" i="8"/>
  <c r="U54" i="8" s="1"/>
  <c r="J54" i="8"/>
  <c r="H54" i="8"/>
  <c r="N53" i="8"/>
  <c r="M53" i="8"/>
  <c r="L53" i="8"/>
  <c r="K53" i="8"/>
  <c r="J53" i="8"/>
  <c r="H53" i="8"/>
  <c r="N52" i="8"/>
  <c r="M52" i="8"/>
  <c r="L52" i="8"/>
  <c r="K52" i="8"/>
  <c r="J52" i="8"/>
  <c r="H52" i="8"/>
  <c r="N51" i="8"/>
  <c r="M51" i="8"/>
  <c r="L51" i="8"/>
  <c r="K51" i="8"/>
  <c r="J51" i="8"/>
  <c r="H51" i="8"/>
  <c r="N50" i="8"/>
  <c r="M50" i="8"/>
  <c r="L50" i="8"/>
  <c r="K50" i="8"/>
  <c r="J50" i="8"/>
  <c r="H50" i="8"/>
  <c r="O50" i="8" s="1"/>
  <c r="N49" i="8"/>
  <c r="M49" i="8"/>
  <c r="L49" i="8"/>
  <c r="K49" i="8"/>
  <c r="J49" i="8"/>
  <c r="H49" i="8"/>
  <c r="N48" i="8"/>
  <c r="M48" i="8"/>
  <c r="L48" i="8"/>
  <c r="K48" i="8"/>
  <c r="J48" i="8"/>
  <c r="H48" i="8"/>
  <c r="N47" i="8"/>
  <c r="M47" i="8"/>
  <c r="L47" i="8"/>
  <c r="K47" i="8"/>
  <c r="J47" i="8"/>
  <c r="H47" i="8"/>
  <c r="N46" i="8"/>
  <c r="M46" i="8"/>
  <c r="L46" i="8"/>
  <c r="K46" i="8"/>
  <c r="J46" i="8"/>
  <c r="H46" i="8"/>
  <c r="N45" i="8"/>
  <c r="M45" i="8"/>
  <c r="L45" i="8"/>
  <c r="K45" i="8"/>
  <c r="J45" i="8"/>
  <c r="H45" i="8"/>
  <c r="N44" i="8"/>
  <c r="M44" i="8"/>
  <c r="L44" i="8"/>
  <c r="K44" i="8"/>
  <c r="J44" i="8"/>
  <c r="H44" i="8"/>
  <c r="N43" i="8"/>
  <c r="M43" i="8"/>
  <c r="L43" i="8"/>
  <c r="K43" i="8"/>
  <c r="J43" i="8"/>
  <c r="H43" i="8"/>
  <c r="N42" i="8"/>
  <c r="M42" i="8"/>
  <c r="L42" i="8"/>
  <c r="K42" i="8"/>
  <c r="J42" i="8"/>
  <c r="H42" i="8"/>
  <c r="N41" i="8"/>
  <c r="M41" i="8"/>
  <c r="L41" i="8"/>
  <c r="K41" i="8"/>
  <c r="J41" i="8"/>
  <c r="H41" i="8"/>
  <c r="N40" i="8"/>
  <c r="M40" i="8"/>
  <c r="L40" i="8"/>
  <c r="K40" i="8"/>
  <c r="J40" i="8"/>
  <c r="H40" i="8"/>
  <c r="N39" i="8"/>
  <c r="M39" i="8"/>
  <c r="L39" i="8"/>
  <c r="K39" i="8"/>
  <c r="J39" i="8"/>
  <c r="H39" i="8"/>
  <c r="N38" i="8"/>
  <c r="M38" i="8"/>
  <c r="L38" i="8"/>
  <c r="K38" i="8"/>
  <c r="J38" i="8"/>
  <c r="H38" i="8"/>
  <c r="O38" i="8" s="1"/>
  <c r="N37" i="8"/>
  <c r="M37" i="8"/>
  <c r="L37" i="8"/>
  <c r="K37" i="8"/>
  <c r="J37" i="8"/>
  <c r="H37" i="8"/>
  <c r="N36" i="8"/>
  <c r="M36" i="8"/>
  <c r="L36" i="8"/>
  <c r="K36" i="8"/>
  <c r="J36" i="8"/>
  <c r="H36" i="8"/>
  <c r="N35" i="8"/>
  <c r="M35" i="8"/>
  <c r="L35" i="8"/>
  <c r="K35" i="8"/>
  <c r="J35" i="8"/>
  <c r="H35" i="8"/>
  <c r="N34" i="8"/>
  <c r="M34" i="8"/>
  <c r="L34" i="8"/>
  <c r="K34" i="8"/>
  <c r="J34" i="8"/>
  <c r="H34" i="8"/>
  <c r="N33" i="8"/>
  <c r="M33" i="8"/>
  <c r="L33" i="8"/>
  <c r="K33" i="8"/>
  <c r="J33" i="8"/>
  <c r="H33" i="8"/>
  <c r="N32" i="8"/>
  <c r="M32" i="8"/>
  <c r="L32" i="8"/>
  <c r="K32" i="8"/>
  <c r="J32" i="8"/>
  <c r="H32" i="8"/>
  <c r="N31" i="8"/>
  <c r="M31" i="8"/>
  <c r="L31" i="8"/>
  <c r="K31" i="8"/>
  <c r="J31" i="8"/>
  <c r="H31" i="8"/>
  <c r="N30" i="8"/>
  <c r="M30" i="8"/>
  <c r="L30" i="8"/>
  <c r="K30" i="8"/>
  <c r="J30" i="8"/>
  <c r="H30" i="8"/>
  <c r="N29" i="8"/>
  <c r="M29" i="8"/>
  <c r="L29" i="8"/>
  <c r="K29" i="8"/>
  <c r="J29" i="8"/>
  <c r="H29" i="8"/>
  <c r="N28" i="8"/>
  <c r="M28" i="8"/>
  <c r="L28" i="8"/>
  <c r="K28" i="8"/>
  <c r="J28" i="8"/>
  <c r="H28" i="8"/>
  <c r="N27" i="8"/>
  <c r="M27" i="8"/>
  <c r="L27" i="8"/>
  <c r="K27" i="8"/>
  <c r="J27" i="8"/>
  <c r="H27" i="8"/>
  <c r="N26" i="8"/>
  <c r="M26" i="8"/>
  <c r="L26" i="8"/>
  <c r="K26" i="8"/>
  <c r="J26" i="8"/>
  <c r="H26" i="8"/>
  <c r="O26" i="8" s="1"/>
  <c r="AC26" i="8"/>
  <c r="N25" i="8"/>
  <c r="M25" i="8"/>
  <c r="L25" i="8"/>
  <c r="K25" i="8"/>
  <c r="J25" i="8"/>
  <c r="H25" i="8"/>
  <c r="AB25" i="8"/>
  <c r="N24" i="8"/>
  <c r="M24" i="8"/>
  <c r="L24" i="8"/>
  <c r="K24" i="8"/>
  <c r="J24" i="8"/>
  <c r="H24" i="8"/>
  <c r="O24" i="8" s="1"/>
  <c r="AA24" i="8"/>
  <c r="Y24" i="8"/>
  <c r="N23" i="8"/>
  <c r="M23" i="8"/>
  <c r="L23" i="8"/>
  <c r="K23" i="8"/>
  <c r="J23" i="8"/>
  <c r="H23" i="8"/>
  <c r="Z23" i="8"/>
  <c r="Z62" i="8" s="1" a="1"/>
  <c r="Z62" i="8" s="1"/>
  <c r="N22" i="8"/>
  <c r="M22" i="8"/>
  <c r="L22" i="8"/>
  <c r="K22" i="8"/>
  <c r="J22" i="8"/>
  <c r="H22" i="8"/>
  <c r="AC22" i="8"/>
  <c r="Y26" i="8" s="1"/>
  <c r="AB22" i="8"/>
  <c r="Y25" i="8" s="1"/>
  <c r="AA22" i="8"/>
  <c r="Z22" i="8"/>
  <c r="Y23" i="8" s="1"/>
  <c r="N21" i="8"/>
  <c r="M21" i="8"/>
  <c r="L21" i="8"/>
  <c r="K21" i="8"/>
  <c r="J21" i="8"/>
  <c r="H21" i="8"/>
  <c r="N20" i="8"/>
  <c r="M20" i="8"/>
  <c r="L20" i="8"/>
  <c r="K20" i="8"/>
  <c r="J20" i="8"/>
  <c r="H20" i="8"/>
  <c r="AD19" i="8"/>
  <c r="N19" i="8"/>
  <c r="M19" i="8"/>
  <c r="L19" i="8"/>
  <c r="K19" i="8"/>
  <c r="J19" i="8"/>
  <c r="H19" i="8"/>
  <c r="AD18" i="8"/>
  <c r="N18" i="8"/>
  <c r="M18" i="8"/>
  <c r="L18" i="8"/>
  <c r="K18" i="8"/>
  <c r="J18" i="8"/>
  <c r="H18" i="8"/>
  <c r="AD17" i="8"/>
  <c r="N17" i="8"/>
  <c r="M17" i="8"/>
  <c r="L17" i="8"/>
  <c r="K17" i="8"/>
  <c r="J17" i="8"/>
  <c r="S17" i="8" s="1"/>
  <c r="H17" i="8"/>
  <c r="AD16" i="8"/>
  <c r="N16" i="8"/>
  <c r="M16" i="8"/>
  <c r="L16" i="8"/>
  <c r="K16" i="8"/>
  <c r="J16" i="8"/>
  <c r="H16" i="8"/>
  <c r="N15" i="8"/>
  <c r="M15" i="8"/>
  <c r="L15" i="8"/>
  <c r="K15" i="8"/>
  <c r="J15" i="8"/>
  <c r="U15" i="8" s="1"/>
  <c r="H15" i="8"/>
  <c r="N14" i="8"/>
  <c r="M14" i="8"/>
  <c r="L14" i="8"/>
  <c r="K14" i="8"/>
  <c r="J14" i="8"/>
  <c r="H14" i="8"/>
  <c r="O14" i="8" s="1"/>
  <c r="N13" i="8"/>
  <c r="M13" i="8"/>
  <c r="L13" i="8"/>
  <c r="K13" i="8"/>
  <c r="J13" i="8"/>
  <c r="H13" i="8"/>
  <c r="Z12" i="8"/>
  <c r="N12" i="8"/>
  <c r="M12" i="8"/>
  <c r="L12" i="8"/>
  <c r="K12" i="8"/>
  <c r="J12" i="8"/>
  <c r="S12" i="8" s="1"/>
  <c r="H12" i="8"/>
  <c r="O12" i="8" s="1"/>
  <c r="N11" i="8"/>
  <c r="M11" i="8"/>
  <c r="L11" i="8"/>
  <c r="K11" i="8"/>
  <c r="J11" i="8"/>
  <c r="H11" i="8"/>
  <c r="N10" i="8"/>
  <c r="M10" i="8"/>
  <c r="L10" i="8"/>
  <c r="K10" i="8"/>
  <c r="J10" i="8"/>
  <c r="H10" i="8"/>
  <c r="N9" i="8"/>
  <c r="M9" i="8"/>
  <c r="L9" i="8"/>
  <c r="K9" i="8"/>
  <c r="J9" i="8"/>
  <c r="H9" i="8"/>
  <c r="N8" i="8"/>
  <c r="M8" i="8"/>
  <c r="L8" i="8"/>
  <c r="K8" i="8"/>
  <c r="J8" i="8"/>
  <c r="H8" i="8"/>
  <c r="N7" i="8"/>
  <c r="M7" i="8"/>
  <c r="L7" i="8"/>
  <c r="K7" i="8"/>
  <c r="J7" i="8"/>
  <c r="H7" i="8"/>
  <c r="O8" i="8" s="1"/>
  <c r="N6" i="8"/>
  <c r="M6" i="8"/>
  <c r="L6" i="8"/>
  <c r="K6" i="8"/>
  <c r="J6" i="8"/>
  <c r="H6" i="8"/>
  <c r="N5" i="8"/>
  <c r="M5" i="8"/>
  <c r="L5" i="8"/>
  <c r="K5" i="8"/>
  <c r="J5" i="8"/>
  <c r="H5" i="8"/>
  <c r="N4" i="8"/>
  <c r="M4" i="8"/>
  <c r="L4" i="8"/>
  <c r="K4" i="8"/>
  <c r="J4" i="8"/>
  <c r="H4" i="8"/>
  <c r="N3" i="8"/>
  <c r="M3" i="8"/>
  <c r="L3" i="8"/>
  <c r="K3" i="8"/>
  <c r="J3" i="8"/>
  <c r="H3" i="8"/>
  <c r="H2" i="8"/>
  <c r="Y28" i="7"/>
  <c r="Y52" i="7" a="1"/>
  <c r="Y52" i="7" s="1"/>
  <c r="V3" i="7" s="1"/>
  <c r="U3" i="7"/>
  <c r="Q4" i="7"/>
  <c r="Q3" i="7"/>
  <c r="Y50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AC19" i="7"/>
  <c r="N254" i="7"/>
  <c r="M254" i="7"/>
  <c r="L254" i="7"/>
  <c r="K254" i="7"/>
  <c r="J254" i="7"/>
  <c r="H254" i="7"/>
  <c r="O254" i="7" s="1"/>
  <c r="R253" i="7"/>
  <c r="N253" i="7"/>
  <c r="M253" i="7"/>
  <c r="L253" i="7"/>
  <c r="K253" i="7"/>
  <c r="J253" i="7"/>
  <c r="S253" i="7" s="1"/>
  <c r="H253" i="7"/>
  <c r="N252" i="7"/>
  <c r="M252" i="7"/>
  <c r="L252" i="7"/>
  <c r="K252" i="7"/>
  <c r="S252" i="7" s="1"/>
  <c r="J252" i="7"/>
  <c r="H252" i="7"/>
  <c r="N251" i="7"/>
  <c r="M251" i="7"/>
  <c r="L251" i="7"/>
  <c r="K251" i="7"/>
  <c r="J251" i="7"/>
  <c r="H251" i="7"/>
  <c r="N250" i="7"/>
  <c r="M250" i="7"/>
  <c r="L250" i="7"/>
  <c r="K250" i="7"/>
  <c r="J250" i="7"/>
  <c r="H250" i="7"/>
  <c r="N249" i="7"/>
  <c r="M249" i="7"/>
  <c r="L249" i="7"/>
  <c r="K249" i="7"/>
  <c r="J249" i="7"/>
  <c r="H249" i="7"/>
  <c r="N248" i="7"/>
  <c r="M248" i="7"/>
  <c r="L248" i="7"/>
  <c r="K248" i="7"/>
  <c r="J248" i="7"/>
  <c r="H248" i="7"/>
  <c r="N247" i="7"/>
  <c r="M247" i="7"/>
  <c r="L247" i="7"/>
  <c r="K247" i="7"/>
  <c r="J247" i="7"/>
  <c r="H247" i="7"/>
  <c r="N246" i="7"/>
  <c r="M246" i="7"/>
  <c r="L246" i="7"/>
  <c r="K246" i="7"/>
  <c r="J246" i="7"/>
  <c r="H246" i="7"/>
  <c r="N245" i="7"/>
  <c r="M245" i="7"/>
  <c r="L245" i="7"/>
  <c r="K245" i="7"/>
  <c r="J245" i="7"/>
  <c r="H245" i="7"/>
  <c r="N244" i="7"/>
  <c r="M244" i="7"/>
  <c r="L244" i="7"/>
  <c r="K244" i="7"/>
  <c r="J244" i="7"/>
  <c r="H244" i="7"/>
  <c r="O244" i="7" s="1"/>
  <c r="N243" i="7"/>
  <c r="M243" i="7"/>
  <c r="L243" i="7"/>
  <c r="K243" i="7"/>
  <c r="J243" i="7"/>
  <c r="H243" i="7"/>
  <c r="N242" i="7"/>
  <c r="M242" i="7"/>
  <c r="L242" i="7"/>
  <c r="K242" i="7"/>
  <c r="J242" i="7"/>
  <c r="H242" i="7"/>
  <c r="N241" i="7"/>
  <c r="M241" i="7"/>
  <c r="L241" i="7"/>
  <c r="K241" i="7"/>
  <c r="J241" i="7"/>
  <c r="H241" i="7"/>
  <c r="Q240" i="7"/>
  <c r="N240" i="7"/>
  <c r="M240" i="7"/>
  <c r="L240" i="7"/>
  <c r="K240" i="7"/>
  <c r="J240" i="7"/>
  <c r="H240" i="7"/>
  <c r="O241" i="7" s="1"/>
  <c r="N239" i="7"/>
  <c r="M239" i="7"/>
  <c r="L239" i="7"/>
  <c r="K239" i="7"/>
  <c r="J239" i="7"/>
  <c r="H239" i="7"/>
  <c r="N238" i="7"/>
  <c r="M238" i="7"/>
  <c r="L238" i="7"/>
  <c r="K238" i="7"/>
  <c r="J238" i="7"/>
  <c r="H238" i="7"/>
  <c r="O238" i="7" s="1"/>
  <c r="N237" i="7"/>
  <c r="M237" i="7"/>
  <c r="L237" i="7"/>
  <c r="K237" i="7"/>
  <c r="J237" i="7"/>
  <c r="H237" i="7"/>
  <c r="N236" i="7"/>
  <c r="M236" i="7"/>
  <c r="L236" i="7"/>
  <c r="K236" i="7"/>
  <c r="J236" i="7"/>
  <c r="H236" i="7"/>
  <c r="N235" i="7"/>
  <c r="M235" i="7"/>
  <c r="L235" i="7"/>
  <c r="K235" i="7"/>
  <c r="R235" i="7" s="1"/>
  <c r="J235" i="7"/>
  <c r="H235" i="7"/>
  <c r="O235" i="7" s="1"/>
  <c r="N234" i="7"/>
  <c r="M234" i="7"/>
  <c r="L234" i="7"/>
  <c r="K234" i="7"/>
  <c r="Q234" i="7" s="1"/>
  <c r="J234" i="7"/>
  <c r="H234" i="7"/>
  <c r="N233" i="7"/>
  <c r="M233" i="7"/>
  <c r="L233" i="7"/>
  <c r="K233" i="7"/>
  <c r="S233" i="7" s="1"/>
  <c r="J233" i="7"/>
  <c r="H233" i="7"/>
  <c r="O234" i="7" s="1"/>
  <c r="N232" i="7"/>
  <c r="M232" i="7"/>
  <c r="L232" i="7"/>
  <c r="K232" i="7"/>
  <c r="Q232" i="7" s="1"/>
  <c r="J232" i="7"/>
  <c r="H232" i="7"/>
  <c r="N231" i="7"/>
  <c r="M231" i="7"/>
  <c r="L231" i="7"/>
  <c r="K231" i="7"/>
  <c r="J231" i="7"/>
  <c r="H231" i="7"/>
  <c r="N230" i="7"/>
  <c r="M230" i="7"/>
  <c r="L230" i="7"/>
  <c r="K230" i="7"/>
  <c r="J230" i="7"/>
  <c r="H230" i="7"/>
  <c r="N229" i="7"/>
  <c r="M229" i="7"/>
  <c r="L229" i="7"/>
  <c r="K229" i="7"/>
  <c r="J229" i="7"/>
  <c r="H229" i="7"/>
  <c r="N228" i="7"/>
  <c r="M228" i="7"/>
  <c r="L228" i="7"/>
  <c r="K228" i="7"/>
  <c r="Q228" i="7" s="1"/>
  <c r="J228" i="7"/>
  <c r="H228" i="7"/>
  <c r="O228" i="7" s="1"/>
  <c r="N227" i="7"/>
  <c r="M227" i="7"/>
  <c r="L227" i="7"/>
  <c r="K227" i="7"/>
  <c r="J227" i="7"/>
  <c r="H227" i="7"/>
  <c r="O226" i="7"/>
  <c r="N226" i="7"/>
  <c r="M226" i="7"/>
  <c r="L226" i="7"/>
  <c r="K226" i="7"/>
  <c r="J226" i="7"/>
  <c r="H226" i="7"/>
  <c r="N225" i="7"/>
  <c r="M225" i="7"/>
  <c r="L225" i="7"/>
  <c r="K225" i="7"/>
  <c r="J225" i="7"/>
  <c r="H225" i="7"/>
  <c r="N224" i="7"/>
  <c r="M224" i="7"/>
  <c r="L224" i="7"/>
  <c r="K224" i="7"/>
  <c r="J224" i="7"/>
  <c r="H224" i="7"/>
  <c r="N223" i="7"/>
  <c r="M223" i="7"/>
  <c r="L223" i="7"/>
  <c r="K223" i="7"/>
  <c r="J223" i="7"/>
  <c r="H223" i="7"/>
  <c r="N222" i="7"/>
  <c r="M222" i="7"/>
  <c r="L222" i="7"/>
  <c r="K222" i="7"/>
  <c r="J222" i="7"/>
  <c r="H222" i="7"/>
  <c r="N221" i="7"/>
  <c r="M221" i="7"/>
  <c r="L221" i="7"/>
  <c r="K221" i="7"/>
  <c r="J221" i="7"/>
  <c r="H221" i="7"/>
  <c r="N220" i="7"/>
  <c r="M220" i="7"/>
  <c r="L220" i="7"/>
  <c r="K220" i="7"/>
  <c r="J220" i="7"/>
  <c r="H220" i="7"/>
  <c r="O219" i="7"/>
  <c r="N219" i="7"/>
  <c r="M219" i="7"/>
  <c r="L219" i="7"/>
  <c r="K219" i="7"/>
  <c r="J219" i="7"/>
  <c r="H219" i="7"/>
  <c r="N218" i="7"/>
  <c r="M218" i="7"/>
  <c r="L218" i="7"/>
  <c r="K218" i="7"/>
  <c r="J218" i="7"/>
  <c r="H218" i="7"/>
  <c r="N217" i="7"/>
  <c r="M217" i="7"/>
  <c r="L217" i="7"/>
  <c r="K217" i="7"/>
  <c r="J217" i="7"/>
  <c r="H217" i="7"/>
  <c r="N216" i="7"/>
  <c r="M216" i="7"/>
  <c r="L216" i="7"/>
  <c r="K216" i="7"/>
  <c r="J216" i="7"/>
  <c r="H216" i="7"/>
  <c r="N215" i="7"/>
  <c r="M215" i="7"/>
  <c r="L215" i="7"/>
  <c r="K215" i="7"/>
  <c r="J215" i="7"/>
  <c r="H215" i="7"/>
  <c r="O215" i="7" s="1"/>
  <c r="O214" i="7"/>
  <c r="N214" i="7"/>
  <c r="M214" i="7"/>
  <c r="L214" i="7"/>
  <c r="R214" i="7" s="1"/>
  <c r="K214" i="7"/>
  <c r="J214" i="7"/>
  <c r="H214" i="7"/>
  <c r="S213" i="7"/>
  <c r="N213" i="7"/>
  <c r="M213" i="7"/>
  <c r="L213" i="7"/>
  <c r="K213" i="7"/>
  <c r="J213" i="7"/>
  <c r="H213" i="7"/>
  <c r="N212" i="7"/>
  <c r="M212" i="7"/>
  <c r="L212" i="7"/>
  <c r="K212" i="7"/>
  <c r="J212" i="7"/>
  <c r="H212" i="7"/>
  <c r="N211" i="7"/>
  <c r="M211" i="7"/>
  <c r="L211" i="7"/>
  <c r="K211" i="7"/>
  <c r="J211" i="7"/>
  <c r="H211" i="7"/>
  <c r="N210" i="7"/>
  <c r="M210" i="7"/>
  <c r="L210" i="7"/>
  <c r="K210" i="7"/>
  <c r="J210" i="7"/>
  <c r="H210" i="7"/>
  <c r="N209" i="7"/>
  <c r="M209" i="7"/>
  <c r="L209" i="7"/>
  <c r="K209" i="7"/>
  <c r="J209" i="7"/>
  <c r="H209" i="7"/>
  <c r="N208" i="7"/>
  <c r="M208" i="7"/>
  <c r="L208" i="7"/>
  <c r="K208" i="7"/>
  <c r="J208" i="7"/>
  <c r="H208" i="7"/>
  <c r="N207" i="7"/>
  <c r="M207" i="7"/>
  <c r="L207" i="7"/>
  <c r="R207" i="7" s="1"/>
  <c r="K207" i="7"/>
  <c r="J207" i="7"/>
  <c r="H207" i="7"/>
  <c r="N206" i="7"/>
  <c r="M206" i="7"/>
  <c r="L206" i="7"/>
  <c r="K206" i="7"/>
  <c r="J206" i="7"/>
  <c r="H206" i="7"/>
  <c r="O206" i="7" s="1"/>
  <c r="N205" i="7"/>
  <c r="M205" i="7"/>
  <c r="L205" i="7"/>
  <c r="Q205" i="7" s="1"/>
  <c r="K205" i="7"/>
  <c r="J205" i="7"/>
  <c r="H205" i="7"/>
  <c r="N204" i="7"/>
  <c r="M204" i="7"/>
  <c r="L204" i="7"/>
  <c r="K204" i="7"/>
  <c r="J204" i="7"/>
  <c r="H204" i="7"/>
  <c r="O204" i="7" s="1"/>
  <c r="N203" i="7"/>
  <c r="M203" i="7"/>
  <c r="L203" i="7"/>
  <c r="K203" i="7"/>
  <c r="J203" i="7"/>
  <c r="H203" i="7"/>
  <c r="N202" i="7"/>
  <c r="M202" i="7"/>
  <c r="L202" i="7"/>
  <c r="K202" i="7"/>
  <c r="J202" i="7"/>
  <c r="H202" i="7"/>
  <c r="N201" i="7"/>
  <c r="M201" i="7"/>
  <c r="L201" i="7"/>
  <c r="K201" i="7"/>
  <c r="J201" i="7"/>
  <c r="H201" i="7"/>
  <c r="O201" i="7" s="1"/>
  <c r="N200" i="7"/>
  <c r="M200" i="7"/>
  <c r="L200" i="7"/>
  <c r="K200" i="7"/>
  <c r="J200" i="7"/>
  <c r="H200" i="7"/>
  <c r="N199" i="7"/>
  <c r="M199" i="7"/>
  <c r="L199" i="7"/>
  <c r="S199" i="7" s="1"/>
  <c r="K199" i="7"/>
  <c r="J199" i="7"/>
  <c r="H199" i="7"/>
  <c r="O199" i="7" s="1"/>
  <c r="N198" i="7"/>
  <c r="M198" i="7"/>
  <c r="L198" i="7"/>
  <c r="K198" i="7"/>
  <c r="J198" i="7"/>
  <c r="H198" i="7"/>
  <c r="N197" i="7"/>
  <c r="M197" i="7"/>
  <c r="L197" i="7"/>
  <c r="K197" i="7"/>
  <c r="J197" i="7"/>
  <c r="H197" i="7"/>
  <c r="N196" i="7"/>
  <c r="M196" i="7"/>
  <c r="L196" i="7"/>
  <c r="K196" i="7"/>
  <c r="J196" i="7"/>
  <c r="H196" i="7"/>
  <c r="N195" i="7"/>
  <c r="M195" i="7"/>
  <c r="L195" i="7"/>
  <c r="K195" i="7"/>
  <c r="J195" i="7"/>
  <c r="H195" i="7"/>
  <c r="N194" i="7"/>
  <c r="M194" i="7"/>
  <c r="L194" i="7"/>
  <c r="K194" i="7"/>
  <c r="J194" i="7"/>
  <c r="H194" i="7"/>
  <c r="N193" i="7"/>
  <c r="M193" i="7"/>
  <c r="L193" i="7"/>
  <c r="K193" i="7"/>
  <c r="J193" i="7"/>
  <c r="H193" i="7"/>
  <c r="O194" i="7" s="1"/>
  <c r="N192" i="7"/>
  <c r="M192" i="7"/>
  <c r="L192" i="7"/>
  <c r="K192" i="7"/>
  <c r="J192" i="7"/>
  <c r="H192" i="7"/>
  <c r="N191" i="7"/>
  <c r="M191" i="7"/>
  <c r="L191" i="7"/>
  <c r="K191" i="7"/>
  <c r="J191" i="7"/>
  <c r="H191" i="7"/>
  <c r="O191" i="7" s="1"/>
  <c r="N190" i="7"/>
  <c r="M190" i="7"/>
  <c r="L190" i="7"/>
  <c r="K190" i="7"/>
  <c r="J190" i="7"/>
  <c r="H190" i="7"/>
  <c r="N189" i="7"/>
  <c r="M189" i="7"/>
  <c r="L189" i="7"/>
  <c r="K189" i="7"/>
  <c r="J189" i="7"/>
  <c r="H189" i="7"/>
  <c r="N188" i="7"/>
  <c r="M188" i="7"/>
  <c r="L188" i="7"/>
  <c r="K188" i="7"/>
  <c r="J188" i="7"/>
  <c r="H188" i="7"/>
  <c r="O188" i="7" s="1"/>
  <c r="N187" i="7"/>
  <c r="M187" i="7"/>
  <c r="L187" i="7"/>
  <c r="K187" i="7"/>
  <c r="J187" i="7"/>
  <c r="H187" i="7"/>
  <c r="N186" i="7"/>
  <c r="M186" i="7"/>
  <c r="L186" i="7"/>
  <c r="K186" i="7"/>
  <c r="J186" i="7"/>
  <c r="H186" i="7"/>
  <c r="O186" i="7" s="1"/>
  <c r="N185" i="7"/>
  <c r="M185" i="7"/>
  <c r="L185" i="7"/>
  <c r="K185" i="7"/>
  <c r="J185" i="7"/>
  <c r="H185" i="7"/>
  <c r="O184" i="7"/>
  <c r="N184" i="7"/>
  <c r="M184" i="7"/>
  <c r="L184" i="7"/>
  <c r="K184" i="7"/>
  <c r="J184" i="7"/>
  <c r="H184" i="7"/>
  <c r="O185" i="7" s="1"/>
  <c r="N183" i="7"/>
  <c r="M183" i="7"/>
  <c r="L183" i="7"/>
  <c r="K183" i="7"/>
  <c r="J183" i="7"/>
  <c r="H183" i="7"/>
  <c r="O183" i="7" s="1"/>
  <c r="N182" i="7"/>
  <c r="M182" i="7"/>
  <c r="L182" i="7"/>
  <c r="K182" i="7"/>
  <c r="J182" i="7"/>
  <c r="H182" i="7"/>
  <c r="O182" i="7" s="1"/>
  <c r="N181" i="7"/>
  <c r="M181" i="7"/>
  <c r="L181" i="7"/>
  <c r="K181" i="7"/>
  <c r="J181" i="7"/>
  <c r="H181" i="7"/>
  <c r="N180" i="7"/>
  <c r="M180" i="7"/>
  <c r="L180" i="7"/>
  <c r="K180" i="7"/>
  <c r="S180" i="7" s="1"/>
  <c r="J180" i="7"/>
  <c r="H180" i="7"/>
  <c r="N179" i="7"/>
  <c r="M179" i="7"/>
  <c r="L179" i="7"/>
  <c r="K179" i="7"/>
  <c r="J179" i="7"/>
  <c r="H179" i="7"/>
  <c r="O179" i="7" s="1"/>
  <c r="N178" i="7"/>
  <c r="M178" i="7"/>
  <c r="L178" i="7"/>
  <c r="K178" i="7"/>
  <c r="J178" i="7"/>
  <c r="H178" i="7"/>
  <c r="N177" i="7"/>
  <c r="M177" i="7"/>
  <c r="L177" i="7"/>
  <c r="K177" i="7"/>
  <c r="J177" i="7"/>
  <c r="H177" i="7"/>
  <c r="O177" i="7" s="1"/>
  <c r="N176" i="7"/>
  <c r="M176" i="7"/>
  <c r="L176" i="7"/>
  <c r="K176" i="7"/>
  <c r="J176" i="7"/>
  <c r="H176" i="7"/>
  <c r="N175" i="7"/>
  <c r="M175" i="7"/>
  <c r="L175" i="7"/>
  <c r="K175" i="7"/>
  <c r="R175" i="7" s="1"/>
  <c r="J175" i="7"/>
  <c r="H175" i="7"/>
  <c r="N174" i="7"/>
  <c r="M174" i="7"/>
  <c r="L174" i="7"/>
  <c r="K174" i="7"/>
  <c r="J174" i="7"/>
  <c r="H174" i="7"/>
  <c r="O174" i="7" s="1"/>
  <c r="N173" i="7"/>
  <c r="M173" i="7"/>
  <c r="L173" i="7"/>
  <c r="K173" i="7"/>
  <c r="J173" i="7"/>
  <c r="H173" i="7"/>
  <c r="N172" i="7"/>
  <c r="M172" i="7"/>
  <c r="L172" i="7"/>
  <c r="K172" i="7"/>
  <c r="J172" i="7"/>
  <c r="R172" i="7" s="1"/>
  <c r="H172" i="7"/>
  <c r="N171" i="7"/>
  <c r="M171" i="7"/>
  <c r="L171" i="7"/>
  <c r="K171" i="7"/>
  <c r="J171" i="7"/>
  <c r="H171" i="7"/>
  <c r="N170" i="7"/>
  <c r="M170" i="7"/>
  <c r="L170" i="7"/>
  <c r="K170" i="7"/>
  <c r="J170" i="7"/>
  <c r="H170" i="7"/>
  <c r="N169" i="7"/>
  <c r="M169" i="7"/>
  <c r="L169" i="7"/>
  <c r="K169" i="7"/>
  <c r="J169" i="7"/>
  <c r="H169" i="7"/>
  <c r="O169" i="7" s="1"/>
  <c r="N168" i="7"/>
  <c r="M168" i="7"/>
  <c r="L168" i="7"/>
  <c r="K168" i="7"/>
  <c r="J168" i="7"/>
  <c r="H168" i="7"/>
  <c r="N167" i="7"/>
  <c r="M167" i="7"/>
  <c r="L167" i="7"/>
  <c r="K167" i="7"/>
  <c r="J167" i="7"/>
  <c r="R167" i="7" s="1"/>
  <c r="H167" i="7"/>
  <c r="N166" i="7"/>
  <c r="M166" i="7"/>
  <c r="L166" i="7"/>
  <c r="K166" i="7"/>
  <c r="J166" i="7"/>
  <c r="H166" i="7"/>
  <c r="N165" i="7"/>
  <c r="M165" i="7"/>
  <c r="L165" i="7"/>
  <c r="K165" i="7"/>
  <c r="J165" i="7"/>
  <c r="H165" i="7"/>
  <c r="N164" i="7"/>
  <c r="M164" i="7"/>
  <c r="L164" i="7"/>
  <c r="K164" i="7"/>
  <c r="J164" i="7"/>
  <c r="H164" i="7"/>
  <c r="O164" i="7" s="1"/>
  <c r="N163" i="7"/>
  <c r="M163" i="7"/>
  <c r="L163" i="7"/>
  <c r="K163" i="7"/>
  <c r="J163" i="7"/>
  <c r="H163" i="7"/>
  <c r="O163" i="7" s="1"/>
  <c r="N162" i="7"/>
  <c r="M162" i="7"/>
  <c r="L162" i="7"/>
  <c r="K162" i="7"/>
  <c r="J162" i="7"/>
  <c r="H162" i="7"/>
  <c r="O162" i="7" s="1"/>
  <c r="N161" i="7"/>
  <c r="M161" i="7"/>
  <c r="L161" i="7"/>
  <c r="K161" i="7"/>
  <c r="J161" i="7"/>
  <c r="H161" i="7"/>
  <c r="N160" i="7"/>
  <c r="M160" i="7"/>
  <c r="L160" i="7"/>
  <c r="K160" i="7"/>
  <c r="J160" i="7"/>
  <c r="H160" i="7"/>
  <c r="O161" i="7" s="1"/>
  <c r="N159" i="7"/>
  <c r="M159" i="7"/>
  <c r="L159" i="7"/>
  <c r="K159" i="7"/>
  <c r="J159" i="7"/>
  <c r="S159" i="7" s="1"/>
  <c r="H159" i="7"/>
  <c r="O159" i="7" s="1"/>
  <c r="N158" i="7"/>
  <c r="M158" i="7"/>
  <c r="L158" i="7"/>
  <c r="K158" i="7"/>
  <c r="J158" i="7"/>
  <c r="H158" i="7"/>
  <c r="N157" i="7"/>
  <c r="M157" i="7"/>
  <c r="L157" i="7"/>
  <c r="K157" i="7"/>
  <c r="J157" i="7"/>
  <c r="H157" i="7"/>
  <c r="N156" i="7"/>
  <c r="M156" i="7"/>
  <c r="L156" i="7"/>
  <c r="K156" i="7"/>
  <c r="J156" i="7"/>
  <c r="H156" i="7"/>
  <c r="N155" i="7"/>
  <c r="M155" i="7"/>
  <c r="L155" i="7"/>
  <c r="K155" i="7"/>
  <c r="J155" i="7"/>
  <c r="H155" i="7"/>
  <c r="N154" i="7"/>
  <c r="M154" i="7"/>
  <c r="L154" i="7"/>
  <c r="K154" i="7"/>
  <c r="Q154" i="7" s="1"/>
  <c r="J154" i="7"/>
  <c r="H154" i="7"/>
  <c r="O154" i="7" s="1"/>
  <c r="N153" i="7"/>
  <c r="M153" i="7"/>
  <c r="L153" i="7"/>
  <c r="K153" i="7"/>
  <c r="J153" i="7"/>
  <c r="H153" i="7"/>
  <c r="N152" i="7"/>
  <c r="M152" i="7"/>
  <c r="L152" i="7"/>
  <c r="K152" i="7"/>
  <c r="J152" i="7"/>
  <c r="H152" i="7"/>
  <c r="N151" i="7"/>
  <c r="M151" i="7"/>
  <c r="L151" i="7"/>
  <c r="K151" i="7"/>
  <c r="J151" i="7"/>
  <c r="H151" i="7"/>
  <c r="O151" i="7" s="1"/>
  <c r="N150" i="7"/>
  <c r="M150" i="7"/>
  <c r="L150" i="7"/>
  <c r="K150" i="7"/>
  <c r="J150" i="7"/>
  <c r="H150" i="7"/>
  <c r="N149" i="7"/>
  <c r="M149" i="7"/>
  <c r="L149" i="7"/>
  <c r="K149" i="7"/>
  <c r="J149" i="7"/>
  <c r="H149" i="7"/>
  <c r="O149" i="7" s="1"/>
  <c r="N148" i="7"/>
  <c r="M148" i="7"/>
  <c r="L148" i="7"/>
  <c r="K148" i="7"/>
  <c r="J148" i="7"/>
  <c r="H148" i="7"/>
  <c r="N147" i="7"/>
  <c r="M147" i="7"/>
  <c r="L147" i="7"/>
  <c r="K147" i="7"/>
  <c r="J147" i="7"/>
  <c r="R147" i="7" s="1"/>
  <c r="H147" i="7"/>
  <c r="N146" i="7"/>
  <c r="M146" i="7"/>
  <c r="L146" i="7"/>
  <c r="K146" i="7"/>
  <c r="J146" i="7"/>
  <c r="H146" i="7"/>
  <c r="O146" i="7" s="1"/>
  <c r="N145" i="7"/>
  <c r="M145" i="7"/>
  <c r="L145" i="7"/>
  <c r="K145" i="7"/>
  <c r="J145" i="7"/>
  <c r="H145" i="7"/>
  <c r="N144" i="7"/>
  <c r="M144" i="7"/>
  <c r="L144" i="7"/>
  <c r="K144" i="7"/>
  <c r="J144" i="7"/>
  <c r="H144" i="7"/>
  <c r="N143" i="7"/>
  <c r="M143" i="7"/>
  <c r="L143" i="7"/>
  <c r="K143" i="7"/>
  <c r="J143" i="7"/>
  <c r="H143" i="7"/>
  <c r="N142" i="7"/>
  <c r="M142" i="7"/>
  <c r="L142" i="7"/>
  <c r="K142" i="7"/>
  <c r="J142" i="7"/>
  <c r="H142" i="7"/>
  <c r="N141" i="7"/>
  <c r="M141" i="7"/>
  <c r="R141" i="7" s="1"/>
  <c r="L141" i="7"/>
  <c r="K141" i="7"/>
  <c r="J141" i="7"/>
  <c r="Q141" i="7" s="1"/>
  <c r="H141" i="7"/>
  <c r="O141" i="7" s="1"/>
  <c r="N140" i="7"/>
  <c r="M140" i="7"/>
  <c r="L140" i="7"/>
  <c r="K140" i="7"/>
  <c r="J140" i="7"/>
  <c r="Q140" i="7" s="1"/>
  <c r="H140" i="7"/>
  <c r="O139" i="7"/>
  <c r="N139" i="7"/>
  <c r="M139" i="7"/>
  <c r="L139" i="7"/>
  <c r="K139" i="7"/>
  <c r="R139" i="7" s="1"/>
  <c r="J139" i="7"/>
  <c r="H139" i="7"/>
  <c r="N138" i="7"/>
  <c r="M138" i="7"/>
  <c r="L138" i="7"/>
  <c r="K138" i="7"/>
  <c r="J138" i="7"/>
  <c r="H138" i="7"/>
  <c r="N137" i="7"/>
  <c r="M137" i="7"/>
  <c r="L137" i="7"/>
  <c r="K137" i="7"/>
  <c r="J137" i="7"/>
  <c r="H137" i="7"/>
  <c r="N136" i="7"/>
  <c r="M136" i="7"/>
  <c r="L136" i="7"/>
  <c r="K136" i="7"/>
  <c r="J136" i="7"/>
  <c r="H136" i="7"/>
  <c r="N135" i="7"/>
  <c r="M135" i="7"/>
  <c r="L135" i="7"/>
  <c r="K135" i="7"/>
  <c r="J135" i="7"/>
  <c r="H135" i="7"/>
  <c r="N134" i="7"/>
  <c r="M134" i="7"/>
  <c r="L134" i="7"/>
  <c r="K134" i="7"/>
  <c r="J134" i="7"/>
  <c r="H134" i="7"/>
  <c r="N133" i="7"/>
  <c r="M133" i="7"/>
  <c r="L133" i="7"/>
  <c r="K133" i="7"/>
  <c r="J133" i="7"/>
  <c r="H133" i="7"/>
  <c r="N132" i="7"/>
  <c r="M132" i="7"/>
  <c r="L132" i="7"/>
  <c r="K132" i="7"/>
  <c r="J132" i="7"/>
  <c r="H132" i="7"/>
  <c r="N131" i="7"/>
  <c r="M131" i="7"/>
  <c r="L131" i="7"/>
  <c r="K131" i="7"/>
  <c r="J131" i="7"/>
  <c r="H131" i="7"/>
  <c r="N130" i="7"/>
  <c r="M130" i="7"/>
  <c r="L130" i="7"/>
  <c r="K130" i="7"/>
  <c r="J130" i="7"/>
  <c r="H130" i="7"/>
  <c r="N129" i="7"/>
  <c r="M129" i="7"/>
  <c r="L129" i="7"/>
  <c r="K129" i="7"/>
  <c r="J129" i="7"/>
  <c r="H129" i="7"/>
  <c r="N128" i="7"/>
  <c r="M128" i="7"/>
  <c r="L128" i="7"/>
  <c r="K128" i="7"/>
  <c r="J128" i="7"/>
  <c r="H128" i="7"/>
  <c r="N127" i="7"/>
  <c r="M127" i="7"/>
  <c r="L127" i="7"/>
  <c r="K127" i="7"/>
  <c r="J127" i="7"/>
  <c r="H127" i="7"/>
  <c r="N126" i="7"/>
  <c r="M126" i="7"/>
  <c r="L126" i="7"/>
  <c r="K126" i="7"/>
  <c r="J126" i="7"/>
  <c r="H126" i="7"/>
  <c r="N125" i="7"/>
  <c r="M125" i="7"/>
  <c r="L125" i="7"/>
  <c r="K125" i="7"/>
  <c r="J125" i="7"/>
  <c r="H125" i="7"/>
  <c r="N124" i="7"/>
  <c r="M124" i="7"/>
  <c r="L124" i="7"/>
  <c r="K124" i="7"/>
  <c r="J124" i="7"/>
  <c r="H124" i="7"/>
  <c r="N123" i="7"/>
  <c r="M123" i="7"/>
  <c r="L123" i="7"/>
  <c r="K123" i="7"/>
  <c r="J123" i="7"/>
  <c r="H123" i="7"/>
  <c r="N122" i="7"/>
  <c r="M122" i="7"/>
  <c r="L122" i="7"/>
  <c r="K122" i="7"/>
  <c r="J122" i="7"/>
  <c r="H122" i="7"/>
  <c r="N121" i="7"/>
  <c r="M121" i="7"/>
  <c r="L121" i="7"/>
  <c r="K121" i="7"/>
  <c r="J121" i="7"/>
  <c r="H121" i="7"/>
  <c r="N120" i="7"/>
  <c r="M120" i="7"/>
  <c r="L120" i="7"/>
  <c r="K120" i="7"/>
  <c r="J120" i="7"/>
  <c r="H120" i="7"/>
  <c r="O121" i="7" s="1"/>
  <c r="N119" i="7"/>
  <c r="M119" i="7"/>
  <c r="L119" i="7"/>
  <c r="K119" i="7"/>
  <c r="J119" i="7"/>
  <c r="H119" i="7"/>
  <c r="N118" i="7"/>
  <c r="M118" i="7"/>
  <c r="L118" i="7"/>
  <c r="K118" i="7"/>
  <c r="J118" i="7"/>
  <c r="H118" i="7"/>
  <c r="N117" i="7"/>
  <c r="M117" i="7"/>
  <c r="L117" i="7"/>
  <c r="K117" i="7"/>
  <c r="J117" i="7"/>
  <c r="H117" i="7"/>
  <c r="O117" i="7" s="1"/>
  <c r="N116" i="7"/>
  <c r="M116" i="7"/>
  <c r="L116" i="7"/>
  <c r="K116" i="7"/>
  <c r="J116" i="7"/>
  <c r="H116" i="7"/>
  <c r="N115" i="7"/>
  <c r="M115" i="7"/>
  <c r="L115" i="7"/>
  <c r="K115" i="7"/>
  <c r="J115" i="7"/>
  <c r="R115" i="7" s="1"/>
  <c r="H115" i="7"/>
  <c r="S114" i="7"/>
  <c r="N114" i="7"/>
  <c r="M114" i="7"/>
  <c r="L114" i="7"/>
  <c r="K114" i="7"/>
  <c r="R114" i="7" s="1"/>
  <c r="J114" i="7"/>
  <c r="H114" i="7"/>
  <c r="N113" i="7"/>
  <c r="M113" i="7"/>
  <c r="L113" i="7"/>
  <c r="K113" i="7"/>
  <c r="S113" i="7" s="1"/>
  <c r="J113" i="7"/>
  <c r="H113" i="7"/>
  <c r="N112" i="7"/>
  <c r="M112" i="7"/>
  <c r="L112" i="7"/>
  <c r="K112" i="7"/>
  <c r="J112" i="7"/>
  <c r="H112" i="7"/>
  <c r="N111" i="7"/>
  <c r="M111" i="7"/>
  <c r="L111" i="7"/>
  <c r="K111" i="7"/>
  <c r="J111" i="7"/>
  <c r="H111" i="7"/>
  <c r="N110" i="7"/>
  <c r="M110" i="7"/>
  <c r="L110" i="7"/>
  <c r="K110" i="7"/>
  <c r="J110" i="7"/>
  <c r="H110" i="7"/>
  <c r="N109" i="7"/>
  <c r="M109" i="7"/>
  <c r="L109" i="7"/>
  <c r="K109" i="7"/>
  <c r="J109" i="7"/>
  <c r="H109" i="7"/>
  <c r="O109" i="7" s="1"/>
  <c r="N108" i="7"/>
  <c r="M108" i="7"/>
  <c r="L108" i="7"/>
  <c r="K108" i="7"/>
  <c r="J108" i="7"/>
  <c r="H108" i="7"/>
  <c r="N107" i="7"/>
  <c r="M107" i="7"/>
  <c r="L107" i="7"/>
  <c r="K107" i="7"/>
  <c r="J107" i="7"/>
  <c r="H107" i="7"/>
  <c r="N106" i="7"/>
  <c r="M106" i="7"/>
  <c r="L106" i="7"/>
  <c r="K106" i="7"/>
  <c r="Q106" i="7" s="1"/>
  <c r="J106" i="7"/>
  <c r="H106" i="7"/>
  <c r="N105" i="7"/>
  <c r="M105" i="7"/>
  <c r="L105" i="7"/>
  <c r="K105" i="7"/>
  <c r="J105" i="7"/>
  <c r="H105" i="7"/>
  <c r="N104" i="7"/>
  <c r="M104" i="7"/>
  <c r="L104" i="7"/>
  <c r="K104" i="7"/>
  <c r="J104" i="7"/>
  <c r="S104" i="7" s="1"/>
  <c r="H104" i="7"/>
  <c r="N103" i="7"/>
  <c r="M103" i="7"/>
  <c r="L103" i="7"/>
  <c r="K103" i="7"/>
  <c r="J103" i="7"/>
  <c r="H103" i="7"/>
  <c r="N102" i="7"/>
  <c r="M102" i="7"/>
  <c r="L102" i="7"/>
  <c r="K102" i="7"/>
  <c r="J102" i="7"/>
  <c r="H102" i="7"/>
  <c r="N101" i="7"/>
  <c r="M101" i="7"/>
  <c r="L101" i="7"/>
  <c r="K101" i="7"/>
  <c r="J101" i="7"/>
  <c r="H101" i="7"/>
  <c r="N100" i="7"/>
  <c r="M100" i="7"/>
  <c r="L100" i="7"/>
  <c r="K100" i="7"/>
  <c r="Q100" i="7" s="1"/>
  <c r="J100" i="7"/>
  <c r="H100" i="7"/>
  <c r="N99" i="7"/>
  <c r="M99" i="7"/>
  <c r="L99" i="7"/>
  <c r="K99" i="7"/>
  <c r="J99" i="7"/>
  <c r="H99" i="7"/>
  <c r="N98" i="7"/>
  <c r="M98" i="7"/>
  <c r="L98" i="7"/>
  <c r="K98" i="7"/>
  <c r="J98" i="7"/>
  <c r="H98" i="7"/>
  <c r="N97" i="7"/>
  <c r="M97" i="7"/>
  <c r="L97" i="7"/>
  <c r="K97" i="7"/>
  <c r="J97" i="7"/>
  <c r="H97" i="7"/>
  <c r="O97" i="7" s="1"/>
  <c r="N96" i="7"/>
  <c r="M96" i="7"/>
  <c r="L96" i="7"/>
  <c r="K96" i="7"/>
  <c r="J96" i="7"/>
  <c r="H96" i="7"/>
  <c r="N95" i="7"/>
  <c r="M95" i="7"/>
  <c r="L95" i="7"/>
  <c r="K95" i="7"/>
  <c r="J95" i="7"/>
  <c r="H95" i="7"/>
  <c r="N94" i="7"/>
  <c r="M94" i="7"/>
  <c r="L94" i="7"/>
  <c r="K94" i="7"/>
  <c r="J94" i="7"/>
  <c r="H94" i="7"/>
  <c r="R93" i="7"/>
  <c r="N93" i="7"/>
  <c r="M93" i="7"/>
  <c r="L93" i="7"/>
  <c r="K93" i="7"/>
  <c r="J93" i="7"/>
  <c r="H93" i="7"/>
  <c r="O93" i="7" s="1"/>
  <c r="N92" i="7"/>
  <c r="M92" i="7"/>
  <c r="L92" i="7"/>
  <c r="K92" i="7"/>
  <c r="J92" i="7"/>
  <c r="H92" i="7"/>
  <c r="N91" i="7"/>
  <c r="M91" i="7"/>
  <c r="L91" i="7"/>
  <c r="K91" i="7"/>
  <c r="J91" i="7"/>
  <c r="H91" i="7"/>
  <c r="N90" i="7"/>
  <c r="M90" i="7"/>
  <c r="L90" i="7"/>
  <c r="K90" i="7"/>
  <c r="J90" i="7"/>
  <c r="H90" i="7"/>
  <c r="N89" i="7"/>
  <c r="M89" i="7"/>
  <c r="L89" i="7"/>
  <c r="K89" i="7"/>
  <c r="J89" i="7"/>
  <c r="H89" i="7"/>
  <c r="N88" i="7"/>
  <c r="M88" i="7"/>
  <c r="L88" i="7"/>
  <c r="K88" i="7"/>
  <c r="J88" i="7"/>
  <c r="H88" i="7"/>
  <c r="O88" i="7" s="1"/>
  <c r="N87" i="7"/>
  <c r="M87" i="7"/>
  <c r="L87" i="7"/>
  <c r="K87" i="7"/>
  <c r="J87" i="7"/>
  <c r="H87" i="7"/>
  <c r="N86" i="7"/>
  <c r="M86" i="7"/>
  <c r="L86" i="7"/>
  <c r="K86" i="7"/>
  <c r="J86" i="7"/>
  <c r="H86" i="7"/>
  <c r="N85" i="7"/>
  <c r="M85" i="7"/>
  <c r="L85" i="7"/>
  <c r="K85" i="7"/>
  <c r="J85" i="7"/>
  <c r="H85" i="7"/>
  <c r="N84" i="7"/>
  <c r="M84" i="7"/>
  <c r="L84" i="7"/>
  <c r="K84" i="7"/>
  <c r="J84" i="7"/>
  <c r="H84" i="7"/>
  <c r="N83" i="7"/>
  <c r="M83" i="7"/>
  <c r="L83" i="7"/>
  <c r="K83" i="7"/>
  <c r="J83" i="7"/>
  <c r="H83" i="7"/>
  <c r="N82" i="7"/>
  <c r="M82" i="7"/>
  <c r="Q82" i="7" s="1"/>
  <c r="L82" i="7"/>
  <c r="K82" i="7"/>
  <c r="J82" i="7"/>
  <c r="H82" i="7"/>
  <c r="N81" i="7"/>
  <c r="M81" i="7"/>
  <c r="L81" i="7"/>
  <c r="K81" i="7"/>
  <c r="R81" i="7" s="1"/>
  <c r="J81" i="7"/>
  <c r="H81" i="7"/>
  <c r="N80" i="7"/>
  <c r="M80" i="7"/>
  <c r="L80" i="7"/>
  <c r="K80" i="7"/>
  <c r="J80" i="7"/>
  <c r="Q80" i="7" s="1"/>
  <c r="H80" i="7"/>
  <c r="N79" i="7"/>
  <c r="M79" i="7"/>
  <c r="L79" i="7"/>
  <c r="K79" i="7"/>
  <c r="J79" i="7"/>
  <c r="H79" i="7"/>
  <c r="N78" i="7"/>
  <c r="M78" i="7"/>
  <c r="L78" i="7"/>
  <c r="K78" i="7"/>
  <c r="J78" i="7"/>
  <c r="H78" i="7"/>
  <c r="N77" i="7"/>
  <c r="M77" i="7"/>
  <c r="L77" i="7"/>
  <c r="K77" i="7"/>
  <c r="J77" i="7"/>
  <c r="H77" i="7"/>
  <c r="N76" i="7"/>
  <c r="M76" i="7"/>
  <c r="L76" i="7"/>
  <c r="K76" i="7"/>
  <c r="J76" i="7"/>
  <c r="H76" i="7"/>
  <c r="N75" i="7"/>
  <c r="M75" i="7"/>
  <c r="L75" i="7"/>
  <c r="K75" i="7"/>
  <c r="J75" i="7"/>
  <c r="H75" i="7"/>
  <c r="N74" i="7"/>
  <c r="M74" i="7"/>
  <c r="L74" i="7"/>
  <c r="K74" i="7"/>
  <c r="J74" i="7"/>
  <c r="H74" i="7"/>
  <c r="N73" i="7"/>
  <c r="M73" i="7"/>
  <c r="L73" i="7"/>
  <c r="K73" i="7"/>
  <c r="J73" i="7"/>
  <c r="H73" i="7"/>
  <c r="O73" i="7" s="1"/>
  <c r="N72" i="7"/>
  <c r="M72" i="7"/>
  <c r="L72" i="7"/>
  <c r="K72" i="7"/>
  <c r="J72" i="7"/>
  <c r="H72" i="7"/>
  <c r="N71" i="7"/>
  <c r="M71" i="7"/>
  <c r="L71" i="7"/>
  <c r="S71" i="7" s="1"/>
  <c r="K71" i="7"/>
  <c r="J71" i="7"/>
  <c r="Q71" i="7" s="1"/>
  <c r="H71" i="7"/>
  <c r="N70" i="7"/>
  <c r="M70" i="7"/>
  <c r="L70" i="7"/>
  <c r="K70" i="7"/>
  <c r="R70" i="7" s="1"/>
  <c r="J70" i="7"/>
  <c r="S70" i="7" s="1"/>
  <c r="H70" i="7"/>
  <c r="N69" i="7"/>
  <c r="M69" i="7"/>
  <c r="L69" i="7"/>
  <c r="K69" i="7"/>
  <c r="J69" i="7"/>
  <c r="Q69" i="7" s="1"/>
  <c r="H69" i="7"/>
  <c r="N68" i="7"/>
  <c r="M68" i="7"/>
  <c r="L68" i="7"/>
  <c r="K68" i="7"/>
  <c r="J68" i="7"/>
  <c r="H68" i="7"/>
  <c r="N67" i="7"/>
  <c r="M67" i="7"/>
  <c r="L67" i="7"/>
  <c r="K67" i="7"/>
  <c r="J67" i="7"/>
  <c r="H67" i="7"/>
  <c r="N66" i="7"/>
  <c r="M66" i="7"/>
  <c r="L66" i="7"/>
  <c r="K66" i="7"/>
  <c r="J66" i="7"/>
  <c r="H66" i="7"/>
  <c r="N65" i="7"/>
  <c r="M65" i="7"/>
  <c r="L65" i="7"/>
  <c r="K65" i="7"/>
  <c r="J65" i="7"/>
  <c r="H65" i="7"/>
  <c r="N64" i="7"/>
  <c r="M64" i="7"/>
  <c r="L64" i="7"/>
  <c r="K64" i="7"/>
  <c r="J64" i="7"/>
  <c r="H64" i="7"/>
  <c r="N63" i="7"/>
  <c r="M63" i="7"/>
  <c r="L63" i="7"/>
  <c r="K63" i="7"/>
  <c r="J63" i="7"/>
  <c r="H63" i="7"/>
  <c r="N62" i="7"/>
  <c r="M62" i="7"/>
  <c r="L62" i="7"/>
  <c r="K62" i="7"/>
  <c r="J62" i="7"/>
  <c r="H62" i="7"/>
  <c r="O62" i="7" s="1"/>
  <c r="N61" i="7"/>
  <c r="M61" i="7"/>
  <c r="L61" i="7"/>
  <c r="K61" i="7"/>
  <c r="J61" i="7"/>
  <c r="H61" i="7"/>
  <c r="N60" i="7"/>
  <c r="M60" i="7"/>
  <c r="L60" i="7"/>
  <c r="K60" i="7"/>
  <c r="J60" i="7"/>
  <c r="R60" i="7" s="1"/>
  <c r="H60" i="7"/>
  <c r="S59" i="7"/>
  <c r="N59" i="7"/>
  <c r="M59" i="7"/>
  <c r="L59" i="7"/>
  <c r="K59" i="7"/>
  <c r="J59" i="7"/>
  <c r="H59" i="7"/>
  <c r="O59" i="7" s="1"/>
  <c r="N58" i="7"/>
  <c r="M58" i="7"/>
  <c r="L58" i="7"/>
  <c r="K58" i="7"/>
  <c r="J58" i="7"/>
  <c r="H58" i="7"/>
  <c r="N57" i="7"/>
  <c r="M57" i="7"/>
  <c r="L57" i="7"/>
  <c r="K57" i="7"/>
  <c r="J57" i="7"/>
  <c r="H57" i="7"/>
  <c r="N56" i="7"/>
  <c r="M56" i="7"/>
  <c r="L56" i="7"/>
  <c r="K56" i="7"/>
  <c r="J56" i="7"/>
  <c r="H56" i="7"/>
  <c r="N55" i="7"/>
  <c r="M55" i="7"/>
  <c r="L55" i="7"/>
  <c r="K55" i="7"/>
  <c r="J55" i="7"/>
  <c r="H55" i="7"/>
  <c r="N54" i="7"/>
  <c r="M54" i="7"/>
  <c r="L54" i="7"/>
  <c r="K54" i="7"/>
  <c r="J54" i="7"/>
  <c r="H54" i="7"/>
  <c r="O54" i="7" s="1"/>
  <c r="N53" i="7"/>
  <c r="M53" i="7"/>
  <c r="L53" i="7"/>
  <c r="K53" i="7"/>
  <c r="J53" i="7"/>
  <c r="H53" i="7"/>
  <c r="O53" i="7" s="1"/>
  <c r="N52" i="7"/>
  <c r="M52" i="7"/>
  <c r="L52" i="7"/>
  <c r="K52" i="7"/>
  <c r="J52" i="7"/>
  <c r="H52" i="7"/>
  <c r="O52" i="7" s="1"/>
  <c r="R51" i="7"/>
  <c r="N51" i="7"/>
  <c r="M51" i="7"/>
  <c r="L51" i="7"/>
  <c r="K51" i="7"/>
  <c r="J51" i="7"/>
  <c r="H51" i="7"/>
  <c r="O50" i="7"/>
  <c r="N50" i="7"/>
  <c r="M50" i="7"/>
  <c r="L50" i="7"/>
  <c r="K50" i="7"/>
  <c r="R50" i="7" s="1"/>
  <c r="J50" i="7"/>
  <c r="H50" i="7"/>
  <c r="N49" i="7"/>
  <c r="M49" i="7"/>
  <c r="L49" i="7"/>
  <c r="K49" i="7"/>
  <c r="J49" i="7"/>
  <c r="R49" i="7" s="1"/>
  <c r="H49" i="7"/>
  <c r="N48" i="7"/>
  <c r="M48" i="7"/>
  <c r="L48" i="7"/>
  <c r="K48" i="7"/>
  <c r="J48" i="7"/>
  <c r="H48" i="7"/>
  <c r="O48" i="7" s="1"/>
  <c r="N47" i="7"/>
  <c r="M47" i="7"/>
  <c r="L47" i="7"/>
  <c r="K47" i="7"/>
  <c r="J47" i="7"/>
  <c r="H47" i="7"/>
  <c r="N46" i="7"/>
  <c r="M46" i="7"/>
  <c r="L46" i="7"/>
  <c r="K46" i="7"/>
  <c r="J46" i="7"/>
  <c r="H46" i="7"/>
  <c r="O47" i="7" s="1"/>
  <c r="N45" i="7"/>
  <c r="M45" i="7"/>
  <c r="L45" i="7"/>
  <c r="S45" i="7" s="1"/>
  <c r="K45" i="7"/>
  <c r="J45" i="7"/>
  <c r="H45" i="7"/>
  <c r="N44" i="7"/>
  <c r="M44" i="7"/>
  <c r="L44" i="7"/>
  <c r="K44" i="7"/>
  <c r="S44" i="7" s="1"/>
  <c r="J44" i="7"/>
  <c r="H44" i="7"/>
  <c r="S43" i="7"/>
  <c r="N43" i="7"/>
  <c r="M43" i="7"/>
  <c r="L43" i="7"/>
  <c r="K43" i="7"/>
  <c r="J43" i="7"/>
  <c r="H43" i="7"/>
  <c r="O43" i="7" s="1"/>
  <c r="O42" i="7"/>
  <c r="N42" i="7"/>
  <c r="M42" i="7"/>
  <c r="L42" i="7"/>
  <c r="K42" i="7"/>
  <c r="J42" i="7"/>
  <c r="H42" i="7"/>
  <c r="N41" i="7"/>
  <c r="M41" i="7"/>
  <c r="L41" i="7"/>
  <c r="K41" i="7"/>
  <c r="R41" i="7" s="1"/>
  <c r="J41" i="7"/>
  <c r="H41" i="7"/>
  <c r="N40" i="7"/>
  <c r="M40" i="7"/>
  <c r="L40" i="7"/>
  <c r="K40" i="7"/>
  <c r="J40" i="7"/>
  <c r="H40" i="7"/>
  <c r="O40" i="7" s="1"/>
  <c r="N39" i="7"/>
  <c r="M39" i="7"/>
  <c r="L39" i="7"/>
  <c r="K39" i="7"/>
  <c r="J39" i="7"/>
  <c r="H39" i="7"/>
  <c r="O39" i="7" s="1"/>
  <c r="N38" i="7"/>
  <c r="M38" i="7"/>
  <c r="L38" i="7"/>
  <c r="K38" i="7"/>
  <c r="J38" i="7"/>
  <c r="R38" i="7" s="1"/>
  <c r="H38" i="7"/>
  <c r="N37" i="7"/>
  <c r="M37" i="7"/>
  <c r="L37" i="7"/>
  <c r="K37" i="7"/>
  <c r="J37" i="7"/>
  <c r="H37" i="7"/>
  <c r="N36" i="7"/>
  <c r="M36" i="7"/>
  <c r="L36" i="7"/>
  <c r="K36" i="7"/>
  <c r="J36" i="7"/>
  <c r="H36" i="7"/>
  <c r="O37" i="7" s="1"/>
  <c r="N35" i="7"/>
  <c r="M35" i="7"/>
  <c r="L35" i="7"/>
  <c r="K35" i="7"/>
  <c r="J35" i="7"/>
  <c r="H35" i="7"/>
  <c r="O35" i="7" s="1"/>
  <c r="N34" i="7"/>
  <c r="M34" i="7"/>
  <c r="L34" i="7"/>
  <c r="K34" i="7"/>
  <c r="J34" i="7"/>
  <c r="H34" i="7"/>
  <c r="N33" i="7"/>
  <c r="M33" i="7"/>
  <c r="L33" i="7"/>
  <c r="K33" i="7"/>
  <c r="J33" i="7"/>
  <c r="R33" i="7" s="1"/>
  <c r="H33" i="7"/>
  <c r="O34" i="7" s="1"/>
  <c r="N32" i="7"/>
  <c r="M32" i="7"/>
  <c r="L32" i="7"/>
  <c r="K32" i="7"/>
  <c r="J32" i="7"/>
  <c r="H32" i="7"/>
  <c r="N31" i="7"/>
  <c r="M31" i="7"/>
  <c r="L31" i="7"/>
  <c r="K31" i="7"/>
  <c r="J31" i="7"/>
  <c r="H31" i="7"/>
  <c r="N30" i="7"/>
  <c r="M30" i="7"/>
  <c r="L30" i="7"/>
  <c r="K30" i="7"/>
  <c r="J30" i="7"/>
  <c r="H30" i="7"/>
  <c r="N29" i="7"/>
  <c r="M29" i="7"/>
  <c r="L29" i="7"/>
  <c r="K29" i="7"/>
  <c r="J29" i="7"/>
  <c r="H29" i="7"/>
  <c r="N28" i="7"/>
  <c r="M28" i="7"/>
  <c r="L28" i="7"/>
  <c r="K28" i="7"/>
  <c r="J28" i="7"/>
  <c r="H28" i="7"/>
  <c r="N27" i="7"/>
  <c r="M27" i="7"/>
  <c r="L27" i="7"/>
  <c r="K27" i="7"/>
  <c r="J27" i="7"/>
  <c r="H27" i="7"/>
  <c r="N26" i="7"/>
  <c r="M26" i="7"/>
  <c r="L26" i="7"/>
  <c r="K26" i="7"/>
  <c r="J26" i="7"/>
  <c r="H26" i="7"/>
  <c r="O26" i="7" s="1"/>
  <c r="N25" i="7"/>
  <c r="M25" i="7"/>
  <c r="L25" i="7"/>
  <c r="K25" i="7"/>
  <c r="J25" i="7"/>
  <c r="H25" i="7"/>
  <c r="AB25" i="7"/>
  <c r="N24" i="7"/>
  <c r="M24" i="7"/>
  <c r="L24" i="7"/>
  <c r="K24" i="7"/>
  <c r="J24" i="7"/>
  <c r="H24" i="7"/>
  <c r="AA24" i="7"/>
  <c r="N23" i="7"/>
  <c r="M23" i="7"/>
  <c r="L23" i="7"/>
  <c r="K23" i="7"/>
  <c r="J23" i="7"/>
  <c r="H23" i="7"/>
  <c r="Z23" i="7"/>
  <c r="N22" i="7"/>
  <c r="M22" i="7"/>
  <c r="L22" i="7"/>
  <c r="K22" i="7"/>
  <c r="J22" i="7"/>
  <c r="H22" i="7"/>
  <c r="Y22" i="7"/>
  <c r="Y29" i="7" s="1" a="1"/>
  <c r="Y29" i="7" s="1"/>
  <c r="S21" i="7"/>
  <c r="N21" i="7"/>
  <c r="M21" i="7"/>
  <c r="L21" i="7"/>
  <c r="K21" i="7"/>
  <c r="J21" i="7"/>
  <c r="Q21" i="7" s="1"/>
  <c r="H21" i="7"/>
  <c r="AB21" i="7"/>
  <c r="X25" i="7" s="1"/>
  <c r="AA21" i="7"/>
  <c r="X24" i="7" s="1"/>
  <c r="Z21" i="7"/>
  <c r="X23" i="7" s="1"/>
  <c r="Y21" i="7"/>
  <c r="X22" i="7" s="1"/>
  <c r="O20" i="7"/>
  <c r="N20" i="7"/>
  <c r="M20" i="7"/>
  <c r="L20" i="7"/>
  <c r="K20" i="7"/>
  <c r="J20" i="7"/>
  <c r="H20" i="7"/>
  <c r="O19" i="7"/>
  <c r="N19" i="7"/>
  <c r="M19" i="7"/>
  <c r="L19" i="7"/>
  <c r="K19" i="7"/>
  <c r="J19" i="7"/>
  <c r="H19" i="7"/>
  <c r="AC18" i="7"/>
  <c r="N18" i="7"/>
  <c r="M18" i="7"/>
  <c r="L18" i="7"/>
  <c r="K18" i="7"/>
  <c r="J18" i="7"/>
  <c r="H18" i="7"/>
  <c r="AC17" i="7"/>
  <c r="N17" i="7"/>
  <c r="M17" i="7"/>
  <c r="L17" i="7"/>
  <c r="R17" i="7" s="1"/>
  <c r="K17" i="7"/>
  <c r="J17" i="7"/>
  <c r="H17" i="7"/>
  <c r="O18" i="7" s="1"/>
  <c r="AC16" i="7"/>
  <c r="N16" i="7"/>
  <c r="M16" i="7"/>
  <c r="L16" i="7"/>
  <c r="K16" i="7"/>
  <c r="J16" i="7"/>
  <c r="H16" i="7"/>
  <c r="N15" i="7"/>
  <c r="M15" i="7"/>
  <c r="L15" i="7"/>
  <c r="K15" i="7"/>
  <c r="J15" i="7"/>
  <c r="H15" i="7"/>
  <c r="N14" i="7"/>
  <c r="M14" i="7"/>
  <c r="L14" i="7"/>
  <c r="K14" i="7"/>
  <c r="J14" i="7"/>
  <c r="H14" i="7"/>
  <c r="N13" i="7"/>
  <c r="M13" i="7"/>
  <c r="L13" i="7"/>
  <c r="K13" i="7"/>
  <c r="J13" i="7"/>
  <c r="H13" i="7"/>
  <c r="Y12" i="7"/>
  <c r="N12" i="7"/>
  <c r="M12" i="7"/>
  <c r="L12" i="7"/>
  <c r="K12" i="7"/>
  <c r="J12" i="7"/>
  <c r="H12" i="7"/>
  <c r="O12" i="7" s="1"/>
  <c r="N11" i="7"/>
  <c r="M11" i="7"/>
  <c r="L11" i="7"/>
  <c r="K11" i="7"/>
  <c r="J11" i="7"/>
  <c r="H11" i="7"/>
  <c r="N10" i="7"/>
  <c r="M10" i="7"/>
  <c r="L10" i="7"/>
  <c r="K10" i="7"/>
  <c r="R10" i="7" s="1"/>
  <c r="J10" i="7"/>
  <c r="H10" i="7"/>
  <c r="N9" i="7"/>
  <c r="M9" i="7"/>
  <c r="L9" i="7"/>
  <c r="K9" i="7"/>
  <c r="J9" i="7"/>
  <c r="H9" i="7"/>
  <c r="O8" i="7"/>
  <c r="N8" i="7"/>
  <c r="M8" i="7"/>
  <c r="L8" i="7"/>
  <c r="K8" i="7"/>
  <c r="J8" i="7"/>
  <c r="H8" i="7"/>
  <c r="O9" i="7" s="1"/>
  <c r="O7" i="7"/>
  <c r="N7" i="7"/>
  <c r="M7" i="7"/>
  <c r="L7" i="7"/>
  <c r="K7" i="7"/>
  <c r="J7" i="7"/>
  <c r="H7" i="7"/>
  <c r="N6" i="7"/>
  <c r="M6" i="7"/>
  <c r="L6" i="7"/>
  <c r="K6" i="7"/>
  <c r="J6" i="7"/>
  <c r="H6" i="7"/>
  <c r="N5" i="7"/>
  <c r="M5" i="7"/>
  <c r="L5" i="7"/>
  <c r="K5" i="7"/>
  <c r="J5" i="7"/>
  <c r="H5" i="7"/>
  <c r="N4" i="7"/>
  <c r="M4" i="7"/>
  <c r="L4" i="7"/>
  <c r="K4" i="7"/>
  <c r="J4" i="7"/>
  <c r="H4" i="7"/>
  <c r="O4" i="7" s="1"/>
  <c r="N3" i="7"/>
  <c r="M3" i="7"/>
  <c r="L3" i="7"/>
  <c r="K3" i="7"/>
  <c r="J3" i="7"/>
  <c r="H3" i="7"/>
  <c r="H2" i="7"/>
  <c r="P18" i="2" a="1"/>
  <c r="P18" i="2" s="1"/>
  <c r="P17" i="2"/>
  <c r="P16" i="2"/>
  <c r="P10" i="2"/>
  <c r="W34" i="6" a="1"/>
  <c r="W34" i="6" s="1"/>
  <c r="W35" i="6" s="1"/>
  <c r="U13" i="1"/>
  <c r="V13" i="1"/>
  <c r="W13" i="1"/>
  <c r="X13" i="1"/>
  <c r="T13" i="1"/>
  <c r="V13" i="5"/>
  <c r="W13" i="5"/>
  <c r="X13" i="5"/>
  <c r="Y13" i="5"/>
  <c r="U13" i="5"/>
  <c r="AG20" i="4"/>
  <c r="AF20" i="4"/>
  <c r="AF19" i="4"/>
  <c r="AF18" i="4"/>
  <c r="Y3" i="4"/>
  <c r="Y4" i="4"/>
  <c r="AA17" i="6"/>
  <c r="S133" i="6"/>
  <c r="S151" i="6"/>
  <c r="S153" i="6"/>
  <c r="S230" i="6"/>
  <c r="S233" i="6"/>
  <c r="S240" i="6"/>
  <c r="AA18" i="6"/>
  <c r="N254" i="6"/>
  <c r="M254" i="6"/>
  <c r="L254" i="6"/>
  <c r="K254" i="6"/>
  <c r="J254" i="6"/>
  <c r="H254" i="6"/>
  <c r="O254" i="6" s="1"/>
  <c r="N253" i="6"/>
  <c r="M253" i="6"/>
  <c r="L253" i="6"/>
  <c r="K253" i="6"/>
  <c r="J253" i="6"/>
  <c r="S253" i="6" s="1"/>
  <c r="H253" i="6"/>
  <c r="O253" i="6" s="1"/>
  <c r="N252" i="6"/>
  <c r="M252" i="6"/>
  <c r="L252" i="6"/>
  <c r="K252" i="6"/>
  <c r="J252" i="6"/>
  <c r="H252" i="6"/>
  <c r="N251" i="6"/>
  <c r="M251" i="6"/>
  <c r="L251" i="6"/>
  <c r="K251" i="6"/>
  <c r="J251" i="6"/>
  <c r="S251" i="6" s="1"/>
  <c r="H251" i="6"/>
  <c r="O251" i="6" s="1"/>
  <c r="N250" i="6"/>
  <c r="M250" i="6"/>
  <c r="L250" i="6"/>
  <c r="K250" i="6"/>
  <c r="J250" i="6"/>
  <c r="H250" i="6"/>
  <c r="N249" i="6"/>
  <c r="M249" i="6"/>
  <c r="L249" i="6"/>
  <c r="K249" i="6"/>
  <c r="J249" i="6"/>
  <c r="H249" i="6"/>
  <c r="N248" i="6"/>
  <c r="M248" i="6"/>
  <c r="L248" i="6"/>
  <c r="K248" i="6"/>
  <c r="J248" i="6"/>
  <c r="H248" i="6"/>
  <c r="N247" i="6"/>
  <c r="M247" i="6"/>
  <c r="L247" i="6"/>
  <c r="K247" i="6"/>
  <c r="J247" i="6"/>
  <c r="H247" i="6"/>
  <c r="N246" i="6"/>
  <c r="M246" i="6"/>
  <c r="L246" i="6"/>
  <c r="K246" i="6"/>
  <c r="J246" i="6"/>
  <c r="S246" i="6" s="1"/>
  <c r="H246" i="6"/>
  <c r="N245" i="6"/>
  <c r="M245" i="6"/>
  <c r="L245" i="6"/>
  <c r="K245" i="6"/>
  <c r="J245" i="6"/>
  <c r="H245" i="6"/>
  <c r="N244" i="6"/>
  <c r="M244" i="6"/>
  <c r="L244" i="6"/>
  <c r="K244" i="6"/>
  <c r="J244" i="6"/>
  <c r="H244" i="6"/>
  <c r="O244" i="6" s="1"/>
  <c r="N243" i="6"/>
  <c r="M243" i="6"/>
  <c r="L243" i="6"/>
  <c r="K243" i="6"/>
  <c r="J243" i="6"/>
  <c r="S243" i="6" s="1"/>
  <c r="H243" i="6"/>
  <c r="N242" i="6"/>
  <c r="M242" i="6"/>
  <c r="L242" i="6"/>
  <c r="K242" i="6"/>
  <c r="J242" i="6"/>
  <c r="H242" i="6"/>
  <c r="N241" i="6"/>
  <c r="M241" i="6"/>
  <c r="L241" i="6"/>
  <c r="K241" i="6"/>
  <c r="J241" i="6"/>
  <c r="S241" i="6" s="1"/>
  <c r="H241" i="6"/>
  <c r="N240" i="6"/>
  <c r="M240" i="6"/>
  <c r="L240" i="6"/>
  <c r="K240" i="6"/>
  <c r="J240" i="6"/>
  <c r="H240" i="6"/>
  <c r="N239" i="6"/>
  <c r="M239" i="6"/>
  <c r="L239" i="6"/>
  <c r="K239" i="6"/>
  <c r="J239" i="6"/>
  <c r="H239" i="6"/>
  <c r="N238" i="6"/>
  <c r="M238" i="6"/>
  <c r="L238" i="6"/>
  <c r="K238" i="6"/>
  <c r="J238" i="6"/>
  <c r="H238" i="6"/>
  <c r="N237" i="6"/>
  <c r="M237" i="6"/>
  <c r="L237" i="6"/>
  <c r="K237" i="6"/>
  <c r="J237" i="6"/>
  <c r="H237" i="6"/>
  <c r="N236" i="6"/>
  <c r="M236" i="6"/>
  <c r="L236" i="6"/>
  <c r="K236" i="6"/>
  <c r="J236" i="6"/>
  <c r="S236" i="6" s="1"/>
  <c r="H236" i="6"/>
  <c r="O237" i="6" s="1"/>
  <c r="N235" i="6"/>
  <c r="M235" i="6"/>
  <c r="L235" i="6"/>
  <c r="K235" i="6"/>
  <c r="J235" i="6"/>
  <c r="H235" i="6"/>
  <c r="N234" i="6"/>
  <c r="M234" i="6"/>
  <c r="L234" i="6"/>
  <c r="K234" i="6"/>
  <c r="J234" i="6"/>
  <c r="H234" i="6"/>
  <c r="N233" i="6"/>
  <c r="M233" i="6"/>
  <c r="L233" i="6"/>
  <c r="K233" i="6"/>
  <c r="J233" i="6"/>
  <c r="H233" i="6"/>
  <c r="O233" i="6" s="1"/>
  <c r="N232" i="6"/>
  <c r="M232" i="6"/>
  <c r="L232" i="6"/>
  <c r="K232" i="6"/>
  <c r="J232" i="6"/>
  <c r="H232" i="6"/>
  <c r="N231" i="6"/>
  <c r="M231" i="6"/>
  <c r="L231" i="6"/>
  <c r="K231" i="6"/>
  <c r="J231" i="6"/>
  <c r="H231" i="6"/>
  <c r="N230" i="6"/>
  <c r="M230" i="6"/>
  <c r="L230" i="6"/>
  <c r="K230" i="6"/>
  <c r="J230" i="6"/>
  <c r="H230" i="6"/>
  <c r="N229" i="6"/>
  <c r="M229" i="6"/>
  <c r="L229" i="6"/>
  <c r="K229" i="6"/>
  <c r="R229" i="6" s="1"/>
  <c r="J229" i="6"/>
  <c r="H229" i="6"/>
  <c r="N228" i="6"/>
  <c r="M228" i="6"/>
  <c r="L228" i="6"/>
  <c r="K228" i="6"/>
  <c r="Q228" i="6" s="1"/>
  <c r="J228" i="6"/>
  <c r="H228" i="6"/>
  <c r="O228" i="6" s="1"/>
  <c r="N227" i="6"/>
  <c r="M227" i="6"/>
  <c r="L227" i="6"/>
  <c r="K227" i="6"/>
  <c r="J227" i="6"/>
  <c r="S227" i="6" s="1"/>
  <c r="H227" i="6"/>
  <c r="N226" i="6"/>
  <c r="M226" i="6"/>
  <c r="L226" i="6"/>
  <c r="K226" i="6"/>
  <c r="J226" i="6"/>
  <c r="H226" i="6"/>
  <c r="N225" i="6"/>
  <c r="M225" i="6"/>
  <c r="L225" i="6"/>
  <c r="K225" i="6"/>
  <c r="J225" i="6"/>
  <c r="S225" i="6" s="1"/>
  <c r="H225" i="6"/>
  <c r="N224" i="6"/>
  <c r="M224" i="6"/>
  <c r="L224" i="6"/>
  <c r="K224" i="6"/>
  <c r="J224" i="6"/>
  <c r="H224" i="6"/>
  <c r="N223" i="6"/>
  <c r="M223" i="6"/>
  <c r="L223" i="6"/>
  <c r="K223" i="6"/>
  <c r="J223" i="6"/>
  <c r="H223" i="6"/>
  <c r="N222" i="6"/>
  <c r="M222" i="6"/>
  <c r="L222" i="6"/>
  <c r="K222" i="6"/>
  <c r="J222" i="6"/>
  <c r="S222" i="6" s="1"/>
  <c r="H222" i="6"/>
  <c r="O222" i="6" s="1"/>
  <c r="N221" i="6"/>
  <c r="M221" i="6"/>
  <c r="L221" i="6"/>
  <c r="K221" i="6"/>
  <c r="J221" i="6"/>
  <c r="H221" i="6"/>
  <c r="N220" i="6"/>
  <c r="M220" i="6"/>
  <c r="L220" i="6"/>
  <c r="K220" i="6"/>
  <c r="J220" i="6"/>
  <c r="R220" i="6" s="1"/>
  <c r="H220" i="6"/>
  <c r="N219" i="6"/>
  <c r="M219" i="6"/>
  <c r="L219" i="6"/>
  <c r="K219" i="6"/>
  <c r="J219" i="6"/>
  <c r="H219" i="6"/>
  <c r="N218" i="6"/>
  <c r="M218" i="6"/>
  <c r="L218" i="6"/>
  <c r="K218" i="6"/>
  <c r="J218" i="6"/>
  <c r="H218" i="6"/>
  <c r="N217" i="6"/>
  <c r="M217" i="6"/>
  <c r="L217" i="6"/>
  <c r="K217" i="6"/>
  <c r="J217" i="6"/>
  <c r="H217" i="6"/>
  <c r="N216" i="6"/>
  <c r="M216" i="6"/>
  <c r="L216" i="6"/>
  <c r="K216" i="6"/>
  <c r="J216" i="6"/>
  <c r="H216" i="6"/>
  <c r="N215" i="6"/>
  <c r="M215" i="6"/>
  <c r="L215" i="6"/>
  <c r="K215" i="6"/>
  <c r="J215" i="6"/>
  <c r="S215" i="6" s="1"/>
  <c r="H215" i="6"/>
  <c r="N214" i="6"/>
  <c r="M214" i="6"/>
  <c r="L214" i="6"/>
  <c r="K214" i="6"/>
  <c r="J214" i="6"/>
  <c r="H214" i="6"/>
  <c r="N213" i="6"/>
  <c r="M213" i="6"/>
  <c r="L213" i="6"/>
  <c r="K213" i="6"/>
  <c r="J213" i="6"/>
  <c r="S213" i="6" s="1"/>
  <c r="H213" i="6"/>
  <c r="N212" i="6"/>
  <c r="M212" i="6"/>
  <c r="L212" i="6"/>
  <c r="K212" i="6"/>
  <c r="J212" i="6"/>
  <c r="H212" i="6"/>
  <c r="N211" i="6"/>
  <c r="M211" i="6"/>
  <c r="L211" i="6"/>
  <c r="K211" i="6"/>
  <c r="J211" i="6"/>
  <c r="S211" i="6" s="1"/>
  <c r="H211" i="6"/>
  <c r="N210" i="6"/>
  <c r="M210" i="6"/>
  <c r="L210" i="6"/>
  <c r="K210" i="6"/>
  <c r="J210" i="6"/>
  <c r="H210" i="6"/>
  <c r="N209" i="6"/>
  <c r="M209" i="6"/>
  <c r="L209" i="6"/>
  <c r="K209" i="6"/>
  <c r="J209" i="6"/>
  <c r="H209" i="6"/>
  <c r="N208" i="6"/>
  <c r="M208" i="6"/>
  <c r="L208" i="6"/>
  <c r="K208" i="6"/>
  <c r="J208" i="6"/>
  <c r="H208" i="6"/>
  <c r="O208" i="6" s="1"/>
  <c r="N207" i="6"/>
  <c r="M207" i="6"/>
  <c r="L207" i="6"/>
  <c r="K207" i="6"/>
  <c r="J207" i="6"/>
  <c r="H207" i="6"/>
  <c r="O207" i="6" s="1"/>
  <c r="N206" i="6"/>
  <c r="M206" i="6"/>
  <c r="L206" i="6"/>
  <c r="K206" i="6"/>
  <c r="J206" i="6"/>
  <c r="H206" i="6"/>
  <c r="N205" i="6"/>
  <c r="M205" i="6"/>
  <c r="L205" i="6"/>
  <c r="K205" i="6"/>
  <c r="J205" i="6"/>
  <c r="H205" i="6"/>
  <c r="N204" i="6"/>
  <c r="M204" i="6"/>
  <c r="L204" i="6"/>
  <c r="K204" i="6"/>
  <c r="J204" i="6"/>
  <c r="H204" i="6"/>
  <c r="N203" i="6"/>
  <c r="M203" i="6"/>
  <c r="L203" i="6"/>
  <c r="K203" i="6"/>
  <c r="J203" i="6"/>
  <c r="S203" i="6" s="1"/>
  <c r="H203" i="6"/>
  <c r="N202" i="6"/>
  <c r="M202" i="6"/>
  <c r="L202" i="6"/>
  <c r="K202" i="6"/>
  <c r="J202" i="6"/>
  <c r="H202" i="6"/>
  <c r="N201" i="6"/>
  <c r="M201" i="6"/>
  <c r="L201" i="6"/>
  <c r="K201" i="6"/>
  <c r="J201" i="6"/>
  <c r="H201" i="6"/>
  <c r="N200" i="6"/>
  <c r="M200" i="6"/>
  <c r="L200" i="6"/>
  <c r="K200" i="6"/>
  <c r="J200" i="6"/>
  <c r="H200" i="6"/>
  <c r="N199" i="6"/>
  <c r="M199" i="6"/>
  <c r="L199" i="6"/>
  <c r="K199" i="6"/>
  <c r="J199" i="6"/>
  <c r="H199" i="6"/>
  <c r="N198" i="6"/>
  <c r="M198" i="6"/>
  <c r="L198" i="6"/>
  <c r="K198" i="6"/>
  <c r="J198" i="6"/>
  <c r="H198" i="6"/>
  <c r="N197" i="6"/>
  <c r="M197" i="6"/>
  <c r="L197" i="6"/>
  <c r="K197" i="6"/>
  <c r="J197" i="6"/>
  <c r="H197" i="6"/>
  <c r="N196" i="6"/>
  <c r="M196" i="6"/>
  <c r="L196" i="6"/>
  <c r="K196" i="6"/>
  <c r="J196" i="6"/>
  <c r="H196" i="6"/>
  <c r="N195" i="6"/>
  <c r="M195" i="6"/>
  <c r="L195" i="6"/>
  <c r="K195" i="6"/>
  <c r="J195" i="6"/>
  <c r="H195" i="6"/>
  <c r="N194" i="6"/>
  <c r="M194" i="6"/>
  <c r="L194" i="6"/>
  <c r="K194" i="6"/>
  <c r="J194" i="6"/>
  <c r="H194" i="6"/>
  <c r="N193" i="6"/>
  <c r="M193" i="6"/>
  <c r="L193" i="6"/>
  <c r="K193" i="6"/>
  <c r="J193" i="6"/>
  <c r="H193" i="6"/>
  <c r="N192" i="6"/>
  <c r="M192" i="6"/>
  <c r="L192" i="6"/>
  <c r="K192" i="6"/>
  <c r="J192" i="6"/>
  <c r="S192" i="6" s="1"/>
  <c r="H192" i="6"/>
  <c r="N191" i="6"/>
  <c r="M191" i="6"/>
  <c r="L191" i="6"/>
  <c r="K191" i="6"/>
  <c r="J191" i="6"/>
  <c r="H191" i="6"/>
  <c r="N190" i="6"/>
  <c r="M190" i="6"/>
  <c r="L190" i="6"/>
  <c r="K190" i="6"/>
  <c r="J190" i="6"/>
  <c r="H190" i="6"/>
  <c r="O190" i="6" s="1"/>
  <c r="N189" i="6"/>
  <c r="M189" i="6"/>
  <c r="L189" i="6"/>
  <c r="K189" i="6"/>
  <c r="J189" i="6"/>
  <c r="S189" i="6" s="1"/>
  <c r="H189" i="6"/>
  <c r="N188" i="6"/>
  <c r="M188" i="6"/>
  <c r="L188" i="6"/>
  <c r="K188" i="6"/>
  <c r="J188" i="6"/>
  <c r="H188" i="6"/>
  <c r="N187" i="6"/>
  <c r="M187" i="6"/>
  <c r="L187" i="6"/>
  <c r="S187" i="6" s="1"/>
  <c r="K187" i="6"/>
  <c r="J187" i="6"/>
  <c r="H187" i="6"/>
  <c r="O187" i="6" s="1"/>
  <c r="N186" i="6"/>
  <c r="M186" i="6"/>
  <c r="L186" i="6"/>
  <c r="K186" i="6"/>
  <c r="J186" i="6"/>
  <c r="H186" i="6"/>
  <c r="N185" i="6"/>
  <c r="M185" i="6"/>
  <c r="L185" i="6"/>
  <c r="K185" i="6"/>
  <c r="J185" i="6"/>
  <c r="H185" i="6"/>
  <c r="O184" i="6"/>
  <c r="N184" i="6"/>
  <c r="M184" i="6"/>
  <c r="L184" i="6"/>
  <c r="K184" i="6"/>
  <c r="S184" i="6" s="1"/>
  <c r="J184" i="6"/>
  <c r="H184" i="6"/>
  <c r="N183" i="6"/>
  <c r="M183" i="6"/>
  <c r="L183" i="6"/>
  <c r="K183" i="6"/>
  <c r="J183" i="6"/>
  <c r="H183" i="6"/>
  <c r="N182" i="6"/>
  <c r="M182" i="6"/>
  <c r="L182" i="6"/>
  <c r="K182" i="6"/>
  <c r="J182" i="6"/>
  <c r="S182" i="6" s="1"/>
  <c r="H182" i="6"/>
  <c r="O182" i="6" s="1"/>
  <c r="N181" i="6"/>
  <c r="M181" i="6"/>
  <c r="S181" i="6" s="1"/>
  <c r="L181" i="6"/>
  <c r="K181" i="6"/>
  <c r="J181" i="6"/>
  <c r="H181" i="6"/>
  <c r="N180" i="6"/>
  <c r="M180" i="6"/>
  <c r="L180" i="6"/>
  <c r="K180" i="6"/>
  <c r="J180" i="6"/>
  <c r="H180" i="6"/>
  <c r="N179" i="6"/>
  <c r="M179" i="6"/>
  <c r="L179" i="6"/>
  <c r="K179" i="6"/>
  <c r="J179" i="6"/>
  <c r="H179" i="6"/>
  <c r="N178" i="6"/>
  <c r="M178" i="6"/>
  <c r="L178" i="6"/>
  <c r="K178" i="6"/>
  <c r="J178" i="6"/>
  <c r="H178" i="6"/>
  <c r="N177" i="6"/>
  <c r="M177" i="6"/>
  <c r="L177" i="6"/>
  <c r="K177" i="6"/>
  <c r="J177" i="6"/>
  <c r="H177" i="6"/>
  <c r="O177" i="6" s="1"/>
  <c r="N176" i="6"/>
  <c r="M176" i="6"/>
  <c r="L176" i="6"/>
  <c r="K176" i="6"/>
  <c r="J176" i="6"/>
  <c r="H176" i="6"/>
  <c r="N175" i="6"/>
  <c r="M175" i="6"/>
  <c r="L175" i="6"/>
  <c r="K175" i="6"/>
  <c r="J175" i="6"/>
  <c r="H175" i="6"/>
  <c r="N174" i="6"/>
  <c r="M174" i="6"/>
  <c r="L174" i="6"/>
  <c r="K174" i="6"/>
  <c r="J174" i="6"/>
  <c r="H174" i="6"/>
  <c r="O174" i="6" s="1"/>
  <c r="N173" i="6"/>
  <c r="M173" i="6"/>
  <c r="S173" i="6" s="1"/>
  <c r="L173" i="6"/>
  <c r="K173" i="6"/>
  <c r="J173" i="6"/>
  <c r="H173" i="6"/>
  <c r="N172" i="6"/>
  <c r="M172" i="6"/>
  <c r="L172" i="6"/>
  <c r="K172" i="6"/>
  <c r="J172" i="6"/>
  <c r="H172" i="6"/>
  <c r="O172" i="6" s="1"/>
  <c r="N171" i="6"/>
  <c r="M171" i="6"/>
  <c r="L171" i="6"/>
  <c r="K171" i="6"/>
  <c r="J171" i="6"/>
  <c r="S171" i="6" s="1"/>
  <c r="H171" i="6"/>
  <c r="N170" i="6"/>
  <c r="M170" i="6"/>
  <c r="L170" i="6"/>
  <c r="K170" i="6"/>
  <c r="J170" i="6"/>
  <c r="H170" i="6"/>
  <c r="N169" i="6"/>
  <c r="M169" i="6"/>
  <c r="L169" i="6"/>
  <c r="K169" i="6"/>
  <c r="J169" i="6"/>
  <c r="H169" i="6"/>
  <c r="O168" i="6"/>
  <c r="N168" i="6"/>
  <c r="M168" i="6"/>
  <c r="L168" i="6"/>
  <c r="K168" i="6"/>
  <c r="J168" i="6"/>
  <c r="H168" i="6"/>
  <c r="N167" i="6"/>
  <c r="M167" i="6"/>
  <c r="L167" i="6"/>
  <c r="K167" i="6"/>
  <c r="J167" i="6"/>
  <c r="H167" i="6"/>
  <c r="O167" i="6" s="1"/>
  <c r="N166" i="6"/>
  <c r="M166" i="6"/>
  <c r="L166" i="6"/>
  <c r="K166" i="6"/>
  <c r="J166" i="6"/>
  <c r="S166" i="6" s="1"/>
  <c r="H166" i="6"/>
  <c r="N165" i="6"/>
  <c r="M165" i="6"/>
  <c r="L165" i="6"/>
  <c r="K165" i="6"/>
  <c r="J165" i="6"/>
  <c r="H165" i="6"/>
  <c r="N164" i="6"/>
  <c r="M164" i="6"/>
  <c r="L164" i="6"/>
  <c r="K164" i="6"/>
  <c r="J164" i="6"/>
  <c r="S164" i="6" s="1"/>
  <c r="H164" i="6"/>
  <c r="N163" i="6"/>
  <c r="M163" i="6"/>
  <c r="L163" i="6"/>
  <c r="K163" i="6"/>
  <c r="J163" i="6"/>
  <c r="S163" i="6" s="1"/>
  <c r="H163" i="6"/>
  <c r="N162" i="6"/>
  <c r="M162" i="6"/>
  <c r="L162" i="6"/>
  <c r="K162" i="6"/>
  <c r="J162" i="6"/>
  <c r="H162" i="6"/>
  <c r="N161" i="6"/>
  <c r="M161" i="6"/>
  <c r="L161" i="6"/>
  <c r="K161" i="6"/>
  <c r="J161" i="6"/>
  <c r="S161" i="6" s="1"/>
  <c r="H161" i="6"/>
  <c r="N160" i="6"/>
  <c r="M160" i="6"/>
  <c r="L160" i="6"/>
  <c r="K160" i="6"/>
  <c r="J160" i="6"/>
  <c r="H160" i="6"/>
  <c r="N159" i="6"/>
  <c r="M159" i="6"/>
  <c r="L159" i="6"/>
  <c r="K159" i="6"/>
  <c r="J159" i="6"/>
  <c r="S159" i="6" s="1"/>
  <c r="H159" i="6"/>
  <c r="N158" i="6"/>
  <c r="M158" i="6"/>
  <c r="L158" i="6"/>
  <c r="K158" i="6"/>
  <c r="J158" i="6"/>
  <c r="H158" i="6"/>
  <c r="N157" i="6"/>
  <c r="M157" i="6"/>
  <c r="L157" i="6"/>
  <c r="K157" i="6"/>
  <c r="J157" i="6"/>
  <c r="H157" i="6"/>
  <c r="N156" i="6"/>
  <c r="M156" i="6"/>
  <c r="L156" i="6"/>
  <c r="K156" i="6"/>
  <c r="J156" i="6"/>
  <c r="S156" i="6" s="1"/>
  <c r="H156" i="6"/>
  <c r="N155" i="6"/>
  <c r="M155" i="6"/>
  <c r="L155" i="6"/>
  <c r="K155" i="6"/>
  <c r="J155" i="6"/>
  <c r="H155" i="6"/>
  <c r="N154" i="6"/>
  <c r="M154" i="6"/>
  <c r="L154" i="6"/>
  <c r="K154" i="6"/>
  <c r="J154" i="6"/>
  <c r="H154" i="6"/>
  <c r="N153" i="6"/>
  <c r="M153" i="6"/>
  <c r="L153" i="6"/>
  <c r="K153" i="6"/>
  <c r="J153" i="6"/>
  <c r="H153" i="6"/>
  <c r="N152" i="6"/>
  <c r="M152" i="6"/>
  <c r="L152" i="6"/>
  <c r="K152" i="6"/>
  <c r="J152" i="6"/>
  <c r="H152" i="6"/>
  <c r="N151" i="6"/>
  <c r="M151" i="6"/>
  <c r="L151" i="6"/>
  <c r="K151" i="6"/>
  <c r="J151" i="6"/>
  <c r="Q151" i="6" s="1"/>
  <c r="H151" i="6"/>
  <c r="N150" i="6"/>
  <c r="M150" i="6"/>
  <c r="L150" i="6"/>
  <c r="K150" i="6"/>
  <c r="J150" i="6"/>
  <c r="H150" i="6"/>
  <c r="N149" i="6"/>
  <c r="M149" i="6"/>
  <c r="L149" i="6"/>
  <c r="K149" i="6"/>
  <c r="J149" i="6"/>
  <c r="S149" i="6" s="1"/>
  <c r="H149" i="6"/>
  <c r="N148" i="6"/>
  <c r="M148" i="6"/>
  <c r="L148" i="6"/>
  <c r="K148" i="6"/>
  <c r="J148" i="6"/>
  <c r="H148" i="6"/>
  <c r="O148" i="6" s="1"/>
  <c r="N147" i="6"/>
  <c r="M147" i="6"/>
  <c r="L147" i="6"/>
  <c r="K147" i="6"/>
  <c r="J147" i="6"/>
  <c r="H147" i="6"/>
  <c r="N146" i="6"/>
  <c r="M146" i="6"/>
  <c r="L146" i="6"/>
  <c r="K146" i="6"/>
  <c r="J146" i="6"/>
  <c r="H146" i="6"/>
  <c r="O147" i="6" s="1"/>
  <c r="N145" i="6"/>
  <c r="M145" i="6"/>
  <c r="L145" i="6"/>
  <c r="K145" i="6"/>
  <c r="J145" i="6"/>
  <c r="H145" i="6"/>
  <c r="N144" i="6"/>
  <c r="M144" i="6"/>
  <c r="L144" i="6"/>
  <c r="K144" i="6"/>
  <c r="J144" i="6"/>
  <c r="H144" i="6"/>
  <c r="N143" i="6"/>
  <c r="M143" i="6"/>
  <c r="L143" i="6"/>
  <c r="K143" i="6"/>
  <c r="J143" i="6"/>
  <c r="H143" i="6"/>
  <c r="N142" i="6"/>
  <c r="M142" i="6"/>
  <c r="L142" i="6"/>
  <c r="K142" i="6"/>
  <c r="J142" i="6"/>
  <c r="H142" i="6"/>
  <c r="N141" i="6"/>
  <c r="M141" i="6"/>
  <c r="L141" i="6"/>
  <c r="S141" i="6" s="1"/>
  <c r="K141" i="6"/>
  <c r="J141" i="6"/>
  <c r="H141" i="6"/>
  <c r="N140" i="6"/>
  <c r="M140" i="6"/>
  <c r="L140" i="6"/>
  <c r="K140" i="6"/>
  <c r="J140" i="6"/>
  <c r="H140" i="6"/>
  <c r="N139" i="6"/>
  <c r="M139" i="6"/>
  <c r="L139" i="6"/>
  <c r="K139" i="6"/>
  <c r="J139" i="6"/>
  <c r="H139" i="6"/>
  <c r="N138" i="6"/>
  <c r="M138" i="6"/>
  <c r="L138" i="6"/>
  <c r="K138" i="6"/>
  <c r="J138" i="6"/>
  <c r="H138" i="6"/>
  <c r="N137" i="6"/>
  <c r="M137" i="6"/>
  <c r="L137" i="6"/>
  <c r="K137" i="6"/>
  <c r="J137" i="6"/>
  <c r="H137" i="6"/>
  <c r="N136" i="6"/>
  <c r="M136" i="6"/>
  <c r="L136" i="6"/>
  <c r="K136" i="6"/>
  <c r="J136" i="6"/>
  <c r="S136" i="6" s="1"/>
  <c r="H136" i="6"/>
  <c r="O136" i="6" s="1"/>
  <c r="N135" i="6"/>
  <c r="M135" i="6"/>
  <c r="L135" i="6"/>
  <c r="K135" i="6"/>
  <c r="J135" i="6"/>
  <c r="H135" i="6"/>
  <c r="N134" i="6"/>
  <c r="M134" i="6"/>
  <c r="L134" i="6"/>
  <c r="S134" i="6" s="1"/>
  <c r="K134" i="6"/>
  <c r="J134" i="6"/>
  <c r="H134" i="6"/>
  <c r="O134" i="6" s="1"/>
  <c r="N133" i="6"/>
  <c r="M133" i="6"/>
  <c r="L133" i="6"/>
  <c r="K133" i="6"/>
  <c r="J133" i="6"/>
  <c r="H133" i="6"/>
  <c r="N132" i="6"/>
  <c r="M132" i="6"/>
  <c r="L132" i="6"/>
  <c r="K132" i="6"/>
  <c r="J132" i="6"/>
  <c r="H132" i="6"/>
  <c r="N131" i="6"/>
  <c r="M131" i="6"/>
  <c r="L131" i="6"/>
  <c r="K131" i="6"/>
  <c r="J131" i="6"/>
  <c r="S131" i="6" s="1"/>
  <c r="H131" i="6"/>
  <c r="N130" i="6"/>
  <c r="M130" i="6"/>
  <c r="L130" i="6"/>
  <c r="K130" i="6"/>
  <c r="J130" i="6"/>
  <c r="H130" i="6"/>
  <c r="N129" i="6"/>
  <c r="M129" i="6"/>
  <c r="L129" i="6"/>
  <c r="K129" i="6"/>
  <c r="J129" i="6"/>
  <c r="H129" i="6"/>
  <c r="N128" i="6"/>
  <c r="M128" i="6"/>
  <c r="L128" i="6"/>
  <c r="K128" i="6"/>
  <c r="J128" i="6"/>
  <c r="H128" i="6"/>
  <c r="N127" i="6"/>
  <c r="M127" i="6"/>
  <c r="L127" i="6"/>
  <c r="K127" i="6"/>
  <c r="J127" i="6"/>
  <c r="H127" i="6"/>
  <c r="N126" i="6"/>
  <c r="M126" i="6"/>
  <c r="L126" i="6"/>
  <c r="K126" i="6"/>
  <c r="J126" i="6"/>
  <c r="H126" i="6"/>
  <c r="O126" i="6" s="1"/>
  <c r="N125" i="6"/>
  <c r="M125" i="6"/>
  <c r="L125" i="6"/>
  <c r="K125" i="6"/>
  <c r="J125" i="6"/>
  <c r="H125" i="6"/>
  <c r="N124" i="6"/>
  <c r="M124" i="6"/>
  <c r="L124" i="6"/>
  <c r="K124" i="6"/>
  <c r="J124" i="6"/>
  <c r="H124" i="6"/>
  <c r="O125" i="6" s="1"/>
  <c r="N123" i="6"/>
  <c r="M123" i="6"/>
  <c r="L123" i="6"/>
  <c r="K123" i="6"/>
  <c r="J123" i="6"/>
  <c r="S123" i="6" s="1"/>
  <c r="H123" i="6"/>
  <c r="N122" i="6"/>
  <c r="M122" i="6"/>
  <c r="L122" i="6"/>
  <c r="K122" i="6"/>
  <c r="J122" i="6"/>
  <c r="H122" i="6"/>
  <c r="N121" i="6"/>
  <c r="M121" i="6"/>
  <c r="L121" i="6"/>
  <c r="K121" i="6"/>
  <c r="J121" i="6"/>
  <c r="H121" i="6"/>
  <c r="O121" i="6" s="1"/>
  <c r="R120" i="6"/>
  <c r="N120" i="6"/>
  <c r="M120" i="6"/>
  <c r="L120" i="6"/>
  <c r="K120" i="6"/>
  <c r="J120" i="6"/>
  <c r="H120" i="6"/>
  <c r="O120" i="6" s="1"/>
  <c r="N119" i="6"/>
  <c r="M119" i="6"/>
  <c r="L119" i="6"/>
  <c r="K119" i="6"/>
  <c r="J119" i="6"/>
  <c r="H119" i="6"/>
  <c r="N118" i="6"/>
  <c r="M118" i="6"/>
  <c r="L118" i="6"/>
  <c r="K118" i="6"/>
  <c r="J118" i="6"/>
  <c r="H118" i="6"/>
  <c r="O119" i="6" s="1"/>
  <c r="N117" i="6"/>
  <c r="M117" i="6"/>
  <c r="L117" i="6"/>
  <c r="K117" i="6"/>
  <c r="J117" i="6"/>
  <c r="H117" i="6"/>
  <c r="N116" i="6"/>
  <c r="M116" i="6"/>
  <c r="L116" i="6"/>
  <c r="K116" i="6"/>
  <c r="J116" i="6"/>
  <c r="H116" i="6"/>
  <c r="O116" i="6" s="1"/>
  <c r="N115" i="6"/>
  <c r="M115" i="6"/>
  <c r="L115" i="6"/>
  <c r="K115" i="6"/>
  <c r="J115" i="6"/>
  <c r="S115" i="6" s="1"/>
  <c r="H115" i="6"/>
  <c r="O115" i="6" s="1"/>
  <c r="N114" i="6"/>
  <c r="M114" i="6"/>
  <c r="L114" i="6"/>
  <c r="K114" i="6"/>
  <c r="J114" i="6"/>
  <c r="H114" i="6"/>
  <c r="N113" i="6"/>
  <c r="M113" i="6"/>
  <c r="L113" i="6"/>
  <c r="K113" i="6"/>
  <c r="J113" i="6"/>
  <c r="H113" i="6"/>
  <c r="N112" i="6"/>
  <c r="M112" i="6"/>
  <c r="L112" i="6"/>
  <c r="K112" i="6"/>
  <c r="J112" i="6"/>
  <c r="H112" i="6"/>
  <c r="N111" i="6"/>
  <c r="M111" i="6"/>
  <c r="L111" i="6"/>
  <c r="K111" i="6"/>
  <c r="S111" i="6" s="1"/>
  <c r="J111" i="6"/>
  <c r="H111" i="6"/>
  <c r="N110" i="6"/>
  <c r="M110" i="6"/>
  <c r="L110" i="6"/>
  <c r="K110" i="6"/>
  <c r="J110" i="6"/>
  <c r="S110" i="6" s="1"/>
  <c r="H110" i="6"/>
  <c r="N109" i="6"/>
  <c r="M109" i="6"/>
  <c r="L109" i="6"/>
  <c r="K109" i="6"/>
  <c r="J109" i="6"/>
  <c r="H109" i="6"/>
  <c r="N108" i="6"/>
  <c r="M108" i="6"/>
  <c r="L108" i="6"/>
  <c r="K108" i="6"/>
  <c r="J108" i="6"/>
  <c r="H108" i="6"/>
  <c r="N107" i="6"/>
  <c r="M107" i="6"/>
  <c r="L107" i="6"/>
  <c r="K107" i="6"/>
  <c r="J107" i="6"/>
  <c r="H107" i="6"/>
  <c r="N106" i="6"/>
  <c r="M106" i="6"/>
  <c r="L106" i="6"/>
  <c r="K106" i="6"/>
  <c r="S106" i="6" s="1"/>
  <c r="J106" i="6"/>
  <c r="H106" i="6"/>
  <c r="N105" i="6"/>
  <c r="M105" i="6"/>
  <c r="L105" i="6"/>
  <c r="K105" i="6"/>
  <c r="J105" i="6"/>
  <c r="S105" i="6" s="1"/>
  <c r="H105" i="6"/>
  <c r="N104" i="6"/>
  <c r="M104" i="6"/>
  <c r="L104" i="6"/>
  <c r="K104" i="6"/>
  <c r="J104" i="6"/>
  <c r="H104" i="6"/>
  <c r="N103" i="6"/>
  <c r="M103" i="6"/>
  <c r="L103" i="6"/>
  <c r="K103" i="6"/>
  <c r="J103" i="6"/>
  <c r="H103" i="6"/>
  <c r="N102" i="6"/>
  <c r="M102" i="6"/>
  <c r="L102" i="6"/>
  <c r="K102" i="6"/>
  <c r="J102" i="6"/>
  <c r="H102" i="6"/>
  <c r="N101" i="6"/>
  <c r="M101" i="6"/>
  <c r="L101" i="6"/>
  <c r="K101" i="6"/>
  <c r="J101" i="6"/>
  <c r="H101" i="6"/>
  <c r="N100" i="6"/>
  <c r="M100" i="6"/>
  <c r="L100" i="6"/>
  <c r="K100" i="6"/>
  <c r="J100" i="6"/>
  <c r="S100" i="6" s="1"/>
  <c r="H100" i="6"/>
  <c r="O100" i="6" s="1"/>
  <c r="N99" i="6"/>
  <c r="M99" i="6"/>
  <c r="L99" i="6"/>
  <c r="K99" i="6"/>
  <c r="J99" i="6"/>
  <c r="H99" i="6"/>
  <c r="N98" i="6"/>
  <c r="M98" i="6"/>
  <c r="L98" i="6"/>
  <c r="K98" i="6"/>
  <c r="J98" i="6"/>
  <c r="H98" i="6"/>
  <c r="N97" i="6"/>
  <c r="M97" i="6"/>
  <c r="L97" i="6"/>
  <c r="K97" i="6"/>
  <c r="J97" i="6"/>
  <c r="H97" i="6"/>
  <c r="N96" i="6"/>
  <c r="M96" i="6"/>
  <c r="L96" i="6"/>
  <c r="K96" i="6"/>
  <c r="J96" i="6"/>
  <c r="H96" i="6"/>
  <c r="N95" i="6"/>
  <c r="M95" i="6"/>
  <c r="L95" i="6"/>
  <c r="K95" i="6"/>
  <c r="J95" i="6"/>
  <c r="H95" i="6"/>
  <c r="N94" i="6"/>
  <c r="M94" i="6"/>
  <c r="L94" i="6"/>
  <c r="K94" i="6"/>
  <c r="J94" i="6"/>
  <c r="H94" i="6"/>
  <c r="N93" i="6"/>
  <c r="M93" i="6"/>
  <c r="L93" i="6"/>
  <c r="K93" i="6"/>
  <c r="J93" i="6"/>
  <c r="S93" i="6" s="1"/>
  <c r="H93" i="6"/>
  <c r="N92" i="6"/>
  <c r="M92" i="6"/>
  <c r="L92" i="6"/>
  <c r="K92" i="6"/>
  <c r="J92" i="6"/>
  <c r="H92" i="6"/>
  <c r="N91" i="6"/>
  <c r="M91" i="6"/>
  <c r="L91" i="6"/>
  <c r="K91" i="6"/>
  <c r="J91" i="6"/>
  <c r="H91" i="6"/>
  <c r="N90" i="6"/>
  <c r="M90" i="6"/>
  <c r="L90" i="6"/>
  <c r="K90" i="6"/>
  <c r="J90" i="6"/>
  <c r="H90" i="6"/>
  <c r="N89" i="6"/>
  <c r="M89" i="6"/>
  <c r="L89" i="6"/>
  <c r="K89" i="6"/>
  <c r="J89" i="6"/>
  <c r="H89" i="6"/>
  <c r="N88" i="6"/>
  <c r="M88" i="6"/>
  <c r="L88" i="6"/>
  <c r="K88" i="6"/>
  <c r="J88" i="6"/>
  <c r="S88" i="6" s="1"/>
  <c r="H88" i="6"/>
  <c r="N87" i="6"/>
  <c r="M87" i="6"/>
  <c r="L87" i="6"/>
  <c r="K87" i="6"/>
  <c r="J87" i="6"/>
  <c r="H87" i="6"/>
  <c r="N86" i="6"/>
  <c r="M86" i="6"/>
  <c r="L86" i="6"/>
  <c r="K86" i="6"/>
  <c r="J86" i="6"/>
  <c r="H86" i="6"/>
  <c r="O87" i="6" s="1"/>
  <c r="N85" i="6"/>
  <c r="M85" i="6"/>
  <c r="L85" i="6"/>
  <c r="K85" i="6"/>
  <c r="J85" i="6"/>
  <c r="R85" i="6" s="1"/>
  <c r="H85" i="6"/>
  <c r="N84" i="6"/>
  <c r="M84" i="6"/>
  <c r="L84" i="6"/>
  <c r="K84" i="6"/>
  <c r="J84" i="6"/>
  <c r="H84" i="6"/>
  <c r="N83" i="6"/>
  <c r="M83" i="6"/>
  <c r="L83" i="6"/>
  <c r="K83" i="6"/>
  <c r="J83" i="6"/>
  <c r="S83" i="6" s="1"/>
  <c r="H83" i="6"/>
  <c r="N82" i="6"/>
  <c r="M82" i="6"/>
  <c r="L82" i="6"/>
  <c r="K82" i="6"/>
  <c r="J82" i="6"/>
  <c r="H82" i="6"/>
  <c r="N81" i="6"/>
  <c r="M81" i="6"/>
  <c r="L81" i="6"/>
  <c r="K81" i="6"/>
  <c r="J81" i="6"/>
  <c r="H81" i="6"/>
  <c r="N80" i="6"/>
  <c r="M80" i="6"/>
  <c r="L80" i="6"/>
  <c r="K80" i="6"/>
  <c r="J80" i="6"/>
  <c r="S80" i="6" s="1"/>
  <c r="H80" i="6"/>
  <c r="N79" i="6"/>
  <c r="M79" i="6"/>
  <c r="L79" i="6"/>
  <c r="K79" i="6"/>
  <c r="J79" i="6"/>
  <c r="H79" i="6"/>
  <c r="N78" i="6"/>
  <c r="M78" i="6"/>
  <c r="L78" i="6"/>
  <c r="K78" i="6"/>
  <c r="J78" i="6"/>
  <c r="S78" i="6" s="1"/>
  <c r="H78" i="6"/>
  <c r="N77" i="6"/>
  <c r="M77" i="6"/>
  <c r="L77" i="6"/>
  <c r="K77" i="6"/>
  <c r="J77" i="6"/>
  <c r="H77" i="6"/>
  <c r="N76" i="6"/>
  <c r="M76" i="6"/>
  <c r="L76" i="6"/>
  <c r="K76" i="6"/>
  <c r="J76" i="6"/>
  <c r="H76" i="6"/>
  <c r="N75" i="6"/>
  <c r="M75" i="6"/>
  <c r="L75" i="6"/>
  <c r="K75" i="6"/>
  <c r="J75" i="6"/>
  <c r="S75" i="6" s="1"/>
  <c r="H75" i="6"/>
  <c r="O75" i="6" s="1"/>
  <c r="N74" i="6"/>
  <c r="M74" i="6"/>
  <c r="L74" i="6"/>
  <c r="K74" i="6"/>
  <c r="J74" i="6"/>
  <c r="H74" i="6"/>
  <c r="N73" i="6"/>
  <c r="M73" i="6"/>
  <c r="L73" i="6"/>
  <c r="K73" i="6"/>
  <c r="J73" i="6"/>
  <c r="H73" i="6"/>
  <c r="O73" i="6" s="1"/>
  <c r="N72" i="6"/>
  <c r="M72" i="6"/>
  <c r="L72" i="6"/>
  <c r="K72" i="6"/>
  <c r="J72" i="6"/>
  <c r="H72" i="6"/>
  <c r="N71" i="6"/>
  <c r="M71" i="6"/>
  <c r="L71" i="6"/>
  <c r="K71" i="6"/>
  <c r="J71" i="6"/>
  <c r="H71" i="6"/>
  <c r="N70" i="6"/>
  <c r="M70" i="6"/>
  <c r="L70" i="6"/>
  <c r="K70" i="6"/>
  <c r="J70" i="6"/>
  <c r="H70" i="6"/>
  <c r="Q69" i="6"/>
  <c r="N69" i="6"/>
  <c r="M69" i="6"/>
  <c r="L69" i="6"/>
  <c r="K69" i="6"/>
  <c r="J69" i="6"/>
  <c r="H69" i="6"/>
  <c r="N68" i="6"/>
  <c r="M68" i="6"/>
  <c r="L68" i="6"/>
  <c r="K68" i="6"/>
  <c r="J68" i="6"/>
  <c r="H68" i="6"/>
  <c r="O69" i="6" s="1"/>
  <c r="N67" i="6"/>
  <c r="M67" i="6"/>
  <c r="L67" i="6"/>
  <c r="K67" i="6"/>
  <c r="J67" i="6"/>
  <c r="H67" i="6"/>
  <c r="N66" i="6"/>
  <c r="M66" i="6"/>
  <c r="L66" i="6"/>
  <c r="K66" i="6"/>
  <c r="J66" i="6"/>
  <c r="H66" i="6"/>
  <c r="N65" i="6"/>
  <c r="M65" i="6"/>
  <c r="L65" i="6"/>
  <c r="K65" i="6"/>
  <c r="J65" i="6"/>
  <c r="S65" i="6" s="1"/>
  <c r="H65" i="6"/>
  <c r="O66" i="6" s="1"/>
  <c r="N64" i="6"/>
  <c r="M64" i="6"/>
  <c r="L64" i="6"/>
  <c r="K64" i="6"/>
  <c r="J64" i="6"/>
  <c r="H64" i="6"/>
  <c r="N63" i="6"/>
  <c r="M63" i="6"/>
  <c r="L63" i="6"/>
  <c r="K63" i="6"/>
  <c r="J63" i="6"/>
  <c r="H63" i="6"/>
  <c r="N62" i="6"/>
  <c r="M62" i="6"/>
  <c r="L62" i="6"/>
  <c r="K62" i="6"/>
  <c r="J62" i="6"/>
  <c r="S62" i="6" s="1"/>
  <c r="H62" i="6"/>
  <c r="N61" i="6"/>
  <c r="M61" i="6"/>
  <c r="L61" i="6"/>
  <c r="K61" i="6"/>
  <c r="J61" i="6"/>
  <c r="H61" i="6"/>
  <c r="N60" i="6"/>
  <c r="M60" i="6"/>
  <c r="L60" i="6"/>
  <c r="K60" i="6"/>
  <c r="J60" i="6"/>
  <c r="H60" i="6"/>
  <c r="O59" i="6"/>
  <c r="N59" i="6"/>
  <c r="M59" i="6"/>
  <c r="L59" i="6"/>
  <c r="K59" i="6"/>
  <c r="J59" i="6"/>
  <c r="H59" i="6"/>
  <c r="N58" i="6"/>
  <c r="M58" i="6"/>
  <c r="L58" i="6"/>
  <c r="Q58" i="6" s="1"/>
  <c r="K58" i="6"/>
  <c r="J58" i="6"/>
  <c r="H58" i="6"/>
  <c r="N57" i="6"/>
  <c r="M57" i="6"/>
  <c r="L57" i="6"/>
  <c r="K57" i="6"/>
  <c r="J57" i="6"/>
  <c r="H57" i="6"/>
  <c r="O58" i="6" s="1"/>
  <c r="N56" i="6"/>
  <c r="M56" i="6"/>
  <c r="L56" i="6"/>
  <c r="K56" i="6"/>
  <c r="J56" i="6"/>
  <c r="H56" i="6"/>
  <c r="N55" i="6"/>
  <c r="M55" i="6"/>
  <c r="L55" i="6"/>
  <c r="K55" i="6"/>
  <c r="J55" i="6"/>
  <c r="S55" i="6" s="1"/>
  <c r="H55" i="6"/>
  <c r="N54" i="6"/>
  <c r="M54" i="6"/>
  <c r="L54" i="6"/>
  <c r="K54" i="6"/>
  <c r="J54" i="6"/>
  <c r="S54" i="6" s="1"/>
  <c r="H54" i="6"/>
  <c r="N53" i="6"/>
  <c r="M53" i="6"/>
  <c r="L53" i="6"/>
  <c r="S53" i="6" s="1"/>
  <c r="K53" i="6"/>
  <c r="J53" i="6"/>
  <c r="H53" i="6"/>
  <c r="N52" i="6"/>
  <c r="M52" i="6"/>
  <c r="L52" i="6"/>
  <c r="K52" i="6"/>
  <c r="J52" i="6"/>
  <c r="H52" i="6"/>
  <c r="N51" i="6"/>
  <c r="M51" i="6"/>
  <c r="L51" i="6"/>
  <c r="K51" i="6"/>
  <c r="J51" i="6"/>
  <c r="H51" i="6"/>
  <c r="N50" i="6"/>
  <c r="M50" i="6"/>
  <c r="L50" i="6"/>
  <c r="K50" i="6"/>
  <c r="J50" i="6"/>
  <c r="H50" i="6"/>
  <c r="N49" i="6"/>
  <c r="M49" i="6"/>
  <c r="L49" i="6"/>
  <c r="K49" i="6"/>
  <c r="J49" i="6"/>
  <c r="S49" i="6" s="1"/>
  <c r="H49" i="6"/>
  <c r="O49" i="6" s="1"/>
  <c r="N48" i="6"/>
  <c r="M48" i="6"/>
  <c r="L48" i="6"/>
  <c r="K48" i="6"/>
  <c r="J48" i="6"/>
  <c r="H48" i="6"/>
  <c r="N47" i="6"/>
  <c r="M47" i="6"/>
  <c r="L47" i="6"/>
  <c r="K47" i="6"/>
  <c r="J47" i="6"/>
  <c r="S47" i="6" s="1"/>
  <c r="H47" i="6"/>
  <c r="N46" i="6"/>
  <c r="M46" i="6"/>
  <c r="L46" i="6"/>
  <c r="K46" i="6"/>
  <c r="J46" i="6"/>
  <c r="H46" i="6"/>
  <c r="N45" i="6"/>
  <c r="M45" i="6"/>
  <c r="L45" i="6"/>
  <c r="K45" i="6"/>
  <c r="J45" i="6"/>
  <c r="S45" i="6" s="1"/>
  <c r="H45" i="6"/>
  <c r="N44" i="6"/>
  <c r="M44" i="6"/>
  <c r="L44" i="6"/>
  <c r="K44" i="6"/>
  <c r="J44" i="6"/>
  <c r="S44" i="6" s="1"/>
  <c r="H44" i="6"/>
  <c r="N43" i="6"/>
  <c r="M43" i="6"/>
  <c r="L43" i="6"/>
  <c r="K43" i="6"/>
  <c r="J43" i="6"/>
  <c r="H43" i="6"/>
  <c r="N42" i="6"/>
  <c r="M42" i="6"/>
  <c r="L42" i="6"/>
  <c r="K42" i="6"/>
  <c r="J42" i="6"/>
  <c r="S42" i="6" s="1"/>
  <c r="H42" i="6"/>
  <c r="N41" i="6"/>
  <c r="M41" i="6"/>
  <c r="L41" i="6"/>
  <c r="K41" i="6"/>
  <c r="J41" i="6"/>
  <c r="H41" i="6"/>
  <c r="N40" i="6"/>
  <c r="M40" i="6"/>
  <c r="L40" i="6"/>
  <c r="K40" i="6"/>
  <c r="J40" i="6"/>
  <c r="S40" i="6" s="1"/>
  <c r="H40" i="6"/>
  <c r="N39" i="6"/>
  <c r="M39" i="6"/>
  <c r="L39" i="6"/>
  <c r="K39" i="6"/>
  <c r="J39" i="6"/>
  <c r="S39" i="6" s="1"/>
  <c r="H39" i="6"/>
  <c r="N38" i="6"/>
  <c r="M38" i="6"/>
  <c r="L38" i="6"/>
  <c r="K38" i="6"/>
  <c r="J38" i="6"/>
  <c r="H38" i="6"/>
  <c r="N37" i="6"/>
  <c r="M37" i="6"/>
  <c r="L37" i="6"/>
  <c r="K37" i="6"/>
  <c r="J37" i="6"/>
  <c r="S37" i="6" s="1"/>
  <c r="H37" i="6"/>
  <c r="O37" i="6" s="1"/>
  <c r="O36" i="6"/>
  <c r="N36" i="6"/>
  <c r="M36" i="6"/>
  <c r="L36" i="6"/>
  <c r="K36" i="6"/>
  <c r="J36" i="6"/>
  <c r="S36" i="6" s="1"/>
  <c r="H36" i="6"/>
  <c r="N35" i="6"/>
  <c r="M35" i="6"/>
  <c r="L35" i="6"/>
  <c r="K35" i="6"/>
  <c r="J35" i="6"/>
  <c r="H35" i="6"/>
  <c r="N34" i="6"/>
  <c r="M34" i="6"/>
  <c r="L34" i="6"/>
  <c r="K34" i="6"/>
  <c r="J34" i="6"/>
  <c r="H34" i="6"/>
  <c r="N33" i="6"/>
  <c r="M33" i="6"/>
  <c r="L33" i="6"/>
  <c r="K33" i="6"/>
  <c r="J33" i="6"/>
  <c r="H33" i="6"/>
  <c r="N32" i="6"/>
  <c r="M32" i="6"/>
  <c r="L32" i="6"/>
  <c r="K32" i="6"/>
  <c r="J32" i="6"/>
  <c r="H32" i="6"/>
  <c r="O32" i="6" s="1"/>
  <c r="N31" i="6"/>
  <c r="M31" i="6"/>
  <c r="L31" i="6"/>
  <c r="K31" i="6"/>
  <c r="J31" i="6"/>
  <c r="H31" i="6"/>
  <c r="N30" i="6"/>
  <c r="M30" i="6"/>
  <c r="L30" i="6"/>
  <c r="K30" i="6"/>
  <c r="S30" i="6" s="1"/>
  <c r="J30" i="6"/>
  <c r="H30" i="6"/>
  <c r="N29" i="6"/>
  <c r="M29" i="6"/>
  <c r="L29" i="6"/>
  <c r="K29" i="6"/>
  <c r="J29" i="6"/>
  <c r="S29" i="6" s="1"/>
  <c r="H29" i="6"/>
  <c r="O29" i="6" s="1"/>
  <c r="N28" i="6"/>
  <c r="M28" i="6"/>
  <c r="L28" i="6"/>
  <c r="K28" i="6"/>
  <c r="J28" i="6"/>
  <c r="H28" i="6"/>
  <c r="N27" i="6"/>
  <c r="M27" i="6"/>
  <c r="L27" i="6"/>
  <c r="K27" i="6"/>
  <c r="J27" i="6"/>
  <c r="H27" i="6"/>
  <c r="N26" i="6"/>
  <c r="M26" i="6"/>
  <c r="L26" i="6"/>
  <c r="K26" i="6"/>
  <c r="J26" i="6"/>
  <c r="S26" i="6" s="1"/>
  <c r="H26" i="6"/>
  <c r="O26" i="6" s="1"/>
  <c r="N25" i="6"/>
  <c r="M25" i="6"/>
  <c r="L25" i="6"/>
  <c r="R25" i="6" s="1"/>
  <c r="K25" i="6"/>
  <c r="J25" i="6"/>
  <c r="H25" i="6"/>
  <c r="N24" i="6"/>
  <c r="M24" i="6"/>
  <c r="L24" i="6"/>
  <c r="K24" i="6"/>
  <c r="J24" i="6"/>
  <c r="H24" i="6"/>
  <c r="O25" i="6" s="1"/>
  <c r="Z24" i="6"/>
  <c r="N23" i="6"/>
  <c r="M23" i="6"/>
  <c r="L23" i="6"/>
  <c r="K23" i="6"/>
  <c r="J23" i="6"/>
  <c r="S23" i="6" s="1"/>
  <c r="H23" i="6"/>
  <c r="Y23" i="6"/>
  <c r="N22" i="6"/>
  <c r="M22" i="6"/>
  <c r="L22" i="6"/>
  <c r="K22" i="6"/>
  <c r="J22" i="6"/>
  <c r="H22" i="6"/>
  <c r="X22" i="6"/>
  <c r="V22" i="6"/>
  <c r="N21" i="6"/>
  <c r="M21" i="6"/>
  <c r="L21" i="6"/>
  <c r="K21" i="6"/>
  <c r="J21" i="6"/>
  <c r="H21" i="6"/>
  <c r="W21" i="6"/>
  <c r="W40" i="6" s="1" a="1"/>
  <c r="W40" i="6" s="1"/>
  <c r="N20" i="6"/>
  <c r="M20" i="6"/>
  <c r="L20" i="6"/>
  <c r="K20" i="6"/>
  <c r="J20" i="6"/>
  <c r="H20" i="6"/>
  <c r="Z20" i="6"/>
  <c r="V24" i="6" s="1"/>
  <c r="Y20" i="6"/>
  <c r="V23" i="6" s="1"/>
  <c r="X20" i="6"/>
  <c r="W20" i="6"/>
  <c r="V21" i="6" s="1"/>
  <c r="N19" i="6"/>
  <c r="M19" i="6"/>
  <c r="L19" i="6"/>
  <c r="K19" i="6"/>
  <c r="J19" i="6"/>
  <c r="H19" i="6"/>
  <c r="N18" i="6"/>
  <c r="M18" i="6"/>
  <c r="L18" i="6"/>
  <c r="K18" i="6"/>
  <c r="J18" i="6"/>
  <c r="S18" i="6" s="1"/>
  <c r="H18" i="6"/>
  <c r="N17" i="6"/>
  <c r="M17" i="6"/>
  <c r="L17" i="6"/>
  <c r="K17" i="6"/>
  <c r="J17" i="6"/>
  <c r="H17" i="6"/>
  <c r="AA16" i="6"/>
  <c r="N16" i="6"/>
  <c r="M16" i="6"/>
  <c r="L16" i="6"/>
  <c r="K16" i="6"/>
  <c r="J16" i="6"/>
  <c r="H16" i="6"/>
  <c r="O16" i="6" s="1"/>
  <c r="O15" i="6"/>
  <c r="N15" i="6"/>
  <c r="M15" i="6"/>
  <c r="L15" i="6"/>
  <c r="K15" i="6"/>
  <c r="J15" i="6"/>
  <c r="S15" i="6" s="1"/>
  <c r="H15" i="6"/>
  <c r="N14" i="6"/>
  <c r="M14" i="6"/>
  <c r="L14" i="6"/>
  <c r="K14" i="6"/>
  <c r="S14" i="6" s="1"/>
  <c r="J14" i="6"/>
  <c r="H14" i="6"/>
  <c r="N13" i="6"/>
  <c r="M13" i="6"/>
  <c r="L13" i="6"/>
  <c r="K13" i="6"/>
  <c r="S13" i="6" s="1"/>
  <c r="J13" i="6"/>
  <c r="H13" i="6"/>
  <c r="O13" i="6" s="1"/>
  <c r="W12" i="6"/>
  <c r="N12" i="6"/>
  <c r="M12" i="6"/>
  <c r="L12" i="6"/>
  <c r="K12" i="6"/>
  <c r="J12" i="6"/>
  <c r="H12" i="6"/>
  <c r="N11" i="6"/>
  <c r="M11" i="6"/>
  <c r="L11" i="6"/>
  <c r="K11" i="6"/>
  <c r="J11" i="6"/>
  <c r="H11" i="6"/>
  <c r="N10" i="6"/>
  <c r="M10" i="6"/>
  <c r="L10" i="6"/>
  <c r="K10" i="6"/>
  <c r="J10" i="6"/>
  <c r="S10" i="6" s="1"/>
  <c r="H10" i="6"/>
  <c r="N9" i="6"/>
  <c r="M9" i="6"/>
  <c r="L9" i="6"/>
  <c r="K9" i="6"/>
  <c r="J9" i="6"/>
  <c r="H9" i="6"/>
  <c r="N8" i="6"/>
  <c r="M8" i="6"/>
  <c r="L8" i="6"/>
  <c r="K8" i="6"/>
  <c r="J8" i="6"/>
  <c r="H8" i="6"/>
  <c r="O8" i="6" s="1"/>
  <c r="N7" i="6"/>
  <c r="M7" i="6"/>
  <c r="L7" i="6"/>
  <c r="K7" i="6"/>
  <c r="J7" i="6"/>
  <c r="H7" i="6"/>
  <c r="N6" i="6"/>
  <c r="M6" i="6"/>
  <c r="L6" i="6"/>
  <c r="K6" i="6"/>
  <c r="J6" i="6"/>
  <c r="H6" i="6"/>
  <c r="N5" i="6"/>
  <c r="M5" i="6"/>
  <c r="L5" i="6"/>
  <c r="K5" i="6"/>
  <c r="J5" i="6"/>
  <c r="S5" i="6" s="1"/>
  <c r="H5" i="6"/>
  <c r="N4" i="6"/>
  <c r="M4" i="6"/>
  <c r="L4" i="6"/>
  <c r="K4" i="6"/>
  <c r="J4" i="6"/>
  <c r="H4" i="6"/>
  <c r="N3" i="6"/>
  <c r="M3" i="6"/>
  <c r="L3" i="6"/>
  <c r="K3" i="6"/>
  <c r="J3" i="6"/>
  <c r="S3" i="6" s="1"/>
  <c r="H3" i="6"/>
  <c r="H2" i="6"/>
  <c r="O177" i="5"/>
  <c r="O235" i="5"/>
  <c r="O237" i="5"/>
  <c r="M3" i="5"/>
  <c r="H3" i="5"/>
  <c r="U12" i="5"/>
  <c r="Y17" i="5"/>
  <c r="N254" i="5"/>
  <c r="M254" i="5"/>
  <c r="L254" i="5"/>
  <c r="K254" i="5"/>
  <c r="J254" i="5"/>
  <c r="H254" i="5"/>
  <c r="N253" i="5"/>
  <c r="M253" i="5"/>
  <c r="L253" i="5"/>
  <c r="K253" i="5"/>
  <c r="J253" i="5"/>
  <c r="R253" i="5" s="1"/>
  <c r="H253" i="5"/>
  <c r="O253" i="5" s="1"/>
  <c r="N252" i="5"/>
  <c r="M252" i="5"/>
  <c r="L252" i="5"/>
  <c r="K252" i="5"/>
  <c r="J252" i="5"/>
  <c r="H252" i="5"/>
  <c r="N251" i="5"/>
  <c r="M251" i="5"/>
  <c r="L251" i="5"/>
  <c r="K251" i="5"/>
  <c r="J251" i="5"/>
  <c r="H251" i="5"/>
  <c r="N250" i="5"/>
  <c r="M250" i="5"/>
  <c r="L250" i="5"/>
  <c r="K250" i="5"/>
  <c r="J250" i="5"/>
  <c r="H250" i="5"/>
  <c r="N249" i="5"/>
  <c r="M249" i="5"/>
  <c r="L249" i="5"/>
  <c r="K249" i="5"/>
  <c r="J249" i="5"/>
  <c r="H249" i="5"/>
  <c r="N248" i="5"/>
  <c r="M248" i="5"/>
  <c r="L248" i="5"/>
  <c r="K248" i="5"/>
  <c r="J248" i="5"/>
  <c r="H248" i="5"/>
  <c r="O248" i="5" s="1"/>
  <c r="N247" i="5"/>
  <c r="M247" i="5"/>
  <c r="L247" i="5"/>
  <c r="K247" i="5"/>
  <c r="J247" i="5"/>
  <c r="H247" i="5"/>
  <c r="N246" i="5"/>
  <c r="M246" i="5"/>
  <c r="L246" i="5"/>
  <c r="K246" i="5"/>
  <c r="J246" i="5"/>
  <c r="H246" i="5"/>
  <c r="N245" i="5"/>
  <c r="M245" i="5"/>
  <c r="L245" i="5"/>
  <c r="K245" i="5"/>
  <c r="J245" i="5"/>
  <c r="H245" i="5"/>
  <c r="O245" i="5" s="1"/>
  <c r="N244" i="5"/>
  <c r="M244" i="5"/>
  <c r="L244" i="5"/>
  <c r="K244" i="5"/>
  <c r="J244" i="5"/>
  <c r="H244" i="5"/>
  <c r="N243" i="5"/>
  <c r="M243" i="5"/>
  <c r="L243" i="5"/>
  <c r="K243" i="5"/>
  <c r="J243" i="5"/>
  <c r="R243" i="5" s="1"/>
  <c r="H243" i="5"/>
  <c r="O243" i="5" s="1"/>
  <c r="N242" i="5"/>
  <c r="M242" i="5"/>
  <c r="L242" i="5"/>
  <c r="K242" i="5"/>
  <c r="J242" i="5"/>
  <c r="H242" i="5"/>
  <c r="N241" i="5"/>
  <c r="M241" i="5"/>
  <c r="L241" i="5"/>
  <c r="K241" i="5"/>
  <c r="J241" i="5"/>
  <c r="H241" i="5"/>
  <c r="N240" i="5"/>
  <c r="M240" i="5"/>
  <c r="L240" i="5"/>
  <c r="K240" i="5"/>
  <c r="J240" i="5"/>
  <c r="H240" i="5"/>
  <c r="N239" i="5"/>
  <c r="M239" i="5"/>
  <c r="L239" i="5"/>
  <c r="K239" i="5"/>
  <c r="J239" i="5"/>
  <c r="H239" i="5"/>
  <c r="N238" i="5"/>
  <c r="M238" i="5"/>
  <c r="L238" i="5"/>
  <c r="K238" i="5"/>
  <c r="J238" i="5"/>
  <c r="H238" i="5"/>
  <c r="O238" i="5" s="1"/>
  <c r="N237" i="5"/>
  <c r="M237" i="5"/>
  <c r="L237" i="5"/>
  <c r="K237" i="5"/>
  <c r="J237" i="5"/>
  <c r="H237" i="5"/>
  <c r="N236" i="5"/>
  <c r="M236" i="5"/>
  <c r="L236" i="5"/>
  <c r="K236" i="5"/>
  <c r="J236" i="5"/>
  <c r="H236" i="5"/>
  <c r="N235" i="5"/>
  <c r="M235" i="5"/>
  <c r="L235" i="5"/>
  <c r="K235" i="5"/>
  <c r="J235" i="5"/>
  <c r="H235" i="5"/>
  <c r="N234" i="5"/>
  <c r="M234" i="5"/>
  <c r="L234" i="5"/>
  <c r="K234" i="5"/>
  <c r="J234" i="5"/>
  <c r="H234" i="5"/>
  <c r="N233" i="5"/>
  <c r="M233" i="5"/>
  <c r="L233" i="5"/>
  <c r="K233" i="5"/>
  <c r="J233" i="5"/>
  <c r="R233" i="5" s="1"/>
  <c r="H233" i="5"/>
  <c r="O233" i="5" s="1"/>
  <c r="N232" i="5"/>
  <c r="M232" i="5"/>
  <c r="L232" i="5"/>
  <c r="K232" i="5"/>
  <c r="J232" i="5"/>
  <c r="H232" i="5"/>
  <c r="N231" i="5"/>
  <c r="M231" i="5"/>
  <c r="L231" i="5"/>
  <c r="K231" i="5"/>
  <c r="Q231" i="5" s="1"/>
  <c r="J231" i="5"/>
  <c r="H231" i="5"/>
  <c r="N230" i="5"/>
  <c r="M230" i="5"/>
  <c r="L230" i="5"/>
  <c r="K230" i="5"/>
  <c r="J230" i="5"/>
  <c r="H230" i="5"/>
  <c r="N229" i="5"/>
  <c r="M229" i="5"/>
  <c r="L229" i="5"/>
  <c r="K229" i="5"/>
  <c r="J229" i="5"/>
  <c r="H229" i="5"/>
  <c r="N228" i="5"/>
  <c r="M228" i="5"/>
  <c r="L228" i="5"/>
  <c r="K228" i="5"/>
  <c r="J228" i="5"/>
  <c r="R228" i="5" s="1"/>
  <c r="H228" i="5"/>
  <c r="O228" i="5" s="1"/>
  <c r="N227" i="5"/>
  <c r="M227" i="5"/>
  <c r="L227" i="5"/>
  <c r="K227" i="5"/>
  <c r="J227" i="5"/>
  <c r="H227" i="5"/>
  <c r="N226" i="5"/>
  <c r="M226" i="5"/>
  <c r="L226" i="5"/>
  <c r="K226" i="5"/>
  <c r="J226" i="5"/>
  <c r="H226" i="5"/>
  <c r="N225" i="5"/>
  <c r="M225" i="5"/>
  <c r="L225" i="5"/>
  <c r="K225" i="5"/>
  <c r="J225" i="5"/>
  <c r="H225" i="5"/>
  <c r="N224" i="5"/>
  <c r="M224" i="5"/>
  <c r="L224" i="5"/>
  <c r="K224" i="5"/>
  <c r="J224" i="5"/>
  <c r="H224" i="5"/>
  <c r="N223" i="5"/>
  <c r="M223" i="5"/>
  <c r="L223" i="5"/>
  <c r="K223" i="5"/>
  <c r="J223" i="5"/>
  <c r="H223" i="5"/>
  <c r="O223" i="5" s="1"/>
  <c r="N222" i="5"/>
  <c r="M222" i="5"/>
  <c r="L222" i="5"/>
  <c r="K222" i="5"/>
  <c r="J222" i="5"/>
  <c r="H222" i="5"/>
  <c r="N221" i="5"/>
  <c r="M221" i="5"/>
  <c r="L221" i="5"/>
  <c r="K221" i="5"/>
  <c r="J221" i="5"/>
  <c r="H221" i="5"/>
  <c r="N220" i="5"/>
  <c r="M220" i="5"/>
  <c r="L220" i="5"/>
  <c r="K220" i="5"/>
  <c r="J220" i="5"/>
  <c r="H220" i="5"/>
  <c r="N219" i="5"/>
  <c r="M219" i="5"/>
  <c r="L219" i="5"/>
  <c r="K219" i="5"/>
  <c r="J219" i="5"/>
  <c r="H219" i="5"/>
  <c r="N218" i="5"/>
  <c r="M218" i="5"/>
  <c r="L218" i="5"/>
  <c r="K218" i="5"/>
  <c r="J218" i="5"/>
  <c r="R218" i="5" s="1"/>
  <c r="H218" i="5"/>
  <c r="N217" i="5"/>
  <c r="M217" i="5"/>
  <c r="L217" i="5"/>
  <c r="K217" i="5"/>
  <c r="J217" i="5"/>
  <c r="H217" i="5"/>
  <c r="N216" i="5"/>
  <c r="M216" i="5"/>
  <c r="L216" i="5"/>
  <c r="K216" i="5"/>
  <c r="J216" i="5"/>
  <c r="H216" i="5"/>
  <c r="O216" i="5" s="1"/>
  <c r="N215" i="5"/>
  <c r="M215" i="5"/>
  <c r="L215" i="5"/>
  <c r="K215" i="5"/>
  <c r="J215" i="5"/>
  <c r="H215" i="5"/>
  <c r="N214" i="5"/>
  <c r="M214" i="5"/>
  <c r="L214" i="5"/>
  <c r="K214" i="5"/>
  <c r="J214" i="5"/>
  <c r="H214" i="5"/>
  <c r="N213" i="5"/>
  <c r="M213" i="5"/>
  <c r="L213" i="5"/>
  <c r="K213" i="5"/>
  <c r="J213" i="5"/>
  <c r="H213" i="5"/>
  <c r="N212" i="5"/>
  <c r="M212" i="5"/>
  <c r="L212" i="5"/>
  <c r="K212" i="5"/>
  <c r="J212" i="5"/>
  <c r="H212" i="5"/>
  <c r="N211" i="5"/>
  <c r="M211" i="5"/>
  <c r="L211" i="5"/>
  <c r="K211" i="5"/>
  <c r="J211" i="5"/>
  <c r="H211" i="5"/>
  <c r="N210" i="5"/>
  <c r="M210" i="5"/>
  <c r="L210" i="5"/>
  <c r="K210" i="5"/>
  <c r="J210" i="5"/>
  <c r="H210" i="5"/>
  <c r="N209" i="5"/>
  <c r="M209" i="5"/>
  <c r="L209" i="5"/>
  <c r="K209" i="5"/>
  <c r="J209" i="5"/>
  <c r="H209" i="5"/>
  <c r="N208" i="5"/>
  <c r="M208" i="5"/>
  <c r="L208" i="5"/>
  <c r="K208" i="5"/>
  <c r="J208" i="5"/>
  <c r="R208" i="5" s="1"/>
  <c r="H208" i="5"/>
  <c r="N207" i="5"/>
  <c r="M207" i="5"/>
  <c r="L207" i="5"/>
  <c r="K207" i="5"/>
  <c r="J207" i="5"/>
  <c r="H207" i="5"/>
  <c r="N206" i="5"/>
  <c r="M206" i="5"/>
  <c r="L206" i="5"/>
  <c r="K206" i="5"/>
  <c r="J206" i="5"/>
  <c r="Q206" i="5" s="1"/>
  <c r="H206" i="5"/>
  <c r="N205" i="5"/>
  <c r="M205" i="5"/>
  <c r="L205" i="5"/>
  <c r="K205" i="5"/>
  <c r="J205" i="5"/>
  <c r="H205" i="5"/>
  <c r="O205" i="5" s="1"/>
  <c r="N204" i="5"/>
  <c r="M204" i="5"/>
  <c r="L204" i="5"/>
  <c r="K204" i="5"/>
  <c r="J204" i="5"/>
  <c r="H204" i="5"/>
  <c r="N203" i="5"/>
  <c r="M203" i="5"/>
  <c r="L203" i="5"/>
  <c r="K203" i="5"/>
  <c r="J203" i="5"/>
  <c r="H203" i="5"/>
  <c r="N202" i="5"/>
  <c r="M202" i="5"/>
  <c r="L202" i="5"/>
  <c r="K202" i="5"/>
  <c r="J202" i="5"/>
  <c r="H202" i="5"/>
  <c r="O202" i="5" s="1"/>
  <c r="N201" i="5"/>
  <c r="M201" i="5"/>
  <c r="L201" i="5"/>
  <c r="K201" i="5"/>
  <c r="J201" i="5"/>
  <c r="H201" i="5"/>
  <c r="N200" i="5"/>
  <c r="M200" i="5"/>
  <c r="L200" i="5"/>
  <c r="K200" i="5"/>
  <c r="J200" i="5"/>
  <c r="H200" i="5"/>
  <c r="O200" i="5" s="1"/>
  <c r="N199" i="5"/>
  <c r="M199" i="5"/>
  <c r="L199" i="5"/>
  <c r="K199" i="5"/>
  <c r="J199" i="5"/>
  <c r="H199" i="5"/>
  <c r="N198" i="5"/>
  <c r="M198" i="5"/>
  <c r="L198" i="5"/>
  <c r="K198" i="5"/>
  <c r="J198" i="5"/>
  <c r="H198" i="5"/>
  <c r="O198" i="5" s="1"/>
  <c r="N197" i="5"/>
  <c r="M197" i="5"/>
  <c r="L197" i="5"/>
  <c r="K197" i="5"/>
  <c r="J197" i="5"/>
  <c r="H197" i="5"/>
  <c r="N196" i="5"/>
  <c r="M196" i="5"/>
  <c r="L196" i="5"/>
  <c r="K196" i="5"/>
  <c r="J196" i="5"/>
  <c r="H196" i="5"/>
  <c r="N195" i="5"/>
  <c r="M195" i="5"/>
  <c r="L195" i="5"/>
  <c r="K195" i="5"/>
  <c r="J195" i="5"/>
  <c r="H195" i="5"/>
  <c r="O195" i="5" s="1"/>
  <c r="N194" i="5"/>
  <c r="M194" i="5"/>
  <c r="L194" i="5"/>
  <c r="K194" i="5"/>
  <c r="J194" i="5"/>
  <c r="H194" i="5"/>
  <c r="N193" i="5"/>
  <c r="M193" i="5"/>
  <c r="L193" i="5"/>
  <c r="K193" i="5"/>
  <c r="J193" i="5"/>
  <c r="H193" i="5"/>
  <c r="N192" i="5"/>
  <c r="M192" i="5"/>
  <c r="L192" i="5"/>
  <c r="K192" i="5"/>
  <c r="J192" i="5"/>
  <c r="H192" i="5"/>
  <c r="O192" i="5" s="1"/>
  <c r="N191" i="5"/>
  <c r="M191" i="5"/>
  <c r="L191" i="5"/>
  <c r="K191" i="5"/>
  <c r="J191" i="5"/>
  <c r="H191" i="5"/>
  <c r="N190" i="5"/>
  <c r="M190" i="5"/>
  <c r="L190" i="5"/>
  <c r="K190" i="5"/>
  <c r="J190" i="5"/>
  <c r="H190" i="5"/>
  <c r="N189" i="5"/>
  <c r="M189" i="5"/>
  <c r="L189" i="5"/>
  <c r="K189" i="5"/>
  <c r="J189" i="5"/>
  <c r="H189" i="5"/>
  <c r="N188" i="5"/>
  <c r="M188" i="5"/>
  <c r="L188" i="5"/>
  <c r="K188" i="5"/>
  <c r="J188" i="5"/>
  <c r="H188" i="5"/>
  <c r="N187" i="5"/>
  <c r="M187" i="5"/>
  <c r="L187" i="5"/>
  <c r="K187" i="5"/>
  <c r="J187" i="5"/>
  <c r="H187" i="5"/>
  <c r="N186" i="5"/>
  <c r="M186" i="5"/>
  <c r="L186" i="5"/>
  <c r="Q186" i="5" s="1"/>
  <c r="K186" i="5"/>
  <c r="J186" i="5"/>
  <c r="H186" i="5"/>
  <c r="N185" i="5"/>
  <c r="M185" i="5"/>
  <c r="L185" i="5"/>
  <c r="K185" i="5"/>
  <c r="J185" i="5"/>
  <c r="H185" i="5"/>
  <c r="N184" i="5"/>
  <c r="M184" i="5"/>
  <c r="L184" i="5"/>
  <c r="K184" i="5"/>
  <c r="J184" i="5"/>
  <c r="H184" i="5"/>
  <c r="N183" i="5"/>
  <c r="M183" i="5"/>
  <c r="L183" i="5"/>
  <c r="K183" i="5"/>
  <c r="J183" i="5"/>
  <c r="H183" i="5"/>
  <c r="N182" i="5"/>
  <c r="M182" i="5"/>
  <c r="L182" i="5"/>
  <c r="K182" i="5"/>
  <c r="J182" i="5"/>
  <c r="H182" i="5"/>
  <c r="N181" i="5"/>
  <c r="M181" i="5"/>
  <c r="L181" i="5"/>
  <c r="K181" i="5"/>
  <c r="J181" i="5"/>
  <c r="H181" i="5"/>
  <c r="N180" i="5"/>
  <c r="M180" i="5"/>
  <c r="L180" i="5"/>
  <c r="K180" i="5"/>
  <c r="J180" i="5"/>
  <c r="H180" i="5"/>
  <c r="N179" i="5"/>
  <c r="M179" i="5"/>
  <c r="L179" i="5"/>
  <c r="K179" i="5"/>
  <c r="J179" i="5"/>
  <c r="H179" i="5"/>
  <c r="N178" i="5"/>
  <c r="M178" i="5"/>
  <c r="L178" i="5"/>
  <c r="K178" i="5"/>
  <c r="J178" i="5"/>
  <c r="H178" i="5"/>
  <c r="N177" i="5"/>
  <c r="M177" i="5"/>
  <c r="L177" i="5"/>
  <c r="K177" i="5"/>
  <c r="J177" i="5"/>
  <c r="H177" i="5"/>
  <c r="N176" i="5"/>
  <c r="M176" i="5"/>
  <c r="L176" i="5"/>
  <c r="K176" i="5"/>
  <c r="J176" i="5"/>
  <c r="H176" i="5"/>
  <c r="N175" i="5"/>
  <c r="M175" i="5"/>
  <c r="L175" i="5"/>
  <c r="K175" i="5"/>
  <c r="J175" i="5"/>
  <c r="H175" i="5"/>
  <c r="N174" i="5"/>
  <c r="M174" i="5"/>
  <c r="L174" i="5"/>
  <c r="K174" i="5"/>
  <c r="J174" i="5"/>
  <c r="H174" i="5"/>
  <c r="N173" i="5"/>
  <c r="M173" i="5"/>
  <c r="L173" i="5"/>
  <c r="K173" i="5"/>
  <c r="J173" i="5"/>
  <c r="H173" i="5"/>
  <c r="N172" i="5"/>
  <c r="M172" i="5"/>
  <c r="L172" i="5"/>
  <c r="K172" i="5"/>
  <c r="J172" i="5"/>
  <c r="H172" i="5"/>
  <c r="N171" i="5"/>
  <c r="M171" i="5"/>
  <c r="L171" i="5"/>
  <c r="K171" i="5"/>
  <c r="Q171" i="5" s="1"/>
  <c r="J171" i="5"/>
  <c r="H171" i="5"/>
  <c r="N170" i="5"/>
  <c r="M170" i="5"/>
  <c r="L170" i="5"/>
  <c r="K170" i="5"/>
  <c r="J170" i="5"/>
  <c r="H170" i="5"/>
  <c r="N169" i="5"/>
  <c r="M169" i="5"/>
  <c r="L169" i="5"/>
  <c r="K169" i="5"/>
  <c r="J169" i="5"/>
  <c r="H169" i="5"/>
  <c r="N168" i="5"/>
  <c r="M168" i="5"/>
  <c r="L168" i="5"/>
  <c r="K168" i="5"/>
  <c r="J168" i="5"/>
  <c r="H168" i="5"/>
  <c r="N167" i="5"/>
  <c r="M167" i="5"/>
  <c r="L167" i="5"/>
  <c r="K167" i="5"/>
  <c r="J167" i="5"/>
  <c r="H167" i="5"/>
  <c r="N166" i="5"/>
  <c r="M166" i="5"/>
  <c r="L166" i="5"/>
  <c r="K166" i="5"/>
  <c r="J166" i="5"/>
  <c r="H166" i="5"/>
  <c r="N165" i="5"/>
  <c r="M165" i="5"/>
  <c r="L165" i="5"/>
  <c r="K165" i="5"/>
  <c r="J165" i="5"/>
  <c r="H165" i="5"/>
  <c r="O165" i="5" s="1"/>
  <c r="N164" i="5"/>
  <c r="M164" i="5"/>
  <c r="L164" i="5"/>
  <c r="K164" i="5"/>
  <c r="J164" i="5"/>
  <c r="H164" i="5"/>
  <c r="N163" i="5"/>
  <c r="M163" i="5"/>
  <c r="L163" i="5"/>
  <c r="K163" i="5"/>
  <c r="J163" i="5"/>
  <c r="H163" i="5"/>
  <c r="N162" i="5"/>
  <c r="M162" i="5"/>
  <c r="L162" i="5"/>
  <c r="K162" i="5"/>
  <c r="J162" i="5"/>
  <c r="H162" i="5"/>
  <c r="N161" i="5"/>
  <c r="M161" i="5"/>
  <c r="R161" i="5" s="1"/>
  <c r="L161" i="5"/>
  <c r="K161" i="5"/>
  <c r="J161" i="5"/>
  <c r="H161" i="5"/>
  <c r="N160" i="5"/>
  <c r="M160" i="5"/>
  <c r="L160" i="5"/>
  <c r="K160" i="5"/>
  <c r="J160" i="5"/>
  <c r="H160" i="5"/>
  <c r="N159" i="5"/>
  <c r="M159" i="5"/>
  <c r="L159" i="5"/>
  <c r="K159" i="5"/>
  <c r="J159" i="5"/>
  <c r="H159" i="5"/>
  <c r="N158" i="5"/>
  <c r="M158" i="5"/>
  <c r="L158" i="5"/>
  <c r="K158" i="5"/>
  <c r="J158" i="5"/>
  <c r="R158" i="5" s="1"/>
  <c r="H158" i="5"/>
  <c r="N157" i="5"/>
  <c r="M157" i="5"/>
  <c r="L157" i="5"/>
  <c r="K157" i="5"/>
  <c r="J157" i="5"/>
  <c r="H157" i="5"/>
  <c r="N156" i="5"/>
  <c r="M156" i="5"/>
  <c r="L156" i="5"/>
  <c r="K156" i="5"/>
  <c r="J156" i="5"/>
  <c r="H156" i="5"/>
  <c r="N155" i="5"/>
  <c r="M155" i="5"/>
  <c r="L155" i="5"/>
  <c r="K155" i="5"/>
  <c r="J155" i="5"/>
  <c r="H155" i="5"/>
  <c r="O155" i="5" s="1"/>
  <c r="N154" i="5"/>
  <c r="M154" i="5"/>
  <c r="L154" i="5"/>
  <c r="K154" i="5"/>
  <c r="J154" i="5"/>
  <c r="H154" i="5"/>
  <c r="N153" i="5"/>
  <c r="M153" i="5"/>
  <c r="L153" i="5"/>
  <c r="K153" i="5"/>
  <c r="J153" i="5"/>
  <c r="H153" i="5"/>
  <c r="O153" i="5" s="1"/>
  <c r="N152" i="5"/>
  <c r="M152" i="5"/>
  <c r="L152" i="5"/>
  <c r="K152" i="5"/>
  <c r="J152" i="5"/>
  <c r="H152" i="5"/>
  <c r="N151" i="5"/>
  <c r="M151" i="5"/>
  <c r="L151" i="5"/>
  <c r="K151" i="5"/>
  <c r="J151" i="5"/>
  <c r="H151" i="5"/>
  <c r="N150" i="5"/>
  <c r="M150" i="5"/>
  <c r="L150" i="5"/>
  <c r="K150" i="5"/>
  <c r="J150" i="5"/>
  <c r="H150" i="5"/>
  <c r="N149" i="5"/>
  <c r="M149" i="5"/>
  <c r="L149" i="5"/>
  <c r="K149" i="5"/>
  <c r="J149" i="5"/>
  <c r="H149" i="5"/>
  <c r="N148" i="5"/>
  <c r="M148" i="5"/>
  <c r="L148" i="5"/>
  <c r="K148" i="5"/>
  <c r="J148" i="5"/>
  <c r="H148" i="5"/>
  <c r="N147" i="5"/>
  <c r="M147" i="5"/>
  <c r="L147" i="5"/>
  <c r="K147" i="5"/>
  <c r="J147" i="5"/>
  <c r="H147" i="5"/>
  <c r="N146" i="5"/>
  <c r="M146" i="5"/>
  <c r="L146" i="5"/>
  <c r="Q146" i="5" s="1"/>
  <c r="K146" i="5"/>
  <c r="J146" i="5"/>
  <c r="H146" i="5"/>
  <c r="O146" i="5" s="1"/>
  <c r="N145" i="5"/>
  <c r="M145" i="5"/>
  <c r="L145" i="5"/>
  <c r="K145" i="5"/>
  <c r="J145" i="5"/>
  <c r="H145" i="5"/>
  <c r="N144" i="5"/>
  <c r="M144" i="5"/>
  <c r="L144" i="5"/>
  <c r="K144" i="5"/>
  <c r="J144" i="5"/>
  <c r="H144" i="5"/>
  <c r="N143" i="5"/>
  <c r="M143" i="5"/>
  <c r="L143" i="5"/>
  <c r="K143" i="5"/>
  <c r="J143" i="5"/>
  <c r="H143" i="5"/>
  <c r="N142" i="5"/>
  <c r="M142" i="5"/>
  <c r="L142" i="5"/>
  <c r="K142" i="5"/>
  <c r="J142" i="5"/>
  <c r="H142" i="5"/>
  <c r="N141" i="5"/>
  <c r="M141" i="5"/>
  <c r="L141" i="5"/>
  <c r="K141" i="5"/>
  <c r="J141" i="5"/>
  <c r="H141" i="5"/>
  <c r="O141" i="5" s="1"/>
  <c r="N140" i="5"/>
  <c r="M140" i="5"/>
  <c r="L140" i="5"/>
  <c r="K140" i="5"/>
  <c r="J140" i="5"/>
  <c r="H140" i="5"/>
  <c r="N139" i="5"/>
  <c r="M139" i="5"/>
  <c r="L139" i="5"/>
  <c r="K139" i="5"/>
  <c r="J139" i="5"/>
  <c r="H139" i="5"/>
  <c r="O139" i="5" s="1"/>
  <c r="N138" i="5"/>
  <c r="M138" i="5"/>
  <c r="L138" i="5"/>
  <c r="K138" i="5"/>
  <c r="J138" i="5"/>
  <c r="H138" i="5"/>
  <c r="N137" i="5"/>
  <c r="M137" i="5"/>
  <c r="L137" i="5"/>
  <c r="K137" i="5"/>
  <c r="J137" i="5"/>
  <c r="H137" i="5"/>
  <c r="N136" i="5"/>
  <c r="M136" i="5"/>
  <c r="L136" i="5"/>
  <c r="K136" i="5"/>
  <c r="J136" i="5"/>
  <c r="H136" i="5"/>
  <c r="O136" i="5" s="1"/>
  <c r="N135" i="5"/>
  <c r="M135" i="5"/>
  <c r="L135" i="5"/>
  <c r="K135" i="5"/>
  <c r="J135" i="5"/>
  <c r="H135" i="5"/>
  <c r="N134" i="5"/>
  <c r="M134" i="5"/>
  <c r="L134" i="5"/>
  <c r="K134" i="5"/>
  <c r="J134" i="5"/>
  <c r="H134" i="5"/>
  <c r="N133" i="5"/>
  <c r="M133" i="5"/>
  <c r="L133" i="5"/>
  <c r="K133" i="5"/>
  <c r="J133" i="5"/>
  <c r="H133" i="5"/>
  <c r="N132" i="5"/>
  <c r="M132" i="5"/>
  <c r="L132" i="5"/>
  <c r="K132" i="5"/>
  <c r="J132" i="5"/>
  <c r="H132" i="5"/>
  <c r="N131" i="5"/>
  <c r="M131" i="5"/>
  <c r="L131" i="5"/>
  <c r="K131" i="5"/>
  <c r="J131" i="5"/>
  <c r="H131" i="5"/>
  <c r="N130" i="5"/>
  <c r="M130" i="5"/>
  <c r="L130" i="5"/>
  <c r="K130" i="5"/>
  <c r="J130" i="5"/>
  <c r="H130" i="5"/>
  <c r="O130" i="5" s="1"/>
  <c r="N129" i="5"/>
  <c r="M129" i="5"/>
  <c r="L129" i="5"/>
  <c r="K129" i="5"/>
  <c r="J129" i="5"/>
  <c r="H129" i="5"/>
  <c r="N128" i="5"/>
  <c r="M128" i="5"/>
  <c r="L128" i="5"/>
  <c r="K128" i="5"/>
  <c r="J128" i="5"/>
  <c r="H128" i="5"/>
  <c r="N127" i="5"/>
  <c r="M127" i="5"/>
  <c r="L127" i="5"/>
  <c r="K127" i="5"/>
  <c r="J127" i="5"/>
  <c r="H127" i="5"/>
  <c r="N126" i="5"/>
  <c r="M126" i="5"/>
  <c r="L126" i="5"/>
  <c r="K126" i="5"/>
  <c r="J126" i="5"/>
  <c r="H126" i="5"/>
  <c r="N125" i="5"/>
  <c r="M125" i="5"/>
  <c r="L125" i="5"/>
  <c r="K125" i="5"/>
  <c r="J125" i="5"/>
  <c r="H125" i="5"/>
  <c r="O125" i="5" s="1"/>
  <c r="N124" i="5"/>
  <c r="M124" i="5"/>
  <c r="L124" i="5"/>
  <c r="K124" i="5"/>
  <c r="J124" i="5"/>
  <c r="H124" i="5"/>
  <c r="N123" i="5"/>
  <c r="M123" i="5"/>
  <c r="L123" i="5"/>
  <c r="K123" i="5"/>
  <c r="J123" i="5"/>
  <c r="H123" i="5"/>
  <c r="N122" i="5"/>
  <c r="M122" i="5"/>
  <c r="L122" i="5"/>
  <c r="K122" i="5"/>
  <c r="J122" i="5"/>
  <c r="H122" i="5"/>
  <c r="N121" i="5"/>
  <c r="M121" i="5"/>
  <c r="L121" i="5"/>
  <c r="K121" i="5"/>
  <c r="J121" i="5"/>
  <c r="H121" i="5"/>
  <c r="N120" i="5"/>
  <c r="M120" i="5"/>
  <c r="L120" i="5"/>
  <c r="K120" i="5"/>
  <c r="J120" i="5"/>
  <c r="H120" i="5"/>
  <c r="O120" i="5" s="1"/>
  <c r="N119" i="5"/>
  <c r="M119" i="5"/>
  <c r="L119" i="5"/>
  <c r="K119" i="5"/>
  <c r="J119" i="5"/>
  <c r="H119" i="5"/>
  <c r="N118" i="5"/>
  <c r="M118" i="5"/>
  <c r="L118" i="5"/>
  <c r="K118" i="5"/>
  <c r="J118" i="5"/>
  <c r="H118" i="5"/>
  <c r="N117" i="5"/>
  <c r="M117" i="5"/>
  <c r="L117" i="5"/>
  <c r="K117" i="5"/>
  <c r="J117" i="5"/>
  <c r="H117" i="5"/>
  <c r="N116" i="5"/>
  <c r="M116" i="5"/>
  <c r="L116" i="5"/>
  <c r="K116" i="5"/>
  <c r="J116" i="5"/>
  <c r="H116" i="5"/>
  <c r="N115" i="5"/>
  <c r="M115" i="5"/>
  <c r="L115" i="5"/>
  <c r="K115" i="5"/>
  <c r="J115" i="5"/>
  <c r="H115" i="5"/>
  <c r="O115" i="5" s="1"/>
  <c r="N114" i="5"/>
  <c r="M114" i="5"/>
  <c r="L114" i="5"/>
  <c r="K114" i="5"/>
  <c r="J114" i="5"/>
  <c r="H114" i="5"/>
  <c r="N113" i="5"/>
  <c r="M113" i="5"/>
  <c r="L113" i="5"/>
  <c r="K113" i="5"/>
  <c r="J113" i="5"/>
  <c r="H113" i="5"/>
  <c r="N112" i="5"/>
  <c r="M112" i="5"/>
  <c r="L112" i="5"/>
  <c r="K112" i="5"/>
  <c r="J112" i="5"/>
  <c r="H112" i="5"/>
  <c r="N111" i="5"/>
  <c r="M111" i="5"/>
  <c r="L111" i="5"/>
  <c r="K111" i="5"/>
  <c r="J111" i="5"/>
  <c r="H111" i="5"/>
  <c r="N110" i="5"/>
  <c r="M110" i="5"/>
  <c r="L110" i="5"/>
  <c r="K110" i="5"/>
  <c r="J110" i="5"/>
  <c r="H110" i="5"/>
  <c r="O110" i="5" s="1"/>
  <c r="N109" i="5"/>
  <c r="M109" i="5"/>
  <c r="L109" i="5"/>
  <c r="K109" i="5"/>
  <c r="J109" i="5"/>
  <c r="H109" i="5"/>
  <c r="N108" i="5"/>
  <c r="M108" i="5"/>
  <c r="L108" i="5"/>
  <c r="K108" i="5"/>
  <c r="J108" i="5"/>
  <c r="H108" i="5"/>
  <c r="N107" i="5"/>
  <c r="M107" i="5"/>
  <c r="L107" i="5"/>
  <c r="K107" i="5"/>
  <c r="J107" i="5"/>
  <c r="H107" i="5"/>
  <c r="N106" i="5"/>
  <c r="M106" i="5"/>
  <c r="L106" i="5"/>
  <c r="K106" i="5"/>
  <c r="J106" i="5"/>
  <c r="H106" i="5"/>
  <c r="N105" i="5"/>
  <c r="M105" i="5"/>
  <c r="L105" i="5"/>
  <c r="K105" i="5"/>
  <c r="J105" i="5"/>
  <c r="H105" i="5"/>
  <c r="N104" i="5"/>
  <c r="M104" i="5"/>
  <c r="L104" i="5"/>
  <c r="K104" i="5"/>
  <c r="J104" i="5"/>
  <c r="H104" i="5"/>
  <c r="N103" i="5"/>
  <c r="M103" i="5"/>
  <c r="L103" i="5"/>
  <c r="K103" i="5"/>
  <c r="J103" i="5"/>
  <c r="H103" i="5"/>
  <c r="N102" i="5"/>
  <c r="M102" i="5"/>
  <c r="L102" i="5"/>
  <c r="K102" i="5"/>
  <c r="J102" i="5"/>
  <c r="H102" i="5"/>
  <c r="N101" i="5"/>
  <c r="M101" i="5"/>
  <c r="L101" i="5"/>
  <c r="K101" i="5"/>
  <c r="J101" i="5"/>
  <c r="H101" i="5"/>
  <c r="N100" i="5"/>
  <c r="M100" i="5"/>
  <c r="L100" i="5"/>
  <c r="K100" i="5"/>
  <c r="J100" i="5"/>
  <c r="H100" i="5"/>
  <c r="N99" i="5"/>
  <c r="M99" i="5"/>
  <c r="L99" i="5"/>
  <c r="K99" i="5"/>
  <c r="J99" i="5"/>
  <c r="H99" i="5"/>
  <c r="N98" i="5"/>
  <c r="M98" i="5"/>
  <c r="L98" i="5"/>
  <c r="K98" i="5"/>
  <c r="J98" i="5"/>
  <c r="H98" i="5"/>
  <c r="N97" i="5"/>
  <c r="M97" i="5"/>
  <c r="L97" i="5"/>
  <c r="K97" i="5"/>
  <c r="J97" i="5"/>
  <c r="H97" i="5"/>
  <c r="N96" i="5"/>
  <c r="M96" i="5"/>
  <c r="L96" i="5"/>
  <c r="K96" i="5"/>
  <c r="J96" i="5"/>
  <c r="H96" i="5"/>
  <c r="N95" i="5"/>
  <c r="M95" i="5"/>
  <c r="L95" i="5"/>
  <c r="K95" i="5"/>
  <c r="J95" i="5"/>
  <c r="H95" i="5"/>
  <c r="O96" i="5" s="1"/>
  <c r="N94" i="5"/>
  <c r="M94" i="5"/>
  <c r="L94" i="5"/>
  <c r="K94" i="5"/>
  <c r="J94" i="5"/>
  <c r="H94" i="5"/>
  <c r="N93" i="5"/>
  <c r="M93" i="5"/>
  <c r="L93" i="5"/>
  <c r="K93" i="5"/>
  <c r="J93" i="5"/>
  <c r="H93" i="5"/>
  <c r="N92" i="5"/>
  <c r="M92" i="5"/>
  <c r="L92" i="5"/>
  <c r="K92" i="5"/>
  <c r="J92" i="5"/>
  <c r="H92" i="5"/>
  <c r="O92" i="5" s="1"/>
  <c r="N91" i="5"/>
  <c r="M91" i="5"/>
  <c r="L91" i="5"/>
  <c r="K91" i="5"/>
  <c r="J91" i="5"/>
  <c r="H91" i="5"/>
  <c r="N90" i="5"/>
  <c r="M90" i="5"/>
  <c r="L90" i="5"/>
  <c r="K90" i="5"/>
  <c r="J90" i="5"/>
  <c r="H90" i="5"/>
  <c r="O90" i="5" s="1"/>
  <c r="N89" i="5"/>
  <c r="M89" i="5"/>
  <c r="L89" i="5"/>
  <c r="K89" i="5"/>
  <c r="J89" i="5"/>
  <c r="H89" i="5"/>
  <c r="N88" i="5"/>
  <c r="M88" i="5"/>
  <c r="L88" i="5"/>
  <c r="K88" i="5"/>
  <c r="J88" i="5"/>
  <c r="H88" i="5"/>
  <c r="N87" i="5"/>
  <c r="M87" i="5"/>
  <c r="L87" i="5"/>
  <c r="K87" i="5"/>
  <c r="J87" i="5"/>
  <c r="H87" i="5"/>
  <c r="O87" i="5" s="1"/>
  <c r="N86" i="5"/>
  <c r="M86" i="5"/>
  <c r="L86" i="5"/>
  <c r="K86" i="5"/>
  <c r="J86" i="5"/>
  <c r="H86" i="5"/>
  <c r="N85" i="5"/>
  <c r="M85" i="5"/>
  <c r="L85" i="5"/>
  <c r="K85" i="5"/>
  <c r="J85" i="5"/>
  <c r="H85" i="5"/>
  <c r="O85" i="5" s="1"/>
  <c r="N84" i="5"/>
  <c r="M84" i="5"/>
  <c r="L84" i="5"/>
  <c r="K84" i="5"/>
  <c r="J84" i="5"/>
  <c r="H84" i="5"/>
  <c r="N83" i="5"/>
  <c r="M83" i="5"/>
  <c r="L83" i="5"/>
  <c r="K83" i="5"/>
  <c r="J83" i="5"/>
  <c r="H83" i="5"/>
  <c r="N82" i="5"/>
  <c r="M82" i="5"/>
  <c r="L82" i="5"/>
  <c r="K82" i="5"/>
  <c r="J82" i="5"/>
  <c r="H82" i="5"/>
  <c r="N81" i="5"/>
  <c r="M81" i="5"/>
  <c r="L81" i="5"/>
  <c r="K81" i="5"/>
  <c r="J81" i="5"/>
  <c r="H81" i="5"/>
  <c r="N80" i="5"/>
  <c r="M80" i="5"/>
  <c r="L80" i="5"/>
  <c r="K80" i="5"/>
  <c r="J80" i="5"/>
  <c r="H80" i="5"/>
  <c r="O80" i="5" s="1"/>
  <c r="N79" i="5"/>
  <c r="M79" i="5"/>
  <c r="L79" i="5"/>
  <c r="K79" i="5"/>
  <c r="J79" i="5"/>
  <c r="H79" i="5"/>
  <c r="N78" i="5"/>
  <c r="M78" i="5"/>
  <c r="L78" i="5"/>
  <c r="K78" i="5"/>
  <c r="J78" i="5"/>
  <c r="H78" i="5"/>
  <c r="N77" i="5"/>
  <c r="M77" i="5"/>
  <c r="L77" i="5"/>
  <c r="K77" i="5"/>
  <c r="J77" i="5"/>
  <c r="H77" i="5"/>
  <c r="N76" i="5"/>
  <c r="M76" i="5"/>
  <c r="L76" i="5"/>
  <c r="K76" i="5"/>
  <c r="J76" i="5"/>
  <c r="H76" i="5"/>
  <c r="N75" i="5"/>
  <c r="M75" i="5"/>
  <c r="L75" i="5"/>
  <c r="K75" i="5"/>
  <c r="J75" i="5"/>
  <c r="H75" i="5"/>
  <c r="N74" i="5"/>
  <c r="M74" i="5"/>
  <c r="L74" i="5"/>
  <c r="K74" i="5"/>
  <c r="J74" i="5"/>
  <c r="H74" i="5"/>
  <c r="N73" i="5"/>
  <c r="M73" i="5"/>
  <c r="L73" i="5"/>
  <c r="K73" i="5"/>
  <c r="J73" i="5"/>
  <c r="H73" i="5"/>
  <c r="N72" i="5"/>
  <c r="M72" i="5"/>
  <c r="L72" i="5"/>
  <c r="K72" i="5"/>
  <c r="J72" i="5"/>
  <c r="H72" i="5"/>
  <c r="N71" i="5"/>
  <c r="M71" i="5"/>
  <c r="L71" i="5"/>
  <c r="K71" i="5"/>
  <c r="J71" i="5"/>
  <c r="H71" i="5"/>
  <c r="N70" i="5"/>
  <c r="M70" i="5"/>
  <c r="L70" i="5"/>
  <c r="K70" i="5"/>
  <c r="J70" i="5"/>
  <c r="R70" i="5" s="1"/>
  <c r="H70" i="5"/>
  <c r="O70" i="5" s="1"/>
  <c r="N69" i="5"/>
  <c r="M69" i="5"/>
  <c r="L69" i="5"/>
  <c r="K69" i="5"/>
  <c r="J69" i="5"/>
  <c r="H69" i="5"/>
  <c r="N68" i="5"/>
  <c r="M68" i="5"/>
  <c r="L68" i="5"/>
  <c r="K68" i="5"/>
  <c r="J68" i="5"/>
  <c r="H68" i="5"/>
  <c r="N67" i="5"/>
  <c r="M67" i="5"/>
  <c r="L67" i="5"/>
  <c r="K67" i="5"/>
  <c r="J67" i="5"/>
  <c r="H67" i="5"/>
  <c r="N66" i="5"/>
  <c r="M66" i="5"/>
  <c r="L66" i="5"/>
  <c r="K66" i="5"/>
  <c r="J66" i="5"/>
  <c r="H66" i="5"/>
  <c r="N65" i="5"/>
  <c r="M65" i="5"/>
  <c r="L65" i="5"/>
  <c r="K65" i="5"/>
  <c r="J65" i="5"/>
  <c r="H65" i="5"/>
  <c r="O65" i="5" s="1"/>
  <c r="N64" i="5"/>
  <c r="M64" i="5"/>
  <c r="L64" i="5"/>
  <c r="K64" i="5"/>
  <c r="J64" i="5"/>
  <c r="H64" i="5"/>
  <c r="N63" i="5"/>
  <c r="M63" i="5"/>
  <c r="L63" i="5"/>
  <c r="K63" i="5"/>
  <c r="J63" i="5"/>
  <c r="H63" i="5"/>
  <c r="N62" i="5"/>
  <c r="M62" i="5"/>
  <c r="L62" i="5"/>
  <c r="K62" i="5"/>
  <c r="J62" i="5"/>
  <c r="R62" i="5" s="1"/>
  <c r="H62" i="5"/>
  <c r="O62" i="5" s="1"/>
  <c r="N61" i="5"/>
  <c r="M61" i="5"/>
  <c r="L61" i="5"/>
  <c r="K61" i="5"/>
  <c r="J61" i="5"/>
  <c r="H61" i="5"/>
  <c r="N60" i="5"/>
  <c r="M60" i="5"/>
  <c r="L60" i="5"/>
  <c r="K60" i="5"/>
  <c r="J60" i="5"/>
  <c r="H60" i="5"/>
  <c r="O60" i="5" s="1"/>
  <c r="N59" i="5"/>
  <c r="M59" i="5"/>
  <c r="L59" i="5"/>
  <c r="K59" i="5"/>
  <c r="J59" i="5"/>
  <c r="H59" i="5"/>
  <c r="N58" i="5"/>
  <c r="M58" i="5"/>
  <c r="L58" i="5"/>
  <c r="K58" i="5"/>
  <c r="J58" i="5"/>
  <c r="H58" i="5"/>
  <c r="N57" i="5"/>
  <c r="M57" i="5"/>
  <c r="L57" i="5"/>
  <c r="K57" i="5"/>
  <c r="J57" i="5"/>
  <c r="R57" i="5" s="1"/>
  <c r="H57" i="5"/>
  <c r="N56" i="5"/>
  <c r="M56" i="5"/>
  <c r="L56" i="5"/>
  <c r="K56" i="5"/>
  <c r="J56" i="5"/>
  <c r="H56" i="5"/>
  <c r="N55" i="5"/>
  <c r="M55" i="5"/>
  <c r="L55" i="5"/>
  <c r="K55" i="5"/>
  <c r="J55" i="5"/>
  <c r="H55" i="5"/>
  <c r="O55" i="5" s="1"/>
  <c r="N54" i="5"/>
  <c r="M54" i="5"/>
  <c r="L54" i="5"/>
  <c r="K54" i="5"/>
  <c r="J54" i="5"/>
  <c r="H54" i="5"/>
  <c r="N53" i="5"/>
  <c r="M53" i="5"/>
  <c r="L53" i="5"/>
  <c r="K53" i="5"/>
  <c r="J53" i="5"/>
  <c r="H53" i="5"/>
  <c r="N52" i="5"/>
  <c r="M52" i="5"/>
  <c r="L52" i="5"/>
  <c r="K52" i="5"/>
  <c r="J52" i="5"/>
  <c r="H52" i="5"/>
  <c r="O52" i="5" s="1"/>
  <c r="N51" i="5"/>
  <c r="M51" i="5"/>
  <c r="L51" i="5"/>
  <c r="K51" i="5"/>
  <c r="J51" i="5"/>
  <c r="H51" i="5"/>
  <c r="N50" i="5"/>
  <c r="M50" i="5"/>
  <c r="L50" i="5"/>
  <c r="K50" i="5"/>
  <c r="J50" i="5"/>
  <c r="H50" i="5"/>
  <c r="O50" i="5" s="1"/>
  <c r="N49" i="5"/>
  <c r="M49" i="5"/>
  <c r="L49" i="5"/>
  <c r="K49" i="5"/>
  <c r="J49" i="5"/>
  <c r="H49" i="5"/>
  <c r="N48" i="5"/>
  <c r="M48" i="5"/>
  <c r="L48" i="5"/>
  <c r="K48" i="5"/>
  <c r="J48" i="5"/>
  <c r="H48" i="5"/>
  <c r="N47" i="5"/>
  <c r="M47" i="5"/>
  <c r="L47" i="5"/>
  <c r="K47" i="5"/>
  <c r="J47" i="5"/>
  <c r="H47" i="5"/>
  <c r="O47" i="5" s="1"/>
  <c r="N46" i="5"/>
  <c r="M46" i="5"/>
  <c r="L46" i="5"/>
  <c r="K46" i="5"/>
  <c r="J46" i="5"/>
  <c r="H46" i="5"/>
  <c r="N45" i="5"/>
  <c r="M45" i="5"/>
  <c r="L45" i="5"/>
  <c r="K45" i="5"/>
  <c r="J45" i="5"/>
  <c r="H45" i="5"/>
  <c r="O45" i="5" s="1"/>
  <c r="N44" i="5"/>
  <c r="M44" i="5"/>
  <c r="L44" i="5"/>
  <c r="K44" i="5"/>
  <c r="J44" i="5"/>
  <c r="H44" i="5"/>
  <c r="N43" i="5"/>
  <c r="M43" i="5"/>
  <c r="L43" i="5"/>
  <c r="K43" i="5"/>
  <c r="J43" i="5"/>
  <c r="H43" i="5"/>
  <c r="N42" i="5"/>
  <c r="M42" i="5"/>
  <c r="L42" i="5"/>
  <c r="K42" i="5"/>
  <c r="J42" i="5"/>
  <c r="R42" i="5" s="1"/>
  <c r="H42" i="5"/>
  <c r="O42" i="5" s="1"/>
  <c r="N41" i="5"/>
  <c r="M41" i="5"/>
  <c r="L41" i="5"/>
  <c r="K41" i="5"/>
  <c r="J41" i="5"/>
  <c r="H41" i="5"/>
  <c r="N40" i="5"/>
  <c r="M40" i="5"/>
  <c r="L40" i="5"/>
  <c r="K40" i="5"/>
  <c r="J40" i="5"/>
  <c r="H40" i="5"/>
  <c r="O40" i="5" s="1"/>
  <c r="N39" i="5"/>
  <c r="M39" i="5"/>
  <c r="L39" i="5"/>
  <c r="R39" i="5" s="1"/>
  <c r="K39" i="5"/>
  <c r="J39" i="5"/>
  <c r="H39" i="5"/>
  <c r="N38" i="5"/>
  <c r="M38" i="5"/>
  <c r="L38" i="5"/>
  <c r="K38" i="5"/>
  <c r="J38" i="5"/>
  <c r="H38" i="5"/>
  <c r="N37" i="5"/>
  <c r="M37" i="5"/>
  <c r="L37" i="5"/>
  <c r="K37" i="5"/>
  <c r="J37" i="5"/>
  <c r="R37" i="5" s="1"/>
  <c r="H37" i="5"/>
  <c r="O37" i="5" s="1"/>
  <c r="N36" i="5"/>
  <c r="M36" i="5"/>
  <c r="L36" i="5"/>
  <c r="K36" i="5"/>
  <c r="J36" i="5"/>
  <c r="H36" i="5"/>
  <c r="N35" i="5"/>
  <c r="M35" i="5"/>
  <c r="L35" i="5"/>
  <c r="K35" i="5"/>
  <c r="J35" i="5"/>
  <c r="H35" i="5"/>
  <c r="O35" i="5" s="1"/>
  <c r="N34" i="5"/>
  <c r="M34" i="5"/>
  <c r="L34" i="5"/>
  <c r="R34" i="5" s="1"/>
  <c r="K34" i="5"/>
  <c r="J34" i="5"/>
  <c r="H34" i="5"/>
  <c r="N33" i="5"/>
  <c r="M33" i="5"/>
  <c r="L33" i="5"/>
  <c r="K33" i="5"/>
  <c r="J33" i="5"/>
  <c r="H33" i="5"/>
  <c r="N32" i="5"/>
  <c r="M32" i="5"/>
  <c r="L32" i="5"/>
  <c r="K32" i="5"/>
  <c r="J32" i="5"/>
  <c r="R32" i="5" s="1"/>
  <c r="H32" i="5"/>
  <c r="O32" i="5" s="1"/>
  <c r="N31" i="5"/>
  <c r="M31" i="5"/>
  <c r="L31" i="5"/>
  <c r="K31" i="5"/>
  <c r="Q31" i="5" s="1"/>
  <c r="J31" i="5"/>
  <c r="H31" i="5"/>
  <c r="N30" i="5"/>
  <c r="M30" i="5"/>
  <c r="L30" i="5"/>
  <c r="K30" i="5"/>
  <c r="J30" i="5"/>
  <c r="H30" i="5"/>
  <c r="N29" i="5"/>
  <c r="M29" i="5"/>
  <c r="L29" i="5"/>
  <c r="K29" i="5"/>
  <c r="J29" i="5"/>
  <c r="H29" i="5"/>
  <c r="O29" i="5" s="1"/>
  <c r="N28" i="5"/>
  <c r="M28" i="5"/>
  <c r="L28" i="5"/>
  <c r="K28" i="5"/>
  <c r="J28" i="5"/>
  <c r="H28" i="5"/>
  <c r="N27" i="5"/>
  <c r="M27" i="5"/>
  <c r="L27" i="5"/>
  <c r="K27" i="5"/>
  <c r="J27" i="5"/>
  <c r="H27" i="5"/>
  <c r="O27" i="5" s="1"/>
  <c r="N26" i="5"/>
  <c r="M26" i="5"/>
  <c r="L26" i="5"/>
  <c r="K26" i="5"/>
  <c r="J26" i="5"/>
  <c r="H26" i="5"/>
  <c r="N25" i="5"/>
  <c r="M25" i="5"/>
  <c r="L25" i="5"/>
  <c r="K25" i="5"/>
  <c r="J25" i="5"/>
  <c r="H25" i="5"/>
  <c r="N24" i="5"/>
  <c r="M24" i="5"/>
  <c r="L24" i="5"/>
  <c r="K24" i="5"/>
  <c r="J24" i="5"/>
  <c r="H24" i="5"/>
  <c r="O24" i="5" s="1"/>
  <c r="X23" i="5"/>
  <c r="N23" i="5"/>
  <c r="M23" i="5"/>
  <c r="L23" i="5"/>
  <c r="K23" i="5"/>
  <c r="J23" i="5"/>
  <c r="H23" i="5"/>
  <c r="W22" i="5"/>
  <c r="N22" i="5"/>
  <c r="M22" i="5"/>
  <c r="L22" i="5"/>
  <c r="K22" i="5"/>
  <c r="J22" i="5"/>
  <c r="H22" i="5"/>
  <c r="V21" i="5"/>
  <c r="N21" i="5"/>
  <c r="M21" i="5"/>
  <c r="L21" i="5"/>
  <c r="K21" i="5"/>
  <c r="J21" i="5"/>
  <c r="Q21" i="5" s="1"/>
  <c r="H21" i="5"/>
  <c r="O21" i="5" s="1"/>
  <c r="U20" i="5"/>
  <c r="N20" i="5"/>
  <c r="M20" i="5"/>
  <c r="L20" i="5"/>
  <c r="K20" i="5"/>
  <c r="J20" i="5"/>
  <c r="H20" i="5"/>
  <c r="X19" i="5"/>
  <c r="T23" i="5" s="1"/>
  <c r="W19" i="5"/>
  <c r="T22" i="5" s="1"/>
  <c r="V19" i="5"/>
  <c r="T21" i="5" s="1"/>
  <c r="U19" i="5"/>
  <c r="T20" i="5" s="1"/>
  <c r="N19" i="5"/>
  <c r="M19" i="5"/>
  <c r="L19" i="5"/>
  <c r="K19" i="5"/>
  <c r="J19" i="5"/>
  <c r="H19" i="5"/>
  <c r="N18" i="5"/>
  <c r="M18" i="5"/>
  <c r="L18" i="5"/>
  <c r="K18" i="5"/>
  <c r="J18" i="5"/>
  <c r="H18" i="5"/>
  <c r="N17" i="5"/>
  <c r="M17" i="5"/>
  <c r="L17" i="5"/>
  <c r="K17" i="5"/>
  <c r="J17" i="5"/>
  <c r="H17" i="5"/>
  <c r="O17" i="5" s="1"/>
  <c r="Y16" i="5"/>
  <c r="N16" i="5"/>
  <c r="M16" i="5"/>
  <c r="L16" i="5"/>
  <c r="K16" i="5"/>
  <c r="J16" i="5"/>
  <c r="H16" i="5"/>
  <c r="N15" i="5"/>
  <c r="M15" i="5"/>
  <c r="L15" i="5"/>
  <c r="K15" i="5"/>
  <c r="J15" i="5"/>
  <c r="H15" i="5"/>
  <c r="O15" i="5" s="1"/>
  <c r="N14" i="5"/>
  <c r="M14" i="5"/>
  <c r="L14" i="5"/>
  <c r="K14" i="5"/>
  <c r="J14" i="5"/>
  <c r="H14" i="5"/>
  <c r="N13" i="5"/>
  <c r="M13" i="5"/>
  <c r="L13" i="5"/>
  <c r="K13" i="5"/>
  <c r="J13" i="5"/>
  <c r="H13" i="5"/>
  <c r="N12" i="5"/>
  <c r="M12" i="5"/>
  <c r="L12" i="5"/>
  <c r="K12" i="5"/>
  <c r="J12" i="5"/>
  <c r="H12" i="5"/>
  <c r="N11" i="5"/>
  <c r="M11" i="5"/>
  <c r="L11" i="5"/>
  <c r="K11" i="5"/>
  <c r="J11" i="5"/>
  <c r="Q11" i="5" s="1"/>
  <c r="H11" i="5"/>
  <c r="O11" i="5" s="1"/>
  <c r="N10" i="5"/>
  <c r="M10" i="5"/>
  <c r="L10" i="5"/>
  <c r="K10" i="5"/>
  <c r="Q10" i="5" s="1"/>
  <c r="J10" i="5"/>
  <c r="H10" i="5"/>
  <c r="N9" i="5"/>
  <c r="M9" i="5"/>
  <c r="L9" i="5"/>
  <c r="K9" i="5"/>
  <c r="J9" i="5"/>
  <c r="H9" i="5"/>
  <c r="N8" i="5"/>
  <c r="M8" i="5"/>
  <c r="L8" i="5"/>
  <c r="K8" i="5"/>
  <c r="J8" i="5"/>
  <c r="H8" i="5"/>
  <c r="O8" i="5" s="1"/>
  <c r="N7" i="5"/>
  <c r="M7" i="5"/>
  <c r="L7" i="5"/>
  <c r="R7" i="5" s="1"/>
  <c r="K7" i="5"/>
  <c r="J7" i="5"/>
  <c r="H7" i="5"/>
  <c r="N6" i="5"/>
  <c r="M6" i="5"/>
  <c r="L6" i="5"/>
  <c r="K6" i="5"/>
  <c r="J6" i="5"/>
  <c r="R6" i="5" s="1"/>
  <c r="H6" i="5"/>
  <c r="O6" i="5" s="1"/>
  <c r="N5" i="5"/>
  <c r="M5" i="5"/>
  <c r="L5" i="5"/>
  <c r="K5" i="5"/>
  <c r="J5" i="5"/>
  <c r="H5" i="5"/>
  <c r="O5" i="5" s="1"/>
  <c r="N4" i="5"/>
  <c r="M4" i="5"/>
  <c r="L4" i="5"/>
  <c r="K4" i="5"/>
  <c r="J4" i="5"/>
  <c r="H4" i="5"/>
  <c r="N3" i="5"/>
  <c r="L3" i="5"/>
  <c r="K3" i="5"/>
  <c r="J3" i="5"/>
  <c r="H2" i="5"/>
  <c r="O3" i="5" s="1"/>
  <c r="T12" i="1"/>
  <c r="V254" i="4"/>
  <c r="T254" i="4"/>
  <c r="N254" i="4"/>
  <c r="M254" i="4"/>
  <c r="L254" i="4"/>
  <c r="K254" i="4"/>
  <c r="J254" i="4"/>
  <c r="H254" i="4"/>
  <c r="O254" i="4" s="1"/>
  <c r="T253" i="4"/>
  <c r="S253" i="4"/>
  <c r="O253" i="4"/>
  <c r="AA253" i="4" s="1"/>
  <c r="N253" i="4"/>
  <c r="M253" i="4"/>
  <c r="L253" i="4"/>
  <c r="K253" i="4"/>
  <c r="J253" i="4"/>
  <c r="H253" i="4"/>
  <c r="Y252" i="4"/>
  <c r="V252" i="4"/>
  <c r="S252" i="4"/>
  <c r="O252" i="4"/>
  <c r="AB252" i="4" s="1"/>
  <c r="N252" i="4"/>
  <c r="AC252" i="4" s="1"/>
  <c r="M252" i="4"/>
  <c r="U252" i="4" s="1"/>
  <c r="L252" i="4"/>
  <c r="K252" i="4"/>
  <c r="Z252" i="4" s="1"/>
  <c r="J252" i="4"/>
  <c r="R252" i="4" s="1"/>
  <c r="H252" i="4"/>
  <c r="AB251" i="4"/>
  <c r="AA251" i="4"/>
  <c r="Y251" i="4"/>
  <c r="U251" i="4"/>
  <c r="N251" i="4"/>
  <c r="M251" i="4"/>
  <c r="L251" i="4"/>
  <c r="T251" i="4" s="1"/>
  <c r="K251" i="4"/>
  <c r="J251" i="4"/>
  <c r="R251" i="4" s="1"/>
  <c r="H251" i="4"/>
  <c r="O251" i="4" s="1"/>
  <c r="U250" i="4"/>
  <c r="T250" i="4"/>
  <c r="R250" i="4"/>
  <c r="O250" i="4"/>
  <c r="AB250" i="4" s="1"/>
  <c r="N250" i="4"/>
  <c r="M250" i="4"/>
  <c r="L250" i="4"/>
  <c r="K250" i="4"/>
  <c r="J250" i="4"/>
  <c r="Y250" i="4" s="1"/>
  <c r="H250" i="4"/>
  <c r="Z249" i="4"/>
  <c r="Y249" i="4"/>
  <c r="T249" i="4"/>
  <c r="R249" i="4"/>
  <c r="N249" i="4"/>
  <c r="V249" i="4" s="1"/>
  <c r="M249" i="4"/>
  <c r="L249" i="4"/>
  <c r="K249" i="4"/>
  <c r="S249" i="4" s="1"/>
  <c r="J249" i="4"/>
  <c r="H249" i="4"/>
  <c r="N248" i="4"/>
  <c r="V248" i="4" s="1"/>
  <c r="M248" i="4"/>
  <c r="L248" i="4"/>
  <c r="K248" i="4"/>
  <c r="J248" i="4"/>
  <c r="H248" i="4"/>
  <c r="O249" i="4" s="1"/>
  <c r="AC249" i="4" s="1"/>
  <c r="U247" i="4"/>
  <c r="S247" i="4"/>
  <c r="R247" i="4"/>
  <c r="N247" i="4"/>
  <c r="M247" i="4"/>
  <c r="L247" i="4"/>
  <c r="K247" i="4"/>
  <c r="J247" i="4"/>
  <c r="H247" i="4"/>
  <c r="O247" i="4" s="1"/>
  <c r="AC247" i="4" s="1"/>
  <c r="N246" i="4"/>
  <c r="M246" i="4"/>
  <c r="U246" i="4" s="1"/>
  <c r="L246" i="4"/>
  <c r="K246" i="4"/>
  <c r="J246" i="4"/>
  <c r="H246" i="4"/>
  <c r="O245" i="4"/>
  <c r="AA245" i="4" s="1"/>
  <c r="N245" i="4"/>
  <c r="M245" i="4"/>
  <c r="L245" i="4"/>
  <c r="T245" i="4" s="1"/>
  <c r="K245" i="4"/>
  <c r="J245" i="4"/>
  <c r="Y245" i="4" s="1"/>
  <c r="H245" i="4"/>
  <c r="V244" i="4"/>
  <c r="T244" i="4"/>
  <c r="S244" i="4"/>
  <c r="N244" i="4"/>
  <c r="AC244" i="4" s="1"/>
  <c r="M244" i="4"/>
  <c r="L244" i="4"/>
  <c r="AA244" i="4" s="1"/>
  <c r="K244" i="4"/>
  <c r="J244" i="4"/>
  <c r="R244" i="4" s="1"/>
  <c r="H244" i="4"/>
  <c r="O244" i="4" s="1"/>
  <c r="Z244" i="4" s="1"/>
  <c r="U243" i="4"/>
  <c r="T243" i="4"/>
  <c r="N243" i="4"/>
  <c r="V243" i="4" s="1"/>
  <c r="M243" i="4"/>
  <c r="L243" i="4"/>
  <c r="K243" i="4"/>
  <c r="J243" i="4"/>
  <c r="H243" i="4"/>
  <c r="S243" i="4" s="1"/>
  <c r="R242" i="4"/>
  <c r="N242" i="4"/>
  <c r="M242" i="4"/>
  <c r="U242" i="4" s="1"/>
  <c r="L242" i="4"/>
  <c r="K242" i="4"/>
  <c r="J242" i="4"/>
  <c r="H242" i="4"/>
  <c r="U241" i="4"/>
  <c r="N241" i="4"/>
  <c r="M241" i="4"/>
  <c r="L241" i="4"/>
  <c r="K241" i="4"/>
  <c r="J241" i="4"/>
  <c r="H241" i="4"/>
  <c r="N240" i="4"/>
  <c r="M240" i="4"/>
  <c r="L240" i="4"/>
  <c r="K240" i="4"/>
  <c r="J240" i="4"/>
  <c r="H240" i="4"/>
  <c r="V240" i="4" s="1"/>
  <c r="S239" i="4"/>
  <c r="R239" i="4"/>
  <c r="O239" i="4"/>
  <c r="N239" i="4"/>
  <c r="V239" i="4" s="1"/>
  <c r="M239" i="4"/>
  <c r="L239" i="4"/>
  <c r="K239" i="4"/>
  <c r="J239" i="4"/>
  <c r="H239" i="4"/>
  <c r="N238" i="4"/>
  <c r="M238" i="4"/>
  <c r="L238" i="4"/>
  <c r="K238" i="4"/>
  <c r="S238" i="4" s="1"/>
  <c r="J238" i="4"/>
  <c r="H238" i="4"/>
  <c r="O237" i="4"/>
  <c r="AC237" i="4" s="1"/>
  <c r="N237" i="4"/>
  <c r="M237" i="4"/>
  <c r="AB237" i="4" s="1"/>
  <c r="L237" i="4"/>
  <c r="K237" i="4"/>
  <c r="Z237" i="4" s="1"/>
  <c r="J237" i="4"/>
  <c r="Y237" i="4" s="1"/>
  <c r="H237" i="4"/>
  <c r="V237" i="4" s="1"/>
  <c r="U236" i="4"/>
  <c r="T236" i="4"/>
  <c r="S236" i="4"/>
  <c r="N236" i="4"/>
  <c r="M236" i="4"/>
  <c r="AB236" i="4" s="1"/>
  <c r="L236" i="4"/>
  <c r="K236" i="4"/>
  <c r="J236" i="4"/>
  <c r="H236" i="4"/>
  <c r="O236" i="4" s="1"/>
  <c r="AA236" i="4" s="1"/>
  <c r="AB235" i="4"/>
  <c r="V235" i="4"/>
  <c r="U235" i="4"/>
  <c r="N235" i="4"/>
  <c r="M235" i="4"/>
  <c r="L235" i="4"/>
  <c r="T235" i="4" s="1"/>
  <c r="K235" i="4"/>
  <c r="J235" i="4"/>
  <c r="H235" i="4"/>
  <c r="O235" i="4" s="1"/>
  <c r="AA235" i="4" s="1"/>
  <c r="V234" i="4"/>
  <c r="T234" i="4"/>
  <c r="R234" i="4"/>
  <c r="N234" i="4"/>
  <c r="M234" i="4"/>
  <c r="L234" i="4"/>
  <c r="K234" i="4"/>
  <c r="J234" i="4"/>
  <c r="H234" i="4"/>
  <c r="U233" i="4"/>
  <c r="N233" i="4"/>
  <c r="M233" i="4"/>
  <c r="L233" i="4"/>
  <c r="K233" i="4"/>
  <c r="J233" i="4"/>
  <c r="H233" i="4"/>
  <c r="AC232" i="4"/>
  <c r="AB232" i="4"/>
  <c r="Y232" i="4"/>
  <c r="V232" i="4"/>
  <c r="O232" i="4"/>
  <c r="N232" i="4"/>
  <c r="M232" i="4"/>
  <c r="U232" i="4" s="1"/>
  <c r="L232" i="4"/>
  <c r="K232" i="4"/>
  <c r="J232" i="4"/>
  <c r="R232" i="4" s="1"/>
  <c r="H232" i="4"/>
  <c r="U231" i="4"/>
  <c r="T231" i="4"/>
  <c r="S231" i="4"/>
  <c r="N231" i="4"/>
  <c r="M231" i="4"/>
  <c r="L231" i="4"/>
  <c r="K231" i="4"/>
  <c r="J231" i="4"/>
  <c r="H231" i="4"/>
  <c r="V230" i="4"/>
  <c r="U230" i="4"/>
  <c r="N230" i="4"/>
  <c r="M230" i="4"/>
  <c r="L230" i="4"/>
  <c r="K230" i="4"/>
  <c r="J230" i="4"/>
  <c r="H230" i="4"/>
  <c r="R229" i="4"/>
  <c r="N229" i="4"/>
  <c r="V229" i="4" s="1"/>
  <c r="M229" i="4"/>
  <c r="L229" i="4"/>
  <c r="K229" i="4"/>
  <c r="S229" i="4" s="1"/>
  <c r="J229" i="4"/>
  <c r="H229" i="4"/>
  <c r="V228" i="4"/>
  <c r="U228" i="4"/>
  <c r="T228" i="4"/>
  <c r="N228" i="4"/>
  <c r="AC228" i="4" s="1"/>
  <c r="M228" i="4"/>
  <c r="AB228" i="4" s="1"/>
  <c r="L228" i="4"/>
  <c r="K228" i="4"/>
  <c r="J228" i="4"/>
  <c r="H228" i="4"/>
  <c r="O228" i="4" s="1"/>
  <c r="U227" i="4"/>
  <c r="N227" i="4"/>
  <c r="M227" i="4"/>
  <c r="L227" i="4"/>
  <c r="K227" i="4"/>
  <c r="S227" i="4" s="1"/>
  <c r="J227" i="4"/>
  <c r="R227" i="4" s="1"/>
  <c r="H227" i="4"/>
  <c r="V227" i="4" s="1"/>
  <c r="T226" i="4"/>
  <c r="S226" i="4"/>
  <c r="R226" i="4"/>
  <c r="N226" i="4"/>
  <c r="M226" i="4"/>
  <c r="L226" i="4"/>
  <c r="K226" i="4"/>
  <c r="J226" i="4"/>
  <c r="H226" i="4"/>
  <c r="Y225" i="4"/>
  <c r="V225" i="4"/>
  <c r="U225" i="4"/>
  <c r="N225" i="4"/>
  <c r="AC225" i="4" s="1"/>
  <c r="M225" i="4"/>
  <c r="L225" i="4"/>
  <c r="K225" i="4"/>
  <c r="J225" i="4"/>
  <c r="R225" i="4" s="1"/>
  <c r="H225" i="4"/>
  <c r="O225" i="4" s="1"/>
  <c r="V224" i="4"/>
  <c r="N224" i="4"/>
  <c r="AC224" i="4" s="1"/>
  <c r="M224" i="4"/>
  <c r="L224" i="4"/>
  <c r="K224" i="4"/>
  <c r="J224" i="4"/>
  <c r="H224" i="4"/>
  <c r="O224" i="4" s="1"/>
  <c r="U223" i="4"/>
  <c r="T223" i="4"/>
  <c r="S223" i="4"/>
  <c r="O223" i="4"/>
  <c r="N223" i="4"/>
  <c r="M223" i="4"/>
  <c r="L223" i="4"/>
  <c r="K223" i="4"/>
  <c r="J223" i="4"/>
  <c r="H223" i="4"/>
  <c r="V222" i="4"/>
  <c r="N222" i="4"/>
  <c r="M222" i="4"/>
  <c r="U222" i="4" s="1"/>
  <c r="L222" i="4"/>
  <c r="K222" i="4"/>
  <c r="S222" i="4" s="1"/>
  <c r="J222" i="4"/>
  <c r="H222" i="4"/>
  <c r="AB221" i="4"/>
  <c r="N221" i="4"/>
  <c r="M221" i="4"/>
  <c r="U221" i="4" s="1"/>
  <c r="L221" i="4"/>
  <c r="K221" i="4"/>
  <c r="J221" i="4"/>
  <c r="H221" i="4"/>
  <c r="O221" i="4" s="1"/>
  <c r="Y221" i="4" s="1"/>
  <c r="T220" i="4"/>
  <c r="R220" i="4"/>
  <c r="O220" i="4"/>
  <c r="N220" i="4"/>
  <c r="M220" i="4"/>
  <c r="L220" i="4"/>
  <c r="K220" i="4"/>
  <c r="J220" i="4"/>
  <c r="H220" i="4"/>
  <c r="V220" i="4" s="1"/>
  <c r="AA219" i="4"/>
  <c r="Z219" i="4"/>
  <c r="Y219" i="4"/>
  <c r="R219" i="4"/>
  <c r="N219" i="4"/>
  <c r="V219" i="4" s="1"/>
  <c r="M219" i="4"/>
  <c r="L219" i="4"/>
  <c r="T219" i="4" s="1"/>
  <c r="K219" i="4"/>
  <c r="S219" i="4" s="1"/>
  <c r="J219" i="4"/>
  <c r="H219" i="4"/>
  <c r="T218" i="4"/>
  <c r="O218" i="4"/>
  <c r="N218" i="4"/>
  <c r="M218" i="4"/>
  <c r="L218" i="4"/>
  <c r="K218" i="4"/>
  <c r="S218" i="4" s="1"/>
  <c r="J218" i="4"/>
  <c r="H218" i="4"/>
  <c r="O219" i="4" s="1"/>
  <c r="AC219" i="4" s="1"/>
  <c r="V217" i="4"/>
  <c r="U217" i="4"/>
  <c r="S217" i="4"/>
  <c r="N217" i="4"/>
  <c r="M217" i="4"/>
  <c r="L217" i="4"/>
  <c r="K217" i="4"/>
  <c r="Z217" i="4" s="1"/>
  <c r="J217" i="4"/>
  <c r="H217" i="4"/>
  <c r="O217" i="4" s="1"/>
  <c r="AC217" i="4" s="1"/>
  <c r="AB216" i="4"/>
  <c r="U216" i="4"/>
  <c r="N216" i="4"/>
  <c r="M216" i="4"/>
  <c r="L216" i="4"/>
  <c r="K216" i="4"/>
  <c r="J216" i="4"/>
  <c r="Y216" i="4" s="1"/>
  <c r="H216" i="4"/>
  <c r="O216" i="4" s="1"/>
  <c r="Z216" i="4" s="1"/>
  <c r="U215" i="4"/>
  <c r="R215" i="4"/>
  <c r="O215" i="4"/>
  <c r="N215" i="4"/>
  <c r="M215" i="4"/>
  <c r="L215" i="4"/>
  <c r="T215" i="4" s="1"/>
  <c r="K215" i="4"/>
  <c r="J215" i="4"/>
  <c r="Y215" i="4" s="1"/>
  <c r="H215" i="4"/>
  <c r="V214" i="4"/>
  <c r="T214" i="4"/>
  <c r="R214" i="4"/>
  <c r="N214" i="4"/>
  <c r="M214" i="4"/>
  <c r="L214" i="4"/>
  <c r="K214" i="4"/>
  <c r="S214" i="4" s="1"/>
  <c r="J214" i="4"/>
  <c r="H214" i="4"/>
  <c r="O214" i="4" s="1"/>
  <c r="AC213" i="4"/>
  <c r="O213" i="4"/>
  <c r="AA213" i="4" s="1"/>
  <c r="N213" i="4"/>
  <c r="M213" i="4"/>
  <c r="U213" i="4" s="1"/>
  <c r="L213" i="4"/>
  <c r="K213" i="4"/>
  <c r="Z213" i="4" s="1"/>
  <c r="J213" i="4"/>
  <c r="H213" i="4"/>
  <c r="V213" i="4" s="1"/>
  <c r="V212" i="4"/>
  <c r="S212" i="4"/>
  <c r="R212" i="4"/>
  <c r="N212" i="4"/>
  <c r="M212" i="4"/>
  <c r="U212" i="4" s="1"/>
  <c r="L212" i="4"/>
  <c r="K212" i="4"/>
  <c r="J212" i="4"/>
  <c r="H212" i="4"/>
  <c r="N211" i="4"/>
  <c r="M211" i="4"/>
  <c r="L211" i="4"/>
  <c r="K211" i="4"/>
  <c r="J211" i="4"/>
  <c r="R211" i="4" s="1"/>
  <c r="H211" i="4"/>
  <c r="R210" i="4"/>
  <c r="N210" i="4"/>
  <c r="V210" i="4" s="1"/>
  <c r="M210" i="4"/>
  <c r="L210" i="4"/>
  <c r="K210" i="4"/>
  <c r="J210" i="4"/>
  <c r="H210" i="4"/>
  <c r="U210" i="4" s="1"/>
  <c r="T209" i="4"/>
  <c r="S209" i="4"/>
  <c r="R209" i="4"/>
  <c r="N209" i="4"/>
  <c r="V209" i="4" s="1"/>
  <c r="M209" i="4"/>
  <c r="L209" i="4"/>
  <c r="K209" i="4"/>
  <c r="J209" i="4"/>
  <c r="H209" i="4"/>
  <c r="U208" i="4"/>
  <c r="N208" i="4"/>
  <c r="V208" i="4" s="1"/>
  <c r="M208" i="4"/>
  <c r="L208" i="4"/>
  <c r="T208" i="4" s="1"/>
  <c r="K208" i="4"/>
  <c r="S208" i="4" s="1"/>
  <c r="J208" i="4"/>
  <c r="H208" i="4"/>
  <c r="O209" i="4" s="1"/>
  <c r="U207" i="4"/>
  <c r="R207" i="4"/>
  <c r="O207" i="4"/>
  <c r="AC207" i="4" s="1"/>
  <c r="N207" i="4"/>
  <c r="M207" i="4"/>
  <c r="L207" i="4"/>
  <c r="K207" i="4"/>
  <c r="J207" i="4"/>
  <c r="H207" i="4"/>
  <c r="V207" i="4" s="1"/>
  <c r="U206" i="4"/>
  <c r="T206" i="4"/>
  <c r="N206" i="4"/>
  <c r="M206" i="4"/>
  <c r="L206" i="4"/>
  <c r="K206" i="4"/>
  <c r="J206" i="4"/>
  <c r="H206" i="4"/>
  <c r="AC205" i="4"/>
  <c r="O205" i="4"/>
  <c r="AA205" i="4" s="1"/>
  <c r="N205" i="4"/>
  <c r="M205" i="4"/>
  <c r="L205" i="4"/>
  <c r="T205" i="4" s="1"/>
  <c r="K205" i="4"/>
  <c r="J205" i="4"/>
  <c r="H205" i="4"/>
  <c r="V205" i="4" s="1"/>
  <c r="V204" i="4"/>
  <c r="S204" i="4"/>
  <c r="R204" i="4"/>
  <c r="N204" i="4"/>
  <c r="M204" i="4"/>
  <c r="L204" i="4"/>
  <c r="K204" i="4"/>
  <c r="J204" i="4"/>
  <c r="H204" i="4"/>
  <c r="N203" i="4"/>
  <c r="M203" i="4"/>
  <c r="L203" i="4"/>
  <c r="K203" i="4"/>
  <c r="J203" i="4"/>
  <c r="H203" i="4"/>
  <c r="R202" i="4"/>
  <c r="N202" i="4"/>
  <c r="V202" i="4" s="1"/>
  <c r="M202" i="4"/>
  <c r="U202" i="4" s="1"/>
  <c r="L202" i="4"/>
  <c r="K202" i="4"/>
  <c r="S202" i="4" s="1"/>
  <c r="J202" i="4"/>
  <c r="H202" i="4"/>
  <c r="U201" i="4"/>
  <c r="T201" i="4"/>
  <c r="S201" i="4"/>
  <c r="N201" i="4"/>
  <c r="M201" i="4"/>
  <c r="L201" i="4"/>
  <c r="K201" i="4"/>
  <c r="J201" i="4"/>
  <c r="H201" i="4"/>
  <c r="O202" i="4" s="1"/>
  <c r="V200" i="4"/>
  <c r="N200" i="4"/>
  <c r="M200" i="4"/>
  <c r="L200" i="4"/>
  <c r="K200" i="4"/>
  <c r="J200" i="4"/>
  <c r="H200" i="4"/>
  <c r="S199" i="4"/>
  <c r="R199" i="4"/>
  <c r="O199" i="4"/>
  <c r="N199" i="4"/>
  <c r="V199" i="4" s="1"/>
  <c r="M199" i="4"/>
  <c r="L199" i="4"/>
  <c r="T199" i="4" s="1"/>
  <c r="K199" i="4"/>
  <c r="J199" i="4"/>
  <c r="H199" i="4"/>
  <c r="V198" i="4"/>
  <c r="U198" i="4"/>
  <c r="N198" i="4"/>
  <c r="M198" i="4"/>
  <c r="L198" i="4"/>
  <c r="K198" i="4"/>
  <c r="J198" i="4"/>
  <c r="H198" i="4"/>
  <c r="AC197" i="4"/>
  <c r="Z197" i="4"/>
  <c r="O197" i="4"/>
  <c r="N197" i="4"/>
  <c r="M197" i="4"/>
  <c r="AB197" i="4" s="1"/>
  <c r="L197" i="4"/>
  <c r="K197" i="4"/>
  <c r="S197" i="4" s="1"/>
  <c r="J197" i="4"/>
  <c r="Y197" i="4" s="1"/>
  <c r="H197" i="4"/>
  <c r="V197" i="4" s="1"/>
  <c r="U196" i="4"/>
  <c r="S196" i="4"/>
  <c r="R196" i="4"/>
  <c r="N196" i="4"/>
  <c r="M196" i="4"/>
  <c r="L196" i="4"/>
  <c r="K196" i="4"/>
  <c r="J196" i="4"/>
  <c r="H196" i="4"/>
  <c r="AA195" i="4"/>
  <c r="V195" i="4"/>
  <c r="N195" i="4"/>
  <c r="M195" i="4"/>
  <c r="U195" i="4" s="1"/>
  <c r="L195" i="4"/>
  <c r="K195" i="4"/>
  <c r="J195" i="4"/>
  <c r="H195" i="4"/>
  <c r="O195" i="4" s="1"/>
  <c r="V194" i="4"/>
  <c r="R194" i="4"/>
  <c r="N194" i="4"/>
  <c r="M194" i="4"/>
  <c r="L194" i="4"/>
  <c r="K194" i="4"/>
  <c r="J194" i="4"/>
  <c r="H194" i="4"/>
  <c r="O194" i="4" s="1"/>
  <c r="Y194" i="4" s="1"/>
  <c r="U193" i="4"/>
  <c r="T193" i="4"/>
  <c r="S193" i="4"/>
  <c r="N193" i="4"/>
  <c r="M193" i="4"/>
  <c r="L193" i="4"/>
  <c r="K193" i="4"/>
  <c r="J193" i="4"/>
  <c r="R193" i="4" s="1"/>
  <c r="H193" i="4"/>
  <c r="O193" i="4" s="1"/>
  <c r="AA193" i="4" s="1"/>
  <c r="V192" i="4"/>
  <c r="R192" i="4"/>
  <c r="N192" i="4"/>
  <c r="M192" i="4"/>
  <c r="U192" i="4" s="1"/>
  <c r="L192" i="4"/>
  <c r="K192" i="4"/>
  <c r="J192" i="4"/>
  <c r="H192" i="4"/>
  <c r="N191" i="4"/>
  <c r="M191" i="4"/>
  <c r="L191" i="4"/>
  <c r="K191" i="4"/>
  <c r="J191" i="4"/>
  <c r="H191" i="4"/>
  <c r="S190" i="4"/>
  <c r="N190" i="4"/>
  <c r="V190" i="4" s="1"/>
  <c r="M190" i="4"/>
  <c r="L190" i="4"/>
  <c r="K190" i="4"/>
  <c r="J190" i="4"/>
  <c r="H190" i="4"/>
  <c r="U190" i="4" s="1"/>
  <c r="N189" i="4"/>
  <c r="M189" i="4"/>
  <c r="L189" i="4"/>
  <c r="K189" i="4"/>
  <c r="J189" i="4"/>
  <c r="H189" i="4"/>
  <c r="T188" i="4"/>
  <c r="R188" i="4"/>
  <c r="O188" i="4"/>
  <c r="N188" i="4"/>
  <c r="AC188" i="4" s="1"/>
  <c r="M188" i="4"/>
  <c r="AB188" i="4" s="1"/>
  <c r="L188" i="4"/>
  <c r="AA188" i="4" s="1"/>
  <c r="K188" i="4"/>
  <c r="J188" i="4"/>
  <c r="Y188" i="4" s="1"/>
  <c r="H188" i="4"/>
  <c r="V188" i="4" s="1"/>
  <c r="N187" i="4"/>
  <c r="M187" i="4"/>
  <c r="L187" i="4"/>
  <c r="T187" i="4" s="1"/>
  <c r="K187" i="4"/>
  <c r="S187" i="4" s="1"/>
  <c r="J187" i="4"/>
  <c r="H187" i="4"/>
  <c r="V187" i="4" s="1"/>
  <c r="U186" i="4"/>
  <c r="T186" i="4"/>
  <c r="S186" i="4"/>
  <c r="N186" i="4"/>
  <c r="M186" i="4"/>
  <c r="L186" i="4"/>
  <c r="K186" i="4"/>
  <c r="J186" i="4"/>
  <c r="H186" i="4"/>
  <c r="AB185" i="4"/>
  <c r="S185" i="4"/>
  <c r="O185" i="4"/>
  <c r="N185" i="4"/>
  <c r="M185" i="4"/>
  <c r="U185" i="4" s="1"/>
  <c r="L185" i="4"/>
  <c r="K185" i="4"/>
  <c r="J185" i="4"/>
  <c r="H185" i="4"/>
  <c r="V184" i="4"/>
  <c r="U184" i="4"/>
  <c r="N184" i="4"/>
  <c r="M184" i="4"/>
  <c r="L184" i="4"/>
  <c r="K184" i="4"/>
  <c r="J184" i="4"/>
  <c r="H184" i="4"/>
  <c r="T183" i="4"/>
  <c r="R183" i="4"/>
  <c r="O183" i="4"/>
  <c r="N183" i="4"/>
  <c r="M183" i="4"/>
  <c r="L183" i="4"/>
  <c r="K183" i="4"/>
  <c r="S183" i="4" s="1"/>
  <c r="J183" i="4"/>
  <c r="H183" i="4"/>
  <c r="U183" i="4" s="1"/>
  <c r="N182" i="4"/>
  <c r="V182" i="4" s="1"/>
  <c r="M182" i="4"/>
  <c r="U182" i="4" s="1"/>
  <c r="L182" i="4"/>
  <c r="K182" i="4"/>
  <c r="S182" i="4" s="1"/>
  <c r="J182" i="4"/>
  <c r="R182" i="4" s="1"/>
  <c r="H182" i="4"/>
  <c r="U181" i="4"/>
  <c r="T181" i="4"/>
  <c r="S181" i="4"/>
  <c r="N181" i="4"/>
  <c r="AC181" i="4" s="1"/>
  <c r="M181" i="4"/>
  <c r="AB181" i="4" s="1"/>
  <c r="L181" i="4"/>
  <c r="AA181" i="4" s="1"/>
  <c r="K181" i="4"/>
  <c r="Z181" i="4" s="1"/>
  <c r="J181" i="4"/>
  <c r="R181" i="4" s="1"/>
  <c r="H181" i="4"/>
  <c r="O181" i="4" s="1"/>
  <c r="R180" i="4"/>
  <c r="N180" i="4"/>
  <c r="M180" i="4"/>
  <c r="L180" i="4"/>
  <c r="K180" i="4"/>
  <c r="J180" i="4"/>
  <c r="H180" i="4"/>
  <c r="U180" i="4" s="1"/>
  <c r="U179" i="4"/>
  <c r="T179" i="4"/>
  <c r="N179" i="4"/>
  <c r="M179" i="4"/>
  <c r="L179" i="4"/>
  <c r="K179" i="4"/>
  <c r="S179" i="4" s="1"/>
  <c r="J179" i="4"/>
  <c r="H179" i="4"/>
  <c r="U178" i="4"/>
  <c r="R178" i="4"/>
  <c r="O178" i="4"/>
  <c r="N178" i="4"/>
  <c r="V178" i="4" s="1"/>
  <c r="M178" i="4"/>
  <c r="AB178" i="4" s="1"/>
  <c r="L178" i="4"/>
  <c r="AA178" i="4" s="1"/>
  <c r="K178" i="4"/>
  <c r="S178" i="4" s="1"/>
  <c r="J178" i="4"/>
  <c r="Y178" i="4" s="1"/>
  <c r="H178" i="4"/>
  <c r="N177" i="4"/>
  <c r="V177" i="4" s="1"/>
  <c r="M177" i="4"/>
  <c r="L177" i="4"/>
  <c r="K177" i="4"/>
  <c r="J177" i="4"/>
  <c r="H177" i="4"/>
  <c r="R177" i="4" s="1"/>
  <c r="N176" i="4"/>
  <c r="M176" i="4"/>
  <c r="L176" i="4"/>
  <c r="K176" i="4"/>
  <c r="J176" i="4"/>
  <c r="H176" i="4"/>
  <c r="N175" i="4"/>
  <c r="M175" i="4"/>
  <c r="L175" i="4"/>
  <c r="K175" i="4"/>
  <c r="J175" i="4"/>
  <c r="H175" i="4"/>
  <c r="R174" i="4"/>
  <c r="N174" i="4"/>
  <c r="M174" i="4"/>
  <c r="L174" i="4"/>
  <c r="K174" i="4"/>
  <c r="J174" i="4"/>
  <c r="H174" i="4"/>
  <c r="S174" i="4" s="1"/>
  <c r="N173" i="4"/>
  <c r="M173" i="4"/>
  <c r="L173" i="4"/>
  <c r="K173" i="4"/>
  <c r="J173" i="4"/>
  <c r="H173" i="4"/>
  <c r="N172" i="4"/>
  <c r="M172" i="4"/>
  <c r="L172" i="4"/>
  <c r="K172" i="4"/>
  <c r="J172" i="4"/>
  <c r="H172" i="4"/>
  <c r="S171" i="4"/>
  <c r="R171" i="4"/>
  <c r="O171" i="4"/>
  <c r="AA171" i="4" s="1"/>
  <c r="N171" i="4"/>
  <c r="M171" i="4"/>
  <c r="L171" i="4"/>
  <c r="K171" i="4"/>
  <c r="Z171" i="4" s="1"/>
  <c r="J171" i="4"/>
  <c r="H171" i="4"/>
  <c r="T171" i="4" s="1"/>
  <c r="S170" i="4"/>
  <c r="N170" i="4"/>
  <c r="M170" i="4"/>
  <c r="L170" i="4"/>
  <c r="T170" i="4" s="1"/>
  <c r="K170" i="4"/>
  <c r="J170" i="4"/>
  <c r="R170" i="4" s="1"/>
  <c r="H170" i="4"/>
  <c r="N169" i="4"/>
  <c r="M169" i="4"/>
  <c r="L169" i="4"/>
  <c r="K169" i="4"/>
  <c r="J169" i="4"/>
  <c r="H169" i="4"/>
  <c r="V169" i="4" s="1"/>
  <c r="R168" i="4"/>
  <c r="O168" i="4"/>
  <c r="Y168" i="4" s="1"/>
  <c r="N168" i="4"/>
  <c r="M168" i="4"/>
  <c r="L168" i="4"/>
  <c r="K168" i="4"/>
  <c r="J168" i="4"/>
  <c r="H168" i="4"/>
  <c r="U168" i="4" s="1"/>
  <c r="U167" i="4"/>
  <c r="T167" i="4"/>
  <c r="O167" i="4"/>
  <c r="N167" i="4"/>
  <c r="M167" i="4"/>
  <c r="L167" i="4"/>
  <c r="K167" i="4"/>
  <c r="J167" i="4"/>
  <c r="H167" i="4"/>
  <c r="R167" i="4" s="1"/>
  <c r="V166" i="4"/>
  <c r="N166" i="4"/>
  <c r="M166" i="4"/>
  <c r="L166" i="4"/>
  <c r="K166" i="4"/>
  <c r="J166" i="4"/>
  <c r="R166" i="4" s="1"/>
  <c r="H166" i="4"/>
  <c r="S165" i="4"/>
  <c r="R165" i="4"/>
  <c r="O165" i="4"/>
  <c r="N165" i="4"/>
  <c r="M165" i="4"/>
  <c r="L165" i="4"/>
  <c r="K165" i="4"/>
  <c r="J165" i="4"/>
  <c r="H165" i="4"/>
  <c r="V165" i="4" s="1"/>
  <c r="V164" i="4"/>
  <c r="U164" i="4"/>
  <c r="N164" i="4"/>
  <c r="M164" i="4"/>
  <c r="L164" i="4"/>
  <c r="K164" i="4"/>
  <c r="J164" i="4"/>
  <c r="H164" i="4"/>
  <c r="U163" i="4"/>
  <c r="S163" i="4"/>
  <c r="R163" i="4"/>
  <c r="O163" i="4"/>
  <c r="N163" i="4"/>
  <c r="V163" i="4" s="1"/>
  <c r="M163" i="4"/>
  <c r="AB163" i="4" s="1"/>
  <c r="L163" i="4"/>
  <c r="K163" i="4"/>
  <c r="J163" i="4"/>
  <c r="H163" i="4"/>
  <c r="V162" i="4"/>
  <c r="R162" i="4"/>
  <c r="N162" i="4"/>
  <c r="M162" i="4"/>
  <c r="U162" i="4" s="1"/>
  <c r="L162" i="4"/>
  <c r="K162" i="4"/>
  <c r="J162" i="4"/>
  <c r="H162" i="4"/>
  <c r="V161" i="4"/>
  <c r="T161" i="4"/>
  <c r="N161" i="4"/>
  <c r="M161" i="4"/>
  <c r="L161" i="4"/>
  <c r="K161" i="4"/>
  <c r="J161" i="4"/>
  <c r="H161" i="4"/>
  <c r="O161" i="4" s="1"/>
  <c r="AA161" i="4" s="1"/>
  <c r="S160" i="4"/>
  <c r="R160" i="4"/>
  <c r="N160" i="4"/>
  <c r="V160" i="4" s="1"/>
  <c r="M160" i="4"/>
  <c r="U160" i="4" s="1"/>
  <c r="L160" i="4"/>
  <c r="K160" i="4"/>
  <c r="J160" i="4"/>
  <c r="H160" i="4"/>
  <c r="N159" i="4"/>
  <c r="M159" i="4"/>
  <c r="L159" i="4"/>
  <c r="K159" i="4"/>
  <c r="J159" i="4"/>
  <c r="H159" i="4"/>
  <c r="AC158" i="4"/>
  <c r="V158" i="4"/>
  <c r="T158" i="4"/>
  <c r="S158" i="4"/>
  <c r="N158" i="4"/>
  <c r="M158" i="4"/>
  <c r="L158" i="4"/>
  <c r="K158" i="4"/>
  <c r="J158" i="4"/>
  <c r="H158" i="4"/>
  <c r="U158" i="4" s="1"/>
  <c r="U157" i="4"/>
  <c r="R157" i="4"/>
  <c r="N157" i="4"/>
  <c r="M157" i="4"/>
  <c r="L157" i="4"/>
  <c r="T157" i="4" s="1"/>
  <c r="K157" i="4"/>
  <c r="J157" i="4"/>
  <c r="H157" i="4"/>
  <c r="O158" i="4" s="1"/>
  <c r="AB158" i="4" s="1"/>
  <c r="Z156" i="4"/>
  <c r="Y156" i="4"/>
  <c r="U156" i="4"/>
  <c r="N156" i="4"/>
  <c r="M156" i="4"/>
  <c r="L156" i="4"/>
  <c r="T156" i="4" s="1"/>
  <c r="K156" i="4"/>
  <c r="S156" i="4" s="1"/>
  <c r="J156" i="4"/>
  <c r="R156" i="4" s="1"/>
  <c r="H156" i="4"/>
  <c r="O156" i="4" s="1"/>
  <c r="S155" i="4"/>
  <c r="R155" i="4"/>
  <c r="O155" i="4"/>
  <c r="N155" i="4"/>
  <c r="M155" i="4"/>
  <c r="L155" i="4"/>
  <c r="K155" i="4"/>
  <c r="J155" i="4"/>
  <c r="H155" i="4"/>
  <c r="V155" i="4" s="1"/>
  <c r="V154" i="4"/>
  <c r="T154" i="4"/>
  <c r="N154" i="4"/>
  <c r="M154" i="4"/>
  <c r="L154" i="4"/>
  <c r="K154" i="4"/>
  <c r="J154" i="4"/>
  <c r="H154" i="4"/>
  <c r="AC153" i="4"/>
  <c r="Y153" i="4"/>
  <c r="S153" i="4"/>
  <c r="O153" i="4"/>
  <c r="N153" i="4"/>
  <c r="V153" i="4" s="1"/>
  <c r="M153" i="4"/>
  <c r="L153" i="4"/>
  <c r="K153" i="4"/>
  <c r="Z153" i="4" s="1"/>
  <c r="J153" i="4"/>
  <c r="R153" i="4" s="1"/>
  <c r="H153" i="4"/>
  <c r="R152" i="4"/>
  <c r="N152" i="4"/>
  <c r="M152" i="4"/>
  <c r="L152" i="4"/>
  <c r="K152" i="4"/>
  <c r="S152" i="4" s="1"/>
  <c r="J152" i="4"/>
  <c r="H152" i="4"/>
  <c r="V151" i="4"/>
  <c r="U151" i="4"/>
  <c r="S151" i="4"/>
  <c r="N151" i="4"/>
  <c r="M151" i="4"/>
  <c r="L151" i="4"/>
  <c r="K151" i="4"/>
  <c r="J151" i="4"/>
  <c r="H151" i="4"/>
  <c r="R150" i="4"/>
  <c r="N150" i="4"/>
  <c r="M150" i="4"/>
  <c r="U150" i="4" s="1"/>
  <c r="L150" i="4"/>
  <c r="T150" i="4" s="1"/>
  <c r="K150" i="4"/>
  <c r="J150" i="4"/>
  <c r="H150" i="4"/>
  <c r="V149" i="4"/>
  <c r="U149" i="4"/>
  <c r="T149" i="4"/>
  <c r="S149" i="4"/>
  <c r="N149" i="4"/>
  <c r="M149" i="4"/>
  <c r="AB149" i="4" s="1"/>
  <c r="L149" i="4"/>
  <c r="AA149" i="4" s="1"/>
  <c r="K149" i="4"/>
  <c r="J149" i="4"/>
  <c r="H149" i="4"/>
  <c r="O149" i="4" s="1"/>
  <c r="Z149" i="4" s="1"/>
  <c r="AC148" i="4"/>
  <c r="AB148" i="4"/>
  <c r="V148" i="4"/>
  <c r="T148" i="4"/>
  <c r="O148" i="4"/>
  <c r="N148" i="4"/>
  <c r="M148" i="4"/>
  <c r="L148" i="4"/>
  <c r="AA148" i="4" s="1"/>
  <c r="K148" i="4"/>
  <c r="Z148" i="4" s="1"/>
  <c r="J148" i="4"/>
  <c r="H148" i="4"/>
  <c r="U148" i="4" s="1"/>
  <c r="T147" i="4"/>
  <c r="S147" i="4"/>
  <c r="R147" i="4"/>
  <c r="O147" i="4"/>
  <c r="N147" i="4"/>
  <c r="V147" i="4" s="1"/>
  <c r="M147" i="4"/>
  <c r="U147" i="4" s="1"/>
  <c r="L147" i="4"/>
  <c r="AA147" i="4" s="1"/>
  <c r="K147" i="4"/>
  <c r="J147" i="4"/>
  <c r="H147" i="4"/>
  <c r="V146" i="4"/>
  <c r="N146" i="4"/>
  <c r="M146" i="4"/>
  <c r="U146" i="4" s="1"/>
  <c r="L146" i="4"/>
  <c r="K146" i="4"/>
  <c r="S146" i="4" s="1"/>
  <c r="J146" i="4"/>
  <c r="H146" i="4"/>
  <c r="T145" i="4"/>
  <c r="S145" i="4"/>
  <c r="R145" i="4"/>
  <c r="O145" i="4"/>
  <c r="N145" i="4"/>
  <c r="M145" i="4"/>
  <c r="L145" i="4"/>
  <c r="K145" i="4"/>
  <c r="J145" i="4"/>
  <c r="Y145" i="4" s="1"/>
  <c r="H145" i="4"/>
  <c r="O146" i="4" s="1"/>
  <c r="Z144" i="4"/>
  <c r="S144" i="4"/>
  <c r="R144" i="4"/>
  <c r="N144" i="4"/>
  <c r="V144" i="4" s="1"/>
  <c r="M144" i="4"/>
  <c r="L144" i="4"/>
  <c r="K144" i="4"/>
  <c r="J144" i="4"/>
  <c r="Y144" i="4" s="1"/>
  <c r="H144" i="4"/>
  <c r="V143" i="4"/>
  <c r="U143" i="4"/>
  <c r="R143" i="4"/>
  <c r="N143" i="4"/>
  <c r="M143" i="4"/>
  <c r="L143" i="4"/>
  <c r="K143" i="4"/>
  <c r="J143" i="4"/>
  <c r="H143" i="4"/>
  <c r="O144" i="4" s="1"/>
  <c r="AC144" i="4" s="1"/>
  <c r="N142" i="4"/>
  <c r="M142" i="4"/>
  <c r="L142" i="4"/>
  <c r="K142" i="4"/>
  <c r="J142" i="4"/>
  <c r="H142" i="4"/>
  <c r="T141" i="4"/>
  <c r="S141" i="4"/>
  <c r="R141" i="4"/>
  <c r="O141" i="4"/>
  <c r="AB141" i="4" s="1"/>
  <c r="N141" i="4"/>
  <c r="M141" i="4"/>
  <c r="L141" i="4"/>
  <c r="K141" i="4"/>
  <c r="J141" i="4"/>
  <c r="H141" i="4"/>
  <c r="U141" i="4" s="1"/>
  <c r="N140" i="4"/>
  <c r="V140" i="4" s="1"/>
  <c r="M140" i="4"/>
  <c r="U140" i="4" s="1"/>
  <c r="L140" i="4"/>
  <c r="T140" i="4" s="1"/>
  <c r="K140" i="4"/>
  <c r="J140" i="4"/>
  <c r="R140" i="4" s="1"/>
  <c r="H140" i="4"/>
  <c r="T139" i="4"/>
  <c r="S139" i="4"/>
  <c r="N139" i="4"/>
  <c r="M139" i="4"/>
  <c r="L139" i="4"/>
  <c r="K139" i="4"/>
  <c r="J139" i="4"/>
  <c r="R139" i="4" s="1"/>
  <c r="H139" i="4"/>
  <c r="Y138" i="4"/>
  <c r="V138" i="4"/>
  <c r="T138" i="4"/>
  <c r="N138" i="4"/>
  <c r="M138" i="4"/>
  <c r="L138" i="4"/>
  <c r="K138" i="4"/>
  <c r="J138" i="4"/>
  <c r="R138" i="4" s="1"/>
  <c r="H138" i="4"/>
  <c r="O138" i="4" s="1"/>
  <c r="AC137" i="4"/>
  <c r="T137" i="4"/>
  <c r="R137" i="4"/>
  <c r="O137" i="4"/>
  <c r="N137" i="4"/>
  <c r="V137" i="4" s="1"/>
  <c r="M137" i="4"/>
  <c r="L137" i="4"/>
  <c r="K137" i="4"/>
  <c r="J137" i="4"/>
  <c r="H137" i="4"/>
  <c r="V136" i="4"/>
  <c r="N136" i="4"/>
  <c r="M136" i="4"/>
  <c r="U136" i="4" s="1"/>
  <c r="L136" i="4"/>
  <c r="K136" i="4"/>
  <c r="S136" i="4" s="1"/>
  <c r="J136" i="4"/>
  <c r="H136" i="4"/>
  <c r="T136" i="4" s="1"/>
  <c r="V135" i="4"/>
  <c r="T135" i="4"/>
  <c r="R135" i="4"/>
  <c r="O135" i="4"/>
  <c r="N135" i="4"/>
  <c r="M135" i="4"/>
  <c r="L135" i="4"/>
  <c r="K135" i="4"/>
  <c r="J135" i="4"/>
  <c r="H135" i="4"/>
  <c r="U135" i="4" s="1"/>
  <c r="T134" i="4"/>
  <c r="N134" i="4"/>
  <c r="M134" i="4"/>
  <c r="L134" i="4"/>
  <c r="K134" i="4"/>
  <c r="J134" i="4"/>
  <c r="H134" i="4"/>
  <c r="R133" i="4"/>
  <c r="O133" i="4"/>
  <c r="AA133" i="4" s="1"/>
  <c r="N133" i="4"/>
  <c r="V133" i="4" s="1"/>
  <c r="M133" i="4"/>
  <c r="L133" i="4"/>
  <c r="K133" i="4"/>
  <c r="S133" i="4" s="1"/>
  <c r="J133" i="4"/>
  <c r="H133" i="4"/>
  <c r="Y132" i="4"/>
  <c r="V132" i="4"/>
  <c r="U132" i="4"/>
  <c r="T132" i="4"/>
  <c r="N132" i="4"/>
  <c r="M132" i="4"/>
  <c r="L132" i="4"/>
  <c r="K132" i="4"/>
  <c r="S132" i="4" s="1"/>
  <c r="J132" i="4"/>
  <c r="H132" i="4"/>
  <c r="O132" i="4" s="1"/>
  <c r="R131" i="4"/>
  <c r="O131" i="4"/>
  <c r="AA131" i="4" s="1"/>
  <c r="N131" i="4"/>
  <c r="V131" i="4" s="1"/>
  <c r="M131" i="4"/>
  <c r="L131" i="4"/>
  <c r="K131" i="4"/>
  <c r="J131" i="4"/>
  <c r="H131" i="4"/>
  <c r="T131" i="4" s="1"/>
  <c r="V130" i="4"/>
  <c r="S130" i="4"/>
  <c r="N130" i="4"/>
  <c r="M130" i="4"/>
  <c r="U130" i="4" s="1"/>
  <c r="L130" i="4"/>
  <c r="T130" i="4" s="1"/>
  <c r="K130" i="4"/>
  <c r="J130" i="4"/>
  <c r="R130" i="4" s="1"/>
  <c r="H130" i="4"/>
  <c r="S129" i="4"/>
  <c r="N129" i="4"/>
  <c r="M129" i="4"/>
  <c r="U129" i="4" s="1"/>
  <c r="L129" i="4"/>
  <c r="K129" i="4"/>
  <c r="J129" i="4"/>
  <c r="H129" i="4"/>
  <c r="U128" i="4"/>
  <c r="T128" i="4"/>
  <c r="S128" i="4"/>
  <c r="R128" i="4"/>
  <c r="N128" i="4"/>
  <c r="AC128" i="4" s="1"/>
  <c r="M128" i="4"/>
  <c r="L128" i="4"/>
  <c r="K128" i="4"/>
  <c r="J128" i="4"/>
  <c r="H128" i="4"/>
  <c r="O128" i="4" s="1"/>
  <c r="AB128" i="4" s="1"/>
  <c r="R127" i="4"/>
  <c r="N127" i="4"/>
  <c r="V127" i="4" s="1"/>
  <c r="M127" i="4"/>
  <c r="U127" i="4" s="1"/>
  <c r="L127" i="4"/>
  <c r="T127" i="4" s="1"/>
  <c r="K127" i="4"/>
  <c r="J127" i="4"/>
  <c r="H127" i="4"/>
  <c r="N126" i="4"/>
  <c r="M126" i="4"/>
  <c r="L126" i="4"/>
  <c r="K126" i="4"/>
  <c r="J126" i="4"/>
  <c r="H126" i="4"/>
  <c r="N125" i="4"/>
  <c r="M125" i="4"/>
  <c r="L125" i="4"/>
  <c r="K125" i="4"/>
  <c r="J125" i="4"/>
  <c r="H125" i="4"/>
  <c r="U124" i="4"/>
  <c r="N124" i="4"/>
  <c r="M124" i="4"/>
  <c r="L124" i="4"/>
  <c r="K124" i="4"/>
  <c r="J124" i="4"/>
  <c r="H124" i="4"/>
  <c r="N123" i="4"/>
  <c r="M123" i="4"/>
  <c r="L123" i="4"/>
  <c r="K123" i="4"/>
  <c r="J123" i="4"/>
  <c r="H123" i="4"/>
  <c r="T122" i="4"/>
  <c r="S122" i="4"/>
  <c r="R122" i="4"/>
  <c r="N122" i="4"/>
  <c r="M122" i="4"/>
  <c r="L122" i="4"/>
  <c r="AA122" i="4" s="1"/>
  <c r="K122" i="4"/>
  <c r="Z122" i="4" s="1"/>
  <c r="J122" i="4"/>
  <c r="Y122" i="4" s="1"/>
  <c r="H122" i="4"/>
  <c r="O122" i="4" s="1"/>
  <c r="AA121" i="4"/>
  <c r="T121" i="4"/>
  <c r="S121" i="4"/>
  <c r="O121" i="4"/>
  <c r="N121" i="4"/>
  <c r="AC121" i="4" s="1"/>
  <c r="M121" i="4"/>
  <c r="L121" i="4"/>
  <c r="K121" i="4"/>
  <c r="Z121" i="4" s="1"/>
  <c r="J121" i="4"/>
  <c r="H121" i="4"/>
  <c r="V120" i="4"/>
  <c r="S120" i="4"/>
  <c r="R120" i="4"/>
  <c r="N120" i="4"/>
  <c r="M120" i="4"/>
  <c r="L120" i="4"/>
  <c r="T120" i="4" s="1"/>
  <c r="K120" i="4"/>
  <c r="J120" i="4"/>
  <c r="H120" i="4"/>
  <c r="AA119" i="4"/>
  <c r="N119" i="4"/>
  <c r="M119" i="4"/>
  <c r="L119" i="4"/>
  <c r="K119" i="4"/>
  <c r="J119" i="4"/>
  <c r="H119" i="4"/>
  <c r="O119" i="4" s="1"/>
  <c r="Z119" i="4" s="1"/>
  <c r="AB118" i="4"/>
  <c r="T118" i="4"/>
  <c r="S118" i="4"/>
  <c r="R118" i="4"/>
  <c r="O118" i="4"/>
  <c r="Y118" i="4" s="1"/>
  <c r="N118" i="4"/>
  <c r="M118" i="4"/>
  <c r="L118" i="4"/>
  <c r="AA118" i="4" s="1"/>
  <c r="K118" i="4"/>
  <c r="J118" i="4"/>
  <c r="H118" i="4"/>
  <c r="U118" i="4" s="1"/>
  <c r="AC117" i="4"/>
  <c r="AB117" i="4"/>
  <c r="R117" i="4"/>
  <c r="N117" i="4"/>
  <c r="V117" i="4" s="1"/>
  <c r="M117" i="4"/>
  <c r="U117" i="4" s="1"/>
  <c r="L117" i="4"/>
  <c r="K117" i="4"/>
  <c r="Z117" i="4" s="1"/>
  <c r="J117" i="4"/>
  <c r="H117" i="4"/>
  <c r="U116" i="4"/>
  <c r="N116" i="4"/>
  <c r="M116" i="4"/>
  <c r="L116" i="4"/>
  <c r="K116" i="4"/>
  <c r="S116" i="4" s="1"/>
  <c r="J116" i="4"/>
  <c r="H116" i="4"/>
  <c r="O117" i="4" s="1"/>
  <c r="Y117" i="4" s="1"/>
  <c r="U115" i="4"/>
  <c r="S115" i="4"/>
  <c r="R115" i="4"/>
  <c r="N115" i="4"/>
  <c r="M115" i="4"/>
  <c r="L115" i="4"/>
  <c r="K115" i="4"/>
  <c r="J115" i="4"/>
  <c r="H115" i="4"/>
  <c r="O116" i="4" s="1"/>
  <c r="U114" i="4"/>
  <c r="S114" i="4"/>
  <c r="N114" i="4"/>
  <c r="M114" i="4"/>
  <c r="L114" i="4"/>
  <c r="K114" i="4"/>
  <c r="J114" i="4"/>
  <c r="H114" i="4"/>
  <c r="AC113" i="4"/>
  <c r="O113" i="4"/>
  <c r="N113" i="4"/>
  <c r="V113" i="4" s="1"/>
  <c r="M113" i="4"/>
  <c r="U113" i="4" s="1"/>
  <c r="L113" i="4"/>
  <c r="K113" i="4"/>
  <c r="S113" i="4" s="1"/>
  <c r="J113" i="4"/>
  <c r="Y113" i="4" s="1"/>
  <c r="H113" i="4"/>
  <c r="R113" i="4" s="1"/>
  <c r="T112" i="4"/>
  <c r="S112" i="4"/>
  <c r="N112" i="4"/>
  <c r="M112" i="4"/>
  <c r="L112" i="4"/>
  <c r="K112" i="4"/>
  <c r="J112" i="4"/>
  <c r="R112" i="4" s="1"/>
  <c r="H112" i="4"/>
  <c r="V111" i="4"/>
  <c r="N111" i="4"/>
  <c r="M111" i="4"/>
  <c r="L111" i="4"/>
  <c r="K111" i="4"/>
  <c r="J111" i="4"/>
  <c r="H111" i="4"/>
  <c r="N110" i="4"/>
  <c r="M110" i="4"/>
  <c r="U110" i="4" s="1"/>
  <c r="L110" i="4"/>
  <c r="K110" i="4"/>
  <c r="S110" i="4" s="1"/>
  <c r="J110" i="4"/>
  <c r="H110" i="4"/>
  <c r="U109" i="4"/>
  <c r="T109" i="4"/>
  <c r="S109" i="4"/>
  <c r="R109" i="4"/>
  <c r="N109" i="4"/>
  <c r="M109" i="4"/>
  <c r="L109" i="4"/>
  <c r="K109" i="4"/>
  <c r="J109" i="4"/>
  <c r="Y109" i="4" s="1"/>
  <c r="H109" i="4"/>
  <c r="O109" i="4" s="1"/>
  <c r="AB109" i="4" s="1"/>
  <c r="AB108" i="4"/>
  <c r="AA108" i="4"/>
  <c r="V108" i="4"/>
  <c r="T108" i="4"/>
  <c r="O108" i="4"/>
  <c r="N108" i="4"/>
  <c r="AC108" i="4" s="1"/>
  <c r="M108" i="4"/>
  <c r="U108" i="4" s="1"/>
  <c r="L108" i="4"/>
  <c r="K108" i="4"/>
  <c r="J108" i="4"/>
  <c r="R108" i="4" s="1"/>
  <c r="H108" i="4"/>
  <c r="T107" i="4"/>
  <c r="S107" i="4"/>
  <c r="N107" i="4"/>
  <c r="M107" i="4"/>
  <c r="U107" i="4" s="1"/>
  <c r="L107" i="4"/>
  <c r="K107" i="4"/>
  <c r="J107" i="4"/>
  <c r="R107" i="4" s="1"/>
  <c r="H107" i="4"/>
  <c r="V106" i="4"/>
  <c r="N106" i="4"/>
  <c r="M106" i="4"/>
  <c r="L106" i="4"/>
  <c r="K106" i="4"/>
  <c r="J106" i="4"/>
  <c r="H106" i="4"/>
  <c r="T105" i="4"/>
  <c r="S105" i="4"/>
  <c r="R105" i="4"/>
  <c r="N105" i="4"/>
  <c r="M105" i="4"/>
  <c r="L105" i="4"/>
  <c r="K105" i="4"/>
  <c r="J105" i="4"/>
  <c r="H105" i="4"/>
  <c r="U105" i="4" s="1"/>
  <c r="N104" i="4"/>
  <c r="M104" i="4"/>
  <c r="U104" i="4" s="1"/>
  <c r="L104" i="4"/>
  <c r="T104" i="4" s="1"/>
  <c r="K104" i="4"/>
  <c r="J104" i="4"/>
  <c r="H104" i="4"/>
  <c r="U103" i="4"/>
  <c r="T103" i="4"/>
  <c r="R103" i="4"/>
  <c r="N103" i="4"/>
  <c r="M103" i="4"/>
  <c r="L103" i="4"/>
  <c r="K103" i="4"/>
  <c r="J103" i="4"/>
  <c r="H103" i="4"/>
  <c r="V103" i="4" s="1"/>
  <c r="N102" i="4"/>
  <c r="M102" i="4"/>
  <c r="L102" i="4"/>
  <c r="K102" i="4"/>
  <c r="J102" i="4"/>
  <c r="H102" i="4"/>
  <c r="U101" i="4"/>
  <c r="S101" i="4"/>
  <c r="R101" i="4"/>
  <c r="N101" i="4"/>
  <c r="M101" i="4"/>
  <c r="L101" i="4"/>
  <c r="K101" i="4"/>
  <c r="J101" i="4"/>
  <c r="H101" i="4"/>
  <c r="O101" i="4" s="1"/>
  <c r="AB100" i="4"/>
  <c r="AA100" i="4"/>
  <c r="V100" i="4"/>
  <c r="N100" i="4"/>
  <c r="M100" i="4"/>
  <c r="U100" i="4" s="1"/>
  <c r="L100" i="4"/>
  <c r="T100" i="4" s="1"/>
  <c r="K100" i="4"/>
  <c r="S100" i="4" s="1"/>
  <c r="J100" i="4"/>
  <c r="H100" i="4"/>
  <c r="O100" i="4" s="1"/>
  <c r="S99" i="4"/>
  <c r="R99" i="4"/>
  <c r="N99" i="4"/>
  <c r="M99" i="4"/>
  <c r="U99" i="4" s="1"/>
  <c r="L99" i="4"/>
  <c r="K99" i="4"/>
  <c r="J99" i="4"/>
  <c r="H99" i="4"/>
  <c r="V98" i="4"/>
  <c r="T98" i="4"/>
  <c r="N98" i="4"/>
  <c r="M98" i="4"/>
  <c r="L98" i="4"/>
  <c r="K98" i="4"/>
  <c r="J98" i="4"/>
  <c r="R98" i="4" s="1"/>
  <c r="H98" i="4"/>
  <c r="O98" i="4" s="1"/>
  <c r="AA98" i="4" s="1"/>
  <c r="AC97" i="4"/>
  <c r="T97" i="4"/>
  <c r="S97" i="4"/>
  <c r="R97" i="4"/>
  <c r="O97" i="4"/>
  <c r="N97" i="4"/>
  <c r="V97" i="4" s="1"/>
  <c r="M97" i="4"/>
  <c r="U97" i="4" s="1"/>
  <c r="L97" i="4"/>
  <c r="AA97" i="4" s="1"/>
  <c r="K97" i="4"/>
  <c r="Z97" i="4" s="1"/>
  <c r="J97" i="4"/>
  <c r="Y97" i="4" s="1"/>
  <c r="H97" i="4"/>
  <c r="N96" i="4"/>
  <c r="V96" i="4" s="1"/>
  <c r="M96" i="4"/>
  <c r="U96" i="4" s="1"/>
  <c r="L96" i="4"/>
  <c r="T96" i="4" s="1"/>
  <c r="K96" i="4"/>
  <c r="S96" i="4" s="1"/>
  <c r="J96" i="4"/>
  <c r="R96" i="4" s="1"/>
  <c r="H96" i="4"/>
  <c r="U95" i="4"/>
  <c r="T95" i="4"/>
  <c r="R95" i="4"/>
  <c r="N95" i="4"/>
  <c r="M95" i="4"/>
  <c r="L95" i="4"/>
  <c r="K95" i="4"/>
  <c r="J95" i="4"/>
  <c r="H95" i="4"/>
  <c r="AC94" i="4"/>
  <c r="AA94" i="4"/>
  <c r="S94" i="4"/>
  <c r="R94" i="4"/>
  <c r="O94" i="4"/>
  <c r="Y94" i="4" s="1"/>
  <c r="N94" i="4"/>
  <c r="V94" i="4" s="1"/>
  <c r="M94" i="4"/>
  <c r="U94" i="4" s="1"/>
  <c r="L94" i="4"/>
  <c r="T94" i="4" s="1"/>
  <c r="K94" i="4"/>
  <c r="Z94" i="4" s="1"/>
  <c r="J94" i="4"/>
  <c r="H94" i="4"/>
  <c r="Z93" i="4"/>
  <c r="Y93" i="4"/>
  <c r="U93" i="4"/>
  <c r="N93" i="4"/>
  <c r="M93" i="4"/>
  <c r="L93" i="4"/>
  <c r="T93" i="4" s="1"/>
  <c r="K93" i="4"/>
  <c r="S93" i="4" s="1"/>
  <c r="J93" i="4"/>
  <c r="R93" i="4" s="1"/>
  <c r="H93" i="4"/>
  <c r="O93" i="4" s="1"/>
  <c r="T92" i="4"/>
  <c r="S92" i="4"/>
  <c r="R92" i="4"/>
  <c r="N92" i="4"/>
  <c r="M92" i="4"/>
  <c r="L92" i="4"/>
  <c r="K92" i="4"/>
  <c r="J92" i="4"/>
  <c r="H92" i="4"/>
  <c r="V92" i="4" s="1"/>
  <c r="V91" i="4"/>
  <c r="S91" i="4"/>
  <c r="N91" i="4"/>
  <c r="M91" i="4"/>
  <c r="U91" i="4" s="1"/>
  <c r="L91" i="4"/>
  <c r="T91" i="4" s="1"/>
  <c r="K91" i="4"/>
  <c r="J91" i="4"/>
  <c r="H91" i="4"/>
  <c r="V90" i="4"/>
  <c r="U90" i="4"/>
  <c r="R90" i="4"/>
  <c r="N90" i="4"/>
  <c r="M90" i="4"/>
  <c r="L90" i="4"/>
  <c r="K90" i="4"/>
  <c r="J90" i="4"/>
  <c r="H90" i="4"/>
  <c r="R89" i="4"/>
  <c r="N89" i="4"/>
  <c r="M89" i="4"/>
  <c r="U89" i="4" s="1"/>
  <c r="L89" i="4"/>
  <c r="T89" i="4" s="1"/>
  <c r="K89" i="4"/>
  <c r="S89" i="4" s="1"/>
  <c r="J89" i="4"/>
  <c r="H89" i="4"/>
  <c r="V88" i="4"/>
  <c r="U88" i="4"/>
  <c r="S88" i="4"/>
  <c r="N88" i="4"/>
  <c r="M88" i="4"/>
  <c r="L88" i="4"/>
  <c r="K88" i="4"/>
  <c r="J88" i="4"/>
  <c r="H88" i="4"/>
  <c r="T87" i="4"/>
  <c r="S87" i="4"/>
  <c r="R87" i="4"/>
  <c r="O87" i="4"/>
  <c r="N87" i="4"/>
  <c r="V87" i="4" s="1"/>
  <c r="M87" i="4"/>
  <c r="U87" i="4" s="1"/>
  <c r="L87" i="4"/>
  <c r="K87" i="4"/>
  <c r="J87" i="4"/>
  <c r="H87" i="4"/>
  <c r="Z86" i="4"/>
  <c r="V86" i="4"/>
  <c r="N86" i="4"/>
  <c r="AC86" i="4" s="1"/>
  <c r="M86" i="4"/>
  <c r="U86" i="4" s="1"/>
  <c r="L86" i="4"/>
  <c r="T86" i="4" s="1"/>
  <c r="K86" i="4"/>
  <c r="J86" i="4"/>
  <c r="H86" i="4"/>
  <c r="O86" i="4" s="1"/>
  <c r="T85" i="4"/>
  <c r="S85" i="4"/>
  <c r="O85" i="4"/>
  <c r="AB85" i="4" s="1"/>
  <c r="N85" i="4"/>
  <c r="AC85" i="4" s="1"/>
  <c r="M85" i="4"/>
  <c r="L85" i="4"/>
  <c r="K85" i="4"/>
  <c r="Z85" i="4" s="1"/>
  <c r="J85" i="4"/>
  <c r="H85" i="4"/>
  <c r="V85" i="4" s="1"/>
  <c r="R84" i="4"/>
  <c r="N84" i="4"/>
  <c r="V84" i="4" s="1"/>
  <c r="M84" i="4"/>
  <c r="U84" i="4" s="1"/>
  <c r="L84" i="4"/>
  <c r="T84" i="4" s="1"/>
  <c r="K84" i="4"/>
  <c r="S84" i="4" s="1"/>
  <c r="J84" i="4"/>
  <c r="H84" i="4"/>
  <c r="V83" i="4"/>
  <c r="T83" i="4"/>
  <c r="N83" i="4"/>
  <c r="M83" i="4"/>
  <c r="L83" i="4"/>
  <c r="K83" i="4"/>
  <c r="J83" i="4"/>
  <c r="R83" i="4" s="1"/>
  <c r="H83" i="4"/>
  <c r="T82" i="4"/>
  <c r="S82" i="4"/>
  <c r="R82" i="4"/>
  <c r="O82" i="4"/>
  <c r="AC82" i="4" s="1"/>
  <c r="N82" i="4"/>
  <c r="M82" i="4"/>
  <c r="L82" i="4"/>
  <c r="K82" i="4"/>
  <c r="Z82" i="4" s="1"/>
  <c r="J82" i="4"/>
  <c r="H82" i="4"/>
  <c r="V82" i="4" s="1"/>
  <c r="U81" i="4"/>
  <c r="N81" i="4"/>
  <c r="M81" i="4"/>
  <c r="L81" i="4"/>
  <c r="T81" i="4" s="1"/>
  <c r="K81" i="4"/>
  <c r="J81" i="4"/>
  <c r="H81" i="4"/>
  <c r="U80" i="4"/>
  <c r="S80" i="4"/>
  <c r="O80" i="4"/>
  <c r="N80" i="4"/>
  <c r="AC80" i="4" s="1"/>
  <c r="M80" i="4"/>
  <c r="AB80" i="4" s="1"/>
  <c r="L80" i="4"/>
  <c r="K80" i="4"/>
  <c r="Z80" i="4" s="1"/>
  <c r="J80" i="4"/>
  <c r="Y80" i="4" s="1"/>
  <c r="H80" i="4"/>
  <c r="V80" i="4" s="1"/>
  <c r="N79" i="4"/>
  <c r="M79" i="4"/>
  <c r="U79" i="4" s="1"/>
  <c r="L79" i="4"/>
  <c r="T79" i="4" s="1"/>
  <c r="K79" i="4"/>
  <c r="S79" i="4" s="1"/>
  <c r="J79" i="4"/>
  <c r="R79" i="4" s="1"/>
  <c r="H79" i="4"/>
  <c r="U78" i="4"/>
  <c r="N78" i="4"/>
  <c r="M78" i="4"/>
  <c r="L78" i="4"/>
  <c r="K78" i="4"/>
  <c r="J78" i="4"/>
  <c r="H78" i="4"/>
  <c r="AC77" i="4"/>
  <c r="AA77" i="4"/>
  <c r="S77" i="4"/>
  <c r="R77" i="4"/>
  <c r="O77" i="4"/>
  <c r="N77" i="4"/>
  <c r="V77" i="4" s="1"/>
  <c r="M77" i="4"/>
  <c r="U77" i="4" s="1"/>
  <c r="L77" i="4"/>
  <c r="T77" i="4" s="1"/>
  <c r="K77" i="4"/>
  <c r="Z77" i="4" s="1"/>
  <c r="J77" i="4"/>
  <c r="Y77" i="4" s="1"/>
  <c r="H77" i="4"/>
  <c r="Z76" i="4"/>
  <c r="U76" i="4"/>
  <c r="N76" i="4"/>
  <c r="M76" i="4"/>
  <c r="L76" i="4"/>
  <c r="T76" i="4" s="1"/>
  <c r="K76" i="4"/>
  <c r="S76" i="4" s="1"/>
  <c r="J76" i="4"/>
  <c r="R76" i="4" s="1"/>
  <c r="H76" i="4"/>
  <c r="O76" i="4" s="1"/>
  <c r="T75" i="4"/>
  <c r="S75" i="4"/>
  <c r="R75" i="4"/>
  <c r="N75" i="4"/>
  <c r="V75" i="4" s="1"/>
  <c r="M75" i="4"/>
  <c r="L75" i="4"/>
  <c r="K75" i="4"/>
  <c r="J75" i="4"/>
  <c r="H75" i="4"/>
  <c r="U75" i="4" s="1"/>
  <c r="R74" i="4"/>
  <c r="N74" i="4"/>
  <c r="V74" i="4" s="1"/>
  <c r="M74" i="4"/>
  <c r="U74" i="4" s="1"/>
  <c r="L74" i="4"/>
  <c r="T74" i="4" s="1"/>
  <c r="K74" i="4"/>
  <c r="S74" i="4" s="1"/>
  <c r="J74" i="4"/>
  <c r="H74" i="4"/>
  <c r="U73" i="4"/>
  <c r="N73" i="4"/>
  <c r="M73" i="4"/>
  <c r="L73" i="4"/>
  <c r="K73" i="4"/>
  <c r="J73" i="4"/>
  <c r="H73" i="4"/>
  <c r="V73" i="4" s="1"/>
  <c r="AC72" i="4"/>
  <c r="Z72" i="4"/>
  <c r="S72" i="4"/>
  <c r="R72" i="4"/>
  <c r="O72" i="4"/>
  <c r="N72" i="4"/>
  <c r="M72" i="4"/>
  <c r="L72" i="4"/>
  <c r="K72" i="4"/>
  <c r="J72" i="4"/>
  <c r="Y72" i="4" s="1"/>
  <c r="H72" i="4"/>
  <c r="V72" i="4" s="1"/>
  <c r="V71" i="4"/>
  <c r="N71" i="4"/>
  <c r="M71" i="4"/>
  <c r="L71" i="4"/>
  <c r="K71" i="4"/>
  <c r="J71" i="4"/>
  <c r="H71" i="4"/>
  <c r="S71" i="4" s="1"/>
  <c r="U70" i="4"/>
  <c r="S70" i="4"/>
  <c r="R70" i="4"/>
  <c r="N70" i="4"/>
  <c r="V70" i="4" s="1"/>
  <c r="M70" i="4"/>
  <c r="L70" i="4"/>
  <c r="K70" i="4"/>
  <c r="J70" i="4"/>
  <c r="H70" i="4"/>
  <c r="N69" i="4"/>
  <c r="M69" i="4"/>
  <c r="L69" i="4"/>
  <c r="K69" i="4"/>
  <c r="J69" i="4"/>
  <c r="H69" i="4"/>
  <c r="S68" i="4"/>
  <c r="N68" i="4"/>
  <c r="M68" i="4"/>
  <c r="L68" i="4"/>
  <c r="K68" i="4"/>
  <c r="J68" i="4"/>
  <c r="H68" i="4"/>
  <c r="V68" i="4" s="1"/>
  <c r="R67" i="4"/>
  <c r="N67" i="4"/>
  <c r="V67" i="4" s="1"/>
  <c r="M67" i="4"/>
  <c r="U67" i="4" s="1"/>
  <c r="L67" i="4"/>
  <c r="T67" i="4" s="1"/>
  <c r="K67" i="4"/>
  <c r="S67" i="4" s="1"/>
  <c r="J67" i="4"/>
  <c r="H67" i="4"/>
  <c r="Y66" i="4"/>
  <c r="N66" i="4"/>
  <c r="M66" i="4"/>
  <c r="L66" i="4"/>
  <c r="K66" i="4"/>
  <c r="Z66" i="4" s="1"/>
  <c r="J66" i="4"/>
  <c r="R66" i="4" s="1"/>
  <c r="H66" i="4"/>
  <c r="O66" i="4" s="1"/>
  <c r="T65" i="4"/>
  <c r="S65" i="4"/>
  <c r="R65" i="4"/>
  <c r="N65" i="4"/>
  <c r="V65" i="4" s="1"/>
  <c r="M65" i="4"/>
  <c r="L65" i="4"/>
  <c r="K65" i="4"/>
  <c r="J65" i="4"/>
  <c r="H65" i="4"/>
  <c r="U65" i="4" s="1"/>
  <c r="N64" i="4"/>
  <c r="M64" i="4"/>
  <c r="L64" i="4"/>
  <c r="K64" i="4"/>
  <c r="J64" i="4"/>
  <c r="H64" i="4"/>
  <c r="V63" i="4"/>
  <c r="U63" i="4"/>
  <c r="T63" i="4"/>
  <c r="O63" i="4"/>
  <c r="N63" i="4"/>
  <c r="AC63" i="4" s="1"/>
  <c r="M63" i="4"/>
  <c r="AB63" i="4" s="1"/>
  <c r="L63" i="4"/>
  <c r="AA63" i="4" s="1"/>
  <c r="K63" i="4"/>
  <c r="J63" i="4"/>
  <c r="R63" i="4" s="1"/>
  <c r="H63" i="4"/>
  <c r="R62" i="4"/>
  <c r="O62" i="4"/>
  <c r="AC62" i="4" s="1"/>
  <c r="N62" i="4"/>
  <c r="M62" i="4"/>
  <c r="L62" i="4"/>
  <c r="T62" i="4" s="1"/>
  <c r="K62" i="4"/>
  <c r="J62" i="4"/>
  <c r="H62" i="4"/>
  <c r="V62" i="4" s="1"/>
  <c r="V61" i="4"/>
  <c r="U61" i="4"/>
  <c r="S61" i="4"/>
  <c r="N61" i="4"/>
  <c r="AC61" i="4" s="1"/>
  <c r="M61" i="4"/>
  <c r="AB61" i="4" s="1"/>
  <c r="L61" i="4"/>
  <c r="T61" i="4" s="1"/>
  <c r="K61" i="4"/>
  <c r="J61" i="4"/>
  <c r="H61" i="4"/>
  <c r="O61" i="4" s="1"/>
  <c r="Z61" i="4" s="1"/>
  <c r="S60" i="4"/>
  <c r="R60" i="4"/>
  <c r="O60" i="4"/>
  <c r="N60" i="4"/>
  <c r="M60" i="4"/>
  <c r="AB60" i="4" s="1"/>
  <c r="L60" i="4"/>
  <c r="K60" i="4"/>
  <c r="J60" i="4"/>
  <c r="H60" i="4"/>
  <c r="V60" i="4" s="1"/>
  <c r="U59" i="4"/>
  <c r="N59" i="4"/>
  <c r="V59" i="4" s="1"/>
  <c r="M59" i="4"/>
  <c r="L59" i="4"/>
  <c r="T59" i="4" s="1"/>
  <c r="K59" i="4"/>
  <c r="S59" i="4" s="1"/>
  <c r="J59" i="4"/>
  <c r="R59" i="4" s="1"/>
  <c r="H59" i="4"/>
  <c r="U58" i="4"/>
  <c r="T58" i="4"/>
  <c r="R58" i="4"/>
  <c r="N58" i="4"/>
  <c r="M58" i="4"/>
  <c r="L58" i="4"/>
  <c r="K58" i="4"/>
  <c r="J58" i="4"/>
  <c r="H58" i="4"/>
  <c r="O58" i="4" s="1"/>
  <c r="AA58" i="4" s="1"/>
  <c r="AC57" i="4"/>
  <c r="AB57" i="4"/>
  <c r="Y57" i="4"/>
  <c r="S57" i="4"/>
  <c r="O57" i="4"/>
  <c r="N57" i="4"/>
  <c r="V57" i="4" s="1"/>
  <c r="M57" i="4"/>
  <c r="U57" i="4" s="1"/>
  <c r="L57" i="4"/>
  <c r="T57" i="4" s="1"/>
  <c r="K57" i="4"/>
  <c r="Z57" i="4" s="1"/>
  <c r="J57" i="4"/>
  <c r="R57" i="4" s="1"/>
  <c r="H57" i="4"/>
  <c r="AA56" i="4"/>
  <c r="V56" i="4"/>
  <c r="U56" i="4"/>
  <c r="N56" i="4"/>
  <c r="AC56" i="4" s="1"/>
  <c r="M56" i="4"/>
  <c r="AB56" i="4" s="1"/>
  <c r="L56" i="4"/>
  <c r="T56" i="4" s="1"/>
  <c r="K56" i="4"/>
  <c r="Z56" i="4" s="1"/>
  <c r="J56" i="4"/>
  <c r="R56" i="4" s="1"/>
  <c r="H56" i="4"/>
  <c r="O56" i="4" s="1"/>
  <c r="S55" i="4"/>
  <c r="R55" i="4"/>
  <c r="N55" i="4"/>
  <c r="V55" i="4" s="1"/>
  <c r="M55" i="4"/>
  <c r="L55" i="4"/>
  <c r="K55" i="4"/>
  <c r="J55" i="4"/>
  <c r="H55" i="4"/>
  <c r="U55" i="4" s="1"/>
  <c r="R54" i="4"/>
  <c r="N54" i="4"/>
  <c r="M54" i="4"/>
  <c r="L54" i="4"/>
  <c r="K54" i="4"/>
  <c r="J54" i="4"/>
  <c r="H54" i="4"/>
  <c r="O54" i="4" s="1"/>
  <c r="N53" i="4"/>
  <c r="M53" i="4"/>
  <c r="L53" i="4"/>
  <c r="T53" i="4" s="1"/>
  <c r="K53" i="4"/>
  <c r="Z53" i="4" s="1"/>
  <c r="J53" i="4"/>
  <c r="R53" i="4" s="1"/>
  <c r="H53" i="4"/>
  <c r="O53" i="4" s="1"/>
  <c r="Y53" i="4" s="1"/>
  <c r="V52" i="4"/>
  <c r="T52" i="4"/>
  <c r="S52" i="4"/>
  <c r="R52" i="4"/>
  <c r="O52" i="4"/>
  <c r="AC52" i="4" s="1"/>
  <c r="N52" i="4"/>
  <c r="M52" i="4"/>
  <c r="AB52" i="4" s="1"/>
  <c r="L52" i="4"/>
  <c r="K52" i="4"/>
  <c r="J52" i="4"/>
  <c r="H52" i="4"/>
  <c r="AC51" i="4"/>
  <c r="AB51" i="4"/>
  <c r="AA51" i="4"/>
  <c r="Z51" i="4"/>
  <c r="V51" i="4"/>
  <c r="S51" i="4"/>
  <c r="O51" i="4"/>
  <c r="N51" i="4"/>
  <c r="M51" i="4"/>
  <c r="U51" i="4" s="1"/>
  <c r="L51" i="4"/>
  <c r="T51" i="4" s="1"/>
  <c r="K51" i="4"/>
  <c r="J51" i="4"/>
  <c r="Y51" i="4" s="1"/>
  <c r="H51" i="4"/>
  <c r="S50" i="4"/>
  <c r="N50" i="4"/>
  <c r="M50" i="4"/>
  <c r="U50" i="4" s="1"/>
  <c r="L50" i="4"/>
  <c r="T50" i="4" s="1"/>
  <c r="K50" i="4"/>
  <c r="J50" i="4"/>
  <c r="R50" i="4" s="1"/>
  <c r="H50" i="4"/>
  <c r="U49" i="4"/>
  <c r="T49" i="4"/>
  <c r="S49" i="4"/>
  <c r="R49" i="4"/>
  <c r="N49" i="4"/>
  <c r="AC49" i="4" s="1"/>
  <c r="M49" i="4"/>
  <c r="L49" i="4"/>
  <c r="K49" i="4"/>
  <c r="J49" i="4"/>
  <c r="Y49" i="4" s="1"/>
  <c r="H49" i="4"/>
  <c r="O49" i="4" s="1"/>
  <c r="AB49" i="4" s="1"/>
  <c r="AC48" i="4"/>
  <c r="AB48" i="4"/>
  <c r="AA48" i="4"/>
  <c r="Y48" i="4"/>
  <c r="T48" i="4"/>
  <c r="S48" i="4"/>
  <c r="R48" i="4"/>
  <c r="O48" i="4"/>
  <c r="N48" i="4"/>
  <c r="V48" i="4" s="1"/>
  <c r="M48" i="4"/>
  <c r="U48" i="4" s="1"/>
  <c r="L48" i="4"/>
  <c r="K48" i="4"/>
  <c r="Z48" i="4" s="1"/>
  <c r="J48" i="4"/>
  <c r="H48" i="4"/>
  <c r="N47" i="4"/>
  <c r="V47" i="4" s="1"/>
  <c r="M47" i="4"/>
  <c r="U47" i="4" s="1"/>
  <c r="L47" i="4"/>
  <c r="AA47" i="4" s="1"/>
  <c r="K47" i="4"/>
  <c r="S47" i="4" s="1"/>
  <c r="J47" i="4"/>
  <c r="R47" i="4" s="1"/>
  <c r="H47" i="4"/>
  <c r="U46" i="4"/>
  <c r="T46" i="4"/>
  <c r="N46" i="4"/>
  <c r="M46" i="4"/>
  <c r="L46" i="4"/>
  <c r="K46" i="4"/>
  <c r="J46" i="4"/>
  <c r="H46" i="4"/>
  <c r="O47" i="4" s="1"/>
  <c r="N45" i="4"/>
  <c r="M45" i="4"/>
  <c r="L45" i="4"/>
  <c r="K45" i="4"/>
  <c r="J45" i="4"/>
  <c r="H45" i="4"/>
  <c r="S45" i="4" s="1"/>
  <c r="R44" i="4"/>
  <c r="N44" i="4"/>
  <c r="V44" i="4" s="1"/>
  <c r="M44" i="4"/>
  <c r="L44" i="4"/>
  <c r="K44" i="4"/>
  <c r="J44" i="4"/>
  <c r="H44" i="4"/>
  <c r="T43" i="4"/>
  <c r="N43" i="4"/>
  <c r="M43" i="4"/>
  <c r="L43" i="4"/>
  <c r="AA43" i="4" s="1"/>
  <c r="K43" i="4"/>
  <c r="S43" i="4" s="1"/>
  <c r="J43" i="4"/>
  <c r="R43" i="4" s="1"/>
  <c r="H43" i="4"/>
  <c r="O43" i="4" s="1"/>
  <c r="AB42" i="4"/>
  <c r="S42" i="4"/>
  <c r="R42" i="4"/>
  <c r="O42" i="4"/>
  <c r="AA42" i="4" s="1"/>
  <c r="N42" i="4"/>
  <c r="V42" i="4" s="1"/>
  <c r="M42" i="4"/>
  <c r="U42" i="4" s="1"/>
  <c r="L42" i="4"/>
  <c r="K42" i="4"/>
  <c r="J42" i="4"/>
  <c r="H42" i="4"/>
  <c r="T42" i="4" s="1"/>
  <c r="V41" i="4"/>
  <c r="S41" i="4"/>
  <c r="N41" i="4"/>
  <c r="M41" i="4"/>
  <c r="U41" i="4" s="1"/>
  <c r="L41" i="4"/>
  <c r="T41" i="4" s="1"/>
  <c r="K41" i="4"/>
  <c r="J41" i="4"/>
  <c r="R41" i="4" s="1"/>
  <c r="H41" i="4"/>
  <c r="T40" i="4"/>
  <c r="N40" i="4"/>
  <c r="M40" i="4"/>
  <c r="U40" i="4" s="1"/>
  <c r="L40" i="4"/>
  <c r="K40" i="4"/>
  <c r="J40" i="4"/>
  <c r="H40" i="4"/>
  <c r="AI39" i="4"/>
  <c r="AE39" i="4"/>
  <c r="T39" i="4"/>
  <c r="R39" i="4"/>
  <c r="N39" i="4"/>
  <c r="V39" i="4" s="1"/>
  <c r="M39" i="4"/>
  <c r="U39" i="4" s="1"/>
  <c r="L39" i="4"/>
  <c r="K39" i="4"/>
  <c r="S39" i="4" s="1"/>
  <c r="J39" i="4"/>
  <c r="H39" i="4"/>
  <c r="AH38" i="4"/>
  <c r="AA38" i="4"/>
  <c r="T38" i="4"/>
  <c r="S38" i="4"/>
  <c r="R38" i="4"/>
  <c r="O38" i="4"/>
  <c r="AC38" i="4" s="1"/>
  <c r="N38" i="4"/>
  <c r="M38" i="4"/>
  <c r="U38" i="4" s="1"/>
  <c r="L38" i="4"/>
  <c r="K38" i="4"/>
  <c r="Z38" i="4" s="1"/>
  <c r="J38" i="4"/>
  <c r="Y38" i="4" s="1"/>
  <c r="H38" i="4"/>
  <c r="V38" i="4" s="1"/>
  <c r="AG37" i="4"/>
  <c r="AE37" i="4"/>
  <c r="T37" i="4"/>
  <c r="S37" i="4"/>
  <c r="N37" i="4"/>
  <c r="M37" i="4"/>
  <c r="L37" i="4"/>
  <c r="K37" i="4"/>
  <c r="J37" i="4"/>
  <c r="H37" i="4"/>
  <c r="V37" i="4" s="1"/>
  <c r="AF36" i="4"/>
  <c r="U36" i="4"/>
  <c r="N36" i="4"/>
  <c r="M36" i="4"/>
  <c r="L36" i="4"/>
  <c r="K36" i="4"/>
  <c r="Z36" i="4" s="1"/>
  <c r="J36" i="4"/>
  <c r="R36" i="4" s="1"/>
  <c r="H36" i="4"/>
  <c r="O36" i="4" s="1"/>
  <c r="AI35" i="4"/>
  <c r="AH35" i="4"/>
  <c r="AE38" i="4" s="1"/>
  <c r="AG35" i="4"/>
  <c r="AF35" i="4"/>
  <c r="AE36" i="4" s="1"/>
  <c r="V35" i="4"/>
  <c r="T35" i="4"/>
  <c r="N35" i="4"/>
  <c r="M35" i="4"/>
  <c r="L35" i="4"/>
  <c r="AA35" i="4" s="1"/>
  <c r="K35" i="4"/>
  <c r="S35" i="4" s="1"/>
  <c r="J35" i="4"/>
  <c r="R35" i="4" s="1"/>
  <c r="H35" i="4"/>
  <c r="T34" i="4"/>
  <c r="S34" i="4"/>
  <c r="O34" i="4"/>
  <c r="AC34" i="4" s="1"/>
  <c r="N34" i="4"/>
  <c r="M34" i="4"/>
  <c r="AB34" i="4" s="1"/>
  <c r="L34" i="4"/>
  <c r="AA34" i="4" s="1"/>
  <c r="K34" i="4"/>
  <c r="Z34" i="4" s="1"/>
  <c r="J34" i="4"/>
  <c r="Y34" i="4" s="1"/>
  <c r="H34" i="4"/>
  <c r="O35" i="4" s="1"/>
  <c r="AB33" i="4"/>
  <c r="S33" i="4"/>
  <c r="R33" i="4"/>
  <c r="O33" i="4"/>
  <c r="Z33" i="4" s="1"/>
  <c r="N33" i="4"/>
  <c r="V33" i="4" s="1"/>
  <c r="M33" i="4"/>
  <c r="L33" i="4"/>
  <c r="T33" i="4" s="1"/>
  <c r="K33" i="4"/>
  <c r="J33" i="4"/>
  <c r="Y33" i="4" s="1"/>
  <c r="H33" i="4"/>
  <c r="U33" i="4" s="1"/>
  <c r="AJ32" i="4"/>
  <c r="V32" i="4"/>
  <c r="S32" i="4"/>
  <c r="N32" i="4"/>
  <c r="M32" i="4"/>
  <c r="U32" i="4" s="1"/>
  <c r="L32" i="4"/>
  <c r="T32" i="4" s="1"/>
  <c r="K32" i="4"/>
  <c r="J32" i="4"/>
  <c r="R32" i="4" s="1"/>
  <c r="H32" i="4"/>
  <c r="N31" i="4"/>
  <c r="AC31" i="4" s="1"/>
  <c r="M31" i="4"/>
  <c r="AB31" i="4" s="1"/>
  <c r="L31" i="4"/>
  <c r="AA31" i="4" s="1"/>
  <c r="K31" i="4"/>
  <c r="J31" i="4"/>
  <c r="R31" i="4" s="1"/>
  <c r="H31" i="4"/>
  <c r="O31" i="4" s="1"/>
  <c r="T30" i="4"/>
  <c r="S30" i="4"/>
  <c r="R30" i="4"/>
  <c r="N30" i="4"/>
  <c r="V30" i="4" s="1"/>
  <c r="M30" i="4"/>
  <c r="L30" i="4"/>
  <c r="K30" i="4"/>
  <c r="J30" i="4"/>
  <c r="H30" i="4"/>
  <c r="U30" i="4" s="1"/>
  <c r="AA29" i="4"/>
  <c r="Y29" i="4"/>
  <c r="T29" i="4"/>
  <c r="R29" i="4"/>
  <c r="O29" i="4"/>
  <c r="N29" i="4"/>
  <c r="V29" i="4" s="1"/>
  <c r="M29" i="4"/>
  <c r="U29" i="4" s="1"/>
  <c r="L29" i="4"/>
  <c r="K29" i="4"/>
  <c r="S29" i="4" s="1"/>
  <c r="J29" i="4"/>
  <c r="H29" i="4"/>
  <c r="V28" i="4"/>
  <c r="T28" i="4"/>
  <c r="N28" i="4"/>
  <c r="AC28" i="4" s="1"/>
  <c r="M28" i="4"/>
  <c r="AB28" i="4" s="1"/>
  <c r="L28" i="4"/>
  <c r="AA28" i="4" s="1"/>
  <c r="K28" i="4"/>
  <c r="S28" i="4" s="1"/>
  <c r="J28" i="4"/>
  <c r="R28" i="4" s="1"/>
  <c r="H28" i="4"/>
  <c r="T27" i="4"/>
  <c r="S27" i="4"/>
  <c r="O27" i="4"/>
  <c r="AC27" i="4" s="1"/>
  <c r="N27" i="4"/>
  <c r="M27" i="4"/>
  <c r="AB27" i="4" s="1"/>
  <c r="L27" i="4"/>
  <c r="AA27" i="4" s="1"/>
  <c r="K27" i="4"/>
  <c r="Z27" i="4" s="1"/>
  <c r="J27" i="4"/>
  <c r="Y27" i="4" s="1"/>
  <c r="H27" i="4"/>
  <c r="O28" i="4" s="1"/>
  <c r="AB26" i="4"/>
  <c r="S26" i="4"/>
  <c r="R26" i="4"/>
  <c r="O26" i="4"/>
  <c r="Z26" i="4" s="1"/>
  <c r="N26" i="4"/>
  <c r="V26" i="4" s="1"/>
  <c r="M26" i="4"/>
  <c r="L26" i="4"/>
  <c r="T26" i="4" s="1"/>
  <c r="K26" i="4"/>
  <c r="J26" i="4"/>
  <c r="Y26" i="4" s="1"/>
  <c r="H26" i="4"/>
  <c r="U26" i="4" s="1"/>
  <c r="N25" i="4"/>
  <c r="M25" i="4"/>
  <c r="L25" i="4"/>
  <c r="T25" i="4" s="1"/>
  <c r="K25" i="4"/>
  <c r="S25" i="4" s="1"/>
  <c r="J25" i="4"/>
  <c r="H25" i="4"/>
  <c r="R25" i="4" s="1"/>
  <c r="AF24" i="4"/>
  <c r="N24" i="4"/>
  <c r="M24" i="4"/>
  <c r="L24" i="4"/>
  <c r="K24" i="4"/>
  <c r="J24" i="4"/>
  <c r="R24" i="4" s="1"/>
  <c r="H24" i="4"/>
  <c r="U24" i="4" s="1"/>
  <c r="T23" i="4"/>
  <c r="S23" i="4"/>
  <c r="R23" i="4"/>
  <c r="N23" i="4"/>
  <c r="V23" i="4" s="1"/>
  <c r="M23" i="4"/>
  <c r="L23" i="4"/>
  <c r="K23" i="4"/>
  <c r="J23" i="4"/>
  <c r="H23" i="4"/>
  <c r="U23" i="4" s="1"/>
  <c r="AA22" i="4"/>
  <c r="Y22" i="4"/>
  <c r="T22" i="4"/>
  <c r="R22" i="4"/>
  <c r="O22" i="4"/>
  <c r="N22" i="4"/>
  <c r="V22" i="4" s="1"/>
  <c r="M22" i="4"/>
  <c r="U22" i="4" s="1"/>
  <c r="L22" i="4"/>
  <c r="K22" i="4"/>
  <c r="S22" i="4" s="1"/>
  <c r="J22" i="4"/>
  <c r="H22" i="4"/>
  <c r="T21" i="4"/>
  <c r="S21" i="4"/>
  <c r="R21" i="4"/>
  <c r="O21" i="4"/>
  <c r="AA21" i="4" s="1"/>
  <c r="N21" i="4"/>
  <c r="M21" i="4"/>
  <c r="U21" i="4" s="1"/>
  <c r="L21" i="4"/>
  <c r="K21" i="4"/>
  <c r="Z21" i="4" s="1"/>
  <c r="J21" i="4"/>
  <c r="Y21" i="4" s="1"/>
  <c r="H21" i="4"/>
  <c r="V21" i="4" s="1"/>
  <c r="T20" i="4"/>
  <c r="S20" i="4"/>
  <c r="N20" i="4"/>
  <c r="M20" i="4"/>
  <c r="L20" i="4"/>
  <c r="K20" i="4"/>
  <c r="J20" i="4"/>
  <c r="H20" i="4"/>
  <c r="V20" i="4" s="1"/>
  <c r="N19" i="4"/>
  <c r="M19" i="4"/>
  <c r="L19" i="4"/>
  <c r="K19" i="4"/>
  <c r="J19" i="4"/>
  <c r="R19" i="4" s="1"/>
  <c r="H19" i="4"/>
  <c r="U19" i="4" s="1"/>
  <c r="N18" i="4"/>
  <c r="M18" i="4"/>
  <c r="L18" i="4"/>
  <c r="T18" i="4" s="1"/>
  <c r="K18" i="4"/>
  <c r="S18" i="4" s="1"/>
  <c r="J18" i="4"/>
  <c r="H18" i="4"/>
  <c r="R18" i="4" s="1"/>
  <c r="T17" i="4"/>
  <c r="N17" i="4"/>
  <c r="AC17" i="4" s="1"/>
  <c r="M17" i="4"/>
  <c r="AB17" i="4" s="1"/>
  <c r="L17" i="4"/>
  <c r="AA17" i="4" s="1"/>
  <c r="K17" i="4"/>
  <c r="Z17" i="4" s="1"/>
  <c r="J17" i="4"/>
  <c r="H17" i="4"/>
  <c r="O17" i="4" s="1"/>
  <c r="V16" i="4"/>
  <c r="T16" i="4"/>
  <c r="O16" i="4"/>
  <c r="N16" i="4"/>
  <c r="AC16" i="4" s="1"/>
  <c r="M16" i="4"/>
  <c r="AB16" i="4" s="1"/>
  <c r="L16" i="4"/>
  <c r="AA16" i="4" s="1"/>
  <c r="K16" i="4"/>
  <c r="S16" i="4" s="1"/>
  <c r="J16" i="4"/>
  <c r="R16" i="4" s="1"/>
  <c r="H16" i="4"/>
  <c r="V15" i="4"/>
  <c r="S15" i="4"/>
  <c r="N15" i="4"/>
  <c r="M15" i="4"/>
  <c r="U15" i="4" s="1"/>
  <c r="L15" i="4"/>
  <c r="T15" i="4" s="1"/>
  <c r="K15" i="4"/>
  <c r="J15" i="4"/>
  <c r="R15" i="4" s="1"/>
  <c r="H15" i="4"/>
  <c r="N14" i="4"/>
  <c r="AC14" i="4" s="1"/>
  <c r="M14" i="4"/>
  <c r="AB14" i="4" s="1"/>
  <c r="L14" i="4"/>
  <c r="T14" i="4" s="1"/>
  <c r="K14" i="4"/>
  <c r="J14" i="4"/>
  <c r="R14" i="4" s="1"/>
  <c r="H14" i="4"/>
  <c r="O14" i="4" s="1"/>
  <c r="AA14" i="4" s="1"/>
  <c r="N13" i="4"/>
  <c r="V13" i="4" s="1"/>
  <c r="M13" i="4"/>
  <c r="L13" i="4"/>
  <c r="T13" i="4" s="1"/>
  <c r="K13" i="4"/>
  <c r="S13" i="4" s="1"/>
  <c r="J13" i="4"/>
  <c r="H13" i="4"/>
  <c r="R13" i="4" s="1"/>
  <c r="AJ12" i="4"/>
  <c r="AI12" i="4"/>
  <c r="AH12" i="4"/>
  <c r="AG12" i="4"/>
  <c r="AF12" i="4"/>
  <c r="AA12" i="4"/>
  <c r="Y12" i="4"/>
  <c r="T12" i="4"/>
  <c r="R12" i="4"/>
  <c r="O12" i="4"/>
  <c r="N12" i="4"/>
  <c r="V12" i="4" s="1"/>
  <c r="M12" i="4"/>
  <c r="U12" i="4" s="1"/>
  <c r="L12" i="4"/>
  <c r="K12" i="4"/>
  <c r="S12" i="4" s="1"/>
  <c r="J12" i="4"/>
  <c r="H12" i="4"/>
  <c r="AB11" i="4"/>
  <c r="V11" i="4"/>
  <c r="T11" i="4"/>
  <c r="O11" i="4"/>
  <c r="N11" i="4"/>
  <c r="AC11" i="4" s="1"/>
  <c r="M11" i="4"/>
  <c r="U11" i="4" s="1"/>
  <c r="L11" i="4"/>
  <c r="AA11" i="4" s="1"/>
  <c r="K11" i="4"/>
  <c r="S11" i="4" s="1"/>
  <c r="J11" i="4"/>
  <c r="Y11" i="4" s="1"/>
  <c r="H11" i="4"/>
  <c r="V10" i="4"/>
  <c r="S10" i="4"/>
  <c r="N10" i="4"/>
  <c r="M10" i="4"/>
  <c r="U10" i="4" s="1"/>
  <c r="L10" i="4"/>
  <c r="T10" i="4" s="1"/>
  <c r="K10" i="4"/>
  <c r="J10" i="4"/>
  <c r="R10" i="4" s="1"/>
  <c r="H10" i="4"/>
  <c r="N9" i="4"/>
  <c r="V9" i="4" s="1"/>
  <c r="M9" i="4"/>
  <c r="L9" i="4"/>
  <c r="T9" i="4" s="1"/>
  <c r="K9" i="4"/>
  <c r="J9" i="4"/>
  <c r="H9" i="4"/>
  <c r="U9" i="4" s="1"/>
  <c r="N8" i="4"/>
  <c r="V8" i="4" s="1"/>
  <c r="M8" i="4"/>
  <c r="L8" i="4"/>
  <c r="T8" i="4" s="1"/>
  <c r="K8" i="4"/>
  <c r="S8" i="4" s="1"/>
  <c r="J8" i="4"/>
  <c r="H8" i="4"/>
  <c r="R8" i="4" s="1"/>
  <c r="T7" i="4"/>
  <c r="R7" i="4"/>
  <c r="N7" i="4"/>
  <c r="AC7" i="4" s="1"/>
  <c r="M7" i="4"/>
  <c r="AB7" i="4" s="1"/>
  <c r="L7" i="4"/>
  <c r="AA7" i="4" s="1"/>
  <c r="K7" i="4"/>
  <c r="S7" i="4" s="1"/>
  <c r="J7" i="4"/>
  <c r="H7" i="4"/>
  <c r="O7" i="4" s="1"/>
  <c r="Z7" i="4" s="1"/>
  <c r="AJ6" i="4"/>
  <c r="AJ10" i="4" s="1"/>
  <c r="AB6" i="4"/>
  <c r="V6" i="4"/>
  <c r="T6" i="4"/>
  <c r="O6" i="4"/>
  <c r="N6" i="4"/>
  <c r="AC6" i="4" s="1"/>
  <c r="M6" i="4"/>
  <c r="U6" i="4" s="1"/>
  <c r="L6" i="4"/>
  <c r="AA6" i="4" s="1"/>
  <c r="K6" i="4"/>
  <c r="S6" i="4" s="1"/>
  <c r="J6" i="4"/>
  <c r="Y6" i="4" s="1"/>
  <c r="H6" i="4"/>
  <c r="V5" i="4"/>
  <c r="S5" i="4"/>
  <c r="N5" i="4"/>
  <c r="M5" i="4"/>
  <c r="U5" i="4" s="1"/>
  <c r="L5" i="4"/>
  <c r="T5" i="4" s="1"/>
  <c r="K5" i="4"/>
  <c r="J5" i="4"/>
  <c r="R5" i="4" s="1"/>
  <c r="H5" i="4"/>
  <c r="U4" i="4"/>
  <c r="N4" i="4"/>
  <c r="AC4" i="4" s="1"/>
  <c r="M4" i="4"/>
  <c r="AB4" i="4" s="1"/>
  <c r="L4" i="4"/>
  <c r="T4" i="4" s="1"/>
  <c r="K4" i="4"/>
  <c r="Z4" i="4" s="1"/>
  <c r="J4" i="4"/>
  <c r="R4" i="4" s="1"/>
  <c r="H4" i="4"/>
  <c r="O4" i="4" s="1"/>
  <c r="AA4" i="4" s="1"/>
  <c r="S3" i="4"/>
  <c r="R3" i="4"/>
  <c r="N3" i="4"/>
  <c r="V3" i="4" s="1"/>
  <c r="M3" i="4"/>
  <c r="AI5" i="4" s="1"/>
  <c r="AI9" i="4" s="1"/>
  <c r="L3" i="4"/>
  <c r="K3" i="4"/>
  <c r="J3" i="4"/>
  <c r="AF38" i="4" s="1"/>
  <c r="AH36" i="4" s="1"/>
  <c r="H3" i="4"/>
  <c r="U3" i="4" s="1"/>
  <c r="H2" i="4"/>
  <c r="AA254" i="3"/>
  <c r="Z254" i="3"/>
  <c r="Y254" i="3"/>
  <c r="X254" i="3"/>
  <c r="W254" i="3"/>
  <c r="S254" i="3"/>
  <c r="Q254" i="3"/>
  <c r="O254" i="3"/>
  <c r="AE254" i="3" s="1"/>
  <c r="N254" i="3"/>
  <c r="AG254" i="3" s="1"/>
  <c r="M254" i="3"/>
  <c r="AF254" i="3" s="1"/>
  <c r="L254" i="3"/>
  <c r="K254" i="3"/>
  <c r="AD254" i="3" s="1"/>
  <c r="J254" i="3"/>
  <c r="H254" i="3"/>
  <c r="AA253" i="3"/>
  <c r="Z253" i="3"/>
  <c r="Y253" i="3"/>
  <c r="X253" i="3"/>
  <c r="W253" i="3"/>
  <c r="R253" i="3"/>
  <c r="Q253" i="3"/>
  <c r="N253" i="3"/>
  <c r="M253" i="3"/>
  <c r="L253" i="3"/>
  <c r="K253" i="3"/>
  <c r="J253" i="3"/>
  <c r="H253" i="3"/>
  <c r="U253" i="3" s="1"/>
  <c r="AA252" i="3"/>
  <c r="Z252" i="3"/>
  <c r="Y252" i="3"/>
  <c r="X252" i="3"/>
  <c r="W252" i="3"/>
  <c r="N252" i="3"/>
  <c r="M252" i="3"/>
  <c r="L252" i="3"/>
  <c r="K252" i="3"/>
  <c r="J252" i="3"/>
  <c r="H252" i="3"/>
  <c r="T252" i="3" s="1"/>
  <c r="AG251" i="3"/>
  <c r="AA251" i="3"/>
  <c r="Z251" i="3"/>
  <c r="Y251" i="3"/>
  <c r="X251" i="3"/>
  <c r="W251" i="3"/>
  <c r="U251" i="3"/>
  <c r="N251" i="3"/>
  <c r="M251" i="3"/>
  <c r="L251" i="3"/>
  <c r="AE251" i="3" s="1"/>
  <c r="K251" i="3"/>
  <c r="J251" i="3"/>
  <c r="H251" i="3"/>
  <c r="O251" i="3" s="1"/>
  <c r="AA250" i="3"/>
  <c r="Z250" i="3"/>
  <c r="Y250" i="3"/>
  <c r="X250" i="3"/>
  <c r="W250" i="3"/>
  <c r="N250" i="3"/>
  <c r="M250" i="3"/>
  <c r="L250" i="3"/>
  <c r="K250" i="3"/>
  <c r="J250" i="3"/>
  <c r="H250" i="3"/>
  <c r="Q250" i="3" s="1"/>
  <c r="AA249" i="3"/>
  <c r="Z249" i="3"/>
  <c r="Y249" i="3"/>
  <c r="X249" i="3"/>
  <c r="W249" i="3"/>
  <c r="S249" i="3"/>
  <c r="Q249" i="3"/>
  <c r="O249" i="3"/>
  <c r="N249" i="3"/>
  <c r="M249" i="3"/>
  <c r="AF249" i="3" s="1"/>
  <c r="L249" i="3"/>
  <c r="K249" i="3"/>
  <c r="AD249" i="3" s="1"/>
  <c r="J249" i="3"/>
  <c r="H249" i="3"/>
  <c r="AA248" i="3"/>
  <c r="Z248" i="3"/>
  <c r="Y248" i="3"/>
  <c r="X248" i="3"/>
  <c r="W248" i="3"/>
  <c r="R248" i="3"/>
  <c r="Q248" i="3"/>
  <c r="N248" i="3"/>
  <c r="M248" i="3"/>
  <c r="L248" i="3"/>
  <c r="K248" i="3"/>
  <c r="J248" i="3"/>
  <c r="H248" i="3"/>
  <c r="U248" i="3" s="1"/>
  <c r="AA247" i="3"/>
  <c r="Z247" i="3"/>
  <c r="Y247" i="3"/>
  <c r="X247" i="3"/>
  <c r="W247" i="3"/>
  <c r="N247" i="3"/>
  <c r="M247" i="3"/>
  <c r="L247" i="3"/>
  <c r="K247" i="3"/>
  <c r="J247" i="3"/>
  <c r="H247" i="3"/>
  <c r="AA246" i="3"/>
  <c r="Z246" i="3"/>
  <c r="Y246" i="3"/>
  <c r="X246" i="3"/>
  <c r="W246" i="3"/>
  <c r="U246" i="3"/>
  <c r="N246" i="3"/>
  <c r="M246" i="3"/>
  <c r="AF246" i="3" s="1"/>
  <c r="L246" i="3"/>
  <c r="AE246" i="3" s="1"/>
  <c r="K246" i="3"/>
  <c r="J246" i="3"/>
  <c r="H246" i="3"/>
  <c r="O246" i="3" s="1"/>
  <c r="AG246" i="3" s="1"/>
  <c r="AA245" i="3"/>
  <c r="Z245" i="3"/>
  <c r="Y245" i="3"/>
  <c r="X245" i="3"/>
  <c r="W245" i="3"/>
  <c r="N245" i="3"/>
  <c r="M245" i="3"/>
  <c r="L245" i="3"/>
  <c r="K245" i="3"/>
  <c r="J245" i="3"/>
  <c r="H245" i="3"/>
  <c r="Q245" i="3" s="1"/>
  <c r="AA244" i="3"/>
  <c r="Z244" i="3"/>
  <c r="Y244" i="3"/>
  <c r="X244" i="3"/>
  <c r="W244" i="3"/>
  <c r="S244" i="3"/>
  <c r="Q244" i="3"/>
  <c r="O244" i="3"/>
  <c r="N244" i="3"/>
  <c r="M244" i="3"/>
  <c r="L244" i="3"/>
  <c r="K244" i="3"/>
  <c r="AD244" i="3" s="1"/>
  <c r="J244" i="3"/>
  <c r="H244" i="3"/>
  <c r="AA243" i="3"/>
  <c r="Z243" i="3"/>
  <c r="Y243" i="3"/>
  <c r="X243" i="3"/>
  <c r="W243" i="3"/>
  <c r="R243" i="3"/>
  <c r="Q243" i="3"/>
  <c r="N243" i="3"/>
  <c r="M243" i="3"/>
  <c r="L243" i="3"/>
  <c r="K243" i="3"/>
  <c r="J243" i="3"/>
  <c r="H243" i="3"/>
  <c r="U243" i="3" s="1"/>
  <c r="AA242" i="3"/>
  <c r="Z242" i="3"/>
  <c r="Y242" i="3"/>
  <c r="X242" i="3"/>
  <c r="W242" i="3"/>
  <c r="N242" i="3"/>
  <c r="M242" i="3"/>
  <c r="L242" i="3"/>
  <c r="K242" i="3"/>
  <c r="J242" i="3"/>
  <c r="H242" i="3"/>
  <c r="AG241" i="3"/>
  <c r="AA241" i="3"/>
  <c r="Z241" i="3"/>
  <c r="Y241" i="3"/>
  <c r="X241" i="3"/>
  <c r="W241" i="3"/>
  <c r="U241" i="3"/>
  <c r="N241" i="3"/>
  <c r="M241" i="3"/>
  <c r="AF241" i="3" s="1"/>
  <c r="L241" i="3"/>
  <c r="AE241" i="3" s="1"/>
  <c r="K241" i="3"/>
  <c r="J241" i="3"/>
  <c r="H241" i="3"/>
  <c r="O241" i="3" s="1"/>
  <c r="AA240" i="3"/>
  <c r="Z240" i="3"/>
  <c r="Y240" i="3"/>
  <c r="X240" i="3"/>
  <c r="W240" i="3"/>
  <c r="N240" i="3"/>
  <c r="M240" i="3"/>
  <c r="L240" i="3"/>
  <c r="K240" i="3"/>
  <c r="J240" i="3"/>
  <c r="H240" i="3"/>
  <c r="Q240" i="3" s="1"/>
  <c r="AA239" i="3"/>
  <c r="Z239" i="3"/>
  <c r="Y239" i="3"/>
  <c r="X239" i="3"/>
  <c r="W239" i="3"/>
  <c r="S239" i="3"/>
  <c r="Q239" i="3"/>
  <c r="O239" i="3"/>
  <c r="N239" i="3"/>
  <c r="M239" i="3"/>
  <c r="L239" i="3"/>
  <c r="K239" i="3"/>
  <c r="J239" i="3"/>
  <c r="H239" i="3"/>
  <c r="AA238" i="3"/>
  <c r="Z238" i="3"/>
  <c r="Y238" i="3"/>
  <c r="X238" i="3"/>
  <c r="W238" i="3"/>
  <c r="R238" i="3"/>
  <c r="Q238" i="3"/>
  <c r="N238" i="3"/>
  <c r="M238" i="3"/>
  <c r="L238" i="3"/>
  <c r="K238" i="3"/>
  <c r="J238" i="3"/>
  <c r="H238" i="3"/>
  <c r="U238" i="3" s="1"/>
  <c r="AA237" i="3"/>
  <c r="Z237" i="3"/>
  <c r="Y237" i="3"/>
  <c r="X237" i="3"/>
  <c r="W237" i="3"/>
  <c r="T237" i="3"/>
  <c r="S237" i="3"/>
  <c r="N237" i="3"/>
  <c r="M237" i="3"/>
  <c r="L237" i="3"/>
  <c r="K237" i="3"/>
  <c r="J237" i="3"/>
  <c r="H237" i="3"/>
  <c r="O237" i="3" s="1"/>
  <c r="AF237" i="3" s="1"/>
  <c r="AG236" i="3"/>
  <c r="AC236" i="3"/>
  <c r="AA236" i="3"/>
  <c r="Z236" i="3"/>
  <c r="Y236" i="3"/>
  <c r="X236" i="3"/>
  <c r="W236" i="3"/>
  <c r="U236" i="3"/>
  <c r="N236" i="3"/>
  <c r="M236" i="3"/>
  <c r="AF236" i="3" s="1"/>
  <c r="L236" i="3"/>
  <c r="AE236" i="3" s="1"/>
  <c r="K236" i="3"/>
  <c r="J236" i="3"/>
  <c r="Q236" i="3" s="1"/>
  <c r="H236" i="3"/>
  <c r="O236" i="3" s="1"/>
  <c r="AA235" i="3"/>
  <c r="Z235" i="3"/>
  <c r="Y235" i="3"/>
  <c r="X235" i="3"/>
  <c r="W235" i="3"/>
  <c r="S235" i="3"/>
  <c r="N235" i="3"/>
  <c r="M235" i="3"/>
  <c r="L235" i="3"/>
  <c r="K235" i="3"/>
  <c r="J235" i="3"/>
  <c r="H235" i="3"/>
  <c r="Q235" i="3" s="1"/>
  <c r="AA234" i="3"/>
  <c r="Z234" i="3"/>
  <c r="Y234" i="3"/>
  <c r="X234" i="3"/>
  <c r="W234" i="3"/>
  <c r="S234" i="3"/>
  <c r="O234" i="3"/>
  <c r="AE234" i="3" s="1"/>
  <c r="N234" i="3"/>
  <c r="U234" i="3" s="1"/>
  <c r="M234" i="3"/>
  <c r="L234" i="3"/>
  <c r="K234" i="3"/>
  <c r="J234" i="3"/>
  <c r="H234" i="3"/>
  <c r="AA233" i="3"/>
  <c r="Z233" i="3"/>
  <c r="Y233" i="3"/>
  <c r="X233" i="3"/>
  <c r="W233" i="3"/>
  <c r="R233" i="3"/>
  <c r="Q233" i="3"/>
  <c r="N233" i="3"/>
  <c r="M233" i="3"/>
  <c r="L233" i="3"/>
  <c r="K233" i="3"/>
  <c r="J233" i="3"/>
  <c r="H233" i="3"/>
  <c r="U233" i="3" s="1"/>
  <c r="AA232" i="3"/>
  <c r="Z232" i="3"/>
  <c r="Y232" i="3"/>
  <c r="X232" i="3"/>
  <c r="W232" i="3"/>
  <c r="N232" i="3"/>
  <c r="M232" i="3"/>
  <c r="L232" i="3"/>
  <c r="K232" i="3"/>
  <c r="J232" i="3"/>
  <c r="H232" i="3"/>
  <c r="AA231" i="3"/>
  <c r="Z231" i="3"/>
  <c r="Y231" i="3"/>
  <c r="X231" i="3"/>
  <c r="W231" i="3"/>
  <c r="U231" i="3"/>
  <c r="R231" i="3"/>
  <c r="N231" i="3"/>
  <c r="M231" i="3"/>
  <c r="L231" i="3"/>
  <c r="K231" i="3"/>
  <c r="J231" i="3"/>
  <c r="Q231" i="3" s="1"/>
  <c r="H231" i="3"/>
  <c r="O231" i="3" s="1"/>
  <c r="AA230" i="3"/>
  <c r="Z230" i="3"/>
  <c r="Y230" i="3"/>
  <c r="X230" i="3"/>
  <c r="W230" i="3"/>
  <c r="S230" i="3"/>
  <c r="N230" i="3"/>
  <c r="M230" i="3"/>
  <c r="T230" i="3" s="1"/>
  <c r="L230" i="3"/>
  <c r="K230" i="3"/>
  <c r="J230" i="3"/>
  <c r="H230" i="3"/>
  <c r="AG229" i="3"/>
  <c r="AA229" i="3"/>
  <c r="Z229" i="3"/>
  <c r="Y229" i="3"/>
  <c r="X229" i="3"/>
  <c r="W229" i="3"/>
  <c r="U229" i="3"/>
  <c r="S229" i="3"/>
  <c r="O229" i="3"/>
  <c r="AE229" i="3" s="1"/>
  <c r="N229" i="3"/>
  <c r="M229" i="3"/>
  <c r="AF229" i="3" s="1"/>
  <c r="L229" i="3"/>
  <c r="K229" i="3"/>
  <c r="J229" i="3"/>
  <c r="H229" i="3"/>
  <c r="AA228" i="3"/>
  <c r="Z228" i="3"/>
  <c r="Y228" i="3"/>
  <c r="X228" i="3"/>
  <c r="W228" i="3"/>
  <c r="R228" i="3"/>
  <c r="Q228" i="3"/>
  <c r="N228" i="3"/>
  <c r="M228" i="3"/>
  <c r="L228" i="3"/>
  <c r="K228" i="3"/>
  <c r="J228" i="3"/>
  <c r="H228" i="3"/>
  <c r="U228" i="3" s="1"/>
  <c r="AA227" i="3"/>
  <c r="Z227" i="3"/>
  <c r="Y227" i="3"/>
  <c r="X227" i="3"/>
  <c r="W227" i="3"/>
  <c r="N227" i="3"/>
  <c r="M227" i="3"/>
  <c r="L227" i="3"/>
  <c r="K227" i="3"/>
  <c r="J227" i="3"/>
  <c r="H227" i="3"/>
  <c r="AA226" i="3"/>
  <c r="Z226" i="3"/>
  <c r="Y226" i="3"/>
  <c r="X226" i="3"/>
  <c r="W226" i="3"/>
  <c r="U226" i="3"/>
  <c r="R226" i="3"/>
  <c r="Q226" i="3"/>
  <c r="N226" i="3"/>
  <c r="M226" i="3"/>
  <c r="L226" i="3"/>
  <c r="K226" i="3"/>
  <c r="J226" i="3"/>
  <c r="H226" i="3"/>
  <c r="AA225" i="3"/>
  <c r="Z225" i="3"/>
  <c r="Y225" i="3"/>
  <c r="X225" i="3"/>
  <c r="W225" i="3"/>
  <c r="N225" i="3"/>
  <c r="M225" i="3"/>
  <c r="L225" i="3"/>
  <c r="K225" i="3"/>
  <c r="J225" i="3"/>
  <c r="H225" i="3"/>
  <c r="AA224" i="3"/>
  <c r="Z224" i="3"/>
  <c r="Y224" i="3"/>
  <c r="X224" i="3"/>
  <c r="W224" i="3"/>
  <c r="S224" i="3"/>
  <c r="O224" i="3"/>
  <c r="AE224" i="3" s="1"/>
  <c r="N224" i="3"/>
  <c r="AG224" i="3" s="1"/>
  <c r="M224" i="3"/>
  <c r="L224" i="3"/>
  <c r="K224" i="3"/>
  <c r="J224" i="3"/>
  <c r="H224" i="3"/>
  <c r="AA223" i="3"/>
  <c r="Z223" i="3"/>
  <c r="Y223" i="3"/>
  <c r="X223" i="3"/>
  <c r="W223" i="3"/>
  <c r="R223" i="3"/>
  <c r="Q223" i="3"/>
  <c r="N223" i="3"/>
  <c r="M223" i="3"/>
  <c r="L223" i="3"/>
  <c r="K223" i="3"/>
  <c r="J223" i="3"/>
  <c r="H223" i="3"/>
  <c r="U223" i="3" s="1"/>
  <c r="AA222" i="3"/>
  <c r="Z222" i="3"/>
  <c r="Y222" i="3"/>
  <c r="X222" i="3"/>
  <c r="W222" i="3"/>
  <c r="T222" i="3"/>
  <c r="O222" i="3"/>
  <c r="N222" i="3"/>
  <c r="M222" i="3"/>
  <c r="L222" i="3"/>
  <c r="K222" i="3"/>
  <c r="J222" i="3"/>
  <c r="H222" i="3"/>
  <c r="S222" i="3" s="1"/>
  <c r="AA221" i="3"/>
  <c r="Z221" i="3"/>
  <c r="Y221" i="3"/>
  <c r="X221" i="3"/>
  <c r="W221" i="3"/>
  <c r="U221" i="3"/>
  <c r="R221" i="3"/>
  <c r="Q221" i="3"/>
  <c r="N221" i="3"/>
  <c r="M221" i="3"/>
  <c r="L221" i="3"/>
  <c r="K221" i="3"/>
  <c r="J221" i="3"/>
  <c r="H221" i="3"/>
  <c r="AA220" i="3"/>
  <c r="Z220" i="3"/>
  <c r="Y220" i="3"/>
  <c r="X220" i="3"/>
  <c r="W220" i="3"/>
  <c r="N220" i="3"/>
  <c r="M220" i="3"/>
  <c r="T220" i="3" s="1"/>
  <c r="L220" i="3"/>
  <c r="K220" i="3"/>
  <c r="J220" i="3"/>
  <c r="H220" i="3"/>
  <c r="AA219" i="3"/>
  <c r="Z219" i="3"/>
  <c r="Y219" i="3"/>
  <c r="X219" i="3"/>
  <c r="W219" i="3"/>
  <c r="S219" i="3"/>
  <c r="O219" i="3"/>
  <c r="AE219" i="3" s="1"/>
  <c r="N219" i="3"/>
  <c r="M219" i="3"/>
  <c r="L219" i="3"/>
  <c r="K219" i="3"/>
  <c r="J219" i="3"/>
  <c r="H219" i="3"/>
  <c r="AA218" i="3"/>
  <c r="Z218" i="3"/>
  <c r="Y218" i="3"/>
  <c r="X218" i="3"/>
  <c r="W218" i="3"/>
  <c r="R218" i="3"/>
  <c r="Q218" i="3"/>
  <c r="N218" i="3"/>
  <c r="M218" i="3"/>
  <c r="L218" i="3"/>
  <c r="K218" i="3"/>
  <c r="J218" i="3"/>
  <c r="H218" i="3"/>
  <c r="U218" i="3" s="1"/>
  <c r="AA217" i="3"/>
  <c r="Z217" i="3"/>
  <c r="Y217" i="3"/>
  <c r="X217" i="3"/>
  <c r="W217" i="3"/>
  <c r="T217" i="3"/>
  <c r="S217" i="3"/>
  <c r="O217" i="3"/>
  <c r="AF217" i="3" s="1"/>
  <c r="N217" i="3"/>
  <c r="M217" i="3"/>
  <c r="L217" i="3"/>
  <c r="K217" i="3"/>
  <c r="J217" i="3"/>
  <c r="H217" i="3"/>
  <c r="AA216" i="3"/>
  <c r="Z216" i="3"/>
  <c r="Y216" i="3"/>
  <c r="X216" i="3"/>
  <c r="W216" i="3"/>
  <c r="U216" i="3"/>
  <c r="N216" i="3"/>
  <c r="M216" i="3"/>
  <c r="L216" i="3"/>
  <c r="K216" i="3"/>
  <c r="R216" i="3" s="1"/>
  <c r="J216" i="3"/>
  <c r="H216" i="3"/>
  <c r="AA215" i="3"/>
  <c r="Z215" i="3"/>
  <c r="Y215" i="3"/>
  <c r="X215" i="3"/>
  <c r="W215" i="3"/>
  <c r="N215" i="3"/>
  <c r="M215" i="3"/>
  <c r="L215" i="3"/>
  <c r="K215" i="3"/>
  <c r="J215" i="3"/>
  <c r="H215" i="3"/>
  <c r="AA214" i="3"/>
  <c r="Z214" i="3"/>
  <c r="Y214" i="3"/>
  <c r="X214" i="3"/>
  <c r="W214" i="3"/>
  <c r="S214" i="3"/>
  <c r="R214" i="3"/>
  <c r="O214" i="3"/>
  <c r="N214" i="3"/>
  <c r="U214" i="3" s="1"/>
  <c r="M214" i="3"/>
  <c r="L214" i="3"/>
  <c r="K214" i="3"/>
  <c r="J214" i="3"/>
  <c r="H214" i="3"/>
  <c r="AA213" i="3"/>
  <c r="Z213" i="3"/>
  <c r="Y213" i="3"/>
  <c r="X213" i="3"/>
  <c r="W213" i="3"/>
  <c r="R213" i="3"/>
  <c r="Q213" i="3"/>
  <c r="N213" i="3"/>
  <c r="M213" i="3"/>
  <c r="L213" i="3"/>
  <c r="K213" i="3"/>
  <c r="J213" i="3"/>
  <c r="H213" i="3"/>
  <c r="AA212" i="3"/>
  <c r="Z212" i="3"/>
  <c r="Y212" i="3"/>
  <c r="X212" i="3"/>
  <c r="W212" i="3"/>
  <c r="S212" i="3"/>
  <c r="N212" i="3"/>
  <c r="M212" i="3"/>
  <c r="L212" i="3"/>
  <c r="K212" i="3"/>
  <c r="J212" i="3"/>
  <c r="H212" i="3"/>
  <c r="AA211" i="3"/>
  <c r="Z211" i="3"/>
  <c r="Y211" i="3"/>
  <c r="X211" i="3"/>
  <c r="W211" i="3"/>
  <c r="U211" i="3"/>
  <c r="R211" i="3"/>
  <c r="Q211" i="3"/>
  <c r="N211" i="3"/>
  <c r="M211" i="3"/>
  <c r="L211" i="3"/>
  <c r="K211" i="3"/>
  <c r="J211" i="3"/>
  <c r="H211" i="3"/>
  <c r="AA210" i="3"/>
  <c r="Z210" i="3"/>
  <c r="Y210" i="3"/>
  <c r="X210" i="3"/>
  <c r="W210" i="3"/>
  <c r="N210" i="3"/>
  <c r="M210" i="3"/>
  <c r="L210" i="3"/>
  <c r="K210" i="3"/>
  <c r="J210" i="3"/>
  <c r="H210" i="3"/>
  <c r="AA209" i="3"/>
  <c r="Z209" i="3"/>
  <c r="Y209" i="3"/>
  <c r="X209" i="3"/>
  <c r="W209" i="3"/>
  <c r="U209" i="3"/>
  <c r="S209" i="3"/>
  <c r="R209" i="3"/>
  <c r="N209" i="3"/>
  <c r="M209" i="3"/>
  <c r="L209" i="3"/>
  <c r="K209" i="3"/>
  <c r="J209" i="3"/>
  <c r="H209" i="3"/>
  <c r="AA208" i="3"/>
  <c r="Z208" i="3"/>
  <c r="Y208" i="3"/>
  <c r="X208" i="3"/>
  <c r="W208" i="3"/>
  <c r="T208" i="3"/>
  <c r="R208" i="3"/>
  <c r="Q208" i="3"/>
  <c r="N208" i="3"/>
  <c r="M208" i="3"/>
  <c r="L208" i="3"/>
  <c r="K208" i="3"/>
  <c r="J208" i="3"/>
  <c r="H208" i="3"/>
  <c r="AA207" i="3"/>
  <c r="Z207" i="3"/>
  <c r="Y207" i="3"/>
  <c r="X207" i="3"/>
  <c r="W207" i="3"/>
  <c r="S207" i="3"/>
  <c r="N207" i="3"/>
  <c r="M207" i="3"/>
  <c r="L207" i="3"/>
  <c r="K207" i="3"/>
  <c r="J207" i="3"/>
  <c r="H207" i="3"/>
  <c r="AA206" i="3"/>
  <c r="Z206" i="3"/>
  <c r="Y206" i="3"/>
  <c r="X206" i="3"/>
  <c r="W206" i="3"/>
  <c r="U206" i="3"/>
  <c r="R206" i="3"/>
  <c r="N206" i="3"/>
  <c r="M206" i="3"/>
  <c r="L206" i="3"/>
  <c r="K206" i="3"/>
  <c r="J206" i="3"/>
  <c r="Q206" i="3" s="1"/>
  <c r="H206" i="3"/>
  <c r="AA205" i="3"/>
  <c r="Z205" i="3"/>
  <c r="Y205" i="3"/>
  <c r="X205" i="3"/>
  <c r="W205" i="3"/>
  <c r="N205" i="3"/>
  <c r="M205" i="3"/>
  <c r="L205" i="3"/>
  <c r="K205" i="3"/>
  <c r="J205" i="3"/>
  <c r="H205" i="3"/>
  <c r="Q205" i="3" s="1"/>
  <c r="AA204" i="3"/>
  <c r="Z204" i="3"/>
  <c r="Y204" i="3"/>
  <c r="X204" i="3"/>
  <c r="W204" i="3"/>
  <c r="S204" i="3"/>
  <c r="N204" i="3"/>
  <c r="U204" i="3" s="1"/>
  <c r="M204" i="3"/>
  <c r="L204" i="3"/>
  <c r="K204" i="3"/>
  <c r="J204" i="3"/>
  <c r="H204" i="3"/>
  <c r="AD203" i="3"/>
  <c r="AA203" i="3"/>
  <c r="Z203" i="3"/>
  <c r="Y203" i="3"/>
  <c r="X203" i="3"/>
  <c r="W203" i="3"/>
  <c r="U203" i="3"/>
  <c r="Q203" i="3"/>
  <c r="N203" i="3"/>
  <c r="M203" i="3"/>
  <c r="T203" i="3" s="1"/>
  <c r="L203" i="3"/>
  <c r="K203" i="3"/>
  <c r="J203" i="3"/>
  <c r="AC203" i="3" s="1"/>
  <c r="H203" i="3"/>
  <c r="O203" i="3" s="1"/>
  <c r="AG203" i="3" s="1"/>
  <c r="AF202" i="3"/>
  <c r="AA202" i="3"/>
  <c r="Z202" i="3"/>
  <c r="Y202" i="3"/>
  <c r="X202" i="3"/>
  <c r="W202" i="3"/>
  <c r="T202" i="3"/>
  <c r="S202" i="3"/>
  <c r="O202" i="3"/>
  <c r="N202" i="3"/>
  <c r="M202" i="3"/>
  <c r="L202" i="3"/>
  <c r="AE202" i="3" s="1"/>
  <c r="K202" i="3"/>
  <c r="J202" i="3"/>
  <c r="H202" i="3"/>
  <c r="AA201" i="3"/>
  <c r="Z201" i="3"/>
  <c r="Y201" i="3"/>
  <c r="X201" i="3"/>
  <c r="W201" i="3"/>
  <c r="Q201" i="3"/>
  <c r="N201" i="3"/>
  <c r="U201" i="3" s="1"/>
  <c r="M201" i="3"/>
  <c r="L201" i="3"/>
  <c r="K201" i="3"/>
  <c r="R201" i="3" s="1"/>
  <c r="J201" i="3"/>
  <c r="H201" i="3"/>
  <c r="AA200" i="3"/>
  <c r="Z200" i="3"/>
  <c r="Y200" i="3"/>
  <c r="X200" i="3"/>
  <c r="W200" i="3"/>
  <c r="N200" i="3"/>
  <c r="M200" i="3"/>
  <c r="L200" i="3"/>
  <c r="K200" i="3"/>
  <c r="J200" i="3"/>
  <c r="H200" i="3"/>
  <c r="AE199" i="3"/>
  <c r="AA199" i="3"/>
  <c r="Z199" i="3"/>
  <c r="Y199" i="3"/>
  <c r="X199" i="3"/>
  <c r="W199" i="3"/>
  <c r="U199" i="3"/>
  <c r="S199" i="3"/>
  <c r="Q199" i="3"/>
  <c r="O199" i="3"/>
  <c r="N199" i="3"/>
  <c r="AG199" i="3" s="1"/>
  <c r="M199" i="3"/>
  <c r="AF199" i="3" s="1"/>
  <c r="L199" i="3"/>
  <c r="K199" i="3"/>
  <c r="R199" i="3" s="1"/>
  <c r="J199" i="3"/>
  <c r="AC199" i="3" s="1"/>
  <c r="H199" i="3"/>
  <c r="AA198" i="3"/>
  <c r="Z198" i="3"/>
  <c r="Y198" i="3"/>
  <c r="X198" i="3"/>
  <c r="W198" i="3"/>
  <c r="R198" i="3"/>
  <c r="N198" i="3"/>
  <c r="M198" i="3"/>
  <c r="L198" i="3"/>
  <c r="S198" i="3" s="1"/>
  <c r="K198" i="3"/>
  <c r="J198" i="3"/>
  <c r="H198" i="3"/>
  <c r="AA197" i="3"/>
  <c r="Z197" i="3"/>
  <c r="Y197" i="3"/>
  <c r="X197" i="3"/>
  <c r="W197" i="3"/>
  <c r="U197" i="3"/>
  <c r="O197" i="3"/>
  <c r="N197" i="3"/>
  <c r="M197" i="3"/>
  <c r="L197" i="3"/>
  <c r="K197" i="3"/>
  <c r="J197" i="3"/>
  <c r="H197" i="3"/>
  <c r="T197" i="3" s="1"/>
  <c r="AG196" i="3"/>
  <c r="AC196" i="3"/>
  <c r="AA196" i="3"/>
  <c r="Z196" i="3"/>
  <c r="Y196" i="3"/>
  <c r="X196" i="3"/>
  <c r="W196" i="3"/>
  <c r="U196" i="3"/>
  <c r="R196" i="3"/>
  <c r="Q196" i="3"/>
  <c r="N196" i="3"/>
  <c r="M196" i="3"/>
  <c r="L196" i="3"/>
  <c r="K196" i="3"/>
  <c r="AD196" i="3" s="1"/>
  <c r="J196" i="3"/>
  <c r="H196" i="3"/>
  <c r="AE195" i="3"/>
  <c r="AC195" i="3"/>
  <c r="AA195" i="3"/>
  <c r="Z195" i="3"/>
  <c r="Y195" i="3"/>
  <c r="X195" i="3"/>
  <c r="W195" i="3"/>
  <c r="S195" i="3"/>
  <c r="Q195" i="3"/>
  <c r="O195" i="3"/>
  <c r="N195" i="3"/>
  <c r="M195" i="3"/>
  <c r="T195" i="3" s="1"/>
  <c r="L195" i="3"/>
  <c r="K195" i="3"/>
  <c r="J195" i="3"/>
  <c r="H195" i="3"/>
  <c r="O196" i="3" s="1"/>
  <c r="AE194" i="3"/>
  <c r="AC194" i="3"/>
  <c r="AA194" i="3"/>
  <c r="Z194" i="3"/>
  <c r="Y194" i="3"/>
  <c r="X194" i="3"/>
  <c r="W194" i="3"/>
  <c r="S194" i="3"/>
  <c r="R194" i="3"/>
  <c r="Q194" i="3"/>
  <c r="O194" i="3"/>
  <c r="AD194" i="3" s="1"/>
  <c r="N194" i="3"/>
  <c r="M194" i="3"/>
  <c r="L194" i="3"/>
  <c r="K194" i="3"/>
  <c r="J194" i="3"/>
  <c r="H194" i="3"/>
  <c r="AA193" i="3"/>
  <c r="Z193" i="3"/>
  <c r="Y193" i="3"/>
  <c r="X193" i="3"/>
  <c r="W193" i="3"/>
  <c r="T193" i="3"/>
  <c r="S193" i="3"/>
  <c r="R193" i="3"/>
  <c r="Q193" i="3"/>
  <c r="N193" i="3"/>
  <c r="M193" i="3"/>
  <c r="L193" i="3"/>
  <c r="K193" i="3"/>
  <c r="J193" i="3"/>
  <c r="H193" i="3"/>
  <c r="AA192" i="3"/>
  <c r="Z192" i="3"/>
  <c r="Y192" i="3"/>
  <c r="X192" i="3"/>
  <c r="W192" i="3"/>
  <c r="N192" i="3"/>
  <c r="M192" i="3"/>
  <c r="L192" i="3"/>
  <c r="K192" i="3"/>
  <c r="J192" i="3"/>
  <c r="H192" i="3"/>
  <c r="AA191" i="3"/>
  <c r="Z191" i="3"/>
  <c r="Y191" i="3"/>
  <c r="X191" i="3"/>
  <c r="W191" i="3"/>
  <c r="R191" i="3"/>
  <c r="O191" i="3"/>
  <c r="N191" i="3"/>
  <c r="M191" i="3"/>
  <c r="L191" i="3"/>
  <c r="K191" i="3"/>
  <c r="AD191" i="3" s="1"/>
  <c r="J191" i="3"/>
  <c r="Q191" i="3" s="1"/>
  <c r="H191" i="3"/>
  <c r="AA190" i="3"/>
  <c r="Z190" i="3"/>
  <c r="Y190" i="3"/>
  <c r="X190" i="3"/>
  <c r="W190" i="3"/>
  <c r="Q190" i="3"/>
  <c r="N190" i="3"/>
  <c r="M190" i="3"/>
  <c r="L190" i="3"/>
  <c r="S190" i="3" s="1"/>
  <c r="K190" i="3"/>
  <c r="J190" i="3"/>
  <c r="H190" i="3"/>
  <c r="AC189" i="3"/>
  <c r="AA189" i="3"/>
  <c r="Z189" i="3"/>
  <c r="Y189" i="3"/>
  <c r="X189" i="3"/>
  <c r="W189" i="3"/>
  <c r="Q189" i="3"/>
  <c r="O189" i="3"/>
  <c r="N189" i="3"/>
  <c r="M189" i="3"/>
  <c r="L189" i="3"/>
  <c r="K189" i="3"/>
  <c r="J189" i="3"/>
  <c r="H189" i="3"/>
  <c r="AA188" i="3"/>
  <c r="Z188" i="3"/>
  <c r="Y188" i="3"/>
  <c r="X188" i="3"/>
  <c r="W188" i="3"/>
  <c r="U188" i="3"/>
  <c r="S188" i="3"/>
  <c r="R188" i="3"/>
  <c r="Q188" i="3"/>
  <c r="O188" i="3"/>
  <c r="N188" i="3"/>
  <c r="M188" i="3"/>
  <c r="L188" i="3"/>
  <c r="K188" i="3"/>
  <c r="J188" i="3"/>
  <c r="H188" i="3"/>
  <c r="T188" i="3" s="1"/>
  <c r="AF187" i="3"/>
  <c r="AD187" i="3"/>
  <c r="AA187" i="3"/>
  <c r="Z187" i="3"/>
  <c r="Y187" i="3"/>
  <c r="X187" i="3"/>
  <c r="W187" i="3"/>
  <c r="T187" i="3"/>
  <c r="S187" i="3"/>
  <c r="O187" i="3"/>
  <c r="AE187" i="3" s="1"/>
  <c r="N187" i="3"/>
  <c r="M187" i="3"/>
  <c r="L187" i="3"/>
  <c r="K187" i="3"/>
  <c r="R187" i="3" s="1"/>
  <c r="J187" i="3"/>
  <c r="H187" i="3"/>
  <c r="AG186" i="3"/>
  <c r="AF186" i="3"/>
  <c r="AA186" i="3"/>
  <c r="Z186" i="3"/>
  <c r="Y186" i="3"/>
  <c r="X186" i="3"/>
  <c r="W186" i="3"/>
  <c r="T186" i="3"/>
  <c r="Q186" i="3"/>
  <c r="O186" i="3"/>
  <c r="AC186" i="3" s="1"/>
  <c r="N186" i="3"/>
  <c r="U186" i="3" s="1"/>
  <c r="M186" i="3"/>
  <c r="L186" i="3"/>
  <c r="K186" i="3"/>
  <c r="R186" i="3" s="1"/>
  <c r="J186" i="3"/>
  <c r="H186" i="3"/>
  <c r="AE185" i="3"/>
  <c r="AA185" i="3"/>
  <c r="Z185" i="3"/>
  <c r="Y185" i="3"/>
  <c r="X185" i="3"/>
  <c r="W185" i="3"/>
  <c r="S185" i="3"/>
  <c r="Q185" i="3"/>
  <c r="O185" i="3"/>
  <c r="AF185" i="3" s="1"/>
  <c r="N185" i="3"/>
  <c r="M185" i="3"/>
  <c r="L185" i="3"/>
  <c r="K185" i="3"/>
  <c r="J185" i="3"/>
  <c r="H185" i="3"/>
  <c r="T185" i="3" s="1"/>
  <c r="AA184" i="3"/>
  <c r="Z184" i="3"/>
  <c r="Y184" i="3"/>
  <c r="X184" i="3"/>
  <c r="W184" i="3"/>
  <c r="S184" i="3"/>
  <c r="R184" i="3"/>
  <c r="N184" i="3"/>
  <c r="M184" i="3"/>
  <c r="L184" i="3"/>
  <c r="K184" i="3"/>
  <c r="J184" i="3"/>
  <c r="H184" i="3"/>
  <c r="AA183" i="3"/>
  <c r="Z183" i="3"/>
  <c r="Y183" i="3"/>
  <c r="X183" i="3"/>
  <c r="W183" i="3"/>
  <c r="T183" i="3"/>
  <c r="N183" i="3"/>
  <c r="M183" i="3"/>
  <c r="L183" i="3"/>
  <c r="K183" i="3"/>
  <c r="J183" i="3"/>
  <c r="H183" i="3"/>
  <c r="U183" i="3" s="1"/>
  <c r="AA182" i="3"/>
  <c r="Z182" i="3"/>
  <c r="Y182" i="3"/>
  <c r="X182" i="3"/>
  <c r="W182" i="3"/>
  <c r="U182" i="3"/>
  <c r="N182" i="3"/>
  <c r="M182" i="3"/>
  <c r="L182" i="3"/>
  <c r="K182" i="3"/>
  <c r="J182" i="3"/>
  <c r="H182" i="3"/>
  <c r="O182" i="3" s="1"/>
  <c r="AG182" i="3" s="1"/>
  <c r="AF181" i="3"/>
  <c r="AA181" i="3"/>
  <c r="Z181" i="3"/>
  <c r="Y181" i="3"/>
  <c r="X181" i="3"/>
  <c r="W181" i="3"/>
  <c r="T181" i="3"/>
  <c r="S181" i="3"/>
  <c r="O181" i="3"/>
  <c r="AC181" i="3" s="1"/>
  <c r="N181" i="3"/>
  <c r="M181" i="3"/>
  <c r="L181" i="3"/>
  <c r="AE181" i="3" s="1"/>
  <c r="K181" i="3"/>
  <c r="J181" i="3"/>
  <c r="H181" i="3"/>
  <c r="Q181" i="3" s="1"/>
  <c r="AD180" i="3"/>
  <c r="AC180" i="3"/>
  <c r="AA180" i="3"/>
  <c r="Z180" i="3"/>
  <c r="Y180" i="3"/>
  <c r="X180" i="3"/>
  <c r="W180" i="3"/>
  <c r="R180" i="3"/>
  <c r="Q180" i="3"/>
  <c r="O180" i="3"/>
  <c r="AE180" i="3" s="1"/>
  <c r="N180" i="3"/>
  <c r="M180" i="3"/>
  <c r="L180" i="3"/>
  <c r="K180" i="3"/>
  <c r="J180" i="3"/>
  <c r="H180" i="3"/>
  <c r="S180" i="3" s="1"/>
  <c r="AA179" i="3"/>
  <c r="Z179" i="3"/>
  <c r="Y179" i="3"/>
  <c r="X179" i="3"/>
  <c r="W179" i="3"/>
  <c r="O179" i="3"/>
  <c r="N179" i="3"/>
  <c r="M179" i="3"/>
  <c r="T179" i="3" s="1"/>
  <c r="L179" i="3"/>
  <c r="K179" i="3"/>
  <c r="J179" i="3"/>
  <c r="H179" i="3"/>
  <c r="U179" i="3" s="1"/>
  <c r="AA178" i="3"/>
  <c r="Z178" i="3"/>
  <c r="Y178" i="3"/>
  <c r="X178" i="3"/>
  <c r="W178" i="3"/>
  <c r="O178" i="3"/>
  <c r="N178" i="3"/>
  <c r="M178" i="3"/>
  <c r="L178" i="3"/>
  <c r="K178" i="3"/>
  <c r="J178" i="3"/>
  <c r="H178" i="3"/>
  <c r="T178" i="3" s="1"/>
  <c r="AC177" i="3"/>
  <c r="AA177" i="3"/>
  <c r="Z177" i="3"/>
  <c r="Y177" i="3"/>
  <c r="X177" i="3"/>
  <c r="W177" i="3"/>
  <c r="O177" i="3"/>
  <c r="N177" i="3"/>
  <c r="M177" i="3"/>
  <c r="T177" i="3" s="1"/>
  <c r="L177" i="3"/>
  <c r="K177" i="3"/>
  <c r="J177" i="3"/>
  <c r="H177" i="3"/>
  <c r="U177" i="3" s="1"/>
  <c r="AA176" i="3"/>
  <c r="Z176" i="3"/>
  <c r="Y176" i="3"/>
  <c r="X176" i="3"/>
  <c r="W176" i="3"/>
  <c r="O176" i="3"/>
  <c r="AC176" i="3" s="1"/>
  <c r="N176" i="3"/>
  <c r="M176" i="3"/>
  <c r="L176" i="3"/>
  <c r="K176" i="3"/>
  <c r="R176" i="3" s="1"/>
  <c r="J176" i="3"/>
  <c r="H176" i="3"/>
  <c r="Q176" i="3" s="1"/>
  <c r="AA175" i="3"/>
  <c r="Z175" i="3"/>
  <c r="Y175" i="3"/>
  <c r="X175" i="3"/>
  <c r="W175" i="3"/>
  <c r="O175" i="3"/>
  <c r="AE175" i="3" s="1"/>
  <c r="N175" i="3"/>
  <c r="U175" i="3" s="1"/>
  <c r="M175" i="3"/>
  <c r="L175" i="3"/>
  <c r="K175" i="3"/>
  <c r="R175" i="3" s="1"/>
  <c r="J175" i="3"/>
  <c r="H175" i="3"/>
  <c r="S175" i="3" s="1"/>
  <c r="AA174" i="3"/>
  <c r="Z174" i="3"/>
  <c r="Y174" i="3"/>
  <c r="X174" i="3"/>
  <c r="W174" i="3"/>
  <c r="Q174" i="3"/>
  <c r="O174" i="3"/>
  <c r="AG174" i="3" s="1"/>
  <c r="N174" i="3"/>
  <c r="M174" i="3"/>
  <c r="L174" i="3"/>
  <c r="K174" i="3"/>
  <c r="R174" i="3" s="1"/>
  <c r="J174" i="3"/>
  <c r="H174" i="3"/>
  <c r="U174" i="3" s="1"/>
  <c r="AA173" i="3"/>
  <c r="Z173" i="3"/>
  <c r="Y173" i="3"/>
  <c r="X173" i="3"/>
  <c r="W173" i="3"/>
  <c r="O173" i="3"/>
  <c r="N173" i="3"/>
  <c r="U173" i="3" s="1"/>
  <c r="M173" i="3"/>
  <c r="L173" i="3"/>
  <c r="K173" i="3"/>
  <c r="R173" i="3" s="1"/>
  <c r="J173" i="3"/>
  <c r="H173" i="3"/>
  <c r="AA172" i="3"/>
  <c r="Z172" i="3"/>
  <c r="Y172" i="3"/>
  <c r="X172" i="3"/>
  <c r="W172" i="3"/>
  <c r="O172" i="3"/>
  <c r="N172" i="3"/>
  <c r="U172" i="3" s="1"/>
  <c r="M172" i="3"/>
  <c r="L172" i="3"/>
  <c r="K172" i="3"/>
  <c r="R172" i="3" s="1"/>
  <c r="J172" i="3"/>
  <c r="H172" i="3"/>
  <c r="AA171" i="3"/>
  <c r="Z171" i="3"/>
  <c r="Y171" i="3"/>
  <c r="X171" i="3"/>
  <c r="W171" i="3"/>
  <c r="Q171" i="3"/>
  <c r="N171" i="3"/>
  <c r="M171" i="3"/>
  <c r="L171" i="3"/>
  <c r="K171" i="3"/>
  <c r="R171" i="3" s="1"/>
  <c r="J171" i="3"/>
  <c r="H171" i="3"/>
  <c r="AA170" i="3"/>
  <c r="Z170" i="3"/>
  <c r="Y170" i="3"/>
  <c r="X170" i="3"/>
  <c r="W170" i="3"/>
  <c r="Q170" i="3"/>
  <c r="O170" i="3"/>
  <c r="N170" i="3"/>
  <c r="M170" i="3"/>
  <c r="L170" i="3"/>
  <c r="K170" i="3"/>
  <c r="J170" i="3"/>
  <c r="H170" i="3"/>
  <c r="S170" i="3" s="1"/>
  <c r="AD169" i="3"/>
  <c r="AC169" i="3"/>
  <c r="AA169" i="3"/>
  <c r="Z169" i="3"/>
  <c r="Y169" i="3"/>
  <c r="X169" i="3"/>
  <c r="W169" i="3"/>
  <c r="S169" i="3"/>
  <c r="R169" i="3"/>
  <c r="Q169" i="3"/>
  <c r="O169" i="3"/>
  <c r="AG169" i="3" s="1"/>
  <c r="N169" i="3"/>
  <c r="M169" i="3"/>
  <c r="L169" i="3"/>
  <c r="K169" i="3"/>
  <c r="J169" i="3"/>
  <c r="H169" i="3"/>
  <c r="U169" i="3" s="1"/>
  <c r="AF168" i="3"/>
  <c r="AE168" i="3"/>
  <c r="AA168" i="3"/>
  <c r="Z168" i="3"/>
  <c r="Y168" i="3"/>
  <c r="X168" i="3"/>
  <c r="W168" i="3"/>
  <c r="T168" i="3"/>
  <c r="S168" i="3"/>
  <c r="R168" i="3"/>
  <c r="O168" i="3"/>
  <c r="AD168" i="3" s="1"/>
  <c r="N168" i="3"/>
  <c r="M168" i="3"/>
  <c r="L168" i="3"/>
  <c r="K168" i="3"/>
  <c r="J168" i="3"/>
  <c r="H168" i="3"/>
  <c r="AF167" i="3"/>
  <c r="AD167" i="3"/>
  <c r="AA167" i="3"/>
  <c r="Z167" i="3"/>
  <c r="Y167" i="3"/>
  <c r="X167" i="3"/>
  <c r="W167" i="3"/>
  <c r="T167" i="3"/>
  <c r="R167" i="3"/>
  <c r="Q167" i="3"/>
  <c r="O167" i="3"/>
  <c r="AC167" i="3" s="1"/>
  <c r="N167" i="3"/>
  <c r="M167" i="3"/>
  <c r="L167" i="3"/>
  <c r="K167" i="3"/>
  <c r="J167" i="3"/>
  <c r="H167" i="3"/>
  <c r="AA166" i="3"/>
  <c r="Z166" i="3"/>
  <c r="Y166" i="3"/>
  <c r="X166" i="3"/>
  <c r="W166" i="3"/>
  <c r="S166" i="3"/>
  <c r="R166" i="3"/>
  <c r="Q166" i="3"/>
  <c r="N166" i="3"/>
  <c r="M166" i="3"/>
  <c r="L166" i="3"/>
  <c r="K166" i="3"/>
  <c r="J166" i="3"/>
  <c r="H166" i="3"/>
  <c r="T166" i="3" s="1"/>
  <c r="AA165" i="3"/>
  <c r="Z165" i="3"/>
  <c r="Y165" i="3"/>
  <c r="X165" i="3"/>
  <c r="W165" i="3"/>
  <c r="N165" i="3"/>
  <c r="M165" i="3"/>
  <c r="L165" i="3"/>
  <c r="K165" i="3"/>
  <c r="J165" i="3"/>
  <c r="H165" i="3"/>
  <c r="AG164" i="3"/>
  <c r="AA164" i="3"/>
  <c r="Z164" i="3"/>
  <c r="Y164" i="3"/>
  <c r="X164" i="3"/>
  <c r="W164" i="3"/>
  <c r="U164" i="3"/>
  <c r="S164" i="3"/>
  <c r="N164" i="3"/>
  <c r="M164" i="3"/>
  <c r="L164" i="3"/>
  <c r="K164" i="3"/>
  <c r="J164" i="3"/>
  <c r="H164" i="3"/>
  <c r="O164" i="3" s="1"/>
  <c r="AF164" i="3" s="1"/>
  <c r="AA163" i="3"/>
  <c r="Z163" i="3"/>
  <c r="Y163" i="3"/>
  <c r="X163" i="3"/>
  <c r="W163" i="3"/>
  <c r="T163" i="3"/>
  <c r="N163" i="3"/>
  <c r="M163" i="3"/>
  <c r="L163" i="3"/>
  <c r="S163" i="3" s="1"/>
  <c r="K163" i="3"/>
  <c r="J163" i="3"/>
  <c r="H163" i="3"/>
  <c r="O163" i="3" s="1"/>
  <c r="AG163" i="3" s="1"/>
  <c r="AA162" i="3"/>
  <c r="Z162" i="3"/>
  <c r="Y162" i="3"/>
  <c r="X162" i="3"/>
  <c r="W162" i="3"/>
  <c r="T162" i="3"/>
  <c r="N162" i="3"/>
  <c r="M162" i="3"/>
  <c r="L162" i="3"/>
  <c r="K162" i="3"/>
  <c r="J162" i="3"/>
  <c r="H162" i="3"/>
  <c r="O162" i="3" s="1"/>
  <c r="AG162" i="3" s="1"/>
  <c r="AA161" i="3"/>
  <c r="Z161" i="3"/>
  <c r="Y161" i="3"/>
  <c r="X161" i="3"/>
  <c r="W161" i="3"/>
  <c r="S161" i="3"/>
  <c r="N161" i="3"/>
  <c r="M161" i="3"/>
  <c r="L161" i="3"/>
  <c r="K161" i="3"/>
  <c r="J161" i="3"/>
  <c r="H161" i="3"/>
  <c r="Q161" i="3" s="1"/>
  <c r="AA160" i="3"/>
  <c r="Z160" i="3"/>
  <c r="Y160" i="3"/>
  <c r="X160" i="3"/>
  <c r="W160" i="3"/>
  <c r="U160" i="3"/>
  <c r="N160" i="3"/>
  <c r="M160" i="3"/>
  <c r="L160" i="3"/>
  <c r="K160" i="3"/>
  <c r="J160" i="3"/>
  <c r="H160" i="3"/>
  <c r="S160" i="3" s="1"/>
  <c r="AA159" i="3"/>
  <c r="Z159" i="3"/>
  <c r="Y159" i="3"/>
  <c r="X159" i="3"/>
  <c r="W159" i="3"/>
  <c r="Q159" i="3"/>
  <c r="O159" i="3"/>
  <c r="N159" i="3"/>
  <c r="M159" i="3"/>
  <c r="L159" i="3"/>
  <c r="K159" i="3"/>
  <c r="J159" i="3"/>
  <c r="H159" i="3"/>
  <c r="U159" i="3" s="1"/>
  <c r="AD158" i="3"/>
  <c r="AA158" i="3"/>
  <c r="Z158" i="3"/>
  <c r="Y158" i="3"/>
  <c r="X158" i="3"/>
  <c r="W158" i="3"/>
  <c r="R158" i="3"/>
  <c r="O158" i="3"/>
  <c r="N158" i="3"/>
  <c r="M158" i="3"/>
  <c r="T158" i="3" s="1"/>
  <c r="L158" i="3"/>
  <c r="K158" i="3"/>
  <c r="J158" i="3"/>
  <c r="H158" i="3"/>
  <c r="AA157" i="3"/>
  <c r="Z157" i="3"/>
  <c r="Y157" i="3"/>
  <c r="X157" i="3"/>
  <c r="W157" i="3"/>
  <c r="O157" i="3"/>
  <c r="N157" i="3"/>
  <c r="M157" i="3"/>
  <c r="T157" i="3" s="1"/>
  <c r="L157" i="3"/>
  <c r="K157" i="3"/>
  <c r="J157" i="3"/>
  <c r="H157" i="3"/>
  <c r="R157" i="3" s="1"/>
  <c r="AC156" i="3"/>
  <c r="AA156" i="3"/>
  <c r="Z156" i="3"/>
  <c r="Y156" i="3"/>
  <c r="X156" i="3"/>
  <c r="W156" i="3"/>
  <c r="O156" i="3"/>
  <c r="AD156" i="3" s="1"/>
  <c r="N156" i="3"/>
  <c r="M156" i="3"/>
  <c r="T156" i="3" s="1"/>
  <c r="L156" i="3"/>
  <c r="K156" i="3"/>
  <c r="J156" i="3"/>
  <c r="H156" i="3"/>
  <c r="R156" i="3" s="1"/>
  <c r="AA155" i="3"/>
  <c r="Z155" i="3"/>
  <c r="Y155" i="3"/>
  <c r="X155" i="3"/>
  <c r="W155" i="3"/>
  <c r="S155" i="3"/>
  <c r="R155" i="3"/>
  <c r="Q155" i="3"/>
  <c r="N155" i="3"/>
  <c r="M155" i="3"/>
  <c r="L155" i="3"/>
  <c r="K155" i="3"/>
  <c r="J155" i="3"/>
  <c r="H155" i="3"/>
  <c r="T155" i="3" s="1"/>
  <c r="AA154" i="3"/>
  <c r="Z154" i="3"/>
  <c r="Y154" i="3"/>
  <c r="X154" i="3"/>
  <c r="W154" i="3"/>
  <c r="T154" i="3"/>
  <c r="S154" i="3"/>
  <c r="Q154" i="3"/>
  <c r="N154" i="3"/>
  <c r="M154" i="3"/>
  <c r="L154" i="3"/>
  <c r="K154" i="3"/>
  <c r="J154" i="3"/>
  <c r="H154" i="3"/>
  <c r="AA153" i="3"/>
  <c r="Z153" i="3"/>
  <c r="Y153" i="3"/>
  <c r="X153" i="3"/>
  <c r="W153" i="3"/>
  <c r="N153" i="3"/>
  <c r="M153" i="3"/>
  <c r="L153" i="3"/>
  <c r="K153" i="3"/>
  <c r="J153" i="3"/>
  <c r="H153" i="3"/>
  <c r="AA152" i="3"/>
  <c r="Z152" i="3"/>
  <c r="Y152" i="3"/>
  <c r="X152" i="3"/>
  <c r="W152" i="3"/>
  <c r="U152" i="3"/>
  <c r="T152" i="3"/>
  <c r="Q152" i="3"/>
  <c r="N152" i="3"/>
  <c r="M152" i="3"/>
  <c r="L152" i="3"/>
  <c r="K152" i="3"/>
  <c r="J152" i="3"/>
  <c r="H152" i="3"/>
  <c r="AA151" i="3"/>
  <c r="Z151" i="3"/>
  <c r="Y151" i="3"/>
  <c r="X151" i="3"/>
  <c r="W151" i="3"/>
  <c r="N151" i="3"/>
  <c r="M151" i="3"/>
  <c r="L151" i="3"/>
  <c r="K151" i="3"/>
  <c r="J151" i="3"/>
  <c r="H151" i="3"/>
  <c r="AG150" i="3"/>
  <c r="AE150" i="3"/>
  <c r="AA150" i="3"/>
  <c r="Z150" i="3"/>
  <c r="Y150" i="3"/>
  <c r="X150" i="3"/>
  <c r="W150" i="3"/>
  <c r="U150" i="3"/>
  <c r="S150" i="3"/>
  <c r="O150" i="3"/>
  <c r="AF150" i="3" s="1"/>
  <c r="N150" i="3"/>
  <c r="M150" i="3"/>
  <c r="L150" i="3"/>
  <c r="K150" i="3"/>
  <c r="J150" i="3"/>
  <c r="H150" i="3"/>
  <c r="T150" i="3" s="1"/>
  <c r="AG149" i="3"/>
  <c r="AA149" i="3"/>
  <c r="Z149" i="3"/>
  <c r="Y149" i="3"/>
  <c r="X149" i="3"/>
  <c r="W149" i="3"/>
  <c r="U149" i="3"/>
  <c r="R149" i="3"/>
  <c r="N149" i="3"/>
  <c r="M149" i="3"/>
  <c r="L149" i="3"/>
  <c r="K149" i="3"/>
  <c r="J149" i="3"/>
  <c r="H149" i="3"/>
  <c r="AA148" i="3"/>
  <c r="Z148" i="3"/>
  <c r="Y148" i="3"/>
  <c r="X148" i="3"/>
  <c r="W148" i="3"/>
  <c r="O148" i="3"/>
  <c r="N148" i="3"/>
  <c r="M148" i="3"/>
  <c r="AF148" i="3" s="1"/>
  <c r="L148" i="3"/>
  <c r="K148" i="3"/>
  <c r="J148" i="3"/>
  <c r="H148" i="3"/>
  <c r="O149" i="3" s="1"/>
  <c r="AD149" i="3" s="1"/>
  <c r="AA147" i="3"/>
  <c r="Z147" i="3"/>
  <c r="Y147" i="3"/>
  <c r="X147" i="3"/>
  <c r="W147" i="3"/>
  <c r="R147" i="3"/>
  <c r="Q147" i="3"/>
  <c r="N147" i="3"/>
  <c r="M147" i="3"/>
  <c r="L147" i="3"/>
  <c r="K147" i="3"/>
  <c r="J147" i="3"/>
  <c r="H147" i="3"/>
  <c r="T147" i="3" s="1"/>
  <c r="AA146" i="3"/>
  <c r="Z146" i="3"/>
  <c r="Y146" i="3"/>
  <c r="X146" i="3"/>
  <c r="W146" i="3"/>
  <c r="T146" i="3"/>
  <c r="S146" i="3"/>
  <c r="Q146" i="3"/>
  <c r="N146" i="3"/>
  <c r="M146" i="3"/>
  <c r="L146" i="3"/>
  <c r="K146" i="3"/>
  <c r="J146" i="3"/>
  <c r="H146" i="3"/>
  <c r="AG145" i="3"/>
  <c r="AE145" i="3"/>
  <c r="AA145" i="3"/>
  <c r="Z145" i="3"/>
  <c r="Y145" i="3"/>
  <c r="X145" i="3"/>
  <c r="W145" i="3"/>
  <c r="U145" i="3"/>
  <c r="S145" i="3"/>
  <c r="O145" i="3"/>
  <c r="AF145" i="3" s="1"/>
  <c r="N145" i="3"/>
  <c r="M145" i="3"/>
  <c r="L145" i="3"/>
  <c r="K145" i="3"/>
  <c r="J145" i="3"/>
  <c r="H145" i="3"/>
  <c r="T145" i="3" s="1"/>
  <c r="AA144" i="3"/>
  <c r="Z144" i="3"/>
  <c r="Y144" i="3"/>
  <c r="X144" i="3"/>
  <c r="W144" i="3"/>
  <c r="U144" i="3"/>
  <c r="R144" i="3"/>
  <c r="N144" i="3"/>
  <c r="M144" i="3"/>
  <c r="L144" i="3"/>
  <c r="K144" i="3"/>
  <c r="J144" i="3"/>
  <c r="H144" i="3"/>
  <c r="AA143" i="3"/>
  <c r="Z143" i="3"/>
  <c r="Y143" i="3"/>
  <c r="X143" i="3"/>
  <c r="W143" i="3"/>
  <c r="O143" i="3"/>
  <c r="N143" i="3"/>
  <c r="M143" i="3"/>
  <c r="L143" i="3"/>
  <c r="K143" i="3"/>
  <c r="J143" i="3"/>
  <c r="H143" i="3"/>
  <c r="T143" i="3" s="1"/>
  <c r="AA142" i="3"/>
  <c r="Z142" i="3"/>
  <c r="Y142" i="3"/>
  <c r="X142" i="3"/>
  <c r="W142" i="3"/>
  <c r="R142" i="3"/>
  <c r="Q142" i="3"/>
  <c r="N142" i="3"/>
  <c r="M142" i="3"/>
  <c r="L142" i="3"/>
  <c r="K142" i="3"/>
  <c r="J142" i="3"/>
  <c r="H142" i="3"/>
  <c r="T142" i="3" s="1"/>
  <c r="AA141" i="3"/>
  <c r="Z141" i="3"/>
  <c r="Y141" i="3"/>
  <c r="X141" i="3"/>
  <c r="W141" i="3"/>
  <c r="T141" i="3"/>
  <c r="N141" i="3"/>
  <c r="M141" i="3"/>
  <c r="L141" i="3"/>
  <c r="K141" i="3"/>
  <c r="J141" i="3"/>
  <c r="H141" i="3"/>
  <c r="AG140" i="3"/>
  <c r="AE140" i="3"/>
  <c r="AA140" i="3"/>
  <c r="Z140" i="3"/>
  <c r="Y140" i="3"/>
  <c r="X140" i="3"/>
  <c r="W140" i="3"/>
  <c r="U140" i="3"/>
  <c r="S140" i="3"/>
  <c r="O140" i="3"/>
  <c r="AF140" i="3" s="1"/>
  <c r="N140" i="3"/>
  <c r="M140" i="3"/>
  <c r="L140" i="3"/>
  <c r="K140" i="3"/>
  <c r="J140" i="3"/>
  <c r="H140" i="3"/>
  <c r="T140" i="3" s="1"/>
  <c r="AA139" i="3"/>
  <c r="Z139" i="3"/>
  <c r="Y139" i="3"/>
  <c r="X139" i="3"/>
  <c r="W139" i="3"/>
  <c r="U139" i="3"/>
  <c r="R139" i="3"/>
  <c r="N139" i="3"/>
  <c r="M139" i="3"/>
  <c r="L139" i="3"/>
  <c r="K139" i="3"/>
  <c r="J139" i="3"/>
  <c r="H139" i="3"/>
  <c r="AA138" i="3"/>
  <c r="Z138" i="3"/>
  <c r="Y138" i="3"/>
  <c r="X138" i="3"/>
  <c r="W138" i="3"/>
  <c r="O138" i="3"/>
  <c r="N138" i="3"/>
  <c r="M138" i="3"/>
  <c r="AF138" i="3" s="1"/>
  <c r="L138" i="3"/>
  <c r="K138" i="3"/>
  <c r="J138" i="3"/>
  <c r="H138" i="3"/>
  <c r="O139" i="3" s="1"/>
  <c r="AA137" i="3"/>
  <c r="Z137" i="3"/>
  <c r="Y137" i="3"/>
  <c r="X137" i="3"/>
  <c r="W137" i="3"/>
  <c r="R137" i="3"/>
  <c r="Q137" i="3"/>
  <c r="O137" i="3"/>
  <c r="N137" i="3"/>
  <c r="M137" i="3"/>
  <c r="L137" i="3"/>
  <c r="K137" i="3"/>
  <c r="AD137" i="3" s="1"/>
  <c r="J137" i="3"/>
  <c r="H137" i="3"/>
  <c r="T137" i="3" s="1"/>
  <c r="AA136" i="3"/>
  <c r="Z136" i="3"/>
  <c r="Y136" i="3"/>
  <c r="X136" i="3"/>
  <c r="W136" i="3"/>
  <c r="T136" i="3"/>
  <c r="S136" i="3"/>
  <c r="R136" i="3"/>
  <c r="Q136" i="3"/>
  <c r="N136" i="3"/>
  <c r="M136" i="3"/>
  <c r="L136" i="3"/>
  <c r="K136" i="3"/>
  <c r="J136" i="3"/>
  <c r="H136" i="3"/>
  <c r="AF135" i="3"/>
  <c r="AE135" i="3"/>
  <c r="AA135" i="3"/>
  <c r="Z135" i="3"/>
  <c r="Y135" i="3"/>
  <c r="X135" i="3"/>
  <c r="W135" i="3"/>
  <c r="S135" i="3"/>
  <c r="O135" i="3"/>
  <c r="AG135" i="3" s="1"/>
  <c r="N135" i="3"/>
  <c r="M135" i="3"/>
  <c r="L135" i="3"/>
  <c r="K135" i="3"/>
  <c r="J135" i="3"/>
  <c r="H135" i="3"/>
  <c r="U135" i="3" s="1"/>
  <c r="AA134" i="3"/>
  <c r="Z134" i="3"/>
  <c r="Y134" i="3"/>
  <c r="X134" i="3"/>
  <c r="W134" i="3"/>
  <c r="U134" i="3"/>
  <c r="N134" i="3"/>
  <c r="M134" i="3"/>
  <c r="L134" i="3"/>
  <c r="K134" i="3"/>
  <c r="R134" i="3" s="1"/>
  <c r="J134" i="3"/>
  <c r="H134" i="3"/>
  <c r="AA133" i="3"/>
  <c r="Z133" i="3"/>
  <c r="Y133" i="3"/>
  <c r="X133" i="3"/>
  <c r="W133" i="3"/>
  <c r="N133" i="3"/>
  <c r="M133" i="3"/>
  <c r="L133" i="3"/>
  <c r="K133" i="3"/>
  <c r="J133" i="3"/>
  <c r="H133" i="3"/>
  <c r="AA132" i="3"/>
  <c r="Z132" i="3"/>
  <c r="Y132" i="3"/>
  <c r="X132" i="3"/>
  <c r="W132" i="3"/>
  <c r="T132" i="3"/>
  <c r="N132" i="3"/>
  <c r="M132" i="3"/>
  <c r="L132" i="3"/>
  <c r="K132" i="3"/>
  <c r="J132" i="3"/>
  <c r="H132" i="3"/>
  <c r="S132" i="3" s="1"/>
  <c r="AA131" i="3"/>
  <c r="Z131" i="3"/>
  <c r="Y131" i="3"/>
  <c r="X131" i="3"/>
  <c r="W131" i="3"/>
  <c r="N131" i="3"/>
  <c r="M131" i="3"/>
  <c r="L131" i="3"/>
  <c r="K131" i="3"/>
  <c r="J131" i="3"/>
  <c r="H131" i="3"/>
  <c r="AA130" i="3"/>
  <c r="Z130" i="3"/>
  <c r="Y130" i="3"/>
  <c r="X130" i="3"/>
  <c r="W130" i="3"/>
  <c r="U130" i="3"/>
  <c r="T130" i="3"/>
  <c r="O130" i="3"/>
  <c r="N130" i="3"/>
  <c r="M130" i="3"/>
  <c r="L130" i="3"/>
  <c r="K130" i="3"/>
  <c r="J130" i="3"/>
  <c r="H130" i="3"/>
  <c r="S130" i="3" s="1"/>
  <c r="AD129" i="3"/>
  <c r="AA129" i="3"/>
  <c r="Z129" i="3"/>
  <c r="Y129" i="3"/>
  <c r="X129" i="3"/>
  <c r="W129" i="3"/>
  <c r="R129" i="3"/>
  <c r="Q129" i="3"/>
  <c r="O129" i="3"/>
  <c r="AC129" i="3" s="1"/>
  <c r="N129" i="3"/>
  <c r="U129" i="3" s="1"/>
  <c r="M129" i="3"/>
  <c r="L129" i="3"/>
  <c r="K129" i="3"/>
  <c r="J129" i="3"/>
  <c r="H129" i="3"/>
  <c r="AA128" i="3"/>
  <c r="Z128" i="3"/>
  <c r="Y128" i="3"/>
  <c r="X128" i="3"/>
  <c r="W128" i="3"/>
  <c r="S128" i="3"/>
  <c r="R128" i="3"/>
  <c r="Q128" i="3"/>
  <c r="O128" i="3"/>
  <c r="AE128" i="3" s="1"/>
  <c r="N128" i="3"/>
  <c r="M128" i="3"/>
  <c r="L128" i="3"/>
  <c r="K128" i="3"/>
  <c r="J128" i="3"/>
  <c r="H128" i="3"/>
  <c r="AA127" i="3"/>
  <c r="Z127" i="3"/>
  <c r="Y127" i="3"/>
  <c r="X127" i="3"/>
  <c r="W127" i="3"/>
  <c r="S127" i="3"/>
  <c r="R127" i="3"/>
  <c r="Q127" i="3"/>
  <c r="O127" i="3"/>
  <c r="AD127" i="3" s="1"/>
  <c r="N127" i="3"/>
  <c r="M127" i="3"/>
  <c r="L127" i="3"/>
  <c r="K127" i="3"/>
  <c r="J127" i="3"/>
  <c r="H127" i="3"/>
  <c r="U127" i="3" s="1"/>
  <c r="AA126" i="3"/>
  <c r="Z126" i="3"/>
  <c r="Y126" i="3"/>
  <c r="X126" i="3"/>
  <c r="W126" i="3"/>
  <c r="T126" i="3"/>
  <c r="R126" i="3"/>
  <c r="N126" i="3"/>
  <c r="M126" i="3"/>
  <c r="L126" i="3"/>
  <c r="K126" i="3"/>
  <c r="J126" i="3"/>
  <c r="H126" i="3"/>
  <c r="U126" i="3" s="1"/>
  <c r="AE125" i="3"/>
  <c r="AA125" i="3"/>
  <c r="Z125" i="3"/>
  <c r="Y125" i="3"/>
  <c r="X125" i="3"/>
  <c r="W125" i="3"/>
  <c r="T125" i="3"/>
  <c r="S125" i="3"/>
  <c r="O125" i="3"/>
  <c r="AF125" i="3" s="1"/>
  <c r="N125" i="3"/>
  <c r="U125" i="3" s="1"/>
  <c r="M125" i="3"/>
  <c r="L125" i="3"/>
  <c r="K125" i="3"/>
  <c r="J125" i="3"/>
  <c r="H125" i="3"/>
  <c r="AD124" i="3"/>
  <c r="AC124" i="3"/>
  <c r="AA124" i="3"/>
  <c r="Z124" i="3"/>
  <c r="Y124" i="3"/>
  <c r="X124" i="3"/>
  <c r="W124" i="3"/>
  <c r="R124" i="3"/>
  <c r="Q124" i="3"/>
  <c r="O124" i="3"/>
  <c r="N124" i="3"/>
  <c r="M124" i="3"/>
  <c r="L124" i="3"/>
  <c r="K124" i="3"/>
  <c r="J124" i="3"/>
  <c r="H124" i="3"/>
  <c r="AC123" i="3"/>
  <c r="AA123" i="3"/>
  <c r="Z123" i="3"/>
  <c r="Y123" i="3"/>
  <c r="X123" i="3"/>
  <c r="W123" i="3"/>
  <c r="Q123" i="3"/>
  <c r="O123" i="3"/>
  <c r="AD123" i="3" s="1"/>
  <c r="N123" i="3"/>
  <c r="M123" i="3"/>
  <c r="T123" i="3" s="1"/>
  <c r="L123" i="3"/>
  <c r="K123" i="3"/>
  <c r="J123" i="3"/>
  <c r="H123" i="3"/>
  <c r="R123" i="3" s="1"/>
  <c r="AA122" i="3"/>
  <c r="Z122" i="3"/>
  <c r="Y122" i="3"/>
  <c r="X122" i="3"/>
  <c r="W122" i="3"/>
  <c r="S122" i="3"/>
  <c r="R122" i="3"/>
  <c r="Q122" i="3"/>
  <c r="N122" i="3"/>
  <c r="M122" i="3"/>
  <c r="L122" i="3"/>
  <c r="K122" i="3"/>
  <c r="J122" i="3"/>
  <c r="H122" i="3"/>
  <c r="T122" i="3" s="1"/>
  <c r="AA121" i="3"/>
  <c r="Z121" i="3"/>
  <c r="Y121" i="3"/>
  <c r="X121" i="3"/>
  <c r="W121" i="3"/>
  <c r="S121" i="3"/>
  <c r="Q121" i="3"/>
  <c r="N121" i="3"/>
  <c r="M121" i="3"/>
  <c r="L121" i="3"/>
  <c r="K121" i="3"/>
  <c r="J121" i="3"/>
  <c r="H121" i="3"/>
  <c r="T121" i="3" s="1"/>
  <c r="AA120" i="3"/>
  <c r="Z120" i="3"/>
  <c r="Y120" i="3"/>
  <c r="X120" i="3"/>
  <c r="W120" i="3"/>
  <c r="U120" i="3"/>
  <c r="T120" i="3"/>
  <c r="N120" i="3"/>
  <c r="M120" i="3"/>
  <c r="L120" i="3"/>
  <c r="K120" i="3"/>
  <c r="J120" i="3"/>
  <c r="H120" i="3"/>
  <c r="AA119" i="3"/>
  <c r="Z119" i="3"/>
  <c r="Y119" i="3"/>
  <c r="X119" i="3"/>
  <c r="W119" i="3"/>
  <c r="U119" i="3"/>
  <c r="T119" i="3"/>
  <c r="Q119" i="3"/>
  <c r="N119" i="3"/>
  <c r="M119" i="3"/>
  <c r="L119" i="3"/>
  <c r="K119" i="3"/>
  <c r="J119" i="3"/>
  <c r="H119" i="3"/>
  <c r="AA118" i="3"/>
  <c r="Z118" i="3"/>
  <c r="Y118" i="3"/>
  <c r="X118" i="3"/>
  <c r="W118" i="3"/>
  <c r="N118" i="3"/>
  <c r="M118" i="3"/>
  <c r="L118" i="3"/>
  <c r="K118" i="3"/>
  <c r="J118" i="3"/>
  <c r="H118" i="3"/>
  <c r="AA117" i="3"/>
  <c r="Z117" i="3"/>
  <c r="Y117" i="3"/>
  <c r="X117" i="3"/>
  <c r="W117" i="3"/>
  <c r="T117" i="3"/>
  <c r="N117" i="3"/>
  <c r="M117" i="3"/>
  <c r="L117" i="3"/>
  <c r="K117" i="3"/>
  <c r="J117" i="3"/>
  <c r="H117" i="3"/>
  <c r="AA116" i="3"/>
  <c r="Z116" i="3"/>
  <c r="Y116" i="3"/>
  <c r="X116" i="3"/>
  <c r="W116" i="3"/>
  <c r="Q116" i="3"/>
  <c r="O116" i="3"/>
  <c r="AC116" i="3" s="1"/>
  <c r="N116" i="3"/>
  <c r="M116" i="3"/>
  <c r="L116" i="3"/>
  <c r="AE116" i="3" s="1"/>
  <c r="K116" i="3"/>
  <c r="J116" i="3"/>
  <c r="H116" i="3"/>
  <c r="AA115" i="3"/>
  <c r="Z115" i="3"/>
  <c r="Y115" i="3"/>
  <c r="X115" i="3"/>
  <c r="W115" i="3"/>
  <c r="S115" i="3"/>
  <c r="R115" i="3"/>
  <c r="Q115" i="3"/>
  <c r="O115" i="3"/>
  <c r="AC115" i="3" s="1"/>
  <c r="N115" i="3"/>
  <c r="M115" i="3"/>
  <c r="L115" i="3"/>
  <c r="K115" i="3"/>
  <c r="J115" i="3"/>
  <c r="H115" i="3"/>
  <c r="AA114" i="3"/>
  <c r="Z114" i="3"/>
  <c r="Y114" i="3"/>
  <c r="X114" i="3"/>
  <c r="W114" i="3"/>
  <c r="S114" i="3"/>
  <c r="R114" i="3"/>
  <c r="N114" i="3"/>
  <c r="M114" i="3"/>
  <c r="L114" i="3"/>
  <c r="K114" i="3"/>
  <c r="J114" i="3"/>
  <c r="H114" i="3"/>
  <c r="U114" i="3" s="1"/>
  <c r="AA113" i="3"/>
  <c r="Z113" i="3"/>
  <c r="Y113" i="3"/>
  <c r="X113" i="3"/>
  <c r="W113" i="3"/>
  <c r="U113" i="3"/>
  <c r="T113" i="3"/>
  <c r="R113" i="3"/>
  <c r="N113" i="3"/>
  <c r="M113" i="3"/>
  <c r="L113" i="3"/>
  <c r="K113" i="3"/>
  <c r="J113" i="3"/>
  <c r="H113" i="3"/>
  <c r="AA112" i="3"/>
  <c r="Z112" i="3"/>
  <c r="Y112" i="3"/>
  <c r="X112" i="3"/>
  <c r="W112" i="3"/>
  <c r="N112" i="3"/>
  <c r="M112" i="3"/>
  <c r="L112" i="3"/>
  <c r="K112" i="3"/>
  <c r="J112" i="3"/>
  <c r="H112" i="3"/>
  <c r="AA111" i="3"/>
  <c r="Z111" i="3"/>
  <c r="Y111" i="3"/>
  <c r="X111" i="3"/>
  <c r="W111" i="3"/>
  <c r="Q111" i="3"/>
  <c r="O111" i="3"/>
  <c r="AC111" i="3" s="1"/>
  <c r="N111" i="3"/>
  <c r="M111" i="3"/>
  <c r="L111" i="3"/>
  <c r="AE111" i="3" s="1"/>
  <c r="K111" i="3"/>
  <c r="J111" i="3"/>
  <c r="H111" i="3"/>
  <c r="AA110" i="3"/>
  <c r="Z110" i="3"/>
  <c r="Y110" i="3"/>
  <c r="X110" i="3"/>
  <c r="W110" i="3"/>
  <c r="S110" i="3"/>
  <c r="R110" i="3"/>
  <c r="Q110" i="3"/>
  <c r="O110" i="3"/>
  <c r="N110" i="3"/>
  <c r="M110" i="3"/>
  <c r="L110" i="3"/>
  <c r="K110" i="3"/>
  <c r="J110" i="3"/>
  <c r="H110" i="3"/>
  <c r="AA109" i="3"/>
  <c r="Z109" i="3"/>
  <c r="Y109" i="3"/>
  <c r="X109" i="3"/>
  <c r="W109" i="3"/>
  <c r="S109" i="3"/>
  <c r="R109" i="3"/>
  <c r="N109" i="3"/>
  <c r="M109" i="3"/>
  <c r="L109" i="3"/>
  <c r="K109" i="3"/>
  <c r="J109" i="3"/>
  <c r="H109" i="3"/>
  <c r="U109" i="3" s="1"/>
  <c r="AA108" i="3"/>
  <c r="Z108" i="3"/>
  <c r="Y108" i="3"/>
  <c r="X108" i="3"/>
  <c r="W108" i="3"/>
  <c r="N108" i="3"/>
  <c r="M108" i="3"/>
  <c r="L108" i="3"/>
  <c r="K108" i="3"/>
  <c r="J108" i="3"/>
  <c r="H108" i="3"/>
  <c r="AA107" i="3"/>
  <c r="Z107" i="3"/>
  <c r="Y107" i="3"/>
  <c r="X107" i="3"/>
  <c r="W107" i="3"/>
  <c r="T107" i="3"/>
  <c r="N107" i="3"/>
  <c r="M107" i="3"/>
  <c r="L107" i="3"/>
  <c r="K107" i="3"/>
  <c r="J107" i="3"/>
  <c r="H107" i="3"/>
  <c r="AA106" i="3"/>
  <c r="Z106" i="3"/>
  <c r="Y106" i="3"/>
  <c r="X106" i="3"/>
  <c r="W106" i="3"/>
  <c r="Q106" i="3"/>
  <c r="O106" i="3"/>
  <c r="AC106" i="3" s="1"/>
  <c r="N106" i="3"/>
  <c r="M106" i="3"/>
  <c r="L106" i="3"/>
  <c r="AE106" i="3" s="1"/>
  <c r="K106" i="3"/>
  <c r="J106" i="3"/>
  <c r="H106" i="3"/>
  <c r="AA105" i="3"/>
  <c r="Z105" i="3"/>
  <c r="Y105" i="3"/>
  <c r="X105" i="3"/>
  <c r="W105" i="3"/>
  <c r="S105" i="3"/>
  <c r="R105" i="3"/>
  <c r="Q105" i="3"/>
  <c r="O105" i="3"/>
  <c r="AC105" i="3" s="1"/>
  <c r="N105" i="3"/>
  <c r="M105" i="3"/>
  <c r="L105" i="3"/>
  <c r="K105" i="3"/>
  <c r="J105" i="3"/>
  <c r="H105" i="3"/>
  <c r="AA104" i="3"/>
  <c r="Z104" i="3"/>
  <c r="Y104" i="3"/>
  <c r="X104" i="3"/>
  <c r="W104" i="3"/>
  <c r="S104" i="3"/>
  <c r="R104" i="3"/>
  <c r="N104" i="3"/>
  <c r="M104" i="3"/>
  <c r="L104" i="3"/>
  <c r="K104" i="3"/>
  <c r="J104" i="3"/>
  <c r="H104" i="3"/>
  <c r="U104" i="3" s="1"/>
  <c r="AA103" i="3"/>
  <c r="Z103" i="3"/>
  <c r="Y103" i="3"/>
  <c r="X103" i="3"/>
  <c r="W103" i="3"/>
  <c r="U103" i="3"/>
  <c r="T103" i="3"/>
  <c r="R103" i="3"/>
  <c r="N103" i="3"/>
  <c r="M103" i="3"/>
  <c r="L103" i="3"/>
  <c r="K103" i="3"/>
  <c r="J103" i="3"/>
  <c r="H103" i="3"/>
  <c r="AA102" i="3"/>
  <c r="Z102" i="3"/>
  <c r="Y102" i="3"/>
  <c r="X102" i="3"/>
  <c r="W102" i="3"/>
  <c r="N102" i="3"/>
  <c r="M102" i="3"/>
  <c r="L102" i="3"/>
  <c r="K102" i="3"/>
  <c r="J102" i="3"/>
  <c r="H102" i="3"/>
  <c r="AA101" i="3"/>
  <c r="Z101" i="3"/>
  <c r="Y101" i="3"/>
  <c r="X101" i="3"/>
  <c r="W101" i="3"/>
  <c r="Q101" i="3"/>
  <c r="O101" i="3"/>
  <c r="AC101" i="3" s="1"/>
  <c r="N101" i="3"/>
  <c r="M101" i="3"/>
  <c r="L101" i="3"/>
  <c r="AE101" i="3" s="1"/>
  <c r="K101" i="3"/>
  <c r="J101" i="3"/>
  <c r="H101" i="3"/>
  <c r="AA100" i="3"/>
  <c r="Z100" i="3"/>
  <c r="Y100" i="3"/>
  <c r="X100" i="3"/>
  <c r="W100" i="3"/>
  <c r="R100" i="3"/>
  <c r="Q100" i="3"/>
  <c r="O100" i="3"/>
  <c r="N100" i="3"/>
  <c r="AG100" i="3" s="1"/>
  <c r="M100" i="3"/>
  <c r="L100" i="3"/>
  <c r="K100" i="3"/>
  <c r="J100" i="3"/>
  <c r="H100" i="3"/>
  <c r="S100" i="3" s="1"/>
  <c r="AA99" i="3"/>
  <c r="Z99" i="3"/>
  <c r="Y99" i="3"/>
  <c r="X99" i="3"/>
  <c r="W99" i="3"/>
  <c r="S99" i="3"/>
  <c r="R99" i="3"/>
  <c r="N99" i="3"/>
  <c r="M99" i="3"/>
  <c r="L99" i="3"/>
  <c r="K99" i="3"/>
  <c r="J99" i="3"/>
  <c r="H99" i="3"/>
  <c r="U99" i="3" s="1"/>
  <c r="AA98" i="3"/>
  <c r="Z98" i="3"/>
  <c r="Y98" i="3"/>
  <c r="X98" i="3"/>
  <c r="W98" i="3"/>
  <c r="U98" i="3"/>
  <c r="N98" i="3"/>
  <c r="M98" i="3"/>
  <c r="L98" i="3"/>
  <c r="K98" i="3"/>
  <c r="J98" i="3"/>
  <c r="H98" i="3"/>
  <c r="AA97" i="3"/>
  <c r="Z97" i="3"/>
  <c r="Y97" i="3"/>
  <c r="X97" i="3"/>
  <c r="W97" i="3"/>
  <c r="T97" i="3"/>
  <c r="N97" i="3"/>
  <c r="M97" i="3"/>
  <c r="L97" i="3"/>
  <c r="K97" i="3"/>
  <c r="J97" i="3"/>
  <c r="H97" i="3"/>
  <c r="AA96" i="3"/>
  <c r="Z96" i="3"/>
  <c r="Y96" i="3"/>
  <c r="X96" i="3"/>
  <c r="W96" i="3"/>
  <c r="Q96" i="3"/>
  <c r="O96" i="3"/>
  <c r="AC96" i="3" s="1"/>
  <c r="N96" i="3"/>
  <c r="M96" i="3"/>
  <c r="L96" i="3"/>
  <c r="AE96" i="3" s="1"/>
  <c r="K96" i="3"/>
  <c r="J96" i="3"/>
  <c r="H96" i="3"/>
  <c r="AC95" i="3"/>
  <c r="AA95" i="3"/>
  <c r="Z95" i="3"/>
  <c r="Y95" i="3"/>
  <c r="X95" i="3"/>
  <c r="W95" i="3"/>
  <c r="R95" i="3"/>
  <c r="Q95" i="3"/>
  <c r="O95" i="3"/>
  <c r="N95" i="3"/>
  <c r="AG95" i="3" s="1"/>
  <c r="M95" i="3"/>
  <c r="L95" i="3"/>
  <c r="K95" i="3"/>
  <c r="J95" i="3"/>
  <c r="H95" i="3"/>
  <c r="S95" i="3" s="1"/>
  <c r="AE94" i="3"/>
  <c r="AA94" i="3"/>
  <c r="Z94" i="3"/>
  <c r="Y94" i="3"/>
  <c r="X94" i="3"/>
  <c r="W94" i="3"/>
  <c r="S94" i="3"/>
  <c r="R94" i="3"/>
  <c r="O94" i="3"/>
  <c r="N94" i="3"/>
  <c r="M94" i="3"/>
  <c r="L94" i="3"/>
  <c r="K94" i="3"/>
  <c r="J94" i="3"/>
  <c r="H94" i="3"/>
  <c r="U94" i="3" s="1"/>
  <c r="AA93" i="3"/>
  <c r="Z93" i="3"/>
  <c r="Y93" i="3"/>
  <c r="X93" i="3"/>
  <c r="W93" i="3"/>
  <c r="N93" i="3"/>
  <c r="M93" i="3"/>
  <c r="L93" i="3"/>
  <c r="K93" i="3"/>
  <c r="J93" i="3"/>
  <c r="H93" i="3"/>
  <c r="U93" i="3" s="1"/>
  <c r="AA92" i="3"/>
  <c r="Z92" i="3"/>
  <c r="Y92" i="3"/>
  <c r="X92" i="3"/>
  <c r="W92" i="3"/>
  <c r="T92" i="3"/>
  <c r="N92" i="3"/>
  <c r="M92" i="3"/>
  <c r="L92" i="3"/>
  <c r="K92" i="3"/>
  <c r="J92" i="3"/>
  <c r="H92" i="3"/>
  <c r="AA91" i="3"/>
  <c r="Z91" i="3"/>
  <c r="Y91" i="3"/>
  <c r="X91" i="3"/>
  <c r="W91" i="3"/>
  <c r="Q91" i="3"/>
  <c r="O91" i="3"/>
  <c r="AC91" i="3" s="1"/>
  <c r="N91" i="3"/>
  <c r="M91" i="3"/>
  <c r="L91" i="3"/>
  <c r="AE91" i="3" s="1"/>
  <c r="K91" i="3"/>
  <c r="J91" i="3"/>
  <c r="H91" i="3"/>
  <c r="AC90" i="3"/>
  <c r="AA90" i="3"/>
  <c r="Z90" i="3"/>
  <c r="Y90" i="3"/>
  <c r="X90" i="3"/>
  <c r="W90" i="3"/>
  <c r="R90" i="3"/>
  <c r="Q90" i="3"/>
  <c r="O90" i="3"/>
  <c r="N90" i="3"/>
  <c r="AG90" i="3" s="1"/>
  <c r="M90" i="3"/>
  <c r="L90" i="3"/>
  <c r="K90" i="3"/>
  <c r="J90" i="3"/>
  <c r="H90" i="3"/>
  <c r="S90" i="3" s="1"/>
  <c r="AA89" i="3"/>
  <c r="Z89" i="3"/>
  <c r="Y89" i="3"/>
  <c r="X89" i="3"/>
  <c r="W89" i="3"/>
  <c r="S89" i="3"/>
  <c r="R89" i="3"/>
  <c r="N89" i="3"/>
  <c r="M89" i="3"/>
  <c r="L89" i="3"/>
  <c r="K89" i="3"/>
  <c r="J89" i="3"/>
  <c r="H89" i="3"/>
  <c r="U89" i="3" s="1"/>
  <c r="AA88" i="3"/>
  <c r="Z88" i="3"/>
  <c r="Y88" i="3"/>
  <c r="X88" i="3"/>
  <c r="W88" i="3"/>
  <c r="U88" i="3"/>
  <c r="T88" i="3"/>
  <c r="R88" i="3"/>
  <c r="N88" i="3"/>
  <c r="M88" i="3"/>
  <c r="L88" i="3"/>
  <c r="K88" i="3"/>
  <c r="J88" i="3"/>
  <c r="H88" i="3"/>
  <c r="AA87" i="3"/>
  <c r="Z87" i="3"/>
  <c r="Y87" i="3"/>
  <c r="X87" i="3"/>
  <c r="W87" i="3"/>
  <c r="N87" i="3"/>
  <c r="M87" i="3"/>
  <c r="L87" i="3"/>
  <c r="K87" i="3"/>
  <c r="J87" i="3"/>
  <c r="H87" i="3"/>
  <c r="AA86" i="3"/>
  <c r="Z86" i="3"/>
  <c r="Y86" i="3"/>
  <c r="X86" i="3"/>
  <c r="W86" i="3"/>
  <c r="Q86" i="3"/>
  <c r="O86" i="3"/>
  <c r="AC86" i="3" s="1"/>
  <c r="N86" i="3"/>
  <c r="M86" i="3"/>
  <c r="L86" i="3"/>
  <c r="AE86" i="3" s="1"/>
  <c r="K86" i="3"/>
  <c r="J86" i="3"/>
  <c r="H86" i="3"/>
  <c r="AC85" i="3"/>
  <c r="AA85" i="3"/>
  <c r="Z85" i="3"/>
  <c r="Y85" i="3"/>
  <c r="X85" i="3"/>
  <c r="W85" i="3"/>
  <c r="R85" i="3"/>
  <c r="Q85" i="3"/>
  <c r="O85" i="3"/>
  <c r="N85" i="3"/>
  <c r="AG85" i="3" s="1"/>
  <c r="M85" i="3"/>
  <c r="L85" i="3"/>
  <c r="K85" i="3"/>
  <c r="J85" i="3"/>
  <c r="H85" i="3"/>
  <c r="S85" i="3" s="1"/>
  <c r="AA84" i="3"/>
  <c r="Z84" i="3"/>
  <c r="Y84" i="3"/>
  <c r="X84" i="3"/>
  <c r="W84" i="3"/>
  <c r="S84" i="3"/>
  <c r="R84" i="3"/>
  <c r="N84" i="3"/>
  <c r="M84" i="3"/>
  <c r="L84" i="3"/>
  <c r="K84" i="3"/>
  <c r="J84" i="3"/>
  <c r="H84" i="3"/>
  <c r="U84" i="3" s="1"/>
  <c r="AA83" i="3"/>
  <c r="Z83" i="3"/>
  <c r="Y83" i="3"/>
  <c r="X83" i="3"/>
  <c r="W83" i="3"/>
  <c r="N83" i="3"/>
  <c r="M83" i="3"/>
  <c r="L83" i="3"/>
  <c r="K83" i="3"/>
  <c r="J83" i="3"/>
  <c r="H83" i="3"/>
  <c r="AA82" i="3"/>
  <c r="Z82" i="3"/>
  <c r="Y82" i="3"/>
  <c r="X82" i="3"/>
  <c r="W82" i="3"/>
  <c r="T82" i="3"/>
  <c r="N82" i="3"/>
  <c r="M82" i="3"/>
  <c r="L82" i="3"/>
  <c r="K82" i="3"/>
  <c r="J82" i="3"/>
  <c r="H82" i="3"/>
  <c r="AA81" i="3"/>
  <c r="Z81" i="3"/>
  <c r="Y81" i="3"/>
  <c r="X81" i="3"/>
  <c r="W81" i="3"/>
  <c r="Q81" i="3"/>
  <c r="O81" i="3"/>
  <c r="AC81" i="3" s="1"/>
  <c r="N81" i="3"/>
  <c r="M81" i="3"/>
  <c r="L81" i="3"/>
  <c r="AE81" i="3" s="1"/>
  <c r="K81" i="3"/>
  <c r="J81" i="3"/>
  <c r="H81" i="3"/>
  <c r="AC80" i="3"/>
  <c r="AA80" i="3"/>
  <c r="Z80" i="3"/>
  <c r="Y80" i="3"/>
  <c r="X80" i="3"/>
  <c r="W80" i="3"/>
  <c r="R80" i="3"/>
  <c r="Q80" i="3"/>
  <c r="O80" i="3"/>
  <c r="N80" i="3"/>
  <c r="AG80" i="3" s="1"/>
  <c r="M80" i="3"/>
  <c r="L80" i="3"/>
  <c r="K80" i="3"/>
  <c r="J80" i="3"/>
  <c r="H80" i="3"/>
  <c r="S80" i="3" s="1"/>
  <c r="AA79" i="3"/>
  <c r="Z79" i="3"/>
  <c r="Y79" i="3"/>
  <c r="X79" i="3"/>
  <c r="W79" i="3"/>
  <c r="S79" i="3"/>
  <c r="R79" i="3"/>
  <c r="N79" i="3"/>
  <c r="M79" i="3"/>
  <c r="L79" i="3"/>
  <c r="K79" i="3"/>
  <c r="J79" i="3"/>
  <c r="H79" i="3"/>
  <c r="U79" i="3" s="1"/>
  <c r="AA78" i="3"/>
  <c r="Z78" i="3"/>
  <c r="Y78" i="3"/>
  <c r="X78" i="3"/>
  <c r="W78" i="3"/>
  <c r="T78" i="3"/>
  <c r="R78" i="3"/>
  <c r="N78" i="3"/>
  <c r="M78" i="3"/>
  <c r="L78" i="3"/>
  <c r="K78" i="3"/>
  <c r="J78" i="3"/>
  <c r="H78" i="3"/>
  <c r="U78" i="3" s="1"/>
  <c r="AA77" i="3"/>
  <c r="Z77" i="3"/>
  <c r="Y77" i="3"/>
  <c r="X77" i="3"/>
  <c r="W77" i="3"/>
  <c r="N77" i="3"/>
  <c r="M77" i="3"/>
  <c r="L77" i="3"/>
  <c r="K77" i="3"/>
  <c r="J77" i="3"/>
  <c r="H77" i="3"/>
  <c r="AA76" i="3"/>
  <c r="Z76" i="3"/>
  <c r="Y76" i="3"/>
  <c r="X76" i="3"/>
  <c r="W76" i="3"/>
  <c r="Q76" i="3"/>
  <c r="O76" i="3"/>
  <c r="AC76" i="3" s="1"/>
  <c r="N76" i="3"/>
  <c r="M76" i="3"/>
  <c r="L76" i="3"/>
  <c r="AE76" i="3" s="1"/>
  <c r="K76" i="3"/>
  <c r="J76" i="3"/>
  <c r="H76" i="3"/>
  <c r="AA75" i="3"/>
  <c r="Z75" i="3"/>
  <c r="Y75" i="3"/>
  <c r="X75" i="3"/>
  <c r="W75" i="3"/>
  <c r="R75" i="3"/>
  <c r="Q75" i="3"/>
  <c r="O75" i="3"/>
  <c r="N75" i="3"/>
  <c r="AG75" i="3" s="1"/>
  <c r="M75" i="3"/>
  <c r="L75" i="3"/>
  <c r="K75" i="3"/>
  <c r="J75" i="3"/>
  <c r="H75" i="3"/>
  <c r="S75" i="3" s="1"/>
  <c r="AA74" i="3"/>
  <c r="Z74" i="3"/>
  <c r="Y74" i="3"/>
  <c r="X74" i="3"/>
  <c r="W74" i="3"/>
  <c r="S74" i="3"/>
  <c r="R74" i="3"/>
  <c r="N74" i="3"/>
  <c r="M74" i="3"/>
  <c r="L74" i="3"/>
  <c r="K74" i="3"/>
  <c r="J74" i="3"/>
  <c r="H74" i="3"/>
  <c r="U74" i="3" s="1"/>
  <c r="AA73" i="3"/>
  <c r="Z73" i="3"/>
  <c r="Y73" i="3"/>
  <c r="X73" i="3"/>
  <c r="W73" i="3"/>
  <c r="N73" i="3"/>
  <c r="M73" i="3"/>
  <c r="L73" i="3"/>
  <c r="K73" i="3"/>
  <c r="J73" i="3"/>
  <c r="H73" i="3"/>
  <c r="AA72" i="3"/>
  <c r="Z72" i="3"/>
  <c r="Y72" i="3"/>
  <c r="X72" i="3"/>
  <c r="W72" i="3"/>
  <c r="T72" i="3"/>
  <c r="N72" i="3"/>
  <c r="M72" i="3"/>
  <c r="L72" i="3"/>
  <c r="K72" i="3"/>
  <c r="J72" i="3"/>
  <c r="H72" i="3"/>
  <c r="AA71" i="3"/>
  <c r="Z71" i="3"/>
  <c r="Y71" i="3"/>
  <c r="X71" i="3"/>
  <c r="W71" i="3"/>
  <c r="Q71" i="3"/>
  <c r="O71" i="3"/>
  <c r="AC71" i="3" s="1"/>
  <c r="N71" i="3"/>
  <c r="M71" i="3"/>
  <c r="L71" i="3"/>
  <c r="AE71" i="3" s="1"/>
  <c r="K71" i="3"/>
  <c r="J71" i="3"/>
  <c r="H71" i="3"/>
  <c r="AC70" i="3"/>
  <c r="AA70" i="3"/>
  <c r="Z70" i="3"/>
  <c r="Y70" i="3"/>
  <c r="X70" i="3"/>
  <c r="W70" i="3"/>
  <c r="R70" i="3"/>
  <c r="Q70" i="3"/>
  <c r="O70" i="3"/>
  <c r="N70" i="3"/>
  <c r="AG70" i="3" s="1"/>
  <c r="M70" i="3"/>
  <c r="L70" i="3"/>
  <c r="K70" i="3"/>
  <c r="J70" i="3"/>
  <c r="H70" i="3"/>
  <c r="S70" i="3" s="1"/>
  <c r="AA69" i="3"/>
  <c r="Z69" i="3"/>
  <c r="Y69" i="3"/>
  <c r="X69" i="3"/>
  <c r="W69" i="3"/>
  <c r="S69" i="3"/>
  <c r="R69" i="3"/>
  <c r="O69" i="3"/>
  <c r="N69" i="3"/>
  <c r="M69" i="3"/>
  <c r="L69" i="3"/>
  <c r="K69" i="3"/>
  <c r="J69" i="3"/>
  <c r="H69" i="3"/>
  <c r="U69" i="3" s="1"/>
  <c r="AA68" i="3"/>
  <c r="Z68" i="3"/>
  <c r="Y68" i="3"/>
  <c r="X68" i="3"/>
  <c r="W68" i="3"/>
  <c r="N68" i="3"/>
  <c r="M68" i="3"/>
  <c r="L68" i="3"/>
  <c r="K68" i="3"/>
  <c r="R68" i="3" s="1"/>
  <c r="J68" i="3"/>
  <c r="H68" i="3"/>
  <c r="U68" i="3" s="1"/>
  <c r="AA67" i="3"/>
  <c r="Z67" i="3"/>
  <c r="Y67" i="3"/>
  <c r="X67" i="3"/>
  <c r="W67" i="3"/>
  <c r="T67" i="3"/>
  <c r="N67" i="3"/>
  <c r="M67" i="3"/>
  <c r="L67" i="3"/>
  <c r="K67" i="3"/>
  <c r="J67" i="3"/>
  <c r="H67" i="3"/>
  <c r="AA66" i="3"/>
  <c r="Z66" i="3"/>
  <c r="Y66" i="3"/>
  <c r="X66" i="3"/>
  <c r="W66" i="3"/>
  <c r="S66" i="3"/>
  <c r="Q66" i="3"/>
  <c r="O66" i="3"/>
  <c r="N66" i="3"/>
  <c r="M66" i="3"/>
  <c r="L66" i="3"/>
  <c r="K66" i="3"/>
  <c r="J66" i="3"/>
  <c r="H66" i="3"/>
  <c r="AA65" i="3"/>
  <c r="Z65" i="3"/>
  <c r="Y65" i="3"/>
  <c r="X65" i="3"/>
  <c r="W65" i="3"/>
  <c r="U65" i="3"/>
  <c r="R65" i="3"/>
  <c r="Q65" i="3"/>
  <c r="O65" i="3"/>
  <c r="AD65" i="3" s="1"/>
  <c r="N65" i="3"/>
  <c r="M65" i="3"/>
  <c r="L65" i="3"/>
  <c r="K65" i="3"/>
  <c r="J65" i="3"/>
  <c r="H65" i="3"/>
  <c r="S65" i="3" s="1"/>
  <c r="AE64" i="3"/>
  <c r="AA64" i="3"/>
  <c r="Z64" i="3"/>
  <c r="Y64" i="3"/>
  <c r="X64" i="3"/>
  <c r="W64" i="3"/>
  <c r="S64" i="3"/>
  <c r="R64" i="3"/>
  <c r="O64" i="3"/>
  <c r="N64" i="3"/>
  <c r="M64" i="3"/>
  <c r="L64" i="3"/>
  <c r="K64" i="3"/>
  <c r="J64" i="3"/>
  <c r="H64" i="3"/>
  <c r="T64" i="3" s="1"/>
  <c r="AA63" i="3"/>
  <c r="Z63" i="3"/>
  <c r="Y63" i="3"/>
  <c r="X63" i="3"/>
  <c r="W63" i="3"/>
  <c r="N63" i="3"/>
  <c r="U63" i="3" s="1"/>
  <c r="M63" i="3"/>
  <c r="T63" i="3" s="1"/>
  <c r="L63" i="3"/>
  <c r="K63" i="3"/>
  <c r="J63" i="3"/>
  <c r="H63" i="3"/>
  <c r="AA62" i="3"/>
  <c r="Z62" i="3"/>
  <c r="Y62" i="3"/>
  <c r="X62" i="3"/>
  <c r="W62" i="3"/>
  <c r="T62" i="3"/>
  <c r="Q62" i="3"/>
  <c r="N62" i="3"/>
  <c r="M62" i="3"/>
  <c r="L62" i="3"/>
  <c r="K62" i="3"/>
  <c r="J62" i="3"/>
  <c r="H62" i="3"/>
  <c r="U62" i="3" s="1"/>
  <c r="AE61" i="3"/>
  <c r="AA61" i="3"/>
  <c r="Z61" i="3"/>
  <c r="Y61" i="3"/>
  <c r="X61" i="3"/>
  <c r="W61" i="3"/>
  <c r="S61" i="3"/>
  <c r="Q61" i="3"/>
  <c r="O61" i="3"/>
  <c r="AC61" i="3" s="1"/>
  <c r="N61" i="3"/>
  <c r="M61" i="3"/>
  <c r="L61" i="3"/>
  <c r="K61" i="3"/>
  <c r="R61" i="3" s="1"/>
  <c r="J61" i="3"/>
  <c r="H61" i="3"/>
  <c r="AC60" i="3"/>
  <c r="AA60" i="3"/>
  <c r="Z60" i="3"/>
  <c r="Y60" i="3"/>
  <c r="X60" i="3"/>
  <c r="W60" i="3"/>
  <c r="R60" i="3"/>
  <c r="Q60" i="3"/>
  <c r="O60" i="3"/>
  <c r="N60" i="3"/>
  <c r="M60" i="3"/>
  <c r="L60" i="3"/>
  <c r="K60" i="3"/>
  <c r="J60" i="3"/>
  <c r="H60" i="3"/>
  <c r="S60" i="3" s="1"/>
  <c r="AA59" i="3"/>
  <c r="Z59" i="3"/>
  <c r="Y59" i="3"/>
  <c r="X59" i="3"/>
  <c r="W59" i="3"/>
  <c r="Q59" i="3"/>
  <c r="O59" i="3"/>
  <c r="N59" i="3"/>
  <c r="M59" i="3"/>
  <c r="L59" i="3"/>
  <c r="K59" i="3"/>
  <c r="R59" i="3" s="1"/>
  <c r="J59" i="3"/>
  <c r="H59" i="3"/>
  <c r="U59" i="3" s="1"/>
  <c r="AA58" i="3"/>
  <c r="Z58" i="3"/>
  <c r="Y58" i="3"/>
  <c r="X58" i="3"/>
  <c r="W58" i="3"/>
  <c r="S58" i="3"/>
  <c r="R58" i="3"/>
  <c r="N58" i="3"/>
  <c r="M58" i="3"/>
  <c r="L58" i="3"/>
  <c r="K58" i="3"/>
  <c r="J58" i="3"/>
  <c r="H58" i="3"/>
  <c r="AG57" i="3"/>
  <c r="AA57" i="3"/>
  <c r="Z57" i="3"/>
  <c r="Y57" i="3"/>
  <c r="X57" i="3"/>
  <c r="W57" i="3"/>
  <c r="U57" i="3"/>
  <c r="O57" i="3"/>
  <c r="N57" i="3"/>
  <c r="M57" i="3"/>
  <c r="T57" i="3" s="1"/>
  <c r="L57" i="3"/>
  <c r="K57" i="3"/>
  <c r="J57" i="3"/>
  <c r="H57" i="3"/>
  <c r="AA56" i="3"/>
  <c r="Z56" i="3"/>
  <c r="Y56" i="3"/>
  <c r="X56" i="3"/>
  <c r="W56" i="3"/>
  <c r="S56" i="3"/>
  <c r="R56" i="3"/>
  <c r="Q56" i="3"/>
  <c r="N56" i="3"/>
  <c r="M56" i="3"/>
  <c r="L56" i="3"/>
  <c r="K56" i="3"/>
  <c r="J56" i="3"/>
  <c r="H56" i="3"/>
  <c r="AA55" i="3"/>
  <c r="Z55" i="3"/>
  <c r="Y55" i="3"/>
  <c r="X55" i="3"/>
  <c r="W55" i="3"/>
  <c r="N55" i="3"/>
  <c r="M55" i="3"/>
  <c r="L55" i="3"/>
  <c r="K55" i="3"/>
  <c r="J55" i="3"/>
  <c r="H55" i="3"/>
  <c r="U55" i="3" s="1"/>
  <c r="AA54" i="3"/>
  <c r="Z54" i="3"/>
  <c r="Y54" i="3"/>
  <c r="X54" i="3"/>
  <c r="W54" i="3"/>
  <c r="T54" i="3"/>
  <c r="N54" i="3"/>
  <c r="M54" i="3"/>
  <c r="L54" i="3"/>
  <c r="K54" i="3"/>
  <c r="J54" i="3"/>
  <c r="H54" i="3"/>
  <c r="AG53" i="3"/>
  <c r="AF53" i="3"/>
  <c r="AA53" i="3"/>
  <c r="Z53" i="3"/>
  <c r="Y53" i="3"/>
  <c r="X53" i="3"/>
  <c r="W53" i="3"/>
  <c r="U53" i="3"/>
  <c r="T53" i="3"/>
  <c r="S53" i="3"/>
  <c r="N53" i="3"/>
  <c r="M53" i="3"/>
  <c r="L53" i="3"/>
  <c r="K53" i="3"/>
  <c r="R53" i="3" s="1"/>
  <c r="J53" i="3"/>
  <c r="H53" i="3"/>
  <c r="O53" i="3" s="1"/>
  <c r="AE53" i="3" s="1"/>
  <c r="AC52" i="3"/>
  <c r="AA52" i="3"/>
  <c r="Z52" i="3"/>
  <c r="Y52" i="3"/>
  <c r="X52" i="3"/>
  <c r="W52" i="3"/>
  <c r="U52" i="3"/>
  <c r="T52" i="3"/>
  <c r="Q52" i="3"/>
  <c r="O52" i="3"/>
  <c r="AG52" i="3" s="1"/>
  <c r="N52" i="3"/>
  <c r="M52" i="3"/>
  <c r="L52" i="3"/>
  <c r="K52" i="3"/>
  <c r="J52" i="3"/>
  <c r="H52" i="3"/>
  <c r="AA51" i="3"/>
  <c r="Z51" i="3"/>
  <c r="Y51" i="3"/>
  <c r="X51" i="3"/>
  <c r="W51" i="3"/>
  <c r="Q51" i="3"/>
  <c r="O51" i="3"/>
  <c r="AC51" i="3" s="1"/>
  <c r="N51" i="3"/>
  <c r="M51" i="3"/>
  <c r="L51" i="3"/>
  <c r="K51" i="3"/>
  <c r="J51" i="3"/>
  <c r="H51" i="3"/>
  <c r="AA50" i="3"/>
  <c r="Z50" i="3"/>
  <c r="Y50" i="3"/>
  <c r="X50" i="3"/>
  <c r="W50" i="3"/>
  <c r="O50" i="3"/>
  <c r="AE50" i="3" s="1"/>
  <c r="N50" i="3"/>
  <c r="U50" i="3" s="1"/>
  <c r="M50" i="3"/>
  <c r="L50" i="3"/>
  <c r="K50" i="3"/>
  <c r="J50" i="3"/>
  <c r="H50" i="3"/>
  <c r="S50" i="3" s="1"/>
  <c r="AA49" i="3"/>
  <c r="Z49" i="3"/>
  <c r="Y49" i="3"/>
  <c r="X49" i="3"/>
  <c r="W49" i="3"/>
  <c r="R49" i="3"/>
  <c r="Q49" i="3"/>
  <c r="O49" i="3"/>
  <c r="N49" i="3"/>
  <c r="M49" i="3"/>
  <c r="L49" i="3"/>
  <c r="K49" i="3"/>
  <c r="J49" i="3"/>
  <c r="H49" i="3"/>
  <c r="U49" i="3" s="1"/>
  <c r="AD48" i="3"/>
  <c r="AA48" i="3"/>
  <c r="Z48" i="3"/>
  <c r="Y48" i="3"/>
  <c r="X48" i="3"/>
  <c r="W48" i="3"/>
  <c r="R48" i="3"/>
  <c r="N48" i="3"/>
  <c r="M48" i="3"/>
  <c r="L48" i="3"/>
  <c r="K48" i="3"/>
  <c r="J48" i="3"/>
  <c r="H48" i="3"/>
  <c r="O48" i="3" s="1"/>
  <c r="AA47" i="3"/>
  <c r="Z47" i="3"/>
  <c r="Y47" i="3"/>
  <c r="X47" i="3"/>
  <c r="W47" i="3"/>
  <c r="O47" i="3"/>
  <c r="N47" i="3"/>
  <c r="M47" i="3"/>
  <c r="L47" i="3"/>
  <c r="K47" i="3"/>
  <c r="J47" i="3"/>
  <c r="Q47" i="3" s="1"/>
  <c r="H47" i="3"/>
  <c r="AA46" i="3"/>
  <c r="Z46" i="3"/>
  <c r="Y46" i="3"/>
  <c r="X46" i="3"/>
  <c r="W46" i="3"/>
  <c r="Q46" i="3"/>
  <c r="N46" i="3"/>
  <c r="M46" i="3"/>
  <c r="L46" i="3"/>
  <c r="K46" i="3"/>
  <c r="J46" i="3"/>
  <c r="H46" i="3"/>
  <c r="AE45" i="3"/>
  <c r="AA45" i="3"/>
  <c r="Z45" i="3"/>
  <c r="Y45" i="3"/>
  <c r="X45" i="3"/>
  <c r="W45" i="3"/>
  <c r="U45" i="3"/>
  <c r="S45" i="3"/>
  <c r="R45" i="3"/>
  <c r="O45" i="3"/>
  <c r="AD45" i="3" s="1"/>
  <c r="N45" i="3"/>
  <c r="AG45" i="3" s="1"/>
  <c r="M45" i="3"/>
  <c r="L45" i="3"/>
  <c r="K45" i="3"/>
  <c r="J45" i="3"/>
  <c r="H45" i="3"/>
  <c r="O46" i="3" s="1"/>
  <c r="AC46" i="3" s="1"/>
  <c r="AA44" i="3"/>
  <c r="Z44" i="3"/>
  <c r="Y44" i="3"/>
  <c r="X44" i="3"/>
  <c r="W44" i="3"/>
  <c r="U44" i="3"/>
  <c r="R44" i="3"/>
  <c r="Q44" i="3"/>
  <c r="O44" i="3"/>
  <c r="AC44" i="3" s="1"/>
  <c r="N44" i="3"/>
  <c r="M44" i="3"/>
  <c r="L44" i="3"/>
  <c r="K44" i="3"/>
  <c r="J44" i="3"/>
  <c r="H44" i="3"/>
  <c r="T44" i="3" s="1"/>
  <c r="AA43" i="3"/>
  <c r="Z43" i="3"/>
  <c r="Y43" i="3"/>
  <c r="X43" i="3"/>
  <c r="W43" i="3"/>
  <c r="N43" i="3"/>
  <c r="M43" i="3"/>
  <c r="L43" i="3"/>
  <c r="S43" i="3" s="1"/>
  <c r="K43" i="3"/>
  <c r="R43" i="3" s="1"/>
  <c r="J43" i="3"/>
  <c r="H43" i="3"/>
  <c r="AA42" i="3"/>
  <c r="Z42" i="3"/>
  <c r="Y42" i="3"/>
  <c r="X42" i="3"/>
  <c r="W42" i="3"/>
  <c r="N42" i="3"/>
  <c r="M42" i="3"/>
  <c r="L42" i="3"/>
  <c r="K42" i="3"/>
  <c r="J42" i="3"/>
  <c r="H42" i="3"/>
  <c r="O42" i="3" s="1"/>
  <c r="AA41" i="3"/>
  <c r="Z41" i="3"/>
  <c r="Y41" i="3"/>
  <c r="X41" i="3"/>
  <c r="W41" i="3"/>
  <c r="S41" i="3"/>
  <c r="Q41" i="3"/>
  <c r="N41" i="3"/>
  <c r="M41" i="3"/>
  <c r="L41" i="3"/>
  <c r="K41" i="3"/>
  <c r="R41" i="3" s="1"/>
  <c r="J41" i="3"/>
  <c r="H41" i="3"/>
  <c r="AA40" i="3"/>
  <c r="Z40" i="3"/>
  <c r="Y40" i="3"/>
  <c r="X40" i="3"/>
  <c r="W40" i="3"/>
  <c r="U40" i="3"/>
  <c r="N40" i="3"/>
  <c r="M40" i="3"/>
  <c r="T40" i="3" s="1"/>
  <c r="L40" i="3"/>
  <c r="K40" i="3"/>
  <c r="J40" i="3"/>
  <c r="H40" i="3"/>
  <c r="AM39" i="3"/>
  <c r="AA39" i="3"/>
  <c r="Z39" i="3"/>
  <c r="Y39" i="3"/>
  <c r="X39" i="3"/>
  <c r="W39" i="3"/>
  <c r="U39" i="3"/>
  <c r="R39" i="3"/>
  <c r="Q39" i="3"/>
  <c r="O39" i="3"/>
  <c r="AD39" i="3" s="1"/>
  <c r="N39" i="3"/>
  <c r="M39" i="3"/>
  <c r="L39" i="3"/>
  <c r="K39" i="3"/>
  <c r="J39" i="3"/>
  <c r="AC39" i="3" s="1"/>
  <c r="H39" i="3"/>
  <c r="AL38" i="3"/>
  <c r="AI38" i="3"/>
  <c r="AA38" i="3"/>
  <c r="Z38" i="3"/>
  <c r="Y38" i="3"/>
  <c r="X38" i="3"/>
  <c r="W38" i="3"/>
  <c r="T38" i="3"/>
  <c r="S38" i="3"/>
  <c r="N38" i="3"/>
  <c r="M38" i="3"/>
  <c r="L38" i="3"/>
  <c r="K38" i="3"/>
  <c r="J38" i="3"/>
  <c r="H38" i="3"/>
  <c r="U38" i="3" s="1"/>
  <c r="AK37" i="3"/>
  <c r="AA37" i="3"/>
  <c r="Z37" i="3"/>
  <c r="Y37" i="3"/>
  <c r="X37" i="3"/>
  <c r="W37" i="3"/>
  <c r="T37" i="3"/>
  <c r="N37" i="3"/>
  <c r="M37" i="3"/>
  <c r="L37" i="3"/>
  <c r="K37" i="3"/>
  <c r="R37" i="3" s="1"/>
  <c r="J37" i="3"/>
  <c r="H37" i="3"/>
  <c r="Q37" i="3" s="1"/>
  <c r="AJ36" i="3"/>
  <c r="AI36" i="3"/>
  <c r="AF36" i="3"/>
  <c r="AA36" i="3"/>
  <c r="Z36" i="3"/>
  <c r="Y36" i="3"/>
  <c r="X36" i="3"/>
  <c r="W36" i="3"/>
  <c r="T36" i="3"/>
  <c r="Q36" i="3"/>
  <c r="N36" i="3"/>
  <c r="M36" i="3"/>
  <c r="L36" i="3"/>
  <c r="S36" i="3" s="1"/>
  <c r="K36" i="3"/>
  <c r="R36" i="3" s="1"/>
  <c r="J36" i="3"/>
  <c r="H36" i="3"/>
  <c r="O36" i="3" s="1"/>
  <c r="AC36" i="3" s="1"/>
  <c r="AM35" i="3"/>
  <c r="AI39" i="3" s="1"/>
  <c r="AL35" i="3"/>
  <c r="AK35" i="3"/>
  <c r="AI37" i="3" s="1"/>
  <c r="AJ35" i="3"/>
  <c r="AA35" i="3"/>
  <c r="Z35" i="3"/>
  <c r="Y35" i="3"/>
  <c r="X35" i="3"/>
  <c r="W35" i="3"/>
  <c r="O35" i="3"/>
  <c r="N35" i="3"/>
  <c r="U35" i="3" s="1"/>
  <c r="M35" i="3"/>
  <c r="AF35" i="3" s="1"/>
  <c r="L35" i="3"/>
  <c r="S35" i="3" s="1"/>
  <c r="K35" i="3"/>
  <c r="R35" i="3" s="1"/>
  <c r="J35" i="3"/>
  <c r="H35" i="3"/>
  <c r="AA34" i="3"/>
  <c r="Z34" i="3"/>
  <c r="Y34" i="3"/>
  <c r="X34" i="3"/>
  <c r="W34" i="3"/>
  <c r="O34" i="3"/>
  <c r="AG34" i="3" s="1"/>
  <c r="N34" i="3"/>
  <c r="U34" i="3" s="1"/>
  <c r="M34" i="3"/>
  <c r="L34" i="3"/>
  <c r="K34" i="3"/>
  <c r="R34" i="3" s="1"/>
  <c r="J34" i="3"/>
  <c r="Q34" i="3" s="1"/>
  <c r="H34" i="3"/>
  <c r="AA33" i="3"/>
  <c r="Z33" i="3"/>
  <c r="Y33" i="3"/>
  <c r="X33" i="3"/>
  <c r="W33" i="3"/>
  <c r="S33" i="3"/>
  <c r="Q33" i="3"/>
  <c r="O33" i="3"/>
  <c r="AC33" i="3" s="1"/>
  <c r="N33" i="3"/>
  <c r="M33" i="3"/>
  <c r="T33" i="3" s="1"/>
  <c r="L33" i="3"/>
  <c r="K33" i="3"/>
  <c r="R33" i="3" s="1"/>
  <c r="J33" i="3"/>
  <c r="H33" i="3"/>
  <c r="AN32" i="3"/>
  <c r="AA32" i="3"/>
  <c r="Z32" i="3"/>
  <c r="Y32" i="3"/>
  <c r="X32" i="3"/>
  <c r="W32" i="3"/>
  <c r="R32" i="3"/>
  <c r="Q32" i="3"/>
  <c r="N32" i="3"/>
  <c r="M32" i="3"/>
  <c r="L32" i="3"/>
  <c r="K32" i="3"/>
  <c r="J32" i="3"/>
  <c r="H32" i="3"/>
  <c r="O32" i="3" s="1"/>
  <c r="AA31" i="3"/>
  <c r="Z31" i="3"/>
  <c r="Y31" i="3"/>
  <c r="X31" i="3"/>
  <c r="W31" i="3"/>
  <c r="T31" i="3"/>
  <c r="S31" i="3"/>
  <c r="N31" i="3"/>
  <c r="M31" i="3"/>
  <c r="L31" i="3"/>
  <c r="K31" i="3"/>
  <c r="J31" i="3"/>
  <c r="H31" i="3"/>
  <c r="AA30" i="3"/>
  <c r="Z30" i="3"/>
  <c r="Y30" i="3"/>
  <c r="X30" i="3"/>
  <c r="W30" i="3"/>
  <c r="T30" i="3"/>
  <c r="S30" i="3"/>
  <c r="N30" i="3"/>
  <c r="M30" i="3"/>
  <c r="L30" i="3"/>
  <c r="K30" i="3"/>
  <c r="J30" i="3"/>
  <c r="Q30" i="3" s="1"/>
  <c r="H30" i="3"/>
  <c r="O30" i="3" s="1"/>
  <c r="AA29" i="3"/>
  <c r="Z29" i="3"/>
  <c r="Y29" i="3"/>
  <c r="X29" i="3"/>
  <c r="W29" i="3"/>
  <c r="U29" i="3"/>
  <c r="N29" i="3"/>
  <c r="M29" i="3"/>
  <c r="L29" i="3"/>
  <c r="S29" i="3" s="1"/>
  <c r="K29" i="3"/>
  <c r="J29" i="3"/>
  <c r="Q29" i="3" s="1"/>
  <c r="H29" i="3"/>
  <c r="AA28" i="3"/>
  <c r="Z28" i="3"/>
  <c r="Y28" i="3"/>
  <c r="X28" i="3"/>
  <c r="W28" i="3"/>
  <c r="T28" i="3"/>
  <c r="S28" i="3"/>
  <c r="R28" i="3"/>
  <c r="Q28" i="3"/>
  <c r="N28" i="3"/>
  <c r="M28" i="3"/>
  <c r="L28" i="3"/>
  <c r="K28" i="3"/>
  <c r="J28" i="3"/>
  <c r="H28" i="3"/>
  <c r="AD27" i="3"/>
  <c r="AA27" i="3"/>
  <c r="Z27" i="3"/>
  <c r="Y27" i="3"/>
  <c r="X27" i="3"/>
  <c r="W27" i="3"/>
  <c r="U27" i="3"/>
  <c r="R27" i="3"/>
  <c r="Q27" i="3"/>
  <c r="O27" i="3"/>
  <c r="AC27" i="3" s="1"/>
  <c r="N27" i="3"/>
  <c r="M27" i="3"/>
  <c r="T27" i="3" s="1"/>
  <c r="L27" i="3"/>
  <c r="K27" i="3"/>
  <c r="J27" i="3"/>
  <c r="H27" i="3"/>
  <c r="AG26" i="3"/>
  <c r="AA26" i="3"/>
  <c r="Z26" i="3"/>
  <c r="Y26" i="3"/>
  <c r="X26" i="3"/>
  <c r="W26" i="3"/>
  <c r="U26" i="3"/>
  <c r="T26" i="3"/>
  <c r="N26" i="3"/>
  <c r="M26" i="3"/>
  <c r="L26" i="3"/>
  <c r="K26" i="3"/>
  <c r="J26" i="3"/>
  <c r="H26" i="3"/>
  <c r="O26" i="3" s="1"/>
  <c r="AF26" i="3" s="1"/>
  <c r="AG25" i="3"/>
  <c r="AF25" i="3"/>
  <c r="AA25" i="3"/>
  <c r="Z25" i="3"/>
  <c r="Y25" i="3"/>
  <c r="X25" i="3"/>
  <c r="W25" i="3"/>
  <c r="U25" i="3"/>
  <c r="T25" i="3"/>
  <c r="S25" i="3"/>
  <c r="Q25" i="3"/>
  <c r="N25" i="3"/>
  <c r="M25" i="3"/>
  <c r="L25" i="3"/>
  <c r="AE25" i="3" s="1"/>
  <c r="K25" i="3"/>
  <c r="J25" i="3"/>
  <c r="H25" i="3"/>
  <c r="O25" i="3" s="1"/>
  <c r="AG24" i="3"/>
  <c r="AA24" i="3"/>
  <c r="Z24" i="3"/>
  <c r="Y24" i="3"/>
  <c r="X24" i="3"/>
  <c r="W24" i="3"/>
  <c r="U24" i="3"/>
  <c r="S24" i="3"/>
  <c r="R24" i="3"/>
  <c r="O24" i="3"/>
  <c r="AD24" i="3" s="1"/>
  <c r="N24" i="3"/>
  <c r="M24" i="3"/>
  <c r="L24" i="3"/>
  <c r="AE24" i="3" s="1"/>
  <c r="K24" i="3"/>
  <c r="J24" i="3"/>
  <c r="Q24" i="3" s="1"/>
  <c r="H24" i="3"/>
  <c r="AC23" i="3"/>
  <c r="AA23" i="3"/>
  <c r="Z23" i="3"/>
  <c r="Y23" i="3"/>
  <c r="X23" i="3"/>
  <c r="W23" i="3"/>
  <c r="N23" i="3"/>
  <c r="U23" i="3" s="1"/>
  <c r="M23" i="3"/>
  <c r="T23" i="3" s="1"/>
  <c r="L23" i="3"/>
  <c r="S23" i="3" s="1"/>
  <c r="K23" i="3"/>
  <c r="J23" i="3"/>
  <c r="Q23" i="3" s="1"/>
  <c r="H23" i="3"/>
  <c r="O23" i="3" s="1"/>
  <c r="AA22" i="3"/>
  <c r="Z22" i="3"/>
  <c r="Y22" i="3"/>
  <c r="X22" i="3"/>
  <c r="W22" i="3"/>
  <c r="U22" i="3"/>
  <c r="N22" i="3"/>
  <c r="M22" i="3"/>
  <c r="L22" i="3"/>
  <c r="S22" i="3" s="1"/>
  <c r="K22" i="3"/>
  <c r="J22" i="3"/>
  <c r="Q22" i="3" s="1"/>
  <c r="H22" i="3"/>
  <c r="AA21" i="3"/>
  <c r="Z21" i="3"/>
  <c r="Y21" i="3"/>
  <c r="X21" i="3"/>
  <c r="W21" i="3"/>
  <c r="R21" i="3"/>
  <c r="N21" i="3"/>
  <c r="M21" i="3"/>
  <c r="T21" i="3" s="1"/>
  <c r="L21" i="3"/>
  <c r="S21" i="3" s="1"/>
  <c r="K21" i="3"/>
  <c r="J21" i="3"/>
  <c r="H21" i="3"/>
  <c r="O22" i="3" s="1"/>
  <c r="AG22" i="3" s="1"/>
  <c r="AA20" i="3"/>
  <c r="Z20" i="3"/>
  <c r="Y20" i="3"/>
  <c r="X20" i="3"/>
  <c r="W20" i="3"/>
  <c r="S20" i="3"/>
  <c r="N20" i="3"/>
  <c r="M20" i="3"/>
  <c r="L20" i="3"/>
  <c r="K20" i="3"/>
  <c r="J20" i="3"/>
  <c r="H20" i="3"/>
  <c r="R20" i="3" s="1"/>
  <c r="AA19" i="3"/>
  <c r="Z19" i="3"/>
  <c r="Y19" i="3"/>
  <c r="X19" i="3"/>
  <c r="W19" i="3"/>
  <c r="N19" i="3"/>
  <c r="M19" i="3"/>
  <c r="L19" i="3"/>
  <c r="AE19" i="3" s="1"/>
  <c r="K19" i="3"/>
  <c r="AD19" i="3" s="1"/>
  <c r="J19" i="3"/>
  <c r="AC19" i="3" s="1"/>
  <c r="H19" i="3"/>
  <c r="O19" i="3" s="1"/>
  <c r="AF19" i="3" s="1"/>
  <c r="AD18" i="3"/>
  <c r="AA18" i="3"/>
  <c r="Z18" i="3"/>
  <c r="Y18" i="3"/>
  <c r="X18" i="3"/>
  <c r="W18" i="3"/>
  <c r="Q18" i="3"/>
  <c r="O18" i="3"/>
  <c r="AE18" i="3" s="1"/>
  <c r="N18" i="3"/>
  <c r="M18" i="3"/>
  <c r="T18" i="3" s="1"/>
  <c r="L18" i="3"/>
  <c r="K18" i="3"/>
  <c r="R18" i="3" s="1"/>
  <c r="J18" i="3"/>
  <c r="H18" i="3"/>
  <c r="S18" i="3" s="1"/>
  <c r="AA17" i="3"/>
  <c r="Z17" i="3"/>
  <c r="Y17" i="3"/>
  <c r="X17" i="3"/>
  <c r="W17" i="3"/>
  <c r="S17" i="3"/>
  <c r="R17" i="3"/>
  <c r="Q17" i="3"/>
  <c r="O17" i="3"/>
  <c r="AE17" i="3" s="1"/>
  <c r="N17" i="3"/>
  <c r="M17" i="3"/>
  <c r="AF17" i="3" s="1"/>
  <c r="L17" i="3"/>
  <c r="K17" i="3"/>
  <c r="J17" i="3"/>
  <c r="H17" i="3"/>
  <c r="U17" i="3" s="1"/>
  <c r="AA16" i="3"/>
  <c r="Z16" i="3"/>
  <c r="Y16" i="3"/>
  <c r="X16" i="3"/>
  <c r="W16" i="3"/>
  <c r="U16" i="3"/>
  <c r="R16" i="3"/>
  <c r="N16" i="3"/>
  <c r="M16" i="3"/>
  <c r="L16" i="3"/>
  <c r="S16" i="3" s="1"/>
  <c r="K16" i="3"/>
  <c r="J16" i="3"/>
  <c r="Q16" i="3" s="1"/>
  <c r="H16" i="3"/>
  <c r="AA15" i="3"/>
  <c r="Z15" i="3"/>
  <c r="Y15" i="3"/>
  <c r="X15" i="3"/>
  <c r="W15" i="3"/>
  <c r="O15" i="3"/>
  <c r="AD15" i="3" s="1"/>
  <c r="N15" i="3"/>
  <c r="U15" i="3" s="1"/>
  <c r="M15" i="3"/>
  <c r="AF15" i="3" s="1"/>
  <c r="L15" i="3"/>
  <c r="K15" i="3"/>
  <c r="R15" i="3" s="1"/>
  <c r="J15" i="3"/>
  <c r="H15" i="3"/>
  <c r="O16" i="3" s="1"/>
  <c r="AA14" i="3"/>
  <c r="Z14" i="3"/>
  <c r="Y14" i="3"/>
  <c r="X14" i="3"/>
  <c r="W14" i="3"/>
  <c r="Q14" i="3"/>
  <c r="N14" i="3"/>
  <c r="M14" i="3"/>
  <c r="T14" i="3" s="1"/>
  <c r="L14" i="3"/>
  <c r="K14" i="3"/>
  <c r="R14" i="3" s="1"/>
  <c r="J14" i="3"/>
  <c r="H14" i="3"/>
  <c r="AE13" i="3"/>
  <c r="AC13" i="3"/>
  <c r="AA13" i="3"/>
  <c r="Z13" i="3"/>
  <c r="Y13" i="3"/>
  <c r="X13" i="3"/>
  <c r="W13" i="3"/>
  <c r="S13" i="3"/>
  <c r="Q13" i="3"/>
  <c r="N13" i="3"/>
  <c r="U13" i="3" s="1"/>
  <c r="M13" i="3"/>
  <c r="AF13" i="3" s="1"/>
  <c r="L13" i="3"/>
  <c r="K13" i="3"/>
  <c r="J13" i="3"/>
  <c r="H13" i="3"/>
  <c r="O13" i="3" s="1"/>
  <c r="AN12" i="3"/>
  <c r="AM12" i="3"/>
  <c r="AL12" i="3"/>
  <c r="AK12" i="3"/>
  <c r="AJ12" i="3"/>
  <c r="AG12" i="3"/>
  <c r="AE12" i="3"/>
  <c r="AA12" i="3"/>
  <c r="Z12" i="3"/>
  <c r="Y12" i="3"/>
  <c r="X12" i="3"/>
  <c r="W12" i="3"/>
  <c r="U12" i="3"/>
  <c r="S12" i="3"/>
  <c r="O12" i="3"/>
  <c r="N12" i="3"/>
  <c r="M12" i="3"/>
  <c r="AF12" i="3" s="1"/>
  <c r="L12" i="3"/>
  <c r="K12" i="3"/>
  <c r="AD12" i="3" s="1"/>
  <c r="J12" i="3"/>
  <c r="AC12" i="3" s="1"/>
  <c r="H12" i="3"/>
  <c r="AG11" i="3"/>
  <c r="AA11" i="3"/>
  <c r="Z11" i="3"/>
  <c r="Y11" i="3"/>
  <c r="X11" i="3"/>
  <c r="W11" i="3"/>
  <c r="O11" i="3"/>
  <c r="N11" i="3"/>
  <c r="M11" i="3"/>
  <c r="T11" i="3" s="1"/>
  <c r="L11" i="3"/>
  <c r="S11" i="3" s="1"/>
  <c r="K11" i="3"/>
  <c r="R11" i="3" s="1"/>
  <c r="J11" i="3"/>
  <c r="H11" i="3"/>
  <c r="U11" i="3" s="1"/>
  <c r="AA10" i="3"/>
  <c r="Z10" i="3"/>
  <c r="Y10" i="3"/>
  <c r="X10" i="3"/>
  <c r="W10" i="3"/>
  <c r="U10" i="3"/>
  <c r="S10" i="3"/>
  <c r="R10" i="3"/>
  <c r="Q10" i="3"/>
  <c r="N10" i="3"/>
  <c r="M10" i="3"/>
  <c r="L10" i="3"/>
  <c r="K10" i="3"/>
  <c r="J10" i="3"/>
  <c r="H10" i="3"/>
  <c r="T10" i="3" s="1"/>
  <c r="AA9" i="3"/>
  <c r="Z9" i="3"/>
  <c r="Y9" i="3"/>
  <c r="X9" i="3"/>
  <c r="W9" i="3"/>
  <c r="N9" i="3"/>
  <c r="M9" i="3"/>
  <c r="L9" i="3"/>
  <c r="K9" i="3"/>
  <c r="R9" i="3" s="1"/>
  <c r="J9" i="3"/>
  <c r="H9" i="3"/>
  <c r="Q9" i="3" s="1"/>
  <c r="AA8" i="3"/>
  <c r="Z8" i="3"/>
  <c r="Y8" i="3"/>
  <c r="X8" i="3"/>
  <c r="W8" i="3"/>
  <c r="S8" i="3"/>
  <c r="N8" i="3"/>
  <c r="M8" i="3"/>
  <c r="L8" i="3"/>
  <c r="K8" i="3"/>
  <c r="J8" i="3"/>
  <c r="H8" i="3"/>
  <c r="Q8" i="3" s="1"/>
  <c r="AA7" i="3"/>
  <c r="Z7" i="3"/>
  <c r="Y7" i="3"/>
  <c r="X7" i="3"/>
  <c r="W7" i="3"/>
  <c r="U7" i="3"/>
  <c r="S7" i="3"/>
  <c r="Q7" i="3"/>
  <c r="N7" i="3"/>
  <c r="M7" i="3"/>
  <c r="L7" i="3"/>
  <c r="K7" i="3"/>
  <c r="J7" i="3"/>
  <c r="H7" i="3"/>
  <c r="AA6" i="3"/>
  <c r="Z6" i="3"/>
  <c r="Y6" i="3"/>
  <c r="X6" i="3"/>
  <c r="AK20" i="3" s="1"/>
  <c r="W6" i="3"/>
  <c r="T6" i="3"/>
  <c r="N6" i="3"/>
  <c r="M6" i="3"/>
  <c r="L6" i="3"/>
  <c r="K6" i="3"/>
  <c r="J6" i="3"/>
  <c r="H6" i="3"/>
  <c r="R6" i="3" s="1"/>
  <c r="AC5" i="3"/>
  <c r="AA5" i="3"/>
  <c r="Z5" i="3"/>
  <c r="Y5" i="3"/>
  <c r="X5" i="3"/>
  <c r="W5" i="3"/>
  <c r="R5" i="3"/>
  <c r="Q5" i="3"/>
  <c r="O5" i="3"/>
  <c r="AF5" i="3" s="1"/>
  <c r="N5" i="3"/>
  <c r="U5" i="3" s="1"/>
  <c r="M5" i="3"/>
  <c r="T5" i="3" s="1"/>
  <c r="L5" i="3"/>
  <c r="K5" i="3"/>
  <c r="J5" i="3"/>
  <c r="H5" i="3"/>
  <c r="AC4" i="3"/>
  <c r="AA4" i="3"/>
  <c r="AN23" i="3" s="1"/>
  <c r="Z4" i="3"/>
  <c r="Y4" i="3"/>
  <c r="X4" i="3"/>
  <c r="AK23" i="3" s="1"/>
  <c r="W4" i="3"/>
  <c r="R4" i="3"/>
  <c r="Q4" i="3"/>
  <c r="O4" i="3"/>
  <c r="AE4" i="3" s="1"/>
  <c r="N4" i="3"/>
  <c r="M4" i="3"/>
  <c r="AF4" i="3" s="1"/>
  <c r="L4" i="3"/>
  <c r="S4" i="3" s="1"/>
  <c r="K4" i="3"/>
  <c r="J4" i="3"/>
  <c r="H4" i="3"/>
  <c r="T4" i="3" s="1"/>
  <c r="AA3" i="3"/>
  <c r="AN20" i="3" s="1"/>
  <c r="Z3" i="3"/>
  <c r="AM23" i="3" s="1"/>
  <c r="Y3" i="3"/>
  <c r="X3" i="3"/>
  <c r="W3" i="3"/>
  <c r="R3" i="3"/>
  <c r="Q3" i="3"/>
  <c r="N3" i="3"/>
  <c r="AN5" i="3" s="1"/>
  <c r="AN9" i="3" s="1"/>
  <c r="M3" i="3"/>
  <c r="AM6" i="3" s="1"/>
  <c r="AM10" i="3" s="1"/>
  <c r="L3" i="3"/>
  <c r="K3" i="3"/>
  <c r="J3" i="3"/>
  <c r="H3" i="3"/>
  <c r="O3" i="3" s="1"/>
  <c r="O2" i="3"/>
  <c r="N2" i="3"/>
  <c r="M2" i="3"/>
  <c r="L2" i="3"/>
  <c r="K2" i="3"/>
  <c r="J2" i="3"/>
  <c r="H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" i="1"/>
  <c r="H11" i="9" l="1"/>
  <c r="H16" i="9"/>
  <c r="H17" i="9" s="1"/>
  <c r="J8" i="9"/>
  <c r="Y30" i="7"/>
  <c r="Z28" i="7"/>
  <c r="Y51" i="7" a="1"/>
  <c r="Y51" i="7" s="1"/>
  <c r="Y57" i="7" s="1"/>
  <c r="W33" i="6" a="1"/>
  <c r="W33" i="6" s="1"/>
  <c r="W36" i="6" s="1"/>
  <c r="Z65" i="8"/>
  <c r="Z64" i="8"/>
  <c r="Z66" i="8" s="1"/>
  <c r="Z61" i="8"/>
  <c r="S5" i="8"/>
  <c r="Q29" i="8"/>
  <c r="R49" i="8"/>
  <c r="U76" i="8"/>
  <c r="O84" i="8"/>
  <c r="O89" i="8"/>
  <c r="R94" i="8"/>
  <c r="S104" i="8"/>
  <c r="O114" i="8"/>
  <c r="O119" i="8"/>
  <c r="O124" i="8"/>
  <c r="O175" i="8"/>
  <c r="O178" i="8"/>
  <c r="S197" i="8"/>
  <c r="U44" i="8"/>
  <c r="U98" i="8"/>
  <c r="U114" i="8"/>
  <c r="Q119" i="8"/>
  <c r="U129" i="8"/>
  <c r="S149" i="8"/>
  <c r="Q154" i="8"/>
  <c r="S176" i="8"/>
  <c r="U70" i="8"/>
  <c r="U109" i="8"/>
  <c r="U219" i="8"/>
  <c r="U250" i="8"/>
  <c r="R180" i="8"/>
  <c r="O13" i="8"/>
  <c r="Q54" i="8"/>
  <c r="O109" i="8"/>
  <c r="S131" i="8"/>
  <c r="U177" i="8"/>
  <c r="U209" i="8"/>
  <c r="Q45" i="8"/>
  <c r="S58" i="8"/>
  <c r="Q98" i="8"/>
  <c r="O121" i="8"/>
  <c r="O131" i="8"/>
  <c r="Q175" i="8"/>
  <c r="R38" i="8"/>
  <c r="O52" i="8"/>
  <c r="O60" i="8"/>
  <c r="O65" i="8"/>
  <c r="O168" i="8"/>
  <c r="O238" i="8"/>
  <c r="O244" i="8"/>
  <c r="Q244" i="8"/>
  <c r="O248" i="8"/>
  <c r="U11" i="8"/>
  <c r="O16" i="8"/>
  <c r="S20" i="8"/>
  <c r="U32" i="8"/>
  <c r="Q37" i="8"/>
  <c r="U42" i="8"/>
  <c r="U60" i="8"/>
  <c r="U65" i="8"/>
  <c r="R68" i="8"/>
  <c r="O79" i="8"/>
  <c r="Q91" i="8"/>
  <c r="O104" i="8"/>
  <c r="O122" i="8"/>
  <c r="O128" i="8"/>
  <c r="O132" i="8"/>
  <c r="O137" i="8"/>
  <c r="U160" i="8"/>
  <c r="U161" i="8"/>
  <c r="S164" i="8"/>
  <c r="O173" i="8"/>
  <c r="O176" i="8"/>
  <c r="O186" i="8"/>
  <c r="U200" i="8"/>
  <c r="O202" i="8"/>
  <c r="Q220" i="8"/>
  <c r="S238" i="8"/>
  <c r="S243" i="8"/>
  <c r="R248" i="8"/>
  <c r="O5" i="8"/>
  <c r="O11" i="8"/>
  <c r="O30" i="8"/>
  <c r="O44" i="8"/>
  <c r="S77" i="8"/>
  <c r="U79" i="8"/>
  <c r="R82" i="8"/>
  <c r="U90" i="8"/>
  <c r="Q94" i="8"/>
  <c r="U122" i="8"/>
  <c r="R127" i="8"/>
  <c r="O171" i="8"/>
  <c r="U176" i="8"/>
  <c r="S233" i="8"/>
  <c r="O235" i="8"/>
  <c r="S53" i="8"/>
  <c r="R61" i="8"/>
  <c r="R70" i="8"/>
  <c r="O96" i="8"/>
  <c r="Q97" i="8"/>
  <c r="S111" i="8"/>
  <c r="Q149" i="8"/>
  <c r="O162" i="8"/>
  <c r="R197" i="8"/>
  <c r="S205" i="8"/>
  <c r="S38" i="8"/>
  <c r="Q11" i="8"/>
  <c r="R12" i="8"/>
  <c r="O27" i="8"/>
  <c r="U52" i="8"/>
  <c r="U55" i="8"/>
  <c r="S70" i="8"/>
  <c r="U78" i="8"/>
  <c r="R90" i="8"/>
  <c r="S96" i="8"/>
  <c r="Q108" i="8"/>
  <c r="O120" i="8"/>
  <c r="R143" i="8"/>
  <c r="U149" i="8"/>
  <c r="S154" i="8"/>
  <c r="S159" i="8"/>
  <c r="Q170" i="8"/>
  <c r="U199" i="8"/>
  <c r="U227" i="8"/>
  <c r="U243" i="8"/>
  <c r="S11" i="8"/>
  <c r="U14" i="8"/>
  <c r="U25" i="8"/>
  <c r="O29" i="8"/>
  <c r="S36" i="8"/>
  <c r="U50" i="8"/>
  <c r="U92" i="8"/>
  <c r="U101" i="8"/>
  <c r="S107" i="8"/>
  <c r="O110" i="8"/>
  <c r="U156" i="8"/>
  <c r="U184" i="8"/>
  <c r="Q197" i="8"/>
  <c r="Q208" i="8"/>
  <c r="S210" i="8"/>
  <c r="S231" i="8"/>
  <c r="R233" i="8"/>
  <c r="R252" i="8"/>
  <c r="S37" i="8"/>
  <c r="R80" i="8"/>
  <c r="Q81" i="8"/>
  <c r="S177" i="8"/>
  <c r="R22" i="8"/>
  <c r="S9" i="8"/>
  <c r="O31" i="8"/>
  <c r="R36" i="8"/>
  <c r="Q58" i="8"/>
  <c r="U68" i="8"/>
  <c r="O70" i="8"/>
  <c r="S80" i="8"/>
  <c r="R81" i="8"/>
  <c r="O115" i="8"/>
  <c r="O142" i="8"/>
  <c r="O158" i="8"/>
  <c r="S167" i="8"/>
  <c r="O212" i="8"/>
  <c r="O217" i="8"/>
  <c r="Q218" i="8"/>
  <c r="Q224" i="8"/>
  <c r="U237" i="8"/>
  <c r="U242" i="8"/>
  <c r="S245" i="8"/>
  <c r="O35" i="8"/>
  <c r="O43" i="8"/>
  <c r="U51" i="8"/>
  <c r="S68" i="8"/>
  <c r="Q70" i="8"/>
  <c r="R75" i="8"/>
  <c r="U80" i="8"/>
  <c r="O85" i="8"/>
  <c r="O90" i="8"/>
  <c r="S91" i="8"/>
  <c r="O103" i="8"/>
  <c r="O106" i="8"/>
  <c r="Q115" i="8"/>
  <c r="Q127" i="8"/>
  <c r="O134" i="8"/>
  <c r="Q137" i="8"/>
  <c r="U147" i="8"/>
  <c r="O150" i="8"/>
  <c r="O183" i="8"/>
  <c r="Q195" i="8"/>
  <c r="R198" i="8"/>
  <c r="O203" i="8"/>
  <c r="U206" i="8"/>
  <c r="O222" i="8"/>
  <c r="R228" i="8"/>
  <c r="Q245" i="8"/>
  <c r="O4" i="8"/>
  <c r="Q17" i="8"/>
  <c r="O19" i="8"/>
  <c r="U27" i="8"/>
  <c r="R30" i="8"/>
  <c r="R41" i="8"/>
  <c r="R48" i="8"/>
  <c r="U57" i="8"/>
  <c r="O68" i="8"/>
  <c r="R79" i="8"/>
  <c r="S103" i="8"/>
  <c r="S113" i="8"/>
  <c r="Q132" i="8"/>
  <c r="R148" i="8"/>
  <c r="U150" i="8"/>
  <c r="S155" i="8"/>
  <c r="O163" i="8"/>
  <c r="O197" i="8"/>
  <c r="Q209" i="8"/>
  <c r="O215" i="8"/>
  <c r="Q248" i="8"/>
  <c r="R251" i="8"/>
  <c r="U16" i="8"/>
  <c r="U19" i="8"/>
  <c r="O32" i="8"/>
  <c r="O37" i="8"/>
  <c r="O45" i="8"/>
  <c r="U56" i="8"/>
  <c r="U59" i="8"/>
  <c r="Q67" i="8"/>
  <c r="Q78" i="8"/>
  <c r="Q88" i="8"/>
  <c r="Q101" i="8"/>
  <c r="O125" i="8"/>
  <c r="O136" i="8"/>
  <c r="Q144" i="8"/>
  <c r="O152" i="8"/>
  <c r="S160" i="8"/>
  <c r="Q166" i="8"/>
  <c r="U171" i="8"/>
  <c r="O177" i="8"/>
  <c r="Q200" i="8"/>
  <c r="U210" i="8"/>
  <c r="O225" i="8"/>
  <c r="U241" i="8"/>
  <c r="Q253" i="8"/>
  <c r="R11" i="8"/>
  <c r="O15" i="8"/>
  <c r="U17" i="8"/>
  <c r="U29" i="8"/>
  <c r="R47" i="8"/>
  <c r="S61" i="8"/>
  <c r="R67" i="8"/>
  <c r="U85" i="8"/>
  <c r="U140" i="8"/>
  <c r="U142" i="8"/>
  <c r="O151" i="8"/>
  <c r="R154" i="8"/>
  <c r="U157" i="8"/>
  <c r="O159" i="8"/>
  <c r="R166" i="8"/>
  <c r="R167" i="8"/>
  <c r="O192" i="8"/>
  <c r="O196" i="8"/>
  <c r="R200" i="8"/>
  <c r="R225" i="8"/>
  <c r="U231" i="8"/>
  <c r="O233" i="8"/>
  <c r="S234" i="8"/>
  <c r="Q241" i="8"/>
  <c r="U8" i="8"/>
  <c r="O22" i="8"/>
  <c r="S42" i="8"/>
  <c r="R45" i="8"/>
  <c r="S49" i="8"/>
  <c r="Q51" i="8"/>
  <c r="O53" i="8"/>
  <c r="O57" i="8"/>
  <c r="U67" i="8"/>
  <c r="O74" i="8"/>
  <c r="O97" i="8"/>
  <c r="S101" i="8"/>
  <c r="U105" i="8"/>
  <c r="Q122" i="8"/>
  <c r="Q136" i="8"/>
  <c r="Q143" i="8"/>
  <c r="S166" i="8"/>
  <c r="S184" i="8"/>
  <c r="Q199" i="8"/>
  <c r="S200" i="8"/>
  <c r="O218" i="8"/>
  <c r="O227" i="8"/>
  <c r="Q238" i="8"/>
  <c r="R241" i="8"/>
  <c r="O247" i="8"/>
  <c r="R5" i="8"/>
  <c r="AD5" i="8"/>
  <c r="AD9" i="8" s="1"/>
  <c r="AD13" i="8" s="1"/>
  <c r="U9" i="8"/>
  <c r="Q14" i="8"/>
  <c r="Q22" i="8"/>
  <c r="U30" i="8"/>
  <c r="S31" i="8"/>
  <c r="O40" i="8"/>
  <c r="R51" i="8"/>
  <c r="R53" i="8"/>
  <c r="Q55" i="8"/>
  <c r="Q57" i="8"/>
  <c r="Q59" i="8"/>
  <c r="U61" i="8"/>
  <c r="S74" i="8"/>
  <c r="R77" i="8"/>
  <c r="S85" i="8"/>
  <c r="O93" i="8"/>
  <c r="U97" i="8"/>
  <c r="U104" i="8"/>
  <c r="U112" i="8"/>
  <c r="S122" i="8"/>
  <c r="U127" i="8"/>
  <c r="O130" i="8"/>
  <c r="U131" i="8"/>
  <c r="S136" i="8"/>
  <c r="Q160" i="8"/>
  <c r="R164" i="8"/>
  <c r="U166" i="8"/>
  <c r="U190" i="8"/>
  <c r="O207" i="8"/>
  <c r="Q210" i="8"/>
  <c r="O214" i="8"/>
  <c r="S218" i="8"/>
  <c r="R220" i="8"/>
  <c r="Q221" i="8"/>
  <c r="O223" i="8"/>
  <c r="R224" i="8"/>
  <c r="Q228" i="8"/>
  <c r="U233" i="8"/>
  <c r="O236" i="8"/>
  <c r="S241" i="8"/>
  <c r="O243" i="8"/>
  <c r="S244" i="8"/>
  <c r="U247" i="8"/>
  <c r="S250" i="8"/>
  <c r="S253" i="8"/>
  <c r="O3" i="8"/>
  <c r="R14" i="8"/>
  <c r="O33" i="8"/>
  <c r="U43" i="8"/>
  <c r="S50" i="8"/>
  <c r="S51" i="8"/>
  <c r="R55" i="8"/>
  <c r="R59" i="8"/>
  <c r="R62" i="8"/>
  <c r="O64" i="8"/>
  <c r="S65" i="8"/>
  <c r="S84" i="8"/>
  <c r="O100" i="8"/>
  <c r="O107" i="8"/>
  <c r="R114" i="8"/>
  <c r="U130" i="8"/>
  <c r="O144" i="8"/>
  <c r="Q150" i="8"/>
  <c r="R160" i="8"/>
  <c r="R161" i="8"/>
  <c r="Q177" i="8"/>
  <c r="R185" i="8"/>
  <c r="Q198" i="8"/>
  <c r="S201" i="8"/>
  <c r="U204" i="8"/>
  <c r="Q207" i="8"/>
  <c r="R210" i="8"/>
  <c r="S220" i="8"/>
  <c r="R221" i="8"/>
  <c r="Q223" i="8"/>
  <c r="R230" i="8"/>
  <c r="S236" i="8"/>
  <c r="U253" i="8"/>
  <c r="U7" i="8"/>
  <c r="U20" i="8"/>
  <c r="O25" i="8"/>
  <c r="Q33" i="8"/>
  <c r="Q38" i="8"/>
  <c r="U40" i="8"/>
  <c r="S55" i="8"/>
  <c r="R64" i="8"/>
  <c r="U103" i="8"/>
  <c r="U107" i="8"/>
  <c r="U111" i="8"/>
  <c r="S114" i="8"/>
  <c r="U119" i="8"/>
  <c r="U123" i="8"/>
  <c r="Q130" i="8"/>
  <c r="U137" i="8"/>
  <c r="S142" i="8"/>
  <c r="U155" i="8"/>
  <c r="Q156" i="8"/>
  <c r="U163" i="8"/>
  <c r="O167" i="8"/>
  <c r="U167" i="8"/>
  <c r="R177" i="8"/>
  <c r="O187" i="8"/>
  <c r="R195" i="8"/>
  <c r="U220" i="8"/>
  <c r="S221" i="8"/>
  <c r="O234" i="8"/>
  <c r="S247" i="8"/>
  <c r="R29" i="8"/>
  <c r="O56" i="8"/>
  <c r="U69" i="8"/>
  <c r="U89" i="8"/>
  <c r="R140" i="8"/>
  <c r="O253" i="8"/>
  <c r="Q15" i="8"/>
  <c r="O39" i="8"/>
  <c r="O143" i="8"/>
  <c r="Q9" i="8"/>
  <c r="R15" i="8"/>
  <c r="Q30" i="8"/>
  <c r="Q36" i="8"/>
  <c r="U38" i="8"/>
  <c r="O47" i="8"/>
  <c r="S48" i="8"/>
  <c r="Q50" i="8"/>
  <c r="O54" i="8"/>
  <c r="O58" i="8"/>
  <c r="Q61" i="8"/>
  <c r="Q68" i="8"/>
  <c r="U75" i="8"/>
  <c r="U77" i="8"/>
  <c r="S78" i="8"/>
  <c r="O92" i="8"/>
  <c r="S97" i="8"/>
  <c r="R104" i="8"/>
  <c r="S106" i="8"/>
  <c r="U118" i="8"/>
  <c r="R126" i="8"/>
  <c r="O129" i="8"/>
  <c r="R130" i="8"/>
  <c r="U132" i="8"/>
  <c r="O139" i="8"/>
  <c r="R147" i="8"/>
  <c r="Q155" i="8"/>
  <c r="O165" i="8"/>
  <c r="Q185" i="8"/>
  <c r="U197" i="8"/>
  <c r="R207" i="8"/>
  <c r="R218" i="8"/>
  <c r="R223" i="8"/>
  <c r="S224" i="8"/>
  <c r="O228" i="8"/>
  <c r="S230" i="8"/>
  <c r="R231" i="8"/>
  <c r="R232" i="8"/>
  <c r="O237" i="8"/>
  <c r="R238" i="8"/>
  <c r="R243" i="8"/>
  <c r="S248" i="8"/>
  <c r="S56" i="8"/>
  <c r="O61" i="8"/>
  <c r="U83" i="8"/>
  <c r="Q123" i="8"/>
  <c r="U143" i="8"/>
  <c r="R184" i="8"/>
  <c r="O7" i="8"/>
  <c r="Q12" i="8"/>
  <c r="O17" i="8"/>
  <c r="Q20" i="8"/>
  <c r="O23" i="8"/>
  <c r="R33" i="8"/>
  <c r="Q41" i="8"/>
  <c r="U47" i="8"/>
  <c r="U58" i="8"/>
  <c r="S60" i="8"/>
  <c r="S64" i="8"/>
  <c r="U66" i="8"/>
  <c r="U71" i="8"/>
  <c r="U72" i="8"/>
  <c r="O80" i="8"/>
  <c r="U81" i="8"/>
  <c r="U91" i="8"/>
  <c r="U94" i="8"/>
  <c r="U95" i="8"/>
  <c r="O102" i="8"/>
  <c r="Q107" i="8"/>
  <c r="Q111" i="8"/>
  <c r="U125" i="8"/>
  <c r="Q146" i="8"/>
  <c r="U165" i="8"/>
  <c r="Q167" i="8"/>
  <c r="R175" i="8"/>
  <c r="R178" i="8"/>
  <c r="O181" i="8"/>
  <c r="S185" i="8"/>
  <c r="U187" i="8"/>
  <c r="S195" i="8"/>
  <c r="R205" i="8"/>
  <c r="S207" i="8"/>
  <c r="O216" i="8"/>
  <c r="R222" i="8"/>
  <c r="S223" i="8"/>
  <c r="S228" i="8"/>
  <c r="U230" i="8"/>
  <c r="U234" i="8"/>
  <c r="S240" i="8"/>
  <c r="Q251" i="8"/>
  <c r="R13" i="8"/>
  <c r="Q13" i="8"/>
  <c r="R8" i="8"/>
  <c r="Q8" i="8"/>
  <c r="AA6" i="8"/>
  <c r="AA10" i="8" s="1"/>
  <c r="S28" i="8"/>
  <c r="R28" i="8"/>
  <c r="Q28" i="8"/>
  <c r="S4" i="8"/>
  <c r="R4" i="8"/>
  <c r="Q4" i="8"/>
  <c r="Z5" i="8"/>
  <c r="Z9" i="8" s="1"/>
  <c r="Z26" i="8"/>
  <c r="AC23" i="8" s="1"/>
  <c r="Z6" i="8"/>
  <c r="Z10" i="8" s="1"/>
  <c r="S23" i="8"/>
  <c r="R23" i="8"/>
  <c r="Q23" i="8"/>
  <c r="U35" i="8"/>
  <c r="S35" i="8"/>
  <c r="R35" i="8"/>
  <c r="Q35" i="8"/>
  <c r="O49" i="8"/>
  <c r="O48" i="8"/>
  <c r="AA5" i="8"/>
  <c r="AA9" i="8" s="1"/>
  <c r="S18" i="8"/>
  <c r="R18" i="8"/>
  <c r="Q18" i="8"/>
  <c r="U24" i="8"/>
  <c r="S39" i="8"/>
  <c r="U39" i="8"/>
  <c r="R39" i="8"/>
  <c r="Q39" i="8"/>
  <c r="S46" i="8"/>
  <c r="AB5" i="8"/>
  <c r="AB9" i="8" s="1"/>
  <c r="S24" i="8"/>
  <c r="R24" i="8"/>
  <c r="R46" i="8"/>
  <c r="Q46" i="8"/>
  <c r="O9" i="8"/>
  <c r="O10" i="8"/>
  <c r="O20" i="8"/>
  <c r="O41" i="8"/>
  <c r="U6" i="8"/>
  <c r="S6" i="8"/>
  <c r="R6" i="8"/>
  <c r="Q6" i="8"/>
  <c r="S7" i="8"/>
  <c r="R7" i="8"/>
  <c r="Q7" i="8"/>
  <c r="U10" i="8"/>
  <c r="S10" i="8"/>
  <c r="Q10" i="8"/>
  <c r="AB6" i="8"/>
  <c r="AB10" i="8" s="1"/>
  <c r="U28" i="8"/>
  <c r="AA25" i="8"/>
  <c r="AB24" i="8" s="1"/>
  <c r="U4" i="8"/>
  <c r="U21" i="8"/>
  <c r="S21" i="8"/>
  <c r="R21" i="8"/>
  <c r="Q21" i="8"/>
  <c r="U23" i="8"/>
  <c r="AC5" i="8"/>
  <c r="AC9" i="8" s="1"/>
  <c r="S3" i="8"/>
  <c r="AA26" i="8"/>
  <c r="AC24" i="8" s="1"/>
  <c r="AC6" i="8"/>
  <c r="AC10" i="8" s="1"/>
  <c r="R3" i="8"/>
  <c r="Q3" i="8"/>
  <c r="R26" i="8"/>
  <c r="S34" i="8"/>
  <c r="U13" i="8"/>
  <c r="S26" i="8"/>
  <c r="Q26" i="8"/>
  <c r="R34" i="8"/>
  <c r="Q34" i="8"/>
  <c r="R73" i="8"/>
  <c r="Q73" i="8"/>
  <c r="U84" i="8"/>
  <c r="Q100" i="8"/>
  <c r="S100" i="8"/>
  <c r="Q117" i="8"/>
  <c r="S117" i="8"/>
  <c r="U134" i="8"/>
  <c r="S134" i="8"/>
  <c r="R134" i="8"/>
  <c r="Q134" i="8"/>
  <c r="S139" i="8"/>
  <c r="U139" i="8"/>
  <c r="R139" i="8"/>
  <c r="Q139" i="8"/>
  <c r="Q174" i="8"/>
  <c r="S174" i="8"/>
  <c r="R174" i="8"/>
  <c r="S16" i="8"/>
  <c r="R17" i="8"/>
  <c r="Q19" i="8"/>
  <c r="R20" i="8"/>
  <c r="S22" i="8"/>
  <c r="U31" i="8"/>
  <c r="S33" i="8"/>
  <c r="R37" i="8"/>
  <c r="Q40" i="8"/>
  <c r="S41" i="8"/>
  <c r="O42" i="8"/>
  <c r="S44" i="8"/>
  <c r="R44" i="8"/>
  <c r="S45" i="8"/>
  <c r="U48" i="8"/>
  <c r="U49" i="8"/>
  <c r="O51" i="8"/>
  <c r="O55" i="8"/>
  <c r="R58" i="8"/>
  <c r="O59" i="8"/>
  <c r="U62" i="8"/>
  <c r="R63" i="8"/>
  <c r="Q63" i="8"/>
  <c r="S67" i="8"/>
  <c r="R72" i="8"/>
  <c r="U74" i="8"/>
  <c r="O86" i="8"/>
  <c r="O87" i="8"/>
  <c r="U88" i="8"/>
  <c r="R93" i="8"/>
  <c r="Q93" i="8"/>
  <c r="Q106" i="8"/>
  <c r="S112" i="8"/>
  <c r="R112" i="8"/>
  <c r="Q112" i="8"/>
  <c r="S144" i="8"/>
  <c r="R144" i="8"/>
  <c r="U162" i="8"/>
  <c r="R168" i="8"/>
  <c r="Q168" i="8"/>
  <c r="U5" i="8"/>
  <c r="O21" i="8"/>
  <c r="S25" i="8"/>
  <c r="R25" i="8"/>
  <c r="R32" i="8"/>
  <c r="Q32" i="8"/>
  <c r="O34" i="8"/>
  <c r="O46" i="8"/>
  <c r="U53" i="8"/>
  <c r="R60" i="8"/>
  <c r="U64" i="8"/>
  <c r="O76" i="8"/>
  <c r="O77" i="8"/>
  <c r="S86" i="8"/>
  <c r="R86" i="8"/>
  <c r="U87" i="8"/>
  <c r="R87" i="8"/>
  <c r="S95" i="8"/>
  <c r="R95" i="8"/>
  <c r="Q95" i="8"/>
  <c r="S99" i="8"/>
  <c r="R99" i="8"/>
  <c r="Q99" i="8"/>
  <c r="U124" i="8"/>
  <c r="R124" i="8"/>
  <c r="Q124" i="8"/>
  <c r="S133" i="8"/>
  <c r="R133" i="8"/>
  <c r="Q133" i="8"/>
  <c r="U179" i="8"/>
  <c r="Q179" i="8"/>
  <c r="O18" i="8"/>
  <c r="U22" i="8"/>
  <c r="U33" i="8"/>
  <c r="U41" i="8"/>
  <c r="U45" i="8"/>
  <c r="O66" i="8"/>
  <c r="O67" i="8"/>
  <c r="R69" i="8"/>
  <c r="S76" i="8"/>
  <c r="R76" i="8"/>
  <c r="Q110" i="8"/>
  <c r="S110" i="8"/>
  <c r="S116" i="8"/>
  <c r="R116" i="8"/>
  <c r="Q116" i="8"/>
  <c r="Q141" i="8"/>
  <c r="S141" i="8"/>
  <c r="U151" i="8"/>
  <c r="S151" i="8"/>
  <c r="R151" i="8"/>
  <c r="Q151" i="8"/>
  <c r="S215" i="8"/>
  <c r="Q215" i="8"/>
  <c r="S14" i="8"/>
  <c r="S29" i="8"/>
  <c r="U36" i="8"/>
  <c r="U37" i="8"/>
  <c r="S54" i="8"/>
  <c r="R54" i="8"/>
  <c r="S66" i="8"/>
  <c r="R66" i="8"/>
  <c r="R103" i="8"/>
  <c r="Q103" i="8"/>
  <c r="O126" i="8"/>
  <c r="O127" i="8"/>
  <c r="U128" i="8"/>
  <c r="S128" i="8"/>
  <c r="R128" i="8"/>
  <c r="R138" i="8"/>
  <c r="Q138" i="8"/>
  <c r="O154" i="8"/>
  <c r="O155" i="8"/>
  <c r="S162" i="8"/>
  <c r="R162" i="8"/>
  <c r="O195" i="8"/>
  <c r="O194" i="8"/>
  <c r="O6" i="8"/>
  <c r="AD6" i="8"/>
  <c r="AD10" i="8" s="1"/>
  <c r="U12" i="8"/>
  <c r="AB26" i="8"/>
  <c r="AC25" i="8" s="1"/>
  <c r="S27" i="8"/>
  <c r="O28" i="8"/>
  <c r="S30" i="8"/>
  <c r="Q43" i="8"/>
  <c r="S47" i="8"/>
  <c r="S52" i="8"/>
  <c r="S75" i="8"/>
  <c r="Q82" i="8"/>
  <c r="S83" i="8"/>
  <c r="S92" i="8"/>
  <c r="R92" i="8"/>
  <c r="Q92" i="8"/>
  <c r="R100" i="8"/>
  <c r="S105" i="8"/>
  <c r="R105" i="8"/>
  <c r="Q105" i="8"/>
  <c r="S109" i="8"/>
  <c r="R109" i="8"/>
  <c r="Q109" i="8"/>
  <c r="R121" i="8"/>
  <c r="S121" i="8"/>
  <c r="Q121" i="8"/>
  <c r="U121" i="8"/>
  <c r="Q126" i="8"/>
  <c r="S126" i="8"/>
  <c r="O140" i="8"/>
  <c r="O141" i="8"/>
  <c r="R40" i="8"/>
  <c r="R42" i="8"/>
  <c r="Q42" i="8"/>
  <c r="R43" i="8"/>
  <c r="Q56" i="8"/>
  <c r="S59" i="8"/>
  <c r="Q72" i="8"/>
  <c r="S73" i="8"/>
  <c r="S79" i="8"/>
  <c r="Q79" i="8"/>
  <c r="S82" i="8"/>
  <c r="Q84" i="8"/>
  <c r="O88" i="8"/>
  <c r="S93" i="8"/>
  <c r="R117" i="8"/>
  <c r="S158" i="8"/>
  <c r="U158" i="8"/>
  <c r="R158" i="8"/>
  <c r="Q158" i="8"/>
  <c r="U189" i="8"/>
  <c r="Q189" i="8"/>
  <c r="Z24" i="8"/>
  <c r="AA23" i="8" s="1"/>
  <c r="U3" i="8"/>
  <c r="R9" i="8"/>
  <c r="R10" i="8"/>
  <c r="S13" i="8"/>
  <c r="S15" i="8"/>
  <c r="Q16" i="8"/>
  <c r="R19" i="8"/>
  <c r="Q24" i="8"/>
  <c r="Q31" i="8"/>
  <c r="U34" i="8"/>
  <c r="S40" i="8"/>
  <c r="S43" i="8"/>
  <c r="Q44" i="8"/>
  <c r="U46" i="8"/>
  <c r="Q48" i="8"/>
  <c r="R56" i="8"/>
  <c r="R57" i="8"/>
  <c r="Q60" i="8"/>
  <c r="Q62" i="8"/>
  <c r="S63" i="8"/>
  <c r="S69" i="8"/>
  <c r="Q69" i="8"/>
  <c r="S72" i="8"/>
  <c r="Q74" i="8"/>
  <c r="R84" i="8"/>
  <c r="Q86" i="8"/>
  <c r="Q87" i="8"/>
  <c r="Q90" i="8"/>
  <c r="S90" i="8"/>
  <c r="U93" i="8"/>
  <c r="U100" i="8"/>
  <c r="U102" i="8"/>
  <c r="U108" i="8"/>
  <c r="R113" i="8"/>
  <c r="Q113" i="8"/>
  <c r="U117" i="8"/>
  <c r="U120" i="8"/>
  <c r="U145" i="8"/>
  <c r="S145" i="8"/>
  <c r="Q145" i="8"/>
  <c r="S153" i="8"/>
  <c r="R153" i="8"/>
  <c r="Q153" i="8"/>
  <c r="U153" i="8"/>
  <c r="R16" i="8"/>
  <c r="U18" i="8"/>
  <c r="S19" i="8"/>
  <c r="Z25" i="8"/>
  <c r="AB23" i="8" s="1"/>
  <c r="Q25" i="8"/>
  <c r="U26" i="8"/>
  <c r="R31" i="8"/>
  <c r="S32" i="8"/>
  <c r="Q53" i="8"/>
  <c r="S57" i="8"/>
  <c r="S62" i="8"/>
  <c r="Q64" i="8"/>
  <c r="U73" i="8"/>
  <c r="R74" i="8"/>
  <c r="Q76" i="8"/>
  <c r="Q77" i="8"/>
  <c r="Q85" i="8"/>
  <c r="S87" i="8"/>
  <c r="U99" i="8"/>
  <c r="S102" i="8"/>
  <c r="R102" i="8"/>
  <c r="Q102" i="8"/>
  <c r="R110" i="8"/>
  <c r="U115" i="8"/>
  <c r="S115" i="8"/>
  <c r="R115" i="8"/>
  <c r="U116" i="8"/>
  <c r="S120" i="8"/>
  <c r="O123" i="8"/>
  <c r="S125" i="8"/>
  <c r="U133" i="8"/>
  <c r="R135" i="8"/>
  <c r="Q135" i="8"/>
  <c r="S135" i="8"/>
  <c r="U135" i="8"/>
  <c r="R141" i="8"/>
  <c r="O147" i="8"/>
  <c r="U169" i="8"/>
  <c r="Q169" i="8"/>
  <c r="Q5" i="8"/>
  <c r="S8" i="8"/>
  <c r="R27" i="8"/>
  <c r="Q27" i="8"/>
  <c r="O36" i="8"/>
  <c r="Q47" i="8"/>
  <c r="Q49" i="8"/>
  <c r="R50" i="8"/>
  <c r="R52" i="8"/>
  <c r="Q52" i="8"/>
  <c r="U63" i="8"/>
  <c r="Q66" i="8"/>
  <c r="Q75" i="8"/>
  <c r="U82" i="8"/>
  <c r="R83" i="8"/>
  <c r="Q83" i="8"/>
  <c r="R85" i="8"/>
  <c r="U86" i="8"/>
  <c r="S89" i="8"/>
  <c r="R89" i="8"/>
  <c r="Q89" i="8"/>
  <c r="O98" i="8"/>
  <c r="R120" i="8"/>
  <c r="R125" i="8"/>
  <c r="S129" i="8"/>
  <c r="R129" i="8"/>
  <c r="Q129" i="8"/>
  <c r="U141" i="8"/>
  <c r="S147" i="8"/>
  <c r="Q147" i="8"/>
  <c r="S163" i="8"/>
  <c r="R163" i="8"/>
  <c r="Q163" i="8"/>
  <c r="U202" i="8"/>
  <c r="R202" i="8"/>
  <c r="O91" i="8"/>
  <c r="U96" i="8"/>
  <c r="R97" i="8"/>
  <c r="O101" i="8"/>
  <c r="Q104" i="8"/>
  <c r="U106" i="8"/>
  <c r="R107" i="8"/>
  <c r="O111" i="8"/>
  <c r="Q114" i="8"/>
  <c r="R118" i="8"/>
  <c r="R122" i="8"/>
  <c r="S130" i="8"/>
  <c r="Q131" i="8"/>
  <c r="R136" i="8"/>
  <c r="R142" i="8"/>
  <c r="U146" i="8"/>
  <c r="R149" i="8"/>
  <c r="Q152" i="8"/>
  <c r="S152" i="8"/>
  <c r="O153" i="8"/>
  <c r="U159" i="8"/>
  <c r="Q173" i="8"/>
  <c r="S173" i="8"/>
  <c r="R173" i="8"/>
  <c r="U194" i="8"/>
  <c r="R212" i="8"/>
  <c r="U236" i="8"/>
  <c r="S239" i="8"/>
  <c r="R239" i="8"/>
  <c r="U239" i="8"/>
  <c r="Q239" i="8"/>
  <c r="O250" i="8"/>
  <c r="O251" i="8"/>
  <c r="O185" i="8"/>
  <c r="O184" i="8"/>
  <c r="S194" i="8"/>
  <c r="R194" i="8"/>
  <c r="Q194" i="8"/>
  <c r="R217" i="8"/>
  <c r="Q217" i="8"/>
  <c r="R165" i="8"/>
  <c r="S165" i="8"/>
  <c r="O166" i="8"/>
  <c r="Q172" i="8"/>
  <c r="S172" i="8"/>
  <c r="U172" i="8"/>
  <c r="R172" i="8"/>
  <c r="U181" i="8"/>
  <c r="S181" i="8"/>
  <c r="R181" i="8"/>
  <c r="Q181" i="8"/>
  <c r="R188" i="8"/>
  <c r="Q188" i="8"/>
  <c r="S204" i="8"/>
  <c r="R204" i="8"/>
  <c r="Q204" i="8"/>
  <c r="S214" i="8"/>
  <c r="R214" i="8"/>
  <c r="Q214" i="8"/>
  <c r="R88" i="8"/>
  <c r="R98" i="8"/>
  <c r="R108" i="8"/>
  <c r="R119" i="8"/>
  <c r="R123" i="8"/>
  <c r="S127" i="8"/>
  <c r="R132" i="8"/>
  <c r="R137" i="8"/>
  <c r="O145" i="8"/>
  <c r="S148" i="8"/>
  <c r="Q148" i="8"/>
  <c r="O149" i="8"/>
  <c r="R150" i="8"/>
  <c r="U154" i="8"/>
  <c r="R156" i="8"/>
  <c r="Q157" i="8"/>
  <c r="U191" i="8"/>
  <c r="S191" i="8"/>
  <c r="R191" i="8"/>
  <c r="Q191" i="8"/>
  <c r="S225" i="8"/>
  <c r="Q225" i="8"/>
  <c r="S235" i="8"/>
  <c r="Q235" i="8"/>
  <c r="S88" i="8"/>
  <c r="S98" i="8"/>
  <c r="S108" i="8"/>
  <c r="O116" i="8"/>
  <c r="Q118" i="8"/>
  <c r="S119" i="8"/>
  <c r="S123" i="8"/>
  <c r="R131" i="8"/>
  <c r="S132" i="8"/>
  <c r="S137" i="8"/>
  <c r="S150" i="8"/>
  <c r="R157" i="8"/>
  <c r="Q193" i="8"/>
  <c r="U193" i="8"/>
  <c r="S193" i="8"/>
  <c r="R193" i="8"/>
  <c r="U201" i="8"/>
  <c r="Q201" i="8"/>
  <c r="R211" i="8"/>
  <c r="Q211" i="8"/>
  <c r="R216" i="8"/>
  <c r="Q216" i="8"/>
  <c r="U216" i="8"/>
  <c r="S216" i="8"/>
  <c r="S227" i="8"/>
  <c r="R227" i="8"/>
  <c r="Q227" i="8"/>
  <c r="Q120" i="8"/>
  <c r="Q125" i="8"/>
  <c r="Q140" i="8"/>
  <c r="S143" i="8"/>
  <c r="S157" i="8"/>
  <c r="Q161" i="8"/>
  <c r="S171" i="8"/>
  <c r="R171" i="8"/>
  <c r="Q171" i="8"/>
  <c r="U173" i="8"/>
  <c r="Q178" i="8"/>
  <c r="Q183" i="8"/>
  <c r="U183" i="8"/>
  <c r="S183" i="8"/>
  <c r="R183" i="8"/>
  <c r="U213" i="8"/>
  <c r="S237" i="8"/>
  <c r="R237" i="8"/>
  <c r="Q237" i="8"/>
  <c r="U246" i="8"/>
  <c r="Q96" i="8"/>
  <c r="R152" i="8"/>
  <c r="S156" i="8"/>
  <c r="Q159" i="8"/>
  <c r="Q162" i="8"/>
  <c r="S190" i="8"/>
  <c r="R190" i="8"/>
  <c r="U203" i="8"/>
  <c r="S203" i="8"/>
  <c r="R203" i="8"/>
  <c r="R206" i="8"/>
  <c r="Q206" i="8"/>
  <c r="S206" i="8"/>
  <c r="S217" i="8"/>
  <c r="R96" i="8"/>
  <c r="R106" i="8"/>
  <c r="Q128" i="8"/>
  <c r="U144" i="8"/>
  <c r="R146" i="8"/>
  <c r="O157" i="8"/>
  <c r="R159" i="8"/>
  <c r="Q164" i="8"/>
  <c r="O174" i="8"/>
  <c r="Q192" i="8"/>
  <c r="S192" i="8"/>
  <c r="U192" i="8"/>
  <c r="R192" i="8"/>
  <c r="S213" i="8"/>
  <c r="R213" i="8"/>
  <c r="O230" i="8"/>
  <c r="S124" i="8"/>
  <c r="S138" i="8"/>
  <c r="U138" i="8"/>
  <c r="R145" i="8"/>
  <c r="U152" i="8"/>
  <c r="O160" i="8"/>
  <c r="Q165" i="8"/>
  <c r="U170" i="8"/>
  <c r="S170" i="8"/>
  <c r="R170" i="8"/>
  <c r="U174" i="8"/>
  <c r="U180" i="8"/>
  <c r="S180" i="8"/>
  <c r="Q180" i="8"/>
  <c r="Q182" i="8"/>
  <c r="S182" i="8"/>
  <c r="U182" i="8"/>
  <c r="R182" i="8"/>
  <c r="Q190" i="8"/>
  <c r="O208" i="8"/>
  <c r="U212" i="8"/>
  <c r="R215" i="8"/>
  <c r="U217" i="8"/>
  <c r="U222" i="8"/>
  <c r="R226" i="8"/>
  <c r="Q226" i="8"/>
  <c r="U226" i="8"/>
  <c r="S226" i="8"/>
  <c r="O239" i="8"/>
  <c r="O240" i="8"/>
  <c r="U240" i="8"/>
  <c r="S249" i="8"/>
  <c r="R249" i="8"/>
  <c r="R196" i="8"/>
  <c r="Q196" i="8"/>
  <c r="U207" i="8"/>
  <c r="O219" i="8"/>
  <c r="O220" i="8"/>
  <c r="S229" i="8"/>
  <c r="R229" i="8"/>
  <c r="Q234" i="8"/>
  <c r="R244" i="8"/>
  <c r="R186" i="8"/>
  <c r="Q186" i="8"/>
  <c r="O209" i="8"/>
  <c r="O210" i="8"/>
  <c r="S219" i="8"/>
  <c r="R219" i="8"/>
  <c r="R234" i="8"/>
  <c r="S246" i="8"/>
  <c r="Q252" i="8"/>
  <c r="S252" i="8"/>
  <c r="O254" i="8"/>
  <c r="R176" i="8"/>
  <c r="Q176" i="8"/>
  <c r="O199" i="8"/>
  <c r="O200" i="8"/>
  <c r="R201" i="8"/>
  <c r="O204" i="8"/>
  <c r="S208" i="8"/>
  <c r="S209" i="8"/>
  <c r="R209" i="8"/>
  <c r="S211" i="8"/>
  <c r="U223" i="8"/>
  <c r="Q242" i="8"/>
  <c r="S242" i="8"/>
  <c r="Q243" i="8"/>
  <c r="Q247" i="8"/>
  <c r="U254" i="8"/>
  <c r="O189" i="8"/>
  <c r="O190" i="8"/>
  <c r="S198" i="8"/>
  <c r="S199" i="8"/>
  <c r="R199" i="8"/>
  <c r="Q232" i="8"/>
  <c r="S232" i="8"/>
  <c r="Q233" i="8"/>
  <c r="U244" i="8"/>
  <c r="R247" i="8"/>
  <c r="Q249" i="8"/>
  <c r="Q250" i="8"/>
  <c r="S254" i="8"/>
  <c r="R254" i="8"/>
  <c r="Q254" i="8"/>
  <c r="O179" i="8"/>
  <c r="O180" i="8"/>
  <c r="S188" i="8"/>
  <c r="S189" i="8"/>
  <c r="R189" i="8"/>
  <c r="Q222" i="8"/>
  <c r="S222" i="8"/>
  <c r="Q240" i="8"/>
  <c r="R250" i="8"/>
  <c r="O169" i="8"/>
  <c r="O170" i="8"/>
  <c r="S178" i="8"/>
  <c r="S179" i="8"/>
  <c r="R179" i="8"/>
  <c r="Q184" i="8"/>
  <c r="Q205" i="8"/>
  <c r="Q212" i="8"/>
  <c r="S212" i="8"/>
  <c r="Q213" i="8"/>
  <c r="Q229" i="8"/>
  <c r="Q230" i="8"/>
  <c r="R240" i="8"/>
  <c r="R245" i="8"/>
  <c r="R246" i="8"/>
  <c r="Q246" i="8"/>
  <c r="U249" i="8"/>
  <c r="Q142" i="8"/>
  <c r="R155" i="8"/>
  <c r="S168" i="8"/>
  <c r="S169" i="8"/>
  <c r="R169" i="8"/>
  <c r="S196" i="8"/>
  <c r="Q202" i="8"/>
  <c r="S202" i="8"/>
  <c r="Q203" i="8"/>
  <c r="U214" i="8"/>
  <c r="Q219" i="8"/>
  <c r="R235" i="8"/>
  <c r="R236" i="8"/>
  <c r="Q236" i="8"/>
  <c r="O241" i="8"/>
  <c r="R253" i="8"/>
  <c r="U168" i="8"/>
  <c r="U178" i="8"/>
  <c r="U188" i="8"/>
  <c r="U198" i="8"/>
  <c r="U208" i="8"/>
  <c r="U218" i="8"/>
  <c r="U228" i="8"/>
  <c r="U238" i="8"/>
  <c r="U248" i="8"/>
  <c r="U175" i="8"/>
  <c r="U185" i="8"/>
  <c r="U195" i="8"/>
  <c r="U205" i="8"/>
  <c r="U215" i="8"/>
  <c r="U225" i="8"/>
  <c r="U235" i="8"/>
  <c r="U245" i="8"/>
  <c r="Y56" i="7"/>
  <c r="V250" i="7"/>
  <c r="S39" i="7"/>
  <c r="O71" i="7"/>
  <c r="O142" i="7"/>
  <c r="Q173" i="7"/>
  <c r="R194" i="7"/>
  <c r="S15" i="7"/>
  <c r="R29" i="7"/>
  <c r="Q39" i="7"/>
  <c r="R61" i="7"/>
  <c r="S72" i="7"/>
  <c r="S92" i="7"/>
  <c r="S124" i="7"/>
  <c r="R160" i="7"/>
  <c r="S166" i="7"/>
  <c r="S192" i="7"/>
  <c r="S200" i="7"/>
  <c r="S212" i="7"/>
  <c r="S231" i="7"/>
  <c r="R252" i="7"/>
  <c r="R31" i="7"/>
  <c r="R44" i="7"/>
  <c r="S47" i="7"/>
  <c r="O49" i="7"/>
  <c r="O65" i="7"/>
  <c r="O76" i="7"/>
  <c r="O94" i="7"/>
  <c r="Q110" i="7"/>
  <c r="S126" i="7"/>
  <c r="R152" i="7"/>
  <c r="R173" i="7"/>
  <c r="R180" i="7"/>
  <c r="O209" i="7"/>
  <c r="Q221" i="7"/>
  <c r="O225" i="7"/>
  <c r="S228" i="7"/>
  <c r="O251" i="7"/>
  <c r="S10" i="7"/>
  <c r="O31" i="7"/>
  <c r="S60" i="7"/>
  <c r="R113" i="7"/>
  <c r="O131" i="7"/>
  <c r="S193" i="7"/>
  <c r="R220" i="7"/>
  <c r="Q252" i="7"/>
  <c r="S3" i="7"/>
  <c r="S6" i="7"/>
  <c r="S17" i="7"/>
  <c r="O21" i="7"/>
  <c r="O74" i="7"/>
  <c r="S139" i="7"/>
  <c r="S172" i="7"/>
  <c r="S211" i="7"/>
  <c r="O16" i="7"/>
  <c r="R28" i="7"/>
  <c r="O32" i="7"/>
  <c r="R40" i="7"/>
  <c r="S51" i="7"/>
  <c r="O64" i="7"/>
  <c r="S73" i="7"/>
  <c r="Q93" i="7"/>
  <c r="S106" i="7"/>
  <c r="O111" i="7"/>
  <c r="O127" i="7"/>
  <c r="O132" i="7"/>
  <c r="O137" i="7"/>
  <c r="O143" i="7"/>
  <c r="S151" i="7"/>
  <c r="R174" i="7"/>
  <c r="S179" i="7"/>
  <c r="O208" i="7"/>
  <c r="R212" i="7"/>
  <c r="O224" i="7"/>
  <c r="S232" i="7"/>
  <c r="S32" i="7"/>
  <c r="O45" i="7"/>
  <c r="Q48" i="7"/>
  <c r="O57" i="7"/>
  <c r="O72" i="7"/>
  <c r="O85" i="7"/>
  <c r="O91" i="7"/>
  <c r="S146" i="7"/>
  <c r="R159" i="7"/>
  <c r="O166" i="7"/>
  <c r="O181" i="7"/>
  <c r="O187" i="7"/>
  <c r="O205" i="7"/>
  <c r="Q233" i="7"/>
  <c r="S248" i="7"/>
  <c r="Q16" i="7"/>
  <c r="O30" i="7"/>
  <c r="Q43" i="7"/>
  <c r="O61" i="7"/>
  <c r="S62" i="7"/>
  <c r="S67" i="7"/>
  <c r="S69" i="7"/>
  <c r="S78" i="7"/>
  <c r="O95" i="7"/>
  <c r="O100" i="7"/>
  <c r="R104" i="7"/>
  <c r="O145" i="7"/>
  <c r="S153" i="7"/>
  <c r="R187" i="7"/>
  <c r="O197" i="7"/>
  <c r="Q200" i="7"/>
  <c r="R219" i="7"/>
  <c r="O221" i="7"/>
  <c r="R227" i="7"/>
  <c r="O247" i="7"/>
  <c r="O253" i="7"/>
  <c r="AC5" i="7"/>
  <c r="AC9" i="7" s="1"/>
  <c r="S5" i="7"/>
  <c r="Q29" i="7"/>
  <c r="S37" i="7"/>
  <c r="S42" i="7"/>
  <c r="Q59" i="7"/>
  <c r="Q61" i="7"/>
  <c r="O82" i="7"/>
  <c r="S93" i="7"/>
  <c r="R124" i="7"/>
  <c r="S140" i="7"/>
  <c r="Q153" i="7"/>
  <c r="O202" i="7"/>
  <c r="R213" i="7"/>
  <c r="O218" i="7"/>
  <c r="O231" i="7"/>
  <c r="R234" i="7"/>
  <c r="O239" i="7"/>
  <c r="R247" i="7"/>
  <c r="O78" i="7"/>
  <c r="Q180" i="7"/>
  <c r="S4" i="7"/>
  <c r="Q24" i="7"/>
  <c r="O27" i="7"/>
  <c r="S34" i="7"/>
  <c r="S40" i="7"/>
  <c r="Q44" i="7"/>
  <c r="S55" i="7"/>
  <c r="Q58" i="7"/>
  <c r="O60" i="7"/>
  <c r="O67" i="7"/>
  <c r="O69" i="7"/>
  <c r="O80" i="7"/>
  <c r="O147" i="7"/>
  <c r="S152" i="7"/>
  <c r="S155" i="7"/>
  <c r="S160" i="7"/>
  <c r="O168" i="7"/>
  <c r="Q172" i="7"/>
  <c r="O6" i="7"/>
  <c r="Y6" i="7"/>
  <c r="Y10" i="7" s="1"/>
  <c r="Q17" i="7"/>
  <c r="R27" i="7"/>
  <c r="S29" i="7"/>
  <c r="R37" i="7"/>
  <c r="S46" i="7"/>
  <c r="R48" i="7"/>
  <c r="Q50" i="7"/>
  <c r="S61" i="7"/>
  <c r="S66" i="7"/>
  <c r="R69" i="7"/>
  <c r="S77" i="7"/>
  <c r="O101" i="7"/>
  <c r="R105" i="7"/>
  <c r="O110" i="7"/>
  <c r="O122" i="7"/>
  <c r="S154" i="7"/>
  <c r="O157" i="7"/>
  <c r="S173" i="7"/>
  <c r="Q193" i="7"/>
  <c r="Q194" i="7"/>
  <c r="Q219" i="7"/>
  <c r="O233" i="7"/>
  <c r="O237" i="7"/>
  <c r="S240" i="7"/>
  <c r="O249" i="7"/>
  <c r="Q13" i="7"/>
  <c r="R21" i="7"/>
  <c r="S27" i="7"/>
  <c r="S41" i="7"/>
  <c r="S52" i="7"/>
  <c r="S63" i="7"/>
  <c r="Q66" i="7"/>
  <c r="S74" i="7"/>
  <c r="Q77" i="7"/>
  <c r="R80" i="7"/>
  <c r="R86" i="7"/>
  <c r="S96" i="7"/>
  <c r="O98" i="7"/>
  <c r="O107" i="7"/>
  <c r="S125" i="7"/>
  <c r="S161" i="7"/>
  <c r="Q165" i="7"/>
  <c r="O170" i="7"/>
  <c r="S175" i="7"/>
  <c r="R179" i="7"/>
  <c r="S186" i="7"/>
  <c r="Q192" i="7"/>
  <c r="R193" i="7"/>
  <c r="O211" i="7"/>
  <c r="O229" i="7"/>
  <c r="Q249" i="7"/>
  <c r="R57" i="7"/>
  <c r="O68" i="7"/>
  <c r="O79" i="7"/>
  <c r="O83" i="7"/>
  <c r="O167" i="7"/>
  <c r="S174" i="7"/>
  <c r="R188" i="7"/>
  <c r="R192" i="7"/>
  <c r="R200" i="7"/>
  <c r="O223" i="7"/>
  <c r="Q229" i="7"/>
  <c r="O245" i="7"/>
  <c r="O248" i="7"/>
  <c r="Q10" i="7"/>
  <c r="Q12" i="7"/>
  <c r="S36" i="7"/>
  <c r="O44" i="7"/>
  <c r="S54" i="7"/>
  <c r="S65" i="7"/>
  <c r="Q68" i="7"/>
  <c r="O70" i="7"/>
  <c r="R71" i="7"/>
  <c r="S76" i="7"/>
  <c r="Q79" i="7"/>
  <c r="O81" i="7"/>
  <c r="R92" i="7"/>
  <c r="Q114" i="7"/>
  <c r="R140" i="7"/>
  <c r="S181" i="7"/>
  <c r="S188" i="7"/>
  <c r="S195" i="7"/>
  <c r="R199" i="7"/>
  <c r="S206" i="7"/>
  <c r="Q213" i="7"/>
  <c r="Q214" i="7"/>
  <c r="Q220" i="7"/>
  <c r="S226" i="7"/>
  <c r="Q235" i="7"/>
  <c r="Q239" i="7"/>
  <c r="O243" i="7"/>
  <c r="R248" i="7"/>
  <c r="R251" i="7"/>
  <c r="S8" i="7"/>
  <c r="R24" i="7"/>
  <c r="S30" i="7"/>
  <c r="O33" i="7"/>
  <c r="R39" i="7"/>
  <c r="Q51" i="7"/>
  <c r="O55" i="7"/>
  <c r="R58" i="7"/>
  <c r="Q60" i="7"/>
  <c r="O63" i="7"/>
  <c r="R95" i="7"/>
  <c r="O96" i="7"/>
  <c r="Q104" i="7"/>
  <c r="R106" i="7"/>
  <c r="Q130" i="7"/>
  <c r="S138" i="7"/>
  <c r="O144" i="7"/>
  <c r="O165" i="7"/>
  <c r="S194" i="7"/>
  <c r="R195" i="7"/>
  <c r="O203" i="7"/>
  <c r="R208" i="7"/>
  <c r="Q212" i="7"/>
  <c r="R228" i="7"/>
  <c r="R231" i="7"/>
  <c r="Q245" i="7"/>
  <c r="O246" i="7"/>
  <c r="Q253" i="7"/>
  <c r="O38" i="7"/>
  <c r="R59" i="7"/>
  <c r="R67" i="7"/>
  <c r="O75" i="7"/>
  <c r="R78" i="7"/>
  <c r="S80" i="7"/>
  <c r="R85" i="7"/>
  <c r="S103" i="7"/>
  <c r="R125" i="7"/>
  <c r="R135" i="7"/>
  <c r="S141" i="7"/>
  <c r="R204" i="7"/>
  <c r="O207" i="7"/>
  <c r="S215" i="7"/>
  <c r="S221" i="7"/>
  <c r="R224" i="7"/>
  <c r="O227" i="7"/>
  <c r="R233" i="7"/>
  <c r="R244" i="7"/>
  <c r="O46" i="7"/>
  <c r="AA5" i="7"/>
  <c r="AA9" i="7" s="1"/>
  <c r="R13" i="7"/>
  <c r="R43" i="7"/>
  <c r="S56" i="7"/>
  <c r="R5" i="7"/>
  <c r="O11" i="7"/>
  <c r="S11" i="7"/>
  <c r="S13" i="7"/>
  <c r="R16" i="7"/>
  <c r="S25" i="7"/>
  <c r="S33" i="7"/>
  <c r="Q38" i="7"/>
  <c r="Q40" i="7"/>
  <c r="R47" i="7"/>
  <c r="Q49" i="7"/>
  <c r="S50" i="7"/>
  <c r="S53" i="7"/>
  <c r="Q56" i="7"/>
  <c r="S57" i="7"/>
  <c r="S64" i="7"/>
  <c r="S75" i="7"/>
  <c r="S94" i="7"/>
  <c r="S115" i="7"/>
  <c r="R145" i="7"/>
  <c r="Q152" i="7"/>
  <c r="R153" i="7"/>
  <c r="R154" i="7"/>
  <c r="Q160" i="7"/>
  <c r="O171" i="7"/>
  <c r="O189" i="7"/>
  <c r="S214" i="7"/>
  <c r="R215" i="7"/>
  <c r="O217" i="7"/>
  <c r="R232" i="7"/>
  <c r="S238" i="7"/>
  <c r="S241" i="7"/>
  <c r="S250" i="7"/>
  <c r="Q5" i="7"/>
  <c r="S22" i="7"/>
  <c r="Q28" i="7"/>
  <c r="O41" i="7"/>
  <c r="R4" i="7"/>
  <c r="R12" i="7"/>
  <c r="O24" i="7"/>
  <c r="S31" i="7"/>
  <c r="S35" i="7"/>
  <c r="O36" i="7"/>
  <c r="R42" i="7"/>
  <c r="S49" i="7"/>
  <c r="O51" i="7"/>
  <c r="O58" i="7"/>
  <c r="R68" i="7"/>
  <c r="Q70" i="7"/>
  <c r="R79" i="7"/>
  <c r="S81" i="7"/>
  <c r="R87" i="7"/>
  <c r="O89" i="7"/>
  <c r="Q115" i="7"/>
  <c r="Q134" i="7"/>
  <c r="S148" i="7"/>
  <c r="O150" i="7"/>
  <c r="Q174" i="7"/>
  <c r="S220" i="7"/>
  <c r="O222" i="7"/>
  <c r="S230" i="7"/>
  <c r="S235" i="7"/>
  <c r="Q248" i="7"/>
  <c r="S251" i="7"/>
  <c r="O15" i="7"/>
  <c r="O14" i="7"/>
  <c r="R8" i="7"/>
  <c r="Q8" i="7"/>
  <c r="S23" i="7"/>
  <c r="R23" i="7"/>
  <c r="Q23" i="7"/>
  <c r="O28" i="7"/>
  <c r="S14" i="7"/>
  <c r="R14" i="7"/>
  <c r="Q14" i="7"/>
  <c r="S19" i="7"/>
  <c r="R19" i="7"/>
  <c r="Q19" i="7"/>
  <c r="R25" i="7"/>
  <c r="Q25" i="7"/>
  <c r="R6" i="7"/>
  <c r="Q6" i="7"/>
  <c r="Y23" i="7"/>
  <c r="Z22" i="7" s="1"/>
  <c r="S7" i="7"/>
  <c r="R7" i="7"/>
  <c r="Q7" i="7"/>
  <c r="Z6" i="7"/>
  <c r="Z10" i="7" s="1"/>
  <c r="R11" i="7"/>
  <c r="Q11" i="7"/>
  <c r="O3" i="7"/>
  <c r="AA6" i="7"/>
  <c r="AA10" i="7" s="1"/>
  <c r="AA13" i="7" s="1"/>
  <c r="S9" i="7"/>
  <c r="R9" i="7"/>
  <c r="Q9" i="7"/>
  <c r="O13" i="7"/>
  <c r="S18" i="7"/>
  <c r="R18" i="7"/>
  <c r="Q18" i="7"/>
  <c r="Y24" i="7"/>
  <c r="AA22" i="7" s="1"/>
  <c r="AB5" i="7"/>
  <c r="AB9" i="7" s="1"/>
  <c r="AB6" i="7"/>
  <c r="AB10" i="7" s="1"/>
  <c r="R15" i="7"/>
  <c r="Q15" i="7"/>
  <c r="Z24" i="7"/>
  <c r="AA23" i="7" s="1"/>
  <c r="AC6" i="7"/>
  <c r="AC10" i="7" s="1"/>
  <c r="AC13" i="7" s="1"/>
  <c r="O17" i="7"/>
  <c r="S20" i="7"/>
  <c r="R20" i="7"/>
  <c r="Q20" i="7"/>
  <c r="O22" i="7"/>
  <c r="O23" i="7"/>
  <c r="S26" i="7"/>
  <c r="R26" i="7"/>
  <c r="Q26" i="7"/>
  <c r="R91" i="7"/>
  <c r="Q91" i="7"/>
  <c r="Q99" i="7"/>
  <c r="S99" i="7"/>
  <c r="R99" i="7"/>
  <c r="R112" i="7"/>
  <c r="Q112" i="7"/>
  <c r="S120" i="7"/>
  <c r="R120" i="7"/>
  <c r="O124" i="7"/>
  <c r="O123" i="7"/>
  <c r="Q157" i="7"/>
  <c r="S157" i="7"/>
  <c r="R157" i="7"/>
  <c r="Q177" i="7"/>
  <c r="S177" i="7"/>
  <c r="R177" i="7"/>
  <c r="S223" i="7"/>
  <c r="R223" i="7"/>
  <c r="Q223" i="7"/>
  <c r="R3" i="7"/>
  <c r="O5" i="7"/>
  <c r="O10" i="7"/>
  <c r="S12" i="7"/>
  <c r="S16" i="7"/>
  <c r="S24" i="7"/>
  <c r="S28" i="7"/>
  <c r="O29" i="7"/>
  <c r="Q34" i="7"/>
  <c r="S38" i="7"/>
  <c r="S48" i="7"/>
  <c r="S58" i="7"/>
  <c r="S68" i="7"/>
  <c r="S79" i="7"/>
  <c r="Q81" i="7"/>
  <c r="O84" i="7"/>
  <c r="S85" i="7"/>
  <c r="O90" i="7"/>
  <c r="O102" i="7"/>
  <c r="Q103" i="7"/>
  <c r="O108" i="7"/>
  <c r="Q117" i="7"/>
  <c r="S117" i="7"/>
  <c r="R117" i="7"/>
  <c r="S130" i="7"/>
  <c r="R130" i="7"/>
  <c r="O134" i="7"/>
  <c r="O133" i="7"/>
  <c r="Q145" i="7"/>
  <c r="R151" i="7"/>
  <c r="Q151" i="7"/>
  <c r="R164" i="7"/>
  <c r="R171" i="7"/>
  <c r="Q171" i="7"/>
  <c r="R184" i="7"/>
  <c r="R191" i="7"/>
  <c r="Q191" i="7"/>
  <c r="R34" i="7"/>
  <c r="Q84" i="7"/>
  <c r="S90" i="7"/>
  <c r="R90" i="7"/>
  <c r="R102" i="7"/>
  <c r="Q102" i="7"/>
  <c r="R108" i="7"/>
  <c r="S108" i="7"/>
  <c r="Q108" i="7"/>
  <c r="S111" i="7"/>
  <c r="R111" i="7"/>
  <c r="Q111" i="7"/>
  <c r="R123" i="7"/>
  <c r="Q123" i="7"/>
  <c r="Q127" i="7"/>
  <c r="S127" i="7"/>
  <c r="R127" i="7"/>
  <c r="Q137" i="7"/>
  <c r="S137" i="7"/>
  <c r="R137" i="7"/>
  <c r="S143" i="7"/>
  <c r="R143" i="7"/>
  <c r="Q143" i="7"/>
  <c r="R201" i="7"/>
  <c r="Q201" i="7"/>
  <c r="S210" i="7"/>
  <c r="R210" i="7"/>
  <c r="Q210" i="7"/>
  <c r="S246" i="7"/>
  <c r="Q52" i="7"/>
  <c r="Q62" i="7"/>
  <c r="Q72" i="7"/>
  <c r="R83" i="7"/>
  <c r="Q83" i="7"/>
  <c r="Q105" i="7"/>
  <c r="Q119" i="7"/>
  <c r="S119" i="7"/>
  <c r="R119" i="7"/>
  <c r="R133" i="7"/>
  <c r="Q133" i="7"/>
  <c r="Q138" i="7"/>
  <c r="R161" i="7"/>
  <c r="Q161" i="7"/>
  <c r="R181" i="7"/>
  <c r="Q181" i="7"/>
  <c r="R196" i="7"/>
  <c r="Q196" i="7"/>
  <c r="S196" i="7"/>
  <c r="Q225" i="7"/>
  <c r="Y25" i="7"/>
  <c r="AB22" i="7" s="1"/>
  <c r="O25" i="7"/>
  <c r="Q30" i="7"/>
  <c r="Q35" i="7"/>
  <c r="Q45" i="7"/>
  <c r="R52" i="7"/>
  <c r="Q53" i="7"/>
  <c r="R62" i="7"/>
  <c r="Q63" i="7"/>
  <c r="R72" i="7"/>
  <c r="Q73" i="7"/>
  <c r="S82" i="7"/>
  <c r="R82" i="7"/>
  <c r="Q89" i="7"/>
  <c r="S89" i="7"/>
  <c r="R89" i="7"/>
  <c r="Q94" i="7"/>
  <c r="Q95" i="7"/>
  <c r="Q96" i="7"/>
  <c r="R98" i="7"/>
  <c r="S98" i="7"/>
  <c r="Q98" i="7"/>
  <c r="S101" i="7"/>
  <c r="R101" i="7"/>
  <c r="Q101" i="7"/>
  <c r="R116" i="7"/>
  <c r="Q116" i="7"/>
  <c r="S122" i="7"/>
  <c r="R122" i="7"/>
  <c r="Q122" i="7"/>
  <c r="Q129" i="7"/>
  <c r="S129" i="7"/>
  <c r="R129" i="7"/>
  <c r="S150" i="7"/>
  <c r="R150" i="7"/>
  <c r="Q150" i="7"/>
  <c r="R156" i="7"/>
  <c r="Q156" i="7"/>
  <c r="S156" i="7"/>
  <c r="S170" i="7"/>
  <c r="R170" i="7"/>
  <c r="Q170" i="7"/>
  <c r="R176" i="7"/>
  <c r="Q176" i="7"/>
  <c r="S176" i="7"/>
  <c r="S190" i="7"/>
  <c r="R190" i="7"/>
  <c r="Q190" i="7"/>
  <c r="S203" i="7"/>
  <c r="R203" i="7"/>
  <c r="Q203" i="7"/>
  <c r="S222" i="7"/>
  <c r="R222" i="7"/>
  <c r="Q222" i="7"/>
  <c r="Q237" i="7"/>
  <c r="S237" i="7"/>
  <c r="R237" i="7"/>
  <c r="S243" i="7"/>
  <c r="R243" i="7"/>
  <c r="Q243" i="7"/>
  <c r="Z25" i="7"/>
  <c r="AB23" i="7" s="1"/>
  <c r="R30" i="7"/>
  <c r="Q31" i="7"/>
  <c r="R35" i="7"/>
  <c r="Q41" i="7"/>
  <c r="R45" i="7"/>
  <c r="R53" i="7"/>
  <c r="Q54" i="7"/>
  <c r="R63" i="7"/>
  <c r="Q64" i="7"/>
  <c r="R73" i="7"/>
  <c r="Q74" i="7"/>
  <c r="Q75" i="7"/>
  <c r="Q86" i="7"/>
  <c r="R94" i="7"/>
  <c r="O99" i="7"/>
  <c r="R103" i="7"/>
  <c r="Q107" i="7"/>
  <c r="S107" i="7"/>
  <c r="R107" i="7"/>
  <c r="S110" i="7"/>
  <c r="R110" i="7"/>
  <c r="S112" i="7"/>
  <c r="O116" i="7"/>
  <c r="O115" i="7"/>
  <c r="Q120" i="7"/>
  <c r="R126" i="7"/>
  <c r="Q126" i="7"/>
  <c r="S132" i="7"/>
  <c r="R132" i="7"/>
  <c r="Q132" i="7"/>
  <c r="R134" i="7"/>
  <c r="S142" i="7"/>
  <c r="R142" i="7"/>
  <c r="S163" i="7"/>
  <c r="R163" i="7"/>
  <c r="Q163" i="7"/>
  <c r="S183" i="7"/>
  <c r="R183" i="7"/>
  <c r="Q183" i="7"/>
  <c r="O195" i="7"/>
  <c r="O196" i="7"/>
  <c r="Q209" i="7"/>
  <c r="S209" i="7"/>
  <c r="R209" i="7"/>
  <c r="O213" i="7"/>
  <c r="O212" i="7"/>
  <c r="S218" i="7"/>
  <c r="Q218" i="7"/>
  <c r="Y5" i="7"/>
  <c r="Y9" i="7" s="1"/>
  <c r="Y13" i="7" s="1"/>
  <c r="AA25" i="7"/>
  <c r="AB24" i="7" s="1"/>
  <c r="Q32" i="7"/>
  <c r="Q36" i="7"/>
  <c r="Q46" i="7"/>
  <c r="R54" i="7"/>
  <c r="Q55" i="7"/>
  <c r="O56" i="7"/>
  <c r="R64" i="7"/>
  <c r="Q65" i="7"/>
  <c r="O66" i="7"/>
  <c r="R74" i="7"/>
  <c r="R75" i="7"/>
  <c r="Q76" i="7"/>
  <c r="O77" i="7"/>
  <c r="Q85" i="7"/>
  <c r="S86" i="7"/>
  <c r="S91" i="7"/>
  <c r="O118" i="7"/>
  <c r="S123" i="7"/>
  <c r="O126" i="7"/>
  <c r="O125" i="7"/>
  <c r="S134" i="7"/>
  <c r="R136" i="7"/>
  <c r="Q136" i="7"/>
  <c r="S136" i="7"/>
  <c r="O155" i="7"/>
  <c r="O156" i="7"/>
  <c r="S171" i="7"/>
  <c r="O175" i="7"/>
  <c r="O176" i="7"/>
  <c r="S191" i="7"/>
  <c r="Z5" i="7"/>
  <c r="Z9" i="7" s="1"/>
  <c r="Q22" i="7"/>
  <c r="Q27" i="7"/>
  <c r="R32" i="7"/>
  <c r="R36" i="7"/>
  <c r="R46" i="7"/>
  <c r="R55" i="7"/>
  <c r="R65" i="7"/>
  <c r="R76" i="7"/>
  <c r="R84" i="7"/>
  <c r="R88" i="7"/>
  <c r="S88" i="7"/>
  <c r="Q88" i="7"/>
  <c r="Q90" i="7"/>
  <c r="Q97" i="7"/>
  <c r="S97" i="7"/>
  <c r="R97" i="7"/>
  <c r="S100" i="7"/>
  <c r="R100" i="7"/>
  <c r="S102" i="7"/>
  <c r="O106" i="7"/>
  <c r="O105" i="7"/>
  <c r="O114" i="7"/>
  <c r="O113" i="7"/>
  <c r="R118" i="7"/>
  <c r="S118" i="7"/>
  <c r="Q118" i="7"/>
  <c r="S121" i="7"/>
  <c r="R121" i="7"/>
  <c r="Q121" i="7"/>
  <c r="O128" i="7"/>
  <c r="S133" i="7"/>
  <c r="O136" i="7"/>
  <c r="O135" i="7"/>
  <c r="Q149" i="7"/>
  <c r="S149" i="7"/>
  <c r="R149" i="7"/>
  <c r="Q169" i="7"/>
  <c r="S169" i="7"/>
  <c r="R169" i="7"/>
  <c r="Q189" i="7"/>
  <c r="S189" i="7"/>
  <c r="R189" i="7"/>
  <c r="O193" i="7"/>
  <c r="O192" i="7"/>
  <c r="S198" i="7"/>
  <c r="Q198" i="7"/>
  <c r="Q217" i="7"/>
  <c r="S217" i="7"/>
  <c r="R217" i="7"/>
  <c r="R22" i="7"/>
  <c r="Q33" i="7"/>
  <c r="Q37" i="7"/>
  <c r="Q42" i="7"/>
  <c r="Q47" i="7"/>
  <c r="R56" i="7"/>
  <c r="Q57" i="7"/>
  <c r="R66" i="7"/>
  <c r="Q67" i="7"/>
  <c r="R77" i="7"/>
  <c r="Q78" i="7"/>
  <c r="S84" i="7"/>
  <c r="O87" i="7"/>
  <c r="O92" i="7"/>
  <c r="S95" i="7"/>
  <c r="R96" i="7"/>
  <c r="S105" i="7"/>
  <c r="Q109" i="7"/>
  <c r="S109" i="7"/>
  <c r="R109" i="7"/>
  <c r="O119" i="7"/>
  <c r="Q125" i="7"/>
  <c r="R128" i="7"/>
  <c r="S128" i="7"/>
  <c r="Q128" i="7"/>
  <c r="S131" i="7"/>
  <c r="R131" i="7"/>
  <c r="Q131" i="7"/>
  <c r="S135" i="7"/>
  <c r="S144" i="7"/>
  <c r="R144" i="7"/>
  <c r="Q144" i="7"/>
  <c r="O148" i="7"/>
  <c r="O153" i="7"/>
  <c r="O152" i="7"/>
  <c r="R155" i="7"/>
  <c r="Q155" i="7"/>
  <c r="S158" i="7"/>
  <c r="Q158" i="7"/>
  <c r="O173" i="7"/>
  <c r="O172" i="7"/>
  <c r="S178" i="7"/>
  <c r="Q178" i="7"/>
  <c r="S202" i="7"/>
  <c r="R202" i="7"/>
  <c r="Q202" i="7"/>
  <c r="S83" i="7"/>
  <c r="O86" i="7"/>
  <c r="Q87" i="7"/>
  <c r="S87" i="7"/>
  <c r="Q92" i="7"/>
  <c r="O104" i="7"/>
  <c r="O103" i="7"/>
  <c r="O112" i="7"/>
  <c r="Q113" i="7"/>
  <c r="S116" i="7"/>
  <c r="Q124" i="7"/>
  <c r="O129" i="7"/>
  <c r="Q135" i="7"/>
  <c r="Q142" i="7"/>
  <c r="R148" i="7"/>
  <c r="Q148" i="7"/>
  <c r="S162" i="7"/>
  <c r="R162" i="7"/>
  <c r="Q162" i="7"/>
  <c r="S182" i="7"/>
  <c r="R182" i="7"/>
  <c r="Q182" i="7"/>
  <c r="Q185" i="7"/>
  <c r="Q197" i="7"/>
  <c r="S197" i="7"/>
  <c r="R197" i="7"/>
  <c r="S201" i="7"/>
  <c r="R211" i="7"/>
  <c r="Q211" i="7"/>
  <c r="S242" i="7"/>
  <c r="R242" i="7"/>
  <c r="Q242" i="7"/>
  <c r="O190" i="7"/>
  <c r="O210" i="7"/>
  <c r="O230" i="7"/>
  <c r="O250" i="7"/>
  <c r="R216" i="7"/>
  <c r="Q216" i="7"/>
  <c r="R236" i="7"/>
  <c r="Q236" i="7"/>
  <c r="R168" i="7"/>
  <c r="Q238" i="7"/>
  <c r="R239" i="7"/>
  <c r="R240" i="7"/>
  <c r="Q241" i="7"/>
  <c r="O242" i="7"/>
  <c r="S219" i="7"/>
  <c r="R221" i="7"/>
  <c r="S234" i="7"/>
  <c r="S239" i="7"/>
  <c r="R241" i="7"/>
  <c r="S254" i="7"/>
  <c r="R254" i="7"/>
  <c r="Q254" i="7"/>
  <c r="Q147" i="7"/>
  <c r="S147" i="7"/>
  <c r="Q164" i="7"/>
  <c r="Q167" i="7"/>
  <c r="S167" i="7"/>
  <c r="Q184" i="7"/>
  <c r="Q187" i="7"/>
  <c r="S187" i="7"/>
  <c r="Q204" i="7"/>
  <c r="Q207" i="7"/>
  <c r="S207" i="7"/>
  <c r="Q224" i="7"/>
  <c r="Q227" i="7"/>
  <c r="S227" i="7"/>
  <c r="Q244" i="7"/>
  <c r="Q247" i="7"/>
  <c r="S247" i="7"/>
  <c r="O140" i="7"/>
  <c r="O160" i="7"/>
  <c r="O180" i="7"/>
  <c r="O200" i="7"/>
  <c r="O220" i="7"/>
  <c r="O240" i="7"/>
  <c r="O138" i="7"/>
  <c r="Q139" i="7"/>
  <c r="R146" i="7"/>
  <c r="Q146" i="7"/>
  <c r="O158" i="7"/>
  <c r="Q159" i="7"/>
  <c r="R166" i="7"/>
  <c r="Q166" i="7"/>
  <c r="O178" i="7"/>
  <c r="Q179" i="7"/>
  <c r="R186" i="7"/>
  <c r="Q186" i="7"/>
  <c r="O198" i="7"/>
  <c r="Q199" i="7"/>
  <c r="R206" i="7"/>
  <c r="Q206" i="7"/>
  <c r="O216" i="7"/>
  <c r="R226" i="7"/>
  <c r="Q226" i="7"/>
  <c r="Q230" i="7"/>
  <c r="O236" i="7"/>
  <c r="R246" i="7"/>
  <c r="Q246" i="7"/>
  <c r="Q250" i="7"/>
  <c r="O120" i="7"/>
  <c r="O130" i="7"/>
  <c r="R138" i="7"/>
  <c r="S145" i="7"/>
  <c r="R158" i="7"/>
  <c r="S165" i="7"/>
  <c r="Q168" i="7"/>
  <c r="R178" i="7"/>
  <c r="S185" i="7"/>
  <c r="Q188" i="7"/>
  <c r="R198" i="7"/>
  <c r="S205" i="7"/>
  <c r="Q208" i="7"/>
  <c r="S216" i="7"/>
  <c r="R218" i="7"/>
  <c r="S225" i="7"/>
  <c r="R229" i="7"/>
  <c r="R230" i="7"/>
  <c r="Q231" i="7"/>
  <c r="O232" i="7"/>
  <c r="S236" i="7"/>
  <c r="R238" i="7"/>
  <c r="S245" i="7"/>
  <c r="R249" i="7"/>
  <c r="R250" i="7"/>
  <c r="Q251" i="7"/>
  <c r="O252" i="7"/>
  <c r="S164" i="7"/>
  <c r="R165" i="7"/>
  <c r="S168" i="7"/>
  <c r="Q175" i="7"/>
  <c r="S184" i="7"/>
  <c r="R185" i="7"/>
  <c r="Q195" i="7"/>
  <c r="S204" i="7"/>
  <c r="R205" i="7"/>
  <c r="S208" i="7"/>
  <c r="Q215" i="7"/>
  <c r="S224" i="7"/>
  <c r="R225" i="7"/>
  <c r="S229" i="7"/>
  <c r="S244" i="7"/>
  <c r="R245" i="7"/>
  <c r="S249" i="7"/>
  <c r="R91" i="5"/>
  <c r="Q121" i="5"/>
  <c r="O131" i="5"/>
  <c r="R149" i="5"/>
  <c r="R154" i="5"/>
  <c r="O175" i="5"/>
  <c r="O185" i="5"/>
  <c r="O68" i="5"/>
  <c r="O73" i="5"/>
  <c r="O78" i="5"/>
  <c r="Q81" i="5"/>
  <c r="O83" i="5"/>
  <c r="O93" i="5"/>
  <c r="O128" i="5"/>
  <c r="R141" i="5"/>
  <c r="O151" i="5"/>
  <c r="R169" i="5"/>
  <c r="R174" i="5"/>
  <c r="R179" i="5"/>
  <c r="O209" i="5"/>
  <c r="O214" i="5"/>
  <c r="O219" i="5"/>
  <c r="O103" i="5"/>
  <c r="O108" i="5"/>
  <c r="O113" i="5"/>
  <c r="O118" i="5"/>
  <c r="O123" i="5"/>
  <c r="O156" i="5"/>
  <c r="O4" i="5"/>
  <c r="O9" i="5"/>
  <c r="O18" i="5"/>
  <c r="Q20" i="5"/>
  <c r="O22" i="5"/>
  <c r="O25" i="5"/>
  <c r="O30" i="5"/>
  <c r="Q46" i="5"/>
  <c r="R68" i="5"/>
  <c r="R78" i="5"/>
  <c r="R83" i="5"/>
  <c r="R93" i="5"/>
  <c r="R108" i="5"/>
  <c r="R113" i="5"/>
  <c r="R123" i="5"/>
  <c r="Q128" i="5"/>
  <c r="R131" i="5"/>
  <c r="R151" i="5"/>
  <c r="R156" i="5"/>
  <c r="O181" i="5"/>
  <c r="O186" i="5"/>
  <c r="O191" i="5"/>
  <c r="R232" i="5"/>
  <c r="R237" i="5"/>
  <c r="R242" i="5"/>
  <c r="R252" i="5"/>
  <c r="R98" i="5"/>
  <c r="R138" i="5"/>
  <c r="R9" i="5"/>
  <c r="R15" i="5"/>
  <c r="R28" i="5"/>
  <c r="Q35" i="5"/>
  <c r="Q40" i="5"/>
  <c r="Q50" i="5"/>
  <c r="R55" i="5"/>
  <c r="R60" i="5"/>
  <c r="R65" i="5"/>
  <c r="Q90" i="5"/>
  <c r="R130" i="5"/>
  <c r="R211" i="5"/>
  <c r="R221" i="5"/>
  <c r="O157" i="5"/>
  <c r="O162" i="5"/>
  <c r="O167" i="5"/>
  <c r="R168" i="5"/>
  <c r="R178" i="5"/>
  <c r="Q190" i="5"/>
  <c r="O210" i="5"/>
  <c r="O215" i="5"/>
  <c r="O220" i="5"/>
  <c r="O230" i="5"/>
  <c r="O236" i="5"/>
  <c r="O240" i="5"/>
  <c r="O246" i="5"/>
  <c r="O250" i="5"/>
  <c r="R120" i="5"/>
  <c r="Q211" i="5"/>
  <c r="O14" i="5"/>
  <c r="O34" i="5"/>
  <c r="O39" i="5"/>
  <c r="O44" i="5"/>
  <c r="O54" i="5"/>
  <c r="R3" i="5"/>
  <c r="R107" i="5"/>
  <c r="R112" i="5"/>
  <c r="O135" i="5"/>
  <c r="R140" i="5"/>
  <c r="O145" i="5"/>
  <c r="O172" i="5"/>
  <c r="O182" i="5"/>
  <c r="R215" i="5"/>
  <c r="R220" i="5"/>
  <c r="Q230" i="5"/>
  <c r="R250" i="5"/>
  <c r="R148" i="5"/>
  <c r="R198" i="5"/>
  <c r="Q236" i="5"/>
  <c r="O64" i="5"/>
  <c r="O226" i="5"/>
  <c r="O91" i="5"/>
  <c r="O106" i="5"/>
  <c r="O116" i="5"/>
  <c r="O121" i="5"/>
  <c r="O126" i="5"/>
  <c r="Q130" i="5"/>
  <c r="O149" i="5"/>
  <c r="O154" i="5"/>
  <c r="O159" i="5"/>
  <c r="O164" i="5"/>
  <c r="R182" i="5"/>
  <c r="R187" i="5"/>
  <c r="R202" i="5"/>
  <c r="O207" i="5"/>
  <c r="O212" i="5"/>
  <c r="O217" i="5"/>
  <c r="O222" i="5"/>
  <c r="O227" i="5"/>
  <c r="O242" i="5"/>
  <c r="O247" i="5"/>
  <c r="O252" i="5"/>
  <c r="R23" i="5"/>
  <c r="R46" i="5"/>
  <c r="Q84" i="5"/>
  <c r="R94" i="5"/>
  <c r="O99" i="5"/>
  <c r="R127" i="5"/>
  <c r="O142" i="5"/>
  <c r="O160" i="5"/>
  <c r="O170" i="5"/>
  <c r="R191" i="5"/>
  <c r="O203" i="5"/>
  <c r="R244" i="5"/>
  <c r="R254" i="5"/>
  <c r="R31" i="5"/>
  <c r="R56" i="5"/>
  <c r="Q61" i="5"/>
  <c r="O66" i="5"/>
  <c r="O71" i="5"/>
  <c r="O76" i="5"/>
  <c r="O81" i="5"/>
  <c r="R89" i="5"/>
  <c r="O104" i="5"/>
  <c r="O132" i="5"/>
  <c r="R155" i="5"/>
  <c r="R173" i="5"/>
  <c r="R183" i="5"/>
  <c r="R188" i="5"/>
  <c r="O193" i="5"/>
  <c r="Q196" i="5"/>
  <c r="R216" i="5"/>
  <c r="O231" i="5"/>
  <c r="R239" i="5"/>
  <c r="O12" i="5"/>
  <c r="O13" i="5"/>
  <c r="O33" i="5"/>
  <c r="R41" i="5"/>
  <c r="O43" i="5"/>
  <c r="O48" i="5"/>
  <c r="O53" i="5"/>
  <c r="O58" i="5"/>
  <c r="O63" i="5"/>
  <c r="Q71" i="5"/>
  <c r="Q76" i="5"/>
  <c r="O86" i="5"/>
  <c r="O114" i="5"/>
  <c r="R117" i="5"/>
  <c r="O119" i="5"/>
  <c r="O124" i="5"/>
  <c r="R132" i="5"/>
  <c r="R137" i="5"/>
  <c r="Q140" i="5"/>
  <c r="R142" i="5"/>
  <c r="O147" i="5"/>
  <c r="R150" i="5"/>
  <c r="O152" i="5"/>
  <c r="Q156" i="5"/>
  <c r="R165" i="5"/>
  <c r="O176" i="5"/>
  <c r="O180" i="5"/>
  <c r="O190" i="5"/>
  <c r="R193" i="5"/>
  <c r="O213" i="5"/>
  <c r="R224" i="5"/>
  <c r="R229" i="5"/>
  <c r="R249" i="5"/>
  <c r="O251" i="5"/>
  <c r="R4" i="5"/>
  <c r="R13" i="5"/>
  <c r="R33" i="5"/>
  <c r="R43" i="5"/>
  <c r="R48" i="5"/>
  <c r="Q53" i="5"/>
  <c r="R58" i="5"/>
  <c r="R63" i="5"/>
  <c r="R71" i="5"/>
  <c r="R96" i="5"/>
  <c r="R114" i="5"/>
  <c r="R124" i="5"/>
  <c r="R129" i="5"/>
  <c r="R152" i="5"/>
  <c r="R170" i="5"/>
  <c r="Q175" i="5"/>
  <c r="R180" i="5"/>
  <c r="R203" i="5"/>
  <c r="R213" i="5"/>
  <c r="R236" i="5"/>
  <c r="R246" i="5"/>
  <c r="Q251" i="5"/>
  <c r="R81" i="5"/>
  <c r="R22" i="5"/>
  <c r="R25" i="5"/>
  <c r="Q30" i="5"/>
  <c r="R38" i="5"/>
  <c r="R73" i="5"/>
  <c r="R99" i="5"/>
  <c r="R104" i="5"/>
  <c r="R106" i="5"/>
  <c r="R119" i="5"/>
  <c r="R134" i="5"/>
  <c r="R139" i="5"/>
  <c r="R144" i="5"/>
  <c r="R157" i="5"/>
  <c r="R162" i="5"/>
  <c r="R167" i="5"/>
  <c r="R195" i="5"/>
  <c r="R205" i="5"/>
  <c r="R223" i="5"/>
  <c r="R231" i="5"/>
  <c r="R241" i="5"/>
  <c r="R190" i="5"/>
  <c r="Q7" i="5"/>
  <c r="R18" i="5"/>
  <c r="R27" i="5"/>
  <c r="R103" i="5"/>
  <c r="R111" i="5"/>
  <c r="Q131" i="5"/>
  <c r="Q136" i="5"/>
  <c r="R146" i="5"/>
  <c r="R210" i="5"/>
  <c r="Q221" i="5"/>
  <c r="R248" i="5"/>
  <c r="O31" i="5"/>
  <c r="O67" i="5"/>
  <c r="O72" i="5"/>
  <c r="O100" i="5"/>
  <c r="R101" i="5"/>
  <c r="O105" i="5"/>
  <c r="O133" i="5"/>
  <c r="O138" i="5"/>
  <c r="O143" i="5"/>
  <c r="O166" i="5"/>
  <c r="O171" i="5"/>
  <c r="R172" i="5"/>
  <c r="R177" i="5"/>
  <c r="R184" i="5"/>
  <c r="R189" i="5"/>
  <c r="R192" i="5"/>
  <c r="O194" i="5"/>
  <c r="O199" i="5"/>
  <c r="R200" i="5"/>
  <c r="O204" i="5"/>
  <c r="R207" i="5"/>
  <c r="R212" i="5"/>
  <c r="R217" i="5"/>
  <c r="Q235" i="5"/>
  <c r="R238" i="5"/>
  <c r="Q240" i="5"/>
  <c r="R245" i="5"/>
  <c r="O82" i="5"/>
  <c r="R143" i="5"/>
  <c r="R199" i="5"/>
  <c r="Q222" i="5"/>
  <c r="R227" i="5"/>
  <c r="O232" i="5"/>
  <c r="O225" i="5"/>
  <c r="R24" i="5"/>
  <c r="Q80" i="5"/>
  <c r="R90" i="5"/>
  <c r="Q96" i="5"/>
  <c r="R164" i="5"/>
  <c r="R194" i="5"/>
  <c r="R204" i="5"/>
  <c r="R5" i="5"/>
  <c r="R8" i="5"/>
  <c r="O10" i="5"/>
  <c r="R14" i="5"/>
  <c r="O19" i="5"/>
  <c r="O20" i="5"/>
  <c r="O26" i="5"/>
  <c r="R47" i="5"/>
  <c r="R49" i="5"/>
  <c r="R52" i="5"/>
  <c r="R54" i="5"/>
  <c r="R64" i="5"/>
  <c r="R67" i="5"/>
  <c r="O69" i="5"/>
  <c r="O75" i="5"/>
  <c r="O79" i="5"/>
  <c r="R80" i="5"/>
  <c r="R82" i="5"/>
  <c r="R87" i="5"/>
  <c r="R92" i="5"/>
  <c r="O97" i="5"/>
  <c r="O102" i="5"/>
  <c r="Q106" i="5"/>
  <c r="Q110" i="5"/>
  <c r="R115" i="5"/>
  <c r="O140" i="5"/>
  <c r="O163" i="5"/>
  <c r="O168" i="5"/>
  <c r="Q181" i="5"/>
  <c r="R186" i="5"/>
  <c r="O196" i="5"/>
  <c r="O201" i="5"/>
  <c r="O206" i="5"/>
  <c r="Q209" i="5"/>
  <c r="R214" i="5"/>
  <c r="R219" i="5"/>
  <c r="O224" i="5"/>
  <c r="O229" i="5"/>
  <c r="Q252" i="5"/>
  <c r="R29" i="5"/>
  <c r="R77" i="5"/>
  <c r="R88" i="5"/>
  <c r="R105" i="5"/>
  <c r="R118" i="5"/>
  <c r="R133" i="5"/>
  <c r="R159" i="5"/>
  <c r="O7" i="5"/>
  <c r="R10" i="5"/>
  <c r="O16" i="5"/>
  <c r="R19" i="5"/>
  <c r="O23" i="5"/>
  <c r="R26" i="5"/>
  <c r="O36" i="5"/>
  <c r="O41" i="5"/>
  <c r="R44" i="5"/>
  <c r="O46" i="5"/>
  <c r="O56" i="5"/>
  <c r="O61" i="5"/>
  <c r="Q65" i="5"/>
  <c r="R69" i="5"/>
  <c r="R74" i="5"/>
  <c r="R79" i="5"/>
  <c r="O84" i="5"/>
  <c r="O89" i="5"/>
  <c r="O94" i="5"/>
  <c r="Q97" i="5"/>
  <c r="R102" i="5"/>
  <c r="O107" i="5"/>
  <c r="O112" i="5"/>
  <c r="O122" i="5"/>
  <c r="O150" i="5"/>
  <c r="R163" i="5"/>
  <c r="R171" i="5"/>
  <c r="O173" i="5"/>
  <c r="O178" i="5"/>
  <c r="O183" i="5"/>
  <c r="O188" i="5"/>
  <c r="R196" i="5"/>
  <c r="Q201" i="5"/>
  <c r="R206" i="5"/>
  <c r="O211" i="5"/>
  <c r="R247" i="5"/>
  <c r="O249" i="5"/>
  <c r="O254" i="5"/>
  <c r="Q49" i="6"/>
  <c r="S67" i="6"/>
  <c r="S4" i="6"/>
  <c r="S43" i="6"/>
  <c r="S66" i="6"/>
  <c r="O71" i="6"/>
  <c r="S79" i="6"/>
  <c r="S84" i="6"/>
  <c r="O104" i="6"/>
  <c r="S107" i="6"/>
  <c r="S112" i="6"/>
  <c r="S127" i="6"/>
  <c r="S132" i="6"/>
  <c r="O142" i="6"/>
  <c r="S155" i="6"/>
  <c r="R160" i="6"/>
  <c r="S165" i="6"/>
  <c r="Q168" i="6"/>
  <c r="S178" i="6"/>
  <c r="S186" i="6"/>
  <c r="O189" i="6"/>
  <c r="O193" i="6"/>
  <c r="O198" i="6"/>
  <c r="O203" i="6"/>
  <c r="O221" i="6"/>
  <c r="S229" i="6"/>
  <c r="S252" i="6"/>
  <c r="S21" i="6"/>
  <c r="S33" i="6"/>
  <c r="S35" i="6"/>
  <c r="S99" i="6"/>
  <c r="S109" i="6"/>
  <c r="S114" i="6"/>
  <c r="S183" i="6"/>
  <c r="S188" i="6"/>
  <c r="Q193" i="6"/>
  <c r="S198" i="6"/>
  <c r="Q221" i="6"/>
  <c r="S224" i="6"/>
  <c r="Q226" i="6"/>
  <c r="S247" i="6"/>
  <c r="S63" i="6"/>
  <c r="S76" i="6"/>
  <c r="S81" i="6"/>
  <c r="S104" i="6"/>
  <c r="S124" i="6"/>
  <c r="S129" i="6"/>
  <c r="S147" i="6"/>
  <c r="S150" i="6"/>
  <c r="S152" i="6"/>
  <c r="Q155" i="6"/>
  <c r="S157" i="6"/>
  <c r="S175" i="6"/>
  <c r="S234" i="6"/>
  <c r="S237" i="6"/>
  <c r="S249" i="6"/>
  <c r="S50" i="6"/>
  <c r="Q91" i="6"/>
  <c r="S94" i="6"/>
  <c r="S96" i="6"/>
  <c r="S116" i="6"/>
  <c r="S137" i="6"/>
  <c r="S139" i="6"/>
  <c r="S142" i="6"/>
  <c r="S144" i="6"/>
  <c r="S162" i="6"/>
  <c r="S167" i="6"/>
  <c r="S185" i="6"/>
  <c r="S190" i="6"/>
  <c r="S195" i="6"/>
  <c r="R200" i="6"/>
  <c r="R205" i="6"/>
  <c r="R211" i="6"/>
  <c r="S216" i="6"/>
  <c r="Q218" i="6"/>
  <c r="S228" i="6"/>
  <c r="S231" i="6"/>
  <c r="R249" i="6"/>
  <c r="S254" i="6"/>
  <c r="R11" i="6"/>
  <c r="Q21" i="6"/>
  <c r="O24" i="6"/>
  <c r="S34" i="6"/>
  <c r="S52" i="6"/>
  <c r="S57" i="6"/>
  <c r="Q106" i="6"/>
  <c r="S146" i="6"/>
  <c r="S154" i="6"/>
  <c r="S197" i="6"/>
  <c r="S223" i="6"/>
  <c r="O239" i="6"/>
  <c r="S221" i="6"/>
  <c r="S73" i="6"/>
  <c r="O96" i="6"/>
  <c r="S101" i="6"/>
  <c r="S103" i="6"/>
  <c r="S113" i="6"/>
  <c r="O139" i="6"/>
  <c r="O144" i="6"/>
  <c r="S174" i="6"/>
  <c r="O218" i="6"/>
  <c r="S220" i="6"/>
  <c r="O234" i="6"/>
  <c r="S238" i="6"/>
  <c r="O135" i="6"/>
  <c r="R136" i="6"/>
  <c r="O158" i="6"/>
  <c r="O163" i="6"/>
  <c r="O181" i="6"/>
  <c r="S210" i="6"/>
  <c r="Q215" i="6"/>
  <c r="O245" i="6"/>
  <c r="O12" i="6"/>
  <c r="S7" i="6"/>
  <c r="S51" i="6"/>
  <c r="S56" i="6"/>
  <c r="O92" i="6"/>
  <c r="O97" i="6"/>
  <c r="O102" i="6"/>
  <c r="O117" i="6"/>
  <c r="S120" i="6"/>
  <c r="S125" i="6"/>
  <c r="O140" i="6"/>
  <c r="O146" i="6"/>
  <c r="O214" i="6"/>
  <c r="O224" i="6"/>
  <c r="S235" i="6"/>
  <c r="R240" i="6"/>
  <c r="O51" i="6"/>
  <c r="O64" i="6"/>
  <c r="S25" i="6"/>
  <c r="S28" i="6"/>
  <c r="O61" i="6"/>
  <c r="S64" i="6"/>
  <c r="S74" i="6"/>
  <c r="S77" i="6"/>
  <c r="S82" i="6"/>
  <c r="Q87" i="6"/>
  <c r="R88" i="6"/>
  <c r="S92" i="6"/>
  <c r="S97" i="6"/>
  <c r="S102" i="6"/>
  <c r="S117" i="6"/>
  <c r="O127" i="6"/>
  <c r="O132" i="6"/>
  <c r="R138" i="6"/>
  <c r="S140" i="6"/>
  <c r="S143" i="6"/>
  <c r="S145" i="6"/>
  <c r="O160" i="6"/>
  <c r="S168" i="6"/>
  <c r="S176" i="6"/>
  <c r="S191" i="6"/>
  <c r="S201" i="6"/>
  <c r="S206" i="6"/>
  <c r="S232" i="6"/>
  <c r="O242" i="6"/>
  <c r="S19" i="6"/>
  <c r="R27" i="6"/>
  <c r="S27" i="6"/>
  <c r="Q196" i="6"/>
  <c r="S196" i="6"/>
  <c r="R209" i="6"/>
  <c r="S209" i="6"/>
  <c r="R214" i="6"/>
  <c r="S214" i="6"/>
  <c r="S219" i="6"/>
  <c r="Q219" i="6"/>
  <c r="S20" i="6"/>
  <c r="S24" i="6"/>
  <c r="S32" i="6"/>
  <c r="R35" i="6"/>
  <c r="R66" i="6"/>
  <c r="S122" i="6"/>
  <c r="S242" i="6"/>
  <c r="R250" i="6"/>
  <c r="S250" i="6"/>
  <c r="Y24" i="6"/>
  <c r="Z23" i="6" s="1"/>
  <c r="O34" i="6"/>
  <c r="O35" i="6"/>
  <c r="Q68" i="6"/>
  <c r="S68" i="6"/>
  <c r="R86" i="6"/>
  <c r="S86" i="6"/>
  <c r="R180" i="6"/>
  <c r="S180" i="6"/>
  <c r="Q239" i="6"/>
  <c r="S239" i="6"/>
  <c r="R244" i="6"/>
  <c r="S244" i="6"/>
  <c r="S193" i="6"/>
  <c r="R32" i="6"/>
  <c r="R60" i="6"/>
  <c r="S60" i="6"/>
  <c r="Q60" i="6"/>
  <c r="R188" i="6"/>
  <c r="Q121" i="6"/>
  <c r="S121" i="6"/>
  <c r="R126" i="6"/>
  <c r="S126" i="6"/>
  <c r="S172" i="6"/>
  <c r="S177" i="6"/>
  <c r="O10" i="6"/>
  <c r="R12" i="6"/>
  <c r="S12" i="6"/>
  <c r="O41" i="6"/>
  <c r="R50" i="6"/>
  <c r="R116" i="6"/>
  <c r="Q16" i="6"/>
  <c r="S16" i="6"/>
  <c r="Q9" i="6"/>
  <c r="S9" i="6"/>
  <c r="S41" i="6"/>
  <c r="S46" i="6"/>
  <c r="S59" i="6"/>
  <c r="Q59" i="6"/>
  <c r="O106" i="6"/>
  <c r="O105" i="6"/>
  <c r="S202" i="6"/>
  <c r="S207" i="6"/>
  <c r="Q7" i="6"/>
  <c r="O11" i="6"/>
  <c r="R31" i="6"/>
  <c r="S31" i="6"/>
  <c r="S70" i="6"/>
  <c r="R70" i="6"/>
  <c r="S72" i="6"/>
  <c r="S90" i="6"/>
  <c r="S95" i="6"/>
  <c r="S138" i="6"/>
  <c r="S204" i="6"/>
  <c r="S212" i="6"/>
  <c r="S217" i="6"/>
  <c r="O46" i="6"/>
  <c r="O45" i="6"/>
  <c r="S6" i="6"/>
  <c r="S11" i="6"/>
  <c r="R17" i="6"/>
  <c r="S17" i="6"/>
  <c r="S22" i="6"/>
  <c r="R36" i="6"/>
  <c r="Q38" i="6"/>
  <c r="S38" i="6"/>
  <c r="R43" i="6"/>
  <c r="R46" i="6"/>
  <c r="R48" i="6"/>
  <c r="S48" i="6"/>
  <c r="S69" i="6"/>
  <c r="S130" i="6"/>
  <c r="S135" i="6"/>
  <c r="R146" i="6"/>
  <c r="Q148" i="6"/>
  <c r="S148" i="6"/>
  <c r="Q158" i="6"/>
  <c r="S158" i="6"/>
  <c r="S194" i="6"/>
  <c r="S245" i="6"/>
  <c r="O101" i="6"/>
  <c r="O114" i="6"/>
  <c r="O129" i="6"/>
  <c r="R246" i="6"/>
  <c r="S87" i="6"/>
  <c r="Q128" i="6"/>
  <c r="Q160" i="6"/>
  <c r="O179" i="6"/>
  <c r="Q200" i="6"/>
  <c r="R216" i="6"/>
  <c r="O30" i="6"/>
  <c r="R53" i="6"/>
  <c r="Q55" i="6"/>
  <c r="O57" i="6"/>
  <c r="Q61" i="6"/>
  <c r="Q75" i="6"/>
  <c r="O77" i="6"/>
  <c r="O82" i="6"/>
  <c r="R150" i="6"/>
  <c r="O154" i="6"/>
  <c r="Q189" i="6"/>
  <c r="O223" i="6"/>
  <c r="R248" i="6"/>
  <c r="S226" i="6"/>
  <c r="Q11" i="6"/>
  <c r="Q24" i="6"/>
  <c r="O27" i="6"/>
  <c r="O38" i="6"/>
  <c r="O43" i="6"/>
  <c r="O60" i="6"/>
  <c r="O63" i="6"/>
  <c r="O74" i="6"/>
  <c r="Q77" i="6"/>
  <c r="O99" i="6"/>
  <c r="R109" i="6"/>
  <c r="O111" i="6"/>
  <c r="O130" i="6"/>
  <c r="Q165" i="6"/>
  <c r="O170" i="6"/>
  <c r="R190" i="6"/>
  <c r="O220" i="6"/>
  <c r="Q238" i="6"/>
  <c r="O247" i="6"/>
  <c r="S205" i="6"/>
  <c r="S85" i="6"/>
  <c r="R69" i="6"/>
  <c r="R96" i="6"/>
  <c r="Q98" i="6"/>
  <c r="R119" i="6"/>
  <c r="O151" i="6"/>
  <c r="O164" i="6"/>
  <c r="R170" i="6"/>
  <c r="R175" i="6"/>
  <c r="Q178" i="6"/>
  <c r="O191" i="6"/>
  <c r="Q199" i="6"/>
  <c r="O212" i="6"/>
  <c r="Q71" i="6"/>
  <c r="Q88" i="6"/>
  <c r="Q90" i="6"/>
  <c r="R108" i="6"/>
  <c r="Q138" i="6"/>
  <c r="R159" i="6"/>
  <c r="Q188" i="6"/>
  <c r="R189" i="6"/>
  <c r="Q229" i="6"/>
  <c r="S91" i="6"/>
  <c r="S71" i="6"/>
  <c r="S61" i="6"/>
  <c r="R23" i="6"/>
  <c r="O70" i="6"/>
  <c r="O79" i="6"/>
  <c r="O137" i="6"/>
  <c r="R169" i="6"/>
  <c r="Q225" i="6"/>
  <c r="S200" i="6"/>
  <c r="S160" i="6"/>
  <c r="R6" i="6"/>
  <c r="O14" i="6"/>
  <c r="O21" i="6"/>
  <c r="R58" i="6"/>
  <c r="R59" i="6"/>
  <c r="O67" i="6"/>
  <c r="R81" i="6"/>
  <c r="R89" i="6"/>
  <c r="O108" i="6"/>
  <c r="R130" i="6"/>
  <c r="Q159" i="6"/>
  <c r="R161" i="6"/>
  <c r="O169" i="6"/>
  <c r="R179" i="6"/>
  <c r="R198" i="6"/>
  <c r="R199" i="6"/>
  <c r="R201" i="6"/>
  <c r="R219" i="6"/>
  <c r="R230" i="6"/>
  <c r="O235" i="6"/>
  <c r="O249" i="6"/>
  <c r="S199" i="6"/>
  <c r="S179" i="6"/>
  <c r="S169" i="6"/>
  <c r="S119" i="6"/>
  <c r="S89" i="6"/>
  <c r="R9" i="6"/>
  <c r="O31" i="6"/>
  <c r="R37" i="6"/>
  <c r="Q45" i="6"/>
  <c r="Q65" i="6"/>
  <c r="R68" i="6"/>
  <c r="O84" i="6"/>
  <c r="O95" i="6"/>
  <c r="Q118" i="6"/>
  <c r="R127" i="6"/>
  <c r="Q140" i="6"/>
  <c r="S170" i="6"/>
  <c r="R8" i="6"/>
  <c r="O17" i="6"/>
  <c r="R21" i="6"/>
  <c r="R26" i="6"/>
  <c r="R34" i="6"/>
  <c r="Q39" i="6"/>
  <c r="O48" i="6"/>
  <c r="Q76" i="6"/>
  <c r="R78" i="6"/>
  <c r="O80" i="6"/>
  <c r="O85" i="6"/>
  <c r="Q86" i="6"/>
  <c r="O89" i="6"/>
  <c r="O157" i="6"/>
  <c r="R184" i="6"/>
  <c r="R187" i="6"/>
  <c r="O197" i="6"/>
  <c r="O205" i="6"/>
  <c r="R206" i="6"/>
  <c r="Q208" i="6"/>
  <c r="O219" i="6"/>
  <c r="O227" i="6"/>
  <c r="Q248" i="6"/>
  <c r="S248" i="6"/>
  <c r="S218" i="6"/>
  <c r="S208" i="6"/>
  <c r="S128" i="6"/>
  <c r="S118" i="6"/>
  <c r="S108" i="6"/>
  <c r="S98" i="6"/>
  <c r="S58" i="6"/>
  <c r="S8" i="6"/>
  <c r="O6" i="6"/>
  <c r="R38" i="6"/>
  <c r="R87" i="6"/>
  <c r="O90" i="6"/>
  <c r="O94" i="6"/>
  <c r="R98" i="6"/>
  <c r="Q100" i="6"/>
  <c r="R105" i="6"/>
  <c r="O107" i="6"/>
  <c r="Q110" i="6"/>
  <c r="R115" i="6"/>
  <c r="R118" i="6"/>
  <c r="O124" i="6"/>
  <c r="R128" i="6"/>
  <c r="Q141" i="6"/>
  <c r="O145" i="6"/>
  <c r="Q150" i="6"/>
  <c r="O155" i="6"/>
  <c r="R156" i="6"/>
  <c r="Q171" i="6"/>
  <c r="O201" i="6"/>
  <c r="O210" i="6"/>
  <c r="Q213" i="6"/>
  <c r="O217" i="6"/>
  <c r="R225" i="6"/>
  <c r="R234" i="6"/>
  <c r="R237" i="6"/>
  <c r="R239" i="6"/>
  <c r="O243" i="6"/>
  <c r="Q246" i="6"/>
  <c r="Q250" i="6"/>
  <c r="O22" i="6"/>
  <c r="Q37" i="6"/>
  <c r="R40" i="6"/>
  <c r="O47" i="6"/>
  <c r="Q50" i="6"/>
  <c r="O55" i="6"/>
  <c r="O81" i="6"/>
  <c r="Q169" i="6"/>
  <c r="O18" i="6"/>
  <c r="Q25" i="6"/>
  <c r="O39" i="6"/>
  <c r="R45" i="6"/>
  <c r="Q81" i="6"/>
  <c r="R106" i="6"/>
  <c r="O109" i="6"/>
  <c r="Q120" i="6"/>
  <c r="O152" i="6"/>
  <c r="R167" i="6"/>
  <c r="O173" i="6"/>
  <c r="Q176" i="6"/>
  <c r="Q180" i="6"/>
  <c r="O185" i="6"/>
  <c r="R186" i="6"/>
  <c r="Q195" i="6"/>
  <c r="Q201" i="6"/>
  <c r="R228" i="6"/>
  <c r="O231" i="6"/>
  <c r="O238" i="6"/>
  <c r="O240" i="6"/>
  <c r="R241" i="6"/>
  <c r="Q243" i="6"/>
  <c r="O252" i="6"/>
  <c r="R28" i="6"/>
  <c r="R95" i="6"/>
  <c r="Q99" i="6"/>
  <c r="R129" i="6"/>
  <c r="Q135" i="6"/>
  <c r="R141" i="6"/>
  <c r="R158" i="6"/>
  <c r="O161" i="6"/>
  <c r="R171" i="6"/>
  <c r="R185" i="6"/>
  <c r="R194" i="6"/>
  <c r="R197" i="6"/>
  <c r="Q206" i="6"/>
  <c r="Q210" i="6"/>
  <c r="O215" i="6"/>
  <c r="Q231" i="6"/>
  <c r="R3" i="6"/>
  <c r="Q18" i="6"/>
  <c r="R24" i="6"/>
  <c r="Q42" i="6"/>
  <c r="R52" i="6"/>
  <c r="R104" i="6"/>
  <c r="R134" i="6"/>
  <c r="R149" i="6"/>
  <c r="Q161" i="6"/>
  <c r="O200" i="6"/>
  <c r="Q203" i="6"/>
  <c r="R215" i="6"/>
  <c r="R224" i="6"/>
  <c r="R227" i="6"/>
  <c r="R231" i="6"/>
  <c r="Q236" i="6"/>
  <c r="Q240" i="6"/>
  <c r="Q14" i="6"/>
  <c r="Q95" i="6"/>
  <c r="Q125" i="6"/>
  <c r="O131" i="6"/>
  <c r="O149" i="6"/>
  <c r="R154" i="6"/>
  <c r="R157" i="6"/>
  <c r="Q166" i="6"/>
  <c r="Q170" i="6"/>
  <c r="O175" i="6"/>
  <c r="R176" i="6"/>
  <c r="Q185" i="6"/>
  <c r="Q191" i="6"/>
  <c r="Q198" i="6"/>
  <c r="O204" i="6"/>
  <c r="O209" i="6"/>
  <c r="R218" i="6"/>
  <c r="O230" i="6"/>
  <c r="Q233" i="6"/>
  <c r="R245" i="6"/>
  <c r="R254" i="6"/>
  <c r="Z6" i="6"/>
  <c r="Z10" i="6" s="1"/>
  <c r="Q6" i="6"/>
  <c r="Q8" i="6"/>
  <c r="Q17" i="6"/>
  <c r="Q27" i="6"/>
  <c r="R57" i="6"/>
  <c r="O65" i="6"/>
  <c r="R77" i="6"/>
  <c r="Q78" i="6"/>
  <c r="Q80" i="6"/>
  <c r="O91" i="6"/>
  <c r="O103" i="6"/>
  <c r="Q105" i="6"/>
  <c r="Q109" i="6"/>
  <c r="O113" i="6"/>
  <c r="Q115" i="6"/>
  <c r="R178" i="6"/>
  <c r="O188" i="6"/>
  <c r="R191" i="6"/>
  <c r="R210" i="6"/>
  <c r="R217" i="6"/>
  <c r="Q230" i="6"/>
  <c r="R236" i="6"/>
  <c r="Q245" i="6"/>
  <c r="Q249" i="6"/>
  <c r="Q251" i="6"/>
  <c r="R101" i="6"/>
  <c r="R111" i="6"/>
  <c r="Q119" i="6"/>
  <c r="R131" i="6"/>
  <c r="R137" i="6"/>
  <c r="Q145" i="6"/>
  <c r="R148" i="6"/>
  <c r="O165" i="6"/>
  <c r="R166" i="6"/>
  <c r="Q175" i="6"/>
  <c r="Q179" i="6"/>
  <c r="Q181" i="6"/>
  <c r="O194" i="6"/>
  <c r="O199" i="6"/>
  <c r="R208" i="6"/>
  <c r="O211" i="6"/>
  <c r="R221" i="6"/>
  <c r="Q223" i="6"/>
  <c r="R247" i="6"/>
  <c r="O20" i="6"/>
  <c r="R30" i="6"/>
  <c r="O4" i="6"/>
  <c r="O9" i="6"/>
  <c r="R13" i="6"/>
  <c r="R19" i="6"/>
  <c r="Q20" i="6"/>
  <c r="O23" i="6"/>
  <c r="R33" i="6"/>
  <c r="R39" i="6"/>
  <c r="Q43" i="6"/>
  <c r="R47" i="6"/>
  <c r="Q48" i="6"/>
  <c r="R49" i="6"/>
  <c r="O53" i="6"/>
  <c r="R61" i="6"/>
  <c r="Q85" i="6"/>
  <c r="O98" i="6"/>
  <c r="R107" i="6"/>
  <c r="Q108" i="6"/>
  <c r="O110" i="6"/>
  <c r="O118" i="6"/>
  <c r="O123" i="6"/>
  <c r="R139" i="6"/>
  <c r="R144" i="6"/>
  <c r="O150" i="6"/>
  <c r="R151" i="6"/>
  <c r="R177" i="6"/>
  <c r="Q190" i="6"/>
  <c r="O195" i="6"/>
  <c r="R196" i="6"/>
  <c r="Q205" i="6"/>
  <c r="Q209" i="6"/>
  <c r="Q211" i="6"/>
  <c r="O229" i="6"/>
  <c r="R238" i="6"/>
  <c r="O241" i="6"/>
  <c r="O248" i="6"/>
  <c r="O250" i="6"/>
  <c r="R251" i="6"/>
  <c r="Q253" i="6"/>
  <c r="O28" i="6"/>
  <c r="R67" i="6"/>
  <c r="R71" i="6"/>
  <c r="R99" i="6"/>
  <c r="R4" i="6"/>
  <c r="AA5" i="6"/>
  <c r="AA9" i="6" s="1"/>
  <c r="Q22" i="6"/>
  <c r="R29" i="6"/>
  <c r="O33" i="6"/>
  <c r="O50" i="6"/>
  <c r="R56" i="6"/>
  <c r="Q67" i="6"/>
  <c r="Q70" i="6"/>
  <c r="O76" i="6"/>
  <c r="R79" i="6"/>
  <c r="R84" i="6"/>
  <c r="R91" i="6"/>
  <c r="R97" i="6"/>
  <c r="R117" i="6"/>
  <c r="R121" i="6"/>
  <c r="Q126" i="6"/>
  <c r="Q130" i="6"/>
  <c r="Q136" i="6"/>
  <c r="O141" i="6"/>
  <c r="R147" i="6"/>
  <c r="O159" i="6"/>
  <c r="R168" i="6"/>
  <c r="O171" i="6"/>
  <c r="O178" i="6"/>
  <c r="O180" i="6"/>
  <c r="R181" i="6"/>
  <c r="R207" i="6"/>
  <c r="O213" i="6"/>
  <c r="Q216" i="6"/>
  <c r="Q220" i="6"/>
  <c r="O225" i="6"/>
  <c r="R226" i="6"/>
  <c r="Q241" i="6"/>
  <c r="Q41" i="6"/>
  <c r="R55" i="6"/>
  <c r="R64" i="6"/>
  <c r="Q103" i="6"/>
  <c r="R103" i="6"/>
  <c r="Q111" i="6"/>
  <c r="R124" i="6"/>
  <c r="R132" i="6"/>
  <c r="Q132" i="6"/>
  <c r="R135" i="6"/>
  <c r="R145" i="6"/>
  <c r="R155" i="6"/>
  <c r="R164" i="6"/>
  <c r="R222" i="6"/>
  <c r="Q222" i="6"/>
  <c r="W5" i="6"/>
  <c r="W9" i="6" s="1"/>
  <c r="R192" i="6"/>
  <c r="Q192" i="6"/>
  <c r="X23" i="6"/>
  <c r="Y22" i="6" s="1"/>
  <c r="X5" i="6"/>
  <c r="X9" i="6" s="1"/>
  <c r="Y5" i="6"/>
  <c r="Y9" i="6" s="1"/>
  <c r="Z5" i="6"/>
  <c r="Z9" i="6" s="1"/>
  <c r="Z13" i="6" s="1"/>
  <c r="W6" i="6"/>
  <c r="W10" i="6" s="1"/>
  <c r="O7" i="6"/>
  <c r="R18" i="6"/>
  <c r="O40" i="6"/>
  <c r="Q51" i="6"/>
  <c r="R74" i="6"/>
  <c r="R76" i="6"/>
  <c r="R82" i="6"/>
  <c r="Q82" i="6"/>
  <c r="Q96" i="6"/>
  <c r="R142" i="6"/>
  <c r="Q142" i="6"/>
  <c r="R152" i="6"/>
  <c r="Q152" i="6"/>
  <c r="Q173" i="6"/>
  <c r="R173" i="6"/>
  <c r="R252" i="6"/>
  <c r="Q252" i="6"/>
  <c r="X6" i="6"/>
  <c r="X10" i="6" s="1"/>
  <c r="Q36" i="6"/>
  <c r="R44" i="6"/>
  <c r="Q44" i="6"/>
  <c r="Q47" i="6"/>
  <c r="R92" i="6"/>
  <c r="Q92" i="6"/>
  <c r="Q113" i="6"/>
  <c r="R113" i="6"/>
  <c r="R182" i="6"/>
  <c r="Q182" i="6"/>
  <c r="AA6" i="6"/>
  <c r="AA10" i="6" s="1"/>
  <c r="R5" i="6"/>
  <c r="Q5" i="6"/>
  <c r="Y6" i="6"/>
  <c r="Y10" i="6" s="1"/>
  <c r="R7" i="6"/>
  <c r="R16" i="6"/>
  <c r="W22" i="6"/>
  <c r="X21" i="6" s="1"/>
  <c r="W23" i="6"/>
  <c r="Y21" i="6" s="1"/>
  <c r="Q31" i="6"/>
  <c r="Q32" i="6"/>
  <c r="Q35" i="6"/>
  <c r="Q46" i="6"/>
  <c r="R54" i="6"/>
  <c r="Q54" i="6"/>
  <c r="O56" i="6"/>
  <c r="Q57" i="6"/>
  <c r="R80" i="6"/>
  <c r="R140" i="6"/>
  <c r="R212" i="6"/>
  <c r="Q212" i="6"/>
  <c r="Q3" i="6"/>
  <c r="Q13" i="6"/>
  <c r="R14" i="6"/>
  <c r="O19" i="6"/>
  <c r="Q26" i="6"/>
  <c r="Q30" i="6"/>
  <c r="Q33" i="6"/>
  <c r="Q34" i="6"/>
  <c r="Q52" i="6"/>
  <c r="Q56" i="6"/>
  <c r="Q63" i="6"/>
  <c r="R63" i="6"/>
  <c r="R90" i="6"/>
  <c r="R94" i="6"/>
  <c r="R102" i="6"/>
  <c r="Q102" i="6"/>
  <c r="Q123" i="6"/>
  <c r="R123" i="6"/>
  <c r="Q129" i="6"/>
  <c r="Q131" i="6"/>
  <c r="Q163" i="6"/>
  <c r="R163" i="6"/>
  <c r="R242" i="6"/>
  <c r="Q242" i="6"/>
  <c r="Q12" i="6"/>
  <c r="Q19" i="6"/>
  <c r="W24" i="6"/>
  <c r="Z21" i="6" s="1"/>
  <c r="Q29" i="6"/>
  <c r="O68" i="6"/>
  <c r="Q73" i="6"/>
  <c r="R73" i="6"/>
  <c r="Q79" i="6"/>
  <c r="O112" i="6"/>
  <c r="Q116" i="6"/>
  <c r="O128" i="6"/>
  <c r="O133" i="6"/>
  <c r="Q139" i="6"/>
  <c r="Q149" i="6"/>
  <c r="R172" i="6"/>
  <c r="Q172" i="6"/>
  <c r="O202" i="6"/>
  <c r="R22" i="6"/>
  <c r="R41" i="6"/>
  <c r="Q53" i="6"/>
  <c r="O78" i="6"/>
  <c r="O83" i="6"/>
  <c r="Q89" i="6"/>
  <c r="R100" i="6"/>
  <c r="R112" i="6"/>
  <c r="Q112" i="6"/>
  <c r="Q133" i="6"/>
  <c r="R133" i="6"/>
  <c r="O143" i="6"/>
  <c r="O153" i="6"/>
  <c r="Q156" i="6"/>
  <c r="R202" i="6"/>
  <c r="Q202" i="6"/>
  <c r="O232" i="6"/>
  <c r="R235" i="6"/>
  <c r="R72" i="6"/>
  <c r="Q72" i="6"/>
  <c r="X24" i="6"/>
  <c r="Z22" i="6" s="1"/>
  <c r="Q28" i="6"/>
  <c r="R20" i="6"/>
  <c r="Q23" i="6"/>
  <c r="Q40" i="6"/>
  <c r="O42" i="6"/>
  <c r="O44" i="6"/>
  <c r="R51" i="6"/>
  <c r="O62" i="6"/>
  <c r="R65" i="6"/>
  <c r="Q66" i="6"/>
  <c r="Q83" i="6"/>
  <c r="R83" i="6"/>
  <c r="O88" i="6"/>
  <c r="O93" i="6"/>
  <c r="O122" i="6"/>
  <c r="O138" i="6"/>
  <c r="Q143" i="6"/>
  <c r="R143" i="6"/>
  <c r="Q153" i="6"/>
  <c r="R153" i="6"/>
  <c r="O162" i="6"/>
  <c r="R165" i="6"/>
  <c r="R174" i="6"/>
  <c r="O183" i="6"/>
  <c r="Q186" i="6"/>
  <c r="R232" i="6"/>
  <c r="Q232" i="6"/>
  <c r="Q4" i="6"/>
  <c r="R10" i="6"/>
  <c r="Q10" i="6"/>
  <c r="R15" i="6"/>
  <c r="Q15" i="6"/>
  <c r="O3" i="6"/>
  <c r="O5" i="6"/>
  <c r="R42" i="6"/>
  <c r="O52" i="6"/>
  <c r="O54" i="6"/>
  <c r="R62" i="6"/>
  <c r="Q62" i="6"/>
  <c r="O72" i="6"/>
  <c r="R75" i="6"/>
  <c r="Q93" i="6"/>
  <c r="R93" i="6"/>
  <c r="Q101" i="6"/>
  <c r="R110" i="6"/>
  <c r="R114" i="6"/>
  <c r="R122" i="6"/>
  <c r="Q122" i="6"/>
  <c r="R125" i="6"/>
  <c r="Q146" i="6"/>
  <c r="R162" i="6"/>
  <c r="Q162" i="6"/>
  <c r="Q183" i="6"/>
  <c r="R183" i="6"/>
  <c r="O192" i="6"/>
  <c r="R195" i="6"/>
  <c r="R204" i="6"/>
  <c r="Q235" i="6"/>
  <c r="R193" i="6"/>
  <c r="R203" i="6"/>
  <c r="R213" i="6"/>
  <c r="R223" i="6"/>
  <c r="R233" i="6"/>
  <c r="R243" i="6"/>
  <c r="R253" i="6"/>
  <c r="O86" i="6"/>
  <c r="Q97" i="6"/>
  <c r="Q107" i="6"/>
  <c r="Q117" i="6"/>
  <c r="Q127" i="6"/>
  <c r="Q137" i="6"/>
  <c r="Q147" i="6"/>
  <c r="O156" i="6"/>
  <c r="Q157" i="6"/>
  <c r="O166" i="6"/>
  <c r="Q167" i="6"/>
  <c r="O176" i="6"/>
  <c r="Q177" i="6"/>
  <c r="O186" i="6"/>
  <c r="Q187" i="6"/>
  <c r="O196" i="6"/>
  <c r="Q197" i="6"/>
  <c r="O206" i="6"/>
  <c r="Q207" i="6"/>
  <c r="O216" i="6"/>
  <c r="Q217" i="6"/>
  <c r="O226" i="6"/>
  <c r="Q227" i="6"/>
  <c r="O236" i="6"/>
  <c r="Q237" i="6"/>
  <c r="O246" i="6"/>
  <c r="Q247" i="6"/>
  <c r="Q64" i="6"/>
  <c r="Q74" i="6"/>
  <c r="Q84" i="6"/>
  <c r="Q94" i="6"/>
  <c r="Q104" i="6"/>
  <c r="Q114" i="6"/>
  <c r="Q124" i="6"/>
  <c r="Q134" i="6"/>
  <c r="Q144" i="6"/>
  <c r="Q154" i="6"/>
  <c r="Q164" i="6"/>
  <c r="Q174" i="6"/>
  <c r="Q184" i="6"/>
  <c r="Q194" i="6"/>
  <c r="Q204" i="6"/>
  <c r="Q214" i="6"/>
  <c r="Q224" i="6"/>
  <c r="Q234" i="6"/>
  <c r="Q244" i="6"/>
  <c r="Q254" i="6"/>
  <c r="Q101" i="5"/>
  <c r="Q153" i="5"/>
  <c r="Q200" i="5"/>
  <c r="Q234" i="5"/>
  <c r="R84" i="5"/>
  <c r="O241" i="5"/>
  <c r="O221" i="5"/>
  <c r="O161" i="5"/>
  <c r="O111" i="5"/>
  <c r="O101" i="5"/>
  <c r="O51" i="5"/>
  <c r="O95" i="5"/>
  <c r="Q12" i="5"/>
  <c r="Q36" i="5"/>
  <c r="Q75" i="5"/>
  <c r="Q109" i="5"/>
  <c r="Q122" i="5"/>
  <c r="Q135" i="5"/>
  <c r="Q226" i="5"/>
  <c r="R234" i="5"/>
  <c r="Q18" i="5"/>
  <c r="Q41" i="5"/>
  <c r="Q55" i="5"/>
  <c r="Q115" i="5"/>
  <c r="Q145" i="5"/>
  <c r="Q166" i="5"/>
  <c r="Q180" i="5"/>
  <c r="Q195" i="5"/>
  <c r="R153" i="5"/>
  <c r="R53" i="5"/>
  <c r="Q51" i="5"/>
  <c r="Q59" i="5"/>
  <c r="Q72" i="5"/>
  <c r="Q85" i="5"/>
  <c r="Q103" i="5"/>
  <c r="Q111" i="5"/>
  <c r="Q150" i="5"/>
  <c r="Q161" i="5"/>
  <c r="Q176" i="5"/>
  <c r="Q184" i="5"/>
  <c r="Q197" i="5"/>
  <c r="Q210" i="5"/>
  <c r="Q228" i="5"/>
  <c r="Q241" i="5"/>
  <c r="R222" i="5"/>
  <c r="R122" i="5"/>
  <c r="R72" i="5"/>
  <c r="R12" i="5"/>
  <c r="O239" i="5"/>
  <c r="O189" i="5"/>
  <c r="O179" i="5"/>
  <c r="O169" i="5"/>
  <c r="O129" i="5"/>
  <c r="O109" i="5"/>
  <c r="O59" i="5"/>
  <c r="O49" i="5"/>
  <c r="Q95" i="5"/>
  <c r="Q116" i="5"/>
  <c r="R251" i="5"/>
  <c r="R201" i="5"/>
  <c r="R181" i="5"/>
  <c r="R121" i="5"/>
  <c r="R61" i="5"/>
  <c r="R51" i="5"/>
  <c r="R21" i="5"/>
  <c r="R11" i="5"/>
  <c r="O218" i="5"/>
  <c r="O208" i="5"/>
  <c r="O158" i="5"/>
  <c r="O148" i="5"/>
  <c r="O98" i="5"/>
  <c r="O88" i="5"/>
  <c r="O38" i="5"/>
  <c r="O28" i="5"/>
  <c r="Q100" i="5"/>
  <c r="Q126" i="5"/>
  <c r="Q134" i="5"/>
  <c r="Q147" i="5"/>
  <c r="Q160" i="5"/>
  <c r="Q178" i="5"/>
  <c r="Q225" i="5"/>
  <c r="R240" i="5"/>
  <c r="R230" i="5"/>
  <c r="R160" i="5"/>
  <c r="R110" i="5"/>
  <c r="R100" i="5"/>
  <c r="R50" i="5"/>
  <c r="R40" i="5"/>
  <c r="R30" i="5"/>
  <c r="R20" i="5"/>
  <c r="O197" i="5"/>
  <c r="O187" i="5"/>
  <c r="O137" i="5"/>
  <c r="O127" i="5"/>
  <c r="O117" i="5"/>
  <c r="O77" i="5"/>
  <c r="O57" i="5"/>
  <c r="Q17" i="5"/>
  <c r="Q45" i="5"/>
  <c r="Q66" i="5"/>
  <c r="Q191" i="5"/>
  <c r="Q205" i="5"/>
  <c r="Q220" i="5"/>
  <c r="R209" i="5"/>
  <c r="R109" i="5"/>
  <c r="R59" i="5"/>
  <c r="Q24" i="5"/>
  <c r="Q246" i="5"/>
  <c r="R197" i="5"/>
  <c r="R147" i="5"/>
  <c r="R97" i="5"/>
  <c r="R17" i="5"/>
  <c r="O244" i="5"/>
  <c r="O234" i="5"/>
  <c r="O184" i="5"/>
  <c r="O174" i="5"/>
  <c r="O144" i="5"/>
  <c r="O134" i="5"/>
  <c r="O74" i="5"/>
  <c r="R128" i="5"/>
  <c r="Q141" i="5"/>
  <c r="Q170" i="5"/>
  <c r="Q16" i="5"/>
  <c r="Q47" i="5"/>
  <c r="Q56" i="5"/>
  <c r="Q60" i="5"/>
  <c r="Q78" i="5"/>
  <c r="Q86" i="5"/>
  <c r="Q125" i="5"/>
  <c r="Q151" i="5"/>
  <c r="Q159" i="5"/>
  <c r="Q172" i="5"/>
  <c r="Q185" i="5"/>
  <c r="Q203" i="5"/>
  <c r="R226" i="5"/>
  <c r="R176" i="5"/>
  <c r="R166" i="5"/>
  <c r="R136" i="5"/>
  <c r="R126" i="5"/>
  <c r="R116" i="5"/>
  <c r="R86" i="5"/>
  <c r="R76" i="5"/>
  <c r="R66" i="5"/>
  <c r="R36" i="5"/>
  <c r="R16" i="5"/>
  <c r="Q155" i="5"/>
  <c r="Q215" i="5"/>
  <c r="Q70" i="5"/>
  <c r="Q91" i="5"/>
  <c r="Q105" i="5"/>
  <c r="Q120" i="5"/>
  <c r="Q165" i="5"/>
  <c r="Q216" i="5"/>
  <c r="Q245" i="5"/>
  <c r="R235" i="5"/>
  <c r="R225" i="5"/>
  <c r="R185" i="5"/>
  <c r="R175" i="5"/>
  <c r="R145" i="5"/>
  <c r="R135" i="5"/>
  <c r="R125" i="5"/>
  <c r="R95" i="5"/>
  <c r="R85" i="5"/>
  <c r="R75" i="5"/>
  <c r="R45" i="5"/>
  <c r="R35" i="5"/>
  <c r="W23" i="5"/>
  <c r="X22" i="5" s="1"/>
  <c r="Q15" i="5"/>
  <c r="Q19" i="5"/>
  <c r="Q4" i="5"/>
  <c r="Q33" i="5"/>
  <c r="Q39" i="5"/>
  <c r="Q52" i="5"/>
  <c r="Q64" i="5"/>
  <c r="Q77" i="5"/>
  <c r="Q83" i="5"/>
  <c r="Q89" i="5"/>
  <c r="Q102" i="5"/>
  <c r="Q108" i="5"/>
  <c r="Q114" i="5"/>
  <c r="Q127" i="5"/>
  <c r="Q139" i="5"/>
  <c r="Q152" i="5"/>
  <c r="Q158" i="5"/>
  <c r="Q164" i="5"/>
  <c r="Q177" i="5"/>
  <c r="Q183" i="5"/>
  <c r="Q189" i="5"/>
  <c r="Q202" i="5"/>
  <c r="Q208" i="5"/>
  <c r="Q214" i="5"/>
  <c r="Q227" i="5"/>
  <c r="Q233" i="5"/>
  <c r="Q239" i="5"/>
  <c r="Q254" i="5"/>
  <c r="V22" i="5"/>
  <c r="W21" i="5" s="1"/>
  <c r="Y6" i="5"/>
  <c r="Y10" i="5" s="1"/>
  <c r="Q27" i="5"/>
  <c r="Q58" i="5"/>
  <c r="Q133" i="5"/>
  <c r="V6" i="5"/>
  <c r="V10" i="5" s="1"/>
  <c r="Q242" i="5"/>
  <c r="Q248" i="5"/>
  <c r="W6" i="5"/>
  <c r="W10" i="5" s="1"/>
  <c r="Q6" i="5"/>
  <c r="Q9" i="5"/>
  <c r="Q29" i="5"/>
  <c r="Q42" i="5"/>
  <c r="Q48" i="5"/>
  <c r="Q54" i="5"/>
  <c r="Q67" i="5"/>
  <c r="Q73" i="5"/>
  <c r="Q79" i="5"/>
  <c r="Q92" i="5"/>
  <c r="Q98" i="5"/>
  <c r="Q104" i="5"/>
  <c r="Q117" i="5"/>
  <c r="Q123" i="5"/>
  <c r="Q129" i="5"/>
  <c r="Q142" i="5"/>
  <c r="Q148" i="5"/>
  <c r="Q154" i="5"/>
  <c r="Q167" i="5"/>
  <c r="Q173" i="5"/>
  <c r="Q179" i="5"/>
  <c r="Q192" i="5"/>
  <c r="Q198" i="5"/>
  <c r="Q204" i="5"/>
  <c r="Q217" i="5"/>
  <c r="Q223" i="5"/>
  <c r="Q229" i="5"/>
  <c r="Q14" i="5"/>
  <c r="Q23" i="5"/>
  <c r="Q244" i="5"/>
  <c r="U5" i="5"/>
  <c r="U9" i="5" s="1"/>
  <c r="Q26" i="5"/>
  <c r="Q32" i="5"/>
  <c r="Q38" i="5"/>
  <c r="Q44" i="5"/>
  <c r="Q57" i="5"/>
  <c r="Q63" i="5"/>
  <c r="Q69" i="5"/>
  <c r="Q82" i="5"/>
  <c r="Q88" i="5"/>
  <c r="Q94" i="5"/>
  <c r="Q107" i="5"/>
  <c r="Q113" i="5"/>
  <c r="Q119" i="5"/>
  <c r="Q132" i="5"/>
  <c r="Q138" i="5"/>
  <c r="Q144" i="5"/>
  <c r="Q157" i="5"/>
  <c r="Q163" i="5"/>
  <c r="Q169" i="5"/>
  <c r="Q182" i="5"/>
  <c r="Q188" i="5"/>
  <c r="Q194" i="5"/>
  <c r="Q207" i="5"/>
  <c r="Q213" i="5"/>
  <c r="Q219" i="5"/>
  <c r="Q232" i="5"/>
  <c r="Q238" i="5"/>
  <c r="Q247" i="5"/>
  <c r="Q250" i="5"/>
  <c r="Q253" i="5"/>
  <c r="Q8" i="5"/>
  <c r="Q34" i="5"/>
  <c r="Q13" i="5"/>
  <c r="Q243" i="5"/>
  <c r="Q249" i="5"/>
  <c r="Q5" i="5"/>
  <c r="Q22" i="5"/>
  <c r="Q28" i="5"/>
  <c r="V23" i="5"/>
  <c r="X21" i="5" s="1"/>
  <c r="Q25" i="5"/>
  <c r="Q37" i="5"/>
  <c r="Q43" i="5"/>
  <c r="Q49" i="5"/>
  <c r="Q62" i="5"/>
  <c r="Q68" i="5"/>
  <c r="Q74" i="5"/>
  <c r="Q87" i="5"/>
  <c r="Q93" i="5"/>
  <c r="Q99" i="5"/>
  <c r="Q112" i="5"/>
  <c r="Q118" i="5"/>
  <c r="Q124" i="5"/>
  <c r="Q137" i="5"/>
  <c r="Q143" i="5"/>
  <c r="Q149" i="5"/>
  <c r="Q162" i="5"/>
  <c r="Q168" i="5"/>
  <c r="Q174" i="5"/>
  <c r="Q187" i="5"/>
  <c r="Q193" i="5"/>
  <c r="Q199" i="5"/>
  <c r="Q212" i="5"/>
  <c r="Q218" i="5"/>
  <c r="Q224" i="5"/>
  <c r="Q237" i="5"/>
  <c r="V5" i="5"/>
  <c r="V9" i="5" s="1"/>
  <c r="X6" i="5"/>
  <c r="X10" i="5" s="1"/>
  <c r="W5" i="5"/>
  <c r="W9" i="5" s="1"/>
  <c r="U22" i="5"/>
  <c r="W20" i="5" s="1"/>
  <c r="Q3" i="5"/>
  <c r="X5" i="5"/>
  <c r="X9" i="5" s="1"/>
  <c r="U6" i="5"/>
  <c r="U10" i="5" s="1"/>
  <c r="Y5" i="5"/>
  <c r="Y9" i="5" s="1"/>
  <c r="U23" i="5"/>
  <c r="X20" i="5" s="1"/>
  <c r="U21" i="5"/>
  <c r="AC5" i="4"/>
  <c r="AB20" i="4"/>
  <c r="Z37" i="4"/>
  <c r="AC54" i="4"/>
  <c r="AB54" i="4"/>
  <c r="AA54" i="4"/>
  <c r="Z54" i="4"/>
  <c r="Y54" i="4"/>
  <c r="AA3" i="4"/>
  <c r="AA19" i="4"/>
  <c r="AC35" i="4"/>
  <c r="AA36" i="4"/>
  <c r="AB36" i="4"/>
  <c r="Y7" i="4"/>
  <c r="AC15" i="4"/>
  <c r="AC36" i="4"/>
  <c r="Y47" i="4"/>
  <c r="AB47" i="4"/>
  <c r="Z14" i="4"/>
  <c r="Z31" i="4"/>
  <c r="Y20" i="4"/>
  <c r="Z30" i="4"/>
  <c r="AB35" i="4"/>
  <c r="AB37" i="4"/>
  <c r="AC41" i="4"/>
  <c r="Y17" i="4"/>
  <c r="AB18" i="4"/>
  <c r="U14" i="4"/>
  <c r="AC21" i="4"/>
  <c r="S4" i="4"/>
  <c r="AJ5" i="4"/>
  <c r="AJ9" i="4" s="1"/>
  <c r="AH6" i="4"/>
  <c r="AH10" i="4" s="1"/>
  <c r="U8" i="4"/>
  <c r="U13" i="4"/>
  <c r="S14" i="4"/>
  <c r="R17" i="4"/>
  <c r="U18" i="4"/>
  <c r="S19" i="4"/>
  <c r="O20" i="4"/>
  <c r="AC20" i="4" s="1"/>
  <c r="S24" i="4"/>
  <c r="U25" i="4"/>
  <c r="S31" i="4"/>
  <c r="S36" i="4"/>
  <c r="O37" i="4"/>
  <c r="AC37" i="4" s="1"/>
  <c r="U45" i="4"/>
  <c r="O46" i="4"/>
  <c r="AC46" i="4" s="1"/>
  <c r="S62" i="4"/>
  <c r="Z62" i="4"/>
  <c r="R64" i="4"/>
  <c r="O64" i="4"/>
  <c r="S102" i="4"/>
  <c r="O102" i="4"/>
  <c r="V102" i="4"/>
  <c r="S104" i="4"/>
  <c r="V107" i="4"/>
  <c r="S140" i="4"/>
  <c r="Z140" i="4"/>
  <c r="R161" i="4"/>
  <c r="Y161" i="4"/>
  <c r="O3" i="4"/>
  <c r="AB3" i="4" s="1"/>
  <c r="AC3" i="4"/>
  <c r="AI6" i="4"/>
  <c r="AI10" i="4" s="1"/>
  <c r="AI13" i="4" s="1"/>
  <c r="Y10" i="4"/>
  <c r="Z12" i="4"/>
  <c r="Y15" i="4"/>
  <c r="U16" i="4"/>
  <c r="S17" i="4"/>
  <c r="V18" i="4"/>
  <c r="T19" i="4"/>
  <c r="R20" i="4"/>
  <c r="AB21" i="4"/>
  <c r="Z22" i="4"/>
  <c r="O23" i="4"/>
  <c r="AB23" i="4" s="1"/>
  <c r="AC23" i="4"/>
  <c r="T24" i="4"/>
  <c r="V25" i="4"/>
  <c r="AA26" i="4"/>
  <c r="R27" i="4"/>
  <c r="U28" i="4"/>
  <c r="Z29" i="4"/>
  <c r="O30" i="4"/>
  <c r="AB30" i="4" s="1"/>
  <c r="AC30" i="4"/>
  <c r="T31" i="4"/>
  <c r="AA33" i="4"/>
  <c r="R34" i="4"/>
  <c r="U35" i="4"/>
  <c r="T36" i="4"/>
  <c r="R37" i="4"/>
  <c r="AB38" i="4"/>
  <c r="AC42" i="4"/>
  <c r="U43" i="4"/>
  <c r="Y45" i="4"/>
  <c r="S46" i="4"/>
  <c r="AC47" i="4"/>
  <c r="U54" i="4"/>
  <c r="AA57" i="4"/>
  <c r="S58" i="4"/>
  <c r="AC60" i="4"/>
  <c r="T68" i="4"/>
  <c r="AB88" i="4"/>
  <c r="AC89" i="4"/>
  <c r="V89" i="4"/>
  <c r="Y98" i="4"/>
  <c r="AB101" i="4"/>
  <c r="Z101" i="4"/>
  <c r="AC116" i="4"/>
  <c r="V116" i="4"/>
  <c r="AB119" i="4"/>
  <c r="R123" i="4"/>
  <c r="O123" i="4"/>
  <c r="U131" i="4"/>
  <c r="AB131" i="4"/>
  <c r="T146" i="4"/>
  <c r="AA146" i="4"/>
  <c r="Z161" i="4"/>
  <c r="S161" i="4"/>
  <c r="U248" i="4"/>
  <c r="U31" i="4"/>
  <c r="AF37" i="4"/>
  <c r="AG36" i="4" s="1"/>
  <c r="Y41" i="4"/>
  <c r="V43" i="4"/>
  <c r="O44" i="4"/>
  <c r="AB44" i="4" s="1"/>
  <c r="S53" i="4"/>
  <c r="AA53" i="4"/>
  <c r="AB62" i="4"/>
  <c r="U62" i="4"/>
  <c r="S64" i="4"/>
  <c r="Y65" i="4"/>
  <c r="U68" i="4"/>
  <c r="O78" i="4"/>
  <c r="AA78" i="4" s="1"/>
  <c r="V78" i="4"/>
  <c r="AB82" i="4"/>
  <c r="U82" i="4"/>
  <c r="R100" i="4"/>
  <c r="Y100" i="4"/>
  <c r="AA103" i="4"/>
  <c r="V105" i="4"/>
  <c r="AC105" i="4"/>
  <c r="T111" i="4"/>
  <c r="O111" i="4"/>
  <c r="S111" i="4"/>
  <c r="T113" i="4"/>
  <c r="AA113" i="4"/>
  <c r="T144" i="4"/>
  <c r="AA144" i="4"/>
  <c r="AC26" i="4"/>
  <c r="AB39" i="4"/>
  <c r="Y43" i="4"/>
  <c r="O55" i="4"/>
  <c r="Z55" i="4" s="1"/>
  <c r="T64" i="4"/>
  <c r="Y67" i="4"/>
  <c r="O69" i="4"/>
  <c r="R69" i="4"/>
  <c r="O70" i="4"/>
  <c r="AC70" i="4" s="1"/>
  <c r="O73" i="4"/>
  <c r="O74" i="4"/>
  <c r="T73" i="4"/>
  <c r="Y99" i="4"/>
  <c r="T102" i="4"/>
  <c r="S123" i="4"/>
  <c r="O126" i="4"/>
  <c r="T126" i="4"/>
  <c r="V126" i="4"/>
  <c r="U144" i="4"/>
  <c r="AB144" i="4"/>
  <c r="U153" i="4"/>
  <c r="AB153" i="4"/>
  <c r="O159" i="4"/>
  <c r="AC159" i="4" s="1"/>
  <c r="V159" i="4"/>
  <c r="U159" i="4"/>
  <c r="O160" i="4"/>
  <c r="T194" i="4"/>
  <c r="AA194" i="4"/>
  <c r="U205" i="4"/>
  <c r="AB205" i="4"/>
  <c r="AA5" i="4"/>
  <c r="O9" i="4"/>
  <c r="AC9" i="4" s="1"/>
  <c r="AB29" i="4"/>
  <c r="V31" i="4"/>
  <c r="AC33" i="4"/>
  <c r="T3" i="4"/>
  <c r="AB5" i="4"/>
  <c r="Z6" i="4"/>
  <c r="V7" i="4"/>
  <c r="R9" i="4"/>
  <c r="Z11" i="4"/>
  <c r="AC12" i="4"/>
  <c r="AA13" i="4"/>
  <c r="Y14" i="4"/>
  <c r="AB15" i="4"/>
  <c r="Z16" i="4"/>
  <c r="V17" i="4"/>
  <c r="U20" i="4"/>
  <c r="AC22" i="4"/>
  <c r="AA25" i="4"/>
  <c r="U27" i="4"/>
  <c r="Z28" i="4"/>
  <c r="AC29" i="4"/>
  <c r="Y31" i="4"/>
  <c r="U34" i="4"/>
  <c r="Z35" i="4"/>
  <c r="Y36" i="4"/>
  <c r="U37" i="4"/>
  <c r="O39" i="4"/>
  <c r="AC39" i="4"/>
  <c r="S40" i="4"/>
  <c r="AA41" i="4"/>
  <c r="Z43" i="4"/>
  <c r="U44" i="4"/>
  <c r="V46" i="4"/>
  <c r="AB53" i="4"/>
  <c r="AC58" i="4"/>
  <c r="S66" i="4"/>
  <c r="Y69" i="4"/>
  <c r="Y70" i="4"/>
  <c r="R71" i="4"/>
  <c r="Y73" i="4"/>
  <c r="S78" i="4"/>
  <c r="AB89" i="4"/>
  <c r="O95" i="4"/>
  <c r="AB95" i="4" s="1"/>
  <c r="O96" i="4"/>
  <c r="Z96" i="4" s="1"/>
  <c r="V95" i="4"/>
  <c r="AA101" i="4"/>
  <c r="T123" i="4"/>
  <c r="O142" i="4"/>
  <c r="V142" i="4"/>
  <c r="O143" i="4"/>
  <c r="AB143" i="4"/>
  <c r="R151" i="4"/>
  <c r="Y158" i="4"/>
  <c r="R158" i="4"/>
  <c r="U7" i="4"/>
  <c r="AB12" i="4"/>
  <c r="V14" i="4"/>
  <c r="Y16" i="4"/>
  <c r="U17" i="4"/>
  <c r="Z18" i="4"/>
  <c r="V24" i="4"/>
  <c r="Y28" i="4"/>
  <c r="Y35" i="4"/>
  <c r="O5" i="4"/>
  <c r="Z5" i="4" s="1"/>
  <c r="S9" i="4"/>
  <c r="O10" i="4"/>
  <c r="Z10" i="4" s="1"/>
  <c r="O15" i="4"/>
  <c r="Z15" i="4" s="1"/>
  <c r="V27" i="4"/>
  <c r="O32" i="4"/>
  <c r="Z32" i="4" s="1"/>
  <c r="V34" i="4"/>
  <c r="AG38" i="4"/>
  <c r="AH37" i="4" s="1"/>
  <c r="V45" i="4"/>
  <c r="R46" i="4"/>
  <c r="T47" i="4"/>
  <c r="AC53" i="4"/>
  <c r="S54" i="4"/>
  <c r="S56" i="4"/>
  <c r="Y58" i="4"/>
  <c r="U60" i="4"/>
  <c r="V64" i="4"/>
  <c r="AA66" i="4"/>
  <c r="S69" i="4"/>
  <c r="T72" i="4"/>
  <c r="AA72" i="4"/>
  <c r="Z84" i="4"/>
  <c r="AA86" i="4"/>
  <c r="O90" i="4"/>
  <c r="Y90" i="4" s="1"/>
  <c r="O91" i="4"/>
  <c r="AC91" i="4" s="1"/>
  <c r="R91" i="4"/>
  <c r="Z98" i="4"/>
  <c r="S98" i="4"/>
  <c r="AA99" i="4"/>
  <c r="T99" i="4"/>
  <c r="AA104" i="4"/>
  <c r="Z108" i="4"/>
  <c r="S108" i="4"/>
  <c r="R110" i="4"/>
  <c r="V125" i="4"/>
  <c r="R125" i="4"/>
  <c r="U125" i="4"/>
  <c r="O125" i="4"/>
  <c r="T129" i="4"/>
  <c r="AA129" i="4"/>
  <c r="T166" i="4"/>
  <c r="AC167" i="4"/>
  <c r="AB167" i="4"/>
  <c r="AA167" i="4"/>
  <c r="Z167" i="4"/>
  <c r="Y167" i="4"/>
  <c r="AF39" i="4"/>
  <c r="AI36" i="4" s="1"/>
  <c r="AF5" i="4"/>
  <c r="AF9" i="4" s="1"/>
  <c r="O8" i="4"/>
  <c r="AA8" i="4" s="1"/>
  <c r="O13" i="4"/>
  <c r="AB13" i="4" s="1"/>
  <c r="O18" i="4"/>
  <c r="Y18" i="4" s="1"/>
  <c r="O25" i="4"/>
  <c r="Y25" i="4" s="1"/>
  <c r="AH39" i="4"/>
  <c r="AI38" i="4" s="1"/>
  <c r="AB43" i="4"/>
  <c r="O45" i="4"/>
  <c r="V49" i="4"/>
  <c r="U52" i="4"/>
  <c r="T54" i="4"/>
  <c r="T55" i="4"/>
  <c r="Y62" i="4"/>
  <c r="U64" i="4"/>
  <c r="AB66" i="4"/>
  <c r="T69" i="4"/>
  <c r="AA73" i="4"/>
  <c r="AB76" i="4"/>
  <c r="AB84" i="4"/>
  <c r="AB87" i="4"/>
  <c r="AC101" i="4"/>
  <c r="V101" i="4"/>
  <c r="U102" i="4"/>
  <c r="U106" i="4"/>
  <c r="O106" i="4"/>
  <c r="O107" i="4"/>
  <c r="AA107" i="4" s="1"/>
  <c r="AC112" i="4"/>
  <c r="V112" i="4"/>
  <c r="AB113" i="4"/>
  <c r="T117" i="4"/>
  <c r="AA117" i="4"/>
  <c r="U121" i="4"/>
  <c r="AB121" i="4"/>
  <c r="AB122" i="4"/>
  <c r="U122" i="4"/>
  <c r="S142" i="4"/>
  <c r="Z142" i="4"/>
  <c r="U152" i="4"/>
  <c r="V40" i="4"/>
  <c r="AC43" i="4"/>
  <c r="R45" i="4"/>
  <c r="AA46" i="4"/>
  <c r="V50" i="4"/>
  <c r="Y52" i="4"/>
  <c r="Y60" i="4"/>
  <c r="AA61" i="4"/>
  <c r="AA62" i="4"/>
  <c r="O65" i="4"/>
  <c r="AB65" i="4" s="1"/>
  <c r="AC66" i="4"/>
  <c r="U69" i="4"/>
  <c r="AB73" i="4"/>
  <c r="AC76" i="4"/>
  <c r="AC78" i="4"/>
  <c r="Y87" i="4"/>
  <c r="O88" i="4"/>
  <c r="AA88" i="4" s="1"/>
  <c r="T88" i="4"/>
  <c r="Z90" i="4"/>
  <c r="AA92" i="4"/>
  <c r="AB98" i="4"/>
  <c r="V99" i="4"/>
  <c r="T110" i="4"/>
  <c r="Y116" i="4"/>
  <c r="AB116" i="4"/>
  <c r="U119" i="4"/>
  <c r="AC129" i="4"/>
  <c r="V129" i="4"/>
  <c r="AA137" i="4"/>
  <c r="Y137" i="4"/>
  <c r="T142" i="4"/>
  <c r="AA142" i="4"/>
  <c r="AB165" i="4"/>
  <c r="U165" i="4"/>
  <c r="V4" i="4"/>
  <c r="AI15" i="4" s="1"/>
  <c r="AI16" i="4" s="1"/>
  <c r="Z13" i="4"/>
  <c r="AA15" i="4"/>
  <c r="V19" i="4"/>
  <c r="AF15" i="4" s="1"/>
  <c r="AB22" i="4"/>
  <c r="V36" i="4"/>
  <c r="AH5" i="4"/>
  <c r="AH9" i="4" s="1"/>
  <c r="R6" i="4"/>
  <c r="AF6" i="4"/>
  <c r="AF10" i="4" s="1"/>
  <c r="R11" i="4"/>
  <c r="O19" i="4"/>
  <c r="AC19" i="4" s="1"/>
  <c r="O24" i="4"/>
  <c r="Z24" i="4" s="1"/>
  <c r="O40" i="4"/>
  <c r="AB40" i="4" s="1"/>
  <c r="O41" i="4"/>
  <c r="Y42" i="4"/>
  <c r="S44" i="4"/>
  <c r="AB46" i="4"/>
  <c r="Z47" i="4"/>
  <c r="Z49" i="4"/>
  <c r="Y50" i="4"/>
  <c r="Z52" i="4"/>
  <c r="AA52" i="4"/>
  <c r="U53" i="4"/>
  <c r="V54" i="4"/>
  <c r="Y55" i="4"/>
  <c r="AC55" i="4"/>
  <c r="Y56" i="4"/>
  <c r="AB58" i="4"/>
  <c r="Z60" i="4"/>
  <c r="Y61" i="4"/>
  <c r="R61" i="4"/>
  <c r="AA64" i="4"/>
  <c r="T66" i="4"/>
  <c r="O67" i="4"/>
  <c r="AC73" i="4"/>
  <c r="R78" i="4"/>
  <c r="AA82" i="4"/>
  <c r="Z87" i="4"/>
  <c r="R88" i="4"/>
  <c r="Y88" i="4"/>
  <c r="AB93" i="4"/>
  <c r="AC98" i="4"/>
  <c r="Z100" i="4"/>
  <c r="AA102" i="4"/>
  <c r="R104" i="4"/>
  <c r="O104" i="4"/>
  <c r="O105" i="4"/>
  <c r="S106" i="4"/>
  <c r="R111" i="4"/>
  <c r="V114" i="4"/>
  <c r="R114" i="4"/>
  <c r="O114" i="4"/>
  <c r="T114" i="4"/>
  <c r="O120" i="4"/>
  <c r="O127" i="4"/>
  <c r="Y135" i="4"/>
  <c r="AC135" i="4"/>
  <c r="AC146" i="4"/>
  <c r="Z146" i="4"/>
  <c r="S150" i="4"/>
  <c r="T164" i="4"/>
  <c r="AG39" i="4"/>
  <c r="AI37" i="4" s="1"/>
  <c r="AG5" i="4"/>
  <c r="AG9" i="4" s="1"/>
  <c r="AG6" i="4"/>
  <c r="AG10" i="4" s="1"/>
  <c r="R40" i="4"/>
  <c r="Z42" i="4"/>
  <c r="T44" i="4"/>
  <c r="AC44" i="4"/>
  <c r="T45" i="4"/>
  <c r="AA49" i="4"/>
  <c r="O50" i="4"/>
  <c r="AA50" i="4" s="1"/>
  <c r="R51" i="4"/>
  <c r="V53" i="4"/>
  <c r="V58" i="4"/>
  <c r="Y63" i="4"/>
  <c r="V66" i="4"/>
  <c r="O68" i="4"/>
  <c r="AA68" i="4" s="1"/>
  <c r="V69" i="4"/>
  <c r="T71" i="4"/>
  <c r="R73" i="4"/>
  <c r="Y76" i="4"/>
  <c r="T78" i="4"/>
  <c r="S81" i="4"/>
  <c r="O81" i="4"/>
  <c r="Z81" i="4" s="1"/>
  <c r="Y82" i="4"/>
  <c r="O83" i="4"/>
  <c r="Y83" i="4" s="1"/>
  <c r="O84" i="4"/>
  <c r="Y84" i="4" s="1"/>
  <c r="U83" i="4"/>
  <c r="Y85" i="4"/>
  <c r="S86" i="4"/>
  <c r="AA87" i="4"/>
  <c r="AC93" i="4"/>
  <c r="AC95" i="4"/>
  <c r="Y96" i="4"/>
  <c r="T106" i="4"/>
  <c r="AC109" i="4"/>
  <c r="V109" i="4"/>
  <c r="U111" i="4"/>
  <c r="Y119" i="4"/>
  <c r="Y124" i="4"/>
  <c r="U126" i="4"/>
  <c r="AB133" i="4"/>
  <c r="U133" i="4"/>
  <c r="O59" i="4"/>
  <c r="AC65" i="4"/>
  <c r="U66" i="4"/>
  <c r="AA67" i="4"/>
  <c r="R68" i="4"/>
  <c r="U71" i="4"/>
  <c r="AB72" i="4"/>
  <c r="Z74" i="4"/>
  <c r="O75" i="4"/>
  <c r="Y75" i="4" s="1"/>
  <c r="V76" i="4"/>
  <c r="AB77" i="4"/>
  <c r="R80" i="4"/>
  <c r="V81" i="4"/>
  <c r="AA84" i="4"/>
  <c r="R85" i="4"/>
  <c r="R86" i="4"/>
  <c r="Y86" i="4"/>
  <c r="AC87" i="4"/>
  <c r="S90" i="4"/>
  <c r="O92" i="4"/>
  <c r="V93" i="4"/>
  <c r="AB94" i="4"/>
  <c r="S95" i="4"/>
  <c r="U98" i="4"/>
  <c r="Y102" i="4"/>
  <c r="O103" i="4"/>
  <c r="AC103" i="4" s="1"/>
  <c r="R106" i="4"/>
  <c r="Y108" i="4"/>
  <c r="AA116" i="4"/>
  <c r="O124" i="4"/>
  <c r="AC130" i="4"/>
  <c r="R142" i="4"/>
  <c r="R146" i="4"/>
  <c r="Y146" i="4"/>
  <c r="R148" i="4"/>
  <c r="Y148" i="4"/>
  <c r="Z155" i="4"/>
  <c r="Y155" i="4"/>
  <c r="U170" i="4"/>
  <c r="AB170" i="4"/>
  <c r="Y192" i="4"/>
  <c r="T203" i="4"/>
  <c r="S203" i="4"/>
  <c r="O203" i="4"/>
  <c r="V203" i="4"/>
  <c r="U203" i="4"/>
  <c r="S169" i="4"/>
  <c r="AA192" i="4"/>
  <c r="T192" i="4"/>
  <c r="AC239" i="4"/>
  <c r="Y239" i="4"/>
  <c r="AC74" i="4"/>
  <c r="AA76" i="4"/>
  <c r="S83" i="4"/>
  <c r="U85" i="4"/>
  <c r="AB86" i="4"/>
  <c r="Z88" i="4"/>
  <c r="AA93" i="4"/>
  <c r="AB102" i="4"/>
  <c r="Y111" i="4"/>
  <c r="V115" i="4"/>
  <c r="R119" i="4"/>
  <c r="U123" i="4"/>
  <c r="S125" i="4"/>
  <c r="R126" i="4"/>
  <c r="AC133" i="4"/>
  <c r="AC138" i="4"/>
  <c r="AB138" i="4"/>
  <c r="AC155" i="4"/>
  <c r="AA160" i="4"/>
  <c r="T160" i="4"/>
  <c r="O191" i="4"/>
  <c r="O192" i="4"/>
  <c r="AC192" i="4" s="1"/>
  <c r="V191" i="4"/>
  <c r="U191" i="4"/>
  <c r="T191" i="4"/>
  <c r="AC69" i="4"/>
  <c r="S73" i="4"/>
  <c r="Z73" i="4"/>
  <c r="U92" i="4"/>
  <c r="V104" i="4"/>
  <c r="U112" i="4"/>
  <c r="O115" i="4"/>
  <c r="T116" i="4"/>
  <c r="S119" i="4"/>
  <c r="V121" i="4"/>
  <c r="V123" i="4"/>
  <c r="T125" i="4"/>
  <c r="AC131" i="4"/>
  <c r="S134" i="4"/>
  <c r="R134" i="4"/>
  <c r="O134" i="4"/>
  <c r="U134" i="4"/>
  <c r="Z139" i="4"/>
  <c r="AC141" i="4"/>
  <c r="V141" i="4"/>
  <c r="T159" i="4"/>
  <c r="Z168" i="4"/>
  <c r="S168" i="4"/>
  <c r="V183" i="4"/>
  <c r="AC183" i="4"/>
  <c r="Y224" i="4"/>
  <c r="R224" i="4"/>
  <c r="V226" i="4"/>
  <c r="AC59" i="4"/>
  <c r="S63" i="4"/>
  <c r="Z63" i="4"/>
  <c r="T90" i="4"/>
  <c r="AA90" i="4"/>
  <c r="AA95" i="4"/>
  <c r="AC100" i="4"/>
  <c r="Y101" i="4"/>
  <c r="S117" i="4"/>
  <c r="T119" i="4"/>
  <c r="V124" i="4"/>
  <c r="AC124" i="4"/>
  <c r="Z127" i="4"/>
  <c r="S127" i="4"/>
  <c r="V128" i="4"/>
  <c r="Y134" i="4"/>
  <c r="Z135" i="4"/>
  <c r="R136" i="4"/>
  <c r="Z137" i="4"/>
  <c r="Z138" i="4"/>
  <c r="S138" i="4"/>
  <c r="AC145" i="4"/>
  <c r="Z145" i="4"/>
  <c r="AC147" i="4"/>
  <c r="Z147" i="4"/>
  <c r="Y147" i="4"/>
  <c r="V150" i="4"/>
  <c r="O154" i="4"/>
  <c r="S154" i="4"/>
  <c r="U154" i="4"/>
  <c r="AB175" i="4"/>
  <c r="Z58" i="4"/>
  <c r="O71" i="4"/>
  <c r="Z71" i="4" s="1"/>
  <c r="U72" i="4"/>
  <c r="T80" i="4"/>
  <c r="AA80" i="4"/>
  <c r="R81" i="4"/>
  <c r="AA85" i="4"/>
  <c r="O99" i="4"/>
  <c r="AB99" i="4" s="1"/>
  <c r="R102" i="4"/>
  <c r="S103" i="4"/>
  <c r="Z103" i="4"/>
  <c r="Z109" i="4"/>
  <c r="AA109" i="4"/>
  <c r="O112" i="4"/>
  <c r="AA112" i="4" s="1"/>
  <c r="Y112" i="4"/>
  <c r="AC114" i="4"/>
  <c r="AC118" i="4"/>
  <c r="V118" i="4"/>
  <c r="Y121" i="4"/>
  <c r="R121" i="4"/>
  <c r="R124" i="4"/>
  <c r="AB126" i="4"/>
  <c r="Y128" i="4"/>
  <c r="O129" i="4"/>
  <c r="Y129" i="4" s="1"/>
  <c r="O130" i="4"/>
  <c r="R132" i="4"/>
  <c r="Y133" i="4"/>
  <c r="AB139" i="4"/>
  <c r="U139" i="4"/>
  <c r="AB218" i="4"/>
  <c r="U218" i="4"/>
  <c r="AC220" i="4"/>
  <c r="AB220" i="4"/>
  <c r="T224" i="4"/>
  <c r="AA224" i="4"/>
  <c r="T70" i="4"/>
  <c r="O89" i="4"/>
  <c r="Z89" i="4" s="1"/>
  <c r="T101" i="4"/>
  <c r="AA105" i="4"/>
  <c r="V110" i="4"/>
  <c r="Z113" i="4"/>
  <c r="T115" i="4"/>
  <c r="U120" i="4"/>
  <c r="AB120" i="4"/>
  <c r="S124" i="4"/>
  <c r="AC126" i="4"/>
  <c r="AB135" i="4"/>
  <c r="U137" i="4"/>
  <c r="AB137" i="4"/>
  <c r="AB146" i="4"/>
  <c r="AA155" i="4"/>
  <c r="T155" i="4"/>
  <c r="V168" i="4"/>
  <c r="AC168" i="4"/>
  <c r="U171" i="4"/>
  <c r="AB171" i="4"/>
  <c r="T174" i="4"/>
  <c r="T177" i="4"/>
  <c r="S205" i="4"/>
  <c r="Z205" i="4"/>
  <c r="AA214" i="4"/>
  <c r="Y214" i="4"/>
  <c r="AC218" i="4"/>
  <c r="V218" i="4"/>
  <c r="R222" i="4"/>
  <c r="T60" i="4"/>
  <c r="AA60" i="4"/>
  <c r="AA65" i="4"/>
  <c r="O79" i="4"/>
  <c r="Y79" i="4" s="1"/>
  <c r="V79" i="4"/>
  <c r="AB92" i="4"/>
  <c r="AB97" i="4"/>
  <c r="AB103" i="4"/>
  <c r="O110" i="4"/>
  <c r="AA110" i="4" s="1"/>
  <c r="Z112" i="4"/>
  <c r="AB115" i="4"/>
  <c r="V122" i="4"/>
  <c r="T124" i="4"/>
  <c r="Z129" i="4"/>
  <c r="AA132" i="4"/>
  <c r="O151" i="4"/>
  <c r="T151" i="4"/>
  <c r="V157" i="4"/>
  <c r="V171" i="4"/>
  <c r="AC171" i="4"/>
  <c r="O173" i="4"/>
  <c r="AA173" i="4" s="1"/>
  <c r="O174" i="4"/>
  <c r="Z174" i="4" s="1"/>
  <c r="V173" i="4"/>
  <c r="U174" i="4"/>
  <c r="O176" i="4"/>
  <c r="O177" i="4"/>
  <c r="AA177" i="4" s="1"/>
  <c r="V176" i="4"/>
  <c r="U176" i="4"/>
  <c r="U177" i="4"/>
  <c r="AB177" i="4"/>
  <c r="U138" i="4"/>
  <c r="AC139" i="4"/>
  <c r="Y142" i="4"/>
  <c r="AB155" i="4"/>
  <c r="U155" i="4"/>
  <c r="V156" i="4"/>
  <c r="O157" i="4"/>
  <c r="Z158" i="4"/>
  <c r="U161" i="4"/>
  <c r="AA168" i="4"/>
  <c r="T168" i="4"/>
  <c r="S177" i="4"/>
  <c r="Z177" i="4"/>
  <c r="T182" i="4"/>
  <c r="AA183" i="4"/>
  <c r="Y183" i="4"/>
  <c r="S192" i="4"/>
  <c r="Z192" i="4"/>
  <c r="Z204" i="4"/>
  <c r="S224" i="4"/>
  <c r="Z224" i="4"/>
  <c r="Y254" i="4"/>
  <c r="R254" i="4"/>
  <c r="Z132" i="4"/>
  <c r="S135" i="4"/>
  <c r="S137" i="4"/>
  <c r="AA138" i="4"/>
  <c r="AB142" i="4"/>
  <c r="U145" i="4"/>
  <c r="Y149" i="4"/>
  <c r="O150" i="4"/>
  <c r="Y150" i="4" s="1"/>
  <c r="Z151" i="4"/>
  <c r="V152" i="4"/>
  <c r="Y154" i="4"/>
  <c r="R154" i="4"/>
  <c r="AA156" i="4"/>
  <c r="R159" i="4"/>
  <c r="O162" i="4"/>
  <c r="AC165" i="4"/>
  <c r="AA165" i="4"/>
  <c r="Z165" i="4"/>
  <c r="T169" i="4"/>
  <c r="AC170" i="4"/>
  <c r="R173" i="4"/>
  <c r="Y173" i="4"/>
  <c r="R176" i="4"/>
  <c r="Y176" i="4"/>
  <c r="Y203" i="4"/>
  <c r="R203" i="4"/>
  <c r="T216" i="4"/>
  <c r="AA216" i="4"/>
  <c r="AA218" i="4"/>
  <c r="Z218" i="4"/>
  <c r="U229" i="4"/>
  <c r="AB229" i="4"/>
  <c r="Y235" i="4"/>
  <c r="R235" i="4"/>
  <c r="Y114" i="4"/>
  <c r="AC119" i="4"/>
  <c r="S126" i="4"/>
  <c r="Z128" i="4"/>
  <c r="S131" i="4"/>
  <c r="V139" i="4"/>
  <c r="AC142" i="4"/>
  <c r="V145" i="4"/>
  <c r="R149" i="4"/>
  <c r="AB156" i="4"/>
  <c r="S159" i="4"/>
  <c r="AB161" i="4"/>
  <c r="U169" i="4"/>
  <c r="S173" i="4"/>
  <c r="S176" i="4"/>
  <c r="AA180" i="4"/>
  <c r="T180" i="4"/>
  <c r="S191" i="4"/>
  <c r="AA197" i="4"/>
  <c r="T197" i="4"/>
  <c r="AC199" i="4"/>
  <c r="AA199" i="4"/>
  <c r="Y199" i="4"/>
  <c r="S235" i="4"/>
  <c r="Z235" i="4"/>
  <c r="R116" i="4"/>
  <c r="Z116" i="4"/>
  <c r="AA120" i="4"/>
  <c r="AA128" i="4"/>
  <c r="AB132" i="4"/>
  <c r="V134" i="4"/>
  <c r="O139" i="4"/>
  <c r="AA139" i="4" s="1"/>
  <c r="Y139" i="4"/>
  <c r="O140" i="4"/>
  <c r="Y141" i="4"/>
  <c r="S143" i="4"/>
  <c r="AB151" i="4"/>
  <c r="O152" i="4"/>
  <c r="AB152" i="4" s="1"/>
  <c r="AC156" i="4"/>
  <c r="AC161" i="4"/>
  <c r="S162" i="4"/>
  <c r="AC163" i="4"/>
  <c r="AB168" i="4"/>
  <c r="V170" i="4"/>
  <c r="T173" i="4"/>
  <c r="V175" i="4"/>
  <c r="U175" i="4"/>
  <c r="S175" i="4"/>
  <c r="R175" i="4"/>
  <c r="O175" i="4"/>
  <c r="AA176" i="4"/>
  <c r="T176" i="4"/>
  <c r="Y190" i="4"/>
  <c r="R195" i="4"/>
  <c r="Y195" i="4"/>
  <c r="Z118" i="4"/>
  <c r="AC132" i="4"/>
  <c r="Z133" i="4"/>
  <c r="O136" i="4"/>
  <c r="Z141" i="4"/>
  <c r="AA141" i="4"/>
  <c r="T143" i="4"/>
  <c r="AA145" i="4"/>
  <c r="AB147" i="4"/>
  <c r="S148" i="4"/>
  <c r="S157" i="4"/>
  <c r="T162" i="4"/>
  <c r="Y163" i="4"/>
  <c r="S164" i="4"/>
  <c r="O164" i="4"/>
  <c r="U166" i="4"/>
  <c r="O166" i="4"/>
  <c r="O172" i="4"/>
  <c r="AA172" i="4" s="1"/>
  <c r="U172" i="4"/>
  <c r="V172" i="4"/>
  <c r="T172" i="4"/>
  <c r="S172" i="4"/>
  <c r="U173" i="4"/>
  <c r="Y175" i="4"/>
  <c r="AA179" i="4"/>
  <c r="V180" i="4"/>
  <c r="AC180" i="4"/>
  <c r="V185" i="4"/>
  <c r="AC185" i="4"/>
  <c r="AB202" i="4"/>
  <c r="Z202" i="4"/>
  <c r="Y202" i="4"/>
  <c r="AA227" i="4"/>
  <c r="T227" i="4"/>
  <c r="S233" i="4"/>
  <c r="O233" i="4"/>
  <c r="Z233" i="4" s="1"/>
  <c r="T233" i="4"/>
  <c r="V233" i="4"/>
  <c r="AA239" i="4"/>
  <c r="R243" i="4"/>
  <c r="Y131" i="4"/>
  <c r="AB145" i="4"/>
  <c r="Y160" i="4"/>
  <c r="Z163" i="4"/>
  <c r="Y164" i="4"/>
  <c r="R164" i="4"/>
  <c r="O170" i="4"/>
  <c r="O169" i="4"/>
  <c r="Z169" i="4" s="1"/>
  <c r="R172" i="4"/>
  <c r="AB184" i="4"/>
  <c r="R189" i="4"/>
  <c r="O189" i="4"/>
  <c r="U189" i="4"/>
  <c r="O190" i="4"/>
  <c r="Z190" i="4" s="1"/>
  <c r="V196" i="4"/>
  <c r="Z243" i="4"/>
  <c r="Z111" i="4"/>
  <c r="V119" i="4"/>
  <c r="AC122" i="4"/>
  <c r="R129" i="4"/>
  <c r="Z131" i="4"/>
  <c r="T133" i="4"/>
  <c r="AA135" i="4"/>
  <c r="U142" i="4"/>
  <c r="AC149" i="4"/>
  <c r="AA150" i="4"/>
  <c r="T152" i="4"/>
  <c r="AB160" i="4"/>
  <c r="S166" i="4"/>
  <c r="R169" i="4"/>
  <c r="AA175" i="4"/>
  <c r="AB183" i="4"/>
  <c r="Z194" i="4"/>
  <c r="S194" i="4"/>
  <c r="O211" i="4"/>
  <c r="U211" i="4"/>
  <c r="S211" i="4"/>
  <c r="O212" i="4"/>
  <c r="AB226" i="4"/>
  <c r="U226" i="4"/>
  <c r="AC235" i="4"/>
  <c r="S189" i="4"/>
  <c r="AA191" i="4"/>
  <c r="AB194" i="4"/>
  <c r="U194" i="4"/>
  <c r="U200" i="4"/>
  <c r="T200" i="4"/>
  <c r="O200" i="4"/>
  <c r="AC204" i="4"/>
  <c r="T230" i="4"/>
  <c r="O230" i="4"/>
  <c r="Z232" i="4"/>
  <c r="S232" i="4"/>
  <c r="O241" i="4"/>
  <c r="T241" i="4"/>
  <c r="S241" i="4"/>
  <c r="Y242" i="4"/>
  <c r="Z254" i="4"/>
  <c r="T165" i="4"/>
  <c r="AA169" i="4"/>
  <c r="V174" i="4"/>
  <c r="AB176" i="4"/>
  <c r="O186" i="4"/>
  <c r="Z186" i="4" s="1"/>
  <c r="O187" i="4"/>
  <c r="T189" i="4"/>
  <c r="AB191" i="4"/>
  <c r="AB193" i="4"/>
  <c r="R200" i="4"/>
  <c r="T202" i="4"/>
  <c r="AA202" i="4"/>
  <c r="AC209" i="4"/>
  <c r="Z209" i="4"/>
  <c r="Y209" i="4"/>
  <c r="Y210" i="4"/>
  <c r="T211" i="4"/>
  <c r="AC215" i="4"/>
  <c r="V215" i="4"/>
  <c r="AC223" i="4"/>
  <c r="V223" i="4"/>
  <c r="R230" i="4"/>
  <c r="T232" i="4"/>
  <c r="AA232" i="4"/>
  <c r="Z242" i="4"/>
  <c r="AB245" i="4"/>
  <c r="U245" i="4"/>
  <c r="Z251" i="4"/>
  <c r="S251" i="4"/>
  <c r="S167" i="4"/>
  <c r="O184" i="4"/>
  <c r="Y184" i="4" s="1"/>
  <c r="S184" i="4"/>
  <c r="Y185" i="4"/>
  <c r="AC191" i="4"/>
  <c r="AC193" i="4"/>
  <c r="T198" i="4"/>
  <c r="O198" i="4"/>
  <c r="S200" i="4"/>
  <c r="R208" i="4"/>
  <c r="AB215" i="4"/>
  <c r="AA215" i="4"/>
  <c r="Y220" i="4"/>
  <c r="Z221" i="4"/>
  <c r="S221" i="4"/>
  <c r="AB223" i="4"/>
  <c r="AA223" i="4"/>
  <c r="U234" i="4"/>
  <c r="AC245" i="4"/>
  <c r="V245" i="4"/>
  <c r="AA249" i="4"/>
  <c r="Y165" i="4"/>
  <c r="R184" i="4"/>
  <c r="Z185" i="4"/>
  <c r="Z199" i="4"/>
  <c r="O206" i="4"/>
  <c r="S206" i="4"/>
  <c r="R206" i="4"/>
  <c r="Y207" i="4"/>
  <c r="AA210" i="4"/>
  <c r="AA221" i="4"/>
  <c r="T221" i="4"/>
  <c r="AA228" i="4"/>
  <c r="Z228" i="4"/>
  <c r="Y240" i="4"/>
  <c r="AB253" i="4"/>
  <c r="U253" i="4"/>
  <c r="T163" i="4"/>
  <c r="AA163" i="4"/>
  <c r="AC178" i="4"/>
  <c r="U187" i="4"/>
  <c r="Z207" i="4"/>
  <c r="AA209" i="4"/>
  <c r="AB213" i="4"/>
  <c r="AC231" i="4"/>
  <c r="V231" i="4"/>
  <c r="V238" i="4"/>
  <c r="U238" i="4"/>
  <c r="T238" i="4"/>
  <c r="O238" i="4"/>
  <c r="Z240" i="4"/>
  <c r="S240" i="4"/>
  <c r="AC242" i="4"/>
  <c r="V242" i="4"/>
  <c r="O246" i="4"/>
  <c r="AC246" i="4" s="1"/>
  <c r="T246" i="4"/>
  <c r="S246" i="4"/>
  <c r="R246" i="4"/>
  <c r="Y247" i="4"/>
  <c r="AC250" i="4"/>
  <c r="V250" i="4"/>
  <c r="AC253" i="4"/>
  <c r="V253" i="4"/>
  <c r="T153" i="4"/>
  <c r="AA153" i="4"/>
  <c r="AA158" i="4"/>
  <c r="V167" i="4"/>
  <c r="Y171" i="4"/>
  <c r="R179" i="4"/>
  <c r="O179" i="4"/>
  <c r="Y179" i="4" s="1"/>
  <c r="Y180" i="4"/>
  <c r="T184" i="4"/>
  <c r="AB186" i="4"/>
  <c r="AB192" i="4"/>
  <c r="AC195" i="4"/>
  <c r="AB195" i="4"/>
  <c r="U199" i="4"/>
  <c r="AB199" i="4"/>
  <c r="AC202" i="4"/>
  <c r="R217" i="4"/>
  <c r="AB225" i="4"/>
  <c r="AA225" i="4"/>
  <c r="AA229" i="4"/>
  <c r="T229" i="4"/>
  <c r="R238" i="4"/>
  <c r="Z239" i="4"/>
  <c r="O242" i="4"/>
  <c r="AB242" i="4" s="1"/>
  <c r="Z247" i="4"/>
  <c r="T248" i="4"/>
  <c r="T175" i="4"/>
  <c r="T178" i="4"/>
  <c r="O180" i="4"/>
  <c r="V181" i="4"/>
  <c r="R185" i="4"/>
  <c r="V186" i="4"/>
  <c r="U188" i="4"/>
  <c r="AA189" i="4"/>
  <c r="R190" i="4"/>
  <c r="R191" i="4"/>
  <c r="Y191" i="4"/>
  <c r="V193" i="4"/>
  <c r="AC194" i="4"/>
  <c r="S195" i="4"/>
  <c r="Z195" i="4"/>
  <c r="T196" i="4"/>
  <c r="R198" i="4"/>
  <c r="Y198" i="4"/>
  <c r="AA200" i="4"/>
  <c r="Z203" i="4"/>
  <c r="T204" i="4"/>
  <c r="S207" i="4"/>
  <c r="O210" i="4"/>
  <c r="Z214" i="4"/>
  <c r="Y217" i="4"/>
  <c r="U220" i="4"/>
  <c r="AC221" i="4"/>
  <c r="V221" i="4"/>
  <c r="AB224" i="4"/>
  <c r="U224" i="4"/>
  <c r="O229" i="4"/>
  <c r="Z230" i="4"/>
  <c r="S230" i="4"/>
  <c r="R233" i="4"/>
  <c r="S234" i="4"/>
  <c r="Z236" i="4"/>
  <c r="R237" i="4"/>
  <c r="T239" i="4"/>
  <c r="R241" i="4"/>
  <c r="S242" i="4"/>
  <c r="Y244" i="4"/>
  <c r="R245" i="4"/>
  <c r="V247" i="4"/>
  <c r="O248" i="4"/>
  <c r="AB248" i="4" s="1"/>
  <c r="AA254" i="4"/>
  <c r="Y181" i="4"/>
  <c r="Z191" i="4"/>
  <c r="Y193" i="4"/>
  <c r="T195" i="4"/>
  <c r="S198" i="4"/>
  <c r="O201" i="4"/>
  <c r="V216" i="4"/>
  <c r="AC216" i="4"/>
  <c r="U219" i="4"/>
  <c r="AB219" i="4"/>
  <c r="T222" i="4"/>
  <c r="S225" i="4"/>
  <c r="Z225" i="4"/>
  <c r="R228" i="4"/>
  <c r="Y228" i="4"/>
  <c r="AA230" i="4"/>
  <c r="Y236" i="4"/>
  <c r="S237" i="4"/>
  <c r="O240" i="4"/>
  <c r="AA240" i="4" s="1"/>
  <c r="AC251" i="4"/>
  <c r="V251" i="4"/>
  <c r="AB254" i="4"/>
  <c r="U254" i="4"/>
  <c r="S180" i="4"/>
  <c r="O182" i="4"/>
  <c r="R187" i="4"/>
  <c r="V189" i="4"/>
  <c r="T190" i="4"/>
  <c r="Z193" i="4"/>
  <c r="O196" i="4"/>
  <c r="R197" i="4"/>
  <c r="R201" i="4"/>
  <c r="O204" i="4"/>
  <c r="AB204" i="4" s="1"/>
  <c r="R205" i="4"/>
  <c r="O208" i="4"/>
  <c r="Y208" i="4" s="1"/>
  <c r="T210" i="4"/>
  <c r="S213" i="4"/>
  <c r="R216" i="4"/>
  <c r="AA217" i="4"/>
  <c r="T217" i="4"/>
  <c r="T225" i="4"/>
  <c r="O227" i="4"/>
  <c r="S228" i="4"/>
  <c r="O231" i="4"/>
  <c r="U237" i="4"/>
  <c r="R240" i="4"/>
  <c r="O243" i="4"/>
  <c r="Y243" i="4" s="1"/>
  <c r="V246" i="4"/>
  <c r="U249" i="4"/>
  <c r="AB249" i="4"/>
  <c r="T252" i="4"/>
  <c r="AA252" i="4"/>
  <c r="AC254" i="4"/>
  <c r="V179" i="4"/>
  <c r="AC179" i="4"/>
  <c r="S188" i="4"/>
  <c r="Z188" i="4"/>
  <c r="Y196" i="4"/>
  <c r="AC211" i="4"/>
  <c r="V211" i="4"/>
  <c r="T213" i="4"/>
  <c r="AB214" i="4"/>
  <c r="U214" i="4"/>
  <c r="S216" i="4"/>
  <c r="AB217" i="4"/>
  <c r="Z220" i="4"/>
  <c r="S220" i="4"/>
  <c r="Y223" i="4"/>
  <c r="R223" i="4"/>
  <c r="O226" i="4"/>
  <c r="R231" i="4"/>
  <c r="O234" i="4"/>
  <c r="AA234" i="4" s="1"/>
  <c r="T240" i="4"/>
  <c r="AA247" i="4"/>
  <c r="T247" i="4"/>
  <c r="Z178" i="4"/>
  <c r="Z183" i="4"/>
  <c r="U197" i="4"/>
  <c r="V206" i="4"/>
  <c r="AC206" i="4"/>
  <c r="U209" i="4"/>
  <c r="AB209" i="4"/>
  <c r="T212" i="4"/>
  <c r="AA212" i="4"/>
  <c r="AC214" i="4"/>
  <c r="S215" i="4"/>
  <c r="Z215" i="4"/>
  <c r="R218" i="4"/>
  <c r="Y218" i="4"/>
  <c r="AA220" i="4"/>
  <c r="O222" i="4"/>
  <c r="Z223" i="4"/>
  <c r="Y226" i="4"/>
  <c r="U240" i="4"/>
  <c r="AC241" i="4"/>
  <c r="V241" i="4"/>
  <c r="AB244" i="4"/>
  <c r="U244" i="4"/>
  <c r="AB247" i="4"/>
  <c r="Z250" i="4"/>
  <c r="S250" i="4"/>
  <c r="Y253" i="4"/>
  <c r="R253" i="4"/>
  <c r="S254" i="4"/>
  <c r="Y205" i="4"/>
  <c r="AA207" i="4"/>
  <c r="T207" i="4"/>
  <c r="V236" i="4"/>
  <c r="AC236" i="4"/>
  <c r="U239" i="4"/>
  <c r="AB239" i="4"/>
  <c r="T242" i="4"/>
  <c r="AA242" i="4"/>
  <c r="S245" i="4"/>
  <c r="Z245" i="4"/>
  <c r="R248" i="4"/>
  <c r="AA250" i="4"/>
  <c r="Z253" i="4"/>
  <c r="T185" i="4"/>
  <c r="AA185" i="4"/>
  <c r="R186" i="4"/>
  <c r="AA190" i="4"/>
  <c r="AC201" i="4"/>
  <c r="V201" i="4"/>
  <c r="U204" i="4"/>
  <c r="AB207" i="4"/>
  <c r="Z210" i="4"/>
  <c r="S210" i="4"/>
  <c r="Y213" i="4"/>
  <c r="R213" i="4"/>
  <c r="R221" i="4"/>
  <c r="R236" i="4"/>
  <c r="AA237" i="4"/>
  <c r="T237" i="4"/>
  <c r="S248" i="4"/>
  <c r="AD7" i="3"/>
  <c r="AC32" i="3"/>
  <c r="AD32" i="3"/>
  <c r="AF32" i="3"/>
  <c r="AE32" i="3"/>
  <c r="AG16" i="3"/>
  <c r="AD16" i="3"/>
  <c r="AF7" i="3"/>
  <c r="AG28" i="3"/>
  <c r="AN21" i="3"/>
  <c r="AN24" i="3"/>
  <c r="AD3" i="3"/>
  <c r="AF3" i="3"/>
  <c r="AC3" i="3"/>
  <c r="AE3" i="3"/>
  <c r="AE30" i="3"/>
  <c r="AF30" i="3"/>
  <c r="AG30" i="3"/>
  <c r="AG18" i="3"/>
  <c r="U18" i="3"/>
  <c r="AC11" i="3"/>
  <c r="Q11" i="3"/>
  <c r="AF178" i="3"/>
  <c r="AE178" i="3"/>
  <c r="AD178" i="3"/>
  <c r="AC17" i="3"/>
  <c r="T20" i="3"/>
  <c r="AF27" i="3"/>
  <c r="AG39" i="3"/>
  <c r="U48" i="3"/>
  <c r="AG48" i="3"/>
  <c r="AE57" i="3"/>
  <c r="S57" i="3"/>
  <c r="AG64" i="3"/>
  <c r="AC64" i="3"/>
  <c r="AF64" i="3"/>
  <c r="AG69" i="3"/>
  <c r="AF69" i="3"/>
  <c r="AC69" i="3"/>
  <c r="AD69" i="3"/>
  <c r="S72" i="3"/>
  <c r="O73" i="3"/>
  <c r="S73" i="3"/>
  <c r="T73" i="3"/>
  <c r="R73" i="3"/>
  <c r="O74" i="3"/>
  <c r="U122" i="3"/>
  <c r="U124" i="3"/>
  <c r="AG124" i="3"/>
  <c r="S3" i="3"/>
  <c r="AD4" i="3"/>
  <c r="AD5" i="3"/>
  <c r="AK6" i="3"/>
  <c r="AK10" i="3" s="1"/>
  <c r="O7" i="3"/>
  <c r="S14" i="3"/>
  <c r="AD17" i="3"/>
  <c r="AC18" i="3"/>
  <c r="U20" i="3"/>
  <c r="O21" i="3"/>
  <c r="AF21" i="3" s="1"/>
  <c r="AD22" i="3"/>
  <c r="R22" i="3"/>
  <c r="R29" i="3"/>
  <c r="U30" i="3"/>
  <c r="O31" i="3"/>
  <c r="U31" i="3"/>
  <c r="S32" i="3"/>
  <c r="AD35" i="3"/>
  <c r="AJ38" i="3"/>
  <c r="AL36" i="3" s="1"/>
  <c r="R46" i="3"/>
  <c r="AD46" i="3"/>
  <c r="U54" i="3"/>
  <c r="Q54" i="3"/>
  <c r="O54" i="3"/>
  <c r="AG59" i="3"/>
  <c r="AF59" i="3"/>
  <c r="AE59" i="3"/>
  <c r="AE75" i="3"/>
  <c r="AD75" i="3"/>
  <c r="AC75" i="3"/>
  <c r="AD76" i="3"/>
  <c r="R76" i="3"/>
  <c r="AF96" i="3"/>
  <c r="T96" i="3"/>
  <c r="AG116" i="3"/>
  <c r="U116" i="3"/>
  <c r="R117" i="3"/>
  <c r="O131" i="3"/>
  <c r="AC131" i="3" s="1"/>
  <c r="U131" i="3"/>
  <c r="T131" i="3"/>
  <c r="S131" i="3"/>
  <c r="O118" i="3"/>
  <c r="S118" i="3"/>
  <c r="U118" i="3"/>
  <c r="T118" i="3"/>
  <c r="R118" i="3"/>
  <c r="Q131" i="3"/>
  <c r="T9" i="3"/>
  <c r="AG44" i="3"/>
  <c r="AF44" i="3"/>
  <c r="AD44" i="3"/>
  <c r="AE46" i="3"/>
  <c r="R97" i="3"/>
  <c r="AJ37" i="3"/>
  <c r="AK36" i="3" s="1"/>
  <c r="AJ6" i="3"/>
  <c r="AJ10" i="3" s="1"/>
  <c r="AJ39" i="3"/>
  <c r="AM36" i="3" s="1"/>
  <c r="U3" i="3"/>
  <c r="AG3" i="3"/>
  <c r="AG5" i="3"/>
  <c r="R7" i="3"/>
  <c r="O8" i="3"/>
  <c r="AD8" i="3" s="1"/>
  <c r="T13" i="3"/>
  <c r="AG13" i="3"/>
  <c r="AG14" i="3"/>
  <c r="U14" i="3"/>
  <c r="AG15" i="3"/>
  <c r="AF16" i="3"/>
  <c r="T16" i="3"/>
  <c r="T17" i="3"/>
  <c r="AM20" i="3"/>
  <c r="AF22" i="3"/>
  <c r="T22" i="3"/>
  <c r="AE23" i="3"/>
  <c r="T29" i="3"/>
  <c r="AE34" i="3"/>
  <c r="S34" i="3"/>
  <c r="AG35" i="3"/>
  <c r="AG36" i="3"/>
  <c r="U36" i="3"/>
  <c r="AD36" i="3"/>
  <c r="AE37" i="3"/>
  <c r="S37" i="3"/>
  <c r="Q38" i="3"/>
  <c r="AC40" i="3"/>
  <c r="Q40" i="3"/>
  <c r="AD42" i="3"/>
  <c r="R42" i="3"/>
  <c r="AC45" i="3"/>
  <c r="Q45" i="3"/>
  <c r="AF52" i="3"/>
  <c r="AD54" i="3"/>
  <c r="R55" i="3"/>
  <c r="T60" i="3"/>
  <c r="AF60" i="3"/>
  <c r="S82" i="3"/>
  <c r="Q83" i="3"/>
  <c r="AG94" i="3"/>
  <c r="AF94" i="3"/>
  <c r="AC94" i="3"/>
  <c r="AD94" i="3"/>
  <c r="AE97" i="3"/>
  <c r="S97" i="3"/>
  <c r="O98" i="3"/>
  <c r="S98" i="3"/>
  <c r="T98" i="3"/>
  <c r="R98" i="3"/>
  <c r="O99" i="3"/>
  <c r="AC118" i="3"/>
  <c r="Q118" i="3"/>
  <c r="AG130" i="3"/>
  <c r="AF130" i="3"/>
  <c r="O10" i="3"/>
  <c r="U19" i="3"/>
  <c r="AG19" i="3"/>
  <c r="AD23" i="3"/>
  <c r="R23" i="3"/>
  <c r="AF33" i="3"/>
  <c r="AL6" i="3"/>
  <c r="AL10" i="3" s="1"/>
  <c r="AC26" i="3"/>
  <c r="Q26" i="3"/>
  <c r="T32" i="3"/>
  <c r="AG96" i="3"/>
  <c r="U96" i="3"/>
  <c r="AK39" i="3"/>
  <c r="AM37" i="3" s="1"/>
  <c r="AK38" i="3"/>
  <c r="AL37" i="3" s="1"/>
  <c r="AJ23" i="3"/>
  <c r="AJ20" i="3"/>
  <c r="AJ5" i="3"/>
  <c r="AJ9" i="3" s="1"/>
  <c r="AN6" i="3"/>
  <c r="AN10" i="3" s="1"/>
  <c r="AN13" i="3" s="1"/>
  <c r="U9" i="3"/>
  <c r="AK15" i="3" s="1"/>
  <c r="AD11" i="3"/>
  <c r="O14" i="3"/>
  <c r="AC14" i="3" s="1"/>
  <c r="AD14" i="3"/>
  <c r="T15" i="3"/>
  <c r="AG17" i="3"/>
  <c r="AF18" i="3"/>
  <c r="AC22" i="3"/>
  <c r="AF23" i="3"/>
  <c r="AF24" i="3"/>
  <c r="T24" i="3"/>
  <c r="AC25" i="3"/>
  <c r="AF34" i="3"/>
  <c r="AC34" i="3"/>
  <c r="AE36" i="3"/>
  <c r="AE42" i="3"/>
  <c r="S42" i="3"/>
  <c r="AD47" i="3"/>
  <c r="R47" i="3"/>
  <c r="AC47" i="3"/>
  <c r="AG49" i="3"/>
  <c r="AF49" i="3"/>
  <c r="AE49" i="3"/>
  <c r="AD49" i="3"/>
  <c r="AC49" i="3"/>
  <c r="T55" i="3"/>
  <c r="Q63" i="3"/>
  <c r="AE100" i="3"/>
  <c r="AD100" i="3"/>
  <c r="AC100" i="3"/>
  <c r="AD101" i="3"/>
  <c r="R101" i="3"/>
  <c r="AE44" i="3"/>
  <c r="S44" i="3"/>
  <c r="T48" i="3"/>
  <c r="AF48" i="3"/>
  <c r="AD57" i="3"/>
  <c r="R57" i="3"/>
  <c r="AG61" i="3"/>
  <c r="U61" i="3"/>
  <c r="U6" i="3"/>
  <c r="AE35" i="3"/>
  <c r="O38" i="3"/>
  <c r="AF38" i="3" s="1"/>
  <c r="S40" i="3"/>
  <c r="O41" i="3"/>
  <c r="AC41" i="3" s="1"/>
  <c r="R40" i="3"/>
  <c r="O40" i="3"/>
  <c r="Q42" i="3"/>
  <c r="AC42" i="3"/>
  <c r="O83" i="3"/>
  <c r="S83" i="3"/>
  <c r="U83" i="3"/>
  <c r="T83" i="3"/>
  <c r="R83" i="3"/>
  <c r="O84" i="3"/>
  <c r="AK5" i="3"/>
  <c r="AK9" i="3" s="1"/>
  <c r="O6" i="3"/>
  <c r="AE6" i="3" s="1"/>
  <c r="T7" i="3"/>
  <c r="R8" i="3"/>
  <c r="O9" i="3"/>
  <c r="AG9" i="3" s="1"/>
  <c r="AE11" i="3"/>
  <c r="Q12" i="3"/>
  <c r="AF14" i="3"/>
  <c r="AC16" i="3"/>
  <c r="Q19" i="3"/>
  <c r="U21" i="3"/>
  <c r="AE22" i="3"/>
  <c r="AG23" i="3"/>
  <c r="AD25" i="3"/>
  <c r="R25" i="3"/>
  <c r="O28" i="3"/>
  <c r="U28" i="3"/>
  <c r="O29" i="3"/>
  <c r="AG29" i="3" s="1"/>
  <c r="AD34" i="3"/>
  <c r="T35" i="3"/>
  <c r="U37" i="3"/>
  <c r="AF40" i="3"/>
  <c r="T42" i="3"/>
  <c r="AF42" i="3"/>
  <c r="AE47" i="3"/>
  <c r="S47" i="3"/>
  <c r="T58" i="3"/>
  <c r="AE60" i="3"/>
  <c r="AG60" i="3"/>
  <c r="AD60" i="3"/>
  <c r="R63" i="3"/>
  <c r="AD86" i="3"/>
  <c r="R86" i="3"/>
  <c r="O153" i="3"/>
  <c r="S153" i="3"/>
  <c r="T153" i="3"/>
  <c r="R153" i="3"/>
  <c r="U153" i="3"/>
  <c r="AE15" i="3"/>
  <c r="S15" i="3"/>
  <c r="AL39" i="3"/>
  <c r="AM38" i="3" s="1"/>
  <c r="AL20" i="3"/>
  <c r="AL5" i="3"/>
  <c r="AL9" i="3" s="1"/>
  <c r="Q6" i="3"/>
  <c r="AF11" i="3"/>
  <c r="R12" i="3"/>
  <c r="R19" i="3"/>
  <c r="O20" i="3"/>
  <c r="Q21" i="3"/>
  <c r="AC24" i="3"/>
  <c r="AD26" i="3"/>
  <c r="AE27" i="3"/>
  <c r="S27" i="3"/>
  <c r="AE33" i="3"/>
  <c r="O37" i="3"/>
  <c r="AD37" i="3"/>
  <c r="AE39" i="3"/>
  <c r="S39" i="3"/>
  <c r="U42" i="3"/>
  <c r="T43" i="3"/>
  <c r="AF45" i="3"/>
  <c r="T45" i="3"/>
  <c r="S46" i="3"/>
  <c r="T47" i="3"/>
  <c r="AF47" i="3"/>
  <c r="T50" i="3"/>
  <c r="AF50" i="3"/>
  <c r="R51" i="3"/>
  <c r="AD51" i="3"/>
  <c r="U58" i="3"/>
  <c r="AG58" i="3"/>
  <c r="AG65" i="3"/>
  <c r="AE65" i="3"/>
  <c r="AC65" i="3"/>
  <c r="U73" i="3"/>
  <c r="Q87" i="3"/>
  <c r="O87" i="3"/>
  <c r="U87" i="3"/>
  <c r="T87" i="3"/>
  <c r="AG106" i="3"/>
  <c r="U106" i="3"/>
  <c r="R107" i="3"/>
  <c r="AG127" i="3"/>
  <c r="AF127" i="3"/>
  <c r="AC127" i="3"/>
  <c r="AE127" i="3"/>
  <c r="AD145" i="3"/>
  <c r="R145" i="3"/>
  <c r="AG71" i="3"/>
  <c r="U71" i="3"/>
  <c r="AF90" i="3"/>
  <c r="T90" i="3"/>
  <c r="AG170" i="3"/>
  <c r="U170" i="3"/>
  <c r="U247" i="3"/>
  <c r="O247" i="3"/>
  <c r="T247" i="3"/>
  <c r="S247" i="3"/>
  <c r="T3" i="3"/>
  <c r="AE5" i="3"/>
  <c r="S5" i="3"/>
  <c r="AM5" i="3"/>
  <c r="AM9" i="3" s="1"/>
  <c r="T8" i="3"/>
  <c r="AD13" i="3"/>
  <c r="R13" i="3"/>
  <c r="AC15" i="3"/>
  <c r="Q15" i="3"/>
  <c r="AE16" i="3"/>
  <c r="S19" i="3"/>
  <c r="Q20" i="3"/>
  <c r="AL23" i="3"/>
  <c r="R26" i="3"/>
  <c r="AE26" i="3"/>
  <c r="AC30" i="3"/>
  <c r="Q31" i="3"/>
  <c r="AG32" i="3"/>
  <c r="U32" i="3"/>
  <c r="AF39" i="3"/>
  <c r="T39" i="3"/>
  <c r="U43" i="3"/>
  <c r="U47" i="3"/>
  <c r="AG47" i="3"/>
  <c r="S51" i="3"/>
  <c r="AE51" i="3"/>
  <c r="R54" i="3"/>
  <c r="S55" i="3"/>
  <c r="O56" i="3"/>
  <c r="AD56" i="3" s="1"/>
  <c r="O55" i="3"/>
  <c r="AF86" i="3"/>
  <c r="T86" i="3"/>
  <c r="S107" i="3"/>
  <c r="O108" i="3"/>
  <c r="S108" i="3"/>
  <c r="U108" i="3"/>
  <c r="T108" i="3"/>
  <c r="R108" i="3"/>
  <c r="O109" i="3"/>
  <c r="AG4" i="3"/>
  <c r="U4" i="3"/>
  <c r="AJ15" i="3" s="1"/>
  <c r="R72" i="3"/>
  <c r="AD111" i="3"/>
  <c r="R111" i="3"/>
  <c r="U133" i="3"/>
  <c r="AE117" i="3"/>
  <c r="S117" i="3"/>
  <c r="S6" i="3"/>
  <c r="U8" i="3"/>
  <c r="S9" i="3"/>
  <c r="T12" i="3"/>
  <c r="T19" i="3"/>
  <c r="S26" i="3"/>
  <c r="AG27" i="3"/>
  <c r="R31" i="3"/>
  <c r="AG33" i="3"/>
  <c r="U33" i="3"/>
  <c r="AD33" i="3"/>
  <c r="T34" i="3"/>
  <c r="AC35" i="3"/>
  <c r="Q35" i="3"/>
  <c r="R38" i="3"/>
  <c r="S48" i="3"/>
  <c r="AE48" i="3"/>
  <c r="AF51" i="3"/>
  <c r="T51" i="3"/>
  <c r="S54" i="3"/>
  <c r="Q55" i="3"/>
  <c r="Q57" i="3"/>
  <c r="AC57" i="3"/>
  <c r="AC59" i="3"/>
  <c r="AF61" i="3"/>
  <c r="T61" i="3"/>
  <c r="AD61" i="3"/>
  <c r="AD64" i="3"/>
  <c r="AE69" i="3"/>
  <c r="AF71" i="3"/>
  <c r="T71" i="3"/>
  <c r="Q108" i="3"/>
  <c r="AE110" i="3"/>
  <c r="AD110" i="3"/>
  <c r="AC110" i="3"/>
  <c r="R131" i="3"/>
  <c r="S158" i="3"/>
  <c r="AE158" i="3"/>
  <c r="Q210" i="3"/>
  <c r="O210" i="3"/>
  <c r="AC210" i="3" s="1"/>
  <c r="AG51" i="3"/>
  <c r="U51" i="3"/>
  <c r="AD59" i="3"/>
  <c r="AD66" i="3"/>
  <c r="R66" i="3"/>
  <c r="AC73" i="3"/>
  <c r="Q73" i="3"/>
  <c r="O77" i="3"/>
  <c r="U77" i="3"/>
  <c r="AF80" i="3"/>
  <c r="T80" i="3"/>
  <c r="AG86" i="3"/>
  <c r="U86" i="3"/>
  <c r="AD87" i="3"/>
  <c r="R87" i="3"/>
  <c r="AE90" i="3"/>
  <c r="AD90" i="3"/>
  <c r="AC98" i="3"/>
  <c r="Q98" i="3"/>
  <c r="O102" i="3"/>
  <c r="U102" i="3"/>
  <c r="AF105" i="3"/>
  <c r="T105" i="3"/>
  <c r="O112" i="3"/>
  <c r="U112" i="3"/>
  <c r="AF115" i="3"/>
  <c r="T115" i="3"/>
  <c r="O120" i="3"/>
  <c r="S120" i="3"/>
  <c r="AF129" i="3"/>
  <c r="T129" i="3"/>
  <c r="AD157" i="3"/>
  <c r="AC157" i="3"/>
  <c r="AE172" i="3"/>
  <c r="S172" i="3"/>
  <c r="AC173" i="3"/>
  <c r="Q173" i="3"/>
  <c r="T176" i="3"/>
  <c r="AF176" i="3"/>
  <c r="AC50" i="3"/>
  <c r="AC53" i="3"/>
  <c r="Q53" i="3"/>
  <c r="AF76" i="3"/>
  <c r="T76" i="3"/>
  <c r="AC77" i="3"/>
  <c r="AE87" i="3"/>
  <c r="S87" i="3"/>
  <c r="O88" i="3"/>
  <c r="S88" i="3"/>
  <c r="AD91" i="3"/>
  <c r="R91" i="3"/>
  <c r="R93" i="3"/>
  <c r="AF101" i="3"/>
  <c r="T101" i="3"/>
  <c r="AC102" i="3"/>
  <c r="AG105" i="3"/>
  <c r="AF111" i="3"/>
  <c r="T111" i="3"/>
  <c r="AG115" i="3"/>
  <c r="AG129" i="3"/>
  <c r="U155" i="3"/>
  <c r="U158" i="3"/>
  <c r="AG158" i="3"/>
  <c r="U166" i="3"/>
  <c r="AF46" i="3"/>
  <c r="T46" i="3"/>
  <c r="S49" i="3"/>
  <c r="Q50" i="3"/>
  <c r="AD50" i="3"/>
  <c r="AF57" i="3"/>
  <c r="S59" i="3"/>
  <c r="AD62" i="3"/>
  <c r="R62" i="3"/>
  <c r="AF66" i="3"/>
  <c r="T66" i="3"/>
  <c r="Q67" i="3"/>
  <c r="O67" i="3"/>
  <c r="U67" i="3"/>
  <c r="T68" i="3"/>
  <c r="AF70" i="3"/>
  <c r="T70" i="3"/>
  <c r="AG76" i="3"/>
  <c r="U76" i="3"/>
  <c r="R77" i="3"/>
  <c r="AE80" i="3"/>
  <c r="AD80" i="3"/>
  <c r="AC88" i="3"/>
  <c r="Q88" i="3"/>
  <c r="O92" i="3"/>
  <c r="AD92" i="3" s="1"/>
  <c r="U92" i="3"/>
  <c r="T93" i="3"/>
  <c r="AF95" i="3"/>
  <c r="T95" i="3"/>
  <c r="AG101" i="3"/>
  <c r="U101" i="3"/>
  <c r="AD102" i="3"/>
  <c r="R102" i="3"/>
  <c r="AE105" i="3"/>
  <c r="AD105" i="3"/>
  <c r="AG111" i="3"/>
  <c r="U111" i="3"/>
  <c r="AD112" i="3"/>
  <c r="R112" i="3"/>
  <c r="AE115" i="3"/>
  <c r="AD115" i="3"/>
  <c r="S123" i="3"/>
  <c r="AE123" i="3"/>
  <c r="R132" i="3"/>
  <c r="AD132" i="3"/>
  <c r="AD139" i="3"/>
  <c r="AG139" i="3"/>
  <c r="O151" i="3"/>
  <c r="R151" i="3"/>
  <c r="T151" i="3"/>
  <c r="S151" i="3"/>
  <c r="Q151" i="3"/>
  <c r="T41" i="3"/>
  <c r="AG46" i="3"/>
  <c r="U46" i="3"/>
  <c r="T49" i="3"/>
  <c r="R50" i="3"/>
  <c r="T56" i="3"/>
  <c r="T59" i="3"/>
  <c r="U60" i="3"/>
  <c r="S62" i="3"/>
  <c r="U64" i="3"/>
  <c r="Q64" i="3"/>
  <c r="AG66" i="3"/>
  <c r="U66" i="3"/>
  <c r="S77" i="3"/>
  <c r="O78" i="3"/>
  <c r="S78" i="3"/>
  <c r="AD81" i="3"/>
  <c r="R81" i="3"/>
  <c r="AF91" i="3"/>
  <c r="T91" i="3"/>
  <c r="AC92" i="3"/>
  <c r="AE102" i="3"/>
  <c r="S102" i="3"/>
  <c r="O103" i="3"/>
  <c r="S103" i="3"/>
  <c r="AE112" i="3"/>
  <c r="S112" i="3"/>
  <c r="O113" i="3"/>
  <c r="S113" i="3"/>
  <c r="T128" i="3"/>
  <c r="AF128" i="3"/>
  <c r="O141" i="3"/>
  <c r="U141" i="3"/>
  <c r="O142" i="3"/>
  <c r="R141" i="3"/>
  <c r="S141" i="3"/>
  <c r="Q141" i="3"/>
  <c r="AD30" i="3"/>
  <c r="R30" i="3"/>
  <c r="U41" i="3"/>
  <c r="AG42" i="3"/>
  <c r="AG50" i="3"/>
  <c r="AD52" i="3"/>
  <c r="R52" i="3"/>
  <c r="U56" i="3"/>
  <c r="O58" i="3"/>
  <c r="AE66" i="3"/>
  <c r="AC66" i="3"/>
  <c r="AD67" i="3"/>
  <c r="R67" i="3"/>
  <c r="AE70" i="3"/>
  <c r="AD70" i="3"/>
  <c r="AC78" i="3"/>
  <c r="Q78" i="3"/>
  <c r="Q82" i="3"/>
  <c r="O82" i="3"/>
  <c r="U82" i="3"/>
  <c r="AF85" i="3"/>
  <c r="T85" i="3"/>
  <c r="O89" i="3"/>
  <c r="AG91" i="3"/>
  <c r="U91" i="3"/>
  <c r="R92" i="3"/>
  <c r="AE95" i="3"/>
  <c r="AD95" i="3"/>
  <c r="AC103" i="3"/>
  <c r="Q103" i="3"/>
  <c r="AD106" i="3"/>
  <c r="R106" i="3"/>
  <c r="Q113" i="3"/>
  <c r="AD116" i="3"/>
  <c r="R116" i="3"/>
  <c r="O119" i="3"/>
  <c r="R119" i="3"/>
  <c r="AG123" i="3"/>
  <c r="U123" i="3"/>
  <c r="AG125" i="3"/>
  <c r="AC128" i="3"/>
  <c r="Q134" i="3"/>
  <c r="AF137" i="3"/>
  <c r="AE137" i="3"/>
  <c r="AC137" i="3"/>
  <c r="O43" i="3"/>
  <c r="AG43" i="3" s="1"/>
  <c r="AC48" i="3"/>
  <c r="Q48" i="3"/>
  <c r="AE52" i="3"/>
  <c r="S52" i="3"/>
  <c r="AD53" i="3"/>
  <c r="Q58" i="3"/>
  <c r="AF65" i="3"/>
  <c r="T65" i="3"/>
  <c r="AE67" i="3"/>
  <c r="S67" i="3"/>
  <c r="O68" i="3"/>
  <c r="S68" i="3"/>
  <c r="AD71" i="3"/>
  <c r="R71" i="3"/>
  <c r="AF81" i="3"/>
  <c r="T81" i="3"/>
  <c r="AE92" i="3"/>
  <c r="S92" i="3"/>
  <c r="O93" i="3"/>
  <c r="S93" i="3"/>
  <c r="AD96" i="3"/>
  <c r="R96" i="3"/>
  <c r="O107" i="3"/>
  <c r="U107" i="3"/>
  <c r="AF110" i="3"/>
  <c r="T110" i="3"/>
  <c r="O117" i="3"/>
  <c r="U117" i="3"/>
  <c r="AC119" i="3"/>
  <c r="O126" i="3"/>
  <c r="S126" i="3"/>
  <c r="AD128" i="3"/>
  <c r="AE130" i="3"/>
  <c r="AE138" i="3"/>
  <c r="S138" i="3"/>
  <c r="AC139" i="3"/>
  <c r="Q139" i="3"/>
  <c r="AG148" i="3"/>
  <c r="U148" i="3"/>
  <c r="AE149" i="3"/>
  <c r="S149" i="3"/>
  <c r="R185" i="3"/>
  <c r="AD185" i="3"/>
  <c r="Q43" i="3"/>
  <c r="O62" i="3"/>
  <c r="AE62" i="3" s="1"/>
  <c r="O63" i="3"/>
  <c r="AE63" i="3" s="1"/>
  <c r="S63" i="3"/>
  <c r="AC68" i="3"/>
  <c r="Q68" i="3"/>
  <c r="Q72" i="3"/>
  <c r="O72" i="3"/>
  <c r="AE72" i="3" s="1"/>
  <c r="U72" i="3"/>
  <c r="AF75" i="3"/>
  <c r="T75" i="3"/>
  <c r="T77" i="3"/>
  <c r="O79" i="3"/>
  <c r="AG81" i="3"/>
  <c r="U81" i="3"/>
  <c r="R82" i="3"/>
  <c r="AE85" i="3"/>
  <c r="AD85" i="3"/>
  <c r="Q93" i="3"/>
  <c r="O97" i="3"/>
  <c r="AD97" i="3" s="1"/>
  <c r="U97" i="3"/>
  <c r="AF100" i="3"/>
  <c r="T100" i="3"/>
  <c r="T102" i="3"/>
  <c r="O104" i="3"/>
  <c r="AF106" i="3"/>
  <c r="T106" i="3"/>
  <c r="AC107" i="3"/>
  <c r="AG110" i="3"/>
  <c r="T112" i="3"/>
  <c r="O114" i="3"/>
  <c r="AF116" i="3"/>
  <c r="T116" i="3"/>
  <c r="R120" i="3"/>
  <c r="O121" i="3"/>
  <c r="U121" i="3"/>
  <c r="O122" i="3"/>
  <c r="R121" i="3"/>
  <c r="AE124" i="3"/>
  <c r="S124" i="3"/>
  <c r="T133" i="3"/>
  <c r="AD143" i="3"/>
  <c r="AC143" i="3"/>
  <c r="AF144" i="3"/>
  <c r="T144" i="3"/>
  <c r="S179" i="3"/>
  <c r="AE179" i="3"/>
  <c r="Q69" i="3"/>
  <c r="Q74" i="3"/>
  <c r="Q79" i="3"/>
  <c r="Q84" i="3"/>
  <c r="Q89" i="3"/>
  <c r="Q94" i="3"/>
  <c r="Q99" i="3"/>
  <c r="Q104" i="3"/>
  <c r="Q109" i="3"/>
  <c r="Q114" i="3"/>
  <c r="AF124" i="3"/>
  <c r="T124" i="3"/>
  <c r="AG128" i="3"/>
  <c r="U128" i="3"/>
  <c r="S133" i="3"/>
  <c r="AC145" i="3"/>
  <c r="Q145" i="3"/>
  <c r="AE148" i="3"/>
  <c r="S148" i="3"/>
  <c r="AC149" i="3"/>
  <c r="Q149" i="3"/>
  <c r="AC151" i="3"/>
  <c r="Q162" i="3"/>
  <c r="AC162" i="3"/>
  <c r="O165" i="3"/>
  <c r="U165" i="3"/>
  <c r="O166" i="3"/>
  <c r="AG166" i="3" s="1"/>
  <c r="R165" i="3"/>
  <c r="AE170" i="3"/>
  <c r="AD170" i="3"/>
  <c r="AC170" i="3"/>
  <c r="S171" i="3"/>
  <c r="Q172" i="3"/>
  <c r="AC172" i="3"/>
  <c r="T175" i="3"/>
  <c r="AF175" i="3"/>
  <c r="AG181" i="3"/>
  <c r="U181" i="3"/>
  <c r="AG188" i="3"/>
  <c r="AF188" i="3"/>
  <c r="AE188" i="3"/>
  <c r="AD188" i="3"/>
  <c r="AC188" i="3"/>
  <c r="T192" i="3"/>
  <c r="O192" i="3"/>
  <c r="R162" i="3"/>
  <c r="AD162" i="3"/>
  <c r="T171" i="3"/>
  <c r="AF171" i="3"/>
  <c r="S176" i="3"/>
  <c r="AE176" i="3"/>
  <c r="AC182" i="3"/>
  <c r="Q182" i="3"/>
  <c r="AF191" i="3"/>
  <c r="T191" i="3"/>
  <c r="AG179" i="3"/>
  <c r="AD179" i="3"/>
  <c r="R182" i="3"/>
  <c r="AD182" i="3"/>
  <c r="T235" i="3"/>
  <c r="T69" i="3"/>
  <c r="T74" i="3"/>
  <c r="T79" i="3"/>
  <c r="T84" i="3"/>
  <c r="T89" i="3"/>
  <c r="T94" i="3"/>
  <c r="T99" i="3"/>
  <c r="T104" i="3"/>
  <c r="T109" i="3"/>
  <c r="T114" i="3"/>
  <c r="AC120" i="3"/>
  <c r="Q120" i="3"/>
  <c r="T127" i="3"/>
  <c r="O133" i="3"/>
  <c r="AG133" i="3" s="1"/>
  <c r="AG142" i="3"/>
  <c r="U142" i="3"/>
  <c r="AD148" i="3"/>
  <c r="AC148" i="3"/>
  <c r="AF149" i="3"/>
  <c r="T149" i="3"/>
  <c r="S156" i="3"/>
  <c r="AE156" i="3"/>
  <c r="AE159" i="3"/>
  <c r="S159" i="3"/>
  <c r="AF162" i="3"/>
  <c r="AC163" i="3"/>
  <c r="Q163" i="3"/>
  <c r="T172" i="3"/>
  <c r="AF172" i="3"/>
  <c r="AE177" i="3"/>
  <c r="S177" i="3"/>
  <c r="Q183" i="3"/>
  <c r="AC183" i="3"/>
  <c r="U187" i="3"/>
  <c r="AG187" i="3"/>
  <c r="S192" i="3"/>
  <c r="Q215" i="3"/>
  <c r="O215" i="3"/>
  <c r="S215" i="3"/>
  <c r="AD232" i="3"/>
  <c r="AC130" i="3"/>
  <c r="Q130" i="3"/>
  <c r="S134" i="3"/>
  <c r="T135" i="3"/>
  <c r="O136" i="3"/>
  <c r="U136" i="3"/>
  <c r="AG138" i="3"/>
  <c r="U138" i="3"/>
  <c r="AE139" i="3"/>
  <c r="S139" i="3"/>
  <c r="AC150" i="3"/>
  <c r="Q150" i="3"/>
  <c r="AF159" i="3"/>
  <c r="AC160" i="3"/>
  <c r="Q160" i="3"/>
  <c r="R163" i="3"/>
  <c r="AD163" i="3"/>
  <c r="S173" i="3"/>
  <c r="AE173" i="3"/>
  <c r="U180" i="3"/>
  <c r="AG180" i="3"/>
  <c r="U194" i="3"/>
  <c r="AG194" i="3"/>
  <c r="AG197" i="3"/>
  <c r="AF197" i="3"/>
  <c r="S119" i="3"/>
  <c r="AF123" i="3"/>
  <c r="AC125" i="3"/>
  <c r="Q125" i="3"/>
  <c r="AD130" i="3"/>
  <c r="R130" i="3"/>
  <c r="AG132" i="3"/>
  <c r="U132" i="3"/>
  <c r="T134" i="3"/>
  <c r="AD138" i="3"/>
  <c r="AC138" i="3"/>
  <c r="AF139" i="3"/>
  <c r="T139" i="3"/>
  <c r="O146" i="3"/>
  <c r="U146" i="3"/>
  <c r="O147" i="3"/>
  <c r="R146" i="3"/>
  <c r="AD150" i="3"/>
  <c r="R150" i="3"/>
  <c r="O152" i="3"/>
  <c r="AF152" i="3" s="1"/>
  <c r="R152" i="3"/>
  <c r="AG156" i="3"/>
  <c r="U156" i="3"/>
  <c r="U168" i="3"/>
  <c r="AG168" i="3"/>
  <c r="T173" i="3"/>
  <c r="AF173" i="3"/>
  <c r="S183" i="3"/>
  <c r="Q184" i="3"/>
  <c r="T189" i="3"/>
  <c r="AF189" i="3"/>
  <c r="AE196" i="3"/>
  <c r="S196" i="3"/>
  <c r="AD204" i="3"/>
  <c r="R204" i="3"/>
  <c r="Q216" i="3"/>
  <c r="U70" i="3"/>
  <c r="S71" i="3"/>
  <c r="U75" i="3"/>
  <c r="S76" i="3"/>
  <c r="Q77" i="3"/>
  <c r="U80" i="3"/>
  <c r="S81" i="3"/>
  <c r="U85" i="3"/>
  <c r="S86" i="3"/>
  <c r="U90" i="3"/>
  <c r="S91" i="3"/>
  <c r="Q92" i="3"/>
  <c r="U95" i="3"/>
  <c r="S96" i="3"/>
  <c r="Q97" i="3"/>
  <c r="U100" i="3"/>
  <c r="S101" i="3"/>
  <c r="Q102" i="3"/>
  <c r="U105" i="3"/>
  <c r="S106" i="3"/>
  <c r="Q107" i="3"/>
  <c r="U110" i="3"/>
  <c r="S111" i="3"/>
  <c r="Q112" i="3"/>
  <c r="U115" i="3"/>
  <c r="S116" i="3"/>
  <c r="Q117" i="3"/>
  <c r="AG118" i="3"/>
  <c r="AD125" i="3"/>
  <c r="R125" i="3"/>
  <c r="O132" i="3"/>
  <c r="AC140" i="3"/>
  <c r="Q140" i="3"/>
  <c r="AE143" i="3"/>
  <c r="S143" i="3"/>
  <c r="AC144" i="3"/>
  <c r="Q144" i="3"/>
  <c r="AE157" i="3"/>
  <c r="S157" i="3"/>
  <c r="AG159" i="3"/>
  <c r="AD159" i="3"/>
  <c r="AC159" i="3"/>
  <c r="AF163" i="3"/>
  <c r="AC164" i="3"/>
  <c r="Q164" i="3"/>
  <c r="Q165" i="3"/>
  <c r="S174" i="3"/>
  <c r="AE174" i="3"/>
  <c r="AG177" i="3"/>
  <c r="AD177" i="3"/>
  <c r="Q132" i="3"/>
  <c r="O134" i="3"/>
  <c r="AG134" i="3" s="1"/>
  <c r="R133" i="3"/>
  <c r="Q133" i="3"/>
  <c r="AC135" i="3"/>
  <c r="Q135" i="3"/>
  <c r="AD140" i="3"/>
  <c r="R140" i="3"/>
  <c r="AF143" i="3"/>
  <c r="U147" i="3"/>
  <c r="O154" i="3"/>
  <c r="U154" i="3"/>
  <c r="O155" i="3"/>
  <c r="R154" i="3"/>
  <c r="T160" i="3"/>
  <c r="AD164" i="3"/>
  <c r="R164" i="3"/>
  <c r="S165" i="3"/>
  <c r="T174" i="3"/>
  <c r="AF174" i="3"/>
  <c r="Q175" i="3"/>
  <c r="AC175" i="3"/>
  <c r="AE189" i="3"/>
  <c r="AD189" i="3"/>
  <c r="AF204" i="3"/>
  <c r="Q126" i="3"/>
  <c r="AE129" i="3"/>
  <c r="S129" i="3"/>
  <c r="AD135" i="3"/>
  <c r="R135" i="3"/>
  <c r="AG137" i="3"/>
  <c r="U137" i="3"/>
  <c r="AG143" i="3"/>
  <c r="U143" i="3"/>
  <c r="AE144" i="3"/>
  <c r="S144" i="3"/>
  <c r="U157" i="3"/>
  <c r="AG157" i="3"/>
  <c r="R161" i="3"/>
  <c r="AD161" i="3"/>
  <c r="AE164" i="3"/>
  <c r="T165" i="3"/>
  <c r="U167" i="3"/>
  <c r="AG167" i="3"/>
  <c r="AF170" i="3"/>
  <c r="U178" i="3"/>
  <c r="AG178" i="3"/>
  <c r="AC179" i="3"/>
  <c r="AF184" i="3"/>
  <c r="T184" i="3"/>
  <c r="T161" i="3"/>
  <c r="U162" i="3"/>
  <c r="U163" i="3"/>
  <c r="T164" i="3"/>
  <c r="AF180" i="3"/>
  <c r="T180" i="3"/>
  <c r="R183" i="3"/>
  <c r="AG189" i="3"/>
  <c r="U189" i="3"/>
  <c r="U191" i="3"/>
  <c r="AG191" i="3"/>
  <c r="AC198" i="3"/>
  <c r="Q198" i="3"/>
  <c r="O201" i="3"/>
  <c r="O200" i="3"/>
  <c r="AD202" i="3"/>
  <c r="R202" i="3"/>
  <c r="AD207" i="3"/>
  <c r="R207" i="3"/>
  <c r="AE214" i="3"/>
  <c r="AD214" i="3"/>
  <c r="S227" i="3"/>
  <c r="O227" i="3"/>
  <c r="T245" i="3"/>
  <c r="AC227" i="3"/>
  <c r="AD247" i="3"/>
  <c r="AF233" i="3"/>
  <c r="T233" i="3"/>
  <c r="S137" i="3"/>
  <c r="Q138" i="3"/>
  <c r="S142" i="3"/>
  <c r="Q143" i="3"/>
  <c r="S147" i="3"/>
  <c r="Q148" i="3"/>
  <c r="Q153" i="3"/>
  <c r="Q156" i="3"/>
  <c r="Q157" i="3"/>
  <c r="AE162" i="3"/>
  <c r="S162" i="3"/>
  <c r="AE169" i="3"/>
  <c r="U171" i="3"/>
  <c r="AG176" i="3"/>
  <c r="U176" i="3"/>
  <c r="AD176" i="3"/>
  <c r="Q177" i="3"/>
  <c r="R178" i="3"/>
  <c r="Q179" i="3"/>
  <c r="S182" i="3"/>
  <c r="AD190" i="3"/>
  <c r="T198" i="3"/>
  <c r="S200" i="3"/>
  <c r="AE200" i="3"/>
  <c r="AG202" i="3"/>
  <c r="U202" i="3"/>
  <c r="AE205" i="3"/>
  <c r="AD210" i="3"/>
  <c r="S213" i="3"/>
  <c r="AF215" i="3"/>
  <c r="Q225" i="3"/>
  <c r="O225" i="3"/>
  <c r="AC234" i="3"/>
  <c r="Q234" i="3"/>
  <c r="R138" i="3"/>
  <c r="R143" i="3"/>
  <c r="O144" i="3"/>
  <c r="R148" i="3"/>
  <c r="AF157" i="3"/>
  <c r="AF158" i="3"/>
  <c r="R159" i="3"/>
  <c r="O160" i="3"/>
  <c r="AD160" i="3" s="1"/>
  <c r="T169" i="3"/>
  <c r="AF169" i="3"/>
  <c r="R170" i="3"/>
  <c r="O171" i="3"/>
  <c r="AC171" i="3" s="1"/>
  <c r="AD173" i="3"/>
  <c r="AC174" i="3"/>
  <c r="R177" i="3"/>
  <c r="AF177" i="3"/>
  <c r="S178" i="3"/>
  <c r="R179" i="3"/>
  <c r="AF182" i="3"/>
  <c r="O183" i="3"/>
  <c r="AG185" i="3"/>
  <c r="U185" i="3"/>
  <c r="AC185" i="3"/>
  <c r="AD186" i="3"/>
  <c r="AE190" i="3"/>
  <c r="U192" i="3"/>
  <c r="AG192" i="3"/>
  <c r="T200" i="3"/>
  <c r="T205" i="3"/>
  <c r="O206" i="3"/>
  <c r="S210" i="3"/>
  <c r="AE210" i="3"/>
  <c r="T213" i="3"/>
  <c r="AG231" i="3"/>
  <c r="AD231" i="3"/>
  <c r="AD234" i="3"/>
  <c r="R234" i="3"/>
  <c r="AE152" i="3"/>
  <c r="S152" i="3"/>
  <c r="AF156" i="3"/>
  <c r="U161" i="3"/>
  <c r="AC168" i="3"/>
  <c r="Q168" i="3"/>
  <c r="AD171" i="3"/>
  <c r="AD172" i="3"/>
  <c r="AD174" i="3"/>
  <c r="AD175" i="3"/>
  <c r="AF179" i="3"/>
  <c r="S189" i="3"/>
  <c r="O190" i="3"/>
  <c r="AC190" i="3" s="1"/>
  <c r="R189" i="3"/>
  <c r="T190" i="3"/>
  <c r="AF190" i="3"/>
  <c r="T210" i="3"/>
  <c r="T216" i="3"/>
  <c r="Q220" i="3"/>
  <c r="O220" i="3"/>
  <c r="AC220" i="3" s="1"/>
  <c r="S220" i="3"/>
  <c r="AD225" i="3"/>
  <c r="AE239" i="3"/>
  <c r="AC239" i="3"/>
  <c r="AD240" i="3"/>
  <c r="AC241" i="3"/>
  <c r="Q241" i="3"/>
  <c r="T138" i="3"/>
  <c r="T148" i="3"/>
  <c r="T159" i="3"/>
  <c r="R160" i="3"/>
  <c r="O161" i="3"/>
  <c r="T170" i="3"/>
  <c r="AD181" i="3"/>
  <c r="R181" i="3"/>
  <c r="AE182" i="3"/>
  <c r="AG190" i="3"/>
  <c r="U190" i="3"/>
  <c r="AC197" i="3"/>
  <c r="Q197" i="3"/>
  <c r="Q200" i="3"/>
  <c r="AD201" i="3"/>
  <c r="AE203" i="3"/>
  <c r="S203" i="3"/>
  <c r="O205" i="3"/>
  <c r="AD205" i="3" s="1"/>
  <c r="AF211" i="3"/>
  <c r="T211" i="3"/>
  <c r="S225" i="3"/>
  <c r="T227" i="3"/>
  <c r="T228" i="3"/>
  <c r="AG151" i="3"/>
  <c r="U151" i="3"/>
  <c r="AC158" i="3"/>
  <c r="Q158" i="3"/>
  <c r="AE163" i="3"/>
  <c r="AE167" i="3"/>
  <c r="S167" i="3"/>
  <c r="AG172" i="3"/>
  <c r="AG173" i="3"/>
  <c r="AG175" i="3"/>
  <c r="AC178" i="3"/>
  <c r="Q178" i="3"/>
  <c r="AG195" i="3"/>
  <c r="U195" i="3"/>
  <c r="AD197" i="3"/>
  <c r="R197" i="3"/>
  <c r="T201" i="3"/>
  <c r="S205" i="3"/>
  <c r="U219" i="3"/>
  <c r="AG219" i="3"/>
  <c r="U224" i="3"/>
  <c r="T225" i="3"/>
  <c r="T232" i="3"/>
  <c r="S232" i="3"/>
  <c r="O232" i="3"/>
  <c r="T240" i="3"/>
  <c r="U242" i="3"/>
  <c r="O242" i="3"/>
  <c r="T242" i="3"/>
  <c r="S242" i="3"/>
  <c r="T182" i="3"/>
  <c r="O184" i="3"/>
  <c r="AG184" i="3" s="1"/>
  <c r="U184" i="3"/>
  <c r="R190" i="3"/>
  <c r="AE191" i="3"/>
  <c r="S191" i="3"/>
  <c r="AC191" i="3"/>
  <c r="AF194" i="3"/>
  <c r="AF195" i="3"/>
  <c r="S197" i="3"/>
  <c r="AE197" i="3"/>
  <c r="AD199" i="3"/>
  <c r="T206" i="3"/>
  <c r="T207" i="3"/>
  <c r="O207" i="3"/>
  <c r="O212" i="3"/>
  <c r="T212" i="3"/>
  <c r="AF214" i="3"/>
  <c r="AG214" i="3"/>
  <c r="AE217" i="3"/>
  <c r="AE220" i="3"/>
  <c r="AF222" i="3"/>
  <c r="AE222" i="3"/>
  <c r="S223" i="3"/>
  <c r="AG240" i="3"/>
  <c r="AC242" i="3"/>
  <c r="AE201" i="3"/>
  <c r="S201" i="3"/>
  <c r="AC204" i="3"/>
  <c r="Q204" i="3"/>
  <c r="T215" i="3"/>
  <c r="AG217" i="3"/>
  <c r="U217" i="3"/>
  <c r="AF219" i="3"/>
  <c r="AF221" i="3"/>
  <c r="S228" i="3"/>
  <c r="AC232" i="3"/>
  <c r="AD236" i="3"/>
  <c r="R236" i="3"/>
  <c r="S240" i="3"/>
  <c r="AD241" i="3"/>
  <c r="R241" i="3"/>
  <c r="AG245" i="3"/>
  <c r="AC247" i="3"/>
  <c r="Q209" i="3"/>
  <c r="AC212" i="3"/>
  <c r="AD220" i="3"/>
  <c r="T223" i="3"/>
  <c r="AF225" i="3"/>
  <c r="AD227" i="3"/>
  <c r="AC229" i="3"/>
  <c r="Q229" i="3"/>
  <c r="S252" i="3"/>
  <c r="O193" i="3"/>
  <c r="U193" i="3"/>
  <c r="AG200" i="3"/>
  <c r="U200" i="3"/>
  <c r="AG207" i="3"/>
  <c r="U207" i="3"/>
  <c r="AG210" i="3"/>
  <c r="AF210" i="3"/>
  <c r="R212" i="3"/>
  <c r="AD215" i="3"/>
  <c r="S218" i="3"/>
  <c r="AC222" i="3"/>
  <c r="AG225" i="3"/>
  <c r="O226" i="3"/>
  <c r="AD229" i="3"/>
  <c r="R229" i="3"/>
  <c r="AG232" i="3"/>
  <c r="U232" i="3"/>
  <c r="AF234" i="3"/>
  <c r="AG234" i="3"/>
  <c r="AC237" i="3"/>
  <c r="AG249" i="3"/>
  <c r="U249" i="3"/>
  <c r="AC187" i="3"/>
  <c r="Q187" i="3"/>
  <c r="AC202" i="3"/>
  <c r="O204" i="3"/>
  <c r="U208" i="3"/>
  <c r="O208" i="3"/>
  <c r="O211" i="3"/>
  <c r="AF218" i="3"/>
  <c r="T218" i="3"/>
  <c r="AF220" i="3"/>
  <c r="AD222" i="3"/>
  <c r="AC224" i="3"/>
  <c r="Q224" i="3"/>
  <c r="AE231" i="3"/>
  <c r="AD237" i="3"/>
  <c r="AD239" i="3"/>
  <c r="AF244" i="3"/>
  <c r="AE249" i="3"/>
  <c r="AC249" i="3"/>
  <c r="AC251" i="3"/>
  <c r="Q251" i="3"/>
  <c r="AC214" i="3"/>
  <c r="Q214" i="3"/>
  <c r="AC217" i="3"/>
  <c r="AG220" i="3"/>
  <c r="O221" i="3"/>
  <c r="AD224" i="3"/>
  <c r="R224" i="3"/>
  <c r="AG227" i="3"/>
  <c r="U227" i="3"/>
  <c r="AF231" i="3"/>
  <c r="AC231" i="3"/>
  <c r="AE237" i="3"/>
  <c r="AG244" i="3"/>
  <c r="U244" i="3"/>
  <c r="S250" i="3"/>
  <c r="AD251" i="3"/>
  <c r="R251" i="3"/>
  <c r="AF253" i="3"/>
  <c r="AE186" i="3"/>
  <c r="S186" i="3"/>
  <c r="AC192" i="3"/>
  <c r="Q192" i="3"/>
  <c r="AD195" i="3"/>
  <c r="AF196" i="3"/>
  <c r="T196" i="3"/>
  <c r="R203" i="3"/>
  <c r="AF203" i="3"/>
  <c r="AG212" i="3"/>
  <c r="U212" i="3"/>
  <c r="AG215" i="3"/>
  <c r="AD217" i="3"/>
  <c r="AC219" i="3"/>
  <c r="Q219" i="3"/>
  <c r="Q230" i="3"/>
  <c r="O230" i="3"/>
  <c r="AC230" i="3" s="1"/>
  <c r="AD235" i="3"/>
  <c r="AF239" i="3"/>
  <c r="AE244" i="3"/>
  <c r="AC244" i="3"/>
  <c r="AC246" i="3"/>
  <c r="Q246" i="3"/>
  <c r="T250" i="3"/>
  <c r="U252" i="3"/>
  <c r="O252" i="3"/>
  <c r="AD192" i="3"/>
  <c r="R192" i="3"/>
  <c r="O198" i="3"/>
  <c r="U198" i="3"/>
  <c r="AE208" i="3"/>
  <c r="S208" i="3"/>
  <c r="O209" i="3"/>
  <c r="AG209" i="3" s="1"/>
  <c r="AE211" i="3"/>
  <c r="U213" i="3"/>
  <c r="O213" i="3"/>
  <c r="O216" i="3"/>
  <c r="AC216" i="3" s="1"/>
  <c r="AD219" i="3"/>
  <c r="R219" i="3"/>
  <c r="AG222" i="3"/>
  <c r="U222" i="3"/>
  <c r="AF224" i="3"/>
  <c r="AF226" i="3"/>
  <c r="AE233" i="3"/>
  <c r="S233" i="3"/>
  <c r="AG237" i="3"/>
  <c r="U237" i="3"/>
  <c r="AG239" i="3"/>
  <c r="U239" i="3"/>
  <c r="S245" i="3"/>
  <c r="AD246" i="3"/>
  <c r="R246" i="3"/>
  <c r="AF248" i="3"/>
  <c r="AF251" i="3"/>
  <c r="Q202" i="3"/>
  <c r="U205" i="3"/>
  <c r="S206" i="3"/>
  <c r="Q207" i="3"/>
  <c r="U210" i="3"/>
  <c r="S211" i="3"/>
  <c r="Q212" i="3"/>
  <c r="U215" i="3"/>
  <c r="S216" i="3"/>
  <c r="Q217" i="3"/>
  <c r="U220" i="3"/>
  <c r="S221" i="3"/>
  <c r="Q222" i="3"/>
  <c r="U225" i="3"/>
  <c r="S226" i="3"/>
  <c r="Q227" i="3"/>
  <c r="U230" i="3"/>
  <c r="S231" i="3"/>
  <c r="Q232" i="3"/>
  <c r="U235" i="3"/>
  <c r="S236" i="3"/>
  <c r="Q237" i="3"/>
  <c r="U240" i="3"/>
  <c r="S241" i="3"/>
  <c r="Q242" i="3"/>
  <c r="U245" i="3"/>
  <c r="S246" i="3"/>
  <c r="Q247" i="3"/>
  <c r="U250" i="3"/>
  <c r="S251" i="3"/>
  <c r="Q252" i="3"/>
  <c r="R217" i="3"/>
  <c r="O218" i="3"/>
  <c r="AE218" i="3" s="1"/>
  <c r="T221" i="3"/>
  <c r="R222" i="3"/>
  <c r="O223" i="3"/>
  <c r="T226" i="3"/>
  <c r="R227" i="3"/>
  <c r="O228" i="3"/>
  <c r="T231" i="3"/>
  <c r="R232" i="3"/>
  <c r="O233" i="3"/>
  <c r="T236" i="3"/>
  <c r="R237" i="3"/>
  <c r="O238" i="3"/>
  <c r="T241" i="3"/>
  <c r="R242" i="3"/>
  <c r="O243" i="3"/>
  <c r="T246" i="3"/>
  <c r="R247" i="3"/>
  <c r="O248" i="3"/>
  <c r="T251" i="3"/>
  <c r="R252" i="3"/>
  <c r="O253" i="3"/>
  <c r="S238" i="3"/>
  <c r="S243" i="3"/>
  <c r="S248" i="3"/>
  <c r="S253" i="3"/>
  <c r="AC254" i="3"/>
  <c r="O235" i="3"/>
  <c r="AF235" i="3" s="1"/>
  <c r="T238" i="3"/>
  <c r="R239" i="3"/>
  <c r="O240" i="3"/>
  <c r="AC240" i="3" s="1"/>
  <c r="T243" i="3"/>
  <c r="R244" i="3"/>
  <c r="O245" i="3"/>
  <c r="AC245" i="3" s="1"/>
  <c r="T248" i="3"/>
  <c r="R249" i="3"/>
  <c r="O250" i="3"/>
  <c r="AC250" i="3" s="1"/>
  <c r="T253" i="3"/>
  <c r="R254" i="3"/>
  <c r="T194" i="3"/>
  <c r="R195" i="3"/>
  <c r="T199" i="3"/>
  <c r="R200" i="3"/>
  <c r="T204" i="3"/>
  <c r="R205" i="3"/>
  <c r="T209" i="3"/>
  <c r="R210" i="3"/>
  <c r="T214" i="3"/>
  <c r="R215" i="3"/>
  <c r="T219" i="3"/>
  <c r="R220" i="3"/>
  <c r="T224" i="3"/>
  <c r="R225" i="3"/>
  <c r="T229" i="3"/>
  <c r="R230" i="3"/>
  <c r="T234" i="3"/>
  <c r="R235" i="3"/>
  <c r="T239" i="3"/>
  <c r="R240" i="3"/>
  <c r="T244" i="3"/>
  <c r="R245" i="3"/>
  <c r="T249" i="3"/>
  <c r="R250" i="3"/>
  <c r="T254" i="3"/>
  <c r="U254" i="3"/>
  <c r="O13" i="1"/>
  <c r="O23" i="1"/>
  <c r="O33" i="1"/>
  <c r="O43" i="1"/>
  <c r="O53" i="1"/>
  <c r="O63" i="1"/>
  <c r="O73" i="1"/>
  <c r="O83" i="1"/>
  <c r="O93" i="1"/>
  <c r="O103" i="1"/>
  <c r="O113" i="1"/>
  <c r="O123" i="1"/>
  <c r="O133" i="1"/>
  <c r="O143" i="1"/>
  <c r="O153" i="1"/>
  <c r="O163" i="1"/>
  <c r="O173" i="1"/>
  <c r="O183" i="1"/>
  <c r="O193" i="1"/>
  <c r="O203" i="1"/>
  <c r="O213" i="1"/>
  <c r="O223" i="1"/>
  <c r="O233" i="1"/>
  <c r="O243" i="1"/>
  <c r="O25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3" i="1"/>
  <c r="O4" i="1"/>
  <c r="O5" i="1"/>
  <c r="O6" i="1"/>
  <c r="O7" i="1"/>
  <c r="O8" i="1"/>
  <c r="O9" i="1"/>
  <c r="O10" i="1"/>
  <c r="O11" i="1"/>
  <c r="O12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O42" i="1"/>
  <c r="O44" i="1"/>
  <c r="O45" i="1"/>
  <c r="O46" i="1"/>
  <c r="O47" i="1"/>
  <c r="O48" i="1"/>
  <c r="O49" i="1"/>
  <c r="O50" i="1"/>
  <c r="O51" i="1"/>
  <c r="O52" i="1"/>
  <c r="O54" i="1"/>
  <c r="O55" i="1"/>
  <c r="O56" i="1"/>
  <c r="O57" i="1"/>
  <c r="O58" i="1"/>
  <c r="O59" i="1"/>
  <c r="O60" i="1"/>
  <c r="O61" i="1"/>
  <c r="O62" i="1"/>
  <c r="O64" i="1"/>
  <c r="O65" i="1"/>
  <c r="O66" i="1"/>
  <c r="O67" i="1"/>
  <c r="O68" i="1"/>
  <c r="O69" i="1"/>
  <c r="O70" i="1"/>
  <c r="O71" i="1"/>
  <c r="O72" i="1"/>
  <c r="O74" i="1"/>
  <c r="O75" i="1"/>
  <c r="O76" i="1"/>
  <c r="O77" i="1"/>
  <c r="O78" i="1"/>
  <c r="O79" i="1"/>
  <c r="O80" i="1"/>
  <c r="O81" i="1"/>
  <c r="O82" i="1"/>
  <c r="O84" i="1"/>
  <c r="O85" i="1"/>
  <c r="O86" i="1"/>
  <c r="O87" i="1"/>
  <c r="O88" i="1"/>
  <c r="O89" i="1"/>
  <c r="O90" i="1"/>
  <c r="O91" i="1"/>
  <c r="O92" i="1"/>
  <c r="O94" i="1"/>
  <c r="O95" i="1"/>
  <c r="O96" i="1"/>
  <c r="O97" i="1"/>
  <c r="O98" i="1"/>
  <c r="O99" i="1"/>
  <c r="O100" i="1"/>
  <c r="O101" i="1"/>
  <c r="O102" i="1"/>
  <c r="O104" i="1"/>
  <c r="O105" i="1"/>
  <c r="O106" i="1"/>
  <c r="O107" i="1"/>
  <c r="O108" i="1"/>
  <c r="O109" i="1"/>
  <c r="O110" i="1"/>
  <c r="O111" i="1"/>
  <c r="O112" i="1"/>
  <c r="O114" i="1"/>
  <c r="O115" i="1"/>
  <c r="O116" i="1"/>
  <c r="O117" i="1"/>
  <c r="O118" i="1"/>
  <c r="O119" i="1"/>
  <c r="O120" i="1"/>
  <c r="O121" i="1"/>
  <c r="O122" i="1"/>
  <c r="O124" i="1"/>
  <c r="O125" i="1"/>
  <c r="O126" i="1"/>
  <c r="O127" i="1"/>
  <c r="O128" i="1"/>
  <c r="O129" i="1"/>
  <c r="O130" i="1"/>
  <c r="O131" i="1"/>
  <c r="O132" i="1"/>
  <c r="O134" i="1"/>
  <c r="O135" i="1"/>
  <c r="O136" i="1"/>
  <c r="O137" i="1"/>
  <c r="O138" i="1"/>
  <c r="O139" i="1"/>
  <c r="O140" i="1"/>
  <c r="O141" i="1"/>
  <c r="O142" i="1"/>
  <c r="O144" i="1"/>
  <c r="O145" i="1"/>
  <c r="O146" i="1"/>
  <c r="O147" i="1"/>
  <c r="O148" i="1"/>
  <c r="O149" i="1"/>
  <c r="O150" i="1"/>
  <c r="O151" i="1"/>
  <c r="O152" i="1"/>
  <c r="O154" i="1"/>
  <c r="O155" i="1"/>
  <c r="O156" i="1"/>
  <c r="O157" i="1"/>
  <c r="O158" i="1"/>
  <c r="O159" i="1"/>
  <c r="O160" i="1"/>
  <c r="O161" i="1"/>
  <c r="O162" i="1"/>
  <c r="O164" i="1"/>
  <c r="O165" i="1"/>
  <c r="O166" i="1"/>
  <c r="O167" i="1"/>
  <c r="O168" i="1"/>
  <c r="O169" i="1"/>
  <c r="O170" i="1"/>
  <c r="O171" i="1"/>
  <c r="O172" i="1"/>
  <c r="O174" i="1"/>
  <c r="O175" i="1"/>
  <c r="O176" i="1"/>
  <c r="O177" i="1"/>
  <c r="O178" i="1"/>
  <c r="O179" i="1"/>
  <c r="O180" i="1"/>
  <c r="O181" i="1"/>
  <c r="O182" i="1"/>
  <c r="O184" i="1"/>
  <c r="O185" i="1"/>
  <c r="O186" i="1"/>
  <c r="O187" i="1"/>
  <c r="O188" i="1"/>
  <c r="O189" i="1"/>
  <c r="O190" i="1"/>
  <c r="O191" i="1"/>
  <c r="O192" i="1"/>
  <c r="O194" i="1"/>
  <c r="O195" i="1"/>
  <c r="O196" i="1"/>
  <c r="O197" i="1"/>
  <c r="O198" i="1"/>
  <c r="O199" i="1"/>
  <c r="O200" i="1"/>
  <c r="O201" i="1"/>
  <c r="O202" i="1"/>
  <c r="O204" i="1"/>
  <c r="O205" i="1"/>
  <c r="O206" i="1"/>
  <c r="O207" i="1"/>
  <c r="O208" i="1"/>
  <c r="O209" i="1"/>
  <c r="O210" i="1"/>
  <c r="O211" i="1"/>
  <c r="O212" i="1"/>
  <c r="O214" i="1"/>
  <c r="O215" i="1"/>
  <c r="O216" i="1"/>
  <c r="O217" i="1"/>
  <c r="O218" i="1"/>
  <c r="O219" i="1"/>
  <c r="O220" i="1"/>
  <c r="O221" i="1"/>
  <c r="O222" i="1"/>
  <c r="O224" i="1"/>
  <c r="O225" i="1"/>
  <c r="O226" i="1"/>
  <c r="O227" i="1"/>
  <c r="O228" i="1"/>
  <c r="O229" i="1"/>
  <c r="O230" i="1"/>
  <c r="O231" i="1"/>
  <c r="O232" i="1"/>
  <c r="O234" i="1"/>
  <c r="O235" i="1"/>
  <c r="O236" i="1"/>
  <c r="O237" i="1"/>
  <c r="O238" i="1"/>
  <c r="O239" i="1"/>
  <c r="O240" i="1"/>
  <c r="O241" i="1"/>
  <c r="O242" i="1"/>
  <c r="O244" i="1"/>
  <c r="O245" i="1"/>
  <c r="O246" i="1"/>
  <c r="O247" i="1"/>
  <c r="O248" i="1"/>
  <c r="O249" i="1"/>
  <c r="O250" i="1"/>
  <c r="O251" i="1"/>
  <c r="O252" i="1"/>
  <c r="O254" i="1"/>
  <c r="O3" i="1"/>
  <c r="M18" i="2"/>
  <c r="M98" i="2"/>
  <c r="M118" i="2"/>
  <c r="M128" i="2"/>
  <c r="M158" i="2"/>
  <c r="M198" i="2"/>
  <c r="M218" i="2"/>
  <c r="M228" i="2"/>
  <c r="P19" i="2"/>
  <c r="P1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3" i="2"/>
  <c r="T8" i="2"/>
  <c r="Q8" i="2"/>
  <c r="R8" i="2"/>
  <c r="S8" i="2"/>
  <c r="P8" i="2"/>
  <c r="K254" i="2"/>
  <c r="J254" i="2"/>
  <c r="I254" i="2"/>
  <c r="H254" i="2"/>
  <c r="K253" i="2"/>
  <c r="J253" i="2"/>
  <c r="I253" i="2"/>
  <c r="H253" i="2"/>
  <c r="M253" i="2" s="1"/>
  <c r="K252" i="2"/>
  <c r="J252" i="2"/>
  <c r="I252" i="2"/>
  <c r="H252" i="2"/>
  <c r="M252" i="2" s="1"/>
  <c r="K251" i="2"/>
  <c r="M251" i="2" s="1"/>
  <c r="J251" i="2"/>
  <c r="I251" i="2"/>
  <c r="H251" i="2"/>
  <c r="K250" i="2"/>
  <c r="J250" i="2"/>
  <c r="I250" i="2"/>
  <c r="H250" i="2"/>
  <c r="K249" i="2"/>
  <c r="J249" i="2"/>
  <c r="I249" i="2"/>
  <c r="M249" i="2" s="1"/>
  <c r="H249" i="2"/>
  <c r="K248" i="2"/>
  <c r="J248" i="2"/>
  <c r="I248" i="2"/>
  <c r="H248" i="2"/>
  <c r="M248" i="2" s="1"/>
  <c r="K247" i="2"/>
  <c r="J247" i="2"/>
  <c r="I247" i="2"/>
  <c r="H247" i="2"/>
  <c r="M247" i="2" s="1"/>
  <c r="K246" i="2"/>
  <c r="J246" i="2"/>
  <c r="I246" i="2"/>
  <c r="H246" i="2"/>
  <c r="K245" i="2"/>
  <c r="J245" i="2"/>
  <c r="I245" i="2"/>
  <c r="H245" i="2"/>
  <c r="K244" i="2"/>
  <c r="J244" i="2"/>
  <c r="I244" i="2"/>
  <c r="H244" i="2"/>
  <c r="K243" i="2"/>
  <c r="J243" i="2"/>
  <c r="I243" i="2"/>
  <c r="H243" i="2"/>
  <c r="M243" i="2" s="1"/>
  <c r="K242" i="2"/>
  <c r="J242" i="2"/>
  <c r="I242" i="2"/>
  <c r="H242" i="2"/>
  <c r="M242" i="2" s="1"/>
  <c r="K241" i="2"/>
  <c r="M241" i="2" s="1"/>
  <c r="J241" i="2"/>
  <c r="I241" i="2"/>
  <c r="H241" i="2"/>
  <c r="K240" i="2"/>
  <c r="J240" i="2"/>
  <c r="I240" i="2"/>
  <c r="H240" i="2"/>
  <c r="K239" i="2"/>
  <c r="J239" i="2"/>
  <c r="I239" i="2"/>
  <c r="H239" i="2"/>
  <c r="M239" i="2" s="1"/>
  <c r="K238" i="2"/>
  <c r="J238" i="2"/>
  <c r="I238" i="2"/>
  <c r="H238" i="2"/>
  <c r="M238" i="2" s="1"/>
  <c r="K237" i="2"/>
  <c r="J237" i="2"/>
  <c r="I237" i="2"/>
  <c r="H237" i="2"/>
  <c r="M237" i="2" s="1"/>
  <c r="K236" i="2"/>
  <c r="J236" i="2"/>
  <c r="I236" i="2"/>
  <c r="H236" i="2"/>
  <c r="K235" i="2"/>
  <c r="J235" i="2"/>
  <c r="I235" i="2"/>
  <c r="H235" i="2"/>
  <c r="K234" i="2"/>
  <c r="J234" i="2"/>
  <c r="I234" i="2"/>
  <c r="H234" i="2"/>
  <c r="K233" i="2"/>
  <c r="J233" i="2"/>
  <c r="I233" i="2"/>
  <c r="H233" i="2"/>
  <c r="M233" i="2" s="1"/>
  <c r="K232" i="2"/>
  <c r="J232" i="2"/>
  <c r="I232" i="2"/>
  <c r="H232" i="2"/>
  <c r="M232" i="2" s="1"/>
  <c r="K231" i="2"/>
  <c r="J231" i="2"/>
  <c r="I231" i="2"/>
  <c r="H231" i="2"/>
  <c r="M231" i="2" s="1"/>
  <c r="K230" i="2"/>
  <c r="J230" i="2"/>
  <c r="I230" i="2"/>
  <c r="H230" i="2"/>
  <c r="K229" i="2"/>
  <c r="J229" i="2"/>
  <c r="I229" i="2"/>
  <c r="M229" i="2" s="1"/>
  <c r="H229" i="2"/>
  <c r="K228" i="2"/>
  <c r="J228" i="2"/>
  <c r="I228" i="2"/>
  <c r="H228" i="2"/>
  <c r="K227" i="2"/>
  <c r="J227" i="2"/>
  <c r="I227" i="2"/>
  <c r="H227" i="2"/>
  <c r="M227" i="2" s="1"/>
  <c r="K226" i="2"/>
  <c r="J226" i="2"/>
  <c r="I226" i="2"/>
  <c r="H226" i="2"/>
  <c r="K225" i="2"/>
  <c r="J225" i="2"/>
  <c r="I225" i="2"/>
  <c r="H225" i="2"/>
  <c r="K224" i="2"/>
  <c r="J224" i="2"/>
  <c r="I224" i="2"/>
  <c r="H224" i="2"/>
  <c r="K223" i="2"/>
  <c r="J223" i="2"/>
  <c r="I223" i="2"/>
  <c r="H223" i="2"/>
  <c r="M223" i="2" s="1"/>
  <c r="K222" i="2"/>
  <c r="J222" i="2"/>
  <c r="I222" i="2"/>
  <c r="H222" i="2"/>
  <c r="M222" i="2" s="1"/>
  <c r="K221" i="2"/>
  <c r="M221" i="2" s="1"/>
  <c r="J221" i="2"/>
  <c r="I221" i="2"/>
  <c r="H221" i="2"/>
  <c r="K220" i="2"/>
  <c r="J220" i="2"/>
  <c r="I220" i="2"/>
  <c r="H220" i="2"/>
  <c r="K219" i="2"/>
  <c r="J219" i="2"/>
  <c r="I219" i="2"/>
  <c r="M219" i="2" s="1"/>
  <c r="H219" i="2"/>
  <c r="K218" i="2"/>
  <c r="J218" i="2"/>
  <c r="I218" i="2"/>
  <c r="H218" i="2"/>
  <c r="K217" i="2"/>
  <c r="J217" i="2"/>
  <c r="I217" i="2"/>
  <c r="H217" i="2"/>
  <c r="M217" i="2" s="1"/>
  <c r="K216" i="2"/>
  <c r="J216" i="2"/>
  <c r="I216" i="2"/>
  <c r="H216" i="2"/>
  <c r="K215" i="2"/>
  <c r="J215" i="2"/>
  <c r="I215" i="2"/>
  <c r="H215" i="2"/>
  <c r="K214" i="2"/>
  <c r="J214" i="2"/>
  <c r="I214" i="2"/>
  <c r="H214" i="2"/>
  <c r="K213" i="2"/>
  <c r="J213" i="2"/>
  <c r="I213" i="2"/>
  <c r="H213" i="2"/>
  <c r="M213" i="2" s="1"/>
  <c r="K212" i="2"/>
  <c r="J212" i="2"/>
  <c r="I212" i="2"/>
  <c r="H212" i="2"/>
  <c r="M212" i="2" s="1"/>
  <c r="K211" i="2"/>
  <c r="M211" i="2" s="1"/>
  <c r="J211" i="2"/>
  <c r="I211" i="2"/>
  <c r="H211" i="2"/>
  <c r="K210" i="2"/>
  <c r="J210" i="2"/>
  <c r="I210" i="2"/>
  <c r="H210" i="2"/>
  <c r="K209" i="2"/>
  <c r="J209" i="2"/>
  <c r="I209" i="2"/>
  <c r="M209" i="2" s="1"/>
  <c r="H209" i="2"/>
  <c r="K208" i="2"/>
  <c r="J208" i="2"/>
  <c r="I208" i="2"/>
  <c r="H208" i="2"/>
  <c r="M208" i="2" s="1"/>
  <c r="K207" i="2"/>
  <c r="J207" i="2"/>
  <c r="I207" i="2"/>
  <c r="H207" i="2"/>
  <c r="M207" i="2" s="1"/>
  <c r="K206" i="2"/>
  <c r="J206" i="2"/>
  <c r="I206" i="2"/>
  <c r="H206" i="2"/>
  <c r="K205" i="2"/>
  <c r="J205" i="2"/>
  <c r="I205" i="2"/>
  <c r="H205" i="2"/>
  <c r="K204" i="2"/>
  <c r="J204" i="2"/>
  <c r="I204" i="2"/>
  <c r="H204" i="2"/>
  <c r="K203" i="2"/>
  <c r="J203" i="2"/>
  <c r="I203" i="2"/>
  <c r="H203" i="2"/>
  <c r="M203" i="2" s="1"/>
  <c r="K202" i="2"/>
  <c r="J202" i="2"/>
  <c r="I202" i="2"/>
  <c r="H202" i="2"/>
  <c r="M202" i="2" s="1"/>
  <c r="K201" i="2"/>
  <c r="J201" i="2"/>
  <c r="I201" i="2"/>
  <c r="H201" i="2"/>
  <c r="M201" i="2" s="1"/>
  <c r="K200" i="2"/>
  <c r="J200" i="2"/>
  <c r="I200" i="2"/>
  <c r="H200" i="2"/>
  <c r="K199" i="2"/>
  <c r="J199" i="2"/>
  <c r="I199" i="2"/>
  <c r="H199" i="2"/>
  <c r="M199" i="2" s="1"/>
  <c r="K198" i="2"/>
  <c r="J198" i="2"/>
  <c r="I198" i="2"/>
  <c r="H198" i="2"/>
  <c r="K197" i="2"/>
  <c r="J197" i="2"/>
  <c r="I197" i="2"/>
  <c r="H197" i="2"/>
  <c r="M197" i="2" s="1"/>
  <c r="K196" i="2"/>
  <c r="J196" i="2"/>
  <c r="I196" i="2"/>
  <c r="H196" i="2"/>
  <c r="K195" i="2"/>
  <c r="J195" i="2"/>
  <c r="I195" i="2"/>
  <c r="H195" i="2"/>
  <c r="K194" i="2"/>
  <c r="J194" i="2"/>
  <c r="I194" i="2"/>
  <c r="H194" i="2"/>
  <c r="K193" i="2"/>
  <c r="J193" i="2"/>
  <c r="I193" i="2"/>
  <c r="H193" i="2"/>
  <c r="M193" i="2" s="1"/>
  <c r="K192" i="2"/>
  <c r="J192" i="2"/>
  <c r="I192" i="2"/>
  <c r="H192" i="2"/>
  <c r="M192" i="2" s="1"/>
  <c r="K191" i="2"/>
  <c r="M191" i="2" s="1"/>
  <c r="J191" i="2"/>
  <c r="I191" i="2"/>
  <c r="H191" i="2"/>
  <c r="K190" i="2"/>
  <c r="J190" i="2"/>
  <c r="I190" i="2"/>
  <c r="H190" i="2"/>
  <c r="K189" i="2"/>
  <c r="J189" i="2"/>
  <c r="I189" i="2"/>
  <c r="M189" i="2" s="1"/>
  <c r="H189" i="2"/>
  <c r="K188" i="2"/>
  <c r="J188" i="2"/>
  <c r="I188" i="2"/>
  <c r="H188" i="2"/>
  <c r="M188" i="2" s="1"/>
  <c r="K187" i="2"/>
  <c r="J187" i="2"/>
  <c r="I187" i="2"/>
  <c r="H187" i="2"/>
  <c r="M187" i="2" s="1"/>
  <c r="K186" i="2"/>
  <c r="J186" i="2"/>
  <c r="I186" i="2"/>
  <c r="H186" i="2"/>
  <c r="K185" i="2"/>
  <c r="J185" i="2"/>
  <c r="I185" i="2"/>
  <c r="H185" i="2"/>
  <c r="K184" i="2"/>
  <c r="J184" i="2"/>
  <c r="I184" i="2"/>
  <c r="H184" i="2"/>
  <c r="K183" i="2"/>
  <c r="J183" i="2"/>
  <c r="I183" i="2"/>
  <c r="H183" i="2"/>
  <c r="M183" i="2" s="1"/>
  <c r="K182" i="2"/>
  <c r="J182" i="2"/>
  <c r="I182" i="2"/>
  <c r="H182" i="2"/>
  <c r="M182" i="2" s="1"/>
  <c r="K181" i="2"/>
  <c r="M181" i="2" s="1"/>
  <c r="J181" i="2"/>
  <c r="I181" i="2"/>
  <c r="H181" i="2"/>
  <c r="K180" i="2"/>
  <c r="J180" i="2"/>
  <c r="I180" i="2"/>
  <c r="H180" i="2"/>
  <c r="K179" i="2"/>
  <c r="J179" i="2"/>
  <c r="I179" i="2"/>
  <c r="M179" i="2" s="1"/>
  <c r="H179" i="2"/>
  <c r="K178" i="2"/>
  <c r="J178" i="2"/>
  <c r="I178" i="2"/>
  <c r="H178" i="2"/>
  <c r="M178" i="2" s="1"/>
  <c r="K177" i="2"/>
  <c r="J177" i="2"/>
  <c r="I177" i="2"/>
  <c r="H177" i="2"/>
  <c r="M177" i="2" s="1"/>
  <c r="K176" i="2"/>
  <c r="J176" i="2"/>
  <c r="I176" i="2"/>
  <c r="H176" i="2"/>
  <c r="K175" i="2"/>
  <c r="J175" i="2"/>
  <c r="I175" i="2"/>
  <c r="H175" i="2"/>
  <c r="K174" i="2"/>
  <c r="J174" i="2"/>
  <c r="I174" i="2"/>
  <c r="H174" i="2"/>
  <c r="K173" i="2"/>
  <c r="J173" i="2"/>
  <c r="I173" i="2"/>
  <c r="H173" i="2"/>
  <c r="M173" i="2" s="1"/>
  <c r="K172" i="2"/>
  <c r="J172" i="2"/>
  <c r="I172" i="2"/>
  <c r="H172" i="2"/>
  <c r="M172" i="2" s="1"/>
  <c r="K171" i="2"/>
  <c r="J171" i="2"/>
  <c r="I171" i="2"/>
  <c r="H171" i="2"/>
  <c r="M171" i="2" s="1"/>
  <c r="K170" i="2"/>
  <c r="J170" i="2"/>
  <c r="I170" i="2"/>
  <c r="H170" i="2"/>
  <c r="K169" i="2"/>
  <c r="J169" i="2"/>
  <c r="I169" i="2"/>
  <c r="H169" i="2"/>
  <c r="M169" i="2" s="1"/>
  <c r="K168" i="2"/>
  <c r="J168" i="2"/>
  <c r="I168" i="2"/>
  <c r="H168" i="2"/>
  <c r="M168" i="2" s="1"/>
  <c r="K167" i="2"/>
  <c r="J167" i="2"/>
  <c r="I167" i="2"/>
  <c r="H167" i="2"/>
  <c r="M167" i="2" s="1"/>
  <c r="K166" i="2"/>
  <c r="J166" i="2"/>
  <c r="I166" i="2"/>
  <c r="H166" i="2"/>
  <c r="K165" i="2"/>
  <c r="J165" i="2"/>
  <c r="I165" i="2"/>
  <c r="H165" i="2"/>
  <c r="M165" i="2" s="1"/>
  <c r="K164" i="2"/>
  <c r="J164" i="2"/>
  <c r="I164" i="2"/>
  <c r="H164" i="2"/>
  <c r="K163" i="2"/>
  <c r="J163" i="2"/>
  <c r="I163" i="2"/>
  <c r="H163" i="2"/>
  <c r="M163" i="2" s="1"/>
  <c r="K162" i="2"/>
  <c r="J162" i="2"/>
  <c r="I162" i="2"/>
  <c r="H162" i="2"/>
  <c r="M162" i="2" s="1"/>
  <c r="K161" i="2"/>
  <c r="M161" i="2" s="1"/>
  <c r="J161" i="2"/>
  <c r="I161" i="2"/>
  <c r="H161" i="2"/>
  <c r="K160" i="2"/>
  <c r="J160" i="2"/>
  <c r="I160" i="2"/>
  <c r="H160" i="2"/>
  <c r="M160" i="2" s="1"/>
  <c r="K159" i="2"/>
  <c r="J159" i="2"/>
  <c r="I159" i="2"/>
  <c r="M159" i="2" s="1"/>
  <c r="H159" i="2"/>
  <c r="K158" i="2"/>
  <c r="J158" i="2"/>
  <c r="I158" i="2"/>
  <c r="H158" i="2"/>
  <c r="K157" i="2"/>
  <c r="J157" i="2"/>
  <c r="I157" i="2"/>
  <c r="H157" i="2"/>
  <c r="M157" i="2" s="1"/>
  <c r="K156" i="2"/>
  <c r="J156" i="2"/>
  <c r="I156" i="2"/>
  <c r="H156" i="2"/>
  <c r="K155" i="2"/>
  <c r="J155" i="2"/>
  <c r="I155" i="2"/>
  <c r="H155" i="2"/>
  <c r="M155" i="2" s="1"/>
  <c r="K154" i="2"/>
  <c r="J154" i="2"/>
  <c r="I154" i="2"/>
  <c r="H154" i="2"/>
  <c r="K153" i="2"/>
  <c r="J153" i="2"/>
  <c r="I153" i="2"/>
  <c r="H153" i="2"/>
  <c r="M153" i="2" s="1"/>
  <c r="K152" i="2"/>
  <c r="J152" i="2"/>
  <c r="I152" i="2"/>
  <c r="H152" i="2"/>
  <c r="M152" i="2" s="1"/>
  <c r="K151" i="2"/>
  <c r="M151" i="2" s="1"/>
  <c r="J151" i="2"/>
  <c r="I151" i="2"/>
  <c r="H151" i="2"/>
  <c r="K150" i="2"/>
  <c r="J150" i="2"/>
  <c r="I150" i="2"/>
  <c r="H150" i="2"/>
  <c r="M150" i="2" s="1"/>
  <c r="K149" i="2"/>
  <c r="J149" i="2"/>
  <c r="I149" i="2"/>
  <c r="M149" i="2" s="1"/>
  <c r="H149" i="2"/>
  <c r="K148" i="2"/>
  <c r="J148" i="2"/>
  <c r="I148" i="2"/>
  <c r="H148" i="2"/>
  <c r="M148" i="2" s="1"/>
  <c r="K147" i="2"/>
  <c r="J147" i="2"/>
  <c r="I147" i="2"/>
  <c r="H147" i="2"/>
  <c r="M147" i="2" s="1"/>
  <c r="K146" i="2"/>
  <c r="J146" i="2"/>
  <c r="I146" i="2"/>
  <c r="H146" i="2"/>
  <c r="K145" i="2"/>
  <c r="J145" i="2"/>
  <c r="I145" i="2"/>
  <c r="H145" i="2"/>
  <c r="M145" i="2" s="1"/>
  <c r="K144" i="2"/>
  <c r="J144" i="2"/>
  <c r="I144" i="2"/>
  <c r="H144" i="2"/>
  <c r="K143" i="2"/>
  <c r="J143" i="2"/>
  <c r="I143" i="2"/>
  <c r="H143" i="2"/>
  <c r="M143" i="2" s="1"/>
  <c r="K142" i="2"/>
  <c r="J142" i="2"/>
  <c r="I142" i="2"/>
  <c r="H142" i="2"/>
  <c r="M142" i="2" s="1"/>
  <c r="K141" i="2"/>
  <c r="M141" i="2" s="1"/>
  <c r="J141" i="2"/>
  <c r="I141" i="2"/>
  <c r="H141" i="2"/>
  <c r="K140" i="2"/>
  <c r="J140" i="2"/>
  <c r="I140" i="2"/>
  <c r="H140" i="2"/>
  <c r="M140" i="2" s="1"/>
  <c r="K139" i="2"/>
  <c r="J139" i="2"/>
  <c r="I139" i="2"/>
  <c r="H139" i="2"/>
  <c r="M139" i="2" s="1"/>
  <c r="K138" i="2"/>
  <c r="J138" i="2"/>
  <c r="I138" i="2"/>
  <c r="H138" i="2"/>
  <c r="M138" i="2" s="1"/>
  <c r="K137" i="2"/>
  <c r="J137" i="2"/>
  <c r="I137" i="2"/>
  <c r="H137" i="2"/>
  <c r="M137" i="2" s="1"/>
  <c r="K136" i="2"/>
  <c r="J136" i="2"/>
  <c r="I136" i="2"/>
  <c r="H136" i="2"/>
  <c r="K135" i="2"/>
  <c r="J135" i="2"/>
  <c r="I135" i="2"/>
  <c r="H135" i="2"/>
  <c r="M135" i="2" s="1"/>
  <c r="K134" i="2"/>
  <c r="J134" i="2"/>
  <c r="I134" i="2"/>
  <c r="H134" i="2"/>
  <c r="K133" i="2"/>
  <c r="J133" i="2"/>
  <c r="I133" i="2"/>
  <c r="H133" i="2"/>
  <c r="M133" i="2" s="1"/>
  <c r="K132" i="2"/>
  <c r="J132" i="2"/>
  <c r="I132" i="2"/>
  <c r="H132" i="2"/>
  <c r="M132" i="2" s="1"/>
  <c r="K131" i="2"/>
  <c r="J131" i="2"/>
  <c r="I131" i="2"/>
  <c r="H131" i="2"/>
  <c r="M131" i="2" s="1"/>
  <c r="K130" i="2"/>
  <c r="J130" i="2"/>
  <c r="I130" i="2"/>
  <c r="H130" i="2"/>
  <c r="M130" i="2" s="1"/>
  <c r="K129" i="2"/>
  <c r="J129" i="2"/>
  <c r="I129" i="2"/>
  <c r="M129" i="2" s="1"/>
  <c r="H129" i="2"/>
  <c r="K128" i="2"/>
  <c r="J128" i="2"/>
  <c r="I128" i="2"/>
  <c r="H128" i="2"/>
  <c r="K127" i="2"/>
  <c r="J127" i="2"/>
  <c r="I127" i="2"/>
  <c r="H127" i="2"/>
  <c r="M127" i="2" s="1"/>
  <c r="K126" i="2"/>
  <c r="J126" i="2"/>
  <c r="I126" i="2"/>
  <c r="H126" i="2"/>
  <c r="K125" i="2"/>
  <c r="J125" i="2"/>
  <c r="I125" i="2"/>
  <c r="H125" i="2"/>
  <c r="M125" i="2" s="1"/>
  <c r="K124" i="2"/>
  <c r="J124" i="2"/>
  <c r="I124" i="2"/>
  <c r="H124" i="2"/>
  <c r="K123" i="2"/>
  <c r="J123" i="2"/>
  <c r="I123" i="2"/>
  <c r="H123" i="2"/>
  <c r="M123" i="2" s="1"/>
  <c r="K122" i="2"/>
  <c r="J122" i="2"/>
  <c r="I122" i="2"/>
  <c r="H122" i="2"/>
  <c r="M122" i="2" s="1"/>
  <c r="K121" i="2"/>
  <c r="M121" i="2" s="1"/>
  <c r="J121" i="2"/>
  <c r="I121" i="2"/>
  <c r="H121" i="2"/>
  <c r="K120" i="2"/>
  <c r="J120" i="2"/>
  <c r="I120" i="2"/>
  <c r="H120" i="2"/>
  <c r="M120" i="2" s="1"/>
  <c r="K119" i="2"/>
  <c r="J119" i="2"/>
  <c r="I119" i="2"/>
  <c r="M119" i="2" s="1"/>
  <c r="H119" i="2"/>
  <c r="K118" i="2"/>
  <c r="J118" i="2"/>
  <c r="I118" i="2"/>
  <c r="H118" i="2"/>
  <c r="K117" i="2"/>
  <c r="J117" i="2"/>
  <c r="I117" i="2"/>
  <c r="H117" i="2"/>
  <c r="M117" i="2" s="1"/>
  <c r="K116" i="2"/>
  <c r="J116" i="2"/>
  <c r="I116" i="2"/>
  <c r="H116" i="2"/>
  <c r="K115" i="2"/>
  <c r="J115" i="2"/>
  <c r="I115" i="2"/>
  <c r="H115" i="2"/>
  <c r="M115" i="2" s="1"/>
  <c r="K114" i="2"/>
  <c r="J114" i="2"/>
  <c r="I114" i="2"/>
  <c r="H114" i="2"/>
  <c r="K113" i="2"/>
  <c r="J113" i="2"/>
  <c r="I113" i="2"/>
  <c r="H113" i="2"/>
  <c r="M113" i="2" s="1"/>
  <c r="K112" i="2"/>
  <c r="J112" i="2"/>
  <c r="I112" i="2"/>
  <c r="H112" i="2"/>
  <c r="M112" i="2" s="1"/>
  <c r="K111" i="2"/>
  <c r="M111" i="2" s="1"/>
  <c r="J111" i="2"/>
  <c r="I111" i="2"/>
  <c r="H111" i="2"/>
  <c r="K110" i="2"/>
  <c r="J110" i="2"/>
  <c r="I110" i="2"/>
  <c r="H110" i="2"/>
  <c r="M110" i="2" s="1"/>
  <c r="K109" i="2"/>
  <c r="J109" i="2"/>
  <c r="I109" i="2"/>
  <c r="M109" i="2" s="1"/>
  <c r="H109" i="2"/>
  <c r="K108" i="2"/>
  <c r="J108" i="2"/>
  <c r="I108" i="2"/>
  <c r="H108" i="2"/>
  <c r="M108" i="2" s="1"/>
  <c r="K107" i="2"/>
  <c r="J107" i="2"/>
  <c r="I107" i="2"/>
  <c r="H107" i="2"/>
  <c r="M107" i="2" s="1"/>
  <c r="K106" i="2"/>
  <c r="J106" i="2"/>
  <c r="I106" i="2"/>
  <c r="H106" i="2"/>
  <c r="K105" i="2"/>
  <c r="J105" i="2"/>
  <c r="I105" i="2"/>
  <c r="H105" i="2"/>
  <c r="M105" i="2" s="1"/>
  <c r="K104" i="2"/>
  <c r="J104" i="2"/>
  <c r="I104" i="2"/>
  <c r="H104" i="2"/>
  <c r="K103" i="2"/>
  <c r="J103" i="2"/>
  <c r="I103" i="2"/>
  <c r="H103" i="2"/>
  <c r="M103" i="2" s="1"/>
  <c r="K102" i="2"/>
  <c r="J102" i="2"/>
  <c r="I102" i="2"/>
  <c r="H102" i="2"/>
  <c r="M102" i="2" s="1"/>
  <c r="K101" i="2"/>
  <c r="J101" i="2"/>
  <c r="I101" i="2"/>
  <c r="H101" i="2"/>
  <c r="M101" i="2" s="1"/>
  <c r="K100" i="2"/>
  <c r="J100" i="2"/>
  <c r="I100" i="2"/>
  <c r="H100" i="2"/>
  <c r="M100" i="2" s="1"/>
  <c r="K99" i="2"/>
  <c r="J99" i="2"/>
  <c r="I99" i="2"/>
  <c r="H99" i="2"/>
  <c r="M99" i="2" s="1"/>
  <c r="K98" i="2"/>
  <c r="J98" i="2"/>
  <c r="I98" i="2"/>
  <c r="H98" i="2"/>
  <c r="K97" i="2"/>
  <c r="J97" i="2"/>
  <c r="I97" i="2"/>
  <c r="H97" i="2"/>
  <c r="M97" i="2" s="1"/>
  <c r="K96" i="2"/>
  <c r="J96" i="2"/>
  <c r="I96" i="2"/>
  <c r="H96" i="2"/>
  <c r="K95" i="2"/>
  <c r="J95" i="2"/>
  <c r="I95" i="2"/>
  <c r="H95" i="2"/>
  <c r="M95" i="2" s="1"/>
  <c r="K94" i="2"/>
  <c r="J94" i="2"/>
  <c r="I94" i="2"/>
  <c r="H94" i="2"/>
  <c r="K93" i="2"/>
  <c r="J93" i="2"/>
  <c r="I93" i="2"/>
  <c r="H93" i="2"/>
  <c r="M93" i="2" s="1"/>
  <c r="K92" i="2"/>
  <c r="J92" i="2"/>
  <c r="I92" i="2"/>
  <c r="H92" i="2"/>
  <c r="M92" i="2" s="1"/>
  <c r="K91" i="2"/>
  <c r="M91" i="2" s="1"/>
  <c r="J91" i="2"/>
  <c r="I91" i="2"/>
  <c r="H91" i="2"/>
  <c r="K90" i="2"/>
  <c r="J90" i="2"/>
  <c r="I90" i="2"/>
  <c r="H90" i="2"/>
  <c r="M90" i="2" s="1"/>
  <c r="K89" i="2"/>
  <c r="J89" i="2"/>
  <c r="I89" i="2"/>
  <c r="M89" i="2" s="1"/>
  <c r="H89" i="2"/>
  <c r="K88" i="2"/>
  <c r="J88" i="2"/>
  <c r="I88" i="2"/>
  <c r="H88" i="2"/>
  <c r="M88" i="2" s="1"/>
  <c r="K87" i="2"/>
  <c r="J87" i="2"/>
  <c r="I87" i="2"/>
  <c r="H87" i="2"/>
  <c r="M87" i="2" s="1"/>
  <c r="K86" i="2"/>
  <c r="J86" i="2"/>
  <c r="I86" i="2"/>
  <c r="H86" i="2"/>
  <c r="K85" i="2"/>
  <c r="J85" i="2"/>
  <c r="I85" i="2"/>
  <c r="H85" i="2"/>
  <c r="M85" i="2" s="1"/>
  <c r="K84" i="2"/>
  <c r="J84" i="2"/>
  <c r="I84" i="2"/>
  <c r="H84" i="2"/>
  <c r="K83" i="2"/>
  <c r="J83" i="2"/>
  <c r="I83" i="2"/>
  <c r="H83" i="2"/>
  <c r="M83" i="2" s="1"/>
  <c r="K82" i="2"/>
  <c r="J82" i="2"/>
  <c r="I82" i="2"/>
  <c r="H82" i="2"/>
  <c r="M82" i="2" s="1"/>
  <c r="K81" i="2"/>
  <c r="M81" i="2" s="1"/>
  <c r="J81" i="2"/>
  <c r="I81" i="2"/>
  <c r="H81" i="2"/>
  <c r="K80" i="2"/>
  <c r="J80" i="2"/>
  <c r="I80" i="2"/>
  <c r="H80" i="2"/>
  <c r="M80" i="2" s="1"/>
  <c r="K79" i="2"/>
  <c r="J79" i="2"/>
  <c r="I79" i="2"/>
  <c r="M79" i="2" s="1"/>
  <c r="H79" i="2"/>
  <c r="K78" i="2"/>
  <c r="J78" i="2"/>
  <c r="I78" i="2"/>
  <c r="H78" i="2"/>
  <c r="M78" i="2" s="1"/>
  <c r="K77" i="2"/>
  <c r="J77" i="2"/>
  <c r="I77" i="2"/>
  <c r="H77" i="2"/>
  <c r="M77" i="2" s="1"/>
  <c r="K76" i="2"/>
  <c r="J76" i="2"/>
  <c r="I76" i="2"/>
  <c r="H76" i="2"/>
  <c r="K75" i="2"/>
  <c r="J75" i="2"/>
  <c r="I75" i="2"/>
  <c r="H75" i="2"/>
  <c r="M75" i="2" s="1"/>
  <c r="K74" i="2"/>
  <c r="J74" i="2"/>
  <c r="I74" i="2"/>
  <c r="H74" i="2"/>
  <c r="K73" i="2"/>
  <c r="J73" i="2"/>
  <c r="I73" i="2"/>
  <c r="H73" i="2"/>
  <c r="M73" i="2" s="1"/>
  <c r="K72" i="2"/>
  <c r="J72" i="2"/>
  <c r="I72" i="2"/>
  <c r="H72" i="2"/>
  <c r="M72" i="2" s="1"/>
  <c r="K71" i="2"/>
  <c r="J71" i="2"/>
  <c r="I71" i="2"/>
  <c r="H71" i="2"/>
  <c r="M71" i="2" s="1"/>
  <c r="K70" i="2"/>
  <c r="J70" i="2"/>
  <c r="I70" i="2"/>
  <c r="H70" i="2"/>
  <c r="M70" i="2" s="1"/>
  <c r="K69" i="2"/>
  <c r="J69" i="2"/>
  <c r="I69" i="2"/>
  <c r="H69" i="2"/>
  <c r="M69" i="2" s="1"/>
  <c r="K68" i="2"/>
  <c r="J68" i="2"/>
  <c r="I68" i="2"/>
  <c r="H68" i="2"/>
  <c r="M68" i="2" s="1"/>
  <c r="K67" i="2"/>
  <c r="J67" i="2"/>
  <c r="I67" i="2"/>
  <c r="H67" i="2"/>
  <c r="M67" i="2" s="1"/>
  <c r="K66" i="2"/>
  <c r="J66" i="2"/>
  <c r="I66" i="2"/>
  <c r="H66" i="2"/>
  <c r="K65" i="2"/>
  <c r="J65" i="2"/>
  <c r="I65" i="2"/>
  <c r="H65" i="2"/>
  <c r="M65" i="2" s="1"/>
  <c r="K64" i="2"/>
  <c r="J64" i="2"/>
  <c r="I64" i="2"/>
  <c r="H64" i="2"/>
  <c r="K63" i="2"/>
  <c r="J63" i="2"/>
  <c r="I63" i="2"/>
  <c r="H63" i="2"/>
  <c r="M63" i="2" s="1"/>
  <c r="K62" i="2"/>
  <c r="J62" i="2"/>
  <c r="I62" i="2"/>
  <c r="H62" i="2"/>
  <c r="M62" i="2" s="1"/>
  <c r="K61" i="2"/>
  <c r="M61" i="2" s="1"/>
  <c r="J61" i="2"/>
  <c r="I61" i="2"/>
  <c r="H61" i="2"/>
  <c r="K60" i="2"/>
  <c r="J60" i="2"/>
  <c r="I60" i="2"/>
  <c r="H60" i="2"/>
  <c r="M60" i="2" s="1"/>
  <c r="K59" i="2"/>
  <c r="J59" i="2"/>
  <c r="I59" i="2"/>
  <c r="M59" i="2" s="1"/>
  <c r="H59" i="2"/>
  <c r="K58" i="2"/>
  <c r="J58" i="2"/>
  <c r="I58" i="2"/>
  <c r="H58" i="2"/>
  <c r="M58" i="2" s="1"/>
  <c r="K57" i="2"/>
  <c r="J57" i="2"/>
  <c r="I57" i="2"/>
  <c r="H57" i="2"/>
  <c r="M57" i="2" s="1"/>
  <c r="K56" i="2"/>
  <c r="J56" i="2"/>
  <c r="I56" i="2"/>
  <c r="H56" i="2"/>
  <c r="K55" i="2"/>
  <c r="J55" i="2"/>
  <c r="I55" i="2"/>
  <c r="H55" i="2"/>
  <c r="M55" i="2" s="1"/>
  <c r="K54" i="2"/>
  <c r="J54" i="2"/>
  <c r="I54" i="2"/>
  <c r="H54" i="2"/>
  <c r="K53" i="2"/>
  <c r="J53" i="2"/>
  <c r="I53" i="2"/>
  <c r="H53" i="2"/>
  <c r="M53" i="2" s="1"/>
  <c r="K52" i="2"/>
  <c r="J52" i="2"/>
  <c r="I52" i="2"/>
  <c r="H52" i="2"/>
  <c r="M52" i="2" s="1"/>
  <c r="K51" i="2"/>
  <c r="M51" i="2" s="1"/>
  <c r="J51" i="2"/>
  <c r="I51" i="2"/>
  <c r="H51" i="2"/>
  <c r="K50" i="2"/>
  <c r="J50" i="2"/>
  <c r="I50" i="2"/>
  <c r="H50" i="2"/>
  <c r="M50" i="2" s="1"/>
  <c r="K49" i="2"/>
  <c r="J49" i="2"/>
  <c r="I49" i="2"/>
  <c r="M49" i="2" s="1"/>
  <c r="H49" i="2"/>
  <c r="K48" i="2"/>
  <c r="J48" i="2"/>
  <c r="I48" i="2"/>
  <c r="H48" i="2"/>
  <c r="M48" i="2" s="1"/>
  <c r="K47" i="2"/>
  <c r="J47" i="2"/>
  <c r="I47" i="2"/>
  <c r="H47" i="2"/>
  <c r="M47" i="2" s="1"/>
  <c r="K46" i="2"/>
  <c r="J46" i="2"/>
  <c r="I46" i="2"/>
  <c r="H46" i="2"/>
  <c r="K45" i="2"/>
  <c r="J45" i="2"/>
  <c r="I45" i="2"/>
  <c r="H45" i="2"/>
  <c r="M45" i="2" s="1"/>
  <c r="K44" i="2"/>
  <c r="J44" i="2"/>
  <c r="I44" i="2"/>
  <c r="H44" i="2"/>
  <c r="K43" i="2"/>
  <c r="J43" i="2"/>
  <c r="I43" i="2"/>
  <c r="H43" i="2"/>
  <c r="M43" i="2" s="1"/>
  <c r="K42" i="2"/>
  <c r="J42" i="2"/>
  <c r="I42" i="2"/>
  <c r="H42" i="2"/>
  <c r="M42" i="2" s="1"/>
  <c r="K41" i="2"/>
  <c r="M41" i="2" s="1"/>
  <c r="J41" i="2"/>
  <c r="I41" i="2"/>
  <c r="H41" i="2"/>
  <c r="K40" i="2"/>
  <c r="J40" i="2"/>
  <c r="I40" i="2"/>
  <c r="H40" i="2"/>
  <c r="M40" i="2" s="1"/>
  <c r="K39" i="2"/>
  <c r="J39" i="2"/>
  <c r="I39" i="2"/>
  <c r="H39" i="2"/>
  <c r="M39" i="2" s="1"/>
  <c r="K38" i="2"/>
  <c r="J38" i="2"/>
  <c r="I38" i="2"/>
  <c r="H38" i="2"/>
  <c r="M38" i="2" s="1"/>
  <c r="K37" i="2"/>
  <c r="J37" i="2"/>
  <c r="I37" i="2"/>
  <c r="H37" i="2"/>
  <c r="M37" i="2" s="1"/>
  <c r="K36" i="2"/>
  <c r="J36" i="2"/>
  <c r="I36" i="2"/>
  <c r="H36" i="2"/>
  <c r="K35" i="2"/>
  <c r="J35" i="2"/>
  <c r="I35" i="2"/>
  <c r="H35" i="2"/>
  <c r="M35" i="2" s="1"/>
  <c r="K34" i="2"/>
  <c r="J34" i="2"/>
  <c r="I34" i="2"/>
  <c r="H34" i="2"/>
  <c r="K33" i="2"/>
  <c r="J33" i="2"/>
  <c r="I33" i="2"/>
  <c r="H33" i="2"/>
  <c r="M33" i="2" s="1"/>
  <c r="K32" i="2"/>
  <c r="J32" i="2"/>
  <c r="I32" i="2"/>
  <c r="H32" i="2"/>
  <c r="M32" i="2" s="1"/>
  <c r="K31" i="2"/>
  <c r="J31" i="2"/>
  <c r="I31" i="2"/>
  <c r="H31" i="2"/>
  <c r="M31" i="2" s="1"/>
  <c r="K30" i="2"/>
  <c r="J30" i="2"/>
  <c r="I30" i="2"/>
  <c r="H30" i="2"/>
  <c r="M30" i="2" s="1"/>
  <c r="K29" i="2"/>
  <c r="J29" i="2"/>
  <c r="I29" i="2"/>
  <c r="M29" i="2" s="1"/>
  <c r="H29" i="2"/>
  <c r="K28" i="2"/>
  <c r="J28" i="2"/>
  <c r="I28" i="2"/>
  <c r="H28" i="2"/>
  <c r="M28" i="2" s="1"/>
  <c r="K27" i="2"/>
  <c r="J27" i="2"/>
  <c r="I27" i="2"/>
  <c r="H27" i="2"/>
  <c r="M27" i="2" s="1"/>
  <c r="K26" i="2"/>
  <c r="J26" i="2"/>
  <c r="I26" i="2"/>
  <c r="H26" i="2"/>
  <c r="K25" i="2"/>
  <c r="J25" i="2"/>
  <c r="I25" i="2"/>
  <c r="H25" i="2"/>
  <c r="M25" i="2" s="1"/>
  <c r="K24" i="2"/>
  <c r="J24" i="2"/>
  <c r="I24" i="2"/>
  <c r="H24" i="2"/>
  <c r="K23" i="2"/>
  <c r="J23" i="2"/>
  <c r="I23" i="2"/>
  <c r="H23" i="2"/>
  <c r="M23" i="2" s="1"/>
  <c r="K22" i="2"/>
  <c r="J22" i="2"/>
  <c r="I22" i="2"/>
  <c r="H22" i="2"/>
  <c r="M22" i="2" s="1"/>
  <c r="K21" i="2"/>
  <c r="M21" i="2" s="1"/>
  <c r="J21" i="2"/>
  <c r="I21" i="2"/>
  <c r="H21" i="2"/>
  <c r="K20" i="2"/>
  <c r="J20" i="2"/>
  <c r="I20" i="2"/>
  <c r="H20" i="2"/>
  <c r="M20" i="2" s="1"/>
  <c r="K19" i="2"/>
  <c r="J19" i="2"/>
  <c r="I19" i="2"/>
  <c r="M19" i="2" s="1"/>
  <c r="H19" i="2"/>
  <c r="K18" i="2"/>
  <c r="J18" i="2"/>
  <c r="I18" i="2"/>
  <c r="H18" i="2"/>
  <c r="K17" i="2"/>
  <c r="J17" i="2"/>
  <c r="I17" i="2"/>
  <c r="H17" i="2"/>
  <c r="M17" i="2" s="1"/>
  <c r="K16" i="2"/>
  <c r="J16" i="2"/>
  <c r="I16" i="2"/>
  <c r="H16" i="2"/>
  <c r="K15" i="2"/>
  <c r="J15" i="2"/>
  <c r="I15" i="2"/>
  <c r="H15" i="2"/>
  <c r="M15" i="2" s="1"/>
  <c r="K14" i="2"/>
  <c r="J14" i="2"/>
  <c r="I14" i="2"/>
  <c r="H14" i="2"/>
  <c r="K13" i="2"/>
  <c r="J13" i="2"/>
  <c r="I13" i="2"/>
  <c r="H13" i="2"/>
  <c r="M13" i="2" s="1"/>
  <c r="K12" i="2"/>
  <c r="J12" i="2"/>
  <c r="I12" i="2"/>
  <c r="H12" i="2"/>
  <c r="M12" i="2" s="1"/>
  <c r="K11" i="2"/>
  <c r="M11" i="2" s="1"/>
  <c r="J11" i="2"/>
  <c r="I11" i="2"/>
  <c r="H11" i="2"/>
  <c r="K10" i="2"/>
  <c r="J10" i="2"/>
  <c r="I10" i="2"/>
  <c r="H10" i="2"/>
  <c r="M10" i="2" s="1"/>
  <c r="K9" i="2"/>
  <c r="J9" i="2"/>
  <c r="I9" i="2"/>
  <c r="M9" i="2" s="1"/>
  <c r="H9" i="2"/>
  <c r="K8" i="2"/>
  <c r="J8" i="2"/>
  <c r="I8" i="2"/>
  <c r="H8" i="2"/>
  <c r="M8" i="2" s="1"/>
  <c r="K7" i="2"/>
  <c r="J7" i="2"/>
  <c r="I7" i="2"/>
  <c r="H7" i="2"/>
  <c r="M7" i="2" s="1"/>
  <c r="K6" i="2"/>
  <c r="J6" i="2"/>
  <c r="I6" i="2"/>
  <c r="H6" i="2"/>
  <c r="K5" i="2"/>
  <c r="J5" i="2"/>
  <c r="I5" i="2"/>
  <c r="H5" i="2"/>
  <c r="M5" i="2" s="1"/>
  <c r="K4" i="2"/>
  <c r="J4" i="2"/>
  <c r="I4" i="2"/>
  <c r="H4" i="2"/>
  <c r="K3" i="2"/>
  <c r="J3" i="2"/>
  <c r="I3" i="2"/>
  <c r="H3" i="2"/>
  <c r="M254" i="1"/>
  <c r="L254" i="1"/>
  <c r="K254" i="1"/>
  <c r="J254" i="1"/>
  <c r="Q254" i="1" s="1"/>
  <c r="M253" i="1"/>
  <c r="L253" i="1"/>
  <c r="K253" i="1"/>
  <c r="J253" i="1"/>
  <c r="Q253" i="1" s="1"/>
  <c r="M252" i="1"/>
  <c r="L252" i="1"/>
  <c r="K252" i="1"/>
  <c r="J252" i="1"/>
  <c r="Q252" i="1" s="1"/>
  <c r="M251" i="1"/>
  <c r="L251" i="1"/>
  <c r="K251" i="1"/>
  <c r="J251" i="1"/>
  <c r="M250" i="1"/>
  <c r="L250" i="1"/>
  <c r="K250" i="1"/>
  <c r="J250" i="1"/>
  <c r="M249" i="1"/>
  <c r="L249" i="1"/>
  <c r="K249" i="1"/>
  <c r="J249" i="1"/>
  <c r="Q249" i="1" s="1"/>
  <c r="M248" i="1"/>
  <c r="L248" i="1"/>
  <c r="K248" i="1"/>
  <c r="J248" i="1"/>
  <c r="Q248" i="1" s="1"/>
  <c r="M247" i="1"/>
  <c r="L247" i="1"/>
  <c r="K247" i="1"/>
  <c r="J247" i="1"/>
  <c r="Q247" i="1" s="1"/>
  <c r="M246" i="1"/>
  <c r="L246" i="1"/>
  <c r="K246" i="1"/>
  <c r="J246" i="1"/>
  <c r="M245" i="1"/>
  <c r="L245" i="1"/>
  <c r="K245" i="1"/>
  <c r="J245" i="1"/>
  <c r="M244" i="1"/>
  <c r="L244" i="1"/>
  <c r="K244" i="1"/>
  <c r="J244" i="1"/>
  <c r="Q244" i="1" s="1"/>
  <c r="M243" i="1"/>
  <c r="L243" i="1"/>
  <c r="K243" i="1"/>
  <c r="J243" i="1"/>
  <c r="Q243" i="1" s="1"/>
  <c r="M242" i="1"/>
  <c r="L242" i="1"/>
  <c r="K242" i="1"/>
  <c r="J242" i="1"/>
  <c r="Q242" i="1" s="1"/>
  <c r="M241" i="1"/>
  <c r="L241" i="1"/>
  <c r="K241" i="1"/>
  <c r="J241" i="1"/>
  <c r="M240" i="1"/>
  <c r="L240" i="1"/>
  <c r="K240" i="1"/>
  <c r="J240" i="1"/>
  <c r="M239" i="1"/>
  <c r="L239" i="1"/>
  <c r="K239" i="1"/>
  <c r="J239" i="1"/>
  <c r="Q239" i="1" s="1"/>
  <c r="M238" i="1"/>
  <c r="L238" i="1"/>
  <c r="K238" i="1"/>
  <c r="J238" i="1"/>
  <c r="Q238" i="1" s="1"/>
  <c r="M237" i="1"/>
  <c r="L237" i="1"/>
  <c r="K237" i="1"/>
  <c r="J237" i="1"/>
  <c r="Q237" i="1" s="1"/>
  <c r="M236" i="1"/>
  <c r="L236" i="1"/>
  <c r="K236" i="1"/>
  <c r="J236" i="1"/>
  <c r="M235" i="1"/>
  <c r="L235" i="1"/>
  <c r="K235" i="1"/>
  <c r="J235" i="1"/>
  <c r="M234" i="1"/>
  <c r="L234" i="1"/>
  <c r="K234" i="1"/>
  <c r="J234" i="1"/>
  <c r="Q234" i="1" s="1"/>
  <c r="M233" i="1"/>
  <c r="L233" i="1"/>
  <c r="K233" i="1"/>
  <c r="J233" i="1"/>
  <c r="Q233" i="1" s="1"/>
  <c r="M232" i="1"/>
  <c r="L232" i="1"/>
  <c r="K232" i="1"/>
  <c r="J232" i="1"/>
  <c r="Q232" i="1" s="1"/>
  <c r="M231" i="1"/>
  <c r="L231" i="1"/>
  <c r="K231" i="1"/>
  <c r="J231" i="1"/>
  <c r="M230" i="1"/>
  <c r="L230" i="1"/>
  <c r="K230" i="1"/>
  <c r="J230" i="1"/>
  <c r="M229" i="1"/>
  <c r="L229" i="1"/>
  <c r="K229" i="1"/>
  <c r="J229" i="1"/>
  <c r="Q229" i="1" s="1"/>
  <c r="M228" i="1"/>
  <c r="L228" i="1"/>
  <c r="K228" i="1"/>
  <c r="J228" i="1"/>
  <c r="Q228" i="1" s="1"/>
  <c r="M227" i="1"/>
  <c r="L227" i="1"/>
  <c r="K227" i="1"/>
  <c r="J227" i="1"/>
  <c r="Q227" i="1" s="1"/>
  <c r="M226" i="1"/>
  <c r="L226" i="1"/>
  <c r="K226" i="1"/>
  <c r="J226" i="1"/>
  <c r="M225" i="1"/>
  <c r="L225" i="1"/>
  <c r="K225" i="1"/>
  <c r="J225" i="1"/>
  <c r="M224" i="1"/>
  <c r="L224" i="1"/>
  <c r="K224" i="1"/>
  <c r="J224" i="1"/>
  <c r="Q224" i="1" s="1"/>
  <c r="M223" i="1"/>
  <c r="L223" i="1"/>
  <c r="K223" i="1"/>
  <c r="J223" i="1"/>
  <c r="Q223" i="1" s="1"/>
  <c r="M222" i="1"/>
  <c r="L222" i="1"/>
  <c r="K222" i="1"/>
  <c r="J222" i="1"/>
  <c r="Q222" i="1" s="1"/>
  <c r="M221" i="1"/>
  <c r="L221" i="1"/>
  <c r="K221" i="1"/>
  <c r="J221" i="1"/>
  <c r="M220" i="1"/>
  <c r="L220" i="1"/>
  <c r="K220" i="1"/>
  <c r="J220" i="1"/>
  <c r="M219" i="1"/>
  <c r="L219" i="1"/>
  <c r="K219" i="1"/>
  <c r="J219" i="1"/>
  <c r="Q219" i="1" s="1"/>
  <c r="M218" i="1"/>
  <c r="L218" i="1"/>
  <c r="K218" i="1"/>
  <c r="J218" i="1"/>
  <c r="Q218" i="1" s="1"/>
  <c r="M217" i="1"/>
  <c r="L217" i="1"/>
  <c r="K217" i="1"/>
  <c r="J217" i="1"/>
  <c r="Q217" i="1" s="1"/>
  <c r="M216" i="1"/>
  <c r="L216" i="1"/>
  <c r="K216" i="1"/>
  <c r="J216" i="1"/>
  <c r="M215" i="1"/>
  <c r="L215" i="1"/>
  <c r="K215" i="1"/>
  <c r="J215" i="1"/>
  <c r="M214" i="1"/>
  <c r="L214" i="1"/>
  <c r="K214" i="1"/>
  <c r="J214" i="1"/>
  <c r="Q214" i="1" s="1"/>
  <c r="M213" i="1"/>
  <c r="L213" i="1"/>
  <c r="K213" i="1"/>
  <c r="J213" i="1"/>
  <c r="Q213" i="1" s="1"/>
  <c r="M212" i="1"/>
  <c r="L212" i="1"/>
  <c r="K212" i="1"/>
  <c r="J212" i="1"/>
  <c r="Q212" i="1" s="1"/>
  <c r="M211" i="1"/>
  <c r="L211" i="1"/>
  <c r="K211" i="1"/>
  <c r="J211" i="1"/>
  <c r="M210" i="1"/>
  <c r="L210" i="1"/>
  <c r="K210" i="1"/>
  <c r="J210" i="1"/>
  <c r="M209" i="1"/>
  <c r="L209" i="1"/>
  <c r="K209" i="1"/>
  <c r="J209" i="1"/>
  <c r="Q209" i="1" s="1"/>
  <c r="M208" i="1"/>
  <c r="L208" i="1"/>
  <c r="K208" i="1"/>
  <c r="J208" i="1"/>
  <c r="Q208" i="1" s="1"/>
  <c r="M207" i="1"/>
  <c r="L207" i="1"/>
  <c r="K207" i="1"/>
  <c r="J207" i="1"/>
  <c r="Q207" i="1" s="1"/>
  <c r="M206" i="1"/>
  <c r="L206" i="1"/>
  <c r="K206" i="1"/>
  <c r="J206" i="1"/>
  <c r="M205" i="1"/>
  <c r="L205" i="1"/>
  <c r="K205" i="1"/>
  <c r="J205" i="1"/>
  <c r="M204" i="1"/>
  <c r="L204" i="1"/>
  <c r="K204" i="1"/>
  <c r="J204" i="1"/>
  <c r="Q204" i="1" s="1"/>
  <c r="M203" i="1"/>
  <c r="L203" i="1"/>
  <c r="K203" i="1"/>
  <c r="J203" i="1"/>
  <c r="Q203" i="1" s="1"/>
  <c r="M202" i="1"/>
  <c r="L202" i="1"/>
  <c r="K202" i="1"/>
  <c r="J202" i="1"/>
  <c r="Q202" i="1" s="1"/>
  <c r="M201" i="1"/>
  <c r="L201" i="1"/>
  <c r="K201" i="1"/>
  <c r="J201" i="1"/>
  <c r="M200" i="1"/>
  <c r="L200" i="1"/>
  <c r="K200" i="1"/>
  <c r="J200" i="1"/>
  <c r="M199" i="1"/>
  <c r="L199" i="1"/>
  <c r="K199" i="1"/>
  <c r="J199" i="1"/>
  <c r="Q199" i="1" s="1"/>
  <c r="M198" i="1"/>
  <c r="L198" i="1"/>
  <c r="K198" i="1"/>
  <c r="J198" i="1"/>
  <c r="Q198" i="1" s="1"/>
  <c r="M197" i="1"/>
  <c r="L197" i="1"/>
  <c r="K197" i="1"/>
  <c r="J197" i="1"/>
  <c r="Q197" i="1" s="1"/>
  <c r="M196" i="1"/>
  <c r="L196" i="1"/>
  <c r="K196" i="1"/>
  <c r="J196" i="1"/>
  <c r="M195" i="1"/>
  <c r="L195" i="1"/>
  <c r="K195" i="1"/>
  <c r="J195" i="1"/>
  <c r="M194" i="1"/>
  <c r="L194" i="1"/>
  <c r="K194" i="1"/>
  <c r="J194" i="1"/>
  <c r="Q194" i="1" s="1"/>
  <c r="M193" i="1"/>
  <c r="L193" i="1"/>
  <c r="K193" i="1"/>
  <c r="J193" i="1"/>
  <c r="Q193" i="1" s="1"/>
  <c r="M192" i="1"/>
  <c r="L192" i="1"/>
  <c r="K192" i="1"/>
  <c r="J192" i="1"/>
  <c r="Q192" i="1" s="1"/>
  <c r="M191" i="1"/>
  <c r="L191" i="1"/>
  <c r="K191" i="1"/>
  <c r="J191" i="1"/>
  <c r="M190" i="1"/>
  <c r="L190" i="1"/>
  <c r="K190" i="1"/>
  <c r="J190" i="1"/>
  <c r="M189" i="1"/>
  <c r="L189" i="1"/>
  <c r="K189" i="1"/>
  <c r="J189" i="1"/>
  <c r="Q189" i="1" s="1"/>
  <c r="M188" i="1"/>
  <c r="L188" i="1"/>
  <c r="K188" i="1"/>
  <c r="J188" i="1"/>
  <c r="Q188" i="1" s="1"/>
  <c r="M187" i="1"/>
  <c r="L187" i="1"/>
  <c r="K187" i="1"/>
  <c r="J187" i="1"/>
  <c r="Q187" i="1" s="1"/>
  <c r="M186" i="1"/>
  <c r="L186" i="1"/>
  <c r="K186" i="1"/>
  <c r="J186" i="1"/>
  <c r="M185" i="1"/>
  <c r="L185" i="1"/>
  <c r="K185" i="1"/>
  <c r="J185" i="1"/>
  <c r="M184" i="1"/>
  <c r="L184" i="1"/>
  <c r="K184" i="1"/>
  <c r="J184" i="1"/>
  <c r="Q184" i="1" s="1"/>
  <c r="M183" i="1"/>
  <c r="L183" i="1"/>
  <c r="K183" i="1"/>
  <c r="J183" i="1"/>
  <c r="Q183" i="1" s="1"/>
  <c r="M182" i="1"/>
  <c r="L182" i="1"/>
  <c r="K182" i="1"/>
  <c r="J182" i="1"/>
  <c r="Q182" i="1" s="1"/>
  <c r="M181" i="1"/>
  <c r="L181" i="1"/>
  <c r="K181" i="1"/>
  <c r="J181" i="1"/>
  <c r="M180" i="1"/>
  <c r="L180" i="1"/>
  <c r="K180" i="1"/>
  <c r="J180" i="1"/>
  <c r="M179" i="1"/>
  <c r="L179" i="1"/>
  <c r="K179" i="1"/>
  <c r="J179" i="1"/>
  <c r="Q179" i="1" s="1"/>
  <c r="M178" i="1"/>
  <c r="L178" i="1"/>
  <c r="K178" i="1"/>
  <c r="J178" i="1"/>
  <c r="Q178" i="1" s="1"/>
  <c r="M177" i="1"/>
  <c r="L177" i="1"/>
  <c r="K177" i="1"/>
  <c r="J177" i="1"/>
  <c r="Q177" i="1" s="1"/>
  <c r="M176" i="1"/>
  <c r="L176" i="1"/>
  <c r="K176" i="1"/>
  <c r="J176" i="1"/>
  <c r="M175" i="1"/>
  <c r="L175" i="1"/>
  <c r="K175" i="1"/>
  <c r="J175" i="1"/>
  <c r="M174" i="1"/>
  <c r="L174" i="1"/>
  <c r="K174" i="1"/>
  <c r="J174" i="1"/>
  <c r="Q174" i="1" s="1"/>
  <c r="M173" i="1"/>
  <c r="L173" i="1"/>
  <c r="K173" i="1"/>
  <c r="J173" i="1"/>
  <c r="Q173" i="1" s="1"/>
  <c r="M172" i="1"/>
  <c r="L172" i="1"/>
  <c r="K172" i="1"/>
  <c r="J172" i="1"/>
  <c r="Q172" i="1" s="1"/>
  <c r="M171" i="1"/>
  <c r="L171" i="1"/>
  <c r="K171" i="1"/>
  <c r="J171" i="1"/>
  <c r="M170" i="1"/>
  <c r="L170" i="1"/>
  <c r="K170" i="1"/>
  <c r="J170" i="1"/>
  <c r="M169" i="1"/>
  <c r="L169" i="1"/>
  <c r="K169" i="1"/>
  <c r="J169" i="1"/>
  <c r="Q169" i="1" s="1"/>
  <c r="M168" i="1"/>
  <c r="L168" i="1"/>
  <c r="K168" i="1"/>
  <c r="J168" i="1"/>
  <c r="Q168" i="1" s="1"/>
  <c r="M167" i="1"/>
  <c r="L167" i="1"/>
  <c r="K167" i="1"/>
  <c r="J167" i="1"/>
  <c r="Q167" i="1" s="1"/>
  <c r="M166" i="1"/>
  <c r="L166" i="1"/>
  <c r="K166" i="1"/>
  <c r="J166" i="1"/>
  <c r="M165" i="1"/>
  <c r="L165" i="1"/>
  <c r="K165" i="1"/>
  <c r="J165" i="1"/>
  <c r="M164" i="1"/>
  <c r="L164" i="1"/>
  <c r="K164" i="1"/>
  <c r="J164" i="1"/>
  <c r="Q164" i="1" s="1"/>
  <c r="M163" i="1"/>
  <c r="L163" i="1"/>
  <c r="K163" i="1"/>
  <c r="J163" i="1"/>
  <c r="Q163" i="1" s="1"/>
  <c r="M162" i="1"/>
  <c r="L162" i="1"/>
  <c r="K162" i="1"/>
  <c r="J162" i="1"/>
  <c r="Q162" i="1" s="1"/>
  <c r="M161" i="1"/>
  <c r="L161" i="1"/>
  <c r="K161" i="1"/>
  <c r="J161" i="1"/>
  <c r="M160" i="1"/>
  <c r="L160" i="1"/>
  <c r="K160" i="1"/>
  <c r="J160" i="1"/>
  <c r="M159" i="1"/>
  <c r="L159" i="1"/>
  <c r="K159" i="1"/>
  <c r="J159" i="1"/>
  <c r="Q159" i="1" s="1"/>
  <c r="M158" i="1"/>
  <c r="L158" i="1"/>
  <c r="K158" i="1"/>
  <c r="J158" i="1"/>
  <c r="Q158" i="1" s="1"/>
  <c r="M157" i="1"/>
  <c r="L157" i="1"/>
  <c r="K157" i="1"/>
  <c r="J157" i="1"/>
  <c r="Q157" i="1" s="1"/>
  <c r="M156" i="1"/>
  <c r="L156" i="1"/>
  <c r="K156" i="1"/>
  <c r="J156" i="1"/>
  <c r="M155" i="1"/>
  <c r="L155" i="1"/>
  <c r="K155" i="1"/>
  <c r="J155" i="1"/>
  <c r="M154" i="1"/>
  <c r="L154" i="1"/>
  <c r="K154" i="1"/>
  <c r="J154" i="1"/>
  <c r="Q154" i="1" s="1"/>
  <c r="M153" i="1"/>
  <c r="L153" i="1"/>
  <c r="K153" i="1"/>
  <c r="J153" i="1"/>
  <c r="Q153" i="1" s="1"/>
  <c r="M152" i="1"/>
  <c r="L152" i="1"/>
  <c r="K152" i="1"/>
  <c r="J152" i="1"/>
  <c r="Q152" i="1" s="1"/>
  <c r="M151" i="1"/>
  <c r="L151" i="1"/>
  <c r="K151" i="1"/>
  <c r="J151" i="1"/>
  <c r="M150" i="1"/>
  <c r="L150" i="1"/>
  <c r="K150" i="1"/>
  <c r="J150" i="1"/>
  <c r="M149" i="1"/>
  <c r="L149" i="1"/>
  <c r="K149" i="1"/>
  <c r="J149" i="1"/>
  <c r="Q149" i="1" s="1"/>
  <c r="M148" i="1"/>
  <c r="L148" i="1"/>
  <c r="K148" i="1"/>
  <c r="J148" i="1"/>
  <c r="Q148" i="1" s="1"/>
  <c r="M147" i="1"/>
  <c r="L147" i="1"/>
  <c r="K147" i="1"/>
  <c r="J147" i="1"/>
  <c r="Q147" i="1" s="1"/>
  <c r="M146" i="1"/>
  <c r="L146" i="1"/>
  <c r="K146" i="1"/>
  <c r="J146" i="1"/>
  <c r="M145" i="1"/>
  <c r="L145" i="1"/>
  <c r="K145" i="1"/>
  <c r="J145" i="1"/>
  <c r="M144" i="1"/>
  <c r="L144" i="1"/>
  <c r="K144" i="1"/>
  <c r="J144" i="1"/>
  <c r="Q144" i="1" s="1"/>
  <c r="M143" i="1"/>
  <c r="L143" i="1"/>
  <c r="K143" i="1"/>
  <c r="J143" i="1"/>
  <c r="Q143" i="1" s="1"/>
  <c r="M142" i="1"/>
  <c r="L142" i="1"/>
  <c r="K142" i="1"/>
  <c r="J142" i="1"/>
  <c r="Q142" i="1" s="1"/>
  <c r="M141" i="1"/>
  <c r="L141" i="1"/>
  <c r="K141" i="1"/>
  <c r="J141" i="1"/>
  <c r="M140" i="1"/>
  <c r="L140" i="1"/>
  <c r="K140" i="1"/>
  <c r="J140" i="1"/>
  <c r="M139" i="1"/>
  <c r="L139" i="1"/>
  <c r="K139" i="1"/>
  <c r="J139" i="1"/>
  <c r="Q139" i="1" s="1"/>
  <c r="M138" i="1"/>
  <c r="L138" i="1"/>
  <c r="K138" i="1"/>
  <c r="J138" i="1"/>
  <c r="Q138" i="1" s="1"/>
  <c r="M137" i="1"/>
  <c r="L137" i="1"/>
  <c r="K137" i="1"/>
  <c r="J137" i="1"/>
  <c r="Q137" i="1" s="1"/>
  <c r="M136" i="1"/>
  <c r="L136" i="1"/>
  <c r="K136" i="1"/>
  <c r="J136" i="1"/>
  <c r="M135" i="1"/>
  <c r="L135" i="1"/>
  <c r="K135" i="1"/>
  <c r="J135" i="1"/>
  <c r="M134" i="1"/>
  <c r="L134" i="1"/>
  <c r="K134" i="1"/>
  <c r="J134" i="1"/>
  <c r="Q134" i="1" s="1"/>
  <c r="M133" i="1"/>
  <c r="L133" i="1"/>
  <c r="K133" i="1"/>
  <c r="J133" i="1"/>
  <c r="Q133" i="1" s="1"/>
  <c r="M132" i="1"/>
  <c r="L132" i="1"/>
  <c r="K132" i="1"/>
  <c r="J132" i="1"/>
  <c r="Q132" i="1" s="1"/>
  <c r="M131" i="1"/>
  <c r="L131" i="1"/>
  <c r="K131" i="1"/>
  <c r="J131" i="1"/>
  <c r="M130" i="1"/>
  <c r="L130" i="1"/>
  <c r="K130" i="1"/>
  <c r="J130" i="1"/>
  <c r="M129" i="1"/>
  <c r="L129" i="1"/>
  <c r="K129" i="1"/>
  <c r="J129" i="1"/>
  <c r="Q129" i="1" s="1"/>
  <c r="M128" i="1"/>
  <c r="L128" i="1"/>
  <c r="K128" i="1"/>
  <c r="J128" i="1"/>
  <c r="Q128" i="1" s="1"/>
  <c r="M127" i="1"/>
  <c r="L127" i="1"/>
  <c r="K127" i="1"/>
  <c r="J127" i="1"/>
  <c r="Q127" i="1" s="1"/>
  <c r="M126" i="1"/>
  <c r="L126" i="1"/>
  <c r="K126" i="1"/>
  <c r="J126" i="1"/>
  <c r="M125" i="1"/>
  <c r="L125" i="1"/>
  <c r="K125" i="1"/>
  <c r="J125" i="1"/>
  <c r="M124" i="1"/>
  <c r="L124" i="1"/>
  <c r="K124" i="1"/>
  <c r="J124" i="1"/>
  <c r="Q124" i="1" s="1"/>
  <c r="M123" i="1"/>
  <c r="L123" i="1"/>
  <c r="K123" i="1"/>
  <c r="J123" i="1"/>
  <c r="Q123" i="1" s="1"/>
  <c r="M122" i="1"/>
  <c r="L122" i="1"/>
  <c r="K122" i="1"/>
  <c r="J122" i="1"/>
  <c r="Q122" i="1" s="1"/>
  <c r="M121" i="1"/>
  <c r="L121" i="1"/>
  <c r="K121" i="1"/>
  <c r="J121" i="1"/>
  <c r="M120" i="1"/>
  <c r="L120" i="1"/>
  <c r="K120" i="1"/>
  <c r="J120" i="1"/>
  <c r="M119" i="1"/>
  <c r="L119" i="1"/>
  <c r="K119" i="1"/>
  <c r="J119" i="1"/>
  <c r="Q119" i="1" s="1"/>
  <c r="M118" i="1"/>
  <c r="L118" i="1"/>
  <c r="K118" i="1"/>
  <c r="J118" i="1"/>
  <c r="Q118" i="1" s="1"/>
  <c r="M117" i="1"/>
  <c r="L117" i="1"/>
  <c r="K117" i="1"/>
  <c r="J117" i="1"/>
  <c r="Q117" i="1" s="1"/>
  <c r="M116" i="1"/>
  <c r="L116" i="1"/>
  <c r="K116" i="1"/>
  <c r="J116" i="1"/>
  <c r="M115" i="1"/>
  <c r="L115" i="1"/>
  <c r="K115" i="1"/>
  <c r="J115" i="1"/>
  <c r="M114" i="1"/>
  <c r="L114" i="1"/>
  <c r="K114" i="1"/>
  <c r="J114" i="1"/>
  <c r="Q114" i="1" s="1"/>
  <c r="M113" i="1"/>
  <c r="L113" i="1"/>
  <c r="K113" i="1"/>
  <c r="J113" i="1"/>
  <c r="Q113" i="1" s="1"/>
  <c r="M112" i="1"/>
  <c r="L112" i="1"/>
  <c r="K112" i="1"/>
  <c r="J112" i="1"/>
  <c r="Q112" i="1" s="1"/>
  <c r="M111" i="1"/>
  <c r="L111" i="1"/>
  <c r="K111" i="1"/>
  <c r="J111" i="1"/>
  <c r="M110" i="1"/>
  <c r="L110" i="1"/>
  <c r="K110" i="1"/>
  <c r="J110" i="1"/>
  <c r="M109" i="1"/>
  <c r="L109" i="1"/>
  <c r="K109" i="1"/>
  <c r="J109" i="1"/>
  <c r="Q109" i="1" s="1"/>
  <c r="M108" i="1"/>
  <c r="L108" i="1"/>
  <c r="K108" i="1"/>
  <c r="J108" i="1"/>
  <c r="Q108" i="1" s="1"/>
  <c r="M107" i="1"/>
  <c r="L107" i="1"/>
  <c r="K107" i="1"/>
  <c r="J107" i="1"/>
  <c r="Q107" i="1" s="1"/>
  <c r="M106" i="1"/>
  <c r="L106" i="1"/>
  <c r="K106" i="1"/>
  <c r="J106" i="1"/>
  <c r="M105" i="1"/>
  <c r="L105" i="1"/>
  <c r="K105" i="1"/>
  <c r="J105" i="1"/>
  <c r="M104" i="1"/>
  <c r="L104" i="1"/>
  <c r="K104" i="1"/>
  <c r="J104" i="1"/>
  <c r="Q104" i="1" s="1"/>
  <c r="M103" i="1"/>
  <c r="L103" i="1"/>
  <c r="K103" i="1"/>
  <c r="J103" i="1"/>
  <c r="Q103" i="1" s="1"/>
  <c r="M102" i="1"/>
  <c r="L102" i="1"/>
  <c r="K102" i="1"/>
  <c r="J102" i="1"/>
  <c r="Q102" i="1" s="1"/>
  <c r="M101" i="1"/>
  <c r="L101" i="1"/>
  <c r="K101" i="1"/>
  <c r="J101" i="1"/>
  <c r="M100" i="1"/>
  <c r="L100" i="1"/>
  <c r="K100" i="1"/>
  <c r="J100" i="1"/>
  <c r="M99" i="1"/>
  <c r="L99" i="1"/>
  <c r="K99" i="1"/>
  <c r="J99" i="1"/>
  <c r="Q99" i="1" s="1"/>
  <c r="M98" i="1"/>
  <c r="L98" i="1"/>
  <c r="K98" i="1"/>
  <c r="J98" i="1"/>
  <c r="Q98" i="1" s="1"/>
  <c r="M97" i="1"/>
  <c r="L97" i="1"/>
  <c r="K97" i="1"/>
  <c r="J97" i="1"/>
  <c r="Q97" i="1" s="1"/>
  <c r="M96" i="1"/>
  <c r="L96" i="1"/>
  <c r="K96" i="1"/>
  <c r="J96" i="1"/>
  <c r="M95" i="1"/>
  <c r="L95" i="1"/>
  <c r="K95" i="1"/>
  <c r="J95" i="1"/>
  <c r="M94" i="1"/>
  <c r="L94" i="1"/>
  <c r="K94" i="1"/>
  <c r="J94" i="1"/>
  <c r="Q94" i="1" s="1"/>
  <c r="M93" i="1"/>
  <c r="L93" i="1"/>
  <c r="K93" i="1"/>
  <c r="J93" i="1"/>
  <c r="Q93" i="1" s="1"/>
  <c r="M92" i="1"/>
  <c r="L92" i="1"/>
  <c r="K92" i="1"/>
  <c r="J92" i="1"/>
  <c r="Q92" i="1" s="1"/>
  <c r="M91" i="1"/>
  <c r="L91" i="1"/>
  <c r="K91" i="1"/>
  <c r="J91" i="1"/>
  <c r="M90" i="1"/>
  <c r="L90" i="1"/>
  <c r="K90" i="1"/>
  <c r="J90" i="1"/>
  <c r="M89" i="1"/>
  <c r="L89" i="1"/>
  <c r="K89" i="1"/>
  <c r="J89" i="1"/>
  <c r="Q89" i="1" s="1"/>
  <c r="M88" i="1"/>
  <c r="L88" i="1"/>
  <c r="K88" i="1"/>
  <c r="J88" i="1"/>
  <c r="Q88" i="1" s="1"/>
  <c r="M87" i="1"/>
  <c r="L87" i="1"/>
  <c r="K87" i="1"/>
  <c r="J87" i="1"/>
  <c r="Q87" i="1" s="1"/>
  <c r="M86" i="1"/>
  <c r="L86" i="1"/>
  <c r="K86" i="1"/>
  <c r="J86" i="1"/>
  <c r="M85" i="1"/>
  <c r="L85" i="1"/>
  <c r="K85" i="1"/>
  <c r="J85" i="1"/>
  <c r="M84" i="1"/>
  <c r="L84" i="1"/>
  <c r="K84" i="1"/>
  <c r="J84" i="1"/>
  <c r="Q84" i="1" s="1"/>
  <c r="M83" i="1"/>
  <c r="L83" i="1"/>
  <c r="K83" i="1"/>
  <c r="J83" i="1"/>
  <c r="Q83" i="1" s="1"/>
  <c r="M82" i="1"/>
  <c r="L82" i="1"/>
  <c r="K82" i="1"/>
  <c r="J82" i="1"/>
  <c r="Q82" i="1" s="1"/>
  <c r="M81" i="1"/>
  <c r="L81" i="1"/>
  <c r="K81" i="1"/>
  <c r="J81" i="1"/>
  <c r="M80" i="1"/>
  <c r="L80" i="1"/>
  <c r="K80" i="1"/>
  <c r="J80" i="1"/>
  <c r="M79" i="1"/>
  <c r="L79" i="1"/>
  <c r="K79" i="1"/>
  <c r="J79" i="1"/>
  <c r="Q79" i="1" s="1"/>
  <c r="M78" i="1"/>
  <c r="L78" i="1"/>
  <c r="K78" i="1"/>
  <c r="J78" i="1"/>
  <c r="Q78" i="1" s="1"/>
  <c r="M77" i="1"/>
  <c r="L77" i="1"/>
  <c r="K77" i="1"/>
  <c r="J77" i="1"/>
  <c r="Q77" i="1" s="1"/>
  <c r="M76" i="1"/>
  <c r="L76" i="1"/>
  <c r="K76" i="1"/>
  <c r="J76" i="1"/>
  <c r="M75" i="1"/>
  <c r="L75" i="1"/>
  <c r="K75" i="1"/>
  <c r="J75" i="1"/>
  <c r="M74" i="1"/>
  <c r="L74" i="1"/>
  <c r="K74" i="1"/>
  <c r="J74" i="1"/>
  <c r="Q74" i="1" s="1"/>
  <c r="M73" i="1"/>
  <c r="L73" i="1"/>
  <c r="K73" i="1"/>
  <c r="J73" i="1"/>
  <c r="Q73" i="1" s="1"/>
  <c r="M72" i="1"/>
  <c r="L72" i="1"/>
  <c r="K72" i="1"/>
  <c r="J72" i="1"/>
  <c r="Q72" i="1" s="1"/>
  <c r="M71" i="1"/>
  <c r="L71" i="1"/>
  <c r="K71" i="1"/>
  <c r="J71" i="1"/>
  <c r="M70" i="1"/>
  <c r="L70" i="1"/>
  <c r="K70" i="1"/>
  <c r="J70" i="1"/>
  <c r="M69" i="1"/>
  <c r="L69" i="1"/>
  <c r="K69" i="1"/>
  <c r="J69" i="1"/>
  <c r="Q69" i="1" s="1"/>
  <c r="M68" i="1"/>
  <c r="L68" i="1"/>
  <c r="K68" i="1"/>
  <c r="J68" i="1"/>
  <c r="Q68" i="1" s="1"/>
  <c r="M67" i="1"/>
  <c r="L67" i="1"/>
  <c r="K67" i="1"/>
  <c r="J67" i="1"/>
  <c r="Q67" i="1" s="1"/>
  <c r="M66" i="1"/>
  <c r="L66" i="1"/>
  <c r="K66" i="1"/>
  <c r="J66" i="1"/>
  <c r="M65" i="1"/>
  <c r="L65" i="1"/>
  <c r="K65" i="1"/>
  <c r="J65" i="1"/>
  <c r="M64" i="1"/>
  <c r="L64" i="1"/>
  <c r="K64" i="1"/>
  <c r="J64" i="1"/>
  <c r="Q64" i="1" s="1"/>
  <c r="M63" i="1"/>
  <c r="L63" i="1"/>
  <c r="K63" i="1"/>
  <c r="J63" i="1"/>
  <c r="Q63" i="1" s="1"/>
  <c r="M62" i="1"/>
  <c r="L62" i="1"/>
  <c r="K62" i="1"/>
  <c r="J62" i="1"/>
  <c r="Q62" i="1" s="1"/>
  <c r="M61" i="1"/>
  <c r="L61" i="1"/>
  <c r="K61" i="1"/>
  <c r="J61" i="1"/>
  <c r="M60" i="1"/>
  <c r="L60" i="1"/>
  <c r="K60" i="1"/>
  <c r="J60" i="1"/>
  <c r="M59" i="1"/>
  <c r="L59" i="1"/>
  <c r="K59" i="1"/>
  <c r="J59" i="1"/>
  <c r="Q59" i="1" s="1"/>
  <c r="M58" i="1"/>
  <c r="L58" i="1"/>
  <c r="K58" i="1"/>
  <c r="J58" i="1"/>
  <c r="Q58" i="1" s="1"/>
  <c r="M57" i="1"/>
  <c r="L57" i="1"/>
  <c r="K57" i="1"/>
  <c r="J57" i="1"/>
  <c r="Q57" i="1" s="1"/>
  <c r="M56" i="1"/>
  <c r="L56" i="1"/>
  <c r="K56" i="1"/>
  <c r="J56" i="1"/>
  <c r="M55" i="1"/>
  <c r="L55" i="1"/>
  <c r="K55" i="1"/>
  <c r="J55" i="1"/>
  <c r="M54" i="1"/>
  <c r="L54" i="1"/>
  <c r="K54" i="1"/>
  <c r="J54" i="1"/>
  <c r="Q54" i="1" s="1"/>
  <c r="M53" i="1"/>
  <c r="L53" i="1"/>
  <c r="K53" i="1"/>
  <c r="J53" i="1"/>
  <c r="Q53" i="1" s="1"/>
  <c r="M52" i="1"/>
  <c r="L52" i="1"/>
  <c r="K52" i="1"/>
  <c r="J52" i="1"/>
  <c r="Q52" i="1" s="1"/>
  <c r="M51" i="1"/>
  <c r="L51" i="1"/>
  <c r="K51" i="1"/>
  <c r="J51" i="1"/>
  <c r="M50" i="1"/>
  <c r="L50" i="1"/>
  <c r="K50" i="1"/>
  <c r="J50" i="1"/>
  <c r="M49" i="1"/>
  <c r="L49" i="1"/>
  <c r="K49" i="1"/>
  <c r="J49" i="1"/>
  <c r="Q49" i="1" s="1"/>
  <c r="M48" i="1"/>
  <c r="L48" i="1"/>
  <c r="K48" i="1"/>
  <c r="J48" i="1"/>
  <c r="Q48" i="1" s="1"/>
  <c r="W23" i="1"/>
  <c r="M47" i="1"/>
  <c r="L47" i="1"/>
  <c r="K47" i="1"/>
  <c r="J47" i="1"/>
  <c r="Q47" i="1" s="1"/>
  <c r="V22" i="1"/>
  <c r="M46" i="1"/>
  <c r="L46" i="1"/>
  <c r="K46" i="1"/>
  <c r="J46" i="1"/>
  <c r="Q46" i="1" s="1"/>
  <c r="U21" i="1"/>
  <c r="M45" i="1"/>
  <c r="L45" i="1"/>
  <c r="K45" i="1"/>
  <c r="J45" i="1"/>
  <c r="Q45" i="1" s="1"/>
  <c r="T20" i="1"/>
  <c r="M44" i="1"/>
  <c r="L44" i="1"/>
  <c r="K44" i="1"/>
  <c r="J44" i="1"/>
  <c r="Q44" i="1" s="1"/>
  <c r="V19" i="1"/>
  <c r="S22" i="1" s="1"/>
  <c r="M43" i="1"/>
  <c r="L43" i="1"/>
  <c r="K43" i="1"/>
  <c r="J43" i="1"/>
  <c r="Q43" i="1" s="1"/>
  <c r="M42" i="1"/>
  <c r="L42" i="1"/>
  <c r="K42" i="1"/>
  <c r="J42" i="1"/>
  <c r="Q42" i="1" s="1"/>
  <c r="M41" i="1"/>
  <c r="L41" i="1"/>
  <c r="K41" i="1"/>
  <c r="J41" i="1"/>
  <c r="M40" i="1"/>
  <c r="L40" i="1"/>
  <c r="K40" i="1"/>
  <c r="J40" i="1"/>
  <c r="Q40" i="1" s="1"/>
  <c r="M39" i="1"/>
  <c r="L39" i="1"/>
  <c r="K39" i="1"/>
  <c r="J39" i="1"/>
  <c r="M38" i="1"/>
  <c r="L38" i="1"/>
  <c r="K38" i="1"/>
  <c r="J38" i="1"/>
  <c r="Q38" i="1" s="1"/>
  <c r="X16" i="1"/>
  <c r="M37" i="1"/>
  <c r="L37" i="1"/>
  <c r="K37" i="1"/>
  <c r="J37" i="1"/>
  <c r="Q37" i="1" s="1"/>
  <c r="M36" i="1"/>
  <c r="L36" i="1"/>
  <c r="K36" i="1"/>
  <c r="J36" i="1"/>
  <c r="Q36" i="1" s="1"/>
  <c r="M35" i="1"/>
  <c r="L35" i="1"/>
  <c r="K35" i="1"/>
  <c r="J35" i="1"/>
  <c r="M34" i="1"/>
  <c r="L34" i="1"/>
  <c r="K34" i="1"/>
  <c r="J34" i="1"/>
  <c r="M33" i="1"/>
  <c r="L33" i="1"/>
  <c r="K33" i="1"/>
  <c r="J33" i="1"/>
  <c r="Q33" i="1" s="1"/>
  <c r="M32" i="1"/>
  <c r="L32" i="1"/>
  <c r="K32" i="1"/>
  <c r="J32" i="1"/>
  <c r="Q32" i="1" s="1"/>
  <c r="M31" i="1"/>
  <c r="L31" i="1"/>
  <c r="K31" i="1"/>
  <c r="J31" i="1"/>
  <c r="Q31" i="1" s="1"/>
  <c r="M30" i="1"/>
  <c r="L30" i="1"/>
  <c r="K30" i="1"/>
  <c r="J30" i="1"/>
  <c r="W19" i="1"/>
  <c r="S23" i="1" s="1"/>
  <c r="U19" i="1"/>
  <c r="S21" i="1" s="1"/>
  <c r="T19" i="1"/>
  <c r="S20" i="1" s="1"/>
  <c r="M29" i="1"/>
  <c r="L29" i="1"/>
  <c r="K29" i="1"/>
  <c r="J29" i="1"/>
  <c r="Q29" i="1" s="1"/>
  <c r="M28" i="1"/>
  <c r="L28" i="1"/>
  <c r="K28" i="1"/>
  <c r="J28" i="1"/>
  <c r="Q28" i="1" s="1"/>
  <c r="M27" i="1"/>
  <c r="L27" i="1"/>
  <c r="K27" i="1"/>
  <c r="J27" i="1"/>
  <c r="M26" i="1"/>
  <c r="L26" i="1"/>
  <c r="K26" i="1"/>
  <c r="J26" i="1"/>
  <c r="Q26" i="1" s="1"/>
  <c r="M25" i="1"/>
  <c r="L25" i="1"/>
  <c r="K25" i="1"/>
  <c r="J25" i="1"/>
  <c r="M24" i="1"/>
  <c r="L24" i="1"/>
  <c r="K24" i="1"/>
  <c r="J24" i="1"/>
  <c r="Q24" i="1" s="1"/>
  <c r="M23" i="1"/>
  <c r="L23" i="1"/>
  <c r="K23" i="1"/>
  <c r="J23" i="1"/>
  <c r="Q23" i="1" s="1"/>
  <c r="M22" i="1"/>
  <c r="L22" i="1"/>
  <c r="K22" i="1"/>
  <c r="J22" i="1"/>
  <c r="M21" i="1"/>
  <c r="L21" i="1"/>
  <c r="K21" i="1"/>
  <c r="J21" i="1"/>
  <c r="Q21" i="1" s="1"/>
  <c r="M20" i="1"/>
  <c r="L20" i="1"/>
  <c r="K20" i="1"/>
  <c r="J20" i="1"/>
  <c r="M19" i="1"/>
  <c r="L19" i="1"/>
  <c r="K19" i="1"/>
  <c r="J19" i="1"/>
  <c r="Q19" i="1" s="1"/>
  <c r="M18" i="1"/>
  <c r="L18" i="1"/>
  <c r="K18" i="1"/>
  <c r="J18" i="1"/>
  <c r="Q18" i="1" s="1"/>
  <c r="M17" i="1"/>
  <c r="L17" i="1"/>
  <c r="K17" i="1"/>
  <c r="J17" i="1"/>
  <c r="M16" i="1"/>
  <c r="L16" i="1"/>
  <c r="K16" i="1"/>
  <c r="J16" i="1"/>
  <c r="Q16" i="1" s="1"/>
  <c r="M15" i="1"/>
  <c r="L15" i="1"/>
  <c r="K15" i="1"/>
  <c r="J15" i="1"/>
  <c r="M14" i="1"/>
  <c r="L14" i="1"/>
  <c r="K14" i="1"/>
  <c r="J14" i="1"/>
  <c r="Q14" i="1" s="1"/>
  <c r="M13" i="1"/>
  <c r="L13" i="1"/>
  <c r="K13" i="1"/>
  <c r="J13" i="1"/>
  <c r="Q13" i="1" s="1"/>
  <c r="M12" i="1"/>
  <c r="L12" i="1"/>
  <c r="K12" i="1"/>
  <c r="J12" i="1"/>
  <c r="M11" i="1"/>
  <c r="L11" i="1"/>
  <c r="K11" i="1"/>
  <c r="J11" i="1"/>
  <c r="Q11" i="1" s="1"/>
  <c r="M10" i="1"/>
  <c r="L10" i="1"/>
  <c r="K10" i="1"/>
  <c r="J10" i="1"/>
  <c r="M9" i="1"/>
  <c r="L9" i="1"/>
  <c r="K9" i="1"/>
  <c r="J9" i="1"/>
  <c r="Q9" i="1" s="1"/>
  <c r="M8" i="1"/>
  <c r="L8" i="1"/>
  <c r="K8" i="1"/>
  <c r="J8" i="1"/>
  <c r="Q8" i="1" s="1"/>
  <c r="M7" i="1"/>
  <c r="L7" i="1"/>
  <c r="K7" i="1"/>
  <c r="J7" i="1"/>
  <c r="M6" i="1"/>
  <c r="L6" i="1"/>
  <c r="K6" i="1"/>
  <c r="J6" i="1"/>
  <c r="Q6" i="1" s="1"/>
  <c r="M5" i="1"/>
  <c r="L5" i="1"/>
  <c r="K5" i="1"/>
  <c r="J5" i="1"/>
  <c r="M4" i="1"/>
  <c r="L4" i="1"/>
  <c r="K4" i="1"/>
  <c r="J4" i="1"/>
  <c r="Q4" i="1" s="1"/>
  <c r="M3" i="1"/>
  <c r="L3" i="1"/>
  <c r="K3" i="1"/>
  <c r="J3" i="1"/>
  <c r="Q3" i="1" s="1"/>
  <c r="Z67" i="8" l="1"/>
  <c r="Z68" i="8"/>
  <c r="T55" i="8"/>
  <c r="T208" i="8"/>
  <c r="T246" i="8"/>
  <c r="T226" i="8"/>
  <c r="T253" i="8"/>
  <c r="T250" i="8"/>
  <c r="Z52" i="8" a="1"/>
  <c r="Z52" i="8" s="1"/>
  <c r="T74" i="8"/>
  <c r="T58" i="8"/>
  <c r="AB13" i="8"/>
  <c r="AA13" i="8"/>
  <c r="T241" i="8"/>
  <c r="T170" i="8"/>
  <c r="T177" i="8"/>
  <c r="T237" i="8"/>
  <c r="T150" i="8"/>
  <c r="T88" i="8"/>
  <c r="T165" i="8"/>
  <c r="T102" i="8"/>
  <c r="T62" i="8"/>
  <c r="T91" i="8"/>
  <c r="T63" i="8"/>
  <c r="Z35" i="8" a="1"/>
  <c r="Z35" i="8" s="1"/>
  <c r="Z53" i="8" a="1"/>
  <c r="Z53" i="8" s="1"/>
  <c r="V241" i="8" s="1"/>
  <c r="Z51" i="8"/>
  <c r="T158" i="8"/>
  <c r="T54" i="8"/>
  <c r="T76" i="8"/>
  <c r="T11" i="8"/>
  <c r="T134" i="8"/>
  <c r="T64" i="8"/>
  <c r="T106" i="8"/>
  <c r="T9" i="8"/>
  <c r="T84" i="8"/>
  <c r="T4" i="8"/>
  <c r="T202" i="8"/>
  <c r="T231" i="8"/>
  <c r="T251" i="8"/>
  <c r="T234" i="8"/>
  <c r="T190" i="8"/>
  <c r="T137" i="8"/>
  <c r="T148" i="8"/>
  <c r="T201" i="8"/>
  <c r="T163" i="8"/>
  <c r="T120" i="8"/>
  <c r="T57" i="8"/>
  <c r="T184" i="8"/>
  <c r="T90" i="8"/>
  <c r="T79" i="8"/>
  <c r="T121" i="8"/>
  <c r="T30" i="8"/>
  <c r="T220" i="8"/>
  <c r="T95" i="8"/>
  <c r="T33" i="8"/>
  <c r="T174" i="8"/>
  <c r="T60" i="8"/>
  <c r="T224" i="8"/>
  <c r="T200" i="8"/>
  <c r="T228" i="8"/>
  <c r="T218" i="8"/>
  <c r="T186" i="8"/>
  <c r="T240" i="8"/>
  <c r="T207" i="8"/>
  <c r="T166" i="8"/>
  <c r="T61" i="8"/>
  <c r="T81" i="8"/>
  <c r="Z43" i="8" a="1"/>
  <c r="Z43" i="8" s="1"/>
  <c r="T3" i="8"/>
  <c r="T154" i="8"/>
  <c r="T149" i="8"/>
  <c r="T20" i="8"/>
  <c r="T17" i="8"/>
  <c r="T131" i="8"/>
  <c r="T97" i="8"/>
  <c r="T96" i="8"/>
  <c r="T65" i="8"/>
  <c r="Z41" i="8"/>
  <c r="T85" i="8"/>
  <c r="T48" i="8"/>
  <c r="T56" i="8"/>
  <c r="T31" i="8"/>
  <c r="T159" i="8"/>
  <c r="T107" i="8"/>
  <c r="T248" i="8"/>
  <c r="T98" i="8"/>
  <c r="T129" i="8"/>
  <c r="T69" i="8"/>
  <c r="T82" i="8"/>
  <c r="T133" i="8"/>
  <c r="T189" i="8"/>
  <c r="T179" i="8"/>
  <c r="T188" i="8"/>
  <c r="T221" i="8"/>
  <c r="T213" i="8"/>
  <c r="T132" i="8"/>
  <c r="T191" i="8"/>
  <c r="T161" i="8"/>
  <c r="T173" i="8"/>
  <c r="T94" i="8"/>
  <c r="T167" i="8"/>
  <c r="T238" i="8"/>
  <c r="T140" i="8"/>
  <c r="T73" i="8"/>
  <c r="T116" i="8"/>
  <c r="T117" i="8"/>
  <c r="AC13" i="8"/>
  <c r="T46" i="8"/>
  <c r="T51" i="8"/>
  <c r="V175" i="8"/>
  <c r="T196" i="8"/>
  <c r="T178" i="8"/>
  <c r="T232" i="8"/>
  <c r="T242" i="8"/>
  <c r="T229" i="8"/>
  <c r="T249" i="8"/>
  <c r="T182" i="8"/>
  <c r="T217" i="8"/>
  <c r="T235" i="8"/>
  <c r="V191" i="8"/>
  <c r="T181" i="8"/>
  <c r="T87" i="8"/>
  <c r="T32" i="8"/>
  <c r="T92" i="8"/>
  <c r="T27" i="8"/>
  <c r="T128" i="8"/>
  <c r="T29" i="8"/>
  <c r="T113" i="8"/>
  <c r="V124" i="8"/>
  <c r="T36" i="8"/>
  <c r="T112" i="8"/>
  <c r="T22" i="8"/>
  <c r="T42" i="8"/>
  <c r="T53" i="8"/>
  <c r="T7" i="8"/>
  <c r="T18" i="8"/>
  <c r="T50" i="8"/>
  <c r="T23" i="8"/>
  <c r="T38" i="8"/>
  <c r="T247" i="8"/>
  <c r="T219" i="8"/>
  <c r="T206" i="8"/>
  <c r="T156" i="8"/>
  <c r="T123" i="8"/>
  <c r="T233" i="8"/>
  <c r="T214" i="8"/>
  <c r="T194" i="8"/>
  <c r="T239" i="8"/>
  <c r="T130" i="8"/>
  <c r="T8" i="8"/>
  <c r="T115" i="8"/>
  <c r="T59" i="8"/>
  <c r="T83" i="8"/>
  <c r="T162" i="8"/>
  <c r="V128" i="8"/>
  <c r="T14" i="8"/>
  <c r="T111" i="8"/>
  <c r="T164" i="8"/>
  <c r="T67" i="8"/>
  <c r="T45" i="8"/>
  <c r="T34" i="8"/>
  <c r="T146" i="8"/>
  <c r="Z30" i="8" a="1"/>
  <c r="Z30" i="8" s="1"/>
  <c r="V238" i="8"/>
  <c r="T169" i="8"/>
  <c r="V223" i="8"/>
  <c r="V217" i="8"/>
  <c r="T192" i="8"/>
  <c r="T171" i="8"/>
  <c r="T119" i="8"/>
  <c r="T127" i="8"/>
  <c r="V159" i="8"/>
  <c r="T147" i="8"/>
  <c r="V63" i="8"/>
  <c r="T135" i="8"/>
  <c r="V26" i="8"/>
  <c r="T93" i="8"/>
  <c r="T109" i="8"/>
  <c r="Z42" i="8" a="1"/>
  <c r="Z42" i="8" s="1"/>
  <c r="T68" i="8"/>
  <c r="T236" i="8"/>
  <c r="T151" i="8"/>
  <c r="T110" i="8"/>
  <c r="T49" i="8"/>
  <c r="T86" i="8"/>
  <c r="T103" i="8"/>
  <c r="V214" i="8"/>
  <c r="T168" i="8"/>
  <c r="T199" i="8"/>
  <c r="T211" i="8"/>
  <c r="V207" i="8"/>
  <c r="T180" i="8"/>
  <c r="V138" i="8"/>
  <c r="V144" i="8"/>
  <c r="T227" i="8"/>
  <c r="T193" i="8"/>
  <c r="T225" i="8"/>
  <c r="T244" i="8"/>
  <c r="T230" i="8"/>
  <c r="T153" i="8"/>
  <c r="V108" i="8"/>
  <c r="T15" i="8"/>
  <c r="T75" i="8"/>
  <c r="V151" i="8"/>
  <c r="T104" i="8"/>
  <c r="T44" i="8"/>
  <c r="T101" i="8"/>
  <c r="T26" i="8"/>
  <c r="T80" i="8"/>
  <c r="T12" i="8"/>
  <c r="T6" i="8"/>
  <c r="T142" i="8"/>
  <c r="T136" i="8"/>
  <c r="T37" i="8"/>
  <c r="T28" i="8"/>
  <c r="T185" i="8"/>
  <c r="T125" i="8"/>
  <c r="V93" i="8"/>
  <c r="T47" i="8"/>
  <c r="T144" i="8"/>
  <c r="T21" i="8"/>
  <c r="T175" i="8"/>
  <c r="V235" i="8"/>
  <c r="T212" i="8"/>
  <c r="T254" i="8"/>
  <c r="T198" i="8"/>
  <c r="T252" i="8"/>
  <c r="T243" i="8"/>
  <c r="V212" i="8"/>
  <c r="T138" i="8"/>
  <c r="T187" i="8"/>
  <c r="T183" i="8"/>
  <c r="T157" i="8"/>
  <c r="T216" i="8"/>
  <c r="T204" i="8"/>
  <c r="T172" i="8"/>
  <c r="T223" i="8"/>
  <c r="T160" i="8"/>
  <c r="T152" i="8"/>
  <c r="T89" i="8"/>
  <c r="T205" i="8"/>
  <c r="V102" i="8"/>
  <c r="T72" i="8"/>
  <c r="T13" i="8"/>
  <c r="T126" i="8"/>
  <c r="T66" i="8"/>
  <c r="T215" i="8"/>
  <c r="T141" i="8"/>
  <c r="T155" i="8"/>
  <c r="V62" i="8"/>
  <c r="T16" i="8"/>
  <c r="T139" i="8"/>
  <c r="T100" i="8"/>
  <c r="Z29" i="8"/>
  <c r="T70" i="8"/>
  <c r="T24" i="8"/>
  <c r="T39" i="8"/>
  <c r="T122" i="8"/>
  <c r="Z13" i="8"/>
  <c r="V198" i="8"/>
  <c r="T195" i="8"/>
  <c r="V18" i="8"/>
  <c r="T40" i="8"/>
  <c r="T176" i="8"/>
  <c r="T71" i="8"/>
  <c r="T35" i="8"/>
  <c r="V225" i="8"/>
  <c r="V208" i="8"/>
  <c r="T222" i="8"/>
  <c r="T209" i="8"/>
  <c r="T210" i="8"/>
  <c r="T124" i="8"/>
  <c r="T203" i="8"/>
  <c r="T143" i="8"/>
  <c r="T108" i="8"/>
  <c r="T197" i="8"/>
  <c r="V202" i="8"/>
  <c r="T19" i="8"/>
  <c r="T145" i="8"/>
  <c r="V100" i="8"/>
  <c r="T43" i="8"/>
  <c r="T105" i="8"/>
  <c r="T52" i="8"/>
  <c r="T114" i="8"/>
  <c r="T78" i="8"/>
  <c r="T99" i="8"/>
  <c r="T25" i="8"/>
  <c r="T41" i="8"/>
  <c r="T245" i="8"/>
  <c r="V13" i="8"/>
  <c r="Z34" i="8"/>
  <c r="Z36" i="8" a="1"/>
  <c r="Z36" i="8" s="1"/>
  <c r="T77" i="8"/>
  <c r="T10" i="8"/>
  <c r="T5" i="8"/>
  <c r="T118" i="8"/>
  <c r="V215" i="7"/>
  <c r="V225" i="7"/>
  <c r="V14" i="7"/>
  <c r="V4" i="7"/>
  <c r="V22" i="7"/>
  <c r="V12" i="7"/>
  <c r="V66" i="7"/>
  <c r="V76" i="7"/>
  <c r="V68" i="7"/>
  <c r="V78" i="7"/>
  <c r="V245" i="7"/>
  <c r="V173" i="7"/>
  <c r="V181" i="7"/>
  <c r="V166" i="7"/>
  <c r="V168" i="7"/>
  <c r="V41" i="7"/>
  <c r="V163" i="7"/>
  <c r="V171" i="7"/>
  <c r="V176" i="7"/>
  <c r="V178" i="7"/>
  <c r="V45" i="7"/>
  <c r="V73" i="7"/>
  <c r="V81" i="7"/>
  <c r="V17" i="7"/>
  <c r="V19" i="7"/>
  <c r="V35" i="7"/>
  <c r="V63" i="7"/>
  <c r="V71" i="7"/>
  <c r="V27" i="7"/>
  <c r="V29" i="7"/>
  <c r="V115" i="7"/>
  <c r="V214" i="7"/>
  <c r="V222" i="7"/>
  <c r="V179" i="7"/>
  <c r="V117" i="7"/>
  <c r="V60" i="7"/>
  <c r="V125" i="7"/>
  <c r="V204" i="7"/>
  <c r="V212" i="7"/>
  <c r="V169" i="7"/>
  <c r="V127" i="7"/>
  <c r="V70" i="7"/>
  <c r="V145" i="7"/>
  <c r="V114" i="7"/>
  <c r="V122" i="7"/>
  <c r="V21" i="7"/>
  <c r="V217" i="7"/>
  <c r="V160" i="7"/>
  <c r="V155" i="7"/>
  <c r="V104" i="7"/>
  <c r="V112" i="7"/>
  <c r="V129" i="7"/>
  <c r="V227" i="7"/>
  <c r="V170" i="7"/>
  <c r="V135" i="7"/>
  <c r="V235" i="7"/>
  <c r="V25" i="7"/>
  <c r="V194" i="7"/>
  <c r="V94" i="7"/>
  <c r="V253" i="7"/>
  <c r="V153" i="7"/>
  <c r="V53" i="7"/>
  <c r="V202" i="7"/>
  <c r="V102" i="7"/>
  <c r="V161" i="7"/>
  <c r="V11" i="7"/>
  <c r="V159" i="7"/>
  <c r="V31" i="7"/>
  <c r="V86" i="7"/>
  <c r="V186" i="7"/>
  <c r="V37" i="7"/>
  <c r="V137" i="7"/>
  <c r="V237" i="7"/>
  <c r="V88" i="7"/>
  <c r="V188" i="7"/>
  <c r="V39" i="7"/>
  <c r="V80" i="7"/>
  <c r="V180" i="7"/>
  <c r="V15" i="7"/>
  <c r="V184" i="7"/>
  <c r="V84" i="7"/>
  <c r="V243" i="7"/>
  <c r="V143" i="7"/>
  <c r="V43" i="7"/>
  <c r="V192" i="7"/>
  <c r="V92" i="7"/>
  <c r="V251" i="7"/>
  <c r="V151" i="7"/>
  <c r="V249" i="7"/>
  <c r="V149" i="7"/>
  <c r="V139" i="7"/>
  <c r="V96" i="7"/>
  <c r="V196" i="7"/>
  <c r="V47" i="7"/>
  <c r="V147" i="7"/>
  <c r="V247" i="7"/>
  <c r="V98" i="7"/>
  <c r="V198" i="7"/>
  <c r="V49" i="7"/>
  <c r="V90" i="7"/>
  <c r="V190" i="7"/>
  <c r="V5" i="7"/>
  <c r="V174" i="7"/>
  <c r="V74" i="7"/>
  <c r="V233" i="7"/>
  <c r="V133" i="7"/>
  <c r="V33" i="7"/>
  <c r="V182" i="7"/>
  <c r="V82" i="7"/>
  <c r="V241" i="7"/>
  <c r="V141" i="7"/>
  <c r="V239" i="7"/>
  <c r="V119" i="7"/>
  <c r="V6" i="7"/>
  <c r="V106" i="7"/>
  <c r="V206" i="7"/>
  <c r="V57" i="7"/>
  <c r="V157" i="7"/>
  <c r="V8" i="7"/>
  <c r="V108" i="7"/>
  <c r="V208" i="7"/>
  <c r="V59" i="7"/>
  <c r="V100" i="7"/>
  <c r="V200" i="7"/>
  <c r="V165" i="7"/>
  <c r="V61" i="7"/>
  <c r="V51" i="7"/>
  <c r="V164" i="7"/>
  <c r="V64" i="7"/>
  <c r="V223" i="7"/>
  <c r="V123" i="7"/>
  <c r="V23" i="7"/>
  <c r="V172" i="7"/>
  <c r="V72" i="7"/>
  <c r="V231" i="7"/>
  <c r="V131" i="7"/>
  <c r="V229" i="7"/>
  <c r="V109" i="7"/>
  <c r="V16" i="7"/>
  <c r="V116" i="7"/>
  <c r="V216" i="7"/>
  <c r="V67" i="7"/>
  <c r="V167" i="7"/>
  <c r="V18" i="7"/>
  <c r="V118" i="7"/>
  <c r="V218" i="7"/>
  <c r="V10" i="7"/>
  <c r="V110" i="7"/>
  <c r="V210" i="7"/>
  <c r="V175" i="7"/>
  <c r="V85" i="7"/>
  <c r="V254" i="7"/>
  <c r="V154" i="7"/>
  <c r="V54" i="7"/>
  <c r="V213" i="7"/>
  <c r="V113" i="7"/>
  <c r="V13" i="7"/>
  <c r="V162" i="7"/>
  <c r="V62" i="7"/>
  <c r="V221" i="7"/>
  <c r="V121" i="7"/>
  <c r="V219" i="7"/>
  <c r="V99" i="7"/>
  <c r="V26" i="7"/>
  <c r="V126" i="7"/>
  <c r="V226" i="7"/>
  <c r="V77" i="7"/>
  <c r="V177" i="7"/>
  <c r="V28" i="7"/>
  <c r="V128" i="7"/>
  <c r="V228" i="7"/>
  <c r="V20" i="7"/>
  <c r="V120" i="7"/>
  <c r="V220" i="7"/>
  <c r="V185" i="7"/>
  <c r="V75" i="7"/>
  <c r="V244" i="7"/>
  <c r="V144" i="7"/>
  <c r="V44" i="7"/>
  <c r="V203" i="7"/>
  <c r="V103" i="7"/>
  <c r="V252" i="7"/>
  <c r="V152" i="7"/>
  <c r="V52" i="7"/>
  <c r="V211" i="7"/>
  <c r="V111" i="7"/>
  <c r="V209" i="7"/>
  <c r="V89" i="7"/>
  <c r="V36" i="7"/>
  <c r="V136" i="7"/>
  <c r="V236" i="7"/>
  <c r="V87" i="7"/>
  <c r="V187" i="7"/>
  <c r="V38" i="7"/>
  <c r="V138" i="7"/>
  <c r="V238" i="7"/>
  <c r="V30" i="7"/>
  <c r="V130" i="7"/>
  <c r="V230" i="7"/>
  <c r="V95" i="7"/>
  <c r="V195" i="7"/>
  <c r="V65" i="7"/>
  <c r="V234" i="7"/>
  <c r="V134" i="7"/>
  <c r="V34" i="7"/>
  <c r="V193" i="7"/>
  <c r="V93" i="7"/>
  <c r="V242" i="7"/>
  <c r="V142" i="7"/>
  <c r="V42" i="7"/>
  <c r="V201" i="7"/>
  <c r="V101" i="7"/>
  <c r="V199" i="7"/>
  <c r="V79" i="7"/>
  <c r="V46" i="7"/>
  <c r="V146" i="7"/>
  <c r="V246" i="7"/>
  <c r="V97" i="7"/>
  <c r="V197" i="7"/>
  <c r="V48" i="7"/>
  <c r="V148" i="7"/>
  <c r="V248" i="7"/>
  <c r="V40" i="7"/>
  <c r="V140" i="7"/>
  <c r="V240" i="7"/>
  <c r="V105" i="7"/>
  <c r="V205" i="7"/>
  <c r="V55" i="7"/>
  <c r="V224" i="7"/>
  <c r="V124" i="7"/>
  <c r="V24" i="7"/>
  <c r="V183" i="7"/>
  <c r="V83" i="7"/>
  <c r="V232" i="7"/>
  <c r="V132" i="7"/>
  <c r="V32" i="7"/>
  <c r="V191" i="7"/>
  <c r="V91" i="7"/>
  <c r="V189" i="7"/>
  <c r="V69" i="7"/>
  <c r="V56" i="7"/>
  <c r="V156" i="7"/>
  <c r="V7" i="7"/>
  <c r="V107" i="7"/>
  <c r="V207" i="7"/>
  <c r="V58" i="7"/>
  <c r="V158" i="7"/>
  <c r="V9" i="7"/>
  <c r="V50" i="7"/>
  <c r="V150" i="7"/>
  <c r="T244" i="7"/>
  <c r="Y42" i="7" a="1"/>
  <c r="Y42" i="7" s="1"/>
  <c r="AB13" i="7"/>
  <c r="T62" i="7"/>
  <c r="Z13" i="7"/>
  <c r="T124" i="7"/>
  <c r="Y41" i="7" a="1"/>
  <c r="Y41" i="7" s="1"/>
  <c r="T184" i="7"/>
  <c r="T205" i="7"/>
  <c r="T116" i="7"/>
  <c r="T166" i="7"/>
  <c r="T84" i="7"/>
  <c r="T221" i="7"/>
  <c r="T193" i="7"/>
  <c r="T176" i="7"/>
  <c r="T196" i="7"/>
  <c r="T143" i="7"/>
  <c r="T38" i="7"/>
  <c r="T241" i="7"/>
  <c r="T36" i="7"/>
  <c r="T13" i="7"/>
  <c r="T172" i="7"/>
  <c r="T27" i="7"/>
  <c r="T152" i="7"/>
  <c r="T115" i="7"/>
  <c r="T212" i="7"/>
  <c r="T232" i="7"/>
  <c r="T25" i="7"/>
  <c r="T19" i="7"/>
  <c r="T32" i="7"/>
  <c r="T71" i="7"/>
  <c r="T229" i="7"/>
  <c r="T236" i="7"/>
  <c r="T187" i="7"/>
  <c r="T254" i="7"/>
  <c r="T201" i="7"/>
  <c r="T160" i="7"/>
  <c r="T104" i="7"/>
  <c r="T110" i="7"/>
  <c r="T150" i="7"/>
  <c r="T114" i="7"/>
  <c r="T246" i="7"/>
  <c r="T140" i="7"/>
  <c r="T238" i="7"/>
  <c r="T157" i="7"/>
  <c r="T99" i="7"/>
  <c r="T96" i="7"/>
  <c r="T21" i="7"/>
  <c r="T151" i="7"/>
  <c r="T72" i="7"/>
  <c r="T155" i="7"/>
  <c r="T230" i="7"/>
  <c r="T252" i="7"/>
  <c r="T42" i="7"/>
  <c r="T168" i="7"/>
  <c r="T247" i="7"/>
  <c r="T162" i="7"/>
  <c r="T202" i="7"/>
  <c r="T144" i="7"/>
  <c r="T220" i="7"/>
  <c r="T153" i="7"/>
  <c r="T91" i="7"/>
  <c r="T218" i="7"/>
  <c r="T132" i="7"/>
  <c r="T222" i="7"/>
  <c r="T141" i="7"/>
  <c r="T89" i="7"/>
  <c r="T119" i="7"/>
  <c r="T226" i="7"/>
  <c r="T111" i="7"/>
  <c r="T231" i="7"/>
  <c r="T78" i="7"/>
  <c r="T77" i="7"/>
  <c r="T55" i="7"/>
  <c r="T148" i="7"/>
  <c r="T175" i="7"/>
  <c r="T5" i="7"/>
  <c r="T250" i="7"/>
  <c r="T30" i="7"/>
  <c r="T224" i="7"/>
  <c r="T185" i="7"/>
  <c r="T239" i="7"/>
  <c r="T197" i="7"/>
  <c r="T159" i="7"/>
  <c r="T199" i="7"/>
  <c r="T158" i="7"/>
  <c r="T135" i="7"/>
  <c r="T109" i="7"/>
  <c r="T189" i="7"/>
  <c r="T133" i="7"/>
  <c r="T88" i="7"/>
  <c r="T136" i="7"/>
  <c r="T86" i="7"/>
  <c r="T183" i="7"/>
  <c r="T107" i="7"/>
  <c r="T251" i="7"/>
  <c r="T211" i="7"/>
  <c r="T137" i="7"/>
  <c r="T85" i="7"/>
  <c r="T28" i="7"/>
  <c r="T126" i="7"/>
  <c r="T26" i="7"/>
  <c r="T43" i="7"/>
  <c r="T74" i="7"/>
  <c r="T66" i="7"/>
  <c r="T40" i="7"/>
  <c r="T49" i="7"/>
  <c r="T3" i="7"/>
  <c r="T10" i="7"/>
  <c r="T94" i="7"/>
  <c r="T15" i="7"/>
  <c r="T14" i="7"/>
  <c r="T164" i="7"/>
  <c r="T167" i="7"/>
  <c r="T234" i="7"/>
  <c r="T186" i="7"/>
  <c r="T217" i="7"/>
  <c r="T129" i="7"/>
  <c r="T101" i="7"/>
  <c r="T106" i="7"/>
  <c r="T108" i="7"/>
  <c r="T24" i="7"/>
  <c r="T223" i="7"/>
  <c r="T67" i="7"/>
  <c r="T18" i="7"/>
  <c r="T61" i="7"/>
  <c r="T34" i="7"/>
  <c r="T35" i="7"/>
  <c r="T59" i="7"/>
  <c r="T29" i="7"/>
  <c r="T75" i="7"/>
  <c r="T4" i="7"/>
  <c r="T146" i="7"/>
  <c r="T23" i="7"/>
  <c r="T208" i="7"/>
  <c r="T227" i="7"/>
  <c r="T180" i="7"/>
  <c r="T105" i="7"/>
  <c r="T102" i="7"/>
  <c r="T191" i="7"/>
  <c r="T170" i="7"/>
  <c r="T82" i="7"/>
  <c r="T210" i="7"/>
  <c r="T130" i="7"/>
  <c r="T16" i="7"/>
  <c r="T181" i="7"/>
  <c r="T93" i="7"/>
  <c r="T63" i="7"/>
  <c r="T46" i="7"/>
  <c r="T22" i="7"/>
  <c r="T31" i="7"/>
  <c r="T69" i="7"/>
  <c r="T188" i="7"/>
  <c r="T64" i="7"/>
  <c r="T73" i="7"/>
  <c r="T17" i="7"/>
  <c r="T8" i="7"/>
  <c r="T225" i="7"/>
  <c r="T165" i="7"/>
  <c r="T219" i="7"/>
  <c r="T253" i="7"/>
  <c r="T87" i="7"/>
  <c r="T154" i="7"/>
  <c r="T131" i="7"/>
  <c r="T206" i="7"/>
  <c r="T169" i="7"/>
  <c r="T134" i="7"/>
  <c r="T209" i="7"/>
  <c r="T163" i="7"/>
  <c r="T243" i="7"/>
  <c r="T203" i="7"/>
  <c r="T156" i="7"/>
  <c r="T98" i="7"/>
  <c r="T127" i="7"/>
  <c r="T79" i="7"/>
  <c r="T12" i="7"/>
  <c r="T76" i="7"/>
  <c r="T60" i="7"/>
  <c r="T39" i="7"/>
  <c r="T80" i="7"/>
  <c r="T192" i="7"/>
  <c r="T57" i="7"/>
  <c r="T113" i="7"/>
  <c r="T70" i="7"/>
  <c r="T6" i="7"/>
  <c r="T204" i="7"/>
  <c r="T147" i="7"/>
  <c r="T214" i="7"/>
  <c r="T178" i="7"/>
  <c r="T95" i="7"/>
  <c r="T200" i="7"/>
  <c r="T121" i="7"/>
  <c r="T100" i="7"/>
  <c r="T240" i="7"/>
  <c r="T139" i="7"/>
  <c r="T117" i="7"/>
  <c r="T68" i="7"/>
  <c r="T177" i="7"/>
  <c r="T120" i="7"/>
  <c r="T65" i="7"/>
  <c r="T52" i="7"/>
  <c r="T125" i="7"/>
  <c r="T235" i="7"/>
  <c r="T53" i="7"/>
  <c r="T103" i="7"/>
  <c r="T249" i="7"/>
  <c r="T216" i="7"/>
  <c r="T145" i="7"/>
  <c r="T207" i="7"/>
  <c r="T194" i="7"/>
  <c r="T242" i="7"/>
  <c r="T182" i="7"/>
  <c r="T128" i="7"/>
  <c r="T173" i="7"/>
  <c r="T142" i="7"/>
  <c r="T237" i="7"/>
  <c r="T122" i="7"/>
  <c r="T58" i="7"/>
  <c r="T54" i="7"/>
  <c r="T20" i="7"/>
  <c r="T44" i="7"/>
  <c r="T9" i="7"/>
  <c r="T7" i="7"/>
  <c r="T228" i="7"/>
  <c r="T248" i="7"/>
  <c r="T50" i="7"/>
  <c r="T56" i="7"/>
  <c r="T45" i="7"/>
  <c r="T138" i="7"/>
  <c r="T11" i="7"/>
  <c r="T245" i="7"/>
  <c r="T174" i="7"/>
  <c r="T233" i="7"/>
  <c r="T179" i="7"/>
  <c r="T83" i="7"/>
  <c r="T198" i="7"/>
  <c r="T149" i="7"/>
  <c r="T118" i="7"/>
  <c r="T97" i="7"/>
  <c r="T171" i="7"/>
  <c r="T123" i="7"/>
  <c r="T112" i="7"/>
  <c r="T81" i="7"/>
  <c r="T190" i="7"/>
  <c r="T213" i="7"/>
  <c r="T90" i="7"/>
  <c r="T48" i="7"/>
  <c r="Y35" i="7" a="1"/>
  <c r="Y35" i="7" s="1"/>
  <c r="Y33" i="7"/>
  <c r="T161" i="7"/>
  <c r="T47" i="7"/>
  <c r="T41" i="7"/>
  <c r="Y34" i="7" a="1"/>
  <c r="Y34" i="7" s="1"/>
  <c r="T195" i="7"/>
  <c r="Y40" i="7"/>
  <c r="T215" i="7"/>
  <c r="T33" i="7"/>
  <c r="T51" i="7"/>
  <c r="T37" i="7"/>
  <c r="T92" i="7"/>
  <c r="T8" i="6"/>
  <c r="T31" i="6"/>
  <c r="T46" i="6"/>
  <c r="T251" i="6"/>
  <c r="T58" i="6"/>
  <c r="T200" i="6"/>
  <c r="T148" i="6"/>
  <c r="T38" i="6"/>
  <c r="T217" i="6"/>
  <c r="T41" i="6"/>
  <c r="T191" i="6"/>
  <c r="T117" i="6"/>
  <c r="T73" i="6"/>
  <c r="T34" i="6"/>
  <c r="T139" i="6"/>
  <c r="T175" i="6"/>
  <c r="T76" i="6"/>
  <c r="T114" i="6"/>
  <c r="T132" i="6"/>
  <c r="T105" i="6"/>
  <c r="T4" i="6"/>
  <c r="T26" i="6"/>
  <c r="T236" i="6"/>
  <c r="T36" i="6"/>
  <c r="T246" i="6"/>
  <c r="T3" i="6"/>
  <c r="T42" i="6"/>
  <c r="T131" i="6"/>
  <c r="T164" i="6"/>
  <c r="T225" i="6"/>
  <c r="T181" i="6"/>
  <c r="T93" i="6"/>
  <c r="T60" i="6"/>
  <c r="T201" i="6"/>
  <c r="T238" i="6"/>
  <c r="T52" i="6"/>
  <c r="T142" i="6"/>
  <c r="T234" i="6"/>
  <c r="T81" i="6"/>
  <c r="T183" i="6"/>
  <c r="T43" i="6"/>
  <c r="T171" i="6"/>
  <c r="T98" i="6"/>
  <c r="T170" i="6"/>
  <c r="T85" i="6"/>
  <c r="T87" i="6"/>
  <c r="T212" i="6"/>
  <c r="T9" i="6"/>
  <c r="T177" i="6"/>
  <c r="T68" i="6"/>
  <c r="T196" i="6"/>
  <c r="T176" i="6"/>
  <c r="T102" i="6"/>
  <c r="T28" i="6"/>
  <c r="T125" i="6"/>
  <c r="T220" i="6"/>
  <c r="T221" i="6"/>
  <c r="T137" i="6"/>
  <c r="T157" i="6"/>
  <c r="T63" i="6"/>
  <c r="T109" i="6"/>
  <c r="T127" i="6"/>
  <c r="T67" i="6"/>
  <c r="T37" i="6"/>
  <c r="T151" i="6"/>
  <c r="T111" i="6"/>
  <c r="T159" i="6"/>
  <c r="T215" i="6"/>
  <c r="T62" i="6"/>
  <c r="T88" i="6"/>
  <c r="T108" i="6"/>
  <c r="T205" i="6"/>
  <c r="T226" i="6"/>
  <c r="T172" i="6"/>
  <c r="T193" i="6"/>
  <c r="T32" i="6"/>
  <c r="T168" i="6"/>
  <c r="T97" i="6"/>
  <c r="T25" i="6"/>
  <c r="T120" i="6"/>
  <c r="T116" i="6"/>
  <c r="T247" i="6"/>
  <c r="T99" i="6"/>
  <c r="T112" i="6"/>
  <c r="T47" i="6"/>
  <c r="T189" i="6"/>
  <c r="T106" i="6"/>
  <c r="T149" i="6"/>
  <c r="T173" i="6"/>
  <c r="T29" i="6"/>
  <c r="T83" i="6"/>
  <c r="T115" i="6"/>
  <c r="T118" i="6"/>
  <c r="T89" i="6"/>
  <c r="T135" i="6"/>
  <c r="T22" i="6"/>
  <c r="T138" i="6"/>
  <c r="T207" i="6"/>
  <c r="T16" i="6"/>
  <c r="T126" i="6"/>
  <c r="T244" i="6"/>
  <c r="T24" i="6"/>
  <c r="T27" i="6"/>
  <c r="T92" i="6"/>
  <c r="T210" i="6"/>
  <c r="T174" i="6"/>
  <c r="T223" i="6"/>
  <c r="T195" i="6"/>
  <c r="T96" i="6"/>
  <c r="T152" i="6"/>
  <c r="T35" i="6"/>
  <c r="T186" i="6"/>
  <c r="T107" i="6"/>
  <c r="T39" i="6"/>
  <c r="T187" i="6"/>
  <c r="T153" i="6"/>
  <c r="T13" i="6"/>
  <c r="T65" i="6"/>
  <c r="T14" i="6"/>
  <c r="T78" i="6"/>
  <c r="T192" i="6"/>
  <c r="T128" i="6"/>
  <c r="T119" i="6"/>
  <c r="T130" i="6"/>
  <c r="T17" i="6"/>
  <c r="T95" i="6"/>
  <c r="T202" i="6"/>
  <c r="T20" i="6"/>
  <c r="T145" i="6"/>
  <c r="T197" i="6"/>
  <c r="T254" i="6"/>
  <c r="T190" i="6"/>
  <c r="T94" i="6"/>
  <c r="T150" i="6"/>
  <c r="T224" i="6"/>
  <c r="T33" i="6"/>
  <c r="T178" i="6"/>
  <c r="T49" i="6"/>
  <c r="T184" i="6"/>
  <c r="T18" i="6"/>
  <c r="T10" i="6"/>
  <c r="T54" i="6"/>
  <c r="T133" i="6"/>
  <c r="T55" i="6"/>
  <c r="T209" i="6"/>
  <c r="T208" i="6"/>
  <c r="T169" i="6"/>
  <c r="T69" i="6"/>
  <c r="T90" i="6"/>
  <c r="T121" i="6"/>
  <c r="T239" i="6"/>
  <c r="T19" i="6"/>
  <c r="T143" i="6"/>
  <c r="T154" i="6"/>
  <c r="T185" i="6"/>
  <c r="T147" i="6"/>
  <c r="T21" i="6"/>
  <c r="T84" i="6"/>
  <c r="T80" i="6"/>
  <c r="T166" i="6"/>
  <c r="T15" i="6"/>
  <c r="T5" i="6"/>
  <c r="T44" i="6"/>
  <c r="T211" i="6"/>
  <c r="T53" i="6"/>
  <c r="T122" i="6"/>
  <c r="T134" i="6"/>
  <c r="T218" i="6"/>
  <c r="T179" i="6"/>
  <c r="T245" i="6"/>
  <c r="T48" i="6"/>
  <c r="T11" i="6"/>
  <c r="T72" i="6"/>
  <c r="T250" i="6"/>
  <c r="T219" i="6"/>
  <c r="T140" i="6"/>
  <c r="T82" i="6"/>
  <c r="T235" i="6"/>
  <c r="T113" i="6"/>
  <c r="T146" i="6"/>
  <c r="T231" i="6"/>
  <c r="T167" i="6"/>
  <c r="T50" i="6"/>
  <c r="T129" i="6"/>
  <c r="T198" i="6"/>
  <c r="T252" i="6"/>
  <c r="T165" i="6"/>
  <c r="T79" i="6"/>
  <c r="T100" i="6"/>
  <c r="T161" i="6"/>
  <c r="T230" i="6"/>
  <c r="T233" i="6"/>
  <c r="T253" i="6"/>
  <c r="T163" i="6"/>
  <c r="T45" i="6"/>
  <c r="T160" i="6"/>
  <c r="T86" i="6"/>
  <c r="T7" i="6"/>
  <c r="T216" i="6"/>
  <c r="T240" i="6"/>
  <c r="T204" i="6"/>
  <c r="T248" i="6"/>
  <c r="T199" i="6"/>
  <c r="T61" i="6"/>
  <c r="T194" i="6"/>
  <c r="T6" i="6"/>
  <c r="T180" i="6"/>
  <c r="T214" i="6"/>
  <c r="T232" i="6"/>
  <c r="T77" i="6"/>
  <c r="T56" i="6"/>
  <c r="T103" i="6"/>
  <c r="T228" i="6"/>
  <c r="T162" i="6"/>
  <c r="T249" i="6"/>
  <c r="T124" i="6"/>
  <c r="T229" i="6"/>
  <c r="T110" i="6"/>
  <c r="T156" i="6"/>
  <c r="T227" i="6"/>
  <c r="T182" i="6"/>
  <c r="T243" i="6"/>
  <c r="T141" i="6"/>
  <c r="T40" i="6"/>
  <c r="T91" i="6"/>
  <c r="T64" i="6"/>
  <c r="T203" i="6"/>
  <c r="T71" i="6"/>
  <c r="T158" i="6"/>
  <c r="T70" i="6"/>
  <c r="T59" i="6"/>
  <c r="T12" i="6"/>
  <c r="T242" i="6"/>
  <c r="T206" i="6"/>
  <c r="T74" i="6"/>
  <c r="T51" i="6"/>
  <c r="T101" i="6"/>
  <c r="T57" i="6"/>
  <c r="T144" i="6"/>
  <c r="T237" i="6"/>
  <c r="T104" i="6"/>
  <c r="T188" i="6"/>
  <c r="T155" i="6"/>
  <c r="T66" i="6"/>
  <c r="T75" i="6"/>
  <c r="T241" i="6"/>
  <c r="T136" i="6"/>
  <c r="T222" i="6"/>
  <c r="T23" i="6"/>
  <c r="T213" i="6"/>
  <c r="T123" i="6"/>
  <c r="T30" i="6"/>
  <c r="R7" i="2"/>
  <c r="M4" i="2"/>
  <c r="M14" i="2"/>
  <c r="M24" i="2"/>
  <c r="M34" i="2"/>
  <c r="M44" i="2"/>
  <c r="M54" i="2"/>
  <c r="M64" i="2"/>
  <c r="M74" i="2"/>
  <c r="M84" i="2"/>
  <c r="M94" i="2"/>
  <c r="M104" i="2"/>
  <c r="M114" i="2"/>
  <c r="M124" i="2"/>
  <c r="M134" i="2"/>
  <c r="M144" i="2"/>
  <c r="M154" i="2"/>
  <c r="M164" i="2"/>
  <c r="M174" i="2"/>
  <c r="M184" i="2"/>
  <c r="M194" i="2"/>
  <c r="M204" i="2"/>
  <c r="M214" i="2"/>
  <c r="M224" i="2"/>
  <c r="M234" i="2"/>
  <c r="M244" i="2"/>
  <c r="M254" i="2"/>
  <c r="M170" i="2"/>
  <c r="M175" i="2"/>
  <c r="M180" i="2"/>
  <c r="M185" i="2"/>
  <c r="M190" i="2"/>
  <c r="M195" i="2"/>
  <c r="M200" i="2"/>
  <c r="M205" i="2"/>
  <c r="M210" i="2"/>
  <c r="M215" i="2"/>
  <c r="M220" i="2"/>
  <c r="M225" i="2"/>
  <c r="M230" i="2"/>
  <c r="M235" i="2"/>
  <c r="M240" i="2"/>
  <c r="M245" i="2"/>
  <c r="M250" i="2"/>
  <c r="Q7" i="2"/>
  <c r="P7" i="2"/>
  <c r="M6" i="2"/>
  <c r="M16" i="2"/>
  <c r="M26" i="2"/>
  <c r="M36" i="2"/>
  <c r="M46" i="2"/>
  <c r="M56" i="2"/>
  <c r="M66" i="2"/>
  <c r="M76" i="2"/>
  <c r="M86" i="2"/>
  <c r="M96" i="2"/>
  <c r="M106" i="2"/>
  <c r="M116" i="2"/>
  <c r="M126" i="2"/>
  <c r="M136" i="2"/>
  <c r="M146" i="2"/>
  <c r="M156" i="2"/>
  <c r="M166" i="2"/>
  <c r="M176" i="2"/>
  <c r="M186" i="2"/>
  <c r="M196" i="2"/>
  <c r="M206" i="2"/>
  <c r="M216" i="2"/>
  <c r="M226" i="2"/>
  <c r="M236" i="2"/>
  <c r="M246" i="2"/>
  <c r="S7" i="2"/>
  <c r="Q30" i="1"/>
  <c r="Q35" i="1"/>
  <c r="Q51" i="1"/>
  <c r="Q56" i="1"/>
  <c r="Q61" i="1"/>
  <c r="Q66" i="1"/>
  <c r="Q71" i="1"/>
  <c r="Q76" i="1"/>
  <c r="Q81" i="1"/>
  <c r="Q86" i="1"/>
  <c r="Q91" i="1"/>
  <c r="Q96" i="1"/>
  <c r="Q101" i="1"/>
  <c r="Q106" i="1"/>
  <c r="Q111" i="1"/>
  <c r="Q116" i="1"/>
  <c r="Q121" i="1"/>
  <c r="Q126" i="1"/>
  <c r="Q131" i="1"/>
  <c r="Q136" i="1"/>
  <c r="Q141" i="1"/>
  <c r="Q146" i="1"/>
  <c r="Q151" i="1"/>
  <c r="Q156" i="1"/>
  <c r="Q161" i="1"/>
  <c r="Q166" i="1"/>
  <c r="Q171" i="1"/>
  <c r="Q176" i="1"/>
  <c r="Q181" i="1"/>
  <c r="Q186" i="1"/>
  <c r="Q191" i="1"/>
  <c r="Q196" i="1"/>
  <c r="Q201" i="1"/>
  <c r="Q206" i="1"/>
  <c r="Q211" i="1"/>
  <c r="Q216" i="1"/>
  <c r="Q221" i="1"/>
  <c r="Q226" i="1"/>
  <c r="Q231" i="1"/>
  <c r="Q236" i="1"/>
  <c r="Q241" i="1"/>
  <c r="Q246" i="1"/>
  <c r="Q251" i="1"/>
  <c r="Q7" i="1"/>
  <c r="Q12" i="1"/>
  <c r="Q17" i="1"/>
  <c r="Q22" i="1"/>
  <c r="Q27" i="1"/>
  <c r="Q41" i="1"/>
  <c r="Q50" i="1"/>
  <c r="Q55" i="1"/>
  <c r="Q60" i="1"/>
  <c r="Q65" i="1"/>
  <c r="Q70" i="1"/>
  <c r="Q75" i="1"/>
  <c r="Q80" i="1"/>
  <c r="Q85" i="1"/>
  <c r="Q90" i="1"/>
  <c r="Q95" i="1"/>
  <c r="Q100" i="1"/>
  <c r="Q105" i="1"/>
  <c r="Q110" i="1"/>
  <c r="Q115" i="1"/>
  <c r="Q120" i="1"/>
  <c r="Q125" i="1"/>
  <c r="Q130" i="1"/>
  <c r="Q135" i="1"/>
  <c r="Q140" i="1"/>
  <c r="Q145" i="1"/>
  <c r="Q150" i="1"/>
  <c r="Q155" i="1"/>
  <c r="Q160" i="1"/>
  <c r="Q165" i="1"/>
  <c r="Q170" i="1"/>
  <c r="Q175" i="1"/>
  <c r="Q180" i="1"/>
  <c r="Q185" i="1"/>
  <c r="Q190" i="1"/>
  <c r="Q195" i="1"/>
  <c r="Q200" i="1"/>
  <c r="Q205" i="1"/>
  <c r="Q210" i="1"/>
  <c r="Q215" i="1"/>
  <c r="Q220" i="1"/>
  <c r="Q225" i="1"/>
  <c r="Q230" i="1"/>
  <c r="Q235" i="1"/>
  <c r="Q240" i="1"/>
  <c r="Q245" i="1"/>
  <c r="Q250" i="1"/>
  <c r="Q34" i="1"/>
  <c r="Q5" i="1"/>
  <c r="Q10" i="1"/>
  <c r="T26" i="1" s="1"/>
  <c r="Q15" i="1"/>
  <c r="Q20" i="1"/>
  <c r="Q25" i="1"/>
  <c r="Q39" i="1"/>
  <c r="U31" i="5"/>
  <c r="U33" i="5" a="1"/>
  <c r="U33" i="5" s="1"/>
  <c r="U34" i="5" s="1"/>
  <c r="W39" i="6"/>
  <c r="W41" i="6" a="1"/>
  <c r="W41" i="6" s="1"/>
  <c r="Y13" i="6"/>
  <c r="AA13" i="6"/>
  <c r="W13" i="6"/>
  <c r="X13" i="6"/>
  <c r="W32" i="6"/>
  <c r="W28" i="6" a="1"/>
  <c r="W28" i="6" s="1"/>
  <c r="W27" i="6"/>
  <c r="U26" i="5"/>
  <c r="V20" i="5"/>
  <c r="AC187" i="4"/>
  <c r="AA187" i="4"/>
  <c r="Z187" i="4"/>
  <c r="Y187" i="4"/>
  <c r="AC200" i="4"/>
  <c r="AB200" i="4"/>
  <c r="Y200" i="4"/>
  <c r="AC212" i="4"/>
  <c r="AB212" i="4"/>
  <c r="Y212" i="4"/>
  <c r="Y189" i="4"/>
  <c r="Z189" i="4"/>
  <c r="AC166" i="4"/>
  <c r="Z166" i="4"/>
  <c r="AA162" i="4"/>
  <c r="Z162" i="4"/>
  <c r="Y162" i="4"/>
  <c r="AC96" i="4"/>
  <c r="AF13" i="4"/>
  <c r="AF16" i="4"/>
  <c r="Y123" i="4"/>
  <c r="AC123" i="4"/>
  <c r="AC90" i="4"/>
  <c r="AG15" i="4"/>
  <c r="AG16" i="4" s="1"/>
  <c r="AB8" i="4"/>
  <c r="Y89" i="4"/>
  <c r="AB107" i="4"/>
  <c r="Z107" i="4"/>
  <c r="Y107" i="4"/>
  <c r="AB78" i="4"/>
  <c r="Z125" i="4"/>
  <c r="AC125" i="4"/>
  <c r="Y125" i="4"/>
  <c r="AC143" i="4"/>
  <c r="Z143" i="4"/>
  <c r="Y143" i="4"/>
  <c r="AB69" i="4"/>
  <c r="AA69" i="4"/>
  <c r="Z69" i="4"/>
  <c r="Z8" i="4"/>
  <c r="Y32" i="4"/>
  <c r="Y64" i="4"/>
  <c r="AC64" i="4"/>
  <c r="AJ13" i="4"/>
  <c r="Z40" i="4"/>
  <c r="AJ15" i="4"/>
  <c r="AJ16" i="4" s="1"/>
  <c r="Z182" i="4"/>
  <c r="Y182" i="4"/>
  <c r="AC222" i="4"/>
  <c r="AB222" i="4"/>
  <c r="Z222" i="4"/>
  <c r="Z201" i="4"/>
  <c r="Y201" i="4"/>
  <c r="Y233" i="4"/>
  <c r="AA248" i="4"/>
  <c r="AB164" i="4"/>
  <c r="Z164" i="4"/>
  <c r="AC186" i="4"/>
  <c r="AB123" i="4"/>
  <c r="AA75" i="4"/>
  <c r="Y174" i="4"/>
  <c r="AB105" i="4"/>
  <c r="Y105" i="4"/>
  <c r="AB71" i="4"/>
  <c r="AC106" i="4"/>
  <c r="AB106" i="4"/>
  <c r="Z106" i="4"/>
  <c r="AC83" i="4"/>
  <c r="AA39" i="4"/>
  <c r="Y39" i="4"/>
  <c r="AH15" i="4"/>
  <c r="AB83" i="4"/>
  <c r="Z19" i="4"/>
  <c r="Z50" i="4"/>
  <c r="AB64" i="4"/>
  <c r="Z208" i="4"/>
  <c r="AC208" i="4"/>
  <c r="AB208" i="4"/>
  <c r="AA208" i="4"/>
  <c r="AB231" i="4"/>
  <c r="Y231" i="4"/>
  <c r="AB166" i="4"/>
  <c r="AC134" i="4"/>
  <c r="AB134" i="4"/>
  <c r="AA134" i="4"/>
  <c r="Z134" i="4"/>
  <c r="AA226" i="4"/>
  <c r="Z226" i="4"/>
  <c r="AC227" i="4"/>
  <c r="Z227" i="4"/>
  <c r="Y227" i="4"/>
  <c r="Y186" i="4"/>
  <c r="AB206" i="4"/>
  <c r="AA206" i="4"/>
  <c r="Z206" i="4"/>
  <c r="AB234" i="4"/>
  <c r="Z231" i="4"/>
  <c r="AC174" i="4"/>
  <c r="AB241" i="4"/>
  <c r="AA241" i="4"/>
  <c r="Y241" i="4"/>
  <c r="Z241" i="4"/>
  <c r="AB211" i="4"/>
  <c r="Z211" i="4"/>
  <c r="Y211" i="4"/>
  <c r="AA211" i="4"/>
  <c r="AB179" i="4"/>
  <c r="AC136" i="4"/>
  <c r="AB136" i="4"/>
  <c r="Z136" i="4"/>
  <c r="AA136" i="4"/>
  <c r="AC140" i="4"/>
  <c r="AB140" i="4"/>
  <c r="Y140" i="4"/>
  <c r="AA70" i="4"/>
  <c r="AB125" i="4"/>
  <c r="Z68" i="4"/>
  <c r="AC115" i="4"/>
  <c r="Z115" i="4"/>
  <c r="Y115" i="4"/>
  <c r="AA124" i="4"/>
  <c r="Z124" i="4"/>
  <c r="AB90" i="4"/>
  <c r="AB79" i="4"/>
  <c r="AG13" i="4"/>
  <c r="AC127" i="4"/>
  <c r="AB127" i="4"/>
  <c r="AA127" i="4"/>
  <c r="Y127" i="4"/>
  <c r="AC104" i="4"/>
  <c r="AB104" i="4"/>
  <c r="Y104" i="4"/>
  <c r="AA79" i="4"/>
  <c r="AB70" i="4"/>
  <c r="AC45" i="4"/>
  <c r="AB45" i="4"/>
  <c r="Z45" i="4"/>
  <c r="AC81" i="4"/>
  <c r="Y24" i="4"/>
  <c r="AA204" i="4"/>
  <c r="AB81" i="4"/>
  <c r="Z65" i="4"/>
  <c r="AA9" i="4"/>
  <c r="AC107" i="4"/>
  <c r="AB19" i="4"/>
  <c r="AA37" i="4"/>
  <c r="Y37" i="4"/>
  <c r="AB210" i="4"/>
  <c r="AC210" i="4"/>
  <c r="Y246" i="4"/>
  <c r="AC238" i="4"/>
  <c r="AB238" i="4"/>
  <c r="AA238" i="4"/>
  <c r="Z238" i="4"/>
  <c r="AC234" i="4"/>
  <c r="AB201" i="4"/>
  <c r="AA231" i="4"/>
  <c r="AA201" i="4"/>
  <c r="Z234" i="4"/>
  <c r="AB173" i="4"/>
  <c r="Y234" i="4"/>
  <c r="Z173" i="4"/>
  <c r="AA182" i="4"/>
  <c r="AB157" i="4"/>
  <c r="Z157" i="4"/>
  <c r="Y157" i="4"/>
  <c r="Y204" i="4"/>
  <c r="Y81" i="4"/>
  <c r="Z120" i="4"/>
  <c r="AC120" i="4"/>
  <c r="Y120" i="4"/>
  <c r="AA71" i="4"/>
  <c r="AA123" i="4"/>
  <c r="AA32" i="4"/>
  <c r="AA143" i="4"/>
  <c r="Y78" i="4"/>
  <c r="AC88" i="4"/>
  <c r="Z39" i="4"/>
  <c r="Z104" i="4"/>
  <c r="Z3" i="4"/>
  <c r="AC24" i="4"/>
  <c r="Z248" i="4"/>
  <c r="AC248" i="4"/>
  <c r="AB189" i="4"/>
  <c r="AC162" i="4"/>
  <c r="AB196" i="4"/>
  <c r="Z196" i="4"/>
  <c r="Z229" i="4"/>
  <c r="Y229" i="4"/>
  <c r="AC229" i="4"/>
  <c r="AB182" i="4"/>
  <c r="AB187" i="4"/>
  <c r="AC173" i="4"/>
  <c r="Z212" i="4"/>
  <c r="Y172" i="4"/>
  <c r="Z175" i="4"/>
  <c r="AC175" i="4"/>
  <c r="AC157" i="4"/>
  <c r="AB150" i="4"/>
  <c r="AB154" i="4"/>
  <c r="AA154" i="4"/>
  <c r="Z154" i="4"/>
  <c r="AC164" i="4"/>
  <c r="AB129" i="4"/>
  <c r="Z83" i="4"/>
  <c r="Z92" i="4"/>
  <c r="AC92" i="4"/>
  <c r="AA164" i="4"/>
  <c r="AH13" i="4"/>
  <c r="AH16" i="4"/>
  <c r="AC84" i="4"/>
  <c r="AB68" i="4"/>
  <c r="AB112" i="4"/>
  <c r="Y95" i="4"/>
  <c r="Z70" i="4"/>
  <c r="Y46" i="4"/>
  <c r="Z75" i="4"/>
  <c r="AC50" i="4"/>
  <c r="AB10" i="4"/>
  <c r="AA83" i="4"/>
  <c r="AB55" i="4"/>
  <c r="Y5" i="4"/>
  <c r="AF21" i="4" s="1"/>
  <c r="AA55" i="4"/>
  <c r="AA30" i="4"/>
  <c r="Z46" i="4"/>
  <c r="Y30" i="4"/>
  <c r="AA20" i="4"/>
  <c r="AB75" i="4"/>
  <c r="AC75" i="4"/>
  <c r="Z9" i="4"/>
  <c r="AB9" i="4"/>
  <c r="AI18" i="4" s="1"/>
  <c r="AI19" i="4" s="1"/>
  <c r="AI20" i="4" s="1"/>
  <c r="AI21" i="4" s="1"/>
  <c r="Y248" i="4"/>
  <c r="AA222" i="4"/>
  <c r="AB227" i="4"/>
  <c r="Y206" i="4"/>
  <c r="AA186" i="4"/>
  <c r="Z200" i="4"/>
  <c r="AC172" i="4"/>
  <c r="AC196" i="4"/>
  <c r="AC169" i="4"/>
  <c r="AB169" i="4"/>
  <c r="Y169" i="4"/>
  <c r="AA157" i="4"/>
  <c r="Y166" i="4"/>
  <c r="AC177" i="4"/>
  <c r="Y177" i="4"/>
  <c r="AB110" i="4"/>
  <c r="Z110" i="4"/>
  <c r="Y222" i="4"/>
  <c r="AA115" i="4"/>
  <c r="AB130" i="4"/>
  <c r="AA130" i="4"/>
  <c r="Z130" i="4"/>
  <c r="Y130" i="4"/>
  <c r="AC150" i="4"/>
  <c r="Y136" i="4"/>
  <c r="AC154" i="4"/>
  <c r="Y106" i="4"/>
  <c r="Z79" i="4"/>
  <c r="Z114" i="4"/>
  <c r="AB114" i="4"/>
  <c r="AA114" i="4"/>
  <c r="AC71" i="4"/>
  <c r="Y92" i="4"/>
  <c r="Y19" i="4"/>
  <c r="Z160" i="4"/>
  <c r="AC160" i="4"/>
  <c r="AA45" i="4"/>
  <c r="Y103" i="4"/>
  <c r="AB24" i="4"/>
  <c r="AC25" i="4"/>
  <c r="AC32" i="4"/>
  <c r="AC18" i="4"/>
  <c r="AB246" i="4"/>
  <c r="AA246" i="4"/>
  <c r="Z246" i="4"/>
  <c r="AB233" i="4"/>
  <c r="AA233" i="4"/>
  <c r="AA152" i="4"/>
  <c r="Y152" i="4"/>
  <c r="AB159" i="4"/>
  <c r="AA159" i="4"/>
  <c r="Y159" i="4"/>
  <c r="Z159" i="4"/>
  <c r="AB240" i="4"/>
  <c r="AC240" i="4"/>
  <c r="AA184" i="4"/>
  <c r="AB180" i="4"/>
  <c r="Z180" i="4"/>
  <c r="Z184" i="4"/>
  <c r="AB198" i="4"/>
  <c r="AA198" i="4"/>
  <c r="Z198" i="4"/>
  <c r="AC230" i="4"/>
  <c r="AB230" i="4"/>
  <c r="Y230" i="4"/>
  <c r="AA170" i="4"/>
  <c r="Z170" i="4"/>
  <c r="Y170" i="4"/>
  <c r="AC198" i="4"/>
  <c r="AB162" i="4"/>
  <c r="AC176" i="4"/>
  <c r="Z176" i="4"/>
  <c r="AA174" i="4"/>
  <c r="AA140" i="4"/>
  <c r="AC226" i="4"/>
  <c r="AA125" i="4"/>
  <c r="Z78" i="4"/>
  <c r="AC79" i="4"/>
  <c r="AA89" i="4"/>
  <c r="AB59" i="4"/>
  <c r="AA59" i="4"/>
  <c r="Z59" i="4"/>
  <c r="Y59" i="4"/>
  <c r="AA106" i="4"/>
  <c r="AC68" i="4"/>
  <c r="AC99" i="4"/>
  <c r="AA81" i="4"/>
  <c r="Z95" i="4"/>
  <c r="Y110" i="4"/>
  <c r="AB32" i="4"/>
  <c r="AA18" i="4"/>
  <c r="Z25" i="4"/>
  <c r="AA126" i="4"/>
  <c r="Z126" i="4"/>
  <c r="Y126" i="4"/>
  <c r="Y74" i="4"/>
  <c r="AB74" i="4"/>
  <c r="AA74" i="4"/>
  <c r="AC111" i="4"/>
  <c r="AB111" i="4"/>
  <c r="AA111" i="4"/>
  <c r="AA44" i="4"/>
  <c r="Z44" i="4"/>
  <c r="Y44" i="4"/>
  <c r="AB50" i="4"/>
  <c r="AA23" i="4"/>
  <c r="AA24" i="4"/>
  <c r="AB25" i="4"/>
  <c r="AC10" i="4"/>
  <c r="AJ18" i="4" s="1"/>
  <c r="AJ19" i="4" s="1"/>
  <c r="AJ20" i="4" s="1"/>
  <c r="AJ21" i="4" s="1"/>
  <c r="Y40" i="4"/>
  <c r="AA40" i="4"/>
  <c r="Y8" i="4"/>
  <c r="AC8" i="4"/>
  <c r="Z91" i="4"/>
  <c r="AB91" i="4"/>
  <c r="AA91" i="4"/>
  <c r="AB96" i="4"/>
  <c r="AA96" i="4"/>
  <c r="Y68" i="4"/>
  <c r="AC184" i="4"/>
  <c r="AA243" i="4"/>
  <c r="AC243" i="4"/>
  <c r="AB243" i="4"/>
  <c r="AC189" i="4"/>
  <c r="AC182" i="4"/>
  <c r="Z179" i="4"/>
  <c r="Y238" i="4"/>
  <c r="AC233" i="4"/>
  <c r="Z172" i="4"/>
  <c r="AB190" i="4"/>
  <c r="AC190" i="4"/>
  <c r="AA196" i="4"/>
  <c r="Z152" i="4"/>
  <c r="AB172" i="4"/>
  <c r="AC152" i="4"/>
  <c r="AB174" i="4"/>
  <c r="AA151" i="4"/>
  <c r="AC151" i="4"/>
  <c r="Z99" i="4"/>
  <c r="AB124" i="4"/>
  <c r="AC110" i="4"/>
  <c r="AC203" i="4"/>
  <c r="AB203" i="4"/>
  <c r="AA203" i="4"/>
  <c r="Z105" i="4"/>
  <c r="Z150" i="4"/>
  <c r="AC67" i="4"/>
  <c r="AB67" i="4"/>
  <c r="Z67" i="4"/>
  <c r="AB41" i="4"/>
  <c r="Z41" i="4"/>
  <c r="Z64" i="4"/>
  <c r="Y13" i="4"/>
  <c r="AC13" i="4"/>
  <c r="AA166" i="4"/>
  <c r="Y91" i="4"/>
  <c r="Y151" i="4"/>
  <c r="Y71" i="4"/>
  <c r="AA10" i="4"/>
  <c r="AH18" i="4" s="1"/>
  <c r="AH19" i="4" s="1"/>
  <c r="AH20" i="4" s="1"/>
  <c r="AH21" i="4" s="1"/>
  <c r="Z123" i="4"/>
  <c r="AC40" i="4"/>
  <c r="AC102" i="4"/>
  <c r="Z102" i="4"/>
  <c r="Z20" i="4"/>
  <c r="Z23" i="4"/>
  <c r="Y23" i="4"/>
  <c r="Y9" i="4"/>
  <c r="AG228" i="3"/>
  <c r="AC228" i="3"/>
  <c r="AD228" i="3"/>
  <c r="AG213" i="3"/>
  <c r="AD213" i="3"/>
  <c r="AC213" i="3"/>
  <c r="AE213" i="3"/>
  <c r="AF155" i="3"/>
  <c r="AE155" i="3"/>
  <c r="AC155" i="3"/>
  <c r="AD155" i="3"/>
  <c r="AE126" i="3"/>
  <c r="AG126" i="3"/>
  <c r="AF126" i="3"/>
  <c r="AD126" i="3"/>
  <c r="AE68" i="3"/>
  <c r="AG68" i="3"/>
  <c r="AF68" i="3"/>
  <c r="AD68" i="3"/>
  <c r="AG63" i="3"/>
  <c r="AF153" i="3"/>
  <c r="AG153" i="3"/>
  <c r="AE153" i="3"/>
  <c r="AG84" i="3"/>
  <c r="AF84" i="3"/>
  <c r="AC84" i="3"/>
  <c r="AE84" i="3"/>
  <c r="AD84" i="3"/>
  <c r="AD29" i="3"/>
  <c r="AG243" i="3"/>
  <c r="AE243" i="3"/>
  <c r="AD243" i="3"/>
  <c r="AC243" i="3"/>
  <c r="AG250" i="3"/>
  <c r="AG252" i="3"/>
  <c r="AF252" i="3"/>
  <c r="AE252" i="3"/>
  <c r="AD250" i="3"/>
  <c r="AG226" i="3"/>
  <c r="AD226" i="3"/>
  <c r="AF243" i="3"/>
  <c r="AE228" i="3"/>
  <c r="AF216" i="3"/>
  <c r="AG206" i="3"/>
  <c r="AD206" i="3"/>
  <c r="AG183" i="3"/>
  <c r="AF183" i="3"/>
  <c r="AD252" i="3"/>
  <c r="AF147" i="3"/>
  <c r="AE147" i="3"/>
  <c r="AD147" i="3"/>
  <c r="AC147" i="3"/>
  <c r="AD134" i="3"/>
  <c r="AC126" i="3"/>
  <c r="AE93" i="3"/>
  <c r="AG93" i="3"/>
  <c r="AF93" i="3"/>
  <c r="AD93" i="3"/>
  <c r="AG41" i="3"/>
  <c r="AF120" i="3"/>
  <c r="AG120" i="3"/>
  <c r="AE120" i="3"/>
  <c r="AG77" i="3"/>
  <c r="AF77" i="3"/>
  <c r="AF209" i="3"/>
  <c r="AG109" i="3"/>
  <c r="AF109" i="3"/>
  <c r="AC109" i="3"/>
  <c r="AE109" i="3"/>
  <c r="AD109" i="3"/>
  <c r="AE55" i="3"/>
  <c r="AD55" i="3"/>
  <c r="AG55" i="3"/>
  <c r="AF55" i="3"/>
  <c r="AM15" i="3"/>
  <c r="AF43" i="3"/>
  <c r="AL21" i="3"/>
  <c r="AL18" i="3"/>
  <c r="AL13" i="3"/>
  <c r="AL24" i="3"/>
  <c r="AE29" i="3"/>
  <c r="AC63" i="3"/>
  <c r="AD43" i="3"/>
  <c r="AC38" i="3"/>
  <c r="AF29" i="3"/>
  <c r="AC56" i="3"/>
  <c r="AE56" i="3"/>
  <c r="AG131" i="3"/>
  <c r="AF131" i="3"/>
  <c r="AE73" i="3"/>
  <c r="AG73" i="3"/>
  <c r="AF73" i="3"/>
  <c r="AD73" i="3"/>
  <c r="AG223" i="3"/>
  <c r="AD223" i="3"/>
  <c r="AC223" i="3"/>
  <c r="AG205" i="3"/>
  <c r="AG146" i="3"/>
  <c r="AD146" i="3"/>
  <c r="AE146" i="3"/>
  <c r="AF146" i="3"/>
  <c r="AC146" i="3"/>
  <c r="AE134" i="3"/>
  <c r="AG117" i="3"/>
  <c r="AF117" i="3"/>
  <c r="AG82" i="3"/>
  <c r="AF82" i="3"/>
  <c r="AG238" i="3"/>
  <c r="AD238" i="3"/>
  <c r="AC238" i="3"/>
  <c r="AF250" i="3"/>
  <c r="AE226" i="3"/>
  <c r="AE250" i="3"/>
  <c r="AC221" i="3"/>
  <c r="AD221" i="3"/>
  <c r="AG221" i="3"/>
  <c r="AD211" i="3"/>
  <c r="AG211" i="3"/>
  <c r="AC211" i="3"/>
  <c r="AF223" i="3"/>
  <c r="AF238" i="3"/>
  <c r="AF212" i="3"/>
  <c r="AE212" i="3"/>
  <c r="AF230" i="3"/>
  <c r="AG147" i="3"/>
  <c r="AD131" i="3"/>
  <c r="AE221" i="3"/>
  <c r="AC82" i="3"/>
  <c r="AF119" i="3"/>
  <c r="AG119" i="3"/>
  <c r="AD119" i="3"/>
  <c r="AF41" i="3"/>
  <c r="AG247" i="3"/>
  <c r="AF247" i="3"/>
  <c r="AE247" i="3"/>
  <c r="AC87" i="3"/>
  <c r="AG87" i="3"/>
  <c r="AF87" i="3"/>
  <c r="AC21" i="3"/>
  <c r="AD28" i="3"/>
  <c r="AF28" i="3"/>
  <c r="AE28" i="3"/>
  <c r="AC28" i="3"/>
  <c r="AD38" i="3"/>
  <c r="AG99" i="3"/>
  <c r="AF99" i="3"/>
  <c r="AC99" i="3"/>
  <c r="AE99" i="3"/>
  <c r="AD99" i="3"/>
  <c r="AD117" i="3"/>
  <c r="AL15" i="3"/>
  <c r="AL16" i="3" s="1"/>
  <c r="AG253" i="3"/>
  <c r="AE253" i="3"/>
  <c r="AD253" i="3"/>
  <c r="AC253" i="3"/>
  <c r="AG208" i="3"/>
  <c r="AD208" i="3"/>
  <c r="AC208" i="3"/>
  <c r="AE240" i="3"/>
  <c r="AF207" i="3"/>
  <c r="AE207" i="3"/>
  <c r="AC206" i="3"/>
  <c r="AG230" i="3"/>
  <c r="AE230" i="3"/>
  <c r="AD230" i="3"/>
  <c r="AC153" i="3"/>
  <c r="AD183" i="3"/>
  <c r="AF132" i="3"/>
  <c r="AE132" i="3"/>
  <c r="AC132" i="3"/>
  <c r="AF166" i="3"/>
  <c r="AC166" i="3"/>
  <c r="AD166" i="3"/>
  <c r="AE166" i="3"/>
  <c r="AF122" i="3"/>
  <c r="AE122" i="3"/>
  <c r="AC122" i="3"/>
  <c r="AD122" i="3"/>
  <c r="AC93" i="3"/>
  <c r="AC43" i="3"/>
  <c r="AG56" i="3"/>
  <c r="AG155" i="3"/>
  <c r="AF63" i="3"/>
  <c r="AG112" i="3"/>
  <c r="AF112" i="3"/>
  <c r="AD20" i="3"/>
  <c r="AE20" i="3"/>
  <c r="AG20" i="3"/>
  <c r="AF20" i="3"/>
  <c r="AF9" i="3"/>
  <c r="AC9" i="3"/>
  <c r="AE83" i="3"/>
  <c r="AG83" i="3"/>
  <c r="AF83" i="3"/>
  <c r="AD83" i="3"/>
  <c r="AE8" i="3"/>
  <c r="AC8" i="3"/>
  <c r="AE58" i="3"/>
  <c r="AD58" i="3"/>
  <c r="AG218" i="3"/>
  <c r="AD218" i="3"/>
  <c r="AC218" i="3"/>
  <c r="AE245" i="3"/>
  <c r="AG193" i="3"/>
  <c r="AF193" i="3"/>
  <c r="AC193" i="3"/>
  <c r="AE193" i="3"/>
  <c r="AD193" i="3"/>
  <c r="AE223" i="3"/>
  <c r="AF240" i="3"/>
  <c r="AC161" i="3"/>
  <c r="AF161" i="3"/>
  <c r="AE216" i="3"/>
  <c r="AC225" i="3"/>
  <c r="AE225" i="3"/>
  <c r="AC200" i="3"/>
  <c r="AF200" i="3"/>
  <c r="AC184" i="3"/>
  <c r="AD153" i="3"/>
  <c r="AF192" i="3"/>
  <c r="AE192" i="3"/>
  <c r="AC58" i="3"/>
  <c r="AE78" i="3"/>
  <c r="AG78" i="3"/>
  <c r="AF78" i="3"/>
  <c r="AD78" i="3"/>
  <c r="AD120" i="3"/>
  <c r="AC67" i="3"/>
  <c r="AG67" i="3"/>
  <c r="AF67" i="3"/>
  <c r="AE108" i="3"/>
  <c r="AG108" i="3"/>
  <c r="AF108" i="3"/>
  <c r="AD108" i="3"/>
  <c r="AC83" i="3"/>
  <c r="AJ26" i="3" s="1"/>
  <c r="AJ27" i="3" s="1"/>
  <c r="AJ28" i="3" s="1"/>
  <c r="AJ29" i="3" s="1"/>
  <c r="AE41" i="3"/>
  <c r="AC20" i="3"/>
  <c r="AG114" i="3"/>
  <c r="AF114" i="3"/>
  <c r="AC114" i="3"/>
  <c r="AE114" i="3"/>
  <c r="AD114" i="3"/>
  <c r="AG242" i="3"/>
  <c r="AF242" i="3"/>
  <c r="AE242" i="3"/>
  <c r="AC205" i="3"/>
  <c r="AF205" i="3"/>
  <c r="AG97" i="3"/>
  <c r="AF97" i="3"/>
  <c r="AG62" i="3"/>
  <c r="AF62" i="3"/>
  <c r="AC62" i="3"/>
  <c r="AE113" i="3"/>
  <c r="AG113" i="3"/>
  <c r="AF113" i="3"/>
  <c r="AD113" i="3"/>
  <c r="AG92" i="3"/>
  <c r="AF92" i="3"/>
  <c r="AD63" i="3"/>
  <c r="AD41" i="3"/>
  <c r="AJ24" i="3"/>
  <c r="AJ16" i="3"/>
  <c r="AJ21" i="3"/>
  <c r="AJ18" i="3"/>
  <c r="AJ13" i="3"/>
  <c r="AG233" i="3"/>
  <c r="AC233" i="3"/>
  <c r="AD233" i="3"/>
  <c r="AD245" i="3"/>
  <c r="AE206" i="3"/>
  <c r="AC207" i="3"/>
  <c r="AE238" i="3"/>
  <c r="AF228" i="3"/>
  <c r="AG161" i="3"/>
  <c r="AF213" i="3"/>
  <c r="AF245" i="3"/>
  <c r="AG201" i="3"/>
  <c r="AC201" i="3"/>
  <c r="AE183" i="3"/>
  <c r="AG152" i="3"/>
  <c r="AD152" i="3"/>
  <c r="AG165" i="3"/>
  <c r="AD165" i="3"/>
  <c r="AF165" i="3"/>
  <c r="AE165" i="3"/>
  <c r="AC165" i="3"/>
  <c r="AG121" i="3"/>
  <c r="AD121" i="3"/>
  <c r="AF121" i="3"/>
  <c r="AE121" i="3"/>
  <c r="AC121" i="3"/>
  <c r="AC72" i="3"/>
  <c r="AG72" i="3"/>
  <c r="AF72" i="3"/>
  <c r="AG107" i="3"/>
  <c r="AF107" i="3"/>
  <c r="AC55" i="3"/>
  <c r="AF142" i="3"/>
  <c r="AE142" i="3"/>
  <c r="AD142" i="3"/>
  <c r="AC142" i="3"/>
  <c r="AE103" i="3"/>
  <c r="AG103" i="3"/>
  <c r="AF103" i="3"/>
  <c r="AD103" i="3"/>
  <c r="AE131" i="3"/>
  <c r="AF37" i="3"/>
  <c r="AC37" i="3"/>
  <c r="AE118" i="3"/>
  <c r="AF118" i="3"/>
  <c r="AD118" i="3"/>
  <c r="AC97" i="3"/>
  <c r="AD31" i="3"/>
  <c r="AE31" i="3"/>
  <c r="AG31" i="3"/>
  <c r="AF31" i="3"/>
  <c r="AG122" i="3"/>
  <c r="AC31" i="3"/>
  <c r="AG8" i="3"/>
  <c r="AG79" i="3"/>
  <c r="AF79" i="3"/>
  <c r="AC79" i="3"/>
  <c r="AE79" i="3"/>
  <c r="AD79" i="3"/>
  <c r="AE38" i="3"/>
  <c r="AG38" i="3"/>
  <c r="AE209" i="3"/>
  <c r="AD209" i="3"/>
  <c r="AE160" i="3"/>
  <c r="AG160" i="3"/>
  <c r="AD133" i="3"/>
  <c r="AC133" i="3"/>
  <c r="AG248" i="3"/>
  <c r="AE248" i="3"/>
  <c r="AD248" i="3"/>
  <c r="AC248" i="3"/>
  <c r="AG198" i="3"/>
  <c r="AD198" i="3"/>
  <c r="AE198" i="3"/>
  <c r="AE204" i="3"/>
  <c r="AG204" i="3"/>
  <c r="AD212" i="3"/>
  <c r="AD242" i="3"/>
  <c r="AC209" i="3"/>
  <c r="AG235" i="3"/>
  <c r="AF206" i="3"/>
  <c r="AF232" i="3"/>
  <c r="AE232" i="3"/>
  <c r="AF201" i="3"/>
  <c r="AD144" i="3"/>
  <c r="AG144" i="3"/>
  <c r="AF198" i="3"/>
  <c r="AG171" i="3"/>
  <c r="AF227" i="3"/>
  <c r="AE227" i="3"/>
  <c r="AF160" i="3"/>
  <c r="AC152" i="3"/>
  <c r="AF208" i="3"/>
  <c r="AE119" i="3"/>
  <c r="AC215" i="3"/>
  <c r="AE215" i="3"/>
  <c r="AE133" i="3"/>
  <c r="AG104" i="3"/>
  <c r="AF104" i="3"/>
  <c r="AC104" i="3"/>
  <c r="AE104" i="3"/>
  <c r="AD104" i="3"/>
  <c r="AC134" i="3"/>
  <c r="AC113" i="3"/>
  <c r="AE77" i="3"/>
  <c r="AF56" i="3"/>
  <c r="AC112" i="3"/>
  <c r="AD72" i="3"/>
  <c r="AE107" i="3"/>
  <c r="AM24" i="3"/>
  <c r="AM21" i="3"/>
  <c r="AM18" i="3"/>
  <c r="AM13" i="3"/>
  <c r="AM16" i="3"/>
  <c r="AF58" i="3"/>
  <c r="AG37" i="3"/>
  <c r="AG6" i="3"/>
  <c r="AN26" i="3" s="1"/>
  <c r="AN27" i="3" s="1"/>
  <c r="AN28" i="3" s="1"/>
  <c r="AN29" i="3" s="1"/>
  <c r="AD6" i="3"/>
  <c r="AF6" i="3"/>
  <c r="AM26" i="3" s="1"/>
  <c r="AM27" i="3" s="1"/>
  <c r="AM28" i="3" s="1"/>
  <c r="AM29" i="3" s="1"/>
  <c r="AE40" i="3"/>
  <c r="AD40" i="3"/>
  <c r="AG40" i="3"/>
  <c r="AC29" i="3"/>
  <c r="AE98" i="3"/>
  <c r="AG98" i="3"/>
  <c r="AF98" i="3"/>
  <c r="AD98" i="3"/>
  <c r="AE82" i="3"/>
  <c r="AE161" i="3"/>
  <c r="AG54" i="3"/>
  <c r="AC54" i="3"/>
  <c r="AF54" i="3"/>
  <c r="AE54" i="3"/>
  <c r="AE14" i="3"/>
  <c r="AG74" i="3"/>
  <c r="AF74" i="3"/>
  <c r="AC74" i="3"/>
  <c r="AE74" i="3"/>
  <c r="AD74" i="3"/>
  <c r="AC6" i="3"/>
  <c r="AG154" i="3"/>
  <c r="AD154" i="3"/>
  <c r="AF154" i="3"/>
  <c r="AE154" i="3"/>
  <c r="AC154" i="3"/>
  <c r="AE43" i="3"/>
  <c r="AE21" i="3"/>
  <c r="AG21" i="3"/>
  <c r="AD21" i="3"/>
  <c r="AC235" i="3"/>
  <c r="AE235" i="3"/>
  <c r="AC252" i="3"/>
  <c r="AG216" i="3"/>
  <c r="AD216" i="3"/>
  <c r="AE184" i="3"/>
  <c r="AD184" i="3"/>
  <c r="AC226" i="3"/>
  <c r="AF134" i="3"/>
  <c r="AG136" i="3"/>
  <c r="AD136" i="3"/>
  <c r="AE136" i="3"/>
  <c r="AC136" i="3"/>
  <c r="AF136" i="3"/>
  <c r="AD200" i="3"/>
  <c r="AE171" i="3"/>
  <c r="AF133" i="3"/>
  <c r="AC117" i="3"/>
  <c r="AD82" i="3"/>
  <c r="AG89" i="3"/>
  <c r="AF89" i="3"/>
  <c r="AC89" i="3"/>
  <c r="AE89" i="3"/>
  <c r="AD89" i="3"/>
  <c r="AG141" i="3"/>
  <c r="AD141" i="3"/>
  <c r="AF141" i="3"/>
  <c r="AE141" i="3"/>
  <c r="AC141" i="3"/>
  <c r="AE151" i="3"/>
  <c r="AF151" i="3"/>
  <c r="AD151" i="3"/>
  <c r="AD77" i="3"/>
  <c r="AE88" i="3"/>
  <c r="AF88" i="3"/>
  <c r="AD88" i="3"/>
  <c r="AG88" i="3"/>
  <c r="AG102" i="3"/>
  <c r="AF102" i="3"/>
  <c r="AC108" i="3"/>
  <c r="AD107" i="3"/>
  <c r="AD9" i="3"/>
  <c r="AK26" i="3" s="1"/>
  <c r="AK27" i="3" s="1"/>
  <c r="AK28" i="3" s="1"/>
  <c r="AK29" i="3" s="1"/>
  <c r="AK18" i="3"/>
  <c r="AK21" i="3"/>
  <c r="AK13" i="3"/>
  <c r="AK16" i="3"/>
  <c r="AK24" i="3"/>
  <c r="AE10" i="3"/>
  <c r="AG10" i="3"/>
  <c r="AF10" i="3"/>
  <c r="AC10" i="3"/>
  <c r="AD10" i="3"/>
  <c r="AN15" i="3"/>
  <c r="AE9" i="3"/>
  <c r="AG7" i="3"/>
  <c r="AE7" i="3"/>
  <c r="AL26" i="3" s="1"/>
  <c r="AL27" i="3" s="1"/>
  <c r="AL28" i="3" s="1"/>
  <c r="AL29" i="3" s="1"/>
  <c r="AC7" i="3"/>
  <c r="AF8" i="3"/>
  <c r="U6" i="1"/>
  <c r="U10" i="1" s="1"/>
  <c r="V6" i="1"/>
  <c r="V10" i="1" s="1"/>
  <c r="M3" i="2"/>
  <c r="P21" i="2" s="1"/>
  <c r="W6" i="1"/>
  <c r="W10" i="1" s="1"/>
  <c r="X6" i="1"/>
  <c r="X10" i="1" s="1"/>
  <c r="T6" i="1"/>
  <c r="T10" i="1" s="1"/>
  <c r="P9" i="2"/>
  <c r="X5" i="1"/>
  <c r="X9" i="1" s="1"/>
  <c r="V5" i="1"/>
  <c r="V9" i="1" s="1"/>
  <c r="W5" i="1"/>
  <c r="W9" i="1" s="1"/>
  <c r="T7" i="2"/>
  <c r="S9" i="2"/>
  <c r="T9" i="2"/>
  <c r="Q9" i="2"/>
  <c r="R9" i="2"/>
  <c r="U23" i="1"/>
  <c r="W21" i="1" s="1"/>
  <c r="U5" i="1"/>
  <c r="U9" i="1" s="1"/>
  <c r="V23" i="1"/>
  <c r="W22" i="1" s="1"/>
  <c r="U22" i="1"/>
  <c r="V21" i="1" s="1"/>
  <c r="T5" i="1"/>
  <c r="T9" i="1" s="1"/>
  <c r="T21" i="1"/>
  <c r="U20" i="1" s="1"/>
  <c r="T27" i="1" s="1" a="1"/>
  <c r="T27" i="1" s="1"/>
  <c r="T22" i="1"/>
  <c r="V20" i="1" s="1"/>
  <c r="T23" i="1"/>
  <c r="W20" i="1" s="1"/>
  <c r="V49" i="8" l="1"/>
  <c r="V216" i="8"/>
  <c r="V12" i="8"/>
  <c r="V141" i="8"/>
  <c r="V192" i="8"/>
  <c r="V139" i="8"/>
  <c r="V236" i="8"/>
  <c r="V96" i="8"/>
  <c r="V152" i="8"/>
  <c r="V193" i="8"/>
  <c r="V169" i="8"/>
  <c r="V154" i="8"/>
  <c r="V145" i="8"/>
  <c r="V115" i="8"/>
  <c r="V219" i="8"/>
  <c r="V244" i="8"/>
  <c r="V5" i="8"/>
  <c r="V179" i="8"/>
  <c r="V34" i="8"/>
  <c r="V213" i="8"/>
  <c r="V183" i="8"/>
  <c r="V39" i="8"/>
  <c r="V162" i="8"/>
  <c r="V239" i="8"/>
  <c r="V149" i="8"/>
  <c r="V158" i="8"/>
  <c r="V6" i="8"/>
  <c r="V180" i="8"/>
  <c r="V45" i="8"/>
  <c r="V172" i="8"/>
  <c r="V28" i="8"/>
  <c r="V135" i="8"/>
  <c r="V201" i="8"/>
  <c r="V48" i="8"/>
  <c r="V59" i="8"/>
  <c r="V36" i="8"/>
  <c r="V10" i="8"/>
  <c r="V121" i="8"/>
  <c r="V87" i="8"/>
  <c r="V21" i="8"/>
  <c r="V88" i="8"/>
  <c r="V228" i="8"/>
  <c r="V184" i="8"/>
  <c r="V181" i="8"/>
  <c r="V240" i="8"/>
  <c r="V4" i="8"/>
  <c r="V170" i="8"/>
  <c r="V33" i="8"/>
  <c r="V133" i="8"/>
  <c r="V174" i="8"/>
  <c r="V64" i="8"/>
  <c r="V23" i="8"/>
  <c r="V245" i="8"/>
  <c r="V116" i="8"/>
  <c r="V168" i="8"/>
  <c r="V203" i="8"/>
  <c r="V98" i="8"/>
  <c r="V73" i="8"/>
  <c r="V41" i="8"/>
  <c r="V86" i="8"/>
  <c r="V22" i="8"/>
  <c r="V246" i="8"/>
  <c r="V218" i="8"/>
  <c r="V215" i="8"/>
  <c r="V46" i="8"/>
  <c r="V24" i="8"/>
  <c r="V189" i="8"/>
  <c r="V248" i="8"/>
  <c r="V185" i="8"/>
  <c r="V99" i="8"/>
  <c r="V200" i="8"/>
  <c r="Z44" i="8"/>
  <c r="Z45" i="8" s="1"/>
  <c r="Z46" i="8" s="1"/>
  <c r="Z48" i="8"/>
  <c r="Z47" i="8"/>
  <c r="V37" i="8"/>
  <c r="V51" i="8"/>
  <c r="V250" i="8"/>
  <c r="V226" i="8"/>
  <c r="V204" i="8"/>
  <c r="V147" i="8"/>
  <c r="V84" i="8"/>
  <c r="V106" i="8"/>
  <c r="V55" i="8"/>
  <c r="V166" i="8"/>
  <c r="V222" i="8"/>
  <c r="V117" i="8"/>
  <c r="V173" i="8"/>
  <c r="V178" i="8"/>
  <c r="V249" i="8"/>
  <c r="V134" i="8"/>
  <c r="V35" i="8"/>
  <c r="V146" i="8"/>
  <c r="V254" i="8"/>
  <c r="V67" i="8"/>
  <c r="V76" i="8"/>
  <c r="V195" i="8"/>
  <c r="Z58" i="8"/>
  <c r="Z57" i="8"/>
  <c r="V194" i="8"/>
  <c r="V188" i="8"/>
  <c r="V157" i="8"/>
  <c r="V77" i="8"/>
  <c r="Z38" i="8"/>
  <c r="Z37" i="8"/>
  <c r="AA29" i="8"/>
  <c r="Z31" i="8"/>
  <c r="V153" i="8"/>
  <c r="V31" i="8"/>
  <c r="V182" i="8"/>
  <c r="V120" i="8"/>
  <c r="V3" i="8"/>
  <c r="V205" i="8"/>
  <c r="V230" i="8"/>
  <c r="V252" i="8"/>
  <c r="V163" i="8"/>
  <c r="V130" i="8"/>
  <c r="V44" i="8"/>
  <c r="V40" i="8"/>
  <c r="V25" i="8"/>
  <c r="V113" i="8"/>
  <c r="V69" i="8"/>
  <c r="V70" i="8"/>
  <c r="V65" i="8"/>
  <c r="V186" i="8"/>
  <c r="V233" i="8"/>
  <c r="V95" i="8"/>
  <c r="V123" i="8"/>
  <c r="V199" i="8"/>
  <c r="V8" i="8"/>
  <c r="V103" i="8"/>
  <c r="V80" i="8"/>
  <c r="V16" i="8"/>
  <c r="V71" i="8"/>
  <c r="V105" i="8"/>
  <c r="V122" i="8"/>
  <c r="V142" i="8"/>
  <c r="V68" i="8"/>
  <c r="V107" i="8"/>
  <c r="V227" i="8"/>
  <c r="V224" i="8"/>
  <c r="V66" i="8"/>
  <c r="V209" i="8"/>
  <c r="V104" i="8"/>
  <c r="V251" i="8"/>
  <c r="V83" i="8"/>
  <c r="V14" i="8"/>
  <c r="V72" i="8"/>
  <c r="V85" i="8"/>
  <c r="V143" i="8"/>
  <c r="V127" i="8"/>
  <c r="V164" i="8"/>
  <c r="V206" i="8"/>
  <c r="V27" i="8"/>
  <c r="V89" i="8"/>
  <c r="V32" i="8"/>
  <c r="V92" i="8"/>
  <c r="V81" i="8"/>
  <c r="V137" i="8"/>
  <c r="V187" i="8"/>
  <c r="V237" i="8"/>
  <c r="V247" i="8"/>
  <c r="V197" i="8"/>
  <c r="V234" i="8"/>
  <c r="V112" i="8"/>
  <c r="V17" i="8"/>
  <c r="V7" i="8"/>
  <c r="V29" i="8"/>
  <c r="V20" i="8"/>
  <c r="V47" i="8"/>
  <c r="V125" i="8"/>
  <c r="V110" i="8"/>
  <c r="V109" i="8"/>
  <c r="V118" i="8"/>
  <c r="V78" i="8"/>
  <c r="V171" i="8"/>
  <c r="V190" i="8"/>
  <c r="V221" i="8"/>
  <c r="V43" i="8"/>
  <c r="V42" i="8"/>
  <c r="V38" i="8"/>
  <c r="V148" i="8"/>
  <c r="V167" i="8"/>
  <c r="V176" i="8"/>
  <c r="V90" i="8"/>
  <c r="V136" i="8"/>
  <c r="V114" i="8"/>
  <c r="V101" i="8"/>
  <c r="V30" i="8"/>
  <c r="V11" i="8"/>
  <c r="V58" i="8"/>
  <c r="V156" i="8"/>
  <c r="V165" i="8"/>
  <c r="V119" i="8"/>
  <c r="V161" i="8"/>
  <c r="V243" i="8"/>
  <c r="V232" i="8"/>
  <c r="V60" i="8"/>
  <c r="V61" i="8"/>
  <c r="V50" i="8"/>
  <c r="V15" i="8"/>
  <c r="V79" i="8"/>
  <c r="V75" i="8"/>
  <c r="V177" i="8"/>
  <c r="V129" i="8"/>
  <c r="V150" i="8"/>
  <c r="V155" i="8"/>
  <c r="V253" i="8"/>
  <c r="V231" i="8"/>
  <c r="V19" i="8"/>
  <c r="V52" i="8"/>
  <c r="V54" i="8"/>
  <c r="V56" i="8"/>
  <c r="V57" i="8"/>
  <c r="V94" i="8"/>
  <c r="V140" i="8"/>
  <c r="V126" i="8"/>
  <c r="V196" i="8"/>
  <c r="V132" i="8"/>
  <c r="V97" i="8"/>
  <c r="V229" i="8"/>
  <c r="V131" i="8"/>
  <c r="V242" i="8"/>
  <c r="V211" i="8"/>
  <c r="V111" i="8"/>
  <c r="V9" i="8"/>
  <c r="V160" i="8"/>
  <c r="V74" i="8"/>
  <c r="V82" i="8"/>
  <c r="V53" i="8"/>
  <c r="V220" i="8"/>
  <c r="V91" i="8"/>
  <c r="V210" i="8"/>
  <c r="Y53" i="7"/>
  <c r="Y54" i="7" s="1"/>
  <c r="Y55" i="7" s="1"/>
  <c r="Y46" i="7"/>
  <c r="Y47" i="7"/>
  <c r="Y36" i="7"/>
  <c r="Y37" i="7"/>
  <c r="Y43" i="7"/>
  <c r="Y44" i="7" s="1"/>
  <c r="Y45" i="7" s="1"/>
  <c r="W42" i="6"/>
  <c r="W43" i="6" s="1"/>
  <c r="W44" i="6" s="1"/>
  <c r="W46" i="6"/>
  <c r="W45" i="6"/>
  <c r="T28" i="1"/>
  <c r="W29" i="6"/>
  <c r="U27" i="5" a="1"/>
  <c r="U27" i="5" s="1"/>
  <c r="U32" i="5" a="1"/>
  <c r="U32" i="5" s="1"/>
  <c r="U35" i="5" s="1"/>
  <c r="U28" i="5"/>
  <c r="AG18" i="4"/>
  <c r="AG19" i="4" s="1"/>
  <c r="AG21" i="4" s="1"/>
  <c r="AN18" i="3"/>
  <c r="AN16" i="3"/>
  <c r="T10" i="2"/>
  <c r="S10" i="2"/>
  <c r="R10" i="2"/>
  <c r="Q10" i="2"/>
  <c r="P20" i="2" s="1"/>
  <c r="P23" i="2" s="1"/>
  <c r="Z54" i="8" l="1"/>
  <c r="Z55" i="8" s="1"/>
  <c r="Z5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<sst xmlns="http://schemas.openxmlformats.org/spreadsheetml/2006/main" count="564" uniqueCount="114">
  <si>
    <t>Fecha</t>
  </si>
  <si>
    <t>Apple</t>
  </si>
  <si>
    <t>Coca-Cola</t>
  </si>
  <si>
    <t>JPMorgan</t>
  </si>
  <si>
    <t>AT&amp;T</t>
  </si>
  <si>
    <t>Portafolio</t>
  </si>
  <si>
    <t>diario</t>
  </si>
  <si>
    <t>anualizado</t>
  </si>
  <si>
    <t>ponderador</t>
  </si>
  <si>
    <t>Treasury 1term</t>
  </si>
  <si>
    <t>matriz_cov</t>
  </si>
  <si>
    <t xml:space="preserve">Horizonte </t>
  </si>
  <si>
    <t>Retornos</t>
  </si>
  <si>
    <t>Beta</t>
  </si>
  <si>
    <t>Expectativa de Retorno</t>
  </si>
  <si>
    <t>SP500</t>
  </si>
  <si>
    <t>Retornos Anuales</t>
  </si>
  <si>
    <t>Retornos Anuales 2</t>
  </si>
  <si>
    <t>pesos iniciales</t>
  </si>
  <si>
    <t>nuevos pesos</t>
  </si>
  <si>
    <t>Suma de Pesos</t>
  </si>
  <si>
    <t>Retorno</t>
  </si>
  <si>
    <t>Crecimiento en Retorno</t>
  </si>
  <si>
    <t>crecimiento en retorno en mi periodo de invesión</t>
  </si>
  <si>
    <t>Volumen de Transacción</t>
  </si>
  <si>
    <t>cuantas transacciones hacemos para pasar de nustra ponderación inicial al nuevo</t>
  </si>
  <si>
    <t>Costos de Transacción</t>
  </si>
  <si>
    <t>Comisión</t>
  </si>
  <si>
    <t>Retorno Neto</t>
  </si>
  <si>
    <t>Riesgo Portafolio</t>
  </si>
  <si>
    <t>Utilidad</t>
  </si>
  <si>
    <t>Aversión al Riesgo</t>
  </si>
  <si>
    <t xml:space="preserve">Entre más altas las comisiones de negociación menos opera, dado que las comisiones hacen desinsentivan operar </t>
  </si>
  <si>
    <t>si cambiamos el horizonte a 10 años a la misma comisión del 10%</t>
  </si>
  <si>
    <t>Treasury 1Y</t>
  </si>
  <si>
    <t>https://fred.stlouisfed.org/series/DGS1</t>
  </si>
  <si>
    <t>https://fred.stlouisfed.org/series/SP500</t>
  </si>
  <si>
    <t>Diario</t>
  </si>
  <si>
    <t>Risk Free</t>
  </si>
  <si>
    <t>Riesgo</t>
  </si>
  <si>
    <t>Ratio de Sharpe</t>
  </si>
  <si>
    <t>Ratio de Traynor</t>
  </si>
  <si>
    <t>Alpha (Jensen's)</t>
  </si>
  <si>
    <t>https://www.youtube.com/watch?v=zvChPqsKZjc&amp;list=PLE4a3phdCOatsDWPgNzzAfLz3eLwNwLnv&amp;index=25</t>
  </si>
  <si>
    <t>Excesos Retorno</t>
  </si>
  <si>
    <t>Pesos Ratio de Sharpe</t>
  </si>
  <si>
    <t>Ratio de Sortino</t>
  </si>
  <si>
    <t>Ratio de Calmar</t>
  </si>
  <si>
    <t>Ratio de Sterling</t>
  </si>
  <si>
    <t>Máximo drawdown</t>
  </si>
  <si>
    <t>Promedio Máx. drawdown</t>
  </si>
  <si>
    <t>https://www.youtube.com/watch?v=zN0JlQ_I52M&amp;list=PLE4a3phdCOatsDWPgNzzAfLz3eLwNwLnv&amp;index=26</t>
  </si>
  <si>
    <t>Downside</t>
  </si>
  <si>
    <t>#downside</t>
  </si>
  <si>
    <t>Semi-desviación</t>
  </si>
  <si>
    <t>Semi-desviación Anual</t>
  </si>
  <si>
    <t>Objetivo Retorno</t>
  </si>
  <si>
    <t>Objetivo Diario</t>
  </si>
  <si>
    <t>Desempeño</t>
  </si>
  <si>
    <t>Sharpe Portafolio</t>
  </si>
  <si>
    <t>Portafolio Ratio Sharpe</t>
  </si>
  <si>
    <t>Optimizando Ratio de Sharpe</t>
  </si>
  <si>
    <t>Pesos Ratio de Traynor</t>
  </si>
  <si>
    <t xml:space="preserve">Riesgo </t>
  </si>
  <si>
    <t>Optimizando Ratio de Traynor</t>
  </si>
  <si>
    <t>Pesos Ratio de Sortino</t>
  </si>
  <si>
    <t>Ratio Sortino</t>
  </si>
  <si>
    <t>Varianza Downside</t>
  </si>
  <si>
    <t>SD. Downside</t>
  </si>
  <si>
    <t>Optimizando Ratio de Soritno</t>
  </si>
  <si>
    <t>Portafolio Ratio Traynor</t>
  </si>
  <si>
    <t>Portafolio Ratio Sortino</t>
  </si>
  <si>
    <t>Retornos de Activos</t>
  </si>
  <si>
    <t>Pesos Volatilidad Idesincratica</t>
  </si>
  <si>
    <t>Portafolio Volt. Ideo</t>
  </si>
  <si>
    <t>Volatilidad Ideo.</t>
  </si>
  <si>
    <t>SD. Ideosincrática</t>
  </si>
  <si>
    <t>Varianza Ideosincrática</t>
  </si>
  <si>
    <t>Optimizando Volatilidad Ideosincrática</t>
  </si>
  <si>
    <t>Sharpe Ideosincrático</t>
  </si>
  <si>
    <t>Portafolio Value at Risk</t>
  </si>
  <si>
    <t>Optimizando Conditional Value at Risk</t>
  </si>
  <si>
    <t>Pesos Conditional Value at Risk</t>
  </si>
  <si>
    <t>VaR</t>
  </si>
  <si>
    <t>CVaR</t>
  </si>
  <si>
    <t>VaR Anual</t>
  </si>
  <si>
    <t>Sharpe</t>
  </si>
  <si>
    <t>Traynor</t>
  </si>
  <si>
    <t>Sortino</t>
  </si>
  <si>
    <t>Ideosincratica</t>
  </si>
  <si>
    <t>Estrategia 1</t>
  </si>
  <si>
    <t>Estrategia 2</t>
  </si>
  <si>
    <t>Estrategia 3</t>
  </si>
  <si>
    <t>Estrategia 4</t>
  </si>
  <si>
    <t>PSR</t>
  </si>
  <si>
    <t>Sharpe Deflactado (SR*)</t>
  </si>
  <si>
    <t>Volatilidad (sigma SR)</t>
  </si>
  <si>
    <t>Sharpe Deflactado (DSR)</t>
  </si>
  <si>
    <t>Sharpe (SR estimado)</t>
  </si>
  <si>
    <t>Asimetría (S)</t>
  </si>
  <si>
    <t>Curtosis (K)</t>
  </si>
  <si>
    <t>Euler-Mascheroni (gamma)</t>
  </si>
  <si>
    <t># Estrategias (N)</t>
  </si>
  <si>
    <t>Muestra (T)</t>
  </si>
  <si>
    <t>Tasa Riesgo (Rf)</t>
  </si>
  <si>
    <t>Varianza Estrategias [V(SR)]</t>
  </si>
  <si>
    <t xml:space="preserve">Comentario </t>
  </si>
  <si>
    <t>Media geométrica para medir tasas de crecimiento</t>
  </si>
  <si>
    <t>Todos son bajos en terminos financieros reales (menores a 1) -&gt; ninguna estrategia sobre sale</t>
  </si>
  <si>
    <t>altos niveles de leptocurtosis (exceos de curtosis &gt;0) -&gt; retornos no normales -&gt; Sharpe Clásico está seriamente sesgado al alza</t>
  </si>
  <si>
    <t>¿Esta estrategia es mejor que un benckmark fijo? -&gt; la única hipotesis (PSR = 0) que se rechaza son la estrategia 1, 3 y 4</t>
  </si>
  <si>
    <t>¿Esta estrategia es mejor que lo mejor haber obtenido por azar? -&gt; se mantiene Estrategia 1, 3 y 4</t>
  </si>
  <si>
    <t xml:space="preserve">constante matematica </t>
  </si>
  <si>
    <t>Sharpe que esperamos obtener solo por suerte al probar N estrategias, en decir, si todo fuese ruido ¿qué Sharpe máximo espería ver después de probar N estrategias?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</si>
</sst>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%"/>
    <numFmt numFmtId="165" formatCode="0.000000"/>
    <numFmt numFmtId="166" formatCode="0.0%"/>
    <numFmt numFmtId="167" formatCode="0.0000"/>
    <numFmt numFmtId="168" formatCode="0.000"/>
    <numFmt numFmtId="169" formatCode="0.0000%"/>
    <numFmt numFmtId="170" formatCode="yyyy\-mm\-dd"/>
    <numFmt numFmtId="171" formatCode="0.0000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scheme val="major"/>
    </font>
    <font>
      <sz val="8"/>
      <name val="Aptos Narrow"/>
      <family val="2"/>
      <scheme val="minor"/>
    </font>
    <font>
      <b/>
      <sz val="10"/>
      <color rgb="FF000000"/>
      <name val="Calibri Light"/>
      <family val="2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theme="1"/>
      <name val="Calibri Light"/>
      <family val="2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4" fontId="5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10" fontId="4" fillId="0" borderId="2" xfId="1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10" fontId="4" fillId="0" borderId="0" xfId="1" applyNumberFormat="1" applyFont="1"/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9" fontId="4" fillId="0" borderId="0" xfId="1" applyFont="1"/>
    <xf numFmtId="167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9" fontId="4" fillId="0" borderId="0" xfId="1" applyFont="1" applyAlignment="1">
      <alignment horizontal="center"/>
    </xf>
    <xf numFmtId="2" fontId="4" fillId="0" borderId="0" xfId="0" applyNumberFormat="1" applyFont="1"/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/>
    <xf numFmtId="10" fontId="4" fillId="0" borderId="3" xfId="1" applyNumberFormat="1" applyFont="1" applyBorder="1"/>
    <xf numFmtId="0" fontId="4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10" fontId="4" fillId="0" borderId="5" xfId="1" applyNumberFormat="1" applyFont="1" applyBorder="1" applyAlignment="1">
      <alignment horizontal="center"/>
    </xf>
    <xf numFmtId="10" fontId="4" fillId="0" borderId="3" xfId="0" applyNumberFormat="1" applyFont="1" applyBorder="1"/>
    <xf numFmtId="0" fontId="4" fillId="0" borderId="0" xfId="1" applyNumberFormat="1" applyFont="1"/>
    <xf numFmtId="169" fontId="4" fillId="0" borderId="0" xfId="1" applyNumberFormat="1" applyFont="1" applyAlignment="1">
      <alignment horizontal="center"/>
    </xf>
    <xf numFmtId="170" fontId="0" fillId="0" borderId="0" xfId="0" applyNumberFormat="1"/>
    <xf numFmtId="0" fontId="3" fillId="0" borderId="0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0" xfId="1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10" fontId="3" fillId="0" borderId="4" xfId="1" applyNumberFormat="1" applyFont="1" applyBorder="1" applyAlignment="1">
      <alignment horizontal="center"/>
    </xf>
    <xf numFmtId="9" fontId="4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67" fontId="4" fillId="0" borderId="0" xfId="1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10" fontId="0" fillId="0" borderId="0" xfId="1" applyNumberFormat="1" applyFont="1"/>
    <xf numFmtId="0" fontId="4" fillId="0" borderId="2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1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0" xfId="0" applyNumberFormat="1" applyFont="1"/>
    <xf numFmtId="167" fontId="4" fillId="0" borderId="0" xfId="0" applyNumberFormat="1" applyFont="1"/>
    <xf numFmtId="166" fontId="4" fillId="0" borderId="0" xfId="1" applyNumberFormat="1" applyFont="1"/>
    <xf numFmtId="164" fontId="4" fillId="0" borderId="0" xfId="1" applyNumberFormat="1" applyFont="1"/>
    <xf numFmtId="10" fontId="3" fillId="0" borderId="6" xfId="1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7" fontId="4" fillId="0" borderId="0" xfId="1" applyNumberFormat="1" applyFont="1"/>
    <xf numFmtId="0" fontId="10" fillId="0" borderId="0" xfId="0" applyFont="1" applyAlignment="1">
      <alignment vertical="center"/>
    </xf>
    <xf numFmtId="14" fontId="11" fillId="0" borderId="0" xfId="0" applyNumberFormat="1" applyFont="1" applyAlignment="1">
      <alignment vertical="center"/>
    </xf>
    <xf numFmtId="167" fontId="10" fillId="0" borderId="0" xfId="0" applyNumberFormat="1" applyFont="1" applyAlignment="1">
      <alignment horizontal="center" vertical="center"/>
    </xf>
    <xf numFmtId="164" fontId="10" fillId="0" borderId="0" xfId="1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69" fontId="10" fillId="0" borderId="0" xfId="1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10" fontId="10" fillId="0" borderId="9" xfId="1" applyNumberFormat="1" applyFont="1" applyBorder="1" applyAlignment="1">
      <alignment horizontal="center" vertical="center"/>
    </xf>
    <xf numFmtId="10" fontId="10" fillId="0" borderId="5" xfId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0" fillId="0" borderId="0" xfId="1" applyNumberFormat="1" applyFont="1" applyFill="1" applyBorder="1" applyAlignment="1"/>
    <xf numFmtId="0" fontId="13" fillId="0" borderId="4" xfId="0" applyFont="1" applyBorder="1" applyAlignment="1">
      <alignment horizontal="center"/>
    </xf>
    <xf numFmtId="0" fontId="0" fillId="0" borderId="5" xfId="0" applyBorder="1"/>
    <xf numFmtId="166" fontId="0" fillId="0" borderId="5" xfId="1" applyNumberFormat="1" applyFont="1" applyFill="1" applyBorder="1" applyAlignment="1"/>
    <xf numFmtId="0" fontId="4" fillId="0" borderId="4" xfId="0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0" fontId="3" fillId="0" borderId="8" xfId="1" applyNumberFormat="1" applyFont="1" applyBorder="1" applyAlignment="1">
      <alignment horizontal="center" wrapText="1"/>
    </xf>
    <xf numFmtId="10" fontId="3" fillId="0" borderId="6" xfId="1" applyNumberFormat="1" applyFont="1" applyBorder="1" applyAlignment="1">
      <alignment horizontal="center" wrapText="1"/>
    </xf>
    <xf numFmtId="10" fontId="3" fillId="0" borderId="0" xfId="1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724551</xdr:colOff>
      <xdr:row>10</xdr:row>
      <xdr:rowOff>182360</xdr:rowOff>
    </xdr:from>
    <xdr:to>
      <xdr:col>46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CB9F70B-FDB8-F047-BF4A-A2634E3FEB1E}"/>
                </a:ext>
              </a:extLst>
            </xdr:cNvPr>
            <xdr:cNvSpPr txBox="1"/>
          </xdr:nvSpPr>
          <xdr:spPr>
            <a:xfrm>
              <a:off x="352304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CB9F70B-FDB8-F047-BF4A-A2634E3FEB1E}"/>
                </a:ext>
              </a:extLst>
            </xdr:cNvPr>
            <xdr:cNvSpPr txBox="1"/>
          </xdr:nvSpPr>
          <xdr:spPr>
            <a:xfrm>
              <a:off x="352304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724551</xdr:colOff>
      <xdr:row>10</xdr:row>
      <xdr:rowOff>182360</xdr:rowOff>
    </xdr:from>
    <xdr:to>
      <xdr:col>30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43FCC84-4F70-A64C-AC51-CDFCAA9DF22D}"/>
                </a:ext>
              </a:extLst>
            </xdr:cNvPr>
            <xdr:cNvSpPr txBox="1"/>
          </xdr:nvSpPr>
          <xdr:spPr>
            <a:xfrm>
              <a:off x="26202705" y="2136206"/>
              <a:ext cx="3421557" cy="47815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43FCC84-4F70-A64C-AC51-CDFCAA9DF22D}"/>
                </a:ext>
              </a:extLst>
            </xdr:cNvPr>
            <xdr:cNvSpPr txBox="1"/>
          </xdr:nvSpPr>
          <xdr:spPr>
            <a:xfrm>
              <a:off x="26202705" y="2136206"/>
              <a:ext cx="3421557" cy="47815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724551</xdr:colOff>
      <xdr:row>10</xdr:row>
      <xdr:rowOff>182360</xdr:rowOff>
    </xdr:from>
    <xdr:to>
      <xdr:col>31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D0F768C-DBDF-154A-B93E-021D84F02D54}"/>
                </a:ext>
              </a:extLst>
            </xdr:cNvPr>
            <xdr:cNvSpPr txBox="1"/>
          </xdr:nvSpPr>
          <xdr:spPr>
            <a:xfrm>
              <a:off x="225177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D0F768C-DBDF-154A-B93E-021D84F02D54}"/>
                </a:ext>
              </a:extLst>
            </xdr:cNvPr>
            <xdr:cNvSpPr txBox="1"/>
          </xdr:nvSpPr>
          <xdr:spPr>
            <a:xfrm>
              <a:off x="225177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724551</xdr:colOff>
      <xdr:row>10</xdr:row>
      <xdr:rowOff>182360</xdr:rowOff>
    </xdr:from>
    <xdr:to>
      <xdr:col>33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272DB28-CF36-CF48-8057-064BE6C3903C}"/>
                </a:ext>
              </a:extLst>
            </xdr:cNvPr>
            <xdr:cNvSpPr txBox="1"/>
          </xdr:nvSpPr>
          <xdr:spPr>
            <a:xfrm>
              <a:off x="242449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272DB28-CF36-CF48-8057-064BE6C3903C}"/>
                </a:ext>
              </a:extLst>
            </xdr:cNvPr>
            <xdr:cNvSpPr txBox="1"/>
          </xdr:nvSpPr>
          <xdr:spPr>
            <a:xfrm>
              <a:off x="242449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724551</xdr:colOff>
      <xdr:row>10</xdr:row>
      <xdr:rowOff>182360</xdr:rowOff>
    </xdr:from>
    <xdr:to>
      <xdr:col>35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41261E9-2749-DD4D-95AA-B72D72D2B835}"/>
                </a:ext>
              </a:extLst>
            </xdr:cNvPr>
            <xdr:cNvSpPr txBox="1"/>
          </xdr:nvSpPr>
          <xdr:spPr>
            <a:xfrm>
              <a:off x="253498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41261E9-2749-DD4D-95AA-B72D72D2B835}"/>
                </a:ext>
              </a:extLst>
            </xdr:cNvPr>
            <xdr:cNvSpPr txBox="1"/>
          </xdr:nvSpPr>
          <xdr:spPr>
            <a:xfrm>
              <a:off x="253498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  <xdr:oneCellAnchor>
    <xdr:from>
      <xdr:col>25</xdr:col>
      <xdr:colOff>163145</xdr:colOff>
      <xdr:row>50</xdr:row>
      <xdr:rowOff>192454</xdr:rowOff>
    </xdr:from>
    <xdr:ext cx="2691763" cy="2871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D8A8C913-171F-EDAA-6147-FB5DC6201E1C}"/>
                </a:ext>
              </a:extLst>
            </xdr:cNvPr>
            <xdr:cNvSpPr txBox="1"/>
          </xdr:nvSpPr>
          <xdr:spPr>
            <a:xfrm>
              <a:off x="20854376" y="10567377"/>
              <a:ext cx="2691763" cy="2871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419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s-419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419" sz="1600" b="0" i="1">
                        <a:latin typeface="Cambria Math" panose="02040503050406030204" pitchFamily="18" charset="0"/>
                      </a:rPr>
                      <m:t>𝛽</m:t>
                    </m:r>
                    <m:d>
                      <m:dPr>
                        <m:ctrlPr>
                          <a:rPr lang="es-419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s-419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419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MX" sz="1600" b="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D8A8C913-171F-EDAA-6147-FB5DC6201E1C}"/>
                </a:ext>
              </a:extLst>
            </xdr:cNvPr>
            <xdr:cNvSpPr txBox="1"/>
          </xdr:nvSpPr>
          <xdr:spPr>
            <a:xfrm>
              <a:off x="20854376" y="10567377"/>
              <a:ext cx="2691763" cy="2871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600" b="0" i="0">
                  <a:latin typeface="Cambria Math" panose="02040503050406030204" pitchFamily="18" charset="0"/>
                </a:rPr>
                <a:t>(𝑅_𝑖−𝑅_𝑓 )−𝛽(𝑅_𝑚−𝑅_𝑓 )=𝑒_𝑖</a:t>
              </a:r>
              <a:endParaRPr lang="es-MX" sz="1600" b="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724551</xdr:colOff>
      <xdr:row>10</xdr:row>
      <xdr:rowOff>182360</xdr:rowOff>
    </xdr:from>
    <xdr:to>
      <xdr:col>36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E86B08F-E49F-BC4D-8466-1F4EDAF5EA52}"/>
                </a:ext>
              </a:extLst>
            </xdr:cNvPr>
            <xdr:cNvSpPr txBox="1"/>
          </xdr:nvSpPr>
          <xdr:spPr>
            <a:xfrm>
              <a:off x="273056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E86B08F-E49F-BC4D-8466-1F4EDAF5EA52}"/>
                </a:ext>
              </a:extLst>
            </xdr:cNvPr>
            <xdr:cNvSpPr txBox="1"/>
          </xdr:nvSpPr>
          <xdr:spPr>
            <a:xfrm>
              <a:off x="273056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  <xdr:oneCellAnchor>
    <xdr:from>
      <xdr:col>26</xdr:col>
      <xdr:colOff>163145</xdr:colOff>
      <xdr:row>51</xdr:row>
      <xdr:rowOff>192454</xdr:rowOff>
    </xdr:from>
    <xdr:ext cx="2691763" cy="2871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77F65E3-56A3-0E4D-9992-6E90ADFF602E}"/>
                </a:ext>
              </a:extLst>
            </xdr:cNvPr>
            <xdr:cNvSpPr txBox="1"/>
          </xdr:nvSpPr>
          <xdr:spPr>
            <a:xfrm>
              <a:off x="20902245" y="10504854"/>
              <a:ext cx="2691763" cy="2871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419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s-419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419" sz="1600" b="0" i="1">
                        <a:latin typeface="Cambria Math" panose="02040503050406030204" pitchFamily="18" charset="0"/>
                      </a:rPr>
                      <m:t>𝛽</m:t>
                    </m:r>
                    <m:d>
                      <m:dPr>
                        <m:ctrlPr>
                          <a:rPr lang="es-419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419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6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s-419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419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s-419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MX" sz="1600" b="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77F65E3-56A3-0E4D-9992-6E90ADFF602E}"/>
                </a:ext>
              </a:extLst>
            </xdr:cNvPr>
            <xdr:cNvSpPr txBox="1"/>
          </xdr:nvSpPr>
          <xdr:spPr>
            <a:xfrm>
              <a:off x="20902245" y="10504854"/>
              <a:ext cx="2691763" cy="2871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600" b="0" i="0">
                  <a:latin typeface="Cambria Math" panose="02040503050406030204" pitchFamily="18" charset="0"/>
                </a:rPr>
                <a:t>(𝑅_𝑖−𝑅_𝑓 )−𝛽(𝑅_𝑚−𝑅_𝑓 )=𝑒_𝑖</a:t>
              </a:r>
              <a:endParaRPr lang="es-MX" sz="1600" b="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785446</xdr:colOff>
      <xdr:row>20</xdr:row>
      <xdr:rowOff>154378</xdr:rowOff>
    </xdr:from>
    <xdr:ext cx="2609496" cy="5191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ACA3375-A4F9-24E2-53B4-4DAB9413CF21}"/>
                </a:ext>
              </a:extLst>
            </xdr:cNvPr>
            <xdr:cNvSpPr txBox="1"/>
          </xdr:nvSpPr>
          <xdr:spPr>
            <a:xfrm>
              <a:off x="4900246" y="3852618"/>
              <a:ext cx="2609496" cy="5191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419" b="0" i="0"/>
                      <m:t>Media</m:t>
                    </m:r>
                    <m:r>
                      <m:rPr>
                        <m:nor/>
                      </m:rPr>
                      <a:rPr lang="es-419" b="0" i="0"/>
                      <m:t> </m:t>
                    </m:r>
                    <m:r>
                      <m:rPr>
                        <m:nor/>
                      </m:rPr>
                      <a:rPr lang="es-419" b="0" i="0"/>
                      <m:t>geom</m:t>
                    </m:r>
                    <m:r>
                      <a:rPr lang="es-419" b="0" i="1">
                        <a:latin typeface="Cambria Math" panose="02040503050406030204" pitchFamily="18" charset="0"/>
                      </a:rPr>
                      <m:t>é</m:t>
                    </m:r>
                    <m:r>
                      <a:rPr lang="es-419" b="0" i="1">
                        <a:latin typeface="Cambria Math" panose="02040503050406030204" pitchFamily="18" charset="0"/>
                      </a:rPr>
                      <m:t>𝑡𝑟𝑖𝑐𝑎</m:t>
                    </m:r>
                    <m:r>
                      <a:rPr lang="es-419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419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∏"/>
                                <m:ctrlPr>
                                  <a:rPr lang="es-419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lang="es-419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s-419" b="0" i="1">
                                    <a:latin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s-419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  <m:e>
                                <m:sSub>
                                  <m:sSubPr>
                                    <m:ctrlPr>
                                      <a:rPr lang="es-419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d>
                                      <m:dPr>
                                        <m:ctrlPr>
                                          <a:rPr lang="es-419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419" b="0" i="1">
                                            <a:latin typeface="Cambria Math" panose="02040503050406030204" pitchFamily="18" charset="0"/>
                                          </a:rPr>
                                          <m:t>1+</m:t>
                                        </m:r>
                                        <m:sSub>
                                          <m:sSubPr>
                                            <m:ctrlPr>
                                              <a:rPr lang="es-419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s-419" b="0" i="1">
                                                <a:latin typeface="Cambria Math" panose="02040503050406030204" pitchFamily="18" charset="0"/>
                                              </a:rPr>
                                              <m:t>𝑟</m:t>
                                            </m:r>
                                          </m:e>
                                          <m:sub>
                                            <m:r>
                                              <a:rPr lang="es-419" b="0" i="1">
                                                <a:latin typeface="Cambria Math" panose="02040503050406030204" pitchFamily="18" charset="0"/>
                                              </a:rPr>
                                              <m:t>𝑡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b>
                                    <m:r>
                                      <a:rPr lang="es-419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nary>
                          </m:e>
                        </m:d>
                      </m:e>
                      <m:sup>
                        <m:r>
                          <a:rPr lang="es-419" b="0" i="1">
                            <a:latin typeface="Cambria Math" panose="02040503050406030204" pitchFamily="18" charset="0"/>
                          </a:rPr>
                          <m:t>1/</m:t>
                        </m:r>
                        <m:r>
                          <a:rPr lang="es-419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s-419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ACA3375-A4F9-24E2-53B4-4DAB9413CF21}"/>
                </a:ext>
              </a:extLst>
            </xdr:cNvPr>
            <xdr:cNvSpPr txBox="1"/>
          </xdr:nvSpPr>
          <xdr:spPr>
            <a:xfrm>
              <a:off x="4900246" y="3852618"/>
              <a:ext cx="2609496" cy="5191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b="0" i="0">
                  <a:latin typeface="Cambria Math" panose="02040503050406030204" pitchFamily="18" charset="0"/>
                </a:rPr>
                <a:t>"Media geom" é𝑡𝑟𝑖𝑐𝑎=(∏24_(𝑡=1)^𝑇▒(1+𝑟_𝑡 )_𝑡 )</a:t>
              </a:r>
              <a:r>
                <a:rPr lang="es-MX" b="0" i="0">
                  <a:latin typeface="Cambria Math" panose="02040503050406030204" pitchFamily="18" charset="0"/>
                </a:rPr>
                <a:t>^(</a:t>
              </a:r>
              <a:r>
                <a:rPr lang="es-419" b="0" i="0">
                  <a:latin typeface="Cambria Math" panose="02040503050406030204" pitchFamily="18" charset="0"/>
                </a:rPr>
                <a:t>1/𝑇</a:t>
              </a:r>
              <a:r>
                <a:rPr lang="es-MX" b="0" i="0">
                  <a:latin typeface="Cambria Math" panose="02040503050406030204" pitchFamily="18" charset="0"/>
                </a:rPr>
                <a:t>)</a:t>
              </a:r>
              <a:r>
                <a:rPr lang="es-419" b="0" i="0">
                  <a:latin typeface="Cambria Math" panose="02040503050406030204" pitchFamily="18" charset="0"/>
                </a:rPr>
                <a:t>−1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5</xdr:col>
      <xdr:colOff>187960</xdr:colOff>
      <xdr:row>31</xdr:row>
      <xdr:rowOff>66040</xdr:rowOff>
    </xdr:from>
    <xdr:ext cx="3042920" cy="397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1B84AFA-CE13-AB84-5FA6-44872A7D03FD}"/>
                </a:ext>
              </a:extLst>
            </xdr:cNvPr>
            <xdr:cNvSpPr txBox="1"/>
          </xdr:nvSpPr>
          <xdr:spPr>
            <a:xfrm>
              <a:off x="4302760" y="5775960"/>
              <a:ext cx="3042920" cy="397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𝐷𝑆𝑅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̂"/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𝑃𝑆𝑅</m:t>
                        </m:r>
                      </m:e>
                    </m:acc>
                    <m:d>
                      <m:d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𝑆𝑅</m:t>
                        </m:r>
                      </m:e>
                    </m:d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𝜙</m:t>
                    </m:r>
                    <m:d>
                      <m:d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̂"/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𝑆𝑅</m:t>
                                </m:r>
                              </m:e>
                            </m:acc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  <m:sSup>
                              <m:sSupPr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∗</m:t>
                                </m:r>
                              </m:sup>
                            </m:sSup>
                          </m:num>
                          <m:den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acc>
                              <m:accPr>
                                <m:chr m:val="̂"/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𝑆𝑅</m:t>
                                </m:r>
                              </m:e>
                            </m:acc>
                          </m:den>
                        </m:f>
                      </m:e>
                    </m:d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1B84AFA-CE13-AB84-5FA6-44872A7D03FD}"/>
                </a:ext>
              </a:extLst>
            </xdr:cNvPr>
            <xdr:cNvSpPr txBox="1"/>
          </xdr:nvSpPr>
          <xdr:spPr>
            <a:xfrm>
              <a:off x="4302760" y="5775960"/>
              <a:ext cx="3042920" cy="397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𝐷𝑆𝑅=(𝑃𝑆𝑅) ̂(𝑆𝑅)=𝜙(((𝑆𝑅) ̂−𝑆𝑅^∗)/(𝜎((𝑆𝑅) ̂ ))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5</xdr:col>
      <xdr:colOff>350520</xdr:colOff>
      <xdr:row>24</xdr:row>
      <xdr:rowOff>167640</xdr:rowOff>
    </xdr:from>
    <xdr:ext cx="3042920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DE8C3FF-2F5D-E34C-8695-F9AE903900FA}"/>
                </a:ext>
              </a:extLst>
            </xdr:cNvPr>
            <xdr:cNvSpPr txBox="1"/>
          </xdr:nvSpPr>
          <xdr:spPr>
            <a:xfrm>
              <a:off x="4465320" y="4597400"/>
              <a:ext cx="304292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𝜎</m:t>
                    </m:r>
                    <m:d>
                      <m:d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𝑆𝑅</m:t>
                            </m:r>
                          </m:e>
                        </m:acc>
                      </m:e>
                    </m:d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acc>
                              <m:accPr>
                                <m:chr m:val="̂"/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𝑆𝑅</m:t>
                                </m:r>
                              </m:e>
                            </m:acc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+2</m:t>
                                </m:r>
                              </m:num>
                              <m:den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419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419" sz="1100" b="0" i="1">
                                        <a:latin typeface="Cambria Math" panose="02040503050406030204" pitchFamily="18" charset="0"/>
                                      </a:rPr>
                                      <m:t>𝑆𝑅</m:t>
                                    </m:r>
                                  </m:e>
                                </m:acc>
                              </m:e>
                              <m:sup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DE8C3FF-2F5D-E34C-8695-F9AE903900FA}"/>
                </a:ext>
              </a:extLst>
            </xdr:cNvPr>
            <xdr:cNvSpPr txBox="1"/>
          </xdr:nvSpPr>
          <xdr:spPr>
            <a:xfrm>
              <a:off x="4465320" y="4597400"/>
              <a:ext cx="304292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𝜎((𝑆𝑅) ̂ )=√((1−𝑆∗(𝑆𝑅) ̂+(𝐾+2)/4+(𝑆𝑅) ̂^2)/(𝑇−1))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5</xdr:col>
      <xdr:colOff>289560</xdr:colOff>
      <xdr:row>28</xdr:row>
      <xdr:rowOff>147320</xdr:rowOff>
    </xdr:from>
    <xdr:ext cx="4495800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6A5C832-9692-9F44-A0EC-B1F47116AC4C}"/>
                </a:ext>
              </a:extLst>
            </xdr:cNvPr>
            <xdr:cNvSpPr txBox="1"/>
          </xdr:nvSpPr>
          <xdr:spPr>
            <a:xfrm>
              <a:off x="4404360" y="5308600"/>
              <a:ext cx="4495800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d>
                          <m:d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  <m:sSub>
                              <m:sSubPr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</m:e>
                    </m:rad>
                    <m:r>
                      <a:rPr lang="es-419" sz="11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begChr m:val="["/>
                        <m:endChr m:val="]"/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𝛾</m:t>
                            </m:r>
                          </m:e>
                        </m:d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p>
                          <m:sSup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𝜙</m:t>
                            </m:r>
                          </m:e>
                          <m:sup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d>
                          <m:d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419" sz="1100" b="0" i="0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419" sz="1100" b="0" i="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419" sz="1100" b="0" i="0"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e>
                        </m:d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𝛾</m:t>
                        </m:r>
                        <m:sSup>
                          <m:sSup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𝜙</m:t>
                            </m:r>
                          </m:e>
                          <m:sup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d>
                          <m:d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419" sz="1100" b="0" i="1">
                                    <a:latin typeface="Cambria Math" panose="02040503050406030204" pitchFamily="18" charset="0"/>
                                  </a:rPr>
                                  <m:t>𝑁𝑒</m:t>
                                </m:r>
                              </m:den>
                            </m:f>
                          </m:e>
                        </m:d>
                      </m:e>
                    </m:d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6A5C832-9692-9F44-A0EC-B1F47116AC4C}"/>
                </a:ext>
              </a:extLst>
            </xdr:cNvPr>
            <xdr:cNvSpPr txBox="1"/>
          </xdr:nvSpPr>
          <xdr:spPr>
            <a:xfrm>
              <a:off x="4404360" y="5308600"/>
              <a:ext cx="4495800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𝑆𝑅^∗=√(𝑉(𝑆𝑅_𝑛 ) )∗[(1−𝛾)∗𝜙^(−1) (1−1/N)+𝛾𝜙^(−1) (1−1/𝑁𝑒)]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5</xdr:col>
      <xdr:colOff>624840</xdr:colOff>
      <xdr:row>34</xdr:row>
      <xdr:rowOff>127000</xdr:rowOff>
    </xdr:from>
    <xdr:ext cx="3687100" cy="21112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1CB57094-7743-9B97-4EDA-881E3397BE8E}"/>
                </a:ext>
              </a:extLst>
            </xdr:cNvPr>
            <xdr:cNvSpPr txBox="1"/>
          </xdr:nvSpPr>
          <xdr:spPr>
            <a:xfrm>
              <a:off x="4739640" y="6385560"/>
              <a:ext cx="3687100" cy="21112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𝑆h𝑎𝑟𝑝𝑒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𝐷𝑒𝑓𝑙𝑎𝑐𝑡𝑎𝑑𝑜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𝑡𝑜𝑑𝑎𝑠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𝑙𝑎𝑠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𝑒𝑠𝑡𝑟𝑎𝑡𝑒𝑔𝑖𝑎𝑠</m:t>
                    </m:r>
                  </m:oMath>
                  <m:oMath xmlns:m="http://schemas.openxmlformats.org/officeDocument/2006/math">
                    <m:acc>
                      <m:accPr>
                        <m:chr m:val="̂"/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𝑆𝑅</m:t>
                        </m:r>
                      </m:e>
                    </m:acc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𝑆h𝑎𝑟𝑝𝑒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𝑒𝑠𝑡𝑖𝑚𝑎𝑑𝑜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𝑛𝑜𝑟𝑚𝑎𝑙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𝜎</m:t>
                    </m:r>
                    <m:d>
                      <m:d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𝑆𝑅</m:t>
                            </m:r>
                          </m:e>
                        </m:acc>
                      </m:e>
                    </m:d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𝑉𝑜𝑙𝑎𝑡𝑖𝑙𝑖𝑑𝑎𝑑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𝑑𝑒𝑙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𝑆h𝑎𝑟𝑝𝑒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𝐷𝑆𝑅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𝑠h𝑎𝑟𝑝𝑒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𝑑𝑒𝑓𝑙𝑎𝑐𝑡𝑎𝑑𝑜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𝑝𝑜𝑟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𝑒𝑠𝑡𝑟𝑎𝑡𝑒𝑔𝑖𝑎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𝑃𝑆𝑅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𝑆h𝑎𝑟𝑝𝑒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𝑃𝑟𝑜𝑏𝑎𝑏𝑖𝑙𝑖𝑠𝑡𝑖𝑐𝑜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ú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𝑚𝑒𝑟𝑜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𝐸𝑠𝑡𝑟𝑎𝑡𝑒𝑔𝑖𝑎𝑠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ú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𝑚𝑒𝑟𝑜𝑠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𝑚𝑢𝑒𝑠𝑡𝑟𝑎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𝑡𝑜𝑡𝑎𝑙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𝛾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𝑐𝑜𝑛𝑠𝑡𝑎𝑛𝑡𝑒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𝑚𝑎𝑡𝑒𝑚𝑎𝑡𝑖𝑐𝑎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𝐸𝑢𝑙𝑒𝑟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𝑀𝑎𝑠𝑐h𝑒𝑟𝑜𝑛𝑖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𝑒𝑥𝑝𝑜𝑛𝑒𝑛𝑐𝑖𝑎𝑙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1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e>
                    </m:d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𝑉𝑎𝑟𝑖𝑛𝑧𝑎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𝑙𝑎𝑠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𝑒𝑠𝑡𝑟𝑎𝑡𝑒𝑔𝑖𝑎𝑠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.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𝐴𝑠𝑖𝑚𝑒𝑡𝑟𝑖𝑎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𝑐𝑎𝑑𝑎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𝑒𝑠𝑡𝑟𝑎𝑡𝑒𝑔𝑖𝑎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𝐶𝑢𝑟𝑡𝑜𝑠𝑖𝑠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𝑐𝑎𝑑𝑎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𝑒𝑠𝑡𝑟𝑎𝑡𝑒𝑔𝑖𝑎</m:t>
                    </m:r>
                  </m:oMath>
                </m:oMathPara>
              </a14:m>
              <a:br>
                <a:rPr lang="es-419" sz="1100" b="0"/>
              </a:br>
              <a:endParaRPr lang="es-419" sz="1100" b="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1CB57094-7743-9B97-4EDA-881E3397BE8E}"/>
                </a:ext>
              </a:extLst>
            </xdr:cNvPr>
            <xdr:cNvSpPr txBox="1"/>
          </xdr:nvSpPr>
          <xdr:spPr>
            <a:xfrm>
              <a:off x="4739640" y="6385560"/>
              <a:ext cx="3687100" cy="21112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𝑆𝑅^∗:𝑅𝑎𝑡𝑖𝑜 𝑑𝑒 𝑆ℎ𝑎𝑟𝑝𝑒 𝐷𝑒𝑓𝑙𝑎𝑐𝑡𝑎𝑑𝑜 𝑑𝑒 𝑡𝑜𝑑𝑎𝑠 𝑙𝑎𝑠 𝑒𝑠𝑡𝑟𝑎𝑡𝑒𝑔𝑖𝑎𝑠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(𝑆𝑅) ̂:𝑅𝑎𝑡𝑖𝑜 𝑑𝑒 𝑆ℎ𝑎𝑟𝑝𝑒 𝑒𝑠𝑡𝑖𝑚𝑎𝑑𝑜 (𝑛𝑜𝑟𝑚𝑎𝑙)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𝜎((𝑆𝑅) ̂ ):𝑉𝑜𝑙𝑎𝑡𝑖𝑙𝑖𝑑𝑎𝑑 𝑑𝑒𝑙 𝑅𝑎𝑡𝑖𝑜 𝑑𝑒 𝑆ℎ𝑎𝑟𝑝𝑒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𝐷𝑆𝑅:𝑅𝑎𝑡𝑖𝑜 𝑑𝑒 𝑠ℎ𝑎𝑟𝑝𝑒 𝑑𝑒𝑓𝑙𝑎𝑐𝑡𝑎𝑑𝑜 𝑝𝑜𝑟 𝑒𝑠𝑡𝑟𝑎𝑡𝑒𝑔𝑖𝑎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𝑃𝑆𝑅:𝑅𝑎𝑡𝑖𝑜 𝑑𝑒 𝑆ℎ𝑎𝑟𝑝𝑒 𝑃𝑟𝑜𝑏𝑎𝑏𝑖𝑙𝑖𝑠𝑡𝑖𝑐𝑜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𝑁:𝑁ú𝑚𝑒𝑟𝑜 𝑑𝑒 𝐸𝑠𝑡𝑟𝑎𝑡𝑒𝑔𝑖𝑎𝑠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𝑇:𝑁ú𝑚𝑒𝑟𝑜𝑠 𝑑𝑒 𝑚𝑢𝑒𝑠𝑡𝑟𝑎 𝑡𝑜𝑡𝑎𝑙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𝛾:𝑐𝑜𝑛𝑠𝑡𝑎𝑛𝑡𝑒 𝑚𝑎𝑡𝑒𝑚𝑎𝑡𝑖𝑐𝑎 𝑑𝑒 𝐸𝑢𝑙𝑒𝑟−𝑀𝑎𝑠𝑐ℎ𝑒𝑟𝑜𝑛𝑖 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𝑒:𝑒𝑥𝑝𝑜𝑛𝑒𝑛𝑐𝑖𝑎𝑙 𝑑𝑒 1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𝑉(𝑆𝑅_𝑛 ):𝑉𝑎𝑟𝑖𝑛𝑧𝑎 𝑑𝑒 𝑙𝑎𝑠 𝑛 𝑒𝑠𝑡𝑟𝑎𝑡𝑒𝑔𝑖𝑎𝑠.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𝑆:𝐴𝑠𝑖𝑚𝑒𝑡𝑟𝑖𝑎 𝑑𝑒 𝑐𝑎𝑑𝑎 𝑒𝑠𝑡𝑟𝑎𝑡𝑒𝑔𝑖𝑎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𝐾:𝐶𝑢𝑟𝑡𝑜𝑠𝑖𝑠 𝑑𝑒 𝑐𝑎𝑑𝑎 𝑒𝑠𝑡𝑟𝑎𝑡𝑒𝑔𝑖𝑎</a:t>
              </a:r>
              <a:br>
                <a:rPr lang="es-419" sz="1100" b="0"/>
              </a:br>
              <a:endParaRPr lang="es-419" sz="1100" b="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724551</xdr:colOff>
      <xdr:row>10</xdr:row>
      <xdr:rowOff>182360</xdr:rowOff>
    </xdr:from>
    <xdr:to>
      <xdr:col>42</xdr:col>
      <xdr:colOff>707339</xdr:colOff>
      <xdr:row>13</xdr:row>
      <xdr:rowOff>74356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CE2B557-FC3A-FB46-BECA-1CDE77339AE4}"/>
                </a:ext>
              </a:extLst>
            </xdr:cNvPr>
            <xdr:cNvSpPr txBox="1"/>
          </xdr:nvSpPr>
          <xdr:spPr>
            <a:xfrm>
              <a:off x="317760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CE2B557-FC3A-FB46-BECA-1CDE77339AE4}"/>
                </a:ext>
              </a:extLst>
            </xdr:cNvPr>
            <xdr:cNvSpPr txBox="1"/>
          </xdr:nvSpPr>
          <xdr:spPr>
            <a:xfrm>
              <a:off x="31776051" y="2265160"/>
              <a:ext cx="3297488" cy="5015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348760</xdr:colOff>
      <xdr:row>22</xdr:row>
      <xdr:rowOff>158260</xdr:rowOff>
    </xdr:from>
    <xdr:ext cx="1769651" cy="434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55377E1-59D1-C9C4-1208-CF47BB77A03F}"/>
                </a:ext>
              </a:extLst>
            </xdr:cNvPr>
            <xdr:cNvSpPr txBox="1"/>
          </xdr:nvSpPr>
          <xdr:spPr>
            <a:xfrm>
              <a:off x="13927991" y="4456722"/>
              <a:ext cx="1769651" cy="434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5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419" sz="15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419" sz="1500" b="0" i="1">
                        <a:latin typeface="Cambria Math" panose="02040503050406030204" pitchFamily="18" charset="0"/>
                      </a:rPr>
                      <m:t>𝑟𝑒𝑡𝑜𝑟𝑛𝑜</m:t>
                    </m:r>
                    <m:r>
                      <a:rPr lang="es-419" sz="1500" b="0" i="1">
                        <a:latin typeface="Cambria Math" panose="02040503050406030204" pitchFamily="18" charset="0"/>
                      </a:rPr>
                      <m:t> −</m:t>
                    </m:r>
                    <m:f>
                      <m:fPr>
                        <m:ctrlPr>
                          <a:rPr lang="es-419" sz="15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𝜃</m:t>
                        </m:r>
                      </m:num>
                      <m:den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sSup>
                      <m:sSupPr>
                        <m:ctrlPr>
                          <a:rPr lang="es-419" sz="15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5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55377E1-59D1-C9C4-1208-CF47BB77A03F}"/>
                </a:ext>
              </a:extLst>
            </xdr:cNvPr>
            <xdr:cNvSpPr txBox="1"/>
          </xdr:nvSpPr>
          <xdr:spPr>
            <a:xfrm>
              <a:off x="13927991" y="4456722"/>
              <a:ext cx="1769651" cy="434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500" b="0" i="0">
                  <a:latin typeface="Cambria Math" panose="02040503050406030204" pitchFamily="18" charset="0"/>
                </a:rPr>
                <a:t>𝑈=𝑟𝑒𝑡𝑜𝑟𝑛𝑜 −𝜃/2 𝜎^2</a:t>
              </a:r>
              <a:endParaRPr lang="es-MX" sz="1500"/>
            </a:p>
          </xdr:txBody>
        </xdr:sp>
      </mc:Fallback>
    </mc:AlternateContent>
    <xdr:clientData/>
  </xdr:oneCellAnchor>
  <xdr:oneCellAnchor>
    <xdr:from>
      <xdr:col>16</xdr:col>
      <xdr:colOff>266699</xdr:colOff>
      <xdr:row>25</xdr:row>
      <xdr:rowOff>134814</xdr:rowOff>
    </xdr:from>
    <xdr:ext cx="5393336" cy="2369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0370FD9-7005-6845-802A-419D4A2A4CA5}"/>
                </a:ext>
              </a:extLst>
            </xdr:cNvPr>
            <xdr:cNvSpPr txBox="1"/>
          </xdr:nvSpPr>
          <xdr:spPr>
            <a:xfrm>
              <a:off x="13845930" y="5019429"/>
              <a:ext cx="5393336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500" b="0" i="1">
                        <a:latin typeface="Cambria Math" panose="02040503050406030204" pitchFamily="18" charset="0"/>
                      </a:rPr>
                      <m:t>𝑅𝑒𝑡𝑜𝑟𝑛𝑜</m:t>
                    </m:r>
                    <m:r>
                      <a:rPr lang="es-419" sz="15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500" b="0" i="1">
                        <a:latin typeface="Cambria Math" panose="02040503050406030204" pitchFamily="18" charset="0"/>
                      </a:rPr>
                      <m:t>𝑁𝑒𝑡𝑜</m:t>
                    </m:r>
                    <m:r>
                      <a:rPr lang="es-419" sz="15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419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𝐶𝑟𝑒𝑐𝑖𝑚𝑖𝑒𝑛𝑡𝑜</m:t>
                        </m:r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𝑅𝑒𝑡𝑜𝑟𝑛𝑜</m:t>
                        </m:r>
                      </m:e>
                    </m:d>
                    <m:d>
                      <m:dPr>
                        <m:ctrlPr>
                          <a:rPr lang="es-419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𝐶𝑜𝑚𝑖𝑠𝑖</m:t>
                        </m:r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419" sz="15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s-419" sz="15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MX" sz="15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0370FD9-7005-6845-802A-419D4A2A4CA5}"/>
                </a:ext>
              </a:extLst>
            </xdr:cNvPr>
            <xdr:cNvSpPr txBox="1"/>
          </xdr:nvSpPr>
          <xdr:spPr>
            <a:xfrm>
              <a:off x="13845930" y="5019429"/>
              <a:ext cx="5393336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500" b="0" i="0">
                  <a:latin typeface="Cambria Math" panose="02040503050406030204" pitchFamily="18" charset="0"/>
                </a:rPr>
                <a:t>𝑅𝑒𝑡𝑜𝑟𝑛𝑜 𝑁𝑒𝑡𝑜=(1+𝐶𝑟𝑒𝑐𝑖𝑚𝑖𝑒𝑛𝑡𝑜 𝑅𝑒𝑡𝑜𝑟𝑛𝑜)(1−𝐶𝑜𝑚𝑖𝑠𝑖ó𝑛)−1</a:t>
              </a:r>
              <a:endParaRPr lang="es-MX" sz="15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lase%203%20-%20Riesgo%20Mercado/Excel/1.%20VaR%20Esta&#769;tico.xlsx" TargetMode="External"/><Relationship Id="rId2" Type="http://schemas.openxmlformats.org/officeDocument/2006/relationships/externalLinkPath" Target="/Users/francomansilla/Library/CloudStorage/GoogleDrive-franco.andres.mansilla@gmail.com/Mi%20unidad/universidad%20de%20chile/Magi&#769;ster%20en%20Finanzas%20WK/Business%20Analytics/Clase%203%20-%20Riesgo%20Mercado/Excel/1.%20VaR%20Esta&#769;tico.xlsx" TargetMode="External"/><Relationship Id="rId1" Type="http://schemas.openxmlformats.org/officeDocument/2006/relationships/externalLinkPath" Target="/Users/francomansilla/Library/CloudStorage/GoogleDrive-franco.andres.mansilla@gmail.com/Mi%20unidad/universidad%20de%20chile/Magi&#769;ster%20en%20Finanzas%20WK/Business%20Analytics/Clase%203%20-%20Riesgo%20Mercado/Excel/1.%20VaR%20Esta&#769;t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iskSim"/>
      <sheetName val="BD Original"/>
      <sheetName val="Precios"/>
      <sheetName val="Retorno"/>
      <sheetName val="Portafolio"/>
      <sheetName val="VaR (Volt. Hist)"/>
      <sheetName val="VaR (No-Param) "/>
      <sheetName val="VaR (Montecarlos)"/>
      <sheetName val="Ajuste Distr. All"/>
      <sheetName val="VaR (GARCH)"/>
      <sheetName val="GARCH-Apple"/>
      <sheetName val="GARCH-CC"/>
      <sheetName val="GARCH-JPMorgan"/>
      <sheetName val="GARCH-AT&amp;T"/>
      <sheetName val="GARCH-Portafolio"/>
    </sheetNames>
    <sheetDataSet>
      <sheetData sheetId="0"/>
      <sheetData sheetId="1"/>
      <sheetData sheetId="2"/>
      <sheetData sheetId="3"/>
      <sheetData sheetId="4">
        <row r="3">
          <cell r="F3">
            <v>-1.4662185008184019E-2</v>
          </cell>
          <cell r="G3">
            <v>2.1472312077841786E-3</v>
          </cell>
          <cell r="H3">
            <v>-1.0441079130812173E-2</v>
          </cell>
          <cell r="I3">
            <v>-6.4035322871765967E-3</v>
          </cell>
        </row>
        <row r="4">
          <cell r="F4">
            <v>2.8121205565770678E-3</v>
          </cell>
          <cell r="G4">
            <v>5.5939921723177225E-3</v>
          </cell>
          <cell r="H4">
            <v>2.2848847647558819E-3</v>
          </cell>
          <cell r="I4">
            <v>2.8511962146941443E-3</v>
          </cell>
        </row>
        <row r="5">
          <cell r="F5">
            <v>7.7070400094383651E-3</v>
          </cell>
          <cell r="G5">
            <v>-8.568180711971048E-3</v>
          </cell>
          <cell r="H5">
            <v>3.4177360836862881E-3</v>
          </cell>
          <cell r="I5">
            <v>3.5523360724823969E-3</v>
          </cell>
        </row>
        <row r="6">
          <cell r="F6">
            <v>7.8738144273404372E-3</v>
          </cell>
          <cell r="G6">
            <v>-6.141625470814838E-3</v>
          </cell>
          <cell r="H6">
            <v>-2.0956622133486116E-2</v>
          </cell>
          <cell r="I6">
            <v>1.1283650762276005E-2</v>
          </cell>
        </row>
        <row r="7">
          <cell r="F7">
            <v>2.1711540417555734E-2</v>
          </cell>
          <cell r="G7">
            <v>3.4904214645253497E-3</v>
          </cell>
          <cell r="H7">
            <v>6.740365503857486E-3</v>
          </cell>
          <cell r="I7">
            <v>-7.0373473579131004E-3</v>
          </cell>
        </row>
        <row r="8">
          <cell r="F8">
            <v>-2.6519108676923038E-2</v>
          </cell>
          <cell r="G8">
            <v>-2.6582344086022547E-3</v>
          </cell>
          <cell r="H8">
            <v>-9.5044774711671462E-4</v>
          </cell>
          <cell r="I8">
            <v>-7.0654176800563693E-4</v>
          </cell>
        </row>
        <row r="9">
          <cell r="F9">
            <v>1.2564052740774025E-2</v>
          </cell>
          <cell r="G9">
            <v>4.6472362667604817E-3</v>
          </cell>
          <cell r="H9">
            <v>-1.2233201758554283E-3</v>
          </cell>
          <cell r="I9">
            <v>-2.830866787178094E-3</v>
          </cell>
        </row>
        <row r="10">
          <cell r="F10">
            <v>8.8072127836774459E-3</v>
          </cell>
          <cell r="G10">
            <v>2.811071519673288E-3</v>
          </cell>
          <cell r="H10">
            <v>3.4622835952314748E-3</v>
          </cell>
          <cell r="I10">
            <v>7.0621975605345338E-3</v>
          </cell>
        </row>
        <row r="11">
          <cell r="F11">
            <v>2.1575762719950167E-2</v>
          </cell>
          <cell r="G11">
            <v>-9.9121473034572902E-4</v>
          </cell>
          <cell r="H11">
            <v>8.0993210507113115E-3</v>
          </cell>
          <cell r="I11">
            <v>3.8652123786868747E-2</v>
          </cell>
        </row>
        <row r="12">
          <cell r="F12">
            <v>1.899078242547661E-2</v>
          </cell>
          <cell r="G12">
            <v>-4.9597604879833524E-4</v>
          </cell>
          <cell r="H12">
            <v>-4.0415125667635282E-3</v>
          </cell>
          <cell r="I12">
            <v>-2.7118017809940271E-3</v>
          </cell>
        </row>
        <row r="13">
          <cell r="F13">
            <v>1.1717517176788328E-3</v>
          </cell>
          <cell r="G13">
            <v>-1.0640119950070189E-2</v>
          </cell>
          <cell r="H13">
            <v>-1.2428386047596607E-2</v>
          </cell>
          <cell r="I13">
            <v>4.0649860690958528E-3</v>
          </cell>
        </row>
        <row r="14">
          <cell r="F14">
            <v>8.4277857631225358E-3</v>
          </cell>
          <cell r="G14">
            <v>-8.7293459886518768E-3</v>
          </cell>
          <cell r="H14">
            <v>3.3430239573994255E-3</v>
          </cell>
          <cell r="I14">
            <v>-9.5109702559868468E-3</v>
          </cell>
        </row>
        <row r="15">
          <cell r="F15">
            <v>1.2659131987154749E-3</v>
          </cell>
          <cell r="G15">
            <v>-8.2960032000802229E-3</v>
          </cell>
          <cell r="H15">
            <v>-1.1095405596341172E-2</v>
          </cell>
          <cell r="I15">
            <v>-1.1671910678181512E-2</v>
          </cell>
        </row>
        <row r="16">
          <cell r="F16">
            <v>-3.6449647610985361E-2</v>
          </cell>
          <cell r="G16">
            <v>-6.802636816685408E-4</v>
          </cell>
          <cell r="H16">
            <v>-1.65396632304482E-3</v>
          </cell>
          <cell r="I16">
            <v>8.9378657253624903E-3</v>
          </cell>
        </row>
        <row r="17">
          <cell r="F17">
            <v>-2.9685687263803755E-2</v>
          </cell>
          <cell r="G17">
            <v>-7.685086250950387E-3</v>
          </cell>
          <cell r="H17">
            <v>-8.5911179492632866E-3</v>
          </cell>
          <cell r="I17">
            <v>0</v>
          </cell>
        </row>
        <row r="18">
          <cell r="F18">
            <v>3.4855737123982338E-3</v>
          </cell>
          <cell r="G18">
            <v>0</v>
          </cell>
          <cell r="H18">
            <v>7.6518323838956222E-4</v>
          </cell>
          <cell r="I18">
            <v>-1.4477988707991517E-2</v>
          </cell>
        </row>
        <row r="19">
          <cell r="F19">
            <v>6.6007039975988667E-3</v>
          </cell>
          <cell r="G19">
            <v>9.3849136242531647E-3</v>
          </cell>
          <cell r="H19">
            <v>4.3706422775577902E-3</v>
          </cell>
          <cell r="I19">
            <v>8.2988273439278445E-3</v>
          </cell>
        </row>
        <row r="20">
          <cell r="F20">
            <v>-1.7207766577965616E-2</v>
          </cell>
          <cell r="G20">
            <v>-9.8994165765982269E-3</v>
          </cell>
          <cell r="H20">
            <v>1.2930049259339658E-2</v>
          </cell>
          <cell r="I20">
            <v>-4.1408787728015178E-3</v>
          </cell>
        </row>
        <row r="21">
          <cell r="F21">
            <v>-1.1925628607410014E-2</v>
          </cell>
          <cell r="G21">
            <v>2.3984991177818894E-3</v>
          </cell>
          <cell r="H21">
            <v>4.7822692080471709E-4</v>
          </cell>
          <cell r="I21">
            <v>1.1004270746853787E-2</v>
          </cell>
        </row>
        <row r="22">
          <cell r="F22">
            <v>8.744192273870471E-3</v>
          </cell>
          <cell r="G22">
            <v>8.2446925036342867E-3</v>
          </cell>
          <cell r="H22">
            <v>1.9211775011975799E-2</v>
          </cell>
          <cell r="I22">
            <v>2.9651713697862989E-2</v>
          </cell>
        </row>
        <row r="23">
          <cell r="F23">
            <v>-4.1626265495737849E-3</v>
          </cell>
          <cell r="G23">
            <v>-8.9348416448038568E-3</v>
          </cell>
          <cell r="H23">
            <v>-2.9524998063902006E-3</v>
          </cell>
          <cell r="I23">
            <v>1.1224978589028094E-2</v>
          </cell>
        </row>
        <row r="24">
          <cell r="F24">
            <v>1.6771885661529522E-2</v>
          </cell>
          <cell r="G24">
            <v>6.1940863988089057E-3</v>
          </cell>
          <cell r="H24">
            <v>2.081060219182381E-3</v>
          </cell>
          <cell r="I24">
            <v>-9.2349221157867391E-3</v>
          </cell>
        </row>
        <row r="25">
          <cell r="F25">
            <v>6.1618290451625419E-3</v>
          </cell>
          <cell r="G25">
            <v>-2.0603885067279927E-3</v>
          </cell>
          <cell r="H25">
            <v>-1.2750275394505101E-3</v>
          </cell>
          <cell r="I25">
            <v>7.9209277625121085E-3</v>
          </cell>
        </row>
        <row r="26">
          <cell r="F26">
            <v>-2.0194689945887755E-2</v>
          </cell>
          <cell r="G26">
            <v>4.4589357728930948E-3</v>
          </cell>
          <cell r="H26">
            <v>-4.2389693184284203E-3</v>
          </cell>
          <cell r="I26">
            <v>2.2107528152630732E-2</v>
          </cell>
        </row>
        <row r="27">
          <cell r="F27">
            <v>-8.9290841663582452E-3</v>
          </cell>
          <cell r="G27">
            <v>-1.5520182226064388E-2</v>
          </cell>
          <cell r="H27">
            <v>-7.8527809774467452E-3</v>
          </cell>
          <cell r="I27">
            <v>-1.5554405482686634E-2</v>
          </cell>
        </row>
        <row r="28">
          <cell r="F28">
            <v>4.932157084030179E-3</v>
          </cell>
          <cell r="G28">
            <v>1.0421744338548341E-3</v>
          </cell>
          <cell r="H28">
            <v>-9.6290710303040105E-3</v>
          </cell>
          <cell r="I28">
            <v>-1.2488017087223817E-2</v>
          </cell>
        </row>
        <row r="29">
          <cell r="F29">
            <v>7.3532671978666295E-3</v>
          </cell>
          <cell r="G29">
            <v>-1.0471250468192831E-2</v>
          </cell>
          <cell r="H29">
            <v>4.9286703199951359E-3</v>
          </cell>
          <cell r="I29">
            <v>-3.9760898184737319E-3</v>
          </cell>
        </row>
        <row r="30">
          <cell r="F30">
            <v>-2.3676570379196956E-2</v>
          </cell>
          <cell r="G30">
            <v>-8.2798817906721903E-3</v>
          </cell>
          <cell r="H30">
            <v>-1.0433243353410393E-2</v>
          </cell>
          <cell r="I30">
            <v>-2.6595130223768674E-3</v>
          </cell>
        </row>
        <row r="31">
          <cell r="F31">
            <v>-8.9372740582099996E-3</v>
          </cell>
          <cell r="G31">
            <v>-1.0313022416799286E-2</v>
          </cell>
          <cell r="H31">
            <v>5.8476760566381946E-3</v>
          </cell>
          <cell r="I31">
            <v>-1.0036916003110012E-2</v>
          </cell>
        </row>
        <row r="32">
          <cell r="F32">
            <v>1.5245124110350558E-3</v>
          </cell>
          <cell r="G32">
            <v>-2.5052793506595878E-3</v>
          </cell>
          <cell r="H32">
            <v>1.2339652914118577E-2</v>
          </cell>
          <cell r="I32">
            <v>9.370913321953802E-3</v>
          </cell>
        </row>
        <row r="33">
          <cell r="F33">
            <v>3.0418117645047292E-3</v>
          </cell>
          <cell r="G33">
            <v>3.0412831937692204E-3</v>
          </cell>
          <cell r="H33">
            <v>-1.7566587699048578E-2</v>
          </cell>
          <cell r="I33">
            <v>6.6600268115622394E-4</v>
          </cell>
        </row>
        <row r="34">
          <cell r="F34">
            <v>1.4726612543542477E-2</v>
          </cell>
          <cell r="G34">
            <v>-8.9718561804357604E-3</v>
          </cell>
          <cell r="H34">
            <v>-8.6567488859623613E-3</v>
          </cell>
          <cell r="I34">
            <v>-2.3578125464621125E-2</v>
          </cell>
        </row>
        <row r="35">
          <cell r="F35">
            <v>-7.8002013931504684E-3</v>
          </cell>
          <cell r="G35">
            <v>-1.0873561101627389E-2</v>
          </cell>
          <cell r="H35">
            <v>-7.4001160534839551E-3</v>
          </cell>
          <cell r="I35">
            <v>7.470418425544037E-3</v>
          </cell>
        </row>
        <row r="36">
          <cell r="F36">
            <v>7.2820978273525263E-3</v>
          </cell>
          <cell r="G36">
            <v>2.9112300036451422E-3</v>
          </cell>
          <cell r="H36">
            <v>4.4743812840926343E-3</v>
          </cell>
          <cell r="I36">
            <v>-8.8346792935787202E-3</v>
          </cell>
        </row>
        <row r="37">
          <cell r="F37">
            <v>7.1721957179410305E-3</v>
          </cell>
          <cell r="G37">
            <v>-4.9535374384451825E-2</v>
          </cell>
          <cell r="H37">
            <v>4.2075901542361687E-3</v>
          </cell>
          <cell r="I37">
            <v>1.2211857867236135E-2</v>
          </cell>
        </row>
        <row r="38">
          <cell r="F38">
            <v>1.4642797262619538E-2</v>
          </cell>
          <cell r="G38">
            <v>1.4405068586763934E-2</v>
          </cell>
          <cell r="H38">
            <v>1.5278133083516892E-2</v>
          </cell>
          <cell r="I38">
            <v>-7.0340122474886078E-3</v>
          </cell>
        </row>
        <row r="39">
          <cell r="F39">
            <v>8.4155364965835446E-3</v>
          </cell>
          <cell r="G39">
            <v>-4.9046695157092994E-3</v>
          </cell>
          <cell r="H39">
            <v>-2.2767875931944174E-3</v>
          </cell>
          <cell r="I39">
            <v>1.919178660718069E-2</v>
          </cell>
        </row>
        <row r="40">
          <cell r="F40">
            <v>-3.3577377412587176E-3</v>
          </cell>
          <cell r="G40">
            <v>2.1514155913894644E-2</v>
          </cell>
          <cell r="H40">
            <v>6.0600170693245765E-3</v>
          </cell>
          <cell r="I40">
            <v>1.5493841465178439E-2</v>
          </cell>
        </row>
        <row r="41">
          <cell r="F41">
            <v>7.8729256654077838E-3</v>
          </cell>
          <cell r="G41">
            <v>-5.9402085775266582E-3</v>
          </cell>
          <cell r="H41">
            <v>3.4271245700145075E-3</v>
          </cell>
          <cell r="I41">
            <v>-1.2781979492703863E-2</v>
          </cell>
        </row>
        <row r="42">
          <cell r="F42">
            <v>5.0484914715231101E-3</v>
          </cell>
          <cell r="G42">
            <v>-1.6898605731409447E-2</v>
          </cell>
          <cell r="H42">
            <v>-2.3292037153074849E-3</v>
          </cell>
          <cell r="I42">
            <v>-2.1903648579655197E-2</v>
          </cell>
        </row>
        <row r="43">
          <cell r="F43">
            <v>-1.0346128156285038E-2</v>
          </cell>
          <cell r="G43">
            <v>1.5136608826072475E-3</v>
          </cell>
          <cell r="H43">
            <v>1.490802752612275E-2</v>
          </cell>
          <cell r="I43">
            <v>-6.2479325408984904E-3</v>
          </cell>
        </row>
        <row r="44">
          <cell r="F44">
            <v>-7.2710133536225421E-4</v>
          </cell>
          <cell r="G44">
            <v>1.0158067162630343E-2</v>
          </cell>
          <cell r="H44">
            <v>-1.0140315442376808E-3</v>
          </cell>
          <cell r="I44">
            <v>3.47593227385585E-3</v>
          </cell>
        </row>
        <row r="45">
          <cell r="F45">
            <v>-8.8236168219693739E-3</v>
          </cell>
          <cell r="G45">
            <v>1.1907236828734701E-2</v>
          </cell>
          <cell r="H45">
            <v>-2.1668112665697982E-3</v>
          </cell>
          <cell r="I45">
            <v>1.1728316519177792E-2</v>
          </cell>
        </row>
        <row r="46">
          <cell r="F46">
            <v>-7.4223370429170512E-3</v>
          </cell>
          <cell r="G46">
            <v>-3.7001627652822851E-4</v>
          </cell>
          <cell r="H46">
            <v>-1.1041381345434621E-2</v>
          </cell>
          <cell r="I46">
            <v>-1.7993646801684915E-2</v>
          </cell>
        </row>
        <row r="47">
          <cell r="F47">
            <v>-2.1632256780532658E-3</v>
          </cell>
          <cell r="G47">
            <v>5.5350153172178456E-3</v>
          </cell>
          <cell r="H47">
            <v>-4.2583678361532767E-3</v>
          </cell>
          <cell r="I47">
            <v>6.3577877182322051E-2</v>
          </cell>
        </row>
        <row r="48">
          <cell r="F48">
            <v>-1.48134638605088E-2</v>
          </cell>
          <cell r="G48">
            <v>4.0397446205238134E-3</v>
          </cell>
          <cell r="H48">
            <v>-1.623677213768495E-2</v>
          </cell>
          <cell r="I48">
            <v>7.8330630368045693E-3</v>
          </cell>
        </row>
        <row r="49">
          <cell r="F49">
            <v>6.9385280456884656E-4</v>
          </cell>
          <cell r="G49">
            <v>-9.01984365197008E-3</v>
          </cell>
          <cell r="H49">
            <v>-1.3735076896956099E-2</v>
          </cell>
          <cell r="I49">
            <v>-2.8356670761467306E-2</v>
          </cell>
        </row>
        <row r="50">
          <cell r="F50">
            <v>2.5402110604923374E-3</v>
          </cell>
          <cell r="G50">
            <v>2.8437891260977562E-2</v>
          </cell>
          <cell r="H50">
            <v>1.2049500256252955E-3</v>
          </cell>
          <cell r="I50">
            <v>3.8062243981015008E-2</v>
          </cell>
        </row>
        <row r="51">
          <cell r="F51">
            <v>-1.3583577722310494E-2</v>
          </cell>
          <cell r="G51">
            <v>8.5898919565569297E-3</v>
          </cell>
          <cell r="H51">
            <v>-5.4694749611117069E-3</v>
          </cell>
          <cell r="I51">
            <v>-2.2136321441816844E-2</v>
          </cell>
        </row>
        <row r="52">
          <cell r="F52">
            <v>-2.4913184770041188E-2</v>
          </cell>
          <cell r="G52">
            <v>-6.0768940601561034E-3</v>
          </cell>
          <cell r="H52">
            <v>2.5609400579485304E-3</v>
          </cell>
          <cell r="I52">
            <v>-4.6189215703234801E-3</v>
          </cell>
        </row>
        <row r="53">
          <cell r="F53">
            <v>7.9376258370334254E-3</v>
          </cell>
          <cell r="G53">
            <v>-9.7279469304567372E-3</v>
          </cell>
          <cell r="H53">
            <v>-3.6683337928199083E-2</v>
          </cell>
          <cell r="I53">
            <v>-2.0040684628752883E-2</v>
          </cell>
        </row>
        <row r="54">
          <cell r="F54">
            <v>1.2230145391432332E-2</v>
          </cell>
          <cell r="G54">
            <v>1.6339294527615768E-2</v>
          </cell>
          <cell r="H54">
            <v>1.26689866257148E-2</v>
          </cell>
          <cell r="I54">
            <v>2.9257291384540907E-2</v>
          </cell>
        </row>
        <row r="55">
          <cell r="F55">
            <v>2.8148308012558494E-3</v>
          </cell>
          <cell r="G55">
            <v>6.0369707476601144E-3</v>
          </cell>
          <cell r="H55">
            <v>1.1863603111821981E-2</v>
          </cell>
          <cell r="I55">
            <v>9.1325041752728462E-3</v>
          </cell>
        </row>
        <row r="56">
          <cell r="F56">
            <v>1.8565290897534802E-2</v>
          </cell>
          <cell r="G56">
            <v>-8.8556819319023528E-4</v>
          </cell>
          <cell r="H56">
            <v>-8.6331287395108823E-4</v>
          </cell>
          <cell r="I56">
            <v>1.1620614661695866E-2</v>
          </cell>
        </row>
        <row r="57">
          <cell r="F57">
            <v>2.0482069684558096E-2</v>
          </cell>
          <cell r="G57">
            <v>1.1450857122828546E-2</v>
          </cell>
          <cell r="H57">
            <v>1.7691845912209535E-2</v>
          </cell>
          <cell r="I57">
            <v>9.581644883623272E-3</v>
          </cell>
        </row>
        <row r="58">
          <cell r="F58">
            <v>-5.1946810275440517E-3</v>
          </cell>
          <cell r="G58">
            <v>-6.1495523287532295E-3</v>
          </cell>
          <cell r="H58">
            <v>1.1110587455196269E-2</v>
          </cell>
          <cell r="I58">
            <v>9.4907076045383631E-3</v>
          </cell>
        </row>
        <row r="59">
          <cell r="F59">
            <v>1.44996022601437E-2</v>
          </cell>
          <cell r="G59">
            <v>4.0454488376433064E-3</v>
          </cell>
          <cell r="H59">
            <v>7.5241008178584595E-3</v>
          </cell>
          <cell r="I59">
            <v>-8.2201612246451568E-3</v>
          </cell>
        </row>
        <row r="60">
          <cell r="F60">
            <v>1.4347282613426004E-2</v>
          </cell>
          <cell r="G60">
            <v>3.6793121473435051E-3</v>
          </cell>
          <cell r="H60">
            <v>-4.8618261899616047E-4</v>
          </cell>
          <cell r="I60">
            <v>5.6981618175608508E-3</v>
          </cell>
        </row>
        <row r="61">
          <cell r="F61">
            <v>5.8675683603629037E-3</v>
          </cell>
          <cell r="G61">
            <v>-1.5752086562333767E-3</v>
          </cell>
          <cell r="H61">
            <v>4.9183358399554396E-3</v>
          </cell>
          <cell r="I61">
            <v>-1.2067567354175589E-2</v>
          </cell>
        </row>
        <row r="62">
          <cell r="F62">
            <v>-2.6278835003809412E-3</v>
          </cell>
          <cell r="G62">
            <v>-7.5604337307585206E-3</v>
          </cell>
          <cell r="H62">
            <v>-2.9757978020443572E-3</v>
          </cell>
          <cell r="I62">
            <v>-1.2787371052778911E-3</v>
          </cell>
        </row>
        <row r="63">
          <cell r="F63">
            <v>2.2954556969230551E-2</v>
          </cell>
          <cell r="G63">
            <v>1.0583701900695479E-3</v>
          </cell>
          <cell r="H63">
            <v>1.4722279452399911E-2</v>
          </cell>
          <cell r="I63">
            <v>6.3967350467703291E-4</v>
          </cell>
        </row>
        <row r="64">
          <cell r="F64">
            <v>-8.6207243473615386E-3</v>
          </cell>
          <cell r="G64">
            <v>3.6955712633663846E-3</v>
          </cell>
          <cell r="H64">
            <v>-4.4488788474790633E-3</v>
          </cell>
          <cell r="I64">
            <v>-3.8437221263010121E-3</v>
          </cell>
        </row>
        <row r="65">
          <cell r="F65">
            <v>1.4184635374476782E-2</v>
          </cell>
          <cell r="G65">
            <v>2.981612142296002E-3</v>
          </cell>
          <cell r="H65">
            <v>1.8082265985749042E-2</v>
          </cell>
          <cell r="I65">
            <v>3.2040486216239152E-3</v>
          </cell>
        </row>
        <row r="66">
          <cell r="F66">
            <v>3.0363308776654089E-3</v>
          </cell>
          <cell r="G66">
            <v>1.9246372583412658E-3</v>
          </cell>
          <cell r="H66">
            <v>8.7197537313942614E-3</v>
          </cell>
          <cell r="I66">
            <v>8.2829440398884853E-3</v>
          </cell>
        </row>
        <row r="67">
          <cell r="F67">
            <v>9.0015200429287429E-3</v>
          </cell>
          <cell r="G67">
            <v>-1.0493722296692307E-3</v>
          </cell>
          <cell r="H67">
            <v>1.1355018101563337E-2</v>
          </cell>
          <cell r="I67">
            <v>7.5853598266493183E-3</v>
          </cell>
        </row>
        <row r="68">
          <cell r="F68">
            <v>-1.0544870529251719E-4</v>
          </cell>
          <cell r="G68">
            <v>1.9229550455904989E-3</v>
          </cell>
          <cell r="H68">
            <v>9.0052481102475771E-3</v>
          </cell>
          <cell r="I68">
            <v>1.2586844676198644E-3</v>
          </cell>
        </row>
        <row r="69">
          <cell r="F69">
            <v>9.2354873918627962E-3</v>
          </cell>
          <cell r="G69">
            <v>2.4420582166783792E-3</v>
          </cell>
          <cell r="H69">
            <v>3.0707044771690309E-3</v>
          </cell>
          <cell r="I69">
            <v>1.250014351434138E-2</v>
          </cell>
        </row>
        <row r="70">
          <cell r="F70">
            <v>-4.2398033377747738E-3</v>
          </cell>
          <cell r="G70">
            <v>1.0915721899237774E-2</v>
          </cell>
          <cell r="H70">
            <v>-2.089635023942204E-3</v>
          </cell>
          <cell r="I70">
            <v>5.5745681417839043E-3</v>
          </cell>
        </row>
        <row r="71">
          <cell r="F71">
            <v>3.5083046042034536E-3</v>
          </cell>
          <cell r="G71">
            <v>6.698173115196048E-3</v>
          </cell>
          <cell r="H71">
            <v>2.3505409404632072E-3</v>
          </cell>
          <cell r="I71">
            <v>-1.2361893781621346E-3</v>
          </cell>
        </row>
        <row r="72">
          <cell r="F72">
            <v>-7.0289607553052254E-3</v>
          </cell>
          <cell r="G72">
            <v>2.564368058518235E-3</v>
          </cell>
          <cell r="H72">
            <v>1.3685641523619864E-3</v>
          </cell>
          <cell r="I72">
            <v>2.4706584385659168E-3</v>
          </cell>
        </row>
        <row r="73">
          <cell r="F73">
            <v>-9.4805949388913479E-4</v>
          </cell>
          <cell r="G73">
            <v>-1.8798349524674102E-3</v>
          </cell>
          <cell r="H73">
            <v>-2.2819464710573719E-3</v>
          </cell>
          <cell r="I73">
            <v>0</v>
          </cell>
        </row>
        <row r="74">
          <cell r="F74">
            <v>3.2089405359202782E-3</v>
          </cell>
          <cell r="G74">
            <v>2.0506000205027385E-3</v>
          </cell>
          <cell r="H74">
            <v>2.2819464710573632E-3</v>
          </cell>
          <cell r="I74">
            <v>-1.8524051289652865E-3</v>
          </cell>
        </row>
        <row r="75">
          <cell r="F75">
            <v>-5.4242788854046205E-3</v>
          </cell>
          <cell r="G75">
            <v>-5.9926490699218782E-3</v>
          </cell>
          <cell r="H75">
            <v>5.0673693523613879E-3</v>
          </cell>
          <cell r="I75">
            <v>7.3891849715765874E-3</v>
          </cell>
        </row>
        <row r="76">
          <cell r="F76">
            <v>3.0580089148523034E-3</v>
          </cell>
          <cell r="G76">
            <v>1.1530896635000211E-2</v>
          </cell>
          <cell r="H76">
            <v>1.1340267252648781E-2</v>
          </cell>
          <cell r="I76">
            <v>1.6428683176453563E-2</v>
          </cell>
        </row>
        <row r="77">
          <cell r="F77">
            <v>6.7683969358011721E-3</v>
          </cell>
          <cell r="G77">
            <v>3.4165183963682714E-3</v>
          </cell>
          <cell r="H77">
            <v>4.857594182652576E-3</v>
          </cell>
          <cell r="I77">
            <v>1.1401293855996619E-2</v>
          </cell>
        </row>
        <row r="78">
          <cell r="F78">
            <v>-9.5097229376474839E-3</v>
          </cell>
          <cell r="G78">
            <v>-1.1944749472458554E-3</v>
          </cell>
          <cell r="H78">
            <v>7.3054908777762974E-3</v>
          </cell>
          <cell r="I78">
            <v>-5.9844807698541955E-3</v>
          </cell>
        </row>
        <row r="79">
          <cell r="F79">
            <v>2.084449839920156E-2</v>
          </cell>
          <cell r="G79">
            <v>1.5354718166455639E-3</v>
          </cell>
          <cell r="H79">
            <v>-1.266031176191559E-4</v>
          </cell>
          <cell r="I79">
            <v>3.306087505214772E-2</v>
          </cell>
        </row>
        <row r="80">
          <cell r="F80">
            <v>-5.7032520050787593E-3</v>
          </cell>
          <cell r="G80">
            <v>-1.0233916476147672E-3</v>
          </cell>
          <cell r="H80">
            <v>-1.0563861768930536E-2</v>
          </cell>
          <cell r="I80">
            <v>-1.6393661333646715E-2</v>
          </cell>
        </row>
        <row r="81">
          <cell r="F81">
            <v>1.0088207138443817E-2</v>
          </cell>
          <cell r="G81">
            <v>2.3863212857141401E-3</v>
          </cell>
          <cell r="H81">
            <v>3.0661278355592595E-3</v>
          </cell>
          <cell r="I81">
            <v>8.8156554713472324E-3</v>
          </cell>
        </row>
        <row r="82">
          <cell r="F82">
            <v>7.3850207302899578E-3</v>
          </cell>
          <cell r="G82">
            <v>-2.2156572655028478E-3</v>
          </cell>
          <cell r="H82">
            <v>1.0973473354382132E-2</v>
          </cell>
          <cell r="I82">
            <v>-9.9971434933014119E-3</v>
          </cell>
        </row>
        <row r="83">
          <cell r="F83">
            <v>-1.301155524149791E-2</v>
          </cell>
          <cell r="G83">
            <v>7.3098102582420726E-3</v>
          </cell>
          <cell r="H83">
            <v>3.6521773139312004E-3</v>
          </cell>
          <cell r="I83">
            <v>-1.7889443279638567E-2</v>
          </cell>
        </row>
        <row r="84">
          <cell r="F84">
            <v>7.8889519649972505E-3</v>
          </cell>
          <cell r="G84">
            <v>6.4156731620670822E-3</v>
          </cell>
          <cell r="H84">
            <v>8.8855459657744724E-3</v>
          </cell>
          <cell r="I84">
            <v>-1.2715943603931842E-2</v>
          </cell>
        </row>
        <row r="85">
          <cell r="F85">
            <v>1.6553655693470191E-2</v>
          </cell>
          <cell r="G85">
            <v>8.5463889760277086E-3</v>
          </cell>
          <cell r="H85">
            <v>3.3584282184013106E-3</v>
          </cell>
          <cell r="I85">
            <v>2.4346320782964847E-3</v>
          </cell>
        </row>
        <row r="86">
          <cell r="F86">
            <v>7.5742185089877612E-4</v>
          </cell>
          <cell r="G86">
            <v>-1.4962062138094838E-2</v>
          </cell>
          <cell r="H86">
            <v>1.8028547888701854E-2</v>
          </cell>
          <cell r="I86">
            <v>1.208465691282283E-2</v>
          </cell>
        </row>
        <row r="87">
          <cell r="F87">
            <v>-2.7295073142777661E-3</v>
          </cell>
          <cell r="G87">
            <v>-7.4804742784532674E-3</v>
          </cell>
          <cell r="H87">
            <v>7.5329194945627474E-3</v>
          </cell>
          <cell r="I87">
            <v>-7.8383887172057826E-3</v>
          </cell>
        </row>
        <row r="88">
          <cell r="F88">
            <v>-8.53965400802611E-3</v>
          </cell>
          <cell r="G88">
            <v>7.1417585896560408E-3</v>
          </cell>
          <cell r="H88">
            <v>6.0338573294274594E-3</v>
          </cell>
          <cell r="I88">
            <v>-3.6386626067303612E-3</v>
          </cell>
        </row>
        <row r="89">
          <cell r="F89">
            <v>5.3458637702141027E-3</v>
          </cell>
          <cell r="G89">
            <v>-3.2244751257021888E-3</v>
          </cell>
          <cell r="H89">
            <v>1.3266549902395489E-2</v>
          </cell>
          <cell r="I89">
            <v>9.0718253225267661E-3</v>
          </cell>
        </row>
        <row r="90">
          <cell r="F90">
            <v>-1.0771711802952852E-2</v>
          </cell>
          <cell r="G90">
            <v>-2.0955763699396959E-2</v>
          </cell>
          <cell r="H90">
            <v>-1.1343350930772851E-2</v>
          </cell>
          <cell r="I90">
            <v>-1.2723712230209391E-2</v>
          </cell>
        </row>
        <row r="91">
          <cell r="F91">
            <v>-7.7033791279105483E-4</v>
          </cell>
          <cell r="G91">
            <v>6.5744708171604086E-3</v>
          </cell>
          <cell r="H91">
            <v>5.6878079343058051E-3</v>
          </cell>
          <cell r="I91">
            <v>5.4729367751170889E-3</v>
          </cell>
        </row>
        <row r="92">
          <cell r="F92">
            <v>-5.5629055748559423E-3</v>
          </cell>
          <cell r="G92">
            <v>5.6744066112261139E-3</v>
          </cell>
          <cell r="H92">
            <v>-5.9719768106862266E-4</v>
          </cell>
          <cell r="I92">
            <v>3.6318010530331695E-3</v>
          </cell>
        </row>
        <row r="93">
          <cell r="F93">
            <v>-2.8449113917028523E-3</v>
          </cell>
          <cell r="G93">
            <v>4.1068114348282283E-3</v>
          </cell>
          <cell r="H93">
            <v>5.8965836558493075E-3</v>
          </cell>
          <cell r="I93">
            <v>1.2077595132303129E-3</v>
          </cell>
        </row>
        <row r="94">
          <cell r="F94">
            <v>5.1779897604456546E-4</v>
          </cell>
          <cell r="G94">
            <v>2.5581149129798759E-3</v>
          </cell>
          <cell r="H94">
            <v>5.9800808714544585E-3</v>
          </cell>
          <cell r="I94">
            <v>6.0333319054379066E-4</v>
          </cell>
        </row>
        <row r="95">
          <cell r="F95">
            <v>2.2237825955231019E-3</v>
          </cell>
          <cell r="G95">
            <v>6.811858639393253E-4</v>
          </cell>
          <cell r="H95">
            <v>5.2989165247204857E-3</v>
          </cell>
          <cell r="I95">
            <v>9.6039637827291333E-3</v>
          </cell>
        </row>
        <row r="96">
          <cell r="F96">
            <v>-5.4389057902563941E-3</v>
          </cell>
          <cell r="G96">
            <v>3.0590814664282501E-3</v>
          </cell>
          <cell r="H96">
            <v>-1.1751806513597941E-3</v>
          </cell>
          <cell r="I96">
            <v>2.3866948027653455E-3</v>
          </cell>
        </row>
        <row r="97">
          <cell r="F97">
            <v>-3.6442669115568614E-2</v>
          </cell>
          <cell r="G97">
            <v>1.4989765411567772E-2</v>
          </cell>
          <cell r="H97">
            <v>1.1573020195509662E-2</v>
          </cell>
          <cell r="I97">
            <v>2.7624383831125431E-2</v>
          </cell>
        </row>
        <row r="98">
          <cell r="F98">
            <v>-7.5158087877084971E-3</v>
          </cell>
          <cell r="G98">
            <v>2.3375916662677874E-3</v>
          </cell>
          <cell r="H98">
            <v>-4.3679752008790812E-3</v>
          </cell>
          <cell r="I98">
            <v>-1.1600607305661888E-3</v>
          </cell>
        </row>
        <row r="99">
          <cell r="F99">
            <v>-1.2781428001649012E-2</v>
          </cell>
          <cell r="G99">
            <v>-3.3411282708156569E-3</v>
          </cell>
          <cell r="H99">
            <v>6.6141593258210608E-3</v>
          </cell>
          <cell r="I99">
            <v>-4.6539918884881352E-3</v>
          </cell>
        </row>
        <row r="100">
          <cell r="F100">
            <v>-4.0210117830922973E-3</v>
          </cell>
          <cell r="G100">
            <v>-1.5071191150336566E-3</v>
          </cell>
          <cell r="H100">
            <v>5.0046366419241994E-3</v>
          </cell>
          <cell r="I100">
            <v>1.8487103983690103E-2</v>
          </cell>
        </row>
        <row r="101">
          <cell r="F101">
            <v>2.3887222589555022E-2</v>
          </cell>
          <cell r="G101">
            <v>7.3468937372898847E-3</v>
          </cell>
          <cell r="H101">
            <v>-1.4521496056958624E-3</v>
          </cell>
          <cell r="I101">
            <v>-8.62337357891769E-3</v>
          </cell>
        </row>
        <row r="102">
          <cell r="F102">
            <v>-2.2659828390601978E-3</v>
          </cell>
          <cell r="G102">
            <v>-1.8316735365529078E-3</v>
          </cell>
          <cell r="H102">
            <v>-7.9374988566027482E-3</v>
          </cell>
          <cell r="I102">
            <v>-5.4130016942953952E-3</v>
          </cell>
        </row>
        <row r="103">
          <cell r="F103">
            <v>5.655471783241264E-3</v>
          </cell>
          <cell r="G103">
            <v>3.3277857054118689E-3</v>
          </cell>
          <cell r="H103">
            <v>2.1072476150256008E-3</v>
          </cell>
          <cell r="I103">
            <v>-4.7308269784354078E-3</v>
          </cell>
        </row>
        <row r="104">
          <cell r="F104">
            <v>-3.2278053849822972E-3</v>
          </cell>
          <cell r="G104">
            <v>-6.4994939061170766E-3</v>
          </cell>
          <cell r="H104">
            <v>-4.2189451011928857E-3</v>
          </cell>
          <cell r="I104">
            <v>-3.8675610583800438E-2</v>
          </cell>
        </row>
        <row r="105">
          <cell r="F105">
            <v>1.776525989713901E-3</v>
          </cell>
          <cell r="G105">
            <v>9.6506195124218454E-3</v>
          </cell>
          <cell r="H105">
            <v>-7.3671383000021009E-3</v>
          </cell>
          <cell r="I105">
            <v>1.5286157688589852E-2</v>
          </cell>
        </row>
        <row r="106">
          <cell r="F106">
            <v>-1.2393598825964395E-2</v>
          </cell>
          <cell r="G106">
            <v>-6.6456043485522889E-3</v>
          </cell>
          <cell r="H106">
            <v>-6.2900128628262742E-3</v>
          </cell>
          <cell r="I106">
            <v>-2.4301095699120847E-3</v>
          </cell>
        </row>
        <row r="107">
          <cell r="F107">
            <v>-5.186893307744119E-3</v>
          </cell>
          <cell r="G107">
            <v>0</v>
          </cell>
          <cell r="H107">
            <v>-5.371937640172391E-3</v>
          </cell>
          <cell r="I107">
            <v>-1.8264811991713004E-3</v>
          </cell>
        </row>
        <row r="108">
          <cell r="F108">
            <v>3.205143040647615E-2</v>
          </cell>
          <cell r="G108">
            <v>2.8297562882526783E-3</v>
          </cell>
          <cell r="H108">
            <v>1.9731308295413211E-3</v>
          </cell>
          <cell r="I108">
            <v>-6.0961109656987951E-4</v>
          </cell>
        </row>
        <row r="109">
          <cell r="F109">
            <v>1.5413605907075779E-2</v>
          </cell>
          <cell r="G109">
            <v>-5.5003761178523645E-3</v>
          </cell>
          <cell r="H109">
            <v>1.7114591700558776E-2</v>
          </cell>
          <cell r="I109">
            <v>1.6329333065123283E-2</v>
          </cell>
        </row>
        <row r="110">
          <cell r="F110">
            <v>1.2089939794405298E-2</v>
          </cell>
          <cell r="G110">
            <v>-4.3551865509223759E-3</v>
          </cell>
          <cell r="H110">
            <v>-1.1749870658817193E-3</v>
          </cell>
          <cell r="I110">
            <v>7.7681556093607577E-3</v>
          </cell>
        </row>
        <row r="111">
          <cell r="F111">
            <v>6.6312354047433934E-3</v>
          </cell>
          <cell r="G111">
            <v>4.6892664291325829E-3</v>
          </cell>
          <cell r="H111">
            <v>-6.605698786174531E-3</v>
          </cell>
          <cell r="I111">
            <v>2.2949014004003898E-2</v>
          </cell>
        </row>
        <row r="112">
          <cell r="F112">
            <v>-3.4900447377881711E-3</v>
          </cell>
          <cell r="G112">
            <v>-1.5830462198802939E-2</v>
          </cell>
          <cell r="H112">
            <v>8.8957289910188905E-3</v>
          </cell>
          <cell r="I112">
            <v>-3.011736741564745E-2</v>
          </cell>
        </row>
        <row r="113">
          <cell r="F113">
            <v>-1.6980138057580752E-3</v>
          </cell>
          <cell r="G113">
            <v>4.2347552165082781E-3</v>
          </cell>
          <cell r="H113">
            <v>1.4209382167514918E-2</v>
          </cell>
          <cell r="I113">
            <v>2.9535485641168389E-2</v>
          </cell>
        </row>
        <row r="114">
          <cell r="F114">
            <v>-9.053703332614238E-3</v>
          </cell>
          <cell r="G114">
            <v>3.5433502166368901E-3</v>
          </cell>
          <cell r="H114">
            <v>-3.8235737207052796E-3</v>
          </cell>
          <cell r="I114">
            <v>6.382391439619532E-3</v>
          </cell>
        </row>
        <row r="115">
          <cell r="F115">
            <v>-3.5923582258243084E-3</v>
          </cell>
          <cell r="G115">
            <v>6.045418986824742E-3</v>
          </cell>
          <cell r="H115">
            <v>2.608569026138582E-3</v>
          </cell>
          <cell r="I115">
            <v>-2.3161320398991719E-3</v>
          </cell>
        </row>
        <row r="116">
          <cell r="F116">
            <v>-1.9433375980611085E-2</v>
          </cell>
          <cell r="G116">
            <v>2.842073474480988E-3</v>
          </cell>
          <cell r="H116">
            <v>2.0287319345977977E-2</v>
          </cell>
          <cell r="I116">
            <v>1.610156507641821E-2</v>
          </cell>
        </row>
        <row r="117">
          <cell r="F117">
            <v>-1.9547375416428876E-2</v>
          </cell>
          <cell r="G117">
            <v>-6.8682608284900979E-3</v>
          </cell>
          <cell r="H117">
            <v>-1.0894867940747696E-2</v>
          </cell>
          <cell r="I117">
            <v>9.08571462661973E-3</v>
          </cell>
        </row>
        <row r="118">
          <cell r="F118">
            <v>1.3252435087594459E-2</v>
          </cell>
          <cell r="G118">
            <v>2.4737724565590001E-2</v>
          </cell>
          <cell r="H118">
            <v>-3.6197520984293389E-3</v>
          </cell>
          <cell r="I118">
            <v>1.9592162762490182E-2</v>
          </cell>
        </row>
        <row r="119">
          <cell r="F119">
            <v>-5.4198470459970276E-3</v>
          </cell>
          <cell r="G119">
            <v>-7.2416284624734579E-3</v>
          </cell>
          <cell r="H119">
            <v>5.7395664242008678E-3</v>
          </cell>
          <cell r="I119">
            <v>-1.1709175802896356E-2</v>
          </cell>
        </row>
        <row r="120">
          <cell r="F120">
            <v>9.7984505156412712E-3</v>
          </cell>
          <cell r="G120">
            <v>-8.2933112377348989E-3</v>
          </cell>
          <cell r="H120">
            <v>-1.3171600244696804E-3</v>
          </cell>
          <cell r="I120">
            <v>-5.6243984313423317E-3</v>
          </cell>
        </row>
        <row r="121">
          <cell r="F121">
            <v>8.5946741458582179E-3</v>
          </cell>
          <cell r="G121">
            <v>-1.6669342296507035E-3</v>
          </cell>
          <cell r="H121">
            <v>3.4324844651034197E-3</v>
          </cell>
          <cell r="I121">
            <v>-6.7910685184317367E-3</v>
          </cell>
        </row>
        <row r="122">
          <cell r="F122">
            <v>5.8094509155742779E-4</v>
          </cell>
          <cell r="G122">
            <v>8.3381444850086286E-4</v>
          </cell>
          <cell r="H122">
            <v>1.8827811992427708E-3</v>
          </cell>
          <cell r="I122">
            <v>-1.6027947235816124E-2</v>
          </cell>
        </row>
        <row r="123">
          <cell r="F123">
            <v>-5.7713210785359176E-3</v>
          </cell>
          <cell r="G123">
            <v>-2.670619829599635E-3</v>
          </cell>
          <cell r="H123">
            <v>-3.5975477957779409E-3</v>
          </cell>
          <cell r="I123">
            <v>-2.9870396236716779E-2</v>
          </cell>
        </row>
        <row r="124">
          <cell r="F124">
            <v>4.0856395568765842E-3</v>
          </cell>
          <cell r="G124">
            <v>-4.5230317841640829E-3</v>
          </cell>
          <cell r="H124">
            <v>1.200619285424928E-3</v>
          </cell>
          <cell r="I124">
            <v>1.1883725529783697E-3</v>
          </cell>
        </row>
        <row r="125">
          <cell r="F125">
            <v>-9.0426439389799818E-3</v>
          </cell>
          <cell r="G125">
            <v>2.3477669245357624E-3</v>
          </cell>
          <cell r="H125">
            <v>4.4469325058092328E-3</v>
          </cell>
          <cell r="I125">
            <v>1.0632216336701443E-2</v>
          </cell>
        </row>
        <row r="126">
          <cell r="F126">
            <v>-1.133841763443315E-2</v>
          </cell>
          <cell r="G126">
            <v>-5.8799302773867674E-3</v>
          </cell>
          <cell r="H126">
            <v>-8.7416423305419957E-3</v>
          </cell>
          <cell r="I126">
            <v>-7.075609674194675E-3</v>
          </cell>
        </row>
        <row r="127">
          <cell r="F127">
            <v>-4.8213974030586366E-3</v>
          </cell>
          <cell r="G127">
            <v>-1.0114192349661964E-3</v>
          </cell>
          <cell r="H127">
            <v>1.0105957663276266E-2</v>
          </cell>
          <cell r="I127">
            <v>5.9145856733030231E-4</v>
          </cell>
        </row>
        <row r="128">
          <cell r="F128">
            <v>-1.5759825619922172E-3</v>
          </cell>
          <cell r="G128">
            <v>1.8535876226185115E-3</v>
          </cell>
          <cell r="H128">
            <v>2.1580013672744289E-2</v>
          </cell>
          <cell r="I128">
            <v>1.0588436740846002E-2</v>
          </cell>
        </row>
        <row r="129">
          <cell r="F129">
            <v>-8.4661574423176515E-3</v>
          </cell>
          <cell r="G129">
            <v>-1.6839405150777205E-4</v>
          </cell>
          <cell r="H129">
            <v>-4.6810314347300336E-3</v>
          </cell>
          <cell r="I129">
            <v>-7.0465265167247411E-3</v>
          </cell>
        </row>
        <row r="130">
          <cell r="F130">
            <v>-4.1223013161664603E-3</v>
          </cell>
          <cell r="G130">
            <v>2.181787938436186E-2</v>
          </cell>
          <cell r="H130">
            <v>3.9023496044056838E-3</v>
          </cell>
          <cell r="I130">
            <v>-3.5419102241213379E-3</v>
          </cell>
        </row>
        <row r="131">
          <cell r="F131">
            <v>4.1772619153831059E-3</v>
          </cell>
          <cell r="G131">
            <v>8.8568526987604264E-3</v>
          </cell>
          <cell r="H131">
            <v>6.4887245296995355E-3</v>
          </cell>
          <cell r="I131">
            <v>5.3082933634442889E-3</v>
          </cell>
        </row>
        <row r="132">
          <cell r="F132">
            <v>1.118116096025438E-2</v>
          </cell>
          <cell r="G132">
            <v>-1.4707357985398316E-3</v>
          </cell>
          <cell r="H132">
            <v>1.1924178761792791E-2</v>
          </cell>
          <cell r="I132">
            <v>-2.4413339458236528E-2</v>
          </cell>
        </row>
        <row r="133">
          <cell r="F133">
            <v>-1.0084818339197638E-2</v>
          </cell>
          <cell r="G133">
            <v>8.1738858055153973E-4</v>
          </cell>
          <cell r="H133">
            <v>5.0128845481506338E-3</v>
          </cell>
          <cell r="I133">
            <v>1.2578760442407045E-2</v>
          </cell>
        </row>
        <row r="134">
          <cell r="F134">
            <v>-7.479106127821062E-3</v>
          </cell>
          <cell r="G134">
            <v>-8.0388122707836501E-3</v>
          </cell>
          <cell r="H134">
            <v>-3.4300521667624483E-3</v>
          </cell>
          <cell r="I134">
            <v>-1.1976066753339242E-2</v>
          </cell>
        </row>
        <row r="135">
          <cell r="F135">
            <v>8.0816092470088127E-3</v>
          </cell>
          <cell r="G135">
            <v>-6.1132169466150627E-3</v>
          </cell>
          <cell r="H135">
            <v>4.9073938927271261E-4</v>
          </cell>
          <cell r="I135">
            <v>1.3760308076745754E-2</v>
          </cell>
        </row>
        <row r="136">
          <cell r="F136">
            <v>-6.647496052951337E-3</v>
          </cell>
          <cell r="G136">
            <v>9.9389517455469021E-4</v>
          </cell>
          <cell r="H136">
            <v>5.0566859458387667E-3</v>
          </cell>
          <cell r="I136">
            <v>7.6945269621530249E-3</v>
          </cell>
        </row>
        <row r="137">
          <cell r="F137">
            <v>-3.6999302544279294E-3</v>
          </cell>
          <cell r="G137">
            <v>-6.311315966027564E-3</v>
          </cell>
          <cell r="H137">
            <v>9.0702909341080495E-3</v>
          </cell>
          <cell r="I137">
            <v>-1.7703701935084114E-3</v>
          </cell>
        </row>
        <row r="138">
          <cell r="F138">
            <v>-6.0485955778969338E-3</v>
          </cell>
          <cell r="G138">
            <v>-8.1974383416661724E-3</v>
          </cell>
          <cell r="H138">
            <v>-4.1470699285579005E-3</v>
          </cell>
          <cell r="I138">
            <v>2.9490604228386468E-3</v>
          </cell>
        </row>
        <row r="139">
          <cell r="F139">
            <v>-2.5708994582135079E-2</v>
          </cell>
          <cell r="G139">
            <v>4.6925289520041878E-3</v>
          </cell>
          <cell r="H139">
            <v>7.4737850456217817E-3</v>
          </cell>
          <cell r="I139">
            <v>-1.0657458514889893E-2</v>
          </cell>
        </row>
        <row r="140">
          <cell r="F140">
            <v>-2.8853134850884594E-2</v>
          </cell>
          <cell r="G140">
            <v>-4.8605552480539922E-3</v>
          </cell>
          <cell r="H140">
            <v>9.9673658093087422E-3</v>
          </cell>
          <cell r="I140">
            <v>2.1784911671504949E-2</v>
          </cell>
        </row>
        <row r="141">
          <cell r="F141">
            <v>-5.8956789518436912E-3</v>
          </cell>
          <cell r="G141">
            <v>5.0397715508103207E-4</v>
          </cell>
          <cell r="H141">
            <v>5.1841067662975826E-3</v>
          </cell>
          <cell r="I141">
            <v>5.8222055801986279E-4</v>
          </cell>
        </row>
        <row r="142">
          <cell r="F142">
            <v>-7.0975441095678829E-4</v>
          </cell>
          <cell r="G142">
            <v>-1.848914347035491E-3</v>
          </cell>
          <cell r="H142">
            <v>-8.7971014039722271E-3</v>
          </cell>
          <cell r="I142">
            <v>-7.5957392761439417E-3</v>
          </cell>
        </row>
        <row r="143">
          <cell r="F143">
            <v>1.0184574634208254E-2</v>
          </cell>
          <cell r="G143">
            <v>1.3449371919544843E-3</v>
          </cell>
          <cell r="H143">
            <v>1.8612639482236896E-3</v>
          </cell>
          <cell r="I143">
            <v>8.7592244143747111E-3</v>
          </cell>
        </row>
        <row r="144">
          <cell r="F144">
            <v>1.1762232376596935E-2</v>
          </cell>
          <cell r="G144">
            <v>1.2024245731310248E-2</v>
          </cell>
          <cell r="H144">
            <v>3.7176867835657829E-4</v>
          </cell>
          <cell r="I144">
            <v>7.5296267385311973E-3</v>
          </cell>
        </row>
        <row r="145">
          <cell r="F145">
            <v>2.7746091448219968E-3</v>
          </cell>
          <cell r="G145">
            <v>4.3067844327523246E-3</v>
          </cell>
          <cell r="H145">
            <v>8.1983530120362299E-3</v>
          </cell>
          <cell r="I145">
            <v>-7.5296267385311115E-3</v>
          </cell>
        </row>
        <row r="146">
          <cell r="F146">
            <v>-1.2196574219039144E-2</v>
          </cell>
          <cell r="G146">
            <v>1.0195775101912073E-2</v>
          </cell>
          <cell r="H146">
            <v>8.079352123651724E-3</v>
          </cell>
          <cell r="I146">
            <v>-5.8160336375158385E-4</v>
          </cell>
        </row>
        <row r="147">
          <cell r="F147">
            <v>1.0868104262170121E-2</v>
          </cell>
          <cell r="G147">
            <v>-2.2289265661106588E-3</v>
          </cell>
          <cell r="H147">
            <v>-1.7978656730612674E-2</v>
          </cell>
          <cell r="I147">
            <v>-1.0526393935028697E-2</v>
          </cell>
        </row>
        <row r="148">
          <cell r="F148">
            <v>-2.1990199647653258E-3</v>
          </cell>
          <cell r="G148">
            <v>-1.0300751202101817E-2</v>
          </cell>
          <cell r="H148">
            <v>1.2319503083121451E-2</v>
          </cell>
          <cell r="I148">
            <v>2.3487728844055851E-3</v>
          </cell>
        </row>
        <row r="149">
          <cell r="F149">
            <v>6.3521899768463532E-3</v>
          </cell>
          <cell r="G149">
            <v>4.1663069910752798E-3</v>
          </cell>
          <cell r="H149">
            <v>1.2325227911982373E-2</v>
          </cell>
          <cell r="I149">
            <v>1.455631158926427E-2</v>
          </cell>
        </row>
        <row r="150">
          <cell r="F150">
            <v>1.3493637966671364E-2</v>
          </cell>
          <cell r="G150">
            <v>1.6616478726241028E-3</v>
          </cell>
          <cell r="H150">
            <v>5.8480844115032697E-3</v>
          </cell>
          <cell r="I150">
            <v>-7.5427928711403599E-3</v>
          </cell>
        </row>
        <row r="151">
          <cell r="F151">
            <v>1.4602145308817756E-2</v>
          </cell>
          <cell r="G151">
            <v>8.5965451914703454E-3</v>
          </cell>
          <cell r="H151">
            <v>1.3021806957661381E-2</v>
          </cell>
          <cell r="I151">
            <v>2.3269110502146303E-3</v>
          </cell>
        </row>
        <row r="152">
          <cell r="F152">
            <v>-4.1715613983300662E-2</v>
          </cell>
          <cell r="G152">
            <v>-4.6196894266072042E-3</v>
          </cell>
          <cell r="H152">
            <v>1.3809332358761774E-2</v>
          </cell>
          <cell r="I152">
            <v>-2.9095910236789767E-3</v>
          </cell>
        </row>
        <row r="153">
          <cell r="F153">
            <v>5.2960884338796171E-3</v>
          </cell>
          <cell r="G153">
            <v>3.3072101581254086E-4</v>
          </cell>
          <cell r="H153">
            <v>-1.2333324609694349E-2</v>
          </cell>
          <cell r="I153">
            <v>-1.0544773183150766E-2</v>
          </cell>
        </row>
        <row r="154">
          <cell r="F154">
            <v>-8.3350523254073824E-3</v>
          </cell>
          <cell r="G154">
            <v>-1.4890065620656438E-3</v>
          </cell>
          <cell r="H154">
            <v>-9.1968412694247506E-3</v>
          </cell>
          <cell r="I154">
            <v>8.2110739967389546E-3</v>
          </cell>
        </row>
        <row r="155">
          <cell r="F155">
            <v>-6.6948293563426041E-3</v>
          </cell>
          <cell r="G155">
            <v>2.3152310191375206E-3</v>
          </cell>
          <cell r="H155">
            <v>4.6600093568763086E-3</v>
          </cell>
          <cell r="I155">
            <v>3.4985997178958793E-3</v>
          </cell>
        </row>
        <row r="156">
          <cell r="F156">
            <v>2.0990652674622658E-2</v>
          </cell>
          <cell r="G156">
            <v>8.0612064628980545E-3</v>
          </cell>
          <cell r="H156">
            <v>1.9178381247547345E-2</v>
          </cell>
          <cell r="I156">
            <v>2.130803414272742E-2</v>
          </cell>
        </row>
        <row r="157">
          <cell r="F157">
            <v>-1.0615167680639992E-2</v>
          </cell>
          <cell r="G157">
            <v>2.4548076667502516E-3</v>
          </cell>
          <cell r="H157">
            <v>3.9017948330012063E-3</v>
          </cell>
          <cell r="I157">
            <v>2.8449078782690519E-3</v>
          </cell>
        </row>
        <row r="158">
          <cell r="F158">
            <v>-8.4917741718009161E-3</v>
          </cell>
          <cell r="G158">
            <v>-8.2061974569752581E-3</v>
          </cell>
          <cell r="H158">
            <v>-6.8129855912890617E-3</v>
          </cell>
          <cell r="I158">
            <v>-5.697991304405129E-3</v>
          </cell>
        </row>
        <row r="159">
          <cell r="F159">
            <v>-7.0234473180625914E-3</v>
          </cell>
          <cell r="G159">
            <v>-8.7726750393700287E-3</v>
          </cell>
          <cell r="H159">
            <v>-4.0223368324664339E-4</v>
          </cell>
          <cell r="I159">
            <v>1.1421632595400733E-3</v>
          </cell>
        </row>
        <row r="160">
          <cell r="F160">
            <v>4.7859728642550272E-3</v>
          </cell>
          <cell r="G160">
            <v>-5.3342326889105063E-3</v>
          </cell>
          <cell r="H160">
            <v>-2.8200016753762752E-3</v>
          </cell>
          <cell r="I160">
            <v>5.12394513644681E-3</v>
          </cell>
        </row>
        <row r="161">
          <cell r="F161">
            <v>-4.9043056684808586E-3</v>
          </cell>
          <cell r="G161">
            <v>-8.8979314726668046E-3</v>
          </cell>
          <cell r="H161">
            <v>-7.637567148412871E-3</v>
          </cell>
          <cell r="I161">
            <v>-2.2740551851044106E-3</v>
          </cell>
        </row>
        <row r="162">
          <cell r="F162">
            <v>4.4916084303433098E-3</v>
          </cell>
          <cell r="G162">
            <v>3.5350412795235415E-3</v>
          </cell>
          <cell r="H162">
            <v>9.1580546261534317E-3</v>
          </cell>
          <cell r="I162">
            <v>-8.5739149328683574E-3</v>
          </cell>
        </row>
        <row r="163">
          <cell r="F163">
            <v>-6.685740856598745E-3</v>
          </cell>
          <cell r="G163">
            <v>-4.0410882798711488E-3</v>
          </cell>
          <cell r="H163">
            <v>5.202946011474462E-3</v>
          </cell>
          <cell r="I163">
            <v>-9.8068295948848475E-3</v>
          </cell>
        </row>
        <row r="164">
          <cell r="F164">
            <v>7.2163751807764352E-3</v>
          </cell>
          <cell r="G164">
            <v>7.5637276739742845E-3</v>
          </cell>
          <cell r="H164">
            <v>-6.7235150953914692E-3</v>
          </cell>
          <cell r="I164">
            <v>-4.2513463190354973E-3</v>
          </cell>
        </row>
        <row r="165">
          <cell r="F165">
            <v>-1.120175412492392E-2</v>
          </cell>
          <cell r="G165">
            <v>-1.348640955626019E-2</v>
          </cell>
          <cell r="H165">
            <v>-8.557882737226321E-3</v>
          </cell>
          <cell r="I165">
            <v>-1.0110097057956752E-2</v>
          </cell>
        </row>
        <row r="166">
          <cell r="F166">
            <v>4.236087617690229E-2</v>
          </cell>
          <cell r="G166">
            <v>2.2039331166826617E-3</v>
          </cell>
          <cell r="H166">
            <v>-2.0473527315899678E-4</v>
          </cell>
          <cell r="I166">
            <v>-1.8703414262897906E-2</v>
          </cell>
        </row>
        <row r="167">
          <cell r="F167">
            <v>8.5896815167550832E-3</v>
          </cell>
          <cell r="G167">
            <v>-1.3125590939175541E-2</v>
          </cell>
          <cell r="H167">
            <v>-6.6864291458487934E-2</v>
          </cell>
          <cell r="I167">
            <v>-6.7217247231749887E-3</v>
          </cell>
        </row>
        <row r="168">
          <cell r="F168">
            <v>-2.2106106529132866E-2</v>
          </cell>
          <cell r="G168">
            <v>-2.4050333635455131E-3</v>
          </cell>
          <cell r="H168">
            <v>5.4697060967347623E-4</v>
          </cell>
          <cell r="I168">
            <v>-4.3010263731349009E-3</v>
          </cell>
        </row>
        <row r="169">
          <cell r="F169">
            <v>-1.9353292388622649E-2</v>
          </cell>
          <cell r="G169">
            <v>-1.3769359849297128E-3</v>
          </cell>
          <cell r="H169">
            <v>-1.1493392825475091E-2</v>
          </cell>
          <cell r="I169">
            <v>-9.2793792839827582E-3</v>
          </cell>
        </row>
        <row r="170">
          <cell r="F170">
            <v>-8.1807529156866562E-3</v>
          </cell>
          <cell r="G170">
            <v>7.7206836858722564E-3</v>
          </cell>
          <cell r="H170">
            <v>-3.9902601949420831E-3</v>
          </cell>
          <cell r="I170">
            <v>1.8628149729069926E-3</v>
          </cell>
        </row>
        <row r="171">
          <cell r="F171">
            <v>-5.7307029681765223E-3</v>
          </cell>
          <cell r="G171">
            <v>6.8132245978021052E-3</v>
          </cell>
          <cell r="H171">
            <v>6.4760434973849422E-3</v>
          </cell>
          <cell r="I171">
            <v>1.2943127412559438E-2</v>
          </cell>
        </row>
        <row r="172">
          <cell r="F172">
            <v>-1.2287828139873455E-2</v>
          </cell>
          <cell r="G172">
            <v>2.1162958107073866E-2</v>
          </cell>
          <cell r="H172">
            <v>2.4793566191605932E-2</v>
          </cell>
          <cell r="I172">
            <v>1.0962394432582713E-2</v>
          </cell>
        </row>
        <row r="173">
          <cell r="F173">
            <v>5.07788929321121E-3</v>
          </cell>
          <cell r="G173">
            <v>6.2956618817539729E-3</v>
          </cell>
          <cell r="H173">
            <v>1.9243130694284457E-2</v>
          </cell>
          <cell r="I173">
            <v>-1.2187931160931781E-2</v>
          </cell>
        </row>
        <row r="174">
          <cell r="F174">
            <v>6.3713730744178647E-3</v>
          </cell>
          <cell r="G174">
            <v>1.4852540987510795E-3</v>
          </cell>
          <cell r="H174">
            <v>1.4310268539026554E-2</v>
          </cell>
          <cell r="I174">
            <v>1.1582000481511069E-2</v>
          </cell>
        </row>
        <row r="175">
          <cell r="F175">
            <v>1.2622341953280228E-2</v>
          </cell>
          <cell r="G175">
            <v>1.4895089026447495E-2</v>
          </cell>
          <cell r="H175">
            <v>4.8803897357337367E-3</v>
          </cell>
          <cell r="I175">
            <v>1.8613569807513386E-2</v>
          </cell>
        </row>
        <row r="176">
          <cell r="F176">
            <v>5.1340934294748482E-3</v>
          </cell>
          <cell r="G176">
            <v>3.082230575187468E-3</v>
          </cell>
          <cell r="H176">
            <v>1.500784386497234E-3</v>
          </cell>
          <cell r="I176">
            <v>-1.377680211997016E-2</v>
          </cell>
        </row>
        <row r="177">
          <cell r="F177">
            <v>-3.4788581331064421E-3</v>
          </cell>
          <cell r="G177">
            <v>0</v>
          </cell>
          <cell r="H177">
            <v>6.2045885918183598E-4</v>
          </cell>
          <cell r="I177">
            <v>1.020115925682203E-2</v>
          </cell>
        </row>
        <row r="178">
          <cell r="F178">
            <v>2.4505258851654717E-2</v>
          </cell>
          <cell r="G178">
            <v>4.8472846158211921E-3</v>
          </cell>
          <cell r="H178">
            <v>-1.0859387138235847E-3</v>
          </cell>
          <cell r="I178">
            <v>1.5990897700798735E-2</v>
          </cell>
        </row>
        <row r="179">
          <cell r="F179">
            <v>-1.8439790545778333E-2</v>
          </cell>
          <cell r="G179">
            <v>-4.3615431401830369E-3</v>
          </cell>
          <cell r="H179">
            <v>-7.9996022089060346E-3</v>
          </cell>
          <cell r="I179">
            <v>-7.6674124514332052E-3</v>
          </cell>
        </row>
        <row r="180">
          <cell r="F180">
            <v>-6.0654683058762593E-3</v>
          </cell>
          <cell r="G180">
            <v>2.5869042305606007E-3</v>
          </cell>
          <cell r="H180">
            <v>6.2565312240965142E-4</v>
          </cell>
          <cell r="I180">
            <v>1.7746003431574375E-3</v>
          </cell>
        </row>
        <row r="181">
          <cell r="F181">
            <v>2.1792612899963495E-2</v>
          </cell>
          <cell r="G181">
            <v>9.683988994642935E-4</v>
          </cell>
          <cell r="H181">
            <v>-1.0429762752333207E-3</v>
          </cell>
          <cell r="I181">
            <v>-5.9277432873759113E-3</v>
          </cell>
        </row>
        <row r="182">
          <cell r="F182">
            <v>5.8095544508652106E-2</v>
          </cell>
          <cell r="G182">
            <v>2.8994529241732746E-3</v>
          </cell>
          <cell r="H182">
            <v>-6.0183515082071516E-3</v>
          </cell>
          <cell r="I182">
            <v>1.7820997373106853E-3</v>
          </cell>
        </row>
        <row r="183">
          <cell r="F183">
            <v>-9.1483674173388676E-3</v>
          </cell>
          <cell r="G183">
            <v>2.8910542328630683E-3</v>
          </cell>
          <cell r="H183">
            <v>7.7907210062601899E-3</v>
          </cell>
          <cell r="I183">
            <v>8.2741716697485573E-3</v>
          </cell>
        </row>
        <row r="184">
          <cell r="F184">
            <v>3.7898712813242458E-3</v>
          </cell>
          <cell r="G184">
            <v>4.3210584019733201E-3</v>
          </cell>
          <cell r="H184">
            <v>-1.3029561227812455E-3</v>
          </cell>
          <cell r="I184">
            <v>5.283244107095986E-3</v>
          </cell>
        </row>
        <row r="185">
          <cell r="F185">
            <v>1.8624377821563668E-3</v>
          </cell>
          <cell r="G185">
            <v>3.666217842342803E-3</v>
          </cell>
          <cell r="H185">
            <v>2.0134915133947339E-2</v>
          </cell>
          <cell r="I185">
            <v>1.7549955781686565E-3</v>
          </cell>
        </row>
        <row r="186">
          <cell r="F186">
            <v>9.9644209184128335E-3</v>
          </cell>
          <cell r="G186">
            <v>4.7729304993157585E-4</v>
          </cell>
          <cell r="H186">
            <v>9.4112742907778765E-3</v>
          </cell>
          <cell r="I186">
            <v>4.0827757174903999E-3</v>
          </cell>
        </row>
        <row r="187">
          <cell r="F187">
            <v>-6.9140777525400921E-3</v>
          </cell>
          <cell r="G187">
            <v>6.0250352963449492E-3</v>
          </cell>
          <cell r="H187">
            <v>6.4097849393042125E-3</v>
          </cell>
          <cell r="I187">
            <v>-5.8223411107649701E-4</v>
          </cell>
        </row>
        <row r="188">
          <cell r="F188">
            <v>1.7491613013872163E-2</v>
          </cell>
          <cell r="G188">
            <v>5.0457831514656758E-3</v>
          </cell>
          <cell r="H188">
            <v>-2.0125493872400897E-4</v>
          </cell>
          <cell r="I188">
            <v>5.2280020464313707E-3</v>
          </cell>
        </row>
        <row r="189">
          <cell r="F189">
            <v>6.1545058292852206E-3</v>
          </cell>
          <cell r="G189">
            <v>-7.578230471947678E-3</v>
          </cell>
          <cell r="H189">
            <v>1.3891880096165623E-2</v>
          </cell>
          <cell r="I189">
            <v>2.3147859350525577E-3</v>
          </cell>
        </row>
        <row r="190">
          <cell r="F190">
            <v>1.2143861705092206E-2</v>
          </cell>
          <cell r="G190">
            <v>4.7533860586955039E-4</v>
          </cell>
          <cell r="H190">
            <v>2.9731023414911141E-3</v>
          </cell>
          <cell r="I190">
            <v>1.732579879352201E-3</v>
          </cell>
        </row>
        <row r="191">
          <cell r="F191">
            <v>6.3229391275216771E-4</v>
          </cell>
          <cell r="G191">
            <v>3.0051413878821489E-3</v>
          </cell>
          <cell r="H191">
            <v>1.7796277524522572E-3</v>
          </cell>
          <cell r="I191">
            <v>-1.732579879352136E-3</v>
          </cell>
        </row>
        <row r="192">
          <cell r="F192">
            <v>1.5802948487189222E-4</v>
          </cell>
          <cell r="G192">
            <v>-4.5904615610439566E-3</v>
          </cell>
          <cell r="H192">
            <v>1.1393284747523526E-2</v>
          </cell>
          <cell r="I192">
            <v>5.7637472026845571E-3</v>
          </cell>
        </row>
        <row r="193">
          <cell r="F193">
            <v>6.1431644627328542E-3</v>
          </cell>
          <cell r="G193">
            <v>-7.3248867997968373E-3</v>
          </cell>
          <cell r="H193">
            <v>-4.6015528245516947E-2</v>
          </cell>
          <cell r="I193">
            <v>6.8728485226429662E-3</v>
          </cell>
        </row>
        <row r="194">
          <cell r="F194">
            <v>6.8338906269820778E-3</v>
          </cell>
          <cell r="G194">
            <v>5.4192175886679812E-3</v>
          </cell>
          <cell r="H194">
            <v>1.9944982273812171E-2</v>
          </cell>
          <cell r="I194">
            <v>-1.4372182648414963E-2</v>
          </cell>
        </row>
        <row r="195">
          <cell r="F195">
            <v>-7.5669526869904195E-3</v>
          </cell>
          <cell r="G195">
            <v>1.4295762641888972E-3</v>
          </cell>
          <cell r="H195">
            <v>-6.0830483624738684E-3</v>
          </cell>
          <cell r="I195">
            <v>1.3229934834084765E-2</v>
          </cell>
        </row>
        <row r="196">
          <cell r="F196">
            <v>-2.128302424671985E-2</v>
          </cell>
          <cell r="G196">
            <v>-1.454975939193497E-2</v>
          </cell>
          <cell r="H196">
            <v>-7.0339066105817626E-3</v>
          </cell>
          <cell r="I196">
            <v>-1.7157346722541096E-3</v>
          </cell>
        </row>
        <row r="197">
          <cell r="F197">
            <v>1.6452046082168593E-2</v>
          </cell>
          <cell r="G197">
            <v>-1.4505435120728959E-3</v>
          </cell>
          <cell r="H197">
            <v>1.9063546062445577E-2</v>
          </cell>
          <cell r="I197">
            <v>1.7157346722542091E-3</v>
          </cell>
        </row>
        <row r="198">
          <cell r="F198">
            <v>5.2749355993220789E-5</v>
          </cell>
          <cell r="G198">
            <v>-2.907479760967422E-3</v>
          </cell>
          <cell r="H198">
            <v>-6.0468730383955328E-3</v>
          </cell>
          <cell r="I198">
            <v>-1.3229934834084642E-2</v>
          </cell>
        </row>
        <row r="199">
          <cell r="F199">
            <v>1.5777000232845243E-3</v>
          </cell>
          <cell r="G199">
            <v>-1.9429887302046369E-3</v>
          </cell>
          <cell r="H199">
            <v>-6.99180300416376E-3</v>
          </cell>
          <cell r="I199">
            <v>-8.7235267318123977E-3</v>
          </cell>
        </row>
        <row r="200">
          <cell r="F200">
            <v>5.2413568168104213E-3</v>
          </cell>
          <cell r="G200">
            <v>4.3664643547632167E-3</v>
          </cell>
          <cell r="H200">
            <v>6.1393658971166812E-3</v>
          </cell>
          <cell r="I200">
            <v>2.8787286268958209E-2</v>
          </cell>
        </row>
        <row r="201">
          <cell r="F201">
            <v>5.0060225548219234E-3</v>
          </cell>
          <cell r="G201">
            <v>1.537262663889283E-2</v>
          </cell>
          <cell r="H201">
            <v>1.6419907185533298E-2</v>
          </cell>
          <cell r="I201">
            <v>3.3485178750257492E-2</v>
          </cell>
        </row>
        <row r="202">
          <cell r="F202">
            <v>9.2161623911649945E-3</v>
          </cell>
          <cell r="G202">
            <v>0</v>
          </cell>
          <cell r="H202">
            <v>-4.0053977401266682E-3</v>
          </cell>
          <cell r="I202">
            <v>-1.1592695309031092E-2</v>
          </cell>
        </row>
        <row r="203">
          <cell r="F203">
            <v>1.6479275844381797E-3</v>
          </cell>
          <cell r="G203">
            <v>1.5922092232906072E-2</v>
          </cell>
          <cell r="H203">
            <v>-1.3267754604042227E-2</v>
          </cell>
          <cell r="I203">
            <v>1.8702397437831947E-2</v>
          </cell>
        </row>
        <row r="204">
          <cell r="F204">
            <v>7.7904722351031866E-3</v>
          </cell>
          <cell r="G204">
            <v>-3.1287359214828865E-4</v>
          </cell>
          <cell r="H204">
            <v>-9.5859227382981537E-3</v>
          </cell>
          <cell r="I204">
            <v>-2.7285349047250127E-3</v>
          </cell>
        </row>
        <row r="205">
          <cell r="F205">
            <v>-7.121864915451831E-3</v>
          </cell>
          <cell r="G205">
            <v>3.5918669636785371E-3</v>
          </cell>
          <cell r="H205">
            <v>-1.7757906147097171E-3</v>
          </cell>
          <cell r="I205">
            <v>-1.0934242170624129E-3</v>
          </cell>
        </row>
        <row r="206">
          <cell r="F206">
            <v>1.2315935510636394E-2</v>
          </cell>
          <cell r="G206">
            <v>-3.748245865629597E-3</v>
          </cell>
          <cell r="H206">
            <v>1.5320518573155651E-2</v>
          </cell>
          <cell r="I206">
            <v>-9.8955551720559757E-3</v>
          </cell>
        </row>
        <row r="207">
          <cell r="F207">
            <v>-1.9333515601065478E-2</v>
          </cell>
          <cell r="G207">
            <v>-5.0196004719991047E-3</v>
          </cell>
          <cell r="H207">
            <v>-1.7018402117130581E-3</v>
          </cell>
          <cell r="I207">
            <v>-1.3348415321843266E-2</v>
          </cell>
        </row>
        <row r="208">
          <cell r="F208">
            <v>7.0131414104475584E-2</v>
          </cell>
          <cell r="G208">
            <v>-6.2929080548693986E-4</v>
          </cell>
          <cell r="H208">
            <v>-2.6653349995766375E-2</v>
          </cell>
          <cell r="I208">
            <v>0</v>
          </cell>
        </row>
        <row r="209">
          <cell r="F209">
            <v>2.8177683832117249E-2</v>
          </cell>
          <cell r="G209">
            <v>-1.0598781521427382E-2</v>
          </cell>
          <cell r="H209">
            <v>-1.4667664855327797E-2</v>
          </cell>
          <cell r="I209">
            <v>-1.4096584264906203E-2</v>
          </cell>
        </row>
        <row r="210">
          <cell r="F210">
            <v>5.4761020107099078E-3</v>
          </cell>
          <cell r="G210">
            <v>1.7478507559406556E-3</v>
          </cell>
          <cell r="H210">
            <v>1.1059628683795456E-2</v>
          </cell>
          <cell r="I210">
            <v>3.4012621492683047E-3</v>
          </cell>
        </row>
        <row r="211">
          <cell r="F211">
            <v>-8.2019263390725322E-3</v>
          </cell>
          <cell r="G211">
            <v>7.1958738958610062E-4</v>
          </cell>
          <cell r="H211">
            <v>6.1937429460877716E-4</v>
          </cell>
          <cell r="I211">
            <v>-1.6992713126116508E-3</v>
          </cell>
        </row>
        <row r="212">
          <cell r="F212">
            <v>1.948047725735666E-2</v>
          </cell>
          <cell r="G212">
            <v>1.1184790032108326E-3</v>
          </cell>
          <cell r="H212">
            <v>6.1735082056717516E-3</v>
          </cell>
          <cell r="I212">
            <v>1.6992713126115697E-3</v>
          </cell>
        </row>
        <row r="213">
          <cell r="F213">
            <v>-1.1045270681009117E-2</v>
          </cell>
          <cell r="G213">
            <v>1.5971257518978638E-4</v>
          </cell>
          <cell r="H213">
            <v>1.030672096955205E-2</v>
          </cell>
          <cell r="I213">
            <v>2.1277351283956945E-2</v>
          </cell>
        </row>
        <row r="214">
          <cell r="F214">
            <v>-2.1747631659808291E-2</v>
          </cell>
          <cell r="G214">
            <v>-7.2110078735026766E-3</v>
          </cell>
          <cell r="H214">
            <v>8.4414315435738397E-3</v>
          </cell>
          <cell r="I214">
            <v>3.3186565462668526E-3</v>
          </cell>
        </row>
        <row r="215">
          <cell r="F215">
            <v>-1.0499345697948081E-2</v>
          </cell>
          <cell r="G215">
            <v>9.443847698832648E-3</v>
          </cell>
          <cell r="H215">
            <v>-1.2001025271443897E-2</v>
          </cell>
          <cell r="I215">
            <v>1.588635415691966E-2</v>
          </cell>
        </row>
        <row r="216">
          <cell r="F216">
            <v>3.1277001097442104E-3</v>
          </cell>
          <cell r="G216">
            <v>1.8936986764933515E-2</v>
          </cell>
          <cell r="H216">
            <v>1.305751761044515E-2</v>
          </cell>
          <cell r="I216">
            <v>1.3495526138129172E-2</v>
          </cell>
        </row>
        <row r="217">
          <cell r="F217">
            <v>4.4582669163491413E-3</v>
          </cell>
          <cell r="G217">
            <v>-2.0342859528205111E-3</v>
          </cell>
          <cell r="H217">
            <v>-4.0810762745116238E-3</v>
          </cell>
          <cell r="I217">
            <v>2.1425562712271934E-3</v>
          </cell>
        </row>
        <row r="218">
          <cell r="F218">
            <v>1.9796003669469535E-2</v>
          </cell>
          <cell r="G218">
            <v>3.2841220395962312E-3</v>
          </cell>
          <cell r="H218">
            <v>-3.2364976607338002E-3</v>
          </cell>
          <cell r="I218">
            <v>3.738273476931629E-3</v>
          </cell>
        </row>
        <row r="219">
          <cell r="F219">
            <v>3.9780687953256729E-3</v>
          </cell>
          <cell r="G219">
            <v>-2.1882315189594016E-3</v>
          </cell>
          <cell r="H219">
            <v>8.7746980951394233E-3</v>
          </cell>
          <cell r="I219">
            <v>-5.3329250387106324E-4</v>
          </cell>
        </row>
        <row r="220">
          <cell r="F220">
            <v>-1.6387734624486144E-2</v>
          </cell>
          <cell r="G220">
            <v>-4.0764872369371159E-3</v>
          </cell>
          <cell r="H220">
            <v>1.5395245178859948E-2</v>
          </cell>
          <cell r="I220">
            <v>1.901802869604308E-2</v>
          </cell>
        </row>
        <row r="221">
          <cell r="F221">
            <v>2.8689111628198698E-2</v>
          </cell>
          <cell r="G221">
            <v>-5.8300487686362692E-3</v>
          </cell>
          <cell r="H221">
            <v>1.5648710168294964E-2</v>
          </cell>
          <cell r="I221">
            <v>-6.8259836239331134E-3</v>
          </cell>
        </row>
        <row r="222">
          <cell r="F222">
            <v>1.6109449297697549E-2</v>
          </cell>
          <cell r="G222">
            <v>-2.0564271894918324E-3</v>
          </cell>
          <cell r="H222">
            <v>1.6317826996333985E-2</v>
          </cell>
          <cell r="I222">
            <v>-8.4656033871456007E-3</v>
          </cell>
        </row>
        <row r="223">
          <cell r="F223">
            <v>5.7942259479230023E-3</v>
          </cell>
          <cell r="G223">
            <v>2.8463016418229037E-3</v>
          </cell>
          <cell r="H223">
            <v>-6.7059033946733737E-4</v>
          </cell>
          <cell r="I223">
            <v>-7.466713020734231E-3</v>
          </cell>
        </row>
        <row r="224">
          <cell r="F224">
            <v>2.1389960415288217E-2</v>
          </cell>
          <cell r="G224">
            <v>6.7668210053826762E-3</v>
          </cell>
          <cell r="H224">
            <v>-1.3339105875401823E-2</v>
          </cell>
          <cell r="I224">
            <v>4.8064098657813409E-3</v>
          </cell>
        </row>
        <row r="225">
          <cell r="F225">
            <v>6.5176077697273217E-3</v>
          </cell>
          <cell r="G225">
            <v>-1.2626414888283227E-2</v>
          </cell>
          <cell r="H225">
            <v>1.8538643632364745E-3</v>
          </cell>
          <cell r="I225">
            <v>2.1287652308458159E-3</v>
          </cell>
        </row>
        <row r="226">
          <cell r="F226">
            <v>3.7677515857849927E-3</v>
          </cell>
          <cell r="G226">
            <v>-4.2976588916777241E-3</v>
          </cell>
          <cell r="H226">
            <v>1.1918779573079451E-2</v>
          </cell>
          <cell r="I226">
            <v>-5.3176661708070883E-4</v>
          </cell>
        </row>
        <row r="227">
          <cell r="F227">
            <v>1.8628964806476703E-2</v>
          </cell>
          <cell r="G227">
            <v>2.2307689124128954E-3</v>
          </cell>
          <cell r="H227">
            <v>8.1841949890559102E-4</v>
          </cell>
          <cell r="I227">
            <v>1.1701116052050159E-2</v>
          </cell>
        </row>
        <row r="228">
          <cell r="F228">
            <v>-2.3494672238777499E-2</v>
          </cell>
          <cell r="G228">
            <v>4.2880396046633875E-3</v>
          </cell>
          <cell r="H228">
            <v>-1.6857607845247413E-3</v>
          </cell>
          <cell r="I228">
            <v>6.3830534173032645E-3</v>
          </cell>
        </row>
        <row r="229">
          <cell r="F229">
            <v>1.2966442042243119E-2</v>
          </cell>
          <cell r="G229">
            <v>9.4638404252588466E-3</v>
          </cell>
          <cell r="H229">
            <v>-1.2173069187035165E-2</v>
          </cell>
          <cell r="I229">
            <v>-2.6547400778527642E-3</v>
          </cell>
        </row>
        <row r="230">
          <cell r="F230">
            <v>1.6604708169325119E-2</v>
          </cell>
          <cell r="G230">
            <v>-4.563000564764429E-3</v>
          </cell>
          <cell r="H230">
            <v>2.4628348767179134E-2</v>
          </cell>
          <cell r="I230">
            <v>-1.2302856764034255E-2</v>
          </cell>
        </row>
        <row r="231">
          <cell r="F231">
            <v>1.7902506232981147E-3</v>
          </cell>
          <cell r="G231">
            <v>1.3471334993176645E-2</v>
          </cell>
          <cell r="H231">
            <v>1.6853100357796223E-2</v>
          </cell>
          <cell r="I231">
            <v>1.4427180508327499E-2</v>
          </cell>
        </row>
        <row r="232">
          <cell r="F232">
            <v>-2.5621428783056767E-2</v>
          </cell>
          <cell r="G232">
            <v>1.4519903364922418E-2</v>
          </cell>
          <cell r="H232">
            <v>1.5099360369527649E-2</v>
          </cell>
          <cell r="I232">
            <v>1.631185864869468E-2</v>
          </cell>
        </row>
        <row r="233">
          <cell r="F233">
            <v>-2.074860964039351E-2</v>
          </cell>
          <cell r="G233">
            <v>-3.067024540397419E-4</v>
          </cell>
          <cell r="H233">
            <v>-3.2285803587666854E-2</v>
          </cell>
          <cell r="I233">
            <v>-5.2205691605959625E-4</v>
          </cell>
        </row>
        <row r="234">
          <cell r="F234">
            <v>5.7973336916425204E-4</v>
          </cell>
          <cell r="G234">
            <v>1.5327868988235308E-3</v>
          </cell>
          <cell r="H234">
            <v>-9.5291127080258486E-4</v>
          </cell>
          <cell r="I234">
            <v>-1.5677557021459298E-3</v>
          </cell>
        </row>
        <row r="235">
          <cell r="F235">
            <v>-1.5614861566389346E-3</v>
          </cell>
          <cell r="G235">
            <v>-7.9964136377382936E-3</v>
          </cell>
          <cell r="H235">
            <v>2.3806134291241197E-3</v>
          </cell>
          <cell r="I235">
            <v>-3.0265224779422156E-2</v>
          </cell>
        </row>
        <row r="236">
          <cell r="F236">
            <v>4.6772962161707281E-3</v>
          </cell>
          <cell r="G236">
            <v>2.9291935822486634E-3</v>
          </cell>
          <cell r="H236">
            <v>2.3776420016967354E-4</v>
          </cell>
          <cell r="I236">
            <v>-1.8498896320453713E-2</v>
          </cell>
        </row>
        <row r="237">
          <cell r="F237">
            <v>-2.9175802186708118E-2</v>
          </cell>
          <cell r="G237">
            <v>1.3000091618175304E-2</v>
          </cell>
          <cell r="H237">
            <v>-8.307151793191617E-3</v>
          </cell>
          <cell r="I237">
            <v>5.0853933718081321E-2</v>
          </cell>
        </row>
        <row r="238">
          <cell r="F238">
            <v>-4.8161042901711899E-3</v>
          </cell>
          <cell r="G238">
            <v>3.943013964285107E-3</v>
          </cell>
          <cell r="H238">
            <v>3.8346355812063522E-4</v>
          </cell>
          <cell r="I238">
            <v>1.564589587366755E-3</v>
          </cell>
        </row>
        <row r="239">
          <cell r="F239">
            <v>2.1586660116600692E-3</v>
          </cell>
          <cell r="G239">
            <v>1.4723868428621712E-2</v>
          </cell>
          <cell r="H239">
            <v>1.6963686226937915E-2</v>
          </cell>
          <cell r="I239">
            <v>-9.4242056297434203E-3</v>
          </cell>
        </row>
        <row r="240">
          <cell r="F240">
            <v>1.2838228252665619E-3</v>
          </cell>
          <cell r="G240">
            <v>-3.2865430207580882E-3</v>
          </cell>
          <cell r="H240">
            <v>-6.5707247389028478E-3</v>
          </cell>
          <cell r="I240">
            <v>-5.8032344347412621E-3</v>
          </cell>
        </row>
        <row r="241">
          <cell r="F241">
            <v>2.562716177992965E-3</v>
          </cell>
          <cell r="G241">
            <v>1.2638603848310002E-2</v>
          </cell>
          <cell r="H241">
            <v>2.0374359451747755E-2</v>
          </cell>
          <cell r="I241">
            <v>4.2238711161852434E-3</v>
          </cell>
        </row>
        <row r="242">
          <cell r="F242">
            <v>1.4879566390620118E-2</v>
          </cell>
          <cell r="G242">
            <v>-1.3986271941776691E-2</v>
          </cell>
          <cell r="H242">
            <v>-1.1168596535331227E-2</v>
          </cell>
          <cell r="I242">
            <v>1.4125267552011362E-2</v>
          </cell>
        </row>
        <row r="243">
          <cell r="F243">
            <v>-1.6892595276606047E-2</v>
          </cell>
          <cell r="G243">
            <v>1.8114838733001931E-2</v>
          </cell>
          <cell r="H243">
            <v>-2.300698438939985E-2</v>
          </cell>
          <cell r="I243">
            <v>1.1363707289245462E-2</v>
          </cell>
        </row>
        <row r="244">
          <cell r="F244">
            <v>6.8458769114516189E-3</v>
          </cell>
          <cell r="G244">
            <v>1.9958459712746134E-2</v>
          </cell>
          <cell r="H244">
            <v>-4.3337697237488322E-2</v>
          </cell>
          <cell r="I244">
            <v>-5.1492389779095047E-3</v>
          </cell>
        </row>
        <row r="245">
          <cell r="F245">
            <v>-4.936563304839342E-2</v>
          </cell>
          <cell r="G245">
            <v>-1.7900558015048668E-2</v>
          </cell>
          <cell r="H245">
            <v>-2.1521514209848672E-2</v>
          </cell>
          <cell r="I245">
            <v>-2.4034646374763047E-2</v>
          </cell>
        </row>
        <row r="246">
          <cell r="F246">
            <v>-9.7960810695936606E-3</v>
          </cell>
          <cell r="G246">
            <v>-7.3441060418495512E-4</v>
          </cell>
          <cell r="H246">
            <v>2.7529327489063685E-2</v>
          </cell>
          <cell r="I246">
            <v>1.4698479459715275E-2</v>
          </cell>
        </row>
        <row r="247">
          <cell r="F247">
            <v>1.2420806909965328E-2</v>
          </cell>
          <cell r="G247">
            <v>6.0068453122636119E-3</v>
          </cell>
          <cell r="H247">
            <v>2.9943605302915484E-4</v>
          </cell>
          <cell r="I247">
            <v>3.1216986037119246E-3</v>
          </cell>
        </row>
        <row r="248">
          <cell r="F248">
            <v>1.6496471649674511E-2</v>
          </cell>
          <cell r="G248">
            <v>3.9362102876051566E-3</v>
          </cell>
          <cell r="H248">
            <v>1.8098719175530638E-2</v>
          </cell>
          <cell r="I248">
            <v>7.7620053354891094E-3</v>
          </cell>
        </row>
        <row r="249">
          <cell r="F249">
            <v>1.3642429865120695E-2</v>
          </cell>
          <cell r="G249">
            <v>-7.2779275329949461E-4</v>
          </cell>
          <cell r="H249">
            <v>8.4907795310884548E-3</v>
          </cell>
          <cell r="I249">
            <v>4.6284474501869788E-3</v>
          </cell>
        </row>
        <row r="250">
          <cell r="F250">
            <v>7.1046339891622338E-3</v>
          </cell>
          <cell r="G250">
            <v>-7.4534799929999399E-3</v>
          </cell>
          <cell r="H250">
            <v>1.8932455242062468E-3</v>
          </cell>
          <cell r="I250">
            <v>-3.0832501301206196E-3</v>
          </cell>
        </row>
        <row r="251">
          <cell r="F251">
            <v>1.7046925905757491E-2</v>
          </cell>
          <cell r="G251">
            <v>4.2450624586943594E-3</v>
          </cell>
          <cell r="H251">
            <v>8.4515026665683331E-3</v>
          </cell>
          <cell r="I251">
            <v>4.6213175955976916E-3</v>
          </cell>
        </row>
        <row r="252">
          <cell r="F252">
            <v>2.0316357014954671E-3</v>
          </cell>
          <cell r="G252">
            <v>1.751357702825767E-3</v>
          </cell>
          <cell r="H252">
            <v>1.1000172910606301E-2</v>
          </cell>
          <cell r="I252">
            <v>5.6193763609869146E-3</v>
          </cell>
        </row>
        <row r="253">
          <cell r="F253">
            <v>1.3439858184173351E-2</v>
          </cell>
          <cell r="G253">
            <v>1.0201851494693278E-3</v>
          </cell>
          <cell r="H253">
            <v>6.2116322685317679E-3</v>
          </cell>
          <cell r="I253">
            <v>-2.7894319608277238E-2</v>
          </cell>
        </row>
        <row r="254">
          <cell r="F254">
            <v>5.9010397660438866E-3</v>
          </cell>
          <cell r="G254">
            <v>7.6906421617582866E-3</v>
          </cell>
          <cell r="H254">
            <v>1.1374431605290789E-2</v>
          </cell>
          <cell r="I254">
            <v>1.3010852287492039E-2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82B2-8B2C-F147-81D7-4032A87B6205}">
  <dimension ref="A1:AQ264"/>
  <sheetViews>
    <sheetView showGridLines="0" topLeftCell="Q1" zoomScale="130" zoomScaleNormal="130" workbookViewId="0">
      <selection activeCell="W13" sqref="W13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6" max="16" width="2.5" style="3" customWidth="1"/>
    <col min="17" max="21" width="11.33203125" style="3"/>
    <col min="22" max="22" width="3" style="3" customWidth="1"/>
    <col min="23" max="27" width="11.33203125" style="3"/>
    <col min="28" max="28" width="2.5" style="3" customWidth="1"/>
    <col min="29" max="33" width="11.33203125" style="3"/>
    <col min="34" max="34" width="3.1640625" style="3" customWidth="1"/>
    <col min="35" max="35" width="23.33203125" style="3" customWidth="1"/>
    <col min="36" max="36" width="11.6640625" style="3" bestFit="1" customWidth="1"/>
    <col min="37" max="37" width="11.33203125" style="3"/>
    <col min="38" max="38" width="11.6640625" style="3" bestFit="1" customWidth="1"/>
    <col min="39" max="39" width="13.6640625" style="3" bestFit="1" customWidth="1"/>
    <col min="40" max="40" width="11.33203125" style="3"/>
    <col min="41" max="41" width="13.6640625" style="3" bestFit="1" customWidth="1"/>
    <col min="42" max="42" width="16.5" bestFit="1" customWidth="1"/>
    <col min="43" max="43" width="8" style="20" bestFit="1" customWidth="1"/>
    <col min="44" max="16384" width="11.33203125" style="3"/>
  </cols>
  <sheetData>
    <row r="1" spans="1:43" ht="17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88" t="s">
        <v>12</v>
      </c>
      <c r="K1" s="88"/>
      <c r="L1" s="88"/>
      <c r="M1" s="88"/>
      <c r="N1" s="88"/>
      <c r="O1" s="88"/>
      <c r="P1" s="12"/>
      <c r="Q1" s="88" t="s">
        <v>44</v>
      </c>
      <c r="R1" s="88"/>
      <c r="S1" s="88"/>
      <c r="T1" s="88"/>
      <c r="U1" s="88"/>
      <c r="V1" s="13"/>
      <c r="W1" s="41" t="s">
        <v>1</v>
      </c>
      <c r="X1" s="41" t="s">
        <v>2</v>
      </c>
      <c r="Y1" s="41" t="s">
        <v>3</v>
      </c>
      <c r="Z1" s="41" t="s">
        <v>4</v>
      </c>
      <c r="AA1" s="42" t="s">
        <v>15</v>
      </c>
      <c r="AB1" s="39"/>
      <c r="AC1" s="89" t="s">
        <v>52</v>
      </c>
      <c r="AD1" s="89"/>
      <c r="AE1" s="89"/>
      <c r="AF1" s="89"/>
      <c r="AG1" s="89"/>
      <c r="AH1" s="39"/>
      <c r="AI1" s="3" t="s">
        <v>35</v>
      </c>
      <c r="AK1" s="3" t="s">
        <v>43</v>
      </c>
      <c r="AP1" s="38"/>
      <c r="AQ1" s="38"/>
    </row>
    <row r="2" spans="1:43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40" t="str">
        <f t="shared" ref="J2:O2" si="0">"r_"&amp;B1</f>
        <v>r_Apple</v>
      </c>
      <c r="K2" s="40" t="str">
        <f t="shared" si="0"/>
        <v>r_Coca-Cola</v>
      </c>
      <c r="L2" s="40" t="str">
        <f t="shared" si="0"/>
        <v>r_JPMorgan</v>
      </c>
      <c r="M2" s="40" t="str">
        <f t="shared" si="0"/>
        <v>r_AT&amp;T</v>
      </c>
      <c r="N2" s="40" t="str">
        <f t="shared" si="0"/>
        <v>r_SP500</v>
      </c>
      <c r="O2" s="40" t="str">
        <f t="shared" si="0"/>
        <v>r_Treasury 1Y</v>
      </c>
      <c r="P2" s="12"/>
      <c r="Q2" s="41" t="s">
        <v>1</v>
      </c>
      <c r="R2" s="41" t="s">
        <v>2</v>
      </c>
      <c r="S2" s="41" t="s">
        <v>3</v>
      </c>
      <c r="T2" s="41" t="s">
        <v>4</v>
      </c>
      <c r="U2" s="42" t="s">
        <v>15</v>
      </c>
      <c r="V2" s="39"/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52"/>
      <c r="AC2" s="41" t="s">
        <v>1</v>
      </c>
      <c r="AD2" s="41" t="s">
        <v>2</v>
      </c>
      <c r="AE2" s="41" t="s">
        <v>3</v>
      </c>
      <c r="AF2" s="41" t="s">
        <v>4</v>
      </c>
      <c r="AG2" s="42" t="s">
        <v>15</v>
      </c>
      <c r="AH2" s="52"/>
      <c r="AI2" s="3" t="s">
        <v>36</v>
      </c>
      <c r="AK2" s="3" t="s">
        <v>51</v>
      </c>
      <c r="AP2" s="38"/>
    </row>
    <row r="3" spans="1:43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 t="shared" ref="H3:H66" si="1"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>LN(H3/H2)</f>
        <v>-1.8162558630952245E-3</v>
      </c>
      <c r="P3" s="6"/>
      <c r="Q3" s="13">
        <f t="shared" ref="Q3:U53" si="2">+J3-$H3</f>
        <v>-1.4871058304961786E-2</v>
      </c>
      <c r="R3" s="13">
        <f t="shared" si="2"/>
        <v>1.9383579110064113E-3</v>
      </c>
      <c r="S3" s="13">
        <f t="shared" si="2"/>
        <v>-1.064995242758994E-2</v>
      </c>
      <c r="T3" s="13">
        <f t="shared" si="2"/>
        <v>-6.612405583954364E-3</v>
      </c>
      <c r="U3" s="13">
        <f t="shared" si="2"/>
        <v>-7.9516356529028311E-3</v>
      </c>
      <c r="V3" s="13"/>
      <c r="W3" s="13">
        <f>+B3/MAX(B$2:B3)-1</f>
        <v>-1.4555218598813147E-2</v>
      </c>
      <c r="X3" s="13">
        <f>+C3/MAX(C$2:C3)-1</f>
        <v>0</v>
      </c>
      <c r="Y3" s="13">
        <f>+D3/MAX(D$2:D3)-1</f>
        <v>-1.0386760277627527E-2</v>
      </c>
      <c r="Z3" s="13">
        <f>+E3/MAX(E$2:E3)-1</f>
        <v>-6.3830733673780893E-3</v>
      </c>
      <c r="AA3" s="13">
        <f>+F3/MAX(F$2:F3)-1</f>
        <v>-7.7128643857296009E-3</v>
      </c>
      <c r="AB3" s="52"/>
      <c r="AC3" s="13">
        <f>+IF(J3&lt;$O3,J3-$O3,"")</f>
        <v>-1.2845929145088794E-2</v>
      </c>
      <c r="AD3" s="13" t="str">
        <f t="shared" ref="AD3:AG18" si="3">+IF(K3&lt;$O3,K3-$O3,"")</f>
        <v/>
      </c>
      <c r="AE3" s="13">
        <f t="shared" si="3"/>
        <v>-8.6248232677169478E-3</v>
      </c>
      <c r="AF3" s="13">
        <f t="shared" si="3"/>
        <v>-4.587276424081372E-3</v>
      </c>
      <c r="AG3" s="13">
        <f t="shared" si="3"/>
        <v>-5.9265064930298398E-3</v>
      </c>
      <c r="AH3" s="52"/>
      <c r="AP3" s="38"/>
    </row>
    <row r="4" spans="1:43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si="1"/>
        <v>2.0849354880780879E-4</v>
      </c>
      <c r="J4" s="6">
        <f t="shared" ref="J4:N35" si="4">LN(B4/B3)</f>
        <v>2.8121205565770678E-3</v>
      </c>
      <c r="K4" s="6">
        <f t="shared" si="4"/>
        <v>5.5939921723177225E-3</v>
      </c>
      <c r="L4" s="6">
        <f t="shared" si="4"/>
        <v>2.2848847647558819E-3</v>
      </c>
      <c r="M4" s="6">
        <f t="shared" si="4"/>
        <v>2.8511962146941443E-3</v>
      </c>
      <c r="N4" s="6">
        <f t="shared" si="4"/>
        <v>-1.4874022775515319E-4</v>
      </c>
      <c r="O4" s="6">
        <f t="shared" ref="O4:O67" si="5">LN(H4/H3)</f>
        <v>-1.8197328262530177E-3</v>
      </c>
      <c r="P4" s="6"/>
      <c r="Q4" s="13">
        <f t="shared" si="2"/>
        <v>2.603627007769259E-3</v>
      </c>
      <c r="R4" s="13">
        <f t="shared" si="2"/>
        <v>5.3854986235099137E-3</v>
      </c>
      <c r="S4" s="13">
        <f t="shared" si="2"/>
        <v>2.0763912159480731E-3</v>
      </c>
      <c r="T4" s="13">
        <f t="shared" si="2"/>
        <v>2.6427026658863355E-3</v>
      </c>
      <c r="U4" s="13">
        <f t="shared" si="2"/>
        <v>-3.5723377656296198E-4</v>
      </c>
      <c r="V4" s="13"/>
      <c r="W4" s="13">
        <f>+B4/MAX(B$2:B4)-1</f>
        <v>-1.1780128957138314E-2</v>
      </c>
      <c r="X4" s="13">
        <f>+C4/MAX(C$2:C4)-1</f>
        <v>0</v>
      </c>
      <c r="Y4" s="13">
        <f>+D4/MAX(D$2:D4)-1</f>
        <v>-8.1230228584724395E-3</v>
      </c>
      <c r="Z4" s="13">
        <f>+E4/MAX(E$2:E4)-1</f>
        <v>-3.546033991275177E-3</v>
      </c>
      <c r="AA4" s="13">
        <f>+F4/MAX(F$2:F4)-1</f>
        <v>-7.8604464243142713E-3</v>
      </c>
      <c r="AB4" s="52"/>
      <c r="AC4" s="13" t="str">
        <f t="shared" ref="AC4:AG66" si="6">+IF(J4&lt;$O4,J4-$O4,"")</f>
        <v/>
      </c>
      <c r="AD4" s="13" t="str">
        <f t="shared" si="3"/>
        <v/>
      </c>
      <c r="AE4" s="13" t="str">
        <f t="shared" si="3"/>
        <v/>
      </c>
      <c r="AF4" s="13" t="str">
        <f t="shared" si="3"/>
        <v/>
      </c>
      <c r="AG4" s="13" t="str">
        <f t="shared" si="3"/>
        <v/>
      </c>
      <c r="AH4" s="52"/>
      <c r="AI4" s="7" t="s">
        <v>6</v>
      </c>
      <c r="AJ4" s="50" t="s">
        <v>1</v>
      </c>
      <c r="AK4" s="50" t="s">
        <v>2</v>
      </c>
      <c r="AL4" s="50" t="s">
        <v>3</v>
      </c>
      <c r="AM4" s="50" t="s">
        <v>4</v>
      </c>
      <c r="AN4" s="50" t="s">
        <v>15</v>
      </c>
      <c r="AP4" s="38"/>
    </row>
    <row r="5" spans="1:43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1"/>
        <v>2.0925300885044074E-4</v>
      </c>
      <c r="J5" s="6">
        <f t="shared" si="4"/>
        <v>7.7070400094383651E-3</v>
      </c>
      <c r="K5" s="6">
        <f t="shared" si="4"/>
        <v>-8.568180711971048E-3</v>
      </c>
      <c r="L5" s="6">
        <f t="shared" si="4"/>
        <v>3.4177360836862881E-3</v>
      </c>
      <c r="M5" s="6">
        <f t="shared" si="4"/>
        <v>3.5523360724823969E-3</v>
      </c>
      <c r="N5" s="6">
        <f t="shared" si="4"/>
        <v>6.8556214812669266E-3</v>
      </c>
      <c r="O5" s="6">
        <f t="shared" si="5"/>
        <v>3.635988689348241E-3</v>
      </c>
      <c r="P5" s="6"/>
      <c r="Q5" s="13">
        <f t="shared" si="2"/>
        <v>7.4977870005879244E-3</v>
      </c>
      <c r="R5" s="13">
        <f t="shared" si="2"/>
        <v>-8.7774337208214887E-3</v>
      </c>
      <c r="S5" s="13">
        <f t="shared" si="2"/>
        <v>3.2084830748358474E-3</v>
      </c>
      <c r="T5" s="13">
        <f t="shared" si="2"/>
        <v>3.3430830636319562E-3</v>
      </c>
      <c r="U5" s="13">
        <f t="shared" si="2"/>
        <v>6.6463684724164859E-3</v>
      </c>
      <c r="V5" s="13"/>
      <c r="W5" s="13">
        <f>+B5/MAX(B$2:B5)-1</f>
        <v>-4.1344539564002192E-3</v>
      </c>
      <c r="X5" s="13">
        <f>+C5/MAX(C$2:C5)-1</f>
        <v>-8.5315784644375281E-3</v>
      </c>
      <c r="Y5" s="13">
        <f>+D5/MAX(D$2:D5)-1</f>
        <v>-4.7272495000275638E-3</v>
      </c>
      <c r="Z5" s="13">
        <f>+E5/MAX(E$2:E5)-1</f>
        <v>0</v>
      </c>
      <c r="AA5" s="13">
        <f>+F5/MAX(F$2:F5)-1</f>
        <v>-1.0353447629944945E-3</v>
      </c>
      <c r="AB5" s="52"/>
      <c r="AC5" s="13" t="str">
        <f t="shared" si="6"/>
        <v/>
      </c>
      <c r="AD5" s="13">
        <f t="shared" si="3"/>
        <v>-1.2204169401319289E-2</v>
      </c>
      <c r="AE5" s="13">
        <f t="shared" si="3"/>
        <v>-2.1825260566195282E-4</v>
      </c>
      <c r="AF5" s="13">
        <f t="shared" si="3"/>
        <v>-8.3652616865844028E-5</v>
      </c>
      <c r="AG5" s="13" t="str">
        <f t="shared" si="3"/>
        <v/>
      </c>
      <c r="AH5" s="52"/>
      <c r="AI5" s="55" t="s">
        <v>21</v>
      </c>
      <c r="AJ5" s="8">
        <f>AVERAGE(J3:J254)</f>
        <v>1.0005667965467292E-3</v>
      </c>
      <c r="AK5" s="8">
        <f>AVERAGE(K3:K254)</f>
        <v>6.5844828632144513E-4</v>
      </c>
      <c r="AL5" s="8">
        <f>AVERAGE(L3:L254)</f>
        <v>1.5030786305094985E-3</v>
      </c>
      <c r="AM5" s="8">
        <f>AVERAGE(M3:M254)</f>
        <v>1.5168662454873357E-3</v>
      </c>
      <c r="AN5" s="8">
        <f>AVERAGE(N3:N254)</f>
        <v>9.1264845799794573E-4</v>
      </c>
    </row>
    <row r="6" spans="1:43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1"/>
        <v>2.1001232533235381E-4</v>
      </c>
      <c r="J6" s="6">
        <f t="shared" si="4"/>
        <v>7.8738144273404372E-3</v>
      </c>
      <c r="K6" s="6">
        <f t="shared" si="4"/>
        <v>-6.141625470814838E-3</v>
      </c>
      <c r="L6" s="6">
        <f t="shared" si="4"/>
        <v>-2.0956622133486116E-2</v>
      </c>
      <c r="M6" s="6">
        <f t="shared" si="4"/>
        <v>1.1283650762276005E-2</v>
      </c>
      <c r="N6" s="6">
        <f t="shared" si="4"/>
        <v>-2.7812820922299762E-3</v>
      </c>
      <c r="O6" s="6">
        <f t="shared" si="5"/>
        <v>3.6221325742041705E-3</v>
      </c>
      <c r="P6" s="6"/>
      <c r="Q6" s="13">
        <f t="shared" si="2"/>
        <v>7.6638021020080833E-3</v>
      </c>
      <c r="R6" s="13">
        <f t="shared" si="2"/>
        <v>-6.3516377961471918E-3</v>
      </c>
      <c r="S6" s="13">
        <f t="shared" si="2"/>
        <v>-2.1166634458818469E-2</v>
      </c>
      <c r="T6" s="13">
        <f t="shared" si="2"/>
        <v>1.1073638436943652E-2</v>
      </c>
      <c r="U6" s="13">
        <f t="shared" si="2"/>
        <v>-2.99129441756233E-3</v>
      </c>
      <c r="V6" s="13"/>
      <c r="W6" s="13">
        <f>+B6/MAX(B$2:B6)-1</f>
        <v>0</v>
      </c>
      <c r="X6" s="13">
        <f>+C6/MAX(C$2:C6)-1</f>
        <v>-1.4602145519442278E-2</v>
      </c>
      <c r="Y6" s="13">
        <f>+D6/MAX(D$2:D6)-1</f>
        <v>-2.5367771241439629E-2</v>
      </c>
      <c r="Z6" s="13">
        <f>+E6/MAX(E$2:E6)-1</f>
        <v>0</v>
      </c>
      <c r="AA6" s="13">
        <f>+F6/MAX(F$2:F6)-1</f>
        <v>-3.8098870883879199E-3</v>
      </c>
      <c r="AB6" s="52"/>
      <c r="AC6" s="13" t="str">
        <f t="shared" si="6"/>
        <v/>
      </c>
      <c r="AD6" s="13">
        <f t="shared" si="3"/>
        <v>-9.7637580450190085E-3</v>
      </c>
      <c r="AE6" s="13">
        <f t="shared" si="3"/>
        <v>-2.4578754707690286E-2</v>
      </c>
      <c r="AF6" s="13" t="str">
        <f t="shared" si="3"/>
        <v/>
      </c>
      <c r="AG6" s="13">
        <f t="shared" si="3"/>
        <v>-6.4034146664341471E-3</v>
      </c>
      <c r="AH6" s="52"/>
      <c r="AI6" s="55" t="s">
        <v>39</v>
      </c>
      <c r="AJ6" s="8">
        <f>STDEV(J3:J254)</f>
        <v>1.4317007168692672E-2</v>
      </c>
      <c r="AK6" s="8">
        <f t="shared" ref="AK6:AN6" si="7">STDEV(K3:K254)</f>
        <v>8.4145554622722402E-3</v>
      </c>
      <c r="AL6" s="8">
        <f t="shared" si="7"/>
        <v>1.1640822805611175E-2</v>
      </c>
      <c r="AM6" s="8">
        <f t="shared" si="7"/>
        <v>1.3397541042164431E-2</v>
      </c>
      <c r="AN6" s="8">
        <f t="shared" si="7"/>
        <v>7.8758266281572179E-3</v>
      </c>
      <c r="AP6" s="38"/>
    </row>
    <row r="7" spans="1:43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1"/>
        <v>2.0849354880780879E-4</v>
      </c>
      <c r="J7" s="6">
        <f t="shared" si="4"/>
        <v>2.1711540417555734E-2</v>
      </c>
      <c r="K7" s="6">
        <f t="shared" si="4"/>
        <v>3.4904214645253497E-3</v>
      </c>
      <c r="L7" s="6">
        <f t="shared" si="4"/>
        <v>6.740365503857486E-3</v>
      </c>
      <c r="M7" s="6">
        <f t="shared" si="4"/>
        <v>-7.0373473579131004E-3</v>
      </c>
      <c r="N7" s="6">
        <f t="shared" si="4"/>
        <v>1.0984339030271489E-2</v>
      </c>
      <c r="O7" s="6">
        <f t="shared" si="5"/>
        <v>-7.2581212635524379E-3</v>
      </c>
      <c r="P7" s="6"/>
      <c r="Q7" s="13">
        <f t="shared" si="2"/>
        <v>2.1503046868747926E-2</v>
      </c>
      <c r="R7" s="13">
        <f t="shared" si="2"/>
        <v>3.2819279157175409E-3</v>
      </c>
      <c r="S7" s="13">
        <f t="shared" si="2"/>
        <v>6.5318719550496772E-3</v>
      </c>
      <c r="T7" s="13">
        <f t="shared" si="2"/>
        <v>-7.2458409067209092E-3</v>
      </c>
      <c r="U7" s="13">
        <f t="shared" si="2"/>
        <v>1.0775845481463681E-2</v>
      </c>
      <c r="V7" s="13"/>
      <c r="W7" s="13">
        <f>+B7/MAX(B$2:B7)-1</f>
        <v>0</v>
      </c>
      <c r="X7" s="13">
        <f>+C7/MAX(C$2:C7)-1</f>
        <v>-1.1156682135408769E-2</v>
      </c>
      <c r="Y7" s="13">
        <f>+D7/MAX(D$2:D7)-1</f>
        <v>-1.8776203957343029E-2</v>
      </c>
      <c r="Z7" s="13">
        <f>+E7/MAX(E$2:E7)-1</f>
        <v>-7.0126432135124706E-3</v>
      </c>
      <c r="AA7" s="13">
        <f>+F7/MAX(F$2:F7)-1</f>
        <v>0</v>
      </c>
      <c r="AB7" s="52"/>
      <c r="AC7" s="13" t="str">
        <f t="shared" si="6"/>
        <v/>
      </c>
      <c r="AD7" s="13" t="str">
        <f t="shared" si="3"/>
        <v/>
      </c>
      <c r="AE7" s="13" t="str">
        <f t="shared" si="3"/>
        <v/>
      </c>
      <c r="AF7" s="13" t="str">
        <f t="shared" si="3"/>
        <v/>
      </c>
      <c r="AG7" s="13" t="str">
        <f t="shared" si="3"/>
        <v/>
      </c>
      <c r="AH7" s="52"/>
      <c r="AP7" s="38"/>
    </row>
    <row r="8" spans="1:43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1"/>
        <v>2.1001232533235381E-4</v>
      </c>
      <c r="J8" s="6">
        <f t="shared" si="4"/>
        <v>-2.6519108676923038E-2</v>
      </c>
      <c r="K8" s="6">
        <f t="shared" si="4"/>
        <v>-2.6582344086022547E-3</v>
      </c>
      <c r="L8" s="6">
        <f t="shared" si="4"/>
        <v>-9.5044774711671462E-4</v>
      </c>
      <c r="M8" s="6">
        <f t="shared" si="4"/>
        <v>-7.0654176800563693E-4</v>
      </c>
      <c r="N8" s="6">
        <f t="shared" si="4"/>
        <v>-1.3549420207499292E-2</v>
      </c>
      <c r="O8" s="6">
        <f t="shared" si="5"/>
        <v>7.2581212635524119E-3</v>
      </c>
      <c r="P8" s="6"/>
      <c r="Q8" s="13">
        <f t="shared" si="2"/>
        <v>-2.6729121002255392E-2</v>
      </c>
      <c r="R8" s="13">
        <f t="shared" si="2"/>
        <v>-2.8682467339346085E-3</v>
      </c>
      <c r="S8" s="13">
        <f t="shared" si="2"/>
        <v>-1.1604600724490683E-3</v>
      </c>
      <c r="T8" s="13">
        <f t="shared" si="2"/>
        <v>-9.1655409333799075E-4</v>
      </c>
      <c r="U8" s="13">
        <f t="shared" si="2"/>
        <v>-1.3759432532831645E-2</v>
      </c>
      <c r="V8" s="13"/>
      <c r="W8" s="13">
        <f>+B8/MAX(B$2:B8)-1</f>
        <v>-2.6170564934311691E-2</v>
      </c>
      <c r="X8" s="13">
        <f>+C8/MAX(C$2:C8)-1</f>
        <v>-1.3781768873941558E-2</v>
      </c>
      <c r="Y8" s="13">
        <f>+D8/MAX(D$2:D8)-1</f>
        <v>-1.9708362849377492E-2</v>
      </c>
      <c r="Z8" s="13">
        <f>+E8/MAX(E$2:E8)-1</f>
        <v>-7.7139824642707966E-3</v>
      </c>
      <c r="AA8" s="13">
        <f>+F8/MAX(F$2:F8)-1</f>
        <v>-1.3458039995401183E-2</v>
      </c>
      <c r="AB8" s="52"/>
      <c r="AC8" s="13">
        <f t="shared" si="6"/>
        <v>-3.3777229940475453E-2</v>
      </c>
      <c r="AD8" s="13">
        <f t="shared" si="3"/>
        <v>-9.916355672154667E-3</v>
      </c>
      <c r="AE8" s="13">
        <f t="shared" si="3"/>
        <v>-8.2085690106691259E-3</v>
      </c>
      <c r="AF8" s="13">
        <f t="shared" si="3"/>
        <v>-7.9646630315580481E-3</v>
      </c>
      <c r="AG8" s="13">
        <f t="shared" si="3"/>
        <v>-2.0807541471051703E-2</v>
      </c>
      <c r="AH8" s="52"/>
      <c r="AI8" s="7" t="s">
        <v>7</v>
      </c>
      <c r="AJ8" s="50" t="s">
        <v>1</v>
      </c>
      <c r="AK8" s="50" t="s">
        <v>2</v>
      </c>
      <c r="AL8" s="50" t="s">
        <v>3</v>
      </c>
      <c r="AM8" s="50" t="s">
        <v>4</v>
      </c>
      <c r="AN8" s="50" t="s">
        <v>15</v>
      </c>
      <c r="AP8" s="38"/>
    </row>
    <row r="9" spans="1:43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1"/>
        <v>2.1190998881470691E-4</v>
      </c>
      <c r="J9" s="6">
        <f t="shared" si="4"/>
        <v>1.2564052740774025E-2</v>
      </c>
      <c r="K9" s="6">
        <f t="shared" si="4"/>
        <v>4.6472362667604817E-3</v>
      </c>
      <c r="L9" s="6">
        <f t="shared" si="4"/>
        <v>-1.2233201758554283E-3</v>
      </c>
      <c r="M9" s="6">
        <f t="shared" si="4"/>
        <v>-2.830866787178094E-3</v>
      </c>
      <c r="N9" s="6">
        <f t="shared" si="4"/>
        <v>6.6955233154781116E-3</v>
      </c>
      <c r="O9" s="6">
        <f t="shared" si="5"/>
        <v>8.9953823952637728E-3</v>
      </c>
      <c r="P9" s="6"/>
      <c r="Q9" s="13">
        <f t="shared" si="2"/>
        <v>1.2352142751959318E-2</v>
      </c>
      <c r="R9" s="13">
        <f t="shared" si="2"/>
        <v>4.4353262779457748E-3</v>
      </c>
      <c r="S9" s="13">
        <f t="shared" si="2"/>
        <v>-1.4352301646701352E-3</v>
      </c>
      <c r="T9" s="13">
        <f t="shared" si="2"/>
        <v>-3.0427767759928009E-3</v>
      </c>
      <c r="U9" s="13">
        <f t="shared" si="2"/>
        <v>6.4836133266634047E-3</v>
      </c>
      <c r="V9" s="13"/>
      <c r="W9" s="13">
        <f>+B9/MAX(B$2:B9)-1</f>
        <v>-1.385813551018733E-2</v>
      </c>
      <c r="X9" s="13">
        <f>+C9/MAX(C$2:C9)-1</f>
        <v>-9.187913645715029E-3</v>
      </c>
      <c r="Y9" s="13">
        <f>+D9/MAX(D$2:D9)-1</f>
        <v>-2.0906840177117192E-2</v>
      </c>
      <c r="Z9" s="13">
        <f>+E9/MAX(E$2:E9)-1</f>
        <v>-1.051903974967594E-2</v>
      </c>
      <c r="AA9" s="13">
        <f>+F9/MAX(F$2:F9)-1</f>
        <v>-6.8304625102287853E-3</v>
      </c>
      <c r="AB9" s="52"/>
      <c r="AC9" s="13" t="str">
        <f t="shared" si="6"/>
        <v/>
      </c>
      <c r="AD9" s="13">
        <f t="shared" si="3"/>
        <v>-4.3481461285032911E-3</v>
      </c>
      <c r="AE9" s="13">
        <f t="shared" si="3"/>
        <v>-1.02187025711192E-2</v>
      </c>
      <c r="AF9" s="13">
        <f t="shared" si="3"/>
        <v>-1.1826249182441868E-2</v>
      </c>
      <c r="AG9" s="13">
        <f t="shared" si="3"/>
        <v>-2.2998590797856612E-3</v>
      </c>
      <c r="AH9" s="52"/>
      <c r="AI9" s="55" t="s">
        <v>21</v>
      </c>
      <c r="AJ9" s="8">
        <f>((1+AJ5)^250)-1</f>
        <v>0.28404678408841222</v>
      </c>
      <c r="AK9" s="8">
        <f>((1+AK5)^250)-1</f>
        <v>0.17887182553898695</v>
      </c>
      <c r="AL9" s="8">
        <f>((1+AL5)^250)-1</f>
        <v>0.45570094625533186</v>
      </c>
      <c r="AM9" s="8">
        <f>((1+AM5)^250)-1</f>
        <v>0.46071967373147737</v>
      </c>
      <c r="AN9" s="8">
        <f>((1+AN5)^250)-1</f>
        <v>0.25615825825352467</v>
      </c>
      <c r="AP9" s="54"/>
    </row>
    <row r="10" spans="1:43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1"/>
        <v>2.1190998881470691E-4</v>
      </c>
      <c r="J10" s="6">
        <f t="shared" si="4"/>
        <v>8.8072127836774459E-3</v>
      </c>
      <c r="K10" s="6">
        <f t="shared" si="4"/>
        <v>2.811071519673288E-3</v>
      </c>
      <c r="L10" s="6">
        <f t="shared" si="4"/>
        <v>3.4622835952314748E-3</v>
      </c>
      <c r="M10" s="6">
        <f t="shared" si="4"/>
        <v>7.0621975605345338E-3</v>
      </c>
      <c r="N10" s="6">
        <f t="shared" si="4"/>
        <v>6.2450565111568821E-3</v>
      </c>
      <c r="O10" s="6">
        <f t="shared" si="5"/>
        <v>0</v>
      </c>
      <c r="P10" s="6"/>
      <c r="Q10" s="13">
        <f t="shared" si="2"/>
        <v>8.595302794862739E-3</v>
      </c>
      <c r="R10" s="13">
        <f t="shared" si="2"/>
        <v>2.5991615308585811E-3</v>
      </c>
      <c r="S10" s="13">
        <f t="shared" si="2"/>
        <v>3.2503736064167679E-3</v>
      </c>
      <c r="T10" s="13">
        <f t="shared" si="2"/>
        <v>6.8502875717198269E-3</v>
      </c>
      <c r="U10" s="13">
        <f t="shared" si="2"/>
        <v>6.0331465223421752E-3</v>
      </c>
      <c r="V10" s="13"/>
      <c r="W10" s="13">
        <f>+B10/MAX(B$2:B10)-1</f>
        <v>-5.1346157152346583E-3</v>
      </c>
      <c r="X10" s="13">
        <f>+C10/MAX(C$2:C10)-1</f>
        <v>-6.398751578082118E-3</v>
      </c>
      <c r="Y10" s="13">
        <f>+D10/MAX(D$2:D10)-1</f>
        <v>-1.7511066818672316E-2</v>
      </c>
      <c r="Z10" s="13">
        <f>+E10/MAX(E$2:E10)-1</f>
        <v>-3.5063965361633587E-3</v>
      </c>
      <c r="AA10" s="13">
        <f>+F10/MAX(F$2:F10)-1</f>
        <v>-6.0865507516882911E-4</v>
      </c>
      <c r="AB10" s="52"/>
      <c r="AC10" s="13" t="str">
        <f t="shared" si="6"/>
        <v/>
      </c>
      <c r="AD10" s="13" t="str">
        <f t="shared" si="3"/>
        <v/>
      </c>
      <c r="AE10" s="13" t="str">
        <f t="shared" si="3"/>
        <v/>
      </c>
      <c r="AF10" s="13" t="str">
        <f t="shared" si="3"/>
        <v/>
      </c>
      <c r="AG10" s="13" t="str">
        <f t="shared" si="3"/>
        <v/>
      </c>
      <c r="AH10" s="52"/>
      <c r="AI10" s="55" t="s">
        <v>39</v>
      </c>
      <c r="AJ10" s="8">
        <f>AJ6*SQRT(250)</f>
        <v>0.22637175965013689</v>
      </c>
      <c r="AK10" s="8">
        <f>AK6*SQRT(250)</f>
        <v>0.13304580379295658</v>
      </c>
      <c r="AL10" s="8">
        <f>AL6*SQRT(250)</f>
        <v>0.18405756952081409</v>
      </c>
      <c r="AM10" s="8">
        <f>AM6*SQRT(250)</f>
        <v>0.21183372369412781</v>
      </c>
      <c r="AN10" s="8">
        <f>AN6*SQRT(250)</f>
        <v>0.12452775300790411</v>
      </c>
      <c r="AP10" s="38"/>
    </row>
    <row r="11" spans="1:43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1"/>
        <v>2.0925300885044074E-4</v>
      </c>
      <c r="J11" s="6">
        <f t="shared" si="4"/>
        <v>2.1575762719950167E-2</v>
      </c>
      <c r="K11" s="6">
        <f t="shared" si="4"/>
        <v>-9.9121473034572902E-4</v>
      </c>
      <c r="L11" s="6">
        <f t="shared" si="4"/>
        <v>8.0993210507113115E-3</v>
      </c>
      <c r="M11" s="6">
        <f t="shared" si="4"/>
        <v>3.8652123786868747E-2</v>
      </c>
      <c r="N11" s="6">
        <f t="shared" si="4"/>
        <v>1.4404107984150809E-2</v>
      </c>
      <c r="O11" s="6">
        <f t="shared" si="5"/>
        <v>-1.2617514969468103E-2</v>
      </c>
      <c r="P11" s="6"/>
      <c r="Q11" s="13">
        <f t="shared" si="2"/>
        <v>2.1366509711099727E-2</v>
      </c>
      <c r="R11" s="13">
        <f t="shared" si="2"/>
        <v>-1.2004677391961698E-3</v>
      </c>
      <c r="S11" s="13">
        <f t="shared" si="2"/>
        <v>7.8900680418608708E-3</v>
      </c>
      <c r="T11" s="13">
        <f t="shared" si="2"/>
        <v>3.8442870778018307E-2</v>
      </c>
      <c r="U11" s="13">
        <f t="shared" si="2"/>
        <v>1.4194854975300368E-2</v>
      </c>
      <c r="V11" s="13"/>
      <c r="W11" s="13">
        <f>+B11/MAX(B$2:B11)-1</f>
        <v>0</v>
      </c>
      <c r="X11" s="13">
        <f>+C11/MAX(C$2:C11)-1</f>
        <v>-7.3831358229289323E-3</v>
      </c>
      <c r="Y11" s="13">
        <f>+D11/MAX(D$2:D11)-1</f>
        <v>-9.5212611965240779E-3</v>
      </c>
      <c r="Z11" s="13">
        <f>+E11/MAX(E$2:E11)-1</f>
        <v>0</v>
      </c>
      <c r="AA11" s="13">
        <f>+F11/MAX(F$2:F11)-1</f>
        <v>0</v>
      </c>
      <c r="AB11" s="52"/>
      <c r="AC11" s="13" t="str">
        <f t="shared" si="6"/>
        <v/>
      </c>
      <c r="AD11" s="13" t="str">
        <f t="shared" si="3"/>
        <v/>
      </c>
      <c r="AE11" s="13" t="str">
        <f t="shared" si="3"/>
        <v/>
      </c>
      <c r="AF11" s="13" t="str">
        <f t="shared" si="3"/>
        <v/>
      </c>
      <c r="AG11" s="13" t="str">
        <f t="shared" si="3"/>
        <v/>
      </c>
      <c r="AH11" s="52"/>
      <c r="AP11" s="38"/>
    </row>
    <row r="12" spans="1:43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1"/>
        <v>2.1001232533235381E-4</v>
      </c>
      <c r="J12" s="6">
        <f t="shared" si="4"/>
        <v>1.899078242547661E-2</v>
      </c>
      <c r="K12" s="6">
        <f t="shared" si="4"/>
        <v>-4.9597604879833524E-4</v>
      </c>
      <c r="L12" s="6">
        <f t="shared" si="4"/>
        <v>-4.0415125667635282E-3</v>
      </c>
      <c r="M12" s="6">
        <f t="shared" si="4"/>
        <v>-2.7118017809940271E-3</v>
      </c>
      <c r="N12" s="6">
        <f t="shared" si="4"/>
        <v>3.8258021699069606E-3</v>
      </c>
      <c r="O12" s="6">
        <f t="shared" si="5"/>
        <v>3.6221325742041705E-3</v>
      </c>
      <c r="P12" s="6"/>
      <c r="Q12" s="13">
        <f t="shared" si="2"/>
        <v>1.8780770100144256E-2</v>
      </c>
      <c r="R12" s="13">
        <f t="shared" si="2"/>
        <v>-7.0598837413068905E-4</v>
      </c>
      <c r="S12" s="13">
        <f t="shared" si="2"/>
        <v>-4.251524892095882E-3</v>
      </c>
      <c r="T12" s="13">
        <f t="shared" si="2"/>
        <v>-2.9218141063263809E-3</v>
      </c>
      <c r="U12" s="13">
        <f t="shared" si="2"/>
        <v>3.6157898445746068E-3</v>
      </c>
      <c r="V12" s="13"/>
      <c r="W12" s="13">
        <f>+B12/MAX(B$2:B12)-1</f>
        <v>0</v>
      </c>
      <c r="X12" s="13">
        <f>+C12/MAX(C$2:C12)-1</f>
        <v>-7.875327945352395E-3</v>
      </c>
      <c r="Y12" s="13">
        <f>+D12/MAX(D$2:D12)-1</f>
        <v>-1.3516215200367276E-2</v>
      </c>
      <c r="Z12" s="13">
        <f>+E12/MAX(E$2:E12)-1</f>
        <v>-2.7081281679980362E-3</v>
      </c>
      <c r="AA12" s="13">
        <f>+F12/MAX(F$2:F12)-1</f>
        <v>0</v>
      </c>
      <c r="AB12" s="52"/>
      <c r="AC12" s="13" t="str">
        <f t="shared" si="6"/>
        <v/>
      </c>
      <c r="AD12" s="13">
        <f t="shared" si="3"/>
        <v>-4.118108623002506E-3</v>
      </c>
      <c r="AE12" s="13">
        <f t="shared" si="3"/>
        <v>-7.6636451409676986E-3</v>
      </c>
      <c r="AF12" s="13">
        <f t="shared" si="3"/>
        <v>-6.3339343551981975E-3</v>
      </c>
      <c r="AG12" s="13" t="str">
        <f t="shared" si="3"/>
        <v/>
      </c>
      <c r="AH12" s="52"/>
      <c r="AI12" s="3" t="s">
        <v>38</v>
      </c>
      <c r="AJ12" s="9">
        <f>+AVERAGE($G$2:$G$254)</f>
        <v>5.1073122529644292E-2</v>
      </c>
      <c r="AK12" s="9">
        <f t="shared" ref="AK12:AN12" si="8">+AVERAGE($G$2:$G$254)</f>
        <v>5.1073122529644292E-2</v>
      </c>
      <c r="AL12" s="9">
        <f t="shared" si="8"/>
        <v>5.1073122529644292E-2</v>
      </c>
      <c r="AM12" s="9">
        <f t="shared" si="8"/>
        <v>5.1073122529644292E-2</v>
      </c>
      <c r="AN12" s="9">
        <f t="shared" si="8"/>
        <v>5.1073122529644292E-2</v>
      </c>
      <c r="AP12" s="38"/>
    </row>
    <row r="13" spans="1:43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1"/>
        <v>2.0925300885044074E-4</v>
      </c>
      <c r="J13" s="6">
        <f t="shared" si="4"/>
        <v>1.1717517176788328E-3</v>
      </c>
      <c r="K13" s="6">
        <f t="shared" si="4"/>
        <v>-1.0640119950070189E-2</v>
      </c>
      <c r="L13" s="6">
        <f t="shared" si="4"/>
        <v>-1.2428386047596607E-2</v>
      </c>
      <c r="M13" s="6">
        <f t="shared" si="4"/>
        <v>4.0649860690958528E-3</v>
      </c>
      <c r="N13" s="6">
        <f t="shared" si="4"/>
        <v>-1.5982216816604765E-3</v>
      </c>
      <c r="O13" s="6">
        <f t="shared" si="5"/>
        <v>-3.6221325742042767E-3</v>
      </c>
      <c r="P13" s="6"/>
      <c r="Q13" s="13">
        <f t="shared" si="2"/>
        <v>9.6249870882839203E-4</v>
      </c>
      <c r="R13" s="13">
        <f t="shared" si="2"/>
        <v>-1.084937295892063E-2</v>
      </c>
      <c r="S13" s="13">
        <f t="shared" si="2"/>
        <v>-1.2637639056447048E-2</v>
      </c>
      <c r="T13" s="13">
        <f t="shared" si="2"/>
        <v>3.855733060245412E-3</v>
      </c>
      <c r="U13" s="13">
        <f t="shared" si="2"/>
        <v>-1.8074746905109172E-3</v>
      </c>
      <c r="V13" s="13"/>
      <c r="W13" s="13">
        <f>+B13/MAX(B$2:B13)-1</f>
        <v>0</v>
      </c>
      <c r="X13" s="13">
        <f>+C13/MAX(C$2:C13)-1</f>
        <v>-1.8375691831922114E-2</v>
      </c>
      <c r="Y13" s="13">
        <f>+D13/MAX(D$2:D13)-1</f>
        <v>-2.570074266237321E-2</v>
      </c>
      <c r="Z13" s="13">
        <f>+E13/MAX(E$2:E13)-1</f>
        <v>0</v>
      </c>
      <c r="AA13" s="13">
        <f>+F13/MAX(F$2:F13)-1</f>
        <v>-1.5969452055097921E-3</v>
      </c>
      <c r="AB13" s="52"/>
      <c r="AC13" s="13" t="str">
        <f t="shared" si="6"/>
        <v/>
      </c>
      <c r="AD13" s="13">
        <f t="shared" si="3"/>
        <v>-7.0179873758659129E-3</v>
      </c>
      <c r="AE13" s="13">
        <f t="shared" si="3"/>
        <v>-8.8062534733923305E-3</v>
      </c>
      <c r="AF13" s="13" t="str">
        <f t="shared" si="3"/>
        <v/>
      </c>
      <c r="AG13" s="13" t="str">
        <f t="shared" si="3"/>
        <v/>
      </c>
      <c r="AH13" s="52"/>
      <c r="AI13" s="3" t="s">
        <v>40</v>
      </c>
      <c r="AJ13" s="22">
        <f>+(AJ9-AJ12)/AJ10</f>
        <v>1.0291639819332341</v>
      </c>
      <c r="AK13" s="22">
        <f>+(AK9-AK12)/AK10</f>
        <v>0.96056169654339962</v>
      </c>
      <c r="AL13" s="22">
        <f>+(AL9-AL12)/AL10</f>
        <v>2.1983764361287537</v>
      </c>
      <c r="AM13" s="22">
        <f>+(AM9-AM12)/AM10</f>
        <v>1.9338117843471057</v>
      </c>
      <c r="AN13" s="22">
        <f>+(AN9-AN12)/AN10</f>
        <v>1.6469030458685228</v>
      </c>
      <c r="AP13" s="38"/>
    </row>
    <row r="14" spans="1:43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1"/>
        <v>2.0887329677776734E-4</v>
      </c>
      <c r="J14" s="6">
        <f t="shared" si="4"/>
        <v>8.4277857631225358E-3</v>
      </c>
      <c r="K14" s="6">
        <f t="shared" si="4"/>
        <v>-8.7293459886518768E-3</v>
      </c>
      <c r="L14" s="6">
        <f t="shared" si="4"/>
        <v>3.3430239573994255E-3</v>
      </c>
      <c r="M14" s="6">
        <f t="shared" si="4"/>
        <v>-9.5109702559868468E-3</v>
      </c>
      <c r="N14" s="6">
        <f t="shared" si="4"/>
        <v>1.7975431036151848E-3</v>
      </c>
      <c r="O14" s="6">
        <f t="shared" si="5"/>
        <v>-1.8162558630952245E-3</v>
      </c>
      <c r="P14" s="6"/>
      <c r="Q14" s="13">
        <f t="shared" si="2"/>
        <v>8.2189124663447684E-3</v>
      </c>
      <c r="R14" s="13">
        <f t="shared" si="2"/>
        <v>-8.9382192854296442E-3</v>
      </c>
      <c r="S14" s="13">
        <f t="shared" si="2"/>
        <v>3.1341506606216581E-3</v>
      </c>
      <c r="T14" s="13">
        <f t="shared" si="2"/>
        <v>-9.7198435527646142E-3</v>
      </c>
      <c r="U14" s="13">
        <f t="shared" si="2"/>
        <v>1.5886698068374174E-3</v>
      </c>
      <c r="V14" s="13"/>
      <c r="W14" s="13">
        <f>+B14/MAX(B$2:B14)-1</f>
        <v>0</v>
      </c>
      <c r="X14" s="13">
        <f>+C14/MAX(C$2:C14)-1</f>
        <v>-2.6907338026113559E-2</v>
      </c>
      <c r="Y14" s="13">
        <f>+D14/MAX(D$2:D14)-1</f>
        <v>-2.2438186540252425E-2</v>
      </c>
      <c r="Z14" s="13">
        <f>+E14/MAX(E$2:E14)-1</f>
        <v>-9.4658840295193114E-3</v>
      </c>
      <c r="AA14" s="13">
        <f>+F14/MAX(F$2:F14)-1</f>
        <v>0</v>
      </c>
      <c r="AB14" s="52"/>
      <c r="AC14" s="13" t="str">
        <f t="shared" si="6"/>
        <v/>
      </c>
      <c r="AD14" s="13">
        <f t="shared" si="3"/>
        <v>-6.9130901255566521E-3</v>
      </c>
      <c r="AE14" s="13" t="str">
        <f t="shared" si="3"/>
        <v/>
      </c>
      <c r="AF14" s="13">
        <f t="shared" si="3"/>
        <v>-7.6947143928916221E-3</v>
      </c>
      <c r="AG14" s="13" t="str">
        <f t="shared" si="3"/>
        <v/>
      </c>
      <c r="AH14" s="52"/>
      <c r="AP14" s="38"/>
    </row>
    <row r="15" spans="1:43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1"/>
        <v>2.0887329677776734E-4</v>
      </c>
      <c r="J15" s="6">
        <f t="shared" si="4"/>
        <v>1.2659131987154749E-3</v>
      </c>
      <c r="K15" s="6">
        <f t="shared" si="4"/>
        <v>-8.2960032000802229E-3</v>
      </c>
      <c r="L15" s="6">
        <f t="shared" si="4"/>
        <v>-1.1095405596341172E-2</v>
      </c>
      <c r="M15" s="6">
        <f t="shared" si="4"/>
        <v>-1.1671910678181512E-2</v>
      </c>
      <c r="N15" s="6">
        <f t="shared" si="4"/>
        <v>-4.203010869610265E-3</v>
      </c>
      <c r="O15" s="6">
        <f t="shared" si="5"/>
        <v>0</v>
      </c>
      <c r="P15" s="6"/>
      <c r="Q15" s="13">
        <f t="shared" si="2"/>
        <v>1.0570399019377075E-3</v>
      </c>
      <c r="R15" s="13">
        <f t="shared" si="2"/>
        <v>-8.5048764968579903E-3</v>
      </c>
      <c r="S15" s="13">
        <f t="shared" si="2"/>
        <v>-1.1304278893118939E-2</v>
      </c>
      <c r="T15" s="13">
        <f t="shared" si="2"/>
        <v>-1.1880783974959279E-2</v>
      </c>
      <c r="U15" s="13">
        <f t="shared" si="2"/>
        <v>-4.4118841663880323E-3</v>
      </c>
      <c r="V15" s="13"/>
      <c r="W15" s="13">
        <f>+B15/MAX(B$2:B15)-1</f>
        <v>0</v>
      </c>
      <c r="X15" s="13">
        <f>+C15/MAX(C$2:C15)-1</f>
        <v>-3.4946724368127624E-2</v>
      </c>
      <c r="Y15" s="13">
        <f>+D15/MAX(D$2:D15)-1</f>
        <v>-3.3224680435282705E-2</v>
      </c>
      <c r="Z15" s="13">
        <f>+E15/MAX(E$2:E15)-1</f>
        <v>-2.0960099535331844E-2</v>
      </c>
      <c r="AA15" s="13">
        <f>+F15/MAX(F$2:F15)-1</f>
        <v>-4.1941905810084501E-3</v>
      </c>
      <c r="AB15" s="52"/>
      <c r="AC15" s="13" t="str">
        <f t="shared" si="6"/>
        <v/>
      </c>
      <c r="AD15" s="13">
        <f t="shared" si="3"/>
        <v>-8.2960032000802229E-3</v>
      </c>
      <c r="AE15" s="13">
        <f t="shared" si="3"/>
        <v>-1.1095405596341172E-2</v>
      </c>
      <c r="AF15" s="13">
        <f t="shared" si="3"/>
        <v>-1.1671910678181512E-2</v>
      </c>
      <c r="AG15" s="13">
        <f t="shared" si="3"/>
        <v>-4.203010869610265E-3</v>
      </c>
      <c r="AH15" s="52"/>
      <c r="AI15" s="3" t="s">
        <v>13</v>
      </c>
      <c r="AJ15" s="22">
        <f>+SLOPE(Q3:Q254,$U$3:$U$254)</f>
        <v>1.0608322342596959</v>
      </c>
      <c r="AK15" s="22">
        <f>+SLOPE(R3:R254,$U$3:$U$254)</f>
        <v>0.20160643912133763</v>
      </c>
      <c r="AL15" s="22">
        <f>+SLOPE(S3:S254,$U$3:$U$254)</f>
        <v>0.64384736790143815</v>
      </c>
      <c r="AM15" s="22">
        <f>+SLOPE(T3:T254,$U$3:$U$254)</f>
        <v>8.7047671691742143E-2</v>
      </c>
      <c r="AN15" s="22">
        <f>+SLOPE(U3:U254,$U$3:$U$254)</f>
        <v>1</v>
      </c>
      <c r="AP15" s="38"/>
    </row>
    <row r="16" spans="1:43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1"/>
        <v>2.1115103099722532E-4</v>
      </c>
      <c r="J16" s="6">
        <f t="shared" si="4"/>
        <v>-3.6449647610985361E-2</v>
      </c>
      <c r="K16" s="6">
        <f t="shared" si="4"/>
        <v>-6.802636816685408E-4</v>
      </c>
      <c r="L16" s="6">
        <f t="shared" si="4"/>
        <v>-1.65396632304482E-3</v>
      </c>
      <c r="M16" s="6">
        <f t="shared" si="4"/>
        <v>8.9378657253624903E-3</v>
      </c>
      <c r="N16" s="6">
        <f t="shared" si="4"/>
        <v>-6.9959927442528732E-3</v>
      </c>
      <c r="O16" s="6">
        <f t="shared" si="5"/>
        <v>1.0845831522955813E-2</v>
      </c>
      <c r="P16" s="6"/>
      <c r="Q16" s="13">
        <f t="shared" si="2"/>
        <v>-3.6660798641982587E-2</v>
      </c>
      <c r="R16" s="13">
        <f t="shared" si="2"/>
        <v>-8.9141471266576612E-4</v>
      </c>
      <c r="S16" s="13">
        <f t="shared" si="2"/>
        <v>-1.8651173540420454E-3</v>
      </c>
      <c r="T16" s="13">
        <f t="shared" si="2"/>
        <v>8.7267146943652649E-3</v>
      </c>
      <c r="U16" s="13">
        <f t="shared" si="2"/>
        <v>-7.2071437752500985E-3</v>
      </c>
      <c r="V16" s="13"/>
      <c r="W16" s="13">
        <f>+B16/MAX(B$2:B16)-1</f>
        <v>-3.5793357217994592E-2</v>
      </c>
      <c r="X16" s="13">
        <f>+C16/MAX(C$2:C16)-1</f>
        <v>-3.5602991819651097E-2</v>
      </c>
      <c r="Y16" s="13">
        <f>+D16/MAX(D$2:D16)-1</f>
        <v>-3.4822372627032583E-2</v>
      </c>
      <c r="Z16" s="13">
        <f>+E16/MAX(E$2:E16)-1</f>
        <v>-1.2170350079349634E-2</v>
      </c>
      <c r="AA16" s="13">
        <f>+F16/MAX(F$2:F16)-1</f>
        <v>-1.1136528211135865E-2</v>
      </c>
      <c r="AB16" s="52"/>
      <c r="AC16" s="13">
        <f t="shared" si="6"/>
        <v>-4.7295479133941172E-2</v>
      </c>
      <c r="AD16" s="13">
        <f t="shared" si="3"/>
        <v>-1.1526095204624354E-2</v>
      </c>
      <c r="AE16" s="13">
        <f t="shared" si="3"/>
        <v>-1.2499797846000632E-2</v>
      </c>
      <c r="AF16" s="13">
        <f t="shared" si="3"/>
        <v>-1.9079657975933223E-3</v>
      </c>
      <c r="AG16" s="13">
        <f t="shared" si="3"/>
        <v>-1.7841824267208685E-2</v>
      </c>
      <c r="AH16" s="52"/>
      <c r="AI16" s="3" t="s">
        <v>41</v>
      </c>
      <c r="AJ16" s="25">
        <f>+(AJ9-AJ12)/AJ15</f>
        <v>0.21961404832437911</v>
      </c>
      <c r="AK16" s="25">
        <f>+(AK9-AK12)/AK15</f>
        <v>0.6339018910622517</v>
      </c>
      <c r="AL16" s="25">
        <f>+(AL9-AL12)/AL15</f>
        <v>0.62845302147391713</v>
      </c>
      <c r="AM16" s="25">
        <f>+(AM9-AM12)/AM15</f>
        <v>4.7060023920283047</v>
      </c>
      <c r="AN16" s="25">
        <f>+(AN9-AN12)/AN15</f>
        <v>0.20508513572388037</v>
      </c>
      <c r="AP16" s="38"/>
    </row>
    <row r="17" spans="1:42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1"/>
        <v>2.1190998881470691E-4</v>
      </c>
      <c r="J17" s="6">
        <f t="shared" si="4"/>
        <v>-2.9685687263803755E-2</v>
      </c>
      <c r="K17" s="6">
        <f t="shared" si="4"/>
        <v>-7.685086250950387E-3</v>
      </c>
      <c r="L17" s="6">
        <f t="shared" si="4"/>
        <v>-8.5911179492632866E-3</v>
      </c>
      <c r="M17" s="6">
        <f t="shared" si="4"/>
        <v>0</v>
      </c>
      <c r="N17" s="6">
        <f t="shared" si="4"/>
        <v>-3.2164682050081963E-3</v>
      </c>
      <c r="O17" s="6">
        <f t="shared" si="5"/>
        <v>3.5879393096075289E-3</v>
      </c>
      <c r="P17" s="6"/>
      <c r="Q17" s="13">
        <f t="shared" si="2"/>
        <v>-2.9897597252618462E-2</v>
      </c>
      <c r="R17" s="13">
        <f t="shared" si="2"/>
        <v>-7.8969962397650931E-3</v>
      </c>
      <c r="S17" s="13">
        <f t="shared" si="2"/>
        <v>-8.8030279380779935E-3</v>
      </c>
      <c r="T17" s="13">
        <f t="shared" si="2"/>
        <v>-2.1190998881470691E-4</v>
      </c>
      <c r="U17" s="13">
        <f t="shared" si="2"/>
        <v>-3.4283781938229032E-3</v>
      </c>
      <c r="V17" s="13"/>
      <c r="W17" s="13">
        <f>+B17/MAX(B$2:B17)-1</f>
        <v>-6.3995818289207307E-2</v>
      </c>
      <c r="X17" s="13">
        <f>+C17/MAX(C$2:C17)-1</f>
        <v>-4.2986059912826002E-2</v>
      </c>
      <c r="Y17" s="13">
        <f>+D17/MAX(D$2:D17)-1</f>
        <v>-4.3078810667202427E-2</v>
      </c>
      <c r="Z17" s="13">
        <f>+E17/MAX(E$2:E17)-1</f>
        <v>-1.2170350079349634E-2</v>
      </c>
      <c r="AA17" s="13">
        <f>+F17/MAX(F$2:F17)-1</f>
        <v>-1.4312066380705812E-2</v>
      </c>
      <c r="AB17" s="52"/>
      <c r="AC17" s="13">
        <f t="shared" si="6"/>
        <v>-3.3273626573411284E-2</v>
      </c>
      <c r="AD17" s="13">
        <f t="shared" si="3"/>
        <v>-1.1273025560557915E-2</v>
      </c>
      <c r="AE17" s="13">
        <f t="shared" si="3"/>
        <v>-1.2179057258870815E-2</v>
      </c>
      <c r="AF17" s="13">
        <f t="shared" si="3"/>
        <v>-3.5879393096075289E-3</v>
      </c>
      <c r="AG17" s="13">
        <f t="shared" si="3"/>
        <v>-6.8044075146157252E-3</v>
      </c>
      <c r="AH17" s="52"/>
      <c r="AP17" s="38"/>
    </row>
    <row r="18" spans="1:42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1"/>
        <v>2.1039192975491616E-4</v>
      </c>
      <c r="J18" s="6">
        <f t="shared" si="4"/>
        <v>3.4855737123982338E-3</v>
      </c>
      <c r="K18" s="6">
        <f t="shared" si="4"/>
        <v>0</v>
      </c>
      <c r="L18" s="6">
        <f t="shared" si="4"/>
        <v>7.6518323838956222E-4</v>
      </c>
      <c r="M18" s="6">
        <f t="shared" si="4"/>
        <v>-1.4477988707991517E-2</v>
      </c>
      <c r="N18" s="6">
        <f t="shared" si="4"/>
        <v>1.4255841976643817E-3</v>
      </c>
      <c r="O18" s="6">
        <f t="shared" si="5"/>
        <v>-7.1894799994851729E-3</v>
      </c>
      <c r="P18" s="6"/>
      <c r="Q18" s="13">
        <f t="shared" si="2"/>
        <v>3.2751817826433176E-3</v>
      </c>
      <c r="R18" s="13">
        <f t="shared" si="2"/>
        <v>-2.1039192975491616E-4</v>
      </c>
      <c r="S18" s="13">
        <f t="shared" si="2"/>
        <v>5.5479130863464606E-4</v>
      </c>
      <c r="T18" s="13">
        <f t="shared" si="2"/>
        <v>-1.4688380637746433E-2</v>
      </c>
      <c r="U18" s="13">
        <f t="shared" si="2"/>
        <v>1.2151922679094656E-3</v>
      </c>
      <c r="V18" s="13"/>
      <c r="W18" s="13">
        <f>+B18/MAX(B$2:B18)-1</f>
        <v>-6.0727614244533545E-2</v>
      </c>
      <c r="X18" s="13">
        <f>+C18/MAX(C$2:C18)-1</f>
        <v>-4.2986059912826002E-2</v>
      </c>
      <c r="Y18" s="13">
        <f>+D18/MAX(D$2:D18)-1</f>
        <v>-4.2346310399942078E-2</v>
      </c>
      <c r="Z18" s="13">
        <f>+E18/MAX(E$2:E18)-1</f>
        <v>-2.6369103879310463E-2</v>
      </c>
      <c r="AA18" s="13">
        <f>+F18/MAX(F$2:F18)-1</f>
        <v>-1.290588316056851E-2</v>
      </c>
      <c r="AB18" s="52"/>
      <c r="AC18" s="13" t="str">
        <f t="shared" si="6"/>
        <v/>
      </c>
      <c r="AD18" s="13" t="str">
        <f t="shared" si="3"/>
        <v/>
      </c>
      <c r="AE18" s="13" t="str">
        <f t="shared" si="3"/>
        <v/>
      </c>
      <c r="AF18" s="13">
        <f t="shared" si="3"/>
        <v>-7.2885087085063438E-3</v>
      </c>
      <c r="AG18" s="13" t="str">
        <f t="shared" si="3"/>
        <v/>
      </c>
      <c r="AH18" s="52"/>
      <c r="AI18" s="3" t="s">
        <v>42</v>
      </c>
      <c r="AJ18" s="25">
        <f>+(AJ9-AJ12)-AJ15*($AN$9-AJ12)</f>
        <v>1.5412738815350935E-2</v>
      </c>
      <c r="AK18" s="25">
        <f>+(AK9-AK12)-AK15*($AN$9-AK12)</f>
        <v>8.6452219079334897E-2</v>
      </c>
      <c r="AL18" s="25">
        <f>+(AL9-AL12)-AL15*($AN$9-AL12)</f>
        <v>0.27258429889415797</v>
      </c>
      <c r="AM18" s="25">
        <f>+(AM9-AM12)-AM15*($AN$9-AM12)</f>
        <v>0.39179436763848435</v>
      </c>
      <c r="AN18" s="25">
        <f>+(AN9-AN12)-AN15*($AN$9-AN12)</f>
        <v>0</v>
      </c>
      <c r="AO18" s="14"/>
      <c r="AP18" s="38"/>
    </row>
    <row r="19" spans="1:42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1"/>
        <v>2.1115103099722532E-4</v>
      </c>
      <c r="J19" s="6">
        <f t="shared" si="4"/>
        <v>6.6007039975988667E-3</v>
      </c>
      <c r="K19" s="6">
        <f t="shared" si="4"/>
        <v>9.3849136242531647E-3</v>
      </c>
      <c r="L19" s="6">
        <f t="shared" si="4"/>
        <v>4.3706422775577902E-3</v>
      </c>
      <c r="M19" s="6">
        <f t="shared" si="4"/>
        <v>8.2988273439278445E-3</v>
      </c>
      <c r="N19" s="6">
        <f t="shared" si="4"/>
        <v>6.7010127829867268E-3</v>
      </c>
      <c r="O19" s="6">
        <f t="shared" si="5"/>
        <v>3.6015406898777364E-3</v>
      </c>
      <c r="P19" s="6"/>
      <c r="Q19" s="13">
        <f t="shared" si="2"/>
        <v>6.3895529666016413E-3</v>
      </c>
      <c r="R19" s="13">
        <f t="shared" si="2"/>
        <v>9.1737625932559394E-3</v>
      </c>
      <c r="S19" s="13">
        <f t="shared" si="2"/>
        <v>4.1594912465605649E-3</v>
      </c>
      <c r="T19" s="13">
        <f t="shared" si="2"/>
        <v>8.0876763129306192E-3</v>
      </c>
      <c r="U19" s="13">
        <f t="shared" si="2"/>
        <v>6.4898617519895015E-3</v>
      </c>
      <c r="V19" s="13"/>
      <c r="W19" s="13">
        <f>+B19/MAX(B$2:B19)-1</f>
        <v>-5.4507248441059253E-2</v>
      </c>
      <c r="X19" s="13">
        <f>+C19/MAX(C$2:C19)-1</f>
        <v>-3.3962289325965123E-2</v>
      </c>
      <c r="Y19" s="13">
        <f>+D19/MAX(D$2:D19)-1</f>
        <v>-3.8151588560084382E-2</v>
      </c>
      <c r="Z19" s="13">
        <f>+E19/MAX(E$2:E19)-1</f>
        <v>-1.8255488996865243E-2</v>
      </c>
      <c r="AA19" s="13">
        <f>+F19/MAX(F$2:F19)-1</f>
        <v>-6.2691412538726787E-3</v>
      </c>
      <c r="AB19" s="52"/>
      <c r="AC19" s="13" t="str">
        <f t="shared" si="6"/>
        <v/>
      </c>
      <c r="AD19" s="13" t="str">
        <f t="shared" si="6"/>
        <v/>
      </c>
      <c r="AE19" s="13" t="str">
        <f t="shared" si="6"/>
        <v/>
      </c>
      <c r="AF19" s="13" t="str">
        <f t="shared" si="6"/>
        <v/>
      </c>
      <c r="AG19" s="13" t="str">
        <f t="shared" si="6"/>
        <v/>
      </c>
      <c r="AH19" s="52"/>
      <c r="AP19" s="38"/>
    </row>
    <row r="20" spans="1:42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1"/>
        <v>2.1039192975491616E-4</v>
      </c>
      <c r="J20" s="6">
        <f t="shared" si="4"/>
        <v>-1.7207766577965616E-2</v>
      </c>
      <c r="K20" s="6">
        <f t="shared" si="4"/>
        <v>-9.8994165765982269E-3</v>
      </c>
      <c r="L20" s="6">
        <f t="shared" si="4"/>
        <v>1.2930049259339658E-2</v>
      </c>
      <c r="M20" s="6">
        <f t="shared" si="4"/>
        <v>-4.1408787728015178E-3</v>
      </c>
      <c r="N20" s="6">
        <f t="shared" si="4"/>
        <v>-5.7121558411206055E-3</v>
      </c>
      <c r="O20" s="6">
        <f t="shared" si="5"/>
        <v>-3.6015406898777602E-3</v>
      </c>
      <c r="P20" s="6"/>
      <c r="Q20" s="13">
        <f t="shared" si="2"/>
        <v>-1.7418158507720532E-2</v>
      </c>
      <c r="R20" s="13">
        <f t="shared" si="2"/>
        <v>-1.0109808506353143E-2</v>
      </c>
      <c r="S20" s="13">
        <f t="shared" si="2"/>
        <v>1.2719657329584742E-2</v>
      </c>
      <c r="T20" s="13">
        <f t="shared" si="2"/>
        <v>-4.351270702556434E-3</v>
      </c>
      <c r="U20" s="13">
        <f t="shared" si="2"/>
        <v>-5.9225477708755216E-3</v>
      </c>
      <c r="V20" s="13"/>
      <c r="W20" s="13">
        <f>+B20/MAX(B$2:B20)-1</f>
        <v>-7.0637882883761605E-2</v>
      </c>
      <c r="X20" s="13">
        <f>+C20/MAX(C$2:C20)-1</f>
        <v>-4.3478319765003492E-2</v>
      </c>
      <c r="Y20" s="13">
        <f>+D20/MAX(D$2:D20)-1</f>
        <v>-2.5634089677144756E-2</v>
      </c>
      <c r="Z20" s="13">
        <f>+E20/MAX(E$2:E20)-1</f>
        <v>-2.2312368682406047E-2</v>
      </c>
      <c r="AA20" s="13">
        <f>+F20/MAX(F$2:F20)-1</f>
        <v>-1.1929305522646372E-2</v>
      </c>
      <c r="AB20" s="52"/>
      <c r="AC20" s="13">
        <f t="shared" si="6"/>
        <v>-1.3606225888087856E-2</v>
      </c>
      <c r="AD20" s="13">
        <f t="shared" si="6"/>
        <v>-6.2978758867204667E-3</v>
      </c>
      <c r="AE20" s="13" t="str">
        <f t="shared" si="6"/>
        <v/>
      </c>
      <c r="AF20" s="13">
        <f t="shared" si="6"/>
        <v>-5.3933808292375759E-4</v>
      </c>
      <c r="AG20" s="13">
        <f t="shared" si="6"/>
        <v>-2.1106151512428452E-3</v>
      </c>
      <c r="AH20" s="52"/>
      <c r="AI20" s="3" t="s">
        <v>49</v>
      </c>
      <c r="AJ20" s="13">
        <f>-MIN(W2:W254)</f>
        <v>0.16606660409303398</v>
      </c>
      <c r="AK20" s="13">
        <f>-MIN(X2:X254)</f>
        <v>0.13378883511917794</v>
      </c>
      <c r="AL20" s="13">
        <f>-MIN(Y2:Y254)</f>
        <v>0.10130493616694181</v>
      </c>
      <c r="AM20" s="13">
        <f>-MIN(Z2:Z254)</f>
        <v>9.3483847565767664E-2</v>
      </c>
      <c r="AN20" s="13">
        <f>-MIN(AA2:AA254)</f>
        <v>8.8224156677598864E-2</v>
      </c>
      <c r="AP20" s="38"/>
    </row>
    <row r="21" spans="1:42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1"/>
        <v>2.1115103099722532E-4</v>
      </c>
      <c r="J21" s="6">
        <f t="shared" si="4"/>
        <v>-1.1925628607410014E-2</v>
      </c>
      <c r="K21" s="6">
        <f t="shared" si="4"/>
        <v>2.3984991177818894E-3</v>
      </c>
      <c r="L21" s="6">
        <f t="shared" si="4"/>
        <v>4.7822692080471709E-4</v>
      </c>
      <c r="M21" s="6">
        <f t="shared" si="4"/>
        <v>1.1004270746853787E-2</v>
      </c>
      <c r="N21" s="6">
        <f t="shared" si="4"/>
        <v>1.2408533465711885E-3</v>
      </c>
      <c r="O21" s="6">
        <f t="shared" si="5"/>
        <v>3.6015406898777364E-3</v>
      </c>
      <c r="P21" s="6"/>
      <c r="Q21" s="13">
        <f t="shared" si="2"/>
        <v>-1.2136779638407239E-2</v>
      </c>
      <c r="R21" s="13">
        <f t="shared" si="2"/>
        <v>2.1873480867846641E-3</v>
      </c>
      <c r="S21" s="13">
        <f t="shared" si="2"/>
        <v>2.6707588980749177E-4</v>
      </c>
      <c r="T21" s="13">
        <f t="shared" si="2"/>
        <v>1.0793119715856562E-2</v>
      </c>
      <c r="U21" s="13">
        <f t="shared" si="2"/>
        <v>1.0297023155739632E-3</v>
      </c>
      <c r="V21" s="13"/>
      <c r="W21" s="13">
        <f>+B21/MAX(B$2:B21)-1</f>
        <v>-8.1655285036305925E-2</v>
      </c>
      <c r="X21" s="13">
        <f>+C21/MAX(C$2:C21)-1</f>
        <v>-4.1181349819794044E-2</v>
      </c>
      <c r="Y21" s="13">
        <f>+D21/MAX(D$2:D21)-1</f>
        <v>-2.5168010231127469E-2</v>
      </c>
      <c r="Z21" s="13">
        <f>+E21/MAX(E$2:E21)-1</f>
        <v>-1.1494215505812533E-2</v>
      </c>
      <c r="AA21" s="13">
        <f>+F21/MAX(F$2:F21)-1</f>
        <v>-1.0702493705392668E-2</v>
      </c>
      <c r="AB21" s="52"/>
      <c r="AC21" s="13">
        <f t="shared" si="6"/>
        <v>-1.552716929728775E-2</v>
      </c>
      <c r="AD21" s="13">
        <f t="shared" si="6"/>
        <v>-1.203041572095847E-3</v>
      </c>
      <c r="AE21" s="13">
        <f t="shared" si="6"/>
        <v>-3.1233137690730192E-3</v>
      </c>
      <c r="AF21" s="13" t="str">
        <f t="shared" si="6"/>
        <v/>
      </c>
      <c r="AG21" s="13">
        <f t="shared" si="6"/>
        <v>-2.3606873433065479E-3</v>
      </c>
      <c r="AH21" s="52"/>
      <c r="AI21" s="3" t="s">
        <v>47</v>
      </c>
      <c r="AJ21" s="53">
        <f>+(AJ9-AJ12)/AJ20</f>
        <v>1.4028929105351682</v>
      </c>
      <c r="AK21" s="53">
        <f>+(AK9-AK12)/AK20</f>
        <v>0.95522696565450071</v>
      </c>
      <c r="AL21" s="53">
        <f>+(AL9-AL12)/AL20</f>
        <v>3.9941570375099569</v>
      </c>
      <c r="AM21" s="53">
        <f>+(AM9-AM12)/AM20</f>
        <v>4.3820035425225621</v>
      </c>
      <c r="AN21" s="53">
        <f>+(AN9-AN12)/AN20</f>
        <v>2.3245916248690408</v>
      </c>
      <c r="AP21" s="38"/>
    </row>
    <row r="22" spans="1:42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1"/>
        <v>2.1115103099722532E-4</v>
      </c>
      <c r="J22" s="6">
        <f t="shared" si="4"/>
        <v>8.744192273870471E-3</v>
      </c>
      <c r="K22" s="6">
        <f t="shared" si="4"/>
        <v>8.2446925036342867E-3</v>
      </c>
      <c r="L22" s="6">
        <f t="shared" si="4"/>
        <v>1.9211775011975799E-2</v>
      </c>
      <c r="M22" s="6">
        <f t="shared" si="4"/>
        <v>2.9651713697862989E-2</v>
      </c>
      <c r="N22" s="6">
        <f t="shared" si="4"/>
        <v>8.394550741111827E-3</v>
      </c>
      <c r="O22" s="6">
        <f t="shared" si="5"/>
        <v>0</v>
      </c>
      <c r="P22" s="6"/>
      <c r="Q22" s="13">
        <f t="shared" si="2"/>
        <v>8.5330412428732457E-3</v>
      </c>
      <c r="R22" s="13">
        <f t="shared" si="2"/>
        <v>8.0335414726370614E-3</v>
      </c>
      <c r="S22" s="13">
        <f t="shared" si="2"/>
        <v>1.9000623980978574E-2</v>
      </c>
      <c r="T22" s="13">
        <f t="shared" si="2"/>
        <v>2.9440562666865764E-2</v>
      </c>
      <c r="U22" s="13">
        <f t="shared" si="2"/>
        <v>8.1833997101146017E-3</v>
      </c>
      <c r="V22" s="13"/>
      <c r="W22" s="13">
        <f>+B22/MAX(B$2:B22)-1</f>
        <v>-7.3589890987347029E-2</v>
      </c>
      <c r="X22" s="13">
        <f>+C22/MAX(C$2:C22)-1</f>
        <v>-3.3243507311486287E-2</v>
      </c>
      <c r="Y22" s="13">
        <f>+D22/MAX(D$2:D22)-1</f>
        <v>-6.2586982487008447E-3</v>
      </c>
      <c r="Z22" s="13">
        <f>+E22/MAX(E$2:E22)-1</f>
        <v>0</v>
      </c>
      <c r="AA22" s="13">
        <f>+F22/MAX(F$2:F22)-1</f>
        <v>-2.3628307021836825E-3</v>
      </c>
      <c r="AB22" s="52"/>
      <c r="AC22" s="13" t="str">
        <f t="shared" si="6"/>
        <v/>
      </c>
      <c r="AD22" s="13" t="str">
        <f t="shared" si="6"/>
        <v/>
      </c>
      <c r="AE22" s="13" t="str">
        <f t="shared" si="6"/>
        <v/>
      </c>
      <c r="AF22" s="13" t="str">
        <f t="shared" si="6"/>
        <v/>
      </c>
      <c r="AG22" s="13" t="str">
        <f t="shared" si="6"/>
        <v/>
      </c>
      <c r="AH22" s="52"/>
      <c r="AP22" s="38"/>
    </row>
    <row r="23" spans="1:42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1"/>
        <v>2.1115103099722532E-4</v>
      </c>
      <c r="J23" s="6">
        <f t="shared" si="4"/>
        <v>-4.1626265495737849E-3</v>
      </c>
      <c r="K23" s="6">
        <f t="shared" si="4"/>
        <v>-8.9348416448038568E-3</v>
      </c>
      <c r="L23" s="6">
        <f t="shared" si="4"/>
        <v>-2.9524998063902006E-3</v>
      </c>
      <c r="M23" s="6">
        <f t="shared" si="4"/>
        <v>1.1224978589028094E-2</v>
      </c>
      <c r="N23" s="6">
        <f t="shared" si="4"/>
        <v>-1.2234084667107637E-2</v>
      </c>
      <c r="O23" s="6">
        <f t="shared" si="5"/>
        <v>0</v>
      </c>
      <c r="P23" s="6"/>
      <c r="Q23" s="13">
        <f t="shared" si="2"/>
        <v>-4.3737775805710102E-3</v>
      </c>
      <c r="R23" s="13">
        <f t="shared" si="2"/>
        <v>-9.1459926758010821E-3</v>
      </c>
      <c r="S23" s="13">
        <f t="shared" si="2"/>
        <v>-3.1636508373874259E-3</v>
      </c>
      <c r="T23" s="13">
        <f t="shared" si="2"/>
        <v>1.1013827558030868E-2</v>
      </c>
      <c r="U23" s="13">
        <f t="shared" si="2"/>
        <v>-1.2445235698104863E-2</v>
      </c>
      <c r="V23" s="13"/>
      <c r="W23" s="13">
        <f>+B23/MAX(B$2:B23)-1</f>
        <v>-7.7438175261025033E-2</v>
      </c>
      <c r="X23" s="13">
        <f>+C23/MAX(C$2:C23)-1</f>
        <v>-4.1842849394815196E-2</v>
      </c>
      <c r="Y23" s="13">
        <f>+D23/MAX(D$2:D23)-1</f>
        <v>-9.1883921611284336E-3</v>
      </c>
      <c r="Z23" s="13">
        <f>+E23/MAX(E$2:E23)-1</f>
        <v>0</v>
      </c>
      <c r="AA23" s="13">
        <f>+F23/MAX(F$2:F23)-1</f>
        <v>-1.4493652245353705E-2</v>
      </c>
      <c r="AB23" s="52"/>
      <c r="AC23" s="13">
        <f t="shared" si="6"/>
        <v>-4.1626265495737849E-3</v>
      </c>
      <c r="AD23" s="13">
        <f t="shared" si="6"/>
        <v>-8.9348416448038568E-3</v>
      </c>
      <c r="AE23" s="13">
        <f t="shared" si="6"/>
        <v>-2.9524998063902006E-3</v>
      </c>
      <c r="AF23" s="13" t="str">
        <f t="shared" si="6"/>
        <v/>
      </c>
      <c r="AG23" s="13">
        <f t="shared" si="6"/>
        <v>-1.2234084667107637E-2</v>
      </c>
      <c r="AH23" s="52"/>
      <c r="AI23" s="3" t="s">
        <v>50</v>
      </c>
      <c r="AJ23" s="13">
        <f>-AVERAGEIF(W2:W254,"&lt;0",W2:W254)</f>
        <v>6.7096573854984437E-2</v>
      </c>
      <c r="AK23" s="13">
        <f>-AVERAGEIF(X2:X254,"&lt;0",X2:X254)</f>
        <v>2.9890610657053073E-2</v>
      </c>
      <c r="AL23" s="13">
        <f>-AVERAGEIF(Y2:Y254,"&lt;0",Y2:Y254)</f>
        <v>2.6586097323016752E-2</v>
      </c>
      <c r="AM23" s="13">
        <f>-AVERAGEIF(Z2:Z254,"&lt;0",Z2:Z254)</f>
        <v>3.2778962293362995E-2</v>
      </c>
      <c r="AN23" s="13">
        <f>-AVERAGEIF(AA2:AA254,"&lt;0",AA2:AA254)</f>
        <v>2.1607124221974913E-2</v>
      </c>
      <c r="AP23" s="38"/>
    </row>
    <row r="24" spans="1:42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1"/>
        <v>2.1153052783073889E-4</v>
      </c>
      <c r="J24" s="6">
        <f t="shared" si="4"/>
        <v>1.6771885661529522E-2</v>
      </c>
      <c r="K24" s="6">
        <f t="shared" si="4"/>
        <v>6.1940863988089057E-3</v>
      </c>
      <c r="L24" s="6">
        <f t="shared" si="4"/>
        <v>2.081060219182381E-3</v>
      </c>
      <c r="M24" s="6">
        <f t="shared" si="4"/>
        <v>-9.2349221157867391E-3</v>
      </c>
      <c r="N24" s="6">
        <f t="shared" si="4"/>
        <v>7.2103643683838804E-4</v>
      </c>
      <c r="O24" s="6">
        <f t="shared" si="5"/>
        <v>1.795663555972895E-3</v>
      </c>
      <c r="P24" s="6"/>
      <c r="Q24" s="13">
        <f t="shared" si="2"/>
        <v>1.6560355133698784E-2</v>
      </c>
      <c r="R24" s="13">
        <f t="shared" si="2"/>
        <v>5.9825558709781668E-3</v>
      </c>
      <c r="S24" s="13">
        <f t="shared" si="2"/>
        <v>1.8695296913516421E-3</v>
      </c>
      <c r="T24" s="13">
        <f t="shared" si="2"/>
        <v>-9.446452643617478E-3</v>
      </c>
      <c r="U24" s="13">
        <f t="shared" si="2"/>
        <v>5.0950590900764915E-4</v>
      </c>
      <c r="V24" s="13"/>
      <c r="W24" s="13">
        <f>+B24/MAX(B$2:B24)-1</f>
        <v>-6.1834588804178803E-2</v>
      </c>
      <c r="X24" s="13">
        <f>+C24/MAX(C$2:C24)-1</f>
        <v>-3.5889522544009456E-2</v>
      </c>
      <c r="Y24" s="13">
        <f>+D24/MAX(D$2:D24)-1</f>
        <v>-7.1243065410447892E-3</v>
      </c>
      <c r="Z24" s="13">
        <f>+E24/MAX(E$2:E24)-1</f>
        <v>-9.1924111849024381E-3</v>
      </c>
      <c r="AA24" s="13">
        <f>+F24/MAX(F$2:F24)-1</f>
        <v>-1.3782810019110969E-2</v>
      </c>
      <c r="AB24" s="52"/>
      <c r="AC24" s="13" t="str">
        <f t="shared" si="6"/>
        <v/>
      </c>
      <c r="AD24" s="13" t="str">
        <f t="shared" si="6"/>
        <v/>
      </c>
      <c r="AE24" s="13" t="str">
        <f t="shared" si="6"/>
        <v/>
      </c>
      <c r="AF24" s="13">
        <f t="shared" si="6"/>
        <v>-1.1030585671759635E-2</v>
      </c>
      <c r="AG24" s="13">
        <f t="shared" si="6"/>
        <v>-1.0746271191345068E-3</v>
      </c>
      <c r="AH24" s="52"/>
      <c r="AI24" s="3" t="s">
        <v>48</v>
      </c>
      <c r="AJ24" s="53">
        <f>+(AJ9-AJ12)/AJ23</f>
        <v>3.4722139771591465</v>
      </c>
      <c r="AK24" s="53">
        <f>+(AK9-AK12)/AK23</f>
        <v>4.2755467419394089</v>
      </c>
      <c r="AL24" s="53">
        <f>+(AL9-AL12)/AL23</f>
        <v>15.219526913240609</v>
      </c>
      <c r="AM24" s="53">
        <f>+(AM9-AM12)/AM23</f>
        <v>12.497239770301615</v>
      </c>
      <c r="AN24" s="53">
        <f>+(AN9-AN12)/AN23</f>
        <v>9.4915516575456333</v>
      </c>
      <c r="AP24" s="38"/>
    </row>
    <row r="25" spans="1:42" x14ac:dyDescent="0.2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1"/>
        <v>2.1190998881470691E-4</v>
      </c>
      <c r="J25" s="6">
        <f t="shared" si="4"/>
        <v>6.1618290451625419E-3</v>
      </c>
      <c r="K25" s="6">
        <f t="shared" si="4"/>
        <v>-2.0603885067279927E-3</v>
      </c>
      <c r="L25" s="6">
        <f t="shared" si="4"/>
        <v>-1.2750275394505101E-3</v>
      </c>
      <c r="M25" s="6">
        <f t="shared" si="4"/>
        <v>7.9209277625121085E-3</v>
      </c>
      <c r="N25" s="6">
        <f t="shared" si="4"/>
        <v>-2.1534195529618974E-3</v>
      </c>
      <c r="O25" s="6">
        <f t="shared" si="5"/>
        <v>1.7922757536344568E-3</v>
      </c>
      <c r="P25" s="6"/>
      <c r="Q25" s="13">
        <f t="shared" si="2"/>
        <v>5.9499190563478349E-3</v>
      </c>
      <c r="R25" s="13">
        <f t="shared" si="2"/>
        <v>-2.2722984955426996E-3</v>
      </c>
      <c r="S25" s="13">
        <f t="shared" si="2"/>
        <v>-1.486937528265217E-3</v>
      </c>
      <c r="T25" s="13">
        <f t="shared" si="2"/>
        <v>7.7090177736974016E-3</v>
      </c>
      <c r="U25" s="13">
        <f t="shared" si="2"/>
        <v>-2.3653295417766043E-3</v>
      </c>
      <c r="V25" s="13"/>
      <c r="W25" s="13">
        <f>+B25/MAX(B$2:B25)-1</f>
        <v>-5.6035927090239968E-2</v>
      </c>
      <c r="X25" s="13">
        <f>+C25/MAX(C$2:C25)-1</f>
        <v>-3.7873919674442091E-2</v>
      </c>
      <c r="Y25" s="13">
        <f>+D25/MAX(D$2:D25)-1</f>
        <v>-8.3894436797155025E-3</v>
      </c>
      <c r="Z25" s="13">
        <f>+E25/MAX(E$2:E25)-1</f>
        <v>-1.3131314406897854E-3</v>
      </c>
      <c r="AA25" s="13">
        <f>+F25/MAX(F$2:F25)-1</f>
        <v>-1.590426438901904E-2</v>
      </c>
      <c r="AB25" s="52"/>
      <c r="AC25" s="13" t="str">
        <f t="shared" si="6"/>
        <v/>
      </c>
      <c r="AD25" s="13">
        <f t="shared" si="6"/>
        <v>-3.8526642603624495E-3</v>
      </c>
      <c r="AE25" s="13">
        <f t="shared" si="6"/>
        <v>-3.0673032930849668E-3</v>
      </c>
      <c r="AF25" s="13" t="str">
        <f t="shared" si="6"/>
        <v/>
      </c>
      <c r="AG25" s="13">
        <f t="shared" si="6"/>
        <v>-3.9456953065963541E-3</v>
      </c>
      <c r="AH25" s="52"/>
      <c r="AP25" s="38"/>
    </row>
    <row r="26" spans="1:42" x14ac:dyDescent="0.2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1"/>
        <v>2.1228941395579071E-4</v>
      </c>
      <c r="J26" s="6">
        <f t="shared" si="4"/>
        <v>-2.0194689945887755E-2</v>
      </c>
      <c r="K26" s="6">
        <f t="shared" si="4"/>
        <v>4.4589357728930948E-3</v>
      </c>
      <c r="L26" s="6">
        <f t="shared" si="4"/>
        <v>-4.2389693184284203E-3</v>
      </c>
      <c r="M26" s="6">
        <f t="shared" si="4"/>
        <v>2.2107528152630732E-2</v>
      </c>
      <c r="N26" s="6">
        <f t="shared" si="4"/>
        <v>-9.4392046231101256E-3</v>
      </c>
      <c r="O26" s="6">
        <f t="shared" si="5"/>
        <v>1.7889004076430007E-3</v>
      </c>
      <c r="P26" s="6"/>
      <c r="Q26" s="13">
        <f t="shared" si="2"/>
        <v>-2.0406979359843546E-2</v>
      </c>
      <c r="R26" s="13">
        <f t="shared" si="2"/>
        <v>4.2466463589373041E-3</v>
      </c>
      <c r="S26" s="13">
        <f t="shared" si="2"/>
        <v>-4.451258732384211E-3</v>
      </c>
      <c r="T26" s="13">
        <f t="shared" si="2"/>
        <v>2.1895238738674942E-2</v>
      </c>
      <c r="U26" s="13">
        <f t="shared" si="2"/>
        <v>-9.6514940370659164E-3</v>
      </c>
      <c r="V26" s="13"/>
      <c r="W26" s="13">
        <f>+B26/MAX(B$2:B26)-1</f>
        <v>-7.4907791770139731E-2</v>
      </c>
      <c r="X26" s="13">
        <f>+C26/MAX(C$2:C26)-1</f>
        <v>-3.3574282497654595E-2</v>
      </c>
      <c r="Y26" s="13">
        <f>+D26/MAX(D$2:D26)-1</f>
        <v>-1.2583953922794766E-2</v>
      </c>
      <c r="Z26" s="13">
        <f>+E26/MAX(E$2:E26)-1</f>
        <v>0</v>
      </c>
      <c r="AA26" s="13">
        <f>+F26/MAX(F$2:F26)-1</f>
        <v>-2.5149642253702198E-2</v>
      </c>
      <c r="AB26" s="52"/>
      <c r="AC26" s="13">
        <f t="shared" si="6"/>
        <v>-2.1983590353530758E-2</v>
      </c>
      <c r="AD26" s="13" t="str">
        <f t="shared" si="6"/>
        <v/>
      </c>
      <c r="AE26" s="13">
        <f t="shared" si="6"/>
        <v>-6.0278697260714208E-3</v>
      </c>
      <c r="AF26" s="13" t="str">
        <f t="shared" si="6"/>
        <v/>
      </c>
      <c r="AG26" s="13">
        <f t="shared" si="6"/>
        <v>-1.1228105030753126E-2</v>
      </c>
      <c r="AH26" s="52"/>
      <c r="AI26" s="3" t="s">
        <v>53</v>
      </c>
      <c r="AJ26" s="12">
        <f>+COUNT(AC3:AC254)</f>
        <v>111</v>
      </c>
      <c r="AK26" s="12">
        <f>+COUNT(AD3:AD254)</f>
        <v>119</v>
      </c>
      <c r="AL26" s="12">
        <f>+COUNT(AE3:AE254)</f>
        <v>112</v>
      </c>
      <c r="AM26" s="12">
        <f>+COUNT(AF3:AF254)</f>
        <v>120</v>
      </c>
      <c r="AN26" s="12">
        <f>+COUNT(AG3:AG254)</f>
        <v>107</v>
      </c>
      <c r="AP26" s="38"/>
    </row>
    <row r="27" spans="1:42" x14ac:dyDescent="0.2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1"/>
        <v>2.1304815673750532E-4</v>
      </c>
      <c r="J27" s="6">
        <f t="shared" si="4"/>
        <v>-8.9290841663582452E-3</v>
      </c>
      <c r="K27" s="6">
        <f t="shared" si="4"/>
        <v>-1.5520182226064388E-2</v>
      </c>
      <c r="L27" s="6">
        <f t="shared" si="4"/>
        <v>-7.8527809774467452E-3</v>
      </c>
      <c r="M27" s="6">
        <f t="shared" si="4"/>
        <v>-1.5554405482686634E-2</v>
      </c>
      <c r="N27" s="6">
        <f t="shared" si="4"/>
        <v>-1.653687395146802E-2</v>
      </c>
      <c r="O27" s="6">
        <f t="shared" si="5"/>
        <v>3.567724268008604E-3</v>
      </c>
      <c r="P27" s="6"/>
      <c r="Q27" s="13">
        <f t="shared" si="2"/>
        <v>-9.1421323230957505E-3</v>
      </c>
      <c r="R27" s="13">
        <f t="shared" si="2"/>
        <v>-1.5733230382801895E-2</v>
      </c>
      <c r="S27" s="13">
        <f t="shared" si="2"/>
        <v>-8.0658291341842506E-3</v>
      </c>
      <c r="T27" s="13">
        <f t="shared" si="2"/>
        <v>-1.5767453639424139E-2</v>
      </c>
      <c r="U27" s="13">
        <f t="shared" si="2"/>
        <v>-1.6749922108205525E-2</v>
      </c>
      <c r="V27" s="13"/>
      <c r="W27" s="13">
        <f>+B27/MAX(B$2:B27)-1</f>
        <v>-8.3131249349680858E-2</v>
      </c>
      <c r="X27" s="13">
        <f>+C27/MAX(C$2:C27)-1</f>
        <v>-4.8457591158449609E-2</v>
      </c>
      <c r="Y27" s="13">
        <f>+D27/MAX(D$2:D27)-1</f>
        <v>-2.0307550320478263E-2</v>
      </c>
      <c r="Z27" s="13">
        <f>+E27/MAX(E$2:E27)-1</f>
        <v>-1.5434060490605472E-2</v>
      </c>
      <c r="AA27" s="13">
        <f>+F27/MAX(F$2:F27)-1</f>
        <v>-4.1138056189752858E-2</v>
      </c>
      <c r="AB27" s="52"/>
      <c r="AC27" s="13">
        <f t="shared" si="6"/>
        <v>-1.249680843436685E-2</v>
      </c>
      <c r="AD27" s="13">
        <f t="shared" si="6"/>
        <v>-1.9087906494072993E-2</v>
      </c>
      <c r="AE27" s="13">
        <f t="shared" si="6"/>
        <v>-1.142050524545535E-2</v>
      </c>
      <c r="AF27" s="13">
        <f t="shared" si="6"/>
        <v>-1.9122129750695237E-2</v>
      </c>
      <c r="AG27" s="13">
        <f t="shared" si="6"/>
        <v>-2.0104598219476622E-2</v>
      </c>
      <c r="AH27" s="52"/>
      <c r="AI27" s="3" t="s">
        <v>54</v>
      </c>
      <c r="AJ27" s="13">
        <f>-SUM(AC3:AC254)/AJ26</f>
        <v>1.2736658591260403E-2</v>
      </c>
      <c r="AK27" s="13">
        <f>-SUM(AD3:AD254)/AK26</f>
        <v>8.3163874938009617E-3</v>
      </c>
      <c r="AL27" s="13">
        <f>-SUM(AE3:AE254)/AL26</f>
        <v>1.0022341474626859E-2</v>
      </c>
      <c r="AM27" s="13">
        <f>-SUM(AF3:AF254)/AM26</f>
        <v>1.021754798088061E-2</v>
      </c>
      <c r="AN27" s="13">
        <f>-SUM(AG3:AG254)/AN26</f>
        <v>8.7193647735058083E-3</v>
      </c>
      <c r="AP27" s="38"/>
    </row>
    <row r="28" spans="1:42" x14ac:dyDescent="0.2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1"/>
        <v>2.1266880326109572E-4</v>
      </c>
      <c r="J28" s="6">
        <f t="shared" si="4"/>
        <v>4.932157084030179E-3</v>
      </c>
      <c r="K28" s="6">
        <f t="shared" si="4"/>
        <v>1.0421744338548341E-3</v>
      </c>
      <c r="L28" s="6">
        <f t="shared" si="4"/>
        <v>-9.6290710303040105E-3</v>
      </c>
      <c r="M28" s="6">
        <f t="shared" si="4"/>
        <v>-1.2488017087223817E-2</v>
      </c>
      <c r="N28" s="6">
        <f t="shared" si="4"/>
        <v>-2.2982509659402743E-3</v>
      </c>
      <c r="O28" s="6">
        <f t="shared" si="5"/>
        <v>-1.7821868164193909E-3</v>
      </c>
      <c r="P28" s="6"/>
      <c r="Q28" s="13">
        <f t="shared" si="2"/>
        <v>4.7194882807690833E-3</v>
      </c>
      <c r="R28" s="13">
        <f t="shared" si="2"/>
        <v>8.2950563059373838E-4</v>
      </c>
      <c r="S28" s="13">
        <f t="shared" si="2"/>
        <v>-9.8417398335651062E-3</v>
      </c>
      <c r="T28" s="13">
        <f t="shared" si="2"/>
        <v>-1.2700685890484913E-2</v>
      </c>
      <c r="U28" s="13">
        <f t="shared" si="2"/>
        <v>-2.51091976920137E-3</v>
      </c>
      <c r="V28" s="13"/>
      <c r="W28" s="13">
        <f>+B28/MAX(B$2:B28)-1</f>
        <v>-7.8597938334855844E-2</v>
      </c>
      <c r="X28" s="13">
        <f>+C28/MAX(C$2:C28)-1</f>
        <v>-4.7465401059452517E-2</v>
      </c>
      <c r="Y28" s="13">
        <f>+D28/MAX(D$2:D28)-1</f>
        <v>-2.9695805877456793E-2</v>
      </c>
      <c r="Z28" s="13">
        <f>+E28/MAX(E$2:E28)-1</f>
        <v>-2.7652883537244932E-2</v>
      </c>
      <c r="AA28" s="13">
        <f>+F28/MAX(F$2:F28)-1</f>
        <v>-4.3339231183164739E-2</v>
      </c>
      <c r="AB28" s="52"/>
      <c r="AC28" s="13" t="str">
        <f t="shared" si="6"/>
        <v/>
      </c>
      <c r="AD28" s="13" t="str">
        <f t="shared" si="6"/>
        <v/>
      </c>
      <c r="AE28" s="13">
        <f t="shared" si="6"/>
        <v>-7.8468842138846202E-3</v>
      </c>
      <c r="AF28" s="13">
        <f t="shared" si="6"/>
        <v>-1.0705830270804427E-2</v>
      </c>
      <c r="AG28" s="13">
        <f t="shared" si="6"/>
        <v>-5.1606414952088341E-4</v>
      </c>
      <c r="AH28" s="52"/>
      <c r="AI28" s="3" t="s">
        <v>55</v>
      </c>
      <c r="AJ28" s="13">
        <f>+AJ27*SQRT(250)</f>
        <v>0.20138425464167217</v>
      </c>
      <c r="AK28" s="13">
        <f t="shared" ref="AK28:AN28" si="9">+AK27*SQRT(250)</f>
        <v>0.13149363192475239</v>
      </c>
      <c r="AL28" s="13">
        <f t="shared" si="9"/>
        <v>0.15846713273895763</v>
      </c>
      <c r="AM28" s="13">
        <f t="shared" si="9"/>
        <v>0.1615536186081864</v>
      </c>
      <c r="AN28" s="13">
        <f t="shared" si="9"/>
        <v>0.13786526217058268</v>
      </c>
      <c r="AP28" s="38"/>
    </row>
    <row r="29" spans="1:42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1"/>
        <v>2.1266880326109572E-4</v>
      </c>
      <c r="J29" s="6">
        <f t="shared" si="4"/>
        <v>7.3532671978666295E-3</v>
      </c>
      <c r="K29" s="6">
        <f t="shared" si="4"/>
        <v>-1.0471250468192831E-2</v>
      </c>
      <c r="L29" s="6">
        <f t="shared" si="4"/>
        <v>4.9286703199951359E-3</v>
      </c>
      <c r="M29" s="6">
        <f t="shared" si="4"/>
        <v>-3.9760898184737319E-3</v>
      </c>
      <c r="N29" s="6">
        <f t="shared" si="4"/>
        <v>4.0150212758186272E-3</v>
      </c>
      <c r="O29" s="6">
        <f t="shared" si="5"/>
        <v>0</v>
      </c>
      <c r="P29" s="6"/>
      <c r="Q29" s="13">
        <f t="shared" si="2"/>
        <v>7.1405983946055337E-3</v>
      </c>
      <c r="R29" s="13">
        <f t="shared" si="2"/>
        <v>-1.0683919271453927E-2</v>
      </c>
      <c r="S29" s="13">
        <f t="shared" si="2"/>
        <v>4.7160015167340402E-3</v>
      </c>
      <c r="T29" s="13">
        <f t="shared" si="2"/>
        <v>-4.1887586217348276E-3</v>
      </c>
      <c r="U29" s="13">
        <f t="shared" si="2"/>
        <v>3.8023524725575315E-3</v>
      </c>
      <c r="V29" s="13"/>
      <c r="W29" s="13">
        <f>+B29/MAX(B$2:B29)-1</f>
        <v>-7.1797651256048312E-2</v>
      </c>
      <c r="X29" s="13">
        <f>+C29/MAX(C$2:C29)-1</f>
        <v>-5.7387589900877334E-2</v>
      </c>
      <c r="Y29" s="13">
        <f>+D29/MAX(D$2:D29)-1</f>
        <v>-2.4901691795422232E-2</v>
      </c>
      <c r="Z29" s="13">
        <f>+E29/MAX(E$2:E29)-1</f>
        <v>-3.1511347124845823E-2</v>
      </c>
      <c r="AA29" s="13">
        <f>+F29/MAX(F$2:F29)-1</f>
        <v>-3.9490496637339945E-2</v>
      </c>
      <c r="AB29" s="52"/>
      <c r="AC29" s="13" t="str">
        <f t="shared" si="6"/>
        <v/>
      </c>
      <c r="AD29" s="13">
        <f t="shared" si="6"/>
        <v>-1.0471250468192831E-2</v>
      </c>
      <c r="AE29" s="13" t="str">
        <f t="shared" si="6"/>
        <v/>
      </c>
      <c r="AF29" s="13">
        <f t="shared" si="6"/>
        <v>-3.9760898184737319E-3</v>
      </c>
      <c r="AG29" s="13" t="str">
        <f t="shared" si="6"/>
        <v/>
      </c>
      <c r="AH29" s="52"/>
      <c r="AI29" s="3" t="s">
        <v>46</v>
      </c>
      <c r="AJ29" s="19">
        <f>+(AJ9-AJ12)/AJ28</f>
        <v>1.1568613542965587</v>
      </c>
      <c r="AK29" s="19">
        <f>+(AK9-AK12)/AK28</f>
        <v>0.97190032048453745</v>
      </c>
      <c r="AL29" s="19">
        <f>+(AL9-AL12)/AL28</f>
        <v>2.5533864135235516</v>
      </c>
      <c r="AM29" s="19">
        <f>+(AM9-AM12)/AM28</f>
        <v>2.5356693011955542</v>
      </c>
      <c r="AN29" s="19">
        <f>+(AN9-AN12)/AN28</f>
        <v>1.4875765837961819</v>
      </c>
      <c r="AP29" s="38"/>
    </row>
    <row r="30" spans="1:42" x14ac:dyDescent="0.2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1"/>
        <v>2.1228941395579071E-4</v>
      </c>
      <c r="J30" s="6">
        <f t="shared" si="4"/>
        <v>-2.3676570379196956E-2</v>
      </c>
      <c r="K30" s="6">
        <f t="shared" si="4"/>
        <v>-8.2798817906721903E-3</v>
      </c>
      <c r="L30" s="6">
        <f t="shared" si="4"/>
        <v>-1.0433243353410393E-2</v>
      </c>
      <c r="M30" s="6">
        <f t="shared" si="4"/>
        <v>-2.6595130223768674E-3</v>
      </c>
      <c r="N30" s="6">
        <f t="shared" si="4"/>
        <v>-1.4844128717961364E-2</v>
      </c>
      <c r="O30" s="6">
        <f t="shared" si="5"/>
        <v>-1.7855374515891788E-3</v>
      </c>
      <c r="P30" s="6"/>
      <c r="Q30" s="13">
        <f t="shared" si="2"/>
        <v>-2.3888859793152747E-2</v>
      </c>
      <c r="R30" s="13">
        <f t="shared" si="2"/>
        <v>-8.492171204627981E-3</v>
      </c>
      <c r="S30" s="13">
        <f t="shared" si="2"/>
        <v>-1.0645532767366184E-2</v>
      </c>
      <c r="T30" s="13">
        <f t="shared" si="2"/>
        <v>-2.8718024363326581E-3</v>
      </c>
      <c r="U30" s="13">
        <f t="shared" si="2"/>
        <v>-1.5056418131917155E-2</v>
      </c>
      <c r="V30" s="13"/>
      <c r="W30" s="13">
        <f>+B30/MAX(B$2:B30)-1</f>
        <v>-9.3516174844757161E-2</v>
      </c>
      <c r="X30" s="13">
        <f>+C30/MAX(C$2:C30)-1</f>
        <v>-6.5160087147197121E-2</v>
      </c>
      <c r="Y30" s="13">
        <f>+D30/MAX(D$2:D30)-1</f>
        <v>-3.5022242848585128E-2</v>
      </c>
      <c r="Z30" s="13">
        <f>+E30/MAX(E$2:E30)-1</f>
        <v>-3.4083633278779502E-2</v>
      </c>
      <c r="AA30" s="13">
        <f>+F30/MAX(F$2:F30)-1</f>
        <v>-5.3643121771038138E-2</v>
      </c>
      <c r="AB30" s="52"/>
      <c r="AC30" s="13">
        <f t="shared" si="6"/>
        <v>-2.1891032927607777E-2</v>
      </c>
      <c r="AD30" s="13">
        <f t="shared" si="6"/>
        <v>-6.4943443390830117E-3</v>
      </c>
      <c r="AE30" s="13">
        <f t="shared" si="6"/>
        <v>-8.6477059018212135E-3</v>
      </c>
      <c r="AF30" s="13">
        <f t="shared" si="6"/>
        <v>-8.7397557078768852E-4</v>
      </c>
      <c r="AG30" s="13">
        <f t="shared" si="6"/>
        <v>-1.3058591266372184E-2</v>
      </c>
      <c r="AH30" s="52"/>
      <c r="AP30" s="38"/>
    </row>
    <row r="31" spans="1:42" x14ac:dyDescent="0.2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1"/>
        <v>2.1228941395579071E-4</v>
      </c>
      <c r="J31" s="6">
        <f t="shared" si="4"/>
        <v>-8.9372740582099996E-3</v>
      </c>
      <c r="K31" s="6">
        <f t="shared" si="4"/>
        <v>-1.0313022416799286E-2</v>
      </c>
      <c r="L31" s="6">
        <f t="shared" si="4"/>
        <v>5.8476760566381946E-3</v>
      </c>
      <c r="M31" s="6">
        <f t="shared" si="4"/>
        <v>-1.0036916003110012E-2</v>
      </c>
      <c r="N31" s="6">
        <f t="shared" si="4"/>
        <v>2.2929233000634007E-4</v>
      </c>
      <c r="O31" s="6">
        <f t="shared" si="5"/>
        <v>0</v>
      </c>
      <c r="P31" s="6"/>
      <c r="Q31" s="13">
        <f t="shared" si="2"/>
        <v>-9.1495634721657903E-3</v>
      </c>
      <c r="R31" s="13">
        <f t="shared" si="2"/>
        <v>-1.0525311830755077E-2</v>
      </c>
      <c r="S31" s="13">
        <f t="shared" si="2"/>
        <v>5.6353866426824039E-3</v>
      </c>
      <c r="T31" s="13">
        <f t="shared" si="2"/>
        <v>-1.0249205417065803E-2</v>
      </c>
      <c r="U31" s="13">
        <f t="shared" si="2"/>
        <v>1.7002916050549364E-5</v>
      </c>
      <c r="V31" s="13"/>
      <c r="W31" s="13">
        <f>+B31/MAX(B$2:B31)-1</f>
        <v>-0.10158157419217173</v>
      </c>
      <c r="X31" s="13">
        <f>+C31/MAX(C$2:C31)-1</f>
        <v>-7.4751568532207657E-2</v>
      </c>
      <c r="Y31" s="13">
        <f>+D31/MAX(D$2:D31)-1</f>
        <v>-2.9362834456523212E-2</v>
      </c>
      <c r="Z31" s="13">
        <f>+E31/MAX(E$2:E31)-1</f>
        <v>-4.3729964031283375E-2</v>
      </c>
      <c r="AA31" s="13">
        <f>+F31/MAX(F$2:F31)-1</f>
        <v>-5.3426104518166428E-2</v>
      </c>
      <c r="AB31" s="52"/>
      <c r="AC31" s="13">
        <f t="shared" si="6"/>
        <v>-8.9372740582099996E-3</v>
      </c>
      <c r="AD31" s="13">
        <f t="shared" si="6"/>
        <v>-1.0313022416799286E-2</v>
      </c>
      <c r="AE31" s="13" t="str">
        <f t="shared" si="6"/>
        <v/>
      </c>
      <c r="AF31" s="13">
        <f t="shared" si="6"/>
        <v>-1.0036916003110012E-2</v>
      </c>
      <c r="AG31" s="13" t="str">
        <f t="shared" si="6"/>
        <v/>
      </c>
      <c r="AH31" s="52"/>
      <c r="AI31" s="10" t="s">
        <v>8</v>
      </c>
      <c r="AJ31" s="50" t="s">
        <v>1</v>
      </c>
      <c r="AK31" s="50" t="s">
        <v>2</v>
      </c>
      <c r="AL31" s="50" t="s">
        <v>3</v>
      </c>
      <c r="AM31" s="50" t="s">
        <v>4</v>
      </c>
      <c r="AP31" s="38"/>
    </row>
    <row r="32" spans="1:42" x14ac:dyDescent="0.2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1"/>
        <v>2.1380675622961753E-4</v>
      </c>
      <c r="J32" s="6">
        <f t="shared" si="4"/>
        <v>1.5245124110350558E-3</v>
      </c>
      <c r="K32" s="6">
        <f t="shared" si="4"/>
        <v>-2.5052793506595878E-3</v>
      </c>
      <c r="L32" s="6">
        <f t="shared" si="4"/>
        <v>1.2339652914118577E-2</v>
      </c>
      <c r="M32" s="6">
        <f t="shared" si="4"/>
        <v>9.370913321953802E-3</v>
      </c>
      <c r="N32" s="6">
        <f t="shared" si="4"/>
        <v>5.8757768874731896E-3</v>
      </c>
      <c r="O32" s="6">
        <f t="shared" si="5"/>
        <v>7.1220949345627872E-3</v>
      </c>
      <c r="P32" s="6"/>
      <c r="Q32" s="13">
        <f t="shared" si="2"/>
        <v>1.3107056548054383E-3</v>
      </c>
      <c r="R32" s="13">
        <f t="shared" si="2"/>
        <v>-2.7190861068892053E-3</v>
      </c>
      <c r="S32" s="13">
        <f t="shared" si="2"/>
        <v>1.212584615788896E-2</v>
      </c>
      <c r="T32" s="13">
        <f t="shared" si="2"/>
        <v>9.1571065657241844E-3</v>
      </c>
      <c r="U32" s="13">
        <f t="shared" si="2"/>
        <v>5.6619701312435721E-3</v>
      </c>
      <c r="V32" s="13"/>
      <c r="W32" s="13">
        <f>+B32/MAX(B$2:B32)-1</f>
        <v>-0.10021087959673758</v>
      </c>
      <c r="X32" s="13">
        <f>+C32/MAX(C$2:C32)-1</f>
        <v>-7.7066673119054574E-2</v>
      </c>
      <c r="Y32" s="13">
        <f>+D32/MAX(D$2:D32)-1</f>
        <v>-1.7311305808360156E-2</v>
      </c>
      <c r="Z32" s="13">
        <f>+E32/MAX(E$2:E32)-1</f>
        <v>-3.4726721995613108E-2</v>
      </c>
      <c r="AA32" s="13">
        <f>+F32/MAX(F$2:F32)-1</f>
        <v>-4.7847875334660617E-2</v>
      </c>
      <c r="AB32" s="52"/>
      <c r="AC32" s="13">
        <f t="shared" si="6"/>
        <v>-5.5975825235277318E-3</v>
      </c>
      <c r="AD32" s="13">
        <f t="shared" si="6"/>
        <v>-9.6273742852223745E-3</v>
      </c>
      <c r="AE32" s="13" t="str">
        <f t="shared" si="6"/>
        <v/>
      </c>
      <c r="AF32" s="13" t="str">
        <f t="shared" si="6"/>
        <v/>
      </c>
      <c r="AG32" s="13">
        <f t="shared" si="6"/>
        <v>-1.2463180470895976E-3</v>
      </c>
      <c r="AH32" s="52"/>
      <c r="AI32" s="11" t="s">
        <v>45</v>
      </c>
      <c r="AJ32" s="51">
        <v>0.19932091707623176</v>
      </c>
      <c r="AK32" s="51">
        <v>4.0838545135725303E-2</v>
      </c>
      <c r="AL32" s="51">
        <v>0.4375436963131189</v>
      </c>
      <c r="AM32" s="51">
        <v>0.32229684147492393</v>
      </c>
      <c r="AN32" s="49">
        <f>SUM(AJ32:AM32)</f>
        <v>0.99999999999999978</v>
      </c>
      <c r="AP32" s="38"/>
    </row>
    <row r="33" spans="1:42" x14ac:dyDescent="0.2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1"/>
        <v>2.1266880326109572E-4</v>
      </c>
      <c r="J33" s="6">
        <f t="shared" si="4"/>
        <v>3.0418117645047292E-3</v>
      </c>
      <c r="K33" s="6">
        <f t="shared" si="4"/>
        <v>3.0412831937692204E-3</v>
      </c>
      <c r="L33" s="6">
        <f t="shared" si="4"/>
        <v>-1.7566587699048578E-2</v>
      </c>
      <c r="M33" s="6">
        <f t="shared" si="4"/>
        <v>6.6600268115622394E-4</v>
      </c>
      <c r="N33" s="6">
        <f t="shared" si="4"/>
        <v>-2.7131686755154211E-3</v>
      </c>
      <c r="O33" s="6">
        <f t="shared" si="5"/>
        <v>-5.3365574829737777E-3</v>
      </c>
      <c r="P33" s="6"/>
      <c r="Q33" s="13">
        <f t="shared" si="2"/>
        <v>2.8291429612436335E-3</v>
      </c>
      <c r="R33" s="13">
        <f t="shared" si="2"/>
        <v>2.8286143905081247E-3</v>
      </c>
      <c r="S33" s="13">
        <f t="shared" si="2"/>
        <v>-1.7779256502309673E-2</v>
      </c>
      <c r="T33" s="13">
        <f t="shared" si="2"/>
        <v>4.5333387789512822E-4</v>
      </c>
      <c r="U33" s="13">
        <f t="shared" si="2"/>
        <v>-2.9258374787765168E-3</v>
      </c>
      <c r="V33" s="13"/>
      <c r="W33" s="13">
        <f>+B33/MAX(B$2:B33)-1</f>
        <v>-9.7469723537919939E-2</v>
      </c>
      <c r="X33" s="13">
        <f>+C33/MAX(C$2:C33)-1</f>
        <v>-7.4255498881366955E-2</v>
      </c>
      <c r="Y33" s="13">
        <f>+D33/MAX(D$2:D33)-1</f>
        <v>-3.4423055377484246E-2</v>
      </c>
      <c r="Z33" s="13">
        <f>+E33/MAX(E$2:E33)-1</f>
        <v>-3.4083633278779502E-2</v>
      </c>
      <c r="AA33" s="13">
        <f>+F33/MAX(F$2:F33)-1</f>
        <v>-5.0427723289715898E-2</v>
      </c>
      <c r="AB33" s="52"/>
      <c r="AC33" s="13" t="str">
        <f t="shared" si="6"/>
        <v/>
      </c>
      <c r="AD33" s="13" t="str">
        <f t="shared" si="6"/>
        <v/>
      </c>
      <c r="AE33" s="13">
        <f t="shared" si="6"/>
        <v>-1.22300302160748E-2</v>
      </c>
      <c r="AF33" s="13" t="str">
        <f t="shared" si="6"/>
        <v/>
      </c>
      <c r="AG33" s="13" t="str">
        <f t="shared" si="6"/>
        <v/>
      </c>
      <c r="AH33" s="52"/>
      <c r="AP33" s="38"/>
    </row>
    <row r="34" spans="1:42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1"/>
        <v>2.1266880326109572E-4</v>
      </c>
      <c r="J34" s="6">
        <f t="shared" si="4"/>
        <v>1.4726612543542477E-2</v>
      </c>
      <c r="K34" s="6">
        <f t="shared" si="4"/>
        <v>-8.9718561804357604E-3</v>
      </c>
      <c r="L34" s="6">
        <f t="shared" si="4"/>
        <v>-8.6567488859623613E-3</v>
      </c>
      <c r="M34" s="6">
        <f t="shared" si="4"/>
        <v>-2.3578125464621125E-2</v>
      </c>
      <c r="N34" s="6">
        <f t="shared" si="4"/>
        <v>7.9286976922361474E-5</v>
      </c>
      <c r="O34" s="6">
        <f t="shared" si="5"/>
        <v>0</v>
      </c>
      <c r="P34" s="6"/>
      <c r="Q34" s="13">
        <f t="shared" si="2"/>
        <v>1.4513943740281381E-2</v>
      </c>
      <c r="R34" s="13">
        <f t="shared" si="2"/>
        <v>-9.1845249836968561E-3</v>
      </c>
      <c r="S34" s="13">
        <f t="shared" si="2"/>
        <v>-8.8694176892234571E-3</v>
      </c>
      <c r="T34" s="13">
        <f t="shared" si="2"/>
        <v>-2.379079426788222E-2</v>
      </c>
      <c r="U34" s="13">
        <f t="shared" si="2"/>
        <v>-1.3338182633873424E-4</v>
      </c>
      <c r="V34" s="13"/>
      <c r="W34" s="13">
        <f>+B34/MAX(B$2:B34)-1</f>
        <v>-8.4080160378743884E-2</v>
      </c>
      <c r="X34" s="13">
        <f>+C34/MAX(C$2:C34)-1</f>
        <v>-8.2523998048773528E-2</v>
      </c>
      <c r="Y34" s="13">
        <f>+D34/MAX(D$2:D34)-1</f>
        <v>-4.2745736860730688E-2</v>
      </c>
      <c r="Z34" s="13">
        <f>+E34/MAX(E$2:E34)-1</f>
        <v>-5.6591738367955058E-2</v>
      </c>
      <c r="AA34" s="13">
        <f>+F34/MAX(F$2:F34)-1</f>
        <v>-5.035243158974001E-2</v>
      </c>
      <c r="AB34" s="52"/>
      <c r="AC34" s="13" t="str">
        <f t="shared" si="6"/>
        <v/>
      </c>
      <c r="AD34" s="13">
        <f t="shared" si="6"/>
        <v>-8.9718561804357604E-3</v>
      </c>
      <c r="AE34" s="13">
        <f t="shared" si="6"/>
        <v>-8.6567488859623613E-3</v>
      </c>
      <c r="AF34" s="13">
        <f t="shared" si="6"/>
        <v>-2.3578125464621125E-2</v>
      </c>
      <c r="AG34" s="13" t="str">
        <f t="shared" si="6"/>
        <v/>
      </c>
      <c r="AH34" s="52"/>
      <c r="AP34" s="38"/>
    </row>
    <row r="35" spans="1:42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1"/>
        <v>2.1380675622961753E-4</v>
      </c>
      <c r="J35" s="6">
        <f t="shared" si="4"/>
        <v>-7.8002013931504684E-3</v>
      </c>
      <c r="K35" s="6">
        <f t="shared" si="4"/>
        <v>-1.0873561101627389E-2</v>
      </c>
      <c r="L35" s="6">
        <f t="shared" si="4"/>
        <v>-7.4001160534839551E-3</v>
      </c>
      <c r="M35" s="6">
        <f t="shared" si="4"/>
        <v>7.470418425544037E-3</v>
      </c>
      <c r="N35" s="6">
        <f t="shared" si="4"/>
        <v>-1.3839410161483797E-2</v>
      </c>
      <c r="O35" s="6">
        <f t="shared" si="5"/>
        <v>5.3365574829737977E-3</v>
      </c>
      <c r="P35" s="6"/>
      <c r="Q35" s="13">
        <f t="shared" si="2"/>
        <v>-8.014008149380086E-3</v>
      </c>
      <c r="R35" s="13">
        <f t="shared" si="2"/>
        <v>-1.1087367857857007E-2</v>
      </c>
      <c r="S35" s="13">
        <f t="shared" si="2"/>
        <v>-7.6139228097135726E-3</v>
      </c>
      <c r="T35" s="13">
        <f t="shared" si="2"/>
        <v>7.2566116693144195E-3</v>
      </c>
      <c r="U35" s="13">
        <f t="shared" si="2"/>
        <v>-1.4053216917713414E-2</v>
      </c>
      <c r="V35" s="13"/>
      <c r="W35" s="13">
        <f>+B35/MAX(B$2:B35)-1</f>
        <v>-9.1196728173931096E-2</v>
      </c>
      <c r="X35" s="13">
        <f>+C35/MAX(C$2:C35)-1</f>
        <v>-9.2446186890198345E-2</v>
      </c>
      <c r="Y35" s="13">
        <f>+D35/MAX(D$2:D35)-1</f>
        <v>-4.9803383590844574E-2</v>
      </c>
      <c r="Z35" s="13">
        <f>+E35/MAX(E$2:E35)-1</f>
        <v>-4.9517693769384974E-2</v>
      </c>
      <c r="AA35" s="13">
        <f>+F35/MAX(F$2:F35)-1</f>
        <v>-6.3404469226732263E-2</v>
      </c>
      <c r="AB35" s="52"/>
      <c r="AC35" s="13">
        <f t="shared" si="6"/>
        <v>-1.3136758876124265E-2</v>
      </c>
      <c r="AD35" s="13">
        <f t="shared" si="6"/>
        <v>-1.6210118584601186E-2</v>
      </c>
      <c r="AE35" s="13">
        <f t="shared" si="6"/>
        <v>-1.2736673536457754E-2</v>
      </c>
      <c r="AF35" s="13" t="str">
        <f t="shared" si="6"/>
        <v/>
      </c>
      <c r="AG35" s="13">
        <f t="shared" si="6"/>
        <v>-1.9175967644457594E-2</v>
      </c>
      <c r="AH35" s="52"/>
      <c r="AI35" s="7" t="s">
        <v>10</v>
      </c>
      <c r="AJ35" s="15" t="str">
        <f>AJ8</f>
        <v>Apple</v>
      </c>
      <c r="AK35" s="15" t="str">
        <f>AK8</f>
        <v>Coca-Cola</v>
      </c>
      <c r="AL35" s="15" t="str">
        <f>AL8</f>
        <v>JPMorgan</v>
      </c>
      <c r="AM35" s="15" t="str">
        <f>AM8</f>
        <v>AT&amp;T</v>
      </c>
      <c r="AP35" s="38"/>
    </row>
    <row r="36" spans="1:42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1"/>
        <v>2.1380675622961753E-4</v>
      </c>
      <c r="J36" s="6">
        <f t="shared" ref="J36:N67" si="10">LN(B36/B35)</f>
        <v>7.2820978273525263E-3</v>
      </c>
      <c r="K36" s="6">
        <f t="shared" si="10"/>
        <v>2.9112300036451422E-3</v>
      </c>
      <c r="L36" s="6">
        <f t="shared" si="10"/>
        <v>4.4743812840926343E-3</v>
      </c>
      <c r="M36" s="6">
        <f t="shared" si="10"/>
        <v>-8.8346792935787202E-3</v>
      </c>
      <c r="N36" s="6">
        <f t="shared" si="10"/>
        <v>8.0770937870001339E-3</v>
      </c>
      <c r="O36" s="6">
        <f t="shared" si="5"/>
        <v>0</v>
      </c>
      <c r="P36" s="6"/>
      <c r="Q36" s="13">
        <f t="shared" si="2"/>
        <v>7.0682910711229088E-3</v>
      </c>
      <c r="R36" s="13">
        <f t="shared" si="2"/>
        <v>2.6974232474155247E-3</v>
      </c>
      <c r="S36" s="13">
        <f t="shared" si="2"/>
        <v>4.2605745278630168E-3</v>
      </c>
      <c r="T36" s="13">
        <f t="shared" si="2"/>
        <v>-9.0484860498083377E-3</v>
      </c>
      <c r="U36" s="13">
        <f t="shared" si="2"/>
        <v>7.8632870307705164E-3</v>
      </c>
      <c r="V36" s="13"/>
      <c r="W36" s="13">
        <f>+B36/MAX(B$2:B36)-1</f>
        <v>-8.4554578804085456E-2</v>
      </c>
      <c r="X36" s="13">
        <f>+C36/MAX(C$2:C36)-1</f>
        <v>-8.9800239387429093E-2</v>
      </c>
      <c r="Y36" s="13">
        <f>+D36/MAX(D$2:D36)-1</f>
        <v>-4.5542315922372234E-2</v>
      </c>
      <c r="Z36" s="13">
        <f>+E36/MAX(E$2:E36)-1</f>
        <v>-5.7877915801622271E-2</v>
      </c>
      <c r="AA36" s="13">
        <f>+F36/MAX(F$2:F36)-1</f>
        <v>-5.5808865376226091E-2</v>
      </c>
      <c r="AB36" s="52"/>
      <c r="AC36" s="13" t="str">
        <f t="shared" si="6"/>
        <v/>
      </c>
      <c r="AD36" s="13" t="str">
        <f t="shared" si="6"/>
        <v/>
      </c>
      <c r="AE36" s="13" t="str">
        <f t="shared" si="6"/>
        <v/>
      </c>
      <c r="AF36" s="13">
        <f t="shared" si="6"/>
        <v>-8.8346792935787202E-3</v>
      </c>
      <c r="AG36" s="13" t="str">
        <f t="shared" si="6"/>
        <v/>
      </c>
      <c r="AH36" s="52"/>
      <c r="AI36" s="16" t="str">
        <f>AJ35</f>
        <v>Apple</v>
      </c>
      <c r="AJ36" s="17">
        <f>VARP([1]Portafolio!$F$3:$F$254)</f>
        <v>2.0416329468796719E-4</v>
      </c>
      <c r="AK36" s="17">
        <f>AJ37</f>
        <v>1.114837388610517E-5</v>
      </c>
      <c r="AL36" s="17">
        <f>AJ38</f>
        <v>7.9387037462506825E-6</v>
      </c>
      <c r="AM36" s="17">
        <f>AJ39</f>
        <v>-2.2006229590220094E-6</v>
      </c>
      <c r="AP36" s="38"/>
    </row>
    <row r="37" spans="1:42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1"/>
        <v>2.1115103099722532E-4</v>
      </c>
      <c r="J37" s="6">
        <f t="shared" si="10"/>
        <v>7.1721957179410305E-3</v>
      </c>
      <c r="K37" s="6">
        <f t="shared" si="10"/>
        <v>-4.9535374384451825E-2</v>
      </c>
      <c r="L37" s="6">
        <f t="shared" si="10"/>
        <v>4.2075901542361687E-3</v>
      </c>
      <c r="M37" s="6">
        <f t="shared" si="10"/>
        <v>1.2211857867236135E-2</v>
      </c>
      <c r="N37" s="6">
        <f t="shared" si="10"/>
        <v>-1.3048673867472557E-3</v>
      </c>
      <c r="O37" s="6">
        <f t="shared" si="5"/>
        <v>-1.2498934651813405E-2</v>
      </c>
      <c r="P37" s="6"/>
      <c r="Q37" s="13">
        <f t="shared" si="2"/>
        <v>6.9610446869438052E-3</v>
      </c>
      <c r="R37" s="13">
        <f t="shared" si="2"/>
        <v>-4.974652541544905E-2</v>
      </c>
      <c r="S37" s="13">
        <f t="shared" si="2"/>
        <v>3.9964391232389434E-3</v>
      </c>
      <c r="T37" s="13">
        <f t="shared" si="2"/>
        <v>1.200070683623891E-2</v>
      </c>
      <c r="U37" s="13">
        <f t="shared" si="2"/>
        <v>-1.516018417744481E-3</v>
      </c>
      <c r="V37" s="13"/>
      <c r="W37" s="13">
        <f>+B37/MAX(B$2:B37)-1</f>
        <v>-7.7965223246881155E-2</v>
      </c>
      <c r="X37" s="13">
        <f>+C37/MAX(C$2:C37)-1</f>
        <v>-0.13378883511917794</v>
      </c>
      <c r="Y37" s="13">
        <f>+D37/MAX(D$2:D37)-1</f>
        <v>-4.1517888534994496E-2</v>
      </c>
      <c r="Z37" s="13">
        <f>+E37/MAX(E$2:E37)-1</f>
        <v>-4.6302318898617689E-2</v>
      </c>
      <c r="AA37" s="13">
        <f>+F37/MAX(F$2:F37)-1</f>
        <v>-5.7040106117007938E-2</v>
      </c>
      <c r="AB37" s="52"/>
      <c r="AC37" s="13" t="str">
        <f t="shared" si="6"/>
        <v/>
      </c>
      <c r="AD37" s="13">
        <f t="shared" si="6"/>
        <v>-3.703643973263842E-2</v>
      </c>
      <c r="AE37" s="13" t="str">
        <f t="shared" si="6"/>
        <v/>
      </c>
      <c r="AF37" s="13" t="str">
        <f t="shared" si="6"/>
        <v/>
      </c>
      <c r="AG37" s="13" t="str">
        <f t="shared" si="6"/>
        <v/>
      </c>
      <c r="AH37" s="52"/>
      <c r="AI37" s="16" t="str">
        <f>AK35</f>
        <v>Coca-Cola</v>
      </c>
      <c r="AJ37" s="18">
        <f>_xlfn.COVARIANCE.P($J$3:$J$254,K3:K254)</f>
        <v>1.114837388610517E-5</v>
      </c>
      <c r="AK37" s="17">
        <f>VARP([1]Portafolio!$G$3:$G$254)</f>
        <v>7.052377242278394E-5</v>
      </c>
      <c r="AL37" s="17">
        <f>AK38</f>
        <v>1.8170255662120506E-5</v>
      </c>
      <c r="AM37" s="17">
        <f>AK39</f>
        <v>3.9163359961956121E-5</v>
      </c>
      <c r="AP37" s="38"/>
    </row>
    <row r="38" spans="1:42" x14ac:dyDescent="0.2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1"/>
        <v>2.1001232533235381E-4</v>
      </c>
      <c r="J38" s="6">
        <f t="shared" si="10"/>
        <v>1.4642797262619538E-2</v>
      </c>
      <c r="K38" s="6">
        <f t="shared" si="10"/>
        <v>1.4405068586763934E-2</v>
      </c>
      <c r="L38" s="6">
        <f t="shared" si="10"/>
        <v>1.5278133083516892E-2</v>
      </c>
      <c r="M38" s="6">
        <f t="shared" si="10"/>
        <v>-7.0340122474886078E-3</v>
      </c>
      <c r="N38" s="6">
        <f t="shared" si="10"/>
        <v>1.1745628333713317E-2</v>
      </c>
      <c r="O38" s="6">
        <f t="shared" si="5"/>
        <v>-5.4074430856563748E-3</v>
      </c>
      <c r="P38" s="6"/>
      <c r="Q38" s="13">
        <f t="shared" si="2"/>
        <v>1.4432784937287184E-2</v>
      </c>
      <c r="R38" s="13">
        <f t="shared" si="2"/>
        <v>1.4195056261431581E-2</v>
      </c>
      <c r="S38" s="13">
        <f t="shared" si="2"/>
        <v>1.5068120758184539E-2</v>
      </c>
      <c r="T38" s="13">
        <f t="shared" si="2"/>
        <v>-7.2440245728209616E-3</v>
      </c>
      <c r="U38" s="13">
        <f t="shared" si="2"/>
        <v>1.1535616008380963E-2</v>
      </c>
      <c r="V38" s="13"/>
      <c r="W38" s="13">
        <f>+B38/MAX(B$2:B38)-1</f>
        <v>-6.4364723267645862E-2</v>
      </c>
      <c r="X38" s="13">
        <f>+C38/MAX(C$2:C38)-1</f>
        <v>-0.12122069877498376</v>
      </c>
      <c r="Y38" s="13">
        <f>+D38/MAX(D$2:D38)-1</f>
        <v>-2.6761634304168003E-2</v>
      </c>
      <c r="Z38" s="13">
        <f>+E38/MAX(E$2:E38)-1</f>
        <v>-5.2987102082414639E-2</v>
      </c>
      <c r="AA38" s="13">
        <f>+F38/MAX(F$2:F38)-1</f>
        <v>-4.5899148982344151E-2</v>
      </c>
      <c r="AB38" s="52"/>
      <c r="AC38" s="13" t="str">
        <f t="shared" si="6"/>
        <v/>
      </c>
      <c r="AD38" s="13" t="str">
        <f t="shared" si="6"/>
        <v/>
      </c>
      <c r="AE38" s="13" t="str">
        <f t="shared" si="6"/>
        <v/>
      </c>
      <c r="AF38" s="13">
        <f t="shared" si="6"/>
        <v>-1.626569161832233E-3</v>
      </c>
      <c r="AG38" s="13" t="str">
        <f t="shared" si="6"/>
        <v/>
      </c>
      <c r="AH38" s="52"/>
      <c r="AI38" s="16" t="str">
        <f>AL35</f>
        <v>JPMorgan</v>
      </c>
      <c r="AJ38" s="18">
        <f>_xlfn.COVARIANCE.P($J$3:$J$254,L3:L254)</f>
        <v>7.9387037462506825E-6</v>
      </c>
      <c r="AK38" s="18">
        <f>_xlfn.COVARIANCE.P($K$3:$K$254,L3:L254)</f>
        <v>1.8170255662120506E-5</v>
      </c>
      <c r="AL38" s="17">
        <f>VARP([1]Portafolio!$H$3:$H$254)</f>
        <v>1.3497102243452755E-4</v>
      </c>
      <c r="AM38" s="17">
        <f>AL39</f>
        <v>2.8925886198153199E-5</v>
      </c>
      <c r="AP38" s="38"/>
    </row>
    <row r="39" spans="1:42" x14ac:dyDescent="0.2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1"/>
        <v>2.1153052783073889E-4</v>
      </c>
      <c r="J39" s="6">
        <f t="shared" si="10"/>
        <v>8.4155364965835446E-3</v>
      </c>
      <c r="K39" s="6">
        <f t="shared" si="10"/>
        <v>-4.9046695157092994E-3</v>
      </c>
      <c r="L39" s="6">
        <f t="shared" si="10"/>
        <v>-2.2767875931944174E-3</v>
      </c>
      <c r="M39" s="6">
        <f t="shared" si="10"/>
        <v>1.919178660718069E-2</v>
      </c>
      <c r="N39" s="6">
        <f t="shared" si="10"/>
        <v>6.2840320810455159E-3</v>
      </c>
      <c r="O39" s="6">
        <f t="shared" si="5"/>
        <v>7.2031066416294353E-3</v>
      </c>
      <c r="P39" s="6"/>
      <c r="Q39" s="13">
        <f t="shared" si="2"/>
        <v>8.2040059687528057E-3</v>
      </c>
      <c r="R39" s="13">
        <f t="shared" si="2"/>
        <v>-5.1162000435400383E-3</v>
      </c>
      <c r="S39" s="13">
        <f t="shared" si="2"/>
        <v>-2.4883181210251563E-3</v>
      </c>
      <c r="T39" s="13">
        <f t="shared" si="2"/>
        <v>1.8980256079349951E-2</v>
      </c>
      <c r="U39" s="13">
        <f t="shared" si="2"/>
        <v>6.0725015532147771E-3</v>
      </c>
      <c r="V39" s="13"/>
      <c r="W39" s="13">
        <f>+B39/MAX(B$2:B39)-1</f>
        <v>-5.6457625881319973E-2</v>
      </c>
      <c r="X39" s="13">
        <f>+C39/MAX(C$2:C39)-1</f>
        <v>-0.12552026822201734</v>
      </c>
      <c r="Y39" s="13">
        <f>+D39/MAX(D$2:D39)-1</f>
        <v>-2.8974970735824224E-2</v>
      </c>
      <c r="Z39" s="13">
        <f>+E39/MAX(E$2:E39)-1</f>
        <v>-3.4636707440740544E-2</v>
      </c>
      <c r="AA39" s="13">
        <f>+F39/MAX(F$2:F39)-1</f>
        <v>-3.9884670831331182E-2</v>
      </c>
      <c r="AB39" s="52"/>
      <c r="AC39" s="13" t="str">
        <f t="shared" si="6"/>
        <v/>
      </c>
      <c r="AD39" s="13">
        <f t="shared" si="6"/>
        <v>-1.2107776157338735E-2</v>
      </c>
      <c r="AE39" s="13">
        <f t="shared" si="6"/>
        <v>-9.4798942348238522E-3</v>
      </c>
      <c r="AF39" s="13" t="str">
        <f t="shared" si="6"/>
        <v/>
      </c>
      <c r="AG39" s="13">
        <f t="shared" si="6"/>
        <v>-9.1907456058391932E-4</v>
      </c>
      <c r="AH39" s="52"/>
      <c r="AI39" s="16" t="str">
        <f>AM35</f>
        <v>AT&amp;T</v>
      </c>
      <c r="AJ39" s="18">
        <f>_xlfn.COVARIANCE.P($J$3:$J$254,M5:M256)</f>
        <v>-2.2006229590220094E-6</v>
      </c>
      <c r="AK39" s="18">
        <f>_xlfn.COVARIANCE.P($K$3:$K$254,M3:M254)</f>
        <v>3.9163359961956121E-5</v>
      </c>
      <c r="AL39" s="18">
        <f>_xlfn.COVARIANCE.P($L$3:$L$254,M3:M254)</f>
        <v>2.8925886198153199E-5</v>
      </c>
      <c r="AM39" s="17">
        <f>VARP([1]Portafolio!$I$3:$I$254)</f>
        <v>1.7878182777816105E-4</v>
      </c>
      <c r="AP39" s="38"/>
    </row>
    <row r="40" spans="1:42" x14ac:dyDescent="0.2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1"/>
        <v>2.1153052783073889E-4</v>
      </c>
      <c r="J40" s="6">
        <f t="shared" si="10"/>
        <v>-3.3577377412587176E-3</v>
      </c>
      <c r="K40" s="6">
        <f t="shared" si="10"/>
        <v>2.1514155913894644E-2</v>
      </c>
      <c r="L40" s="6">
        <f t="shared" si="10"/>
        <v>6.0600170693245765E-3</v>
      </c>
      <c r="M40" s="6">
        <f t="shared" si="10"/>
        <v>1.5493841465178439E-2</v>
      </c>
      <c r="N40" s="6">
        <f t="shared" si="10"/>
        <v>5.1944583608864153E-3</v>
      </c>
      <c r="O40" s="6">
        <f t="shared" si="5"/>
        <v>0</v>
      </c>
      <c r="P40" s="6"/>
      <c r="Q40" s="13">
        <f t="shared" si="2"/>
        <v>-3.5692682690894565E-3</v>
      </c>
      <c r="R40" s="13">
        <f t="shared" si="2"/>
        <v>2.1302625386063905E-2</v>
      </c>
      <c r="S40" s="13">
        <f t="shared" si="2"/>
        <v>5.8484865414938376E-3</v>
      </c>
      <c r="T40" s="13">
        <f t="shared" si="2"/>
        <v>1.52823109373477E-2</v>
      </c>
      <c r="U40" s="13">
        <f t="shared" si="2"/>
        <v>4.9829278330556764E-3</v>
      </c>
      <c r="V40" s="13"/>
      <c r="W40" s="13">
        <f>+B40/MAX(B$2:B40)-1</f>
        <v>-5.9620480731217507E-2</v>
      </c>
      <c r="X40" s="13">
        <f>+C40/MAX(C$2:C40)-1</f>
        <v>-0.10650273537617672</v>
      </c>
      <c r="Y40" s="13">
        <f>+D40/MAX(D$2:D40)-1</f>
        <v>-2.307267654485079E-2</v>
      </c>
      <c r="Z40" s="13">
        <f>+E40/MAX(E$2:E40)-1</f>
        <v>-1.9563048736628619E-2</v>
      </c>
      <c r="AA40" s="13">
        <f>+F40/MAX(F$2:F40)-1</f>
        <v>-3.4884416168228349E-2</v>
      </c>
      <c r="AB40" s="52"/>
      <c r="AC40" s="13">
        <f t="shared" si="6"/>
        <v>-3.3577377412587176E-3</v>
      </c>
      <c r="AD40" s="13" t="str">
        <f t="shared" si="6"/>
        <v/>
      </c>
      <c r="AE40" s="13" t="str">
        <f t="shared" si="6"/>
        <v/>
      </c>
      <c r="AF40" s="13" t="str">
        <f t="shared" si="6"/>
        <v/>
      </c>
      <c r="AG40" s="13" t="str">
        <f t="shared" si="6"/>
        <v/>
      </c>
      <c r="AH40" s="52"/>
      <c r="AP40" s="38"/>
    </row>
    <row r="41" spans="1:42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1"/>
        <v>2.0925300885044074E-4</v>
      </c>
      <c r="J41" s="6">
        <f t="shared" si="10"/>
        <v>7.8729256654077838E-3</v>
      </c>
      <c r="K41" s="6">
        <f t="shared" si="10"/>
        <v>-5.9402085775266582E-3</v>
      </c>
      <c r="L41" s="6">
        <f t="shared" si="10"/>
        <v>3.4271245700145075E-3</v>
      </c>
      <c r="M41" s="6">
        <f t="shared" si="10"/>
        <v>-1.2781979492703863E-2</v>
      </c>
      <c r="N41" s="6">
        <f t="shared" si="10"/>
        <v>4.2838286545689866E-3</v>
      </c>
      <c r="O41" s="6">
        <f t="shared" si="5"/>
        <v>-1.0825239215833657E-2</v>
      </c>
      <c r="P41" s="6"/>
      <c r="Q41" s="13">
        <f t="shared" si="2"/>
        <v>7.6636726565573431E-3</v>
      </c>
      <c r="R41" s="13">
        <f t="shared" si="2"/>
        <v>-6.1494615863770989E-3</v>
      </c>
      <c r="S41" s="13">
        <f t="shared" si="2"/>
        <v>3.2178715611640668E-3</v>
      </c>
      <c r="T41" s="13">
        <f t="shared" si="2"/>
        <v>-1.2991232501554303E-2</v>
      </c>
      <c r="U41" s="13">
        <f t="shared" si="2"/>
        <v>4.0745756457185459E-3</v>
      </c>
      <c r="V41" s="13"/>
      <c r="W41" s="13">
        <f>+B41/MAX(B$2:B41)-1</f>
        <v>-5.2187722293397631E-2</v>
      </c>
      <c r="X41" s="13">
        <f>+C41/MAX(C$2:C41)-1</f>
        <v>-0.11179456265196119</v>
      </c>
      <c r="Y41" s="13">
        <f>+D41/MAX(D$2:D41)-1</f>
        <v>-1.9718881256979848E-2</v>
      </c>
      <c r="Z41" s="13">
        <f>+E41/MAX(E$2:E41)-1</f>
        <v>-3.2015222491930007E-2</v>
      </c>
      <c r="AA41" s="13">
        <f>+F41/MAX(F$2:F41)-1</f>
        <v>-3.0741158207791885E-2</v>
      </c>
      <c r="AB41" s="52"/>
      <c r="AC41" s="13" t="str">
        <f t="shared" si="6"/>
        <v/>
      </c>
      <c r="AD41" s="13" t="str">
        <f t="shared" si="6"/>
        <v/>
      </c>
      <c r="AE41" s="13" t="str">
        <f t="shared" si="6"/>
        <v/>
      </c>
      <c r="AF41" s="13">
        <f t="shared" si="6"/>
        <v>-1.9567402768702058E-3</v>
      </c>
      <c r="AG41" s="13" t="str">
        <f t="shared" si="6"/>
        <v/>
      </c>
      <c r="AH41" s="52"/>
      <c r="AP41" s="38"/>
    </row>
    <row r="42" spans="1:42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1"/>
        <v>2.0963268503315646E-4</v>
      </c>
      <c r="J42" s="6">
        <f t="shared" si="10"/>
        <v>5.0484914715231101E-3</v>
      </c>
      <c r="K42" s="6">
        <f t="shared" si="10"/>
        <v>-1.6898605731409447E-2</v>
      </c>
      <c r="L42" s="6">
        <f t="shared" si="10"/>
        <v>-2.3292037153074849E-3</v>
      </c>
      <c r="M42" s="6">
        <f t="shared" si="10"/>
        <v>-2.1903648579655197E-2</v>
      </c>
      <c r="N42" s="6">
        <f t="shared" si="10"/>
        <v>-6.2659488852716012E-3</v>
      </c>
      <c r="O42" s="6">
        <f t="shared" si="5"/>
        <v>1.8127918534072056E-3</v>
      </c>
      <c r="P42" s="6"/>
      <c r="Q42" s="13">
        <f t="shared" si="2"/>
        <v>4.8388587864899536E-3</v>
      </c>
      <c r="R42" s="13">
        <f t="shared" si="2"/>
        <v>-1.7108238416442604E-2</v>
      </c>
      <c r="S42" s="13">
        <f t="shared" si="2"/>
        <v>-2.5388364003406413E-3</v>
      </c>
      <c r="T42" s="13">
        <f t="shared" si="2"/>
        <v>-2.2113281264688353E-2</v>
      </c>
      <c r="U42" s="13">
        <f t="shared" si="2"/>
        <v>-6.4755815703047576E-3</v>
      </c>
      <c r="V42" s="13"/>
      <c r="W42" s="13">
        <f>+B42/MAX(B$2:B42)-1</f>
        <v>-4.7390601169036484E-2</v>
      </c>
      <c r="X42" s="13">
        <f>+C42/MAX(C$2:C42)-1</f>
        <v>-0.12667788824519466</v>
      </c>
      <c r="Y42" s="13">
        <f>+D42/MAX(D$2:D42)-1</f>
        <v>-2.1999498638497594E-2</v>
      </c>
      <c r="Z42" s="13">
        <f>+E42/MAX(E$2:E42)-1</f>
        <v>-5.2987102082414639E-2</v>
      </c>
      <c r="AA42" s="13">
        <f>+F42/MAX(F$2:F42)-1</f>
        <v>-3.6795496670556926E-2</v>
      </c>
      <c r="AB42" s="52"/>
      <c r="AC42" s="13" t="str">
        <f t="shared" si="6"/>
        <v/>
      </c>
      <c r="AD42" s="13">
        <f t="shared" si="6"/>
        <v>-1.8711397584816655E-2</v>
      </c>
      <c r="AE42" s="13">
        <f t="shared" si="6"/>
        <v>-4.1419955687146907E-3</v>
      </c>
      <c r="AF42" s="13">
        <f t="shared" si="6"/>
        <v>-2.3716440433062404E-2</v>
      </c>
      <c r="AG42" s="13">
        <f t="shared" si="6"/>
        <v>-8.0787407386788065E-3</v>
      </c>
      <c r="AH42" s="52"/>
      <c r="AP42" s="38"/>
    </row>
    <row r="43" spans="1:42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1"/>
        <v>2.1153052783073889E-4</v>
      </c>
      <c r="J43" s="6">
        <f t="shared" si="10"/>
        <v>-1.0346128156285038E-2</v>
      </c>
      <c r="K43" s="6">
        <f t="shared" si="10"/>
        <v>1.5136608826072475E-3</v>
      </c>
      <c r="L43" s="6">
        <f t="shared" si="10"/>
        <v>1.490802752612275E-2</v>
      </c>
      <c r="M43" s="6">
        <f t="shared" si="10"/>
        <v>-6.2479325408984904E-3</v>
      </c>
      <c r="N43" s="6">
        <f t="shared" si="10"/>
        <v>-5.0314774496886677E-3</v>
      </c>
      <c r="O43" s="6">
        <f t="shared" si="5"/>
        <v>9.0124473624263561E-3</v>
      </c>
      <c r="P43" s="6"/>
      <c r="Q43" s="13">
        <f t="shared" si="2"/>
        <v>-1.0557658684115777E-2</v>
      </c>
      <c r="R43" s="13">
        <f t="shared" si="2"/>
        <v>1.3021303547765086E-3</v>
      </c>
      <c r="S43" s="13">
        <f t="shared" si="2"/>
        <v>1.4696496998292011E-2</v>
      </c>
      <c r="T43" s="13">
        <f t="shared" si="2"/>
        <v>-6.4594630687292293E-3</v>
      </c>
      <c r="U43" s="13">
        <f t="shared" si="2"/>
        <v>-5.2430079775194066E-3</v>
      </c>
      <c r="V43" s="13"/>
      <c r="W43" s="13">
        <f>+B43/MAX(B$2:B43)-1</f>
        <v>-5.7195610687235221E-2</v>
      </c>
      <c r="X43" s="13">
        <f>+C43/MAX(C$2:C43)-1</f>
        <v>-0.12535497375734483</v>
      </c>
      <c r="Y43" s="13">
        <f>+D43/MAX(D$2:D43)-1</f>
        <v>-7.3102182009188166E-3</v>
      </c>
      <c r="Z43" s="13">
        <f>+E43/MAX(E$2:E43)-1</f>
        <v>-5.8885529108989254E-2</v>
      </c>
      <c r="AA43" s="13">
        <f>+F43/MAX(F$2:F43)-1</f>
        <v>-4.1629666701360035E-2</v>
      </c>
      <c r="AB43" s="52"/>
      <c r="AC43" s="13">
        <f t="shared" si="6"/>
        <v>-1.9358575518711396E-2</v>
      </c>
      <c r="AD43" s="13">
        <f t="shared" si="6"/>
        <v>-7.4987864798191084E-3</v>
      </c>
      <c r="AE43" s="13" t="str">
        <f t="shared" si="6"/>
        <v/>
      </c>
      <c r="AF43" s="13">
        <f t="shared" si="6"/>
        <v>-1.5260379903324846E-2</v>
      </c>
      <c r="AG43" s="13">
        <f t="shared" si="6"/>
        <v>-1.4043924812115024E-2</v>
      </c>
      <c r="AH43" s="52"/>
      <c r="AP43" s="38"/>
    </row>
    <row r="44" spans="1:42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1"/>
        <v>2.107714983077269E-4</v>
      </c>
      <c r="J44" s="6">
        <f t="shared" si="10"/>
        <v>-7.2710133536225421E-4</v>
      </c>
      <c r="K44" s="6">
        <f t="shared" si="10"/>
        <v>1.0158067162630343E-2</v>
      </c>
      <c r="L44" s="6">
        <f t="shared" si="10"/>
        <v>-1.0140315442376808E-3</v>
      </c>
      <c r="M44" s="6">
        <f t="shared" si="10"/>
        <v>3.47593227385585E-3</v>
      </c>
      <c r="N44" s="6">
        <f t="shared" si="10"/>
        <v>1.0538619453747615E-2</v>
      </c>
      <c r="O44" s="6">
        <f t="shared" si="5"/>
        <v>-3.5947274385814774E-3</v>
      </c>
      <c r="P44" s="6"/>
      <c r="Q44" s="13">
        <f t="shared" si="2"/>
        <v>-9.3787283366998111E-4</v>
      </c>
      <c r="R44" s="13">
        <f t="shared" si="2"/>
        <v>9.9472956643226161E-3</v>
      </c>
      <c r="S44" s="13">
        <f t="shared" si="2"/>
        <v>-1.2248030425454077E-3</v>
      </c>
      <c r="T44" s="13">
        <f t="shared" si="2"/>
        <v>3.2651607755481231E-3</v>
      </c>
      <c r="U44" s="13">
        <f t="shared" si="2"/>
        <v>1.0327847955439888E-2</v>
      </c>
      <c r="V44" s="13"/>
      <c r="W44" s="13">
        <f>+B44/MAX(B$2:B44)-1</f>
        <v>-5.7880875858888903E-2</v>
      </c>
      <c r="X44" s="13">
        <f>+C44/MAX(C$2:C44)-1</f>
        <v>-0.11642499194735556</v>
      </c>
      <c r="Y44" s="13">
        <f>+D44/MAX(D$2:D44)-1</f>
        <v>-8.3163267541886965E-3</v>
      </c>
      <c r="Z44" s="13">
        <f>+E44/MAX(E$2:E44)-1</f>
        <v>-5.5608587031225176E-2</v>
      </c>
      <c r="AA44" s="13">
        <f>+F44/MAX(F$2:F44)-1</f>
        <v>-3.1476359513438523E-2</v>
      </c>
      <c r="AB44" s="52"/>
      <c r="AC44" s="13" t="str">
        <f t="shared" si="6"/>
        <v/>
      </c>
      <c r="AD44" s="13" t="str">
        <f t="shared" si="6"/>
        <v/>
      </c>
      <c r="AE44" s="13" t="str">
        <f t="shared" si="6"/>
        <v/>
      </c>
      <c r="AF44" s="13" t="str">
        <f t="shared" si="6"/>
        <v/>
      </c>
      <c r="AG44" s="13" t="str">
        <f t="shared" si="6"/>
        <v/>
      </c>
      <c r="AH44" s="52"/>
      <c r="AP44" s="38"/>
    </row>
    <row r="45" spans="1:42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1"/>
        <v>2.1115103099722532E-4</v>
      </c>
      <c r="J45" s="6">
        <f t="shared" si="10"/>
        <v>-8.8236168219693739E-3</v>
      </c>
      <c r="K45" s="6">
        <f t="shared" si="10"/>
        <v>1.1907236828734701E-2</v>
      </c>
      <c r="L45" s="6">
        <f t="shared" si="10"/>
        <v>-2.1668112665697982E-3</v>
      </c>
      <c r="M45" s="6">
        <f t="shared" si="10"/>
        <v>1.1728316519177792E-2</v>
      </c>
      <c r="N45" s="6">
        <f t="shared" si="10"/>
        <v>-9.8321334779938874E-5</v>
      </c>
      <c r="O45" s="6">
        <f t="shared" si="5"/>
        <v>1.799063882608539E-3</v>
      </c>
      <c r="P45" s="6"/>
      <c r="Q45" s="13">
        <f t="shared" si="2"/>
        <v>-9.0347678529665992E-3</v>
      </c>
      <c r="R45" s="13">
        <f t="shared" si="2"/>
        <v>1.1696085797737475E-2</v>
      </c>
      <c r="S45" s="13">
        <f t="shared" si="2"/>
        <v>-2.3779622975670235E-3</v>
      </c>
      <c r="T45" s="13">
        <f t="shared" si="2"/>
        <v>1.1517165488180566E-2</v>
      </c>
      <c r="U45" s="13">
        <f t="shared" si="2"/>
        <v>-3.0947236577716418E-4</v>
      </c>
      <c r="V45" s="13"/>
      <c r="W45" s="13">
        <f>+B45/MAX(B$2:B45)-1</f>
        <v>-6.6157206727907036E-2</v>
      </c>
      <c r="X45" s="13">
        <f>+C45/MAX(C$2:C45)-1</f>
        <v>-0.10584116807140154</v>
      </c>
      <c r="Y45" s="13">
        <f>+D45/MAX(D$2:D45)-1</f>
        <v>-1.0462791778135472E-2</v>
      </c>
      <c r="Z45" s="13">
        <f>+E45/MAX(E$2:E45)-1</f>
        <v>-4.4467258820430122E-2</v>
      </c>
      <c r="AA45" s="13">
        <f>+F45/MAX(F$2:F45)-1</f>
        <v>-3.1571581369290391E-2</v>
      </c>
      <c r="AB45" s="52"/>
      <c r="AC45" s="13">
        <f t="shared" si="6"/>
        <v>-1.0622680704577912E-2</v>
      </c>
      <c r="AD45" s="13" t="str">
        <f t="shared" si="6"/>
        <v/>
      </c>
      <c r="AE45" s="13">
        <f t="shared" si="6"/>
        <v>-3.965875149178337E-3</v>
      </c>
      <c r="AF45" s="13" t="str">
        <f t="shared" si="6"/>
        <v/>
      </c>
      <c r="AG45" s="13">
        <f t="shared" si="6"/>
        <v>-1.897385217388478E-3</v>
      </c>
      <c r="AH45" s="52"/>
      <c r="AP45" s="38"/>
    </row>
    <row r="46" spans="1:42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1"/>
        <v>2.1342747439123677E-4</v>
      </c>
      <c r="J46" s="6">
        <f t="shared" si="10"/>
        <v>-7.4223370429170512E-3</v>
      </c>
      <c r="K46" s="6">
        <f t="shared" si="10"/>
        <v>-3.7001627652822851E-4</v>
      </c>
      <c r="L46" s="6">
        <f t="shared" si="10"/>
        <v>-1.1041381345434621E-2</v>
      </c>
      <c r="M46" s="6">
        <f t="shared" si="10"/>
        <v>-1.7993646801684915E-2</v>
      </c>
      <c r="N46" s="6">
        <f t="shared" si="10"/>
        <v>-1.349038622382619E-2</v>
      </c>
      <c r="O46" s="6">
        <f t="shared" si="5"/>
        <v>1.0723412416764824E-2</v>
      </c>
      <c r="P46" s="6"/>
      <c r="Q46" s="13">
        <f t="shared" si="2"/>
        <v>-7.635764517308288E-3</v>
      </c>
      <c r="R46" s="13">
        <f t="shared" si="2"/>
        <v>-5.8344375091946528E-4</v>
      </c>
      <c r="S46" s="13">
        <f t="shared" si="2"/>
        <v>-1.1254808819825858E-2</v>
      </c>
      <c r="T46" s="13">
        <f t="shared" si="2"/>
        <v>-1.8207074276076152E-2</v>
      </c>
      <c r="U46" s="13">
        <f t="shared" si="2"/>
        <v>-1.3703813698217427E-2</v>
      </c>
      <c r="V46" s="13"/>
      <c r="W46" s="13">
        <f>+B46/MAX(B$2:B46)-1</f>
        <v>-7.3062843001490796E-2</v>
      </c>
      <c r="X46" s="13">
        <f>+C46/MAX(C$2:C46)-1</f>
        <v>-0.10617196019000841</v>
      </c>
      <c r="Y46" s="13">
        <f>+D46/MAX(D$2:D46)-1</f>
        <v>-2.1328552556674096E-2</v>
      </c>
      <c r="Z46" s="13">
        <f>+E46/MAX(E$2:E46)-1</f>
        <v>-6.1507014057799902E-2</v>
      </c>
      <c r="AA46" s="13">
        <f>+F46/MAX(F$2:F46)-1</f>
        <v>-4.4548327306306534E-2</v>
      </c>
      <c r="AB46" s="52"/>
      <c r="AC46" s="13">
        <f t="shared" si="6"/>
        <v>-1.8145749459681875E-2</v>
      </c>
      <c r="AD46" s="13">
        <f t="shared" si="6"/>
        <v>-1.1093428693293052E-2</v>
      </c>
      <c r="AE46" s="13">
        <f t="shared" si="6"/>
        <v>-2.1764793762199447E-2</v>
      </c>
      <c r="AF46" s="13">
        <f t="shared" si="6"/>
        <v>-2.8717059218449741E-2</v>
      </c>
      <c r="AG46" s="13">
        <f t="shared" si="6"/>
        <v>-2.4213798640591012E-2</v>
      </c>
      <c r="AH46" s="52"/>
      <c r="AP46" s="38"/>
    </row>
    <row r="47" spans="1:42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1"/>
        <v>2.1304815673750532E-4</v>
      </c>
      <c r="J47" s="6">
        <f t="shared" si="10"/>
        <v>-2.1632256780532658E-3</v>
      </c>
      <c r="K47" s="6">
        <f t="shared" si="10"/>
        <v>5.5350153172178456E-3</v>
      </c>
      <c r="L47" s="6">
        <f t="shared" si="10"/>
        <v>-4.2583678361532767E-3</v>
      </c>
      <c r="M47" s="6">
        <f t="shared" si="10"/>
        <v>6.3577877182322051E-2</v>
      </c>
      <c r="N47" s="6">
        <f t="shared" si="10"/>
        <v>-8.5190096941524674E-3</v>
      </c>
      <c r="O47" s="6">
        <f t="shared" si="5"/>
        <v>-1.7788484315057955E-3</v>
      </c>
      <c r="P47" s="6"/>
      <c r="Q47" s="13">
        <f t="shared" si="2"/>
        <v>-2.3762738347907712E-3</v>
      </c>
      <c r="R47" s="13">
        <f t="shared" si="2"/>
        <v>5.3219671604803403E-3</v>
      </c>
      <c r="S47" s="13">
        <f t="shared" si="2"/>
        <v>-4.471415992890782E-3</v>
      </c>
      <c r="T47" s="13">
        <f t="shared" si="2"/>
        <v>6.3364829025584546E-2</v>
      </c>
      <c r="U47" s="13">
        <f t="shared" si="2"/>
        <v>-8.7320578508899727E-3</v>
      </c>
      <c r="V47" s="13"/>
      <c r="W47" s="13">
        <f>+B47/MAX(B$2:B47)-1</f>
        <v>-7.5065850002266177E-2</v>
      </c>
      <c r="X47" s="13">
        <f>+C47/MAX(C$2:C47)-1</f>
        <v>-0.10121089116795368</v>
      </c>
      <c r="Y47" s="13">
        <f>+D47/MAX(D$2:D47)-1</f>
        <v>-2.5487234687160853E-2</v>
      </c>
      <c r="Z47" s="13">
        <f>+E47/MAX(E$2:E47)-1</f>
        <v>0</v>
      </c>
      <c r="AA47" s="13">
        <f>+F47/MAX(F$2:F47)-1</f>
        <v>-5.2653257362531791E-2</v>
      </c>
      <c r="AB47" s="52"/>
      <c r="AC47" s="13">
        <f t="shared" si="6"/>
        <v>-3.8437724654747036E-4</v>
      </c>
      <c r="AD47" s="13" t="str">
        <f t="shared" si="6"/>
        <v/>
      </c>
      <c r="AE47" s="13">
        <f t="shared" si="6"/>
        <v>-2.4795194046474812E-3</v>
      </c>
      <c r="AF47" s="13" t="str">
        <f t="shared" si="6"/>
        <v/>
      </c>
      <c r="AG47" s="13">
        <f t="shared" si="6"/>
        <v>-6.7401612626466715E-3</v>
      </c>
      <c r="AH47" s="52"/>
      <c r="AP47" s="38"/>
    </row>
    <row r="48" spans="1:42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1"/>
        <v>2.1190998881470691E-4</v>
      </c>
      <c r="J48" s="6">
        <f t="shared" si="10"/>
        <v>-1.48134638605088E-2</v>
      </c>
      <c r="K48" s="6">
        <f t="shared" si="10"/>
        <v>4.0397446205238134E-3</v>
      </c>
      <c r="L48" s="6">
        <f t="shared" si="10"/>
        <v>-1.623677213768495E-2</v>
      </c>
      <c r="M48" s="6">
        <f t="shared" si="10"/>
        <v>7.8330630368045693E-3</v>
      </c>
      <c r="N48" s="6">
        <f t="shared" si="10"/>
        <v>-1.2665186185757991E-2</v>
      </c>
      <c r="O48" s="6">
        <f t="shared" si="5"/>
        <v>-5.3566246756515997E-3</v>
      </c>
      <c r="P48" s="6"/>
      <c r="Q48" s="13">
        <f t="shared" si="2"/>
        <v>-1.5025373849323507E-2</v>
      </c>
      <c r="R48" s="13">
        <f t="shared" si="2"/>
        <v>3.8278346317091065E-3</v>
      </c>
      <c r="S48" s="13">
        <f t="shared" si="2"/>
        <v>-1.6448682126499657E-2</v>
      </c>
      <c r="T48" s="13">
        <f t="shared" si="2"/>
        <v>7.6211530479898624E-3</v>
      </c>
      <c r="U48" s="13">
        <f t="shared" si="2"/>
        <v>-1.2877096174572698E-2</v>
      </c>
      <c r="V48" s="13"/>
      <c r="W48" s="13">
        <f>+B48/MAX(B$2:B48)-1</f>
        <v>-8.8666344683045795E-2</v>
      </c>
      <c r="X48" s="13">
        <f>+C48/MAX(C$2:C48)-1</f>
        <v>-9.7572668903994964E-2</v>
      </c>
      <c r="Y48" s="13">
        <f>+D48/MAX(D$2:D48)-1</f>
        <v>-4.1182412081231412E-2</v>
      </c>
      <c r="Z48" s="13">
        <f>+E48/MAX(E$2:E48)-1</f>
        <v>0</v>
      </c>
      <c r="AA48" s="13">
        <f>+F48/MAX(F$2:F48)-1</f>
        <v>-6.4575919499886059E-2</v>
      </c>
      <c r="AB48" s="52"/>
      <c r="AC48" s="13">
        <f t="shared" si="6"/>
        <v>-9.4568391848572006E-3</v>
      </c>
      <c r="AD48" s="13" t="str">
        <f t="shared" si="6"/>
        <v/>
      </c>
      <c r="AE48" s="13">
        <f t="shared" si="6"/>
        <v>-1.0880147462033351E-2</v>
      </c>
      <c r="AF48" s="13" t="str">
        <f t="shared" si="6"/>
        <v/>
      </c>
      <c r="AG48" s="13">
        <f t="shared" si="6"/>
        <v>-7.308561510106391E-3</v>
      </c>
      <c r="AH48" s="52"/>
      <c r="AP48" s="38"/>
    </row>
    <row r="49" spans="1:42" x14ac:dyDescent="0.2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1"/>
        <v>2.107714983077269E-4</v>
      </c>
      <c r="J49" s="6">
        <f t="shared" si="10"/>
        <v>6.9385280456884656E-4</v>
      </c>
      <c r="K49" s="6">
        <f t="shared" si="10"/>
        <v>-9.01984365197008E-3</v>
      </c>
      <c r="L49" s="6">
        <f t="shared" si="10"/>
        <v>-1.3735076896956099E-2</v>
      </c>
      <c r="M49" s="6">
        <f t="shared" si="10"/>
        <v>-2.8356670761467306E-2</v>
      </c>
      <c r="N49" s="6">
        <f t="shared" si="10"/>
        <v>-1.6869643388467898E-3</v>
      </c>
      <c r="O49" s="6">
        <f t="shared" si="5"/>
        <v>-5.3870031922159129E-3</v>
      </c>
      <c r="P49" s="6"/>
      <c r="Q49" s="13">
        <f t="shared" si="2"/>
        <v>4.8308130626111966E-4</v>
      </c>
      <c r="R49" s="13">
        <f t="shared" si="2"/>
        <v>-9.2306151502778069E-3</v>
      </c>
      <c r="S49" s="13">
        <f t="shared" si="2"/>
        <v>-1.3945848395263825E-2</v>
      </c>
      <c r="T49" s="13">
        <f t="shared" si="2"/>
        <v>-2.8567442259775033E-2</v>
      </c>
      <c r="U49" s="13">
        <f t="shared" si="2"/>
        <v>-1.8977358371545167E-3</v>
      </c>
      <c r="V49" s="13"/>
      <c r="W49" s="13">
        <f>+B49/MAX(B$2:B49)-1</f>
        <v>-8.8033793847198005E-2</v>
      </c>
      <c r="X49" s="13">
        <f>+C49/MAX(C$2:C49)-1</f>
        <v>-0.10567582280941357</v>
      </c>
      <c r="Y49" s="13">
        <f>+D49/MAX(D$2:D49)-1</f>
        <v>-5.4261816448040179E-2</v>
      </c>
      <c r="Z49" s="13">
        <f>+E49/MAX(E$2:E49)-1</f>
        <v>-2.7958393854612407E-2</v>
      </c>
      <c r="AA49" s="13">
        <f>+F49/MAX(F$2:F49)-1</f>
        <v>-6.6152616275851117E-2</v>
      </c>
      <c r="AB49" s="52"/>
      <c r="AC49" s="13" t="str">
        <f t="shared" si="6"/>
        <v/>
      </c>
      <c r="AD49" s="13">
        <f t="shared" si="6"/>
        <v>-3.6328404597541671E-3</v>
      </c>
      <c r="AE49" s="13">
        <f t="shared" si="6"/>
        <v>-8.3480737047401856E-3</v>
      </c>
      <c r="AF49" s="13">
        <f t="shared" si="6"/>
        <v>-2.2969667569251395E-2</v>
      </c>
      <c r="AG49" s="13" t="str">
        <f t="shared" si="6"/>
        <v/>
      </c>
      <c r="AH49" s="52"/>
      <c r="AP49" s="38"/>
    </row>
    <row r="50" spans="1:42" x14ac:dyDescent="0.2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1"/>
        <v>2.1115103099722532E-4</v>
      </c>
      <c r="J50" s="6">
        <f t="shared" si="10"/>
        <v>2.5402110604923374E-3</v>
      </c>
      <c r="K50" s="6">
        <f t="shared" si="10"/>
        <v>2.8437891260977562E-2</v>
      </c>
      <c r="L50" s="6">
        <f t="shared" si="10"/>
        <v>1.2049500256252955E-3</v>
      </c>
      <c r="M50" s="6">
        <f t="shared" si="10"/>
        <v>3.8062243981015008E-2</v>
      </c>
      <c r="N50" s="6">
        <f t="shared" si="10"/>
        <v>7.2394913997594025E-3</v>
      </c>
      <c r="O50" s="6">
        <f t="shared" si="5"/>
        <v>1.799063882608539E-3</v>
      </c>
      <c r="P50" s="6"/>
      <c r="Q50" s="13">
        <f t="shared" si="2"/>
        <v>2.3290600294951121E-3</v>
      </c>
      <c r="R50" s="13">
        <f t="shared" si="2"/>
        <v>2.8226740229980337E-2</v>
      </c>
      <c r="S50" s="13">
        <f t="shared" si="2"/>
        <v>9.9379899462807017E-4</v>
      </c>
      <c r="T50" s="13">
        <f t="shared" si="2"/>
        <v>3.7851092950017783E-2</v>
      </c>
      <c r="U50" s="13">
        <f t="shared" si="2"/>
        <v>7.0283403687621772E-3</v>
      </c>
      <c r="V50" s="13"/>
      <c r="W50" s="13">
        <f>+B50/MAX(B$2:B50)-1</f>
        <v>-8.571426240108071E-2</v>
      </c>
      <c r="X50" s="13">
        <f>+C50/MAX(C$2:C50)-1</f>
        <v>-7.9878050546004276E-2</v>
      </c>
      <c r="Y50" s="13">
        <f>+D50/MAX(D$2:D50)-1</f>
        <v>-5.3121562362901553E-2</v>
      </c>
      <c r="Z50" s="13">
        <f>+E50/MAX(E$2:E50)-1</f>
        <v>0</v>
      </c>
      <c r="AA50" s="13">
        <f>+F50/MAX(F$2:F50)-1</f>
        <v>-5.9367505430967471E-2</v>
      </c>
      <c r="AB50" s="52"/>
      <c r="AC50" s="13" t="str">
        <f t="shared" si="6"/>
        <v/>
      </c>
      <c r="AD50" s="13" t="str">
        <f t="shared" si="6"/>
        <v/>
      </c>
      <c r="AE50" s="13">
        <f t="shared" si="6"/>
        <v>-5.9411385698324355E-4</v>
      </c>
      <c r="AF50" s="13" t="str">
        <f t="shared" si="6"/>
        <v/>
      </c>
      <c r="AG50" s="13" t="str">
        <f t="shared" si="6"/>
        <v/>
      </c>
      <c r="AH50" s="52"/>
      <c r="AP50" s="38"/>
    </row>
    <row r="51" spans="1:42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1"/>
        <v>2.107714983077269E-4</v>
      </c>
      <c r="J51" s="6">
        <f t="shared" si="10"/>
        <v>-1.3583577722310494E-2</v>
      </c>
      <c r="K51" s="6">
        <f t="shared" si="10"/>
        <v>8.5898919565569297E-3</v>
      </c>
      <c r="L51" s="6">
        <f t="shared" si="10"/>
        <v>-5.4694749611117069E-3</v>
      </c>
      <c r="M51" s="6">
        <f t="shared" si="10"/>
        <v>-2.2136321441816844E-2</v>
      </c>
      <c r="N51" s="6">
        <f t="shared" si="10"/>
        <v>-1.4443397939346892E-2</v>
      </c>
      <c r="O51" s="6">
        <f t="shared" si="5"/>
        <v>-1.7990638826084831E-3</v>
      </c>
      <c r="P51" s="6"/>
      <c r="Q51" s="13">
        <f t="shared" si="2"/>
        <v>-1.3794349220618221E-2</v>
      </c>
      <c r="R51" s="13">
        <f t="shared" si="2"/>
        <v>8.3791204582492028E-3</v>
      </c>
      <c r="S51" s="13">
        <f t="shared" si="2"/>
        <v>-5.6802464594194338E-3</v>
      </c>
      <c r="T51" s="13">
        <f t="shared" si="2"/>
        <v>-2.2347092940124571E-2</v>
      </c>
      <c r="U51" s="13">
        <f t="shared" si="2"/>
        <v>-1.4654169437654619E-2</v>
      </c>
      <c r="V51" s="13"/>
      <c r="W51" s="13">
        <f>+B51/MAX(B$2:B51)-1</f>
        <v>-9.8049565336417732E-2</v>
      </c>
      <c r="X51" s="13">
        <f>+C51/MAX(C$2:C51)-1</f>
        <v>-7.1940258835012094E-2</v>
      </c>
      <c r="Y51" s="13">
        <f>+D51/MAX(D$2:D51)-1</f>
        <v>-5.8286353046658412E-2</v>
      </c>
      <c r="Z51" s="13">
        <f>+E51/MAX(E$2:E51)-1</f>
        <v>-2.1893110978907337E-2</v>
      </c>
      <c r="AA51" s="13">
        <f>+F51/MAX(F$2:F51)-1</f>
        <v>-7.2855792035466771E-2</v>
      </c>
      <c r="AB51" s="52"/>
      <c r="AC51" s="13">
        <f t="shared" si="6"/>
        <v>-1.1784513839702011E-2</v>
      </c>
      <c r="AD51" s="13" t="str">
        <f t="shared" si="6"/>
        <v/>
      </c>
      <c r="AE51" s="13">
        <f t="shared" si="6"/>
        <v>-3.670411078503224E-3</v>
      </c>
      <c r="AF51" s="13">
        <f t="shared" si="6"/>
        <v>-2.0337257559208361E-2</v>
      </c>
      <c r="AG51" s="13">
        <f t="shared" si="6"/>
        <v>-1.2644334056738409E-2</v>
      </c>
      <c r="AH51" s="52"/>
      <c r="AP51" s="38"/>
    </row>
    <row r="52" spans="1:42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1"/>
        <v>2.1153052783073889E-4</v>
      </c>
      <c r="J52" s="6">
        <f t="shared" si="10"/>
        <v>-2.4913184770041188E-2</v>
      </c>
      <c r="K52" s="6">
        <f t="shared" si="10"/>
        <v>-6.0768940601561034E-3</v>
      </c>
      <c r="L52" s="6">
        <f t="shared" si="10"/>
        <v>2.5609400579485304E-3</v>
      </c>
      <c r="M52" s="6">
        <f t="shared" si="10"/>
        <v>-4.6189215703234801E-3</v>
      </c>
      <c r="N52" s="6">
        <f t="shared" si="10"/>
        <v>-1.1903071819740901E-2</v>
      </c>
      <c r="O52" s="6">
        <f t="shared" si="5"/>
        <v>3.5947274385814149E-3</v>
      </c>
      <c r="P52" s="6"/>
      <c r="Q52" s="13">
        <f t="shared" si="2"/>
        <v>-2.5124715297871927E-2</v>
      </c>
      <c r="R52" s="13">
        <f t="shared" si="2"/>
        <v>-6.2884245879868423E-3</v>
      </c>
      <c r="S52" s="13">
        <f t="shared" si="2"/>
        <v>2.3494095301177915E-3</v>
      </c>
      <c r="T52" s="13">
        <f t="shared" si="2"/>
        <v>-4.830452098154219E-3</v>
      </c>
      <c r="U52" s="13">
        <f t="shared" si="2"/>
        <v>-1.211460234757164E-2</v>
      </c>
      <c r="V52" s="13"/>
      <c r="W52" s="13">
        <f>+B52/MAX(B$2:B52)-1</f>
        <v>-0.12024242787363248</v>
      </c>
      <c r="X52" s="13">
        <f>+C52/MAX(C$2:C52)-1</f>
        <v>-7.7562878229403442E-2</v>
      </c>
      <c r="Y52" s="13">
        <f>+D52/MAX(D$2:D52)-1</f>
        <v>-5.5871590133272253E-2</v>
      </c>
      <c r="Z52" s="13">
        <f>+E52/MAX(E$2:E52)-1</f>
        <v>-2.6400492352628535E-2</v>
      </c>
      <c r="AA52" s="13">
        <f>+F52/MAX(F$2:F52)-1</f>
        <v>-8.3826235614302913E-2</v>
      </c>
      <c r="AB52" s="52"/>
      <c r="AC52" s="13">
        <f t="shared" si="6"/>
        <v>-2.8507912208622602E-2</v>
      </c>
      <c r="AD52" s="13">
        <f t="shared" si="6"/>
        <v>-9.6716214987375183E-3</v>
      </c>
      <c r="AE52" s="13">
        <f t="shared" si="6"/>
        <v>-1.0337873806328846E-3</v>
      </c>
      <c r="AF52" s="13">
        <f t="shared" si="6"/>
        <v>-8.2136490089048941E-3</v>
      </c>
      <c r="AG52" s="13">
        <f t="shared" si="6"/>
        <v>-1.5497799258322316E-2</v>
      </c>
      <c r="AH52" s="52"/>
      <c r="AP52" s="38"/>
    </row>
    <row r="53" spans="1:42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1"/>
        <v>2.1001232533235381E-4</v>
      </c>
      <c r="J53" s="6">
        <f t="shared" si="10"/>
        <v>7.9376258370334254E-3</v>
      </c>
      <c r="K53" s="6">
        <f t="shared" si="10"/>
        <v>-9.7279469304567372E-3</v>
      </c>
      <c r="L53" s="6">
        <f t="shared" si="10"/>
        <v>-3.6683337928199083E-2</v>
      </c>
      <c r="M53" s="6">
        <f t="shared" si="10"/>
        <v>-2.0040684628752883E-2</v>
      </c>
      <c r="N53" s="6">
        <f t="shared" si="10"/>
        <v>-4.811871761208667E-3</v>
      </c>
      <c r="O53" s="6">
        <f t="shared" si="5"/>
        <v>-7.2031066416293607E-3</v>
      </c>
      <c r="P53" s="6"/>
      <c r="Q53" s="13">
        <f t="shared" si="2"/>
        <v>7.7276135117010716E-3</v>
      </c>
      <c r="R53" s="13">
        <f t="shared" si="2"/>
        <v>-9.937959255789091E-3</v>
      </c>
      <c r="S53" s="13">
        <f t="shared" si="2"/>
        <v>-3.6893350253531437E-2</v>
      </c>
      <c r="T53" s="13">
        <f t="shared" si="2"/>
        <v>-2.0250696954085236E-2</v>
      </c>
      <c r="U53" s="13">
        <f t="shared" si="2"/>
        <v>-5.0218840865410208E-3</v>
      </c>
      <c r="V53" s="13"/>
      <c r="W53" s="13">
        <f>+B53/MAX(B$2:B53)-1</f>
        <v>-0.11323145300218396</v>
      </c>
      <c r="X53" s="13">
        <f>+C53/MAX(C$2:C53)-1</f>
        <v>-8.6492792309638578E-2</v>
      </c>
      <c r="Y53" s="13">
        <f>+D53/MAX(D$2:D53)-1</f>
        <v>-8.9877827159915324E-2</v>
      </c>
      <c r="Z53" s="13">
        <f>+E53/MAX(E$2:E53)-1</f>
        <v>-4.5717879675520434E-2</v>
      </c>
      <c r="AA53" s="13">
        <f>+F53/MAX(F$2:F53)-1</f>
        <v>-8.8224156677598864E-2</v>
      </c>
      <c r="AB53" s="52"/>
      <c r="AC53" s="13" t="str">
        <f t="shared" si="6"/>
        <v/>
      </c>
      <c r="AD53" s="13">
        <f t="shared" si="6"/>
        <v>-2.5248402888273765E-3</v>
      </c>
      <c r="AE53" s="13">
        <f t="shared" si="6"/>
        <v>-2.9480231286569722E-2</v>
      </c>
      <c r="AF53" s="13">
        <f t="shared" si="6"/>
        <v>-1.2837577987123521E-2</v>
      </c>
      <c r="AG53" s="13" t="str">
        <f t="shared" si="6"/>
        <v/>
      </c>
      <c r="AH53" s="52"/>
      <c r="AP53" s="38"/>
    </row>
    <row r="54" spans="1:42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1"/>
        <v>2.1001232533235381E-4</v>
      </c>
      <c r="J54" s="6">
        <f t="shared" si="10"/>
        <v>1.2230145391432332E-2</v>
      </c>
      <c r="K54" s="6">
        <f t="shared" si="10"/>
        <v>1.6339294527615768E-2</v>
      </c>
      <c r="L54" s="6">
        <f t="shared" si="10"/>
        <v>1.26689866257148E-2</v>
      </c>
      <c r="M54" s="6">
        <f t="shared" si="10"/>
        <v>2.9257291384540907E-2</v>
      </c>
      <c r="N54" s="6">
        <f t="shared" si="10"/>
        <v>1.1938544947970331E-2</v>
      </c>
      <c r="O54" s="6">
        <f t="shared" si="5"/>
        <v>0</v>
      </c>
      <c r="P54" s="6"/>
      <c r="Q54" s="13">
        <f t="shared" ref="Q54:U104" si="11">+J54-$H54</f>
        <v>1.2020133066099978E-2</v>
      </c>
      <c r="R54" s="13">
        <f t="shared" si="11"/>
        <v>1.6129282202283414E-2</v>
      </c>
      <c r="S54" s="13">
        <f t="shared" si="11"/>
        <v>1.2458974300382446E-2</v>
      </c>
      <c r="T54" s="13">
        <f t="shared" si="11"/>
        <v>2.9047279059208553E-2</v>
      </c>
      <c r="U54" s="13">
        <f t="shared" si="11"/>
        <v>1.1728532622637977E-2</v>
      </c>
      <c r="V54" s="13"/>
      <c r="W54" s="13">
        <f>+B54/MAX(B$2:B54)-1</f>
        <v>-0.1023195536996313</v>
      </c>
      <c r="X54" s="13">
        <f>+C54/MAX(C$2:C54)-1</f>
        <v>-7.1444121454417253E-2</v>
      </c>
      <c r="Y54" s="13">
        <f>+D54/MAX(D$2:D54)-1</f>
        <v>-7.8274153332008267E-2</v>
      </c>
      <c r="Z54" s="13">
        <f>+E54/MAX(E$2:E54)-1</f>
        <v>-1.7385729605186362E-2</v>
      </c>
      <c r="AA54" s="13">
        <f>+F54/MAX(F$2:F54)-1</f>
        <v>-7.7273643254638924E-2</v>
      </c>
      <c r="AB54" s="52"/>
      <c r="AC54" s="13" t="str">
        <f t="shared" si="6"/>
        <v/>
      </c>
      <c r="AD54" s="13" t="str">
        <f t="shared" si="6"/>
        <v/>
      </c>
      <c r="AE54" s="13" t="str">
        <f t="shared" si="6"/>
        <v/>
      </c>
      <c r="AF54" s="13" t="str">
        <f t="shared" si="6"/>
        <v/>
      </c>
      <c r="AG54" s="13" t="str">
        <f t="shared" si="6"/>
        <v/>
      </c>
      <c r="AH54" s="52"/>
      <c r="AP54" s="38"/>
    </row>
    <row r="55" spans="1:42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1"/>
        <v>2.107714983077269E-4</v>
      </c>
      <c r="J55" s="6">
        <f t="shared" si="10"/>
        <v>2.8148308012558494E-3</v>
      </c>
      <c r="K55" s="6">
        <f t="shared" si="10"/>
        <v>6.0369707476601144E-3</v>
      </c>
      <c r="L55" s="6">
        <f t="shared" si="10"/>
        <v>1.1863603111821981E-2</v>
      </c>
      <c r="M55" s="6">
        <f t="shared" si="10"/>
        <v>9.1325041752728462E-3</v>
      </c>
      <c r="N55" s="6">
        <f t="shared" si="10"/>
        <v>6.4540892074659807E-3</v>
      </c>
      <c r="O55" s="6">
        <f t="shared" si="5"/>
        <v>3.6083792030479219E-3</v>
      </c>
      <c r="P55" s="6"/>
      <c r="Q55" s="13">
        <f t="shared" si="11"/>
        <v>2.6040593029481225E-3</v>
      </c>
      <c r="R55" s="13">
        <f t="shared" si="11"/>
        <v>5.8261992493523875E-3</v>
      </c>
      <c r="S55" s="13">
        <f t="shared" si="11"/>
        <v>1.1652831613514254E-2</v>
      </c>
      <c r="T55" s="13">
        <f t="shared" si="11"/>
        <v>8.9217326769651193E-3</v>
      </c>
      <c r="U55" s="13">
        <f t="shared" si="11"/>
        <v>6.2433177091582538E-3</v>
      </c>
      <c r="V55" s="13"/>
      <c r="W55" s="13">
        <f>+B55/MAX(B$2:B55)-1</f>
        <v>-9.9789175507201899E-2</v>
      </c>
      <c r="X55" s="13">
        <f>+C55/MAX(C$2:C55)-1</f>
        <v>-6.5821502060025794E-2</v>
      </c>
      <c r="Y55" s="13">
        <f>+D55/MAX(D$2:D55)-1</f>
        <v>-6.7274042250525246E-2</v>
      </c>
      <c r="Z55" s="13">
        <f>+E55/MAX(E$2:E55)-1</f>
        <v>-8.3708993455912095E-3</v>
      </c>
      <c r="AA55" s="13">
        <f>+F55/MAX(F$2:F55)-1</f>
        <v>-7.1299025415377693E-2</v>
      </c>
      <c r="AB55" s="52"/>
      <c r="AC55" s="13">
        <f t="shared" si="6"/>
        <v>-7.9354840179207253E-4</v>
      </c>
      <c r="AD55" s="13" t="str">
        <f t="shared" si="6"/>
        <v/>
      </c>
      <c r="AE55" s="13" t="str">
        <f t="shared" si="6"/>
        <v/>
      </c>
      <c r="AF55" s="13" t="str">
        <f t="shared" si="6"/>
        <v/>
      </c>
      <c r="AG55" s="13" t="str">
        <f t="shared" si="6"/>
        <v/>
      </c>
      <c r="AH55" s="52"/>
      <c r="AP55" s="38"/>
    </row>
    <row r="56" spans="1:42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1"/>
        <v>2.1190998881470691E-4</v>
      </c>
      <c r="J56" s="6">
        <f t="shared" si="10"/>
        <v>1.8565290897534802E-2</v>
      </c>
      <c r="K56" s="6">
        <f t="shared" si="10"/>
        <v>-8.8556819319023528E-4</v>
      </c>
      <c r="L56" s="6">
        <f t="shared" si="10"/>
        <v>-8.6331287395108823E-4</v>
      </c>
      <c r="M56" s="6">
        <f t="shared" si="10"/>
        <v>1.1620614661695866E-2</v>
      </c>
      <c r="N56" s="6">
        <f t="shared" si="10"/>
        <v>1.0451180679737281E-2</v>
      </c>
      <c r="O56" s="6">
        <f t="shared" si="5"/>
        <v>5.3870031922159962E-3</v>
      </c>
      <c r="P56" s="6"/>
      <c r="Q56" s="13">
        <f t="shared" si="11"/>
        <v>1.8353380908720095E-2</v>
      </c>
      <c r="R56" s="13">
        <f t="shared" si="11"/>
        <v>-1.0974781820049422E-3</v>
      </c>
      <c r="S56" s="13">
        <f t="shared" si="11"/>
        <v>-1.0752228627657952E-3</v>
      </c>
      <c r="T56" s="13">
        <f t="shared" si="11"/>
        <v>1.1408704672881159E-2</v>
      </c>
      <c r="U56" s="13">
        <f t="shared" si="11"/>
        <v>1.0239270690922574E-2</v>
      </c>
      <c r="V56" s="13"/>
      <c r="W56" s="13">
        <f>+B56/MAX(B$2:B56)-1</f>
        <v>-8.2920397304913074E-2</v>
      </c>
      <c r="X56" s="13">
        <f>+C56/MAX(C$2:C56)-1</f>
        <v>-6.6648414626788943E-2</v>
      </c>
      <c r="Y56" s="13">
        <f>+D56/MAX(D$2:D56)-1</f>
        <v>-6.8078929093141394E-2</v>
      </c>
      <c r="Z56" s="13">
        <f>+E56/MAX(E$2:E56)-1</f>
        <v>0</v>
      </c>
      <c r="AA56" s="13">
        <f>+F56/MAX(F$2:F56)-1</f>
        <v>-6.1542106883211711E-2</v>
      </c>
      <c r="AB56" s="52"/>
      <c r="AC56" s="13" t="str">
        <f t="shared" si="6"/>
        <v/>
      </c>
      <c r="AD56" s="13">
        <f t="shared" si="6"/>
        <v>-6.2725713854062315E-3</v>
      </c>
      <c r="AE56" s="13">
        <f t="shared" si="6"/>
        <v>-6.2503160661670845E-3</v>
      </c>
      <c r="AF56" s="13" t="str">
        <f t="shared" si="6"/>
        <v/>
      </c>
      <c r="AG56" s="13" t="str">
        <f t="shared" si="6"/>
        <v/>
      </c>
      <c r="AH56" s="52"/>
      <c r="AP56" s="38"/>
    </row>
    <row r="57" spans="1:42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1"/>
        <v>2.0925300885044074E-4</v>
      </c>
      <c r="J57" s="6">
        <f t="shared" si="10"/>
        <v>2.0482069684558096E-2</v>
      </c>
      <c r="K57" s="6">
        <f t="shared" si="10"/>
        <v>1.1450857122828546E-2</v>
      </c>
      <c r="L57" s="6">
        <f t="shared" si="10"/>
        <v>1.7691845912209535E-2</v>
      </c>
      <c r="M57" s="6">
        <f t="shared" si="10"/>
        <v>9.581644883623272E-3</v>
      </c>
      <c r="N57" s="6">
        <f t="shared" si="10"/>
        <v>1.8682956430735833E-2</v>
      </c>
      <c r="O57" s="6">
        <f t="shared" si="5"/>
        <v>-1.2617514969468103E-2</v>
      </c>
      <c r="P57" s="6"/>
      <c r="Q57" s="13">
        <f t="shared" si="11"/>
        <v>2.0272816675707656E-2</v>
      </c>
      <c r="R57" s="13">
        <f t="shared" si="11"/>
        <v>1.1241604113978105E-2</v>
      </c>
      <c r="S57" s="13">
        <f t="shared" si="11"/>
        <v>1.7482592903359094E-2</v>
      </c>
      <c r="T57" s="13">
        <f t="shared" si="11"/>
        <v>9.3723918747728313E-3</v>
      </c>
      <c r="U57" s="13">
        <f t="shared" si="11"/>
        <v>1.8473703421885392E-2</v>
      </c>
      <c r="V57" s="13"/>
      <c r="W57" s="13">
        <f>+B57/MAX(B$2:B57)-1</f>
        <v>-6.3943024476565857E-2</v>
      </c>
      <c r="X57" s="13">
        <f>+C57/MAX(C$2:C57)-1</f>
        <v>-5.5899313218601088E-2</v>
      </c>
      <c r="Y57" s="13">
        <f>+D57/MAX(D$2:D57)-1</f>
        <v>-5.1444814884421763E-2</v>
      </c>
      <c r="Z57" s="13">
        <f>+E57/MAX(E$2:E57)-1</f>
        <v>0</v>
      </c>
      <c r="AA57" s="13">
        <f>+F57/MAX(F$2:F57)-1</f>
        <v>-4.3844128465356014E-2</v>
      </c>
      <c r="AB57" s="52"/>
      <c r="AC57" s="13" t="str">
        <f t="shared" si="6"/>
        <v/>
      </c>
      <c r="AD57" s="13" t="str">
        <f t="shared" si="6"/>
        <v/>
      </c>
      <c r="AE57" s="13" t="str">
        <f t="shared" si="6"/>
        <v/>
      </c>
      <c r="AF57" s="13" t="str">
        <f t="shared" si="6"/>
        <v/>
      </c>
      <c r="AG57" s="13" t="str">
        <f t="shared" si="6"/>
        <v/>
      </c>
      <c r="AH57" s="52"/>
      <c r="AP57" s="38"/>
    </row>
    <row r="58" spans="1:42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1"/>
        <v>2.0963268503315646E-4</v>
      </c>
      <c r="J58" s="6">
        <f t="shared" si="10"/>
        <v>-5.1946810275440517E-3</v>
      </c>
      <c r="K58" s="6">
        <f t="shared" si="10"/>
        <v>-6.1495523287532295E-3</v>
      </c>
      <c r="L58" s="6">
        <f t="shared" si="10"/>
        <v>1.1110587455196269E-2</v>
      </c>
      <c r="M58" s="6">
        <f t="shared" si="10"/>
        <v>9.4907076045383631E-3</v>
      </c>
      <c r="N58" s="6">
        <f t="shared" si="10"/>
        <v>9.3498696374369732E-3</v>
      </c>
      <c r="O58" s="6">
        <f t="shared" si="5"/>
        <v>1.8127918534072056E-3</v>
      </c>
      <c r="P58" s="6"/>
      <c r="Q58" s="13">
        <f t="shared" si="11"/>
        <v>-5.4043137125772082E-3</v>
      </c>
      <c r="R58" s="13">
        <f t="shared" si="11"/>
        <v>-6.3591850137863859E-3</v>
      </c>
      <c r="S58" s="13">
        <f t="shared" si="11"/>
        <v>1.0900954770163113E-2</v>
      </c>
      <c r="T58" s="13">
        <f t="shared" si="11"/>
        <v>9.2810749195052066E-3</v>
      </c>
      <c r="U58" s="13">
        <f t="shared" si="11"/>
        <v>9.1402369524038168E-3</v>
      </c>
      <c r="V58" s="13"/>
      <c r="W58" s="13">
        <f>+B58/MAX(B$2:B58)-1</f>
        <v>-6.879293411511278E-2</v>
      </c>
      <c r="X58" s="13">
        <f>+C58/MAX(C$2:C58)-1</f>
        <v>-6.1687294807418858E-2</v>
      </c>
      <c r="Y58" s="13">
        <f>+D58/MAX(D$2:D58)-1</f>
        <v>-4.0847044838708824E-2</v>
      </c>
      <c r="Z58" s="13">
        <f>+E58/MAX(E$2:E58)-1</f>
        <v>0</v>
      </c>
      <c r="AA58" s="13">
        <f>+F58/MAX(F$2:F58)-1</f>
        <v>-3.4862271550588297E-2</v>
      </c>
      <c r="AB58" s="52"/>
      <c r="AC58" s="13">
        <f t="shared" si="6"/>
        <v>-7.0074728809512571E-3</v>
      </c>
      <c r="AD58" s="13">
        <f t="shared" si="6"/>
        <v>-7.9623441821604357E-3</v>
      </c>
      <c r="AE58" s="13" t="str">
        <f t="shared" si="6"/>
        <v/>
      </c>
      <c r="AF58" s="13" t="str">
        <f t="shared" si="6"/>
        <v/>
      </c>
      <c r="AG58" s="13" t="str">
        <f t="shared" si="6"/>
        <v/>
      </c>
      <c r="AH58" s="52"/>
      <c r="AP58" s="38"/>
    </row>
    <row r="59" spans="1:42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1"/>
        <v>2.0621430676981412E-4</v>
      </c>
      <c r="J59" s="6">
        <f t="shared" si="10"/>
        <v>1.44996022601437E-2</v>
      </c>
      <c r="K59" s="6">
        <f t="shared" si="10"/>
        <v>4.0454488376433064E-3</v>
      </c>
      <c r="L59" s="6">
        <f t="shared" si="10"/>
        <v>7.5241008178584595E-3</v>
      </c>
      <c r="M59" s="6">
        <f t="shared" si="10"/>
        <v>-8.2201612246451568E-3</v>
      </c>
      <c r="N59" s="6">
        <f t="shared" si="10"/>
        <v>1.7514263468030517E-3</v>
      </c>
      <c r="O59" s="6">
        <f t="shared" si="5"/>
        <v>-1.6440928180425498E-2</v>
      </c>
      <c r="P59" s="6"/>
      <c r="Q59" s="13">
        <f t="shared" si="11"/>
        <v>1.4293387953373886E-2</v>
      </c>
      <c r="R59" s="13">
        <f t="shared" si="11"/>
        <v>3.8392345308734923E-3</v>
      </c>
      <c r="S59" s="13">
        <f t="shared" si="11"/>
        <v>7.3178865110886454E-3</v>
      </c>
      <c r="T59" s="13">
        <f t="shared" si="11"/>
        <v>-8.4263755314149709E-3</v>
      </c>
      <c r="U59" s="13">
        <f t="shared" si="11"/>
        <v>1.5452120400332376E-3</v>
      </c>
      <c r="V59" s="13"/>
      <c r="W59" s="13">
        <f>+B59/MAX(B$2:B59)-1</f>
        <v>-5.5192439434333163E-2</v>
      </c>
      <c r="X59" s="13">
        <f>+C59/MAX(C$2:C59)-1</f>
        <v>-5.7883710349033612E-2</v>
      </c>
      <c r="Y59" s="13">
        <f>+D59/MAX(D$2:D59)-1</f>
        <v>-3.3603063255164267E-2</v>
      </c>
      <c r="Z59" s="13">
        <f>+E59/MAX(E$2:E59)-1</f>
        <v>-8.1864680835892489E-3</v>
      </c>
      <c r="AA59" s="13">
        <f>+F59/MAX(F$2:F59)-1</f>
        <v>-3.3170422762895502E-2</v>
      </c>
      <c r="AB59" s="52"/>
      <c r="AC59" s="13" t="str">
        <f t="shared" si="6"/>
        <v/>
      </c>
      <c r="AD59" s="13" t="str">
        <f t="shared" si="6"/>
        <v/>
      </c>
      <c r="AE59" s="13" t="str">
        <f t="shared" si="6"/>
        <v/>
      </c>
      <c r="AF59" s="13" t="str">
        <f t="shared" si="6"/>
        <v/>
      </c>
      <c r="AG59" s="13" t="str">
        <f t="shared" si="6"/>
        <v/>
      </c>
      <c r="AH59" s="52"/>
      <c r="AP59" s="38"/>
    </row>
    <row r="60" spans="1:42" x14ac:dyDescent="0.2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1"/>
        <v>2.0773394514983501E-4</v>
      </c>
      <c r="J60" s="6">
        <f t="shared" si="10"/>
        <v>1.4347282613426004E-2</v>
      </c>
      <c r="K60" s="6">
        <f t="shared" si="10"/>
        <v>3.6793121473435051E-3</v>
      </c>
      <c r="L60" s="6">
        <f t="shared" si="10"/>
        <v>-4.8618261899616047E-4</v>
      </c>
      <c r="M60" s="6">
        <f t="shared" si="10"/>
        <v>5.6981618175608508E-3</v>
      </c>
      <c r="N60" s="6">
        <f t="shared" si="10"/>
        <v>2.8361156932399829E-3</v>
      </c>
      <c r="O60" s="6">
        <f t="shared" si="5"/>
        <v>7.3421989327175866E-3</v>
      </c>
      <c r="P60" s="6"/>
      <c r="Q60" s="13">
        <f t="shared" si="11"/>
        <v>1.4139548668276169E-2</v>
      </c>
      <c r="R60" s="13">
        <f t="shared" si="11"/>
        <v>3.4715782021936701E-3</v>
      </c>
      <c r="S60" s="13">
        <f t="shared" si="11"/>
        <v>-6.9391656414599548E-4</v>
      </c>
      <c r="T60" s="13">
        <f t="shared" si="11"/>
        <v>5.4904278724110158E-3</v>
      </c>
      <c r="U60" s="13">
        <f t="shared" si="11"/>
        <v>2.6283817480901479E-3</v>
      </c>
      <c r="V60" s="13"/>
      <c r="W60" s="13">
        <f>+B60/MAX(B$2:B60)-1</f>
        <v>-4.1539309894583099E-2</v>
      </c>
      <c r="X60" s="13">
        <f>+C60/MAX(C$2:C60)-1</f>
        <v>-5.4410985739009265E-2</v>
      </c>
      <c r="Y60" s="13">
        <f>+D60/MAX(D$2:D60)-1</f>
        <v>-3.4072794452036259E-2</v>
      </c>
      <c r="Z60" s="13">
        <f>+E60/MAX(E$2:E60)-1</f>
        <v>-2.5188218384164518E-3</v>
      </c>
      <c r="AA60" s="13">
        <f>+F60/MAX(F$2:F60)-1</f>
        <v>-3.0424490175540497E-2</v>
      </c>
      <c r="AB60" s="52"/>
      <c r="AC60" s="13" t="str">
        <f t="shared" si="6"/>
        <v/>
      </c>
      <c r="AD60" s="13">
        <f t="shared" si="6"/>
        <v>-3.6628867853740815E-3</v>
      </c>
      <c r="AE60" s="13">
        <f t="shared" si="6"/>
        <v>-7.8283815517137464E-3</v>
      </c>
      <c r="AF60" s="13">
        <f t="shared" si="6"/>
        <v>-1.6440371151567358E-3</v>
      </c>
      <c r="AG60" s="13">
        <f t="shared" si="6"/>
        <v>-4.5060832394776037E-3</v>
      </c>
      <c r="AH60" s="52"/>
      <c r="AP60" s="38"/>
    </row>
    <row r="61" spans="1:42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1"/>
        <v>2.0773394514983501E-4</v>
      </c>
      <c r="J61" s="6">
        <f t="shared" si="10"/>
        <v>5.8675683603629037E-3</v>
      </c>
      <c r="K61" s="6">
        <f t="shared" si="10"/>
        <v>-1.5752086562333767E-3</v>
      </c>
      <c r="L61" s="6">
        <f t="shared" si="10"/>
        <v>4.9183358399554396E-3</v>
      </c>
      <c r="M61" s="6">
        <f t="shared" si="10"/>
        <v>-1.2067567354175589E-2</v>
      </c>
      <c r="N61" s="6">
        <f t="shared" si="10"/>
        <v>1.0044332873557552E-3</v>
      </c>
      <c r="O61" s="6">
        <f t="shared" si="5"/>
        <v>0</v>
      </c>
      <c r="P61" s="6"/>
      <c r="Q61" s="13">
        <f t="shared" si="11"/>
        <v>5.6598344152130687E-3</v>
      </c>
      <c r="R61" s="13">
        <f t="shared" si="11"/>
        <v>-1.7829426013832117E-3</v>
      </c>
      <c r="S61" s="13">
        <f t="shared" si="11"/>
        <v>4.7106018948056046E-3</v>
      </c>
      <c r="T61" s="13">
        <f t="shared" si="11"/>
        <v>-1.2275301299325424E-2</v>
      </c>
      <c r="U61" s="13">
        <f t="shared" si="11"/>
        <v>7.9669934220592017E-4</v>
      </c>
      <c r="V61" s="13"/>
      <c r="W61" s="13">
        <f>+B61/MAX(B$2:B61)-1</f>
        <v>-3.5898944843277492E-2</v>
      </c>
      <c r="X61" s="13">
        <f>+C61/MAX(C$2:C61)-1</f>
        <v>-5.5899313218601088E-2</v>
      </c>
      <c r="Y61" s="13">
        <f>+D61/MAX(D$2:D61)-1</f>
        <v>-2.9310337978346812E-2</v>
      </c>
      <c r="Z61" s="13">
        <f>+E61/MAX(E$2:E61)-1</f>
        <v>-1.4483654727957318E-2</v>
      </c>
      <c r="AA61" s="13">
        <f>+F61/MAX(F$2:F61)-1</f>
        <v>-2.945012699938232E-2</v>
      </c>
      <c r="AB61" s="52"/>
      <c r="AC61" s="13" t="str">
        <f t="shared" si="6"/>
        <v/>
      </c>
      <c r="AD61" s="13">
        <f t="shared" si="6"/>
        <v>-1.5752086562333767E-3</v>
      </c>
      <c r="AE61" s="13" t="str">
        <f t="shared" si="6"/>
        <v/>
      </c>
      <c r="AF61" s="13">
        <f t="shared" si="6"/>
        <v>-1.2067567354175589E-2</v>
      </c>
      <c r="AG61" s="13" t="str">
        <f t="shared" si="6"/>
        <v/>
      </c>
      <c r="AH61" s="52"/>
      <c r="AP61" s="38"/>
    </row>
    <row r="62" spans="1:42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1"/>
        <v>2.0811376493412581E-4</v>
      </c>
      <c r="J62" s="6">
        <f t="shared" si="10"/>
        <v>-2.6278835003809412E-3</v>
      </c>
      <c r="K62" s="6">
        <f t="shared" si="10"/>
        <v>-7.5604337307585206E-3</v>
      </c>
      <c r="L62" s="6">
        <f t="shared" si="10"/>
        <v>-2.9757978020443572E-3</v>
      </c>
      <c r="M62" s="6">
        <f t="shared" si="10"/>
        <v>-1.2787371052778911E-3</v>
      </c>
      <c r="N62" s="6">
        <f t="shared" si="10"/>
        <v>-8.1167621824379983E-3</v>
      </c>
      <c r="O62" s="6">
        <f t="shared" si="5"/>
        <v>1.8267258936371892E-3</v>
      </c>
      <c r="P62" s="6"/>
      <c r="Q62" s="13">
        <f t="shared" si="11"/>
        <v>-2.835997265315067E-3</v>
      </c>
      <c r="R62" s="13">
        <f t="shared" si="11"/>
        <v>-7.7685474956926464E-3</v>
      </c>
      <c r="S62" s="13">
        <f t="shared" si="11"/>
        <v>-3.183911566978483E-3</v>
      </c>
      <c r="T62" s="13">
        <f t="shared" si="11"/>
        <v>-1.4868508702120169E-3</v>
      </c>
      <c r="U62" s="13">
        <f t="shared" si="11"/>
        <v>-8.3248759473721241E-3</v>
      </c>
      <c r="V62" s="13"/>
      <c r="W62" s="13">
        <f>+B62/MAX(B$2:B62)-1</f>
        <v>-3.8429164082035894E-2</v>
      </c>
      <c r="X62" s="13">
        <f>+C62/MAX(C$2:C62)-1</f>
        <v>-6.3010209295268682E-2</v>
      </c>
      <c r="Y62" s="13">
        <f>+D62/MAX(D$2:D62)-1</f>
        <v>-3.2194620491826642E-2</v>
      </c>
      <c r="Z62" s="13">
        <f>+E62/MAX(E$2:E62)-1</f>
        <v>-1.5743065647165544E-2</v>
      </c>
      <c r="AA62" s="13">
        <f>+F62/MAX(F$2:F62)-1</f>
        <v>-3.7295965029219835E-2</v>
      </c>
      <c r="AB62" s="52"/>
      <c r="AC62" s="13">
        <f t="shared" si="6"/>
        <v>-4.4546093940181306E-3</v>
      </c>
      <c r="AD62" s="13">
        <f t="shared" si="6"/>
        <v>-9.3871596243957096E-3</v>
      </c>
      <c r="AE62" s="13">
        <f t="shared" si="6"/>
        <v>-4.8025236956815466E-3</v>
      </c>
      <c r="AF62" s="13">
        <f t="shared" si="6"/>
        <v>-3.1054629989150802E-3</v>
      </c>
      <c r="AG62" s="13">
        <f t="shared" si="6"/>
        <v>-9.9434880760751881E-3</v>
      </c>
      <c r="AH62" s="52"/>
      <c r="AP62" s="38"/>
    </row>
    <row r="63" spans="1:42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1"/>
        <v>2.1001232533235381E-4</v>
      </c>
      <c r="J63" s="6">
        <f t="shared" si="10"/>
        <v>2.2954556969230551E-2</v>
      </c>
      <c r="K63" s="6">
        <f t="shared" si="10"/>
        <v>1.0583701900695479E-3</v>
      </c>
      <c r="L63" s="6">
        <f t="shared" si="10"/>
        <v>1.4722279452399911E-2</v>
      </c>
      <c r="M63" s="6">
        <f t="shared" si="10"/>
        <v>6.3967350467703291E-4</v>
      </c>
      <c r="N63" s="6">
        <f t="shared" si="10"/>
        <v>1.5495728650985885E-2</v>
      </c>
      <c r="O63" s="6">
        <f t="shared" si="5"/>
        <v>9.0813440748678219E-3</v>
      </c>
      <c r="P63" s="6"/>
      <c r="Q63" s="13">
        <f t="shared" si="11"/>
        <v>2.2744544643898197E-2</v>
      </c>
      <c r="R63" s="13">
        <f t="shared" si="11"/>
        <v>8.4835786473719406E-4</v>
      </c>
      <c r="S63" s="13">
        <f t="shared" si="11"/>
        <v>1.4512267127067557E-2</v>
      </c>
      <c r="T63" s="13">
        <f t="shared" si="11"/>
        <v>4.296611793446791E-4</v>
      </c>
      <c r="U63" s="13">
        <f t="shared" si="11"/>
        <v>1.5285716325653531E-2</v>
      </c>
      <c r="V63" s="13"/>
      <c r="W63" s="13">
        <f>+B63/MAX(B$2:B63)-1</f>
        <v>-1.6101450548681062E-2</v>
      </c>
      <c r="X63" s="13">
        <f>+C63/MAX(C$2:C63)-1</f>
        <v>-6.201800226383325E-2</v>
      </c>
      <c r="Y63" s="13">
        <f>+D63/MAX(D$2:D63)-1</f>
        <v>-1.7840918893548774E-2</v>
      </c>
      <c r="Z63" s="13">
        <f>+E63/MAX(E$2:E63)-1</f>
        <v>-1.5113261151316171E-2</v>
      </c>
      <c r="AA63" s="13">
        <f>+F63/MAX(F$2:F63)-1</f>
        <v>-2.2261984113451483E-2</v>
      </c>
      <c r="AB63" s="52"/>
      <c r="AC63" s="13" t="str">
        <f t="shared" si="6"/>
        <v/>
      </c>
      <c r="AD63" s="13">
        <f t="shared" si="6"/>
        <v>-8.0229738847982738E-3</v>
      </c>
      <c r="AE63" s="13" t="str">
        <f t="shared" si="6"/>
        <v/>
      </c>
      <c r="AF63" s="13">
        <f t="shared" si="6"/>
        <v>-8.4416705701907888E-3</v>
      </c>
      <c r="AG63" s="13" t="str">
        <f t="shared" si="6"/>
        <v/>
      </c>
      <c r="AH63" s="52"/>
      <c r="AP63" s="38"/>
    </row>
    <row r="64" spans="1:42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1"/>
        <v>2.0963268503315646E-4</v>
      </c>
      <c r="J64" s="6">
        <f t="shared" si="10"/>
        <v>-8.6207243473615386E-3</v>
      </c>
      <c r="K64" s="6">
        <f t="shared" si="10"/>
        <v>3.6955712633663846E-3</v>
      </c>
      <c r="L64" s="6">
        <f t="shared" si="10"/>
        <v>-4.4488788474790633E-3</v>
      </c>
      <c r="M64" s="6">
        <f t="shared" si="10"/>
        <v>-3.8437221263010121E-3</v>
      </c>
      <c r="N64" s="6">
        <f t="shared" si="10"/>
        <v>-8.3609108519786131E-4</v>
      </c>
      <c r="O64" s="6">
        <f t="shared" si="5"/>
        <v>-1.8093407207971416E-3</v>
      </c>
      <c r="P64" s="6"/>
      <c r="Q64" s="13">
        <f t="shared" si="11"/>
        <v>-8.830357032394695E-3</v>
      </c>
      <c r="R64" s="13">
        <f t="shared" si="11"/>
        <v>3.4859385783332282E-3</v>
      </c>
      <c r="S64" s="13">
        <f t="shared" si="11"/>
        <v>-4.6585115325122198E-3</v>
      </c>
      <c r="T64" s="13">
        <f t="shared" si="11"/>
        <v>-4.0533548113341686E-3</v>
      </c>
      <c r="U64" s="13">
        <f t="shared" si="11"/>
        <v>-1.0457237702310178E-3</v>
      </c>
      <c r="V64" s="13"/>
      <c r="W64" s="13">
        <f>+B64/MAX(B$2:B64)-1</f>
        <v>-2.4546913422248351E-2</v>
      </c>
      <c r="X64" s="13">
        <f>+C64/MAX(C$2:C64)-1</f>
        <v>-5.8545209924054764E-2</v>
      </c>
      <c r="Y64" s="13">
        <f>+D64/MAX(D$2:D64)-1</f>
        <v>-2.2200720349151659E-2</v>
      </c>
      <c r="Z64" s="13">
        <f>+E64/MAX(E$2:E64)-1</f>
        <v>-1.8891625957267899E-2</v>
      </c>
      <c r="AA64" s="13">
        <f>+F64/MAX(F$2:F64)-1</f>
        <v>-2.3079120504365891E-2</v>
      </c>
      <c r="AB64" s="52"/>
      <c r="AC64" s="13">
        <f t="shared" si="6"/>
        <v>-6.8113836265643966E-3</v>
      </c>
      <c r="AD64" s="13" t="str">
        <f t="shared" si="6"/>
        <v/>
      </c>
      <c r="AE64" s="13">
        <f t="shared" si="6"/>
        <v>-2.6395381266819218E-3</v>
      </c>
      <c r="AF64" s="13">
        <f t="shared" si="6"/>
        <v>-2.0343814055038705E-3</v>
      </c>
      <c r="AG64" s="13" t="str">
        <f t="shared" si="6"/>
        <v/>
      </c>
      <c r="AH64" s="52"/>
      <c r="AP64" s="38"/>
    </row>
    <row r="65" spans="1:42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1"/>
        <v>2.0925300885044074E-4</v>
      </c>
      <c r="J65" s="6">
        <f t="shared" si="10"/>
        <v>1.4184635374476782E-2</v>
      </c>
      <c r="K65" s="6">
        <f t="shared" si="10"/>
        <v>2.981612142296002E-3</v>
      </c>
      <c r="L65" s="6">
        <f t="shared" si="10"/>
        <v>1.8082265985749042E-2</v>
      </c>
      <c r="M65" s="6">
        <f t="shared" si="10"/>
        <v>3.2040486216239152E-3</v>
      </c>
      <c r="N65" s="6">
        <f t="shared" si="10"/>
        <v>1.8895282757298078E-2</v>
      </c>
      <c r="O65" s="6">
        <f t="shared" si="5"/>
        <v>-1.8127918534071839E-3</v>
      </c>
      <c r="P65" s="6"/>
      <c r="Q65" s="13">
        <f t="shared" si="11"/>
        <v>1.3975382365626341E-2</v>
      </c>
      <c r="R65" s="13">
        <f t="shared" si="11"/>
        <v>2.7723591334455613E-3</v>
      </c>
      <c r="S65" s="13">
        <f t="shared" si="11"/>
        <v>1.7873012976898601E-2</v>
      </c>
      <c r="T65" s="13">
        <f t="shared" si="11"/>
        <v>2.9947956127734745E-3</v>
      </c>
      <c r="U65" s="13">
        <f t="shared" si="11"/>
        <v>1.8686029748447637E-2</v>
      </c>
      <c r="V65" s="13"/>
      <c r="W65" s="13">
        <f>+B65/MAX(B$2:B65)-1</f>
        <v>-1.0611868949819359E-2</v>
      </c>
      <c r="X65" s="13">
        <f>+C65/MAX(C$2:C65)-1</f>
        <v>-5.5733967956613117E-2</v>
      </c>
      <c r="Y65" s="13">
        <f>+D65/MAX(D$2:D65)-1</f>
        <v>-4.3590711054318776E-3</v>
      </c>
      <c r="Z65" s="13">
        <f>+E65/MAX(E$2:E65)-1</f>
        <v>-1.5743065647165544E-2</v>
      </c>
      <c r="AA65" s="13">
        <f>+F65/MAX(F$2:F65)-1</f>
        <v>-4.4444247603400155E-3</v>
      </c>
      <c r="AB65" s="52"/>
      <c r="AC65" s="13" t="str">
        <f t="shared" si="6"/>
        <v/>
      </c>
      <c r="AD65" s="13" t="str">
        <f t="shared" si="6"/>
        <v/>
      </c>
      <c r="AE65" s="13" t="str">
        <f t="shared" si="6"/>
        <v/>
      </c>
      <c r="AF65" s="13" t="str">
        <f t="shared" si="6"/>
        <v/>
      </c>
      <c r="AG65" s="13" t="str">
        <f t="shared" si="6"/>
        <v/>
      </c>
      <c r="AH65" s="52"/>
      <c r="AP65" s="38"/>
    </row>
    <row r="66" spans="1:42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1"/>
        <v>2.043139499885438E-4</v>
      </c>
      <c r="J66" s="6">
        <f t="shared" si="10"/>
        <v>3.0363308776654089E-3</v>
      </c>
      <c r="K66" s="6">
        <f t="shared" si="10"/>
        <v>1.9246372583412658E-3</v>
      </c>
      <c r="L66" s="6">
        <f t="shared" si="10"/>
        <v>8.7197537313942614E-3</v>
      </c>
      <c r="M66" s="6">
        <f t="shared" si="10"/>
        <v>8.2829440398884853E-3</v>
      </c>
      <c r="N66" s="6">
        <f t="shared" si="10"/>
        <v>1.5958076771483444E-3</v>
      </c>
      <c r="O66" s="6">
        <f t="shared" si="5"/>
        <v>-2.3886307105055279E-2</v>
      </c>
      <c r="P66" s="6"/>
      <c r="Q66" s="13">
        <f t="shared" si="11"/>
        <v>2.8320169276768651E-3</v>
      </c>
      <c r="R66" s="13">
        <f t="shared" si="11"/>
        <v>1.720323308352722E-3</v>
      </c>
      <c r="S66" s="13">
        <f t="shared" si="11"/>
        <v>8.5154397814057176E-3</v>
      </c>
      <c r="T66" s="13">
        <f t="shared" si="11"/>
        <v>8.0786300898999415E-3</v>
      </c>
      <c r="U66" s="13">
        <f t="shared" si="11"/>
        <v>1.3914937271598006E-3</v>
      </c>
      <c r="V66" s="13"/>
      <c r="W66" s="13">
        <f>+B66/MAX(B$2:B66)-1</f>
        <v>-7.6031938624724349E-3</v>
      </c>
      <c r="X66" s="13">
        <f>+C66/MAX(C$2:C66)-1</f>
        <v>-5.3914848358414535E-2</v>
      </c>
      <c r="Y66" s="13">
        <f>+D66/MAX(D$2:D66)-1</f>
        <v>0</v>
      </c>
      <c r="Z66" s="13">
        <f>+E66/MAX(E$2:E66)-1</f>
        <v>-7.5566635877398758E-3</v>
      </c>
      <c r="AA66" s="13">
        <f>+F66/MAX(F$2:F66)-1</f>
        <v>-2.8544412137908592E-3</v>
      </c>
      <c r="AB66" s="52"/>
      <c r="AC66" s="13" t="str">
        <f t="shared" si="6"/>
        <v/>
      </c>
      <c r="AD66" s="13" t="str">
        <f t="shared" si="6"/>
        <v/>
      </c>
      <c r="AE66" s="13" t="str">
        <f t="shared" si="6"/>
        <v/>
      </c>
      <c r="AF66" s="13" t="str">
        <f t="shared" si="6"/>
        <v/>
      </c>
      <c r="AG66" s="13" t="str">
        <f t="shared" si="6"/>
        <v/>
      </c>
      <c r="AH66" s="52"/>
      <c r="AP66" s="38"/>
    </row>
    <row r="67" spans="1:42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ref="H67:H130" si="12">+(1+G67)^(1/250)-1</f>
        <v>2.0545427193918719E-4</v>
      </c>
      <c r="J67" s="6">
        <f t="shared" si="10"/>
        <v>9.0015200429287429E-3</v>
      </c>
      <c r="K67" s="6">
        <f t="shared" si="10"/>
        <v>-1.0493722296692307E-3</v>
      </c>
      <c r="L67" s="6">
        <f t="shared" si="10"/>
        <v>1.1355018101563337E-2</v>
      </c>
      <c r="M67" s="6">
        <f t="shared" si="10"/>
        <v>7.5853598266493183E-3</v>
      </c>
      <c r="N67" s="6">
        <f t="shared" si="10"/>
        <v>1.1896413835666805E-3</v>
      </c>
      <c r="O67" s="6">
        <f t="shared" si="5"/>
        <v>5.565706822906585E-3</v>
      </c>
      <c r="P67" s="6"/>
      <c r="Q67" s="13">
        <f t="shared" si="11"/>
        <v>8.7960657709895557E-3</v>
      </c>
      <c r="R67" s="13">
        <f t="shared" si="11"/>
        <v>-1.2548265016084179E-3</v>
      </c>
      <c r="S67" s="13">
        <f t="shared" si="11"/>
        <v>1.114956382962415E-2</v>
      </c>
      <c r="T67" s="13">
        <f t="shared" si="11"/>
        <v>7.3799055547101311E-3</v>
      </c>
      <c r="U67" s="13">
        <f t="shared" si="11"/>
        <v>9.8418711162749336E-4</v>
      </c>
      <c r="V67" s="13"/>
      <c r="W67" s="13">
        <f>+B67/MAX(B$2:B67)-1</f>
        <v>0</v>
      </c>
      <c r="X67" s="13">
        <f>+C67/MAX(C$2:C67)-1</f>
        <v>-5.4907123119604107E-2</v>
      </c>
      <c r="Y67" s="13">
        <f>+D67/MAX(D$2:D67)-1</f>
        <v>0</v>
      </c>
      <c r="Z67" s="13">
        <f>+E67/MAX(E$2:E67)-1</f>
        <v>0</v>
      </c>
      <c r="AA67" s="13">
        <f>+F67/MAX(F$2:F67)-1</f>
        <v>-1.667489708289116E-3</v>
      </c>
      <c r="AB67" s="52"/>
      <c r="AC67" s="13" t="str">
        <f t="shared" ref="AC67:AG117" si="13">+IF(J67&lt;$O67,J67-$O67,"")</f>
        <v/>
      </c>
      <c r="AD67" s="13">
        <f t="shared" si="13"/>
        <v>-6.6150790525758155E-3</v>
      </c>
      <c r="AE67" s="13" t="str">
        <f t="shared" si="13"/>
        <v/>
      </c>
      <c r="AF67" s="13" t="str">
        <f t="shared" si="13"/>
        <v/>
      </c>
      <c r="AG67" s="13">
        <f t="shared" si="13"/>
        <v>-4.3760654393399049E-3</v>
      </c>
      <c r="AH67" s="52"/>
      <c r="AP67" s="38"/>
    </row>
    <row r="68" spans="1:42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si="12"/>
        <v>2.0393377072314145E-4</v>
      </c>
      <c r="J68" s="6">
        <f t="shared" ref="J68:N99" si="14">LN(B68/B67)</f>
        <v>-1.0544870529251719E-4</v>
      </c>
      <c r="K68" s="6">
        <f t="shared" si="14"/>
        <v>1.9229550455904989E-3</v>
      </c>
      <c r="L68" s="6">
        <f t="shared" si="14"/>
        <v>9.0052481102475771E-3</v>
      </c>
      <c r="M68" s="6">
        <f t="shared" si="14"/>
        <v>1.2586844676198644E-3</v>
      </c>
      <c r="N68" s="6">
        <f t="shared" si="14"/>
        <v>1.2812755985166719E-3</v>
      </c>
      <c r="O68" s="6">
        <f t="shared" ref="O68:O131" si="15">LN(H68/H67)</f>
        <v>-7.4282003826470254E-3</v>
      </c>
      <c r="P68" s="6"/>
      <c r="Q68" s="13">
        <f t="shared" si="11"/>
        <v>-3.0938247601565861E-4</v>
      </c>
      <c r="R68" s="13">
        <f t="shared" si="11"/>
        <v>1.7190212748673574E-3</v>
      </c>
      <c r="S68" s="13">
        <f t="shared" si="11"/>
        <v>8.8013143395244357E-3</v>
      </c>
      <c r="T68" s="13">
        <f t="shared" si="11"/>
        <v>1.054750696896723E-3</v>
      </c>
      <c r="U68" s="13">
        <f t="shared" si="11"/>
        <v>1.0773418277935304E-3</v>
      </c>
      <c r="V68" s="13"/>
      <c r="W68" s="13">
        <f>+B68/MAX(B$2:B68)-1</f>
        <v>-1.0544314577320968E-4</v>
      </c>
      <c r="X68" s="13">
        <f>+C68/MAX(C$2:C68)-1</f>
        <v>-5.3088003521405303E-2</v>
      </c>
      <c r="Y68" s="13">
        <f>+D68/MAX(D$2:D68)-1</f>
        <v>0</v>
      </c>
      <c r="Z68" s="13">
        <f>+E68/MAX(E$2:E68)-1</f>
        <v>0</v>
      </c>
      <c r="AA68" s="13">
        <f>+F68/MAX(F$2:F68)-1</f>
        <v>-3.875308086992435E-4</v>
      </c>
      <c r="AB68" s="52"/>
      <c r="AC68" s="13" t="str">
        <f t="shared" si="13"/>
        <v/>
      </c>
      <c r="AD68" s="13" t="str">
        <f t="shared" si="13"/>
        <v/>
      </c>
      <c r="AE68" s="13" t="str">
        <f t="shared" si="13"/>
        <v/>
      </c>
      <c r="AF68" s="13" t="str">
        <f t="shared" si="13"/>
        <v/>
      </c>
      <c r="AG68" s="13" t="str">
        <f t="shared" si="13"/>
        <v/>
      </c>
      <c r="AH68" s="52"/>
      <c r="AP68" s="38"/>
    </row>
    <row r="69" spans="1:42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12"/>
        <v>2.043139499885438E-4</v>
      </c>
      <c r="J69" s="6">
        <f t="shared" si="14"/>
        <v>9.2354873918627962E-3</v>
      </c>
      <c r="K69" s="6">
        <f t="shared" si="14"/>
        <v>2.4420582166783792E-3</v>
      </c>
      <c r="L69" s="6">
        <f t="shared" si="14"/>
        <v>3.0707044771690309E-3</v>
      </c>
      <c r="M69" s="6">
        <f t="shared" si="14"/>
        <v>1.250014351434138E-2</v>
      </c>
      <c r="N69" s="6">
        <f t="shared" si="14"/>
        <v>7.3631338909269815E-3</v>
      </c>
      <c r="O69" s="6">
        <f t="shared" si="15"/>
        <v>1.86249355974044E-3</v>
      </c>
      <c r="P69" s="6"/>
      <c r="Q69" s="13">
        <f t="shared" si="11"/>
        <v>9.0311734418742524E-3</v>
      </c>
      <c r="R69" s="13">
        <f t="shared" si="11"/>
        <v>2.2377442666898354E-3</v>
      </c>
      <c r="S69" s="13">
        <f t="shared" si="11"/>
        <v>2.8663905271804871E-3</v>
      </c>
      <c r="T69" s="13">
        <f t="shared" si="11"/>
        <v>1.2295829564352836E-2</v>
      </c>
      <c r="U69" s="13">
        <f t="shared" si="11"/>
        <v>7.1588199409384377E-3</v>
      </c>
      <c r="V69" s="13"/>
      <c r="W69" s="13">
        <f>+B69/MAX(B$2:B69)-1</f>
        <v>0</v>
      </c>
      <c r="X69" s="13">
        <f>+C69/MAX(C$2:C69)-1</f>
        <v>-5.0772763475050442E-2</v>
      </c>
      <c r="Y69" s="13">
        <f>+D69/MAX(D$2:D69)-1</f>
        <v>0</v>
      </c>
      <c r="Z69" s="13">
        <f>+E69/MAX(E$2:E69)-1</f>
        <v>0</v>
      </c>
      <c r="AA69" s="13">
        <f>+F69/MAX(F$2:F69)-1</f>
        <v>0</v>
      </c>
      <c r="AB69" s="52"/>
      <c r="AC69" s="13" t="str">
        <f t="shared" si="13"/>
        <v/>
      </c>
      <c r="AD69" s="13" t="str">
        <f t="shared" si="13"/>
        <v/>
      </c>
      <c r="AE69" s="13" t="str">
        <f t="shared" si="13"/>
        <v/>
      </c>
      <c r="AF69" s="13" t="str">
        <f t="shared" si="13"/>
        <v/>
      </c>
      <c r="AG69" s="13" t="str">
        <f t="shared" si="13"/>
        <v/>
      </c>
      <c r="AH69" s="52"/>
      <c r="AP69" s="38"/>
    </row>
    <row r="70" spans="1:42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12"/>
        <v>2.0469409327517063E-4</v>
      </c>
      <c r="J70" s="6">
        <f t="shared" si="14"/>
        <v>-4.2398033377747738E-3</v>
      </c>
      <c r="K70" s="6">
        <f t="shared" si="14"/>
        <v>1.0915721899237774E-2</v>
      </c>
      <c r="L70" s="6">
        <f t="shared" si="14"/>
        <v>-2.089635023942204E-3</v>
      </c>
      <c r="M70" s="6">
        <f t="shared" si="14"/>
        <v>5.5745681417839043E-3</v>
      </c>
      <c r="N70" s="6">
        <f t="shared" si="14"/>
        <v>-2.0229887908321687E-3</v>
      </c>
      <c r="O70" s="6">
        <f t="shared" si="15"/>
        <v>1.8588553567499826E-3</v>
      </c>
      <c r="P70" s="6"/>
      <c r="Q70" s="13">
        <f t="shared" si="11"/>
        <v>-4.4444974310499444E-3</v>
      </c>
      <c r="R70" s="13">
        <f t="shared" si="11"/>
        <v>1.0711027805962604E-2</v>
      </c>
      <c r="S70" s="13">
        <f t="shared" si="11"/>
        <v>-2.2943291172173746E-3</v>
      </c>
      <c r="T70" s="13">
        <f t="shared" si="11"/>
        <v>5.3698740485087337E-3</v>
      </c>
      <c r="U70" s="13">
        <f t="shared" si="11"/>
        <v>-2.2276828841073393E-3</v>
      </c>
      <c r="V70" s="13"/>
      <c r="W70" s="13">
        <f>+B70/MAX(B$2:B70)-1</f>
        <v>-4.2308280605537485E-3</v>
      </c>
      <c r="X70" s="13">
        <f>+C70/MAX(C$2:C70)-1</f>
        <v>-4.0354504982784811E-2</v>
      </c>
      <c r="Y70" s="13">
        <f>+D70/MAX(D$2:D70)-1</f>
        <v>-2.0874532566392823E-3</v>
      </c>
      <c r="Z70" s="13">
        <f>+E70/MAX(E$2:E70)-1</f>
        <v>0</v>
      </c>
      <c r="AA70" s="13">
        <f>+F70/MAX(F$2:F70)-1</f>
        <v>-2.020943928152108E-3</v>
      </c>
      <c r="AB70" s="52"/>
      <c r="AC70" s="13">
        <f t="shared" si="13"/>
        <v>-6.0986586945247561E-3</v>
      </c>
      <c r="AD70" s="13" t="str">
        <f t="shared" si="13"/>
        <v/>
      </c>
      <c r="AE70" s="13">
        <f t="shared" si="13"/>
        <v>-3.9484903806921868E-3</v>
      </c>
      <c r="AF70" s="13" t="str">
        <f t="shared" si="13"/>
        <v/>
      </c>
      <c r="AG70" s="13">
        <f t="shared" si="13"/>
        <v>-3.8818441475821511E-3</v>
      </c>
      <c r="AH70" s="52"/>
      <c r="AP70" s="38"/>
    </row>
    <row r="71" spans="1:42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12"/>
        <v>2.043139499885438E-4</v>
      </c>
      <c r="J71" s="6">
        <f t="shared" si="14"/>
        <v>3.5083046042034536E-3</v>
      </c>
      <c r="K71" s="6">
        <f t="shared" si="14"/>
        <v>6.698173115196048E-3</v>
      </c>
      <c r="L71" s="6">
        <f t="shared" si="14"/>
        <v>2.3505409404632072E-3</v>
      </c>
      <c r="M71" s="6">
        <f t="shared" si="14"/>
        <v>-1.2361893781621346E-3</v>
      </c>
      <c r="N71" s="6">
        <f t="shared" si="14"/>
        <v>4.0528664649777243E-3</v>
      </c>
      <c r="O71" s="6">
        <f t="shared" si="15"/>
        <v>-1.8588553567499557E-3</v>
      </c>
      <c r="P71" s="6"/>
      <c r="Q71" s="13">
        <f t="shared" si="11"/>
        <v>3.3039906542149098E-3</v>
      </c>
      <c r="R71" s="13">
        <f t="shared" si="11"/>
        <v>6.4938591652075042E-3</v>
      </c>
      <c r="S71" s="13">
        <f t="shared" si="11"/>
        <v>2.1462269904746634E-3</v>
      </c>
      <c r="T71" s="13">
        <f t="shared" si="11"/>
        <v>-1.4405033281506784E-3</v>
      </c>
      <c r="U71" s="13">
        <f t="shared" si="11"/>
        <v>3.8485525149891805E-3</v>
      </c>
      <c r="V71" s="13"/>
      <c r="W71" s="13">
        <f>+B71/MAX(B$2:B71)-1</f>
        <v>-7.3123125359719765E-4</v>
      </c>
      <c r="X71" s="13">
        <f>+C71/MAX(C$2:C71)-1</f>
        <v>-3.3905057683822903E-2</v>
      </c>
      <c r="Y71" s="13">
        <f>+D71/MAX(D$2:D71)-1</f>
        <v>0</v>
      </c>
      <c r="Z71" s="13">
        <f>+E71/MAX(E$2:E71)-1</f>
        <v>-1.235425610825569E-3</v>
      </c>
      <c r="AA71" s="13">
        <f>+F71/MAX(F$2:F71)-1</f>
        <v>0</v>
      </c>
      <c r="AB71" s="52"/>
      <c r="AC71" s="13" t="str">
        <f t="shared" si="13"/>
        <v/>
      </c>
      <c r="AD71" s="13" t="str">
        <f t="shared" si="13"/>
        <v/>
      </c>
      <c r="AE71" s="13" t="str">
        <f t="shared" si="13"/>
        <v/>
      </c>
      <c r="AF71" s="13" t="str">
        <f t="shared" si="13"/>
        <v/>
      </c>
      <c r="AG71" s="13" t="str">
        <f t="shared" si="13"/>
        <v/>
      </c>
      <c r="AH71" s="52"/>
      <c r="AP71" s="38"/>
    </row>
    <row r="72" spans="1:42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12"/>
        <v>2.0507420058968329E-4</v>
      </c>
      <c r="J72" s="6">
        <f t="shared" si="14"/>
        <v>-7.0289607553052254E-3</v>
      </c>
      <c r="K72" s="6">
        <f t="shared" si="14"/>
        <v>2.564368058518235E-3</v>
      </c>
      <c r="L72" s="6">
        <f t="shared" si="14"/>
        <v>1.3685641523619864E-3</v>
      </c>
      <c r="M72" s="6">
        <f t="shared" si="14"/>
        <v>2.4706584385659168E-3</v>
      </c>
      <c r="N72" s="6">
        <f t="shared" si="14"/>
        <v>5.9675559803246874E-4</v>
      </c>
      <c r="O72" s="6">
        <f t="shared" si="15"/>
        <v>3.7140863701174238E-3</v>
      </c>
      <c r="P72" s="6"/>
      <c r="Q72" s="13">
        <f t="shared" si="11"/>
        <v>-7.2340349558949087E-3</v>
      </c>
      <c r="R72" s="13">
        <f t="shared" si="11"/>
        <v>2.3592938579285517E-3</v>
      </c>
      <c r="S72" s="13">
        <f t="shared" si="11"/>
        <v>1.1634899517723031E-3</v>
      </c>
      <c r="T72" s="13">
        <f t="shared" si="11"/>
        <v>2.2655842379762335E-3</v>
      </c>
      <c r="U72" s="13">
        <f t="shared" si="11"/>
        <v>3.9168139744278545E-4</v>
      </c>
      <c r="V72" s="13"/>
      <c r="W72" s="13">
        <f>+B72/MAX(B$2:B72)-1</f>
        <v>-7.7304248675106324E-3</v>
      </c>
      <c r="X72" s="13">
        <f>+C72/MAX(C$2:C72)-1</f>
        <v>-3.1424455443041621E-2</v>
      </c>
      <c r="Y72" s="13">
        <f>+D72/MAX(D$2:D72)-1</f>
        <v>0</v>
      </c>
      <c r="Z72" s="13">
        <f>+E72/MAX(E$2:E72)-1</f>
        <v>0</v>
      </c>
      <c r="AA72" s="13">
        <f>+F72/MAX(F$2:F72)-1</f>
        <v>0</v>
      </c>
      <c r="AB72" s="52"/>
      <c r="AC72" s="13">
        <f t="shared" si="13"/>
        <v>-1.074304712542265E-2</v>
      </c>
      <c r="AD72" s="13">
        <f t="shared" si="13"/>
        <v>-1.1497183115991888E-3</v>
      </c>
      <c r="AE72" s="13">
        <f t="shared" si="13"/>
        <v>-2.3455222177554374E-3</v>
      </c>
      <c r="AF72" s="13">
        <f t="shared" si="13"/>
        <v>-1.243427931551507E-3</v>
      </c>
      <c r="AG72" s="13">
        <f t="shared" si="13"/>
        <v>-3.1173307720849552E-3</v>
      </c>
      <c r="AH72" s="52"/>
      <c r="AP72" s="38"/>
    </row>
    <row r="73" spans="1:42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12"/>
        <v>2.0507420058968329E-4</v>
      </c>
      <c r="J73" s="6">
        <f t="shared" si="14"/>
        <v>-9.4805949388913479E-4</v>
      </c>
      <c r="K73" s="6">
        <f t="shared" si="14"/>
        <v>-1.8798349524674102E-3</v>
      </c>
      <c r="L73" s="6">
        <f t="shared" si="14"/>
        <v>-2.2819464710573719E-3</v>
      </c>
      <c r="M73" s="6">
        <f t="shared" si="14"/>
        <v>0</v>
      </c>
      <c r="N73" s="6">
        <f t="shared" si="14"/>
        <v>-1.9561422168003027E-3</v>
      </c>
      <c r="O73" s="6">
        <f t="shared" si="15"/>
        <v>0</v>
      </c>
      <c r="P73" s="6"/>
      <c r="Q73" s="13">
        <f t="shared" si="11"/>
        <v>-1.153133694478818E-3</v>
      </c>
      <c r="R73" s="13">
        <f t="shared" si="11"/>
        <v>-2.0849091530570933E-3</v>
      </c>
      <c r="S73" s="13">
        <f t="shared" si="11"/>
        <v>-2.4870206716470552E-3</v>
      </c>
      <c r="T73" s="13">
        <f t="shared" si="11"/>
        <v>-2.0507420058968329E-4</v>
      </c>
      <c r="U73" s="13">
        <f t="shared" si="11"/>
        <v>-2.1612164173899859E-3</v>
      </c>
      <c r="V73" s="13"/>
      <c r="W73" s="13">
        <f>+B73/MAX(B$2:B73)-1</f>
        <v>-8.6707096653189097E-3</v>
      </c>
      <c r="X73" s="13">
        <f>+C73/MAX(C$2:C73)-1</f>
        <v>-3.3243507311486287E-2</v>
      </c>
      <c r="Y73" s="13">
        <f>+D73/MAX(D$2:D73)-1</f>
        <v>-2.2793448105352665E-3</v>
      </c>
      <c r="Z73" s="13">
        <f>+E73/MAX(E$2:E73)-1</f>
        <v>0</v>
      </c>
      <c r="AA73" s="13">
        <f>+F73/MAX(F$2:F73)-1</f>
        <v>-1.9542302175314941E-3</v>
      </c>
      <c r="AB73" s="52"/>
      <c r="AC73" s="13">
        <f t="shared" si="13"/>
        <v>-9.4805949388913479E-4</v>
      </c>
      <c r="AD73" s="13">
        <f t="shared" si="13"/>
        <v>-1.8798349524674102E-3</v>
      </c>
      <c r="AE73" s="13">
        <f t="shared" si="13"/>
        <v>-2.2819464710573719E-3</v>
      </c>
      <c r="AF73" s="13" t="str">
        <f t="shared" si="13"/>
        <v/>
      </c>
      <c r="AG73" s="13">
        <f t="shared" si="13"/>
        <v>-1.9561422168003027E-3</v>
      </c>
      <c r="AH73" s="52"/>
      <c r="AP73" s="38"/>
    </row>
    <row r="74" spans="1:42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12"/>
        <v>2.0545427193918719E-4</v>
      </c>
      <c r="J74" s="6">
        <f t="shared" si="14"/>
        <v>3.2089405359202782E-3</v>
      </c>
      <c r="K74" s="6">
        <f t="shared" si="14"/>
        <v>2.0506000205027385E-3</v>
      </c>
      <c r="L74" s="6">
        <f t="shared" si="14"/>
        <v>2.2819464710573632E-3</v>
      </c>
      <c r="M74" s="6">
        <f t="shared" si="14"/>
        <v>-1.8524051289652865E-3</v>
      </c>
      <c r="N74" s="6">
        <f t="shared" si="14"/>
        <v>9.7964714182290037E-4</v>
      </c>
      <c r="O74" s="6">
        <f t="shared" si="15"/>
        <v>1.8516204527893802E-3</v>
      </c>
      <c r="P74" s="6"/>
      <c r="Q74" s="13">
        <f t="shared" si="11"/>
        <v>3.003486263981091E-3</v>
      </c>
      <c r="R74" s="13">
        <f t="shared" si="11"/>
        <v>1.8451457485635513E-3</v>
      </c>
      <c r="S74" s="13">
        <f t="shared" si="11"/>
        <v>2.076492199118176E-3</v>
      </c>
      <c r="T74" s="13">
        <f t="shared" si="11"/>
        <v>-2.0578594009044737E-3</v>
      </c>
      <c r="U74" s="13">
        <f t="shared" si="11"/>
        <v>7.7419286988371317E-4</v>
      </c>
      <c r="V74" s="13"/>
      <c r="W74" s="13">
        <f>+B74/MAX(B$2:B74)-1</f>
        <v>-5.4844834500160644E-3</v>
      </c>
      <c r="X74" s="13">
        <f>+C74/MAX(C$2:C74)-1</f>
        <v>-3.1259042451299623E-2</v>
      </c>
      <c r="Y74" s="13">
        <f>+D74/MAX(D$2:D74)-1</f>
        <v>0</v>
      </c>
      <c r="Z74" s="13">
        <f>+E74/MAX(E$2:E74)-1</f>
        <v>-1.8506904854859174E-3</v>
      </c>
      <c r="AA74" s="13">
        <f>+F74/MAX(F$2:F74)-1</f>
        <v>-9.7601845881201132E-4</v>
      </c>
      <c r="AB74" s="52"/>
      <c r="AC74" s="13" t="str">
        <f t="shared" si="13"/>
        <v/>
      </c>
      <c r="AD74" s="13" t="str">
        <f t="shared" si="13"/>
        <v/>
      </c>
      <c r="AE74" s="13" t="str">
        <f t="shared" si="13"/>
        <v/>
      </c>
      <c r="AF74" s="13">
        <f t="shared" si="13"/>
        <v>-3.7040255817546667E-3</v>
      </c>
      <c r="AG74" s="13">
        <f t="shared" si="13"/>
        <v>-8.7197331096647984E-4</v>
      </c>
      <c r="AH74" s="52"/>
      <c r="AP74" s="38"/>
    </row>
    <row r="75" spans="1:42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12"/>
        <v>2.043139499885438E-4</v>
      </c>
      <c r="J75" s="6">
        <f t="shared" si="14"/>
        <v>-5.4242788854046205E-3</v>
      </c>
      <c r="K75" s="6">
        <f t="shared" si="14"/>
        <v>-5.9926490699218782E-3</v>
      </c>
      <c r="L75" s="6">
        <f t="shared" si="14"/>
        <v>5.0673693523613879E-3</v>
      </c>
      <c r="M75" s="6">
        <f t="shared" si="14"/>
        <v>7.3891849715765874E-3</v>
      </c>
      <c r="N75" s="6">
        <f t="shared" si="14"/>
        <v>-9.4668376742538802E-4</v>
      </c>
      <c r="O75" s="6">
        <f t="shared" si="15"/>
        <v>-5.5657068229066041E-3</v>
      </c>
      <c r="P75" s="6"/>
      <c r="Q75" s="13">
        <f t="shared" si="11"/>
        <v>-5.6285928353931643E-3</v>
      </c>
      <c r="R75" s="13">
        <f t="shared" si="11"/>
        <v>-6.196963019910422E-3</v>
      </c>
      <c r="S75" s="13">
        <f t="shared" si="11"/>
        <v>4.8630554023728441E-3</v>
      </c>
      <c r="T75" s="13">
        <f t="shared" si="11"/>
        <v>7.1848710215880436E-3</v>
      </c>
      <c r="U75" s="13">
        <f t="shared" si="11"/>
        <v>-1.1509977174139318E-3</v>
      </c>
      <c r="V75" s="13"/>
      <c r="W75" s="13">
        <f>+B75/MAX(B$2:B75)-1</f>
        <v>-1.0864408669226888E-2</v>
      </c>
      <c r="X75" s="13">
        <f>+C75/MAX(C$2:C75)-1</f>
        <v>-3.7047007107678942E-2</v>
      </c>
      <c r="Y75" s="13">
        <f>+D75/MAX(D$2:D75)-1</f>
        <v>0</v>
      </c>
      <c r="Z75" s="13">
        <f>+E75/MAX(E$2:E75)-1</f>
        <v>0</v>
      </c>
      <c r="AA75" s="13">
        <f>+F75/MAX(F$2:F75)-1</f>
        <v>-1.921330718919867E-3</v>
      </c>
      <c r="AB75" s="52"/>
      <c r="AC75" s="13" t="str">
        <f t="shared" si="13"/>
        <v/>
      </c>
      <c r="AD75" s="13">
        <f t="shared" si="13"/>
        <v>-4.2694224701527415E-4</v>
      </c>
      <c r="AE75" s="13" t="str">
        <f t="shared" si="13"/>
        <v/>
      </c>
      <c r="AF75" s="13" t="str">
        <f t="shared" si="13"/>
        <v/>
      </c>
      <c r="AG75" s="13" t="str">
        <f t="shared" si="13"/>
        <v/>
      </c>
      <c r="AH75" s="52"/>
      <c r="AP75" s="38"/>
    </row>
    <row r="76" spans="1:42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12"/>
        <v>2.0317330422892077E-4</v>
      </c>
      <c r="J76" s="6">
        <f t="shared" si="14"/>
        <v>3.0580089148523034E-3</v>
      </c>
      <c r="K76" s="6">
        <f t="shared" si="14"/>
        <v>1.1530896635000211E-2</v>
      </c>
      <c r="L76" s="6">
        <f t="shared" si="14"/>
        <v>1.1340267252648781E-2</v>
      </c>
      <c r="M76" s="6">
        <f t="shared" si="14"/>
        <v>1.6428683176453563E-2</v>
      </c>
      <c r="N76" s="6">
        <f t="shared" si="14"/>
        <v>3.7769911916856066E-3</v>
      </c>
      <c r="O76" s="6">
        <f t="shared" si="15"/>
        <v>-5.5984511272670423E-3</v>
      </c>
      <c r="P76" s="6"/>
      <c r="Q76" s="13">
        <f t="shared" si="11"/>
        <v>2.8548356106233826E-3</v>
      </c>
      <c r="R76" s="13">
        <f t="shared" si="11"/>
        <v>1.132772333077129E-2</v>
      </c>
      <c r="S76" s="13">
        <f t="shared" si="11"/>
        <v>1.1137093948419861E-2</v>
      </c>
      <c r="T76" s="13">
        <f t="shared" si="11"/>
        <v>1.6225509872224642E-2</v>
      </c>
      <c r="U76" s="13">
        <f t="shared" si="11"/>
        <v>3.5738178874566858E-3</v>
      </c>
      <c r="V76" s="13"/>
      <c r="W76" s="13">
        <f>+B76/MAX(B$2:B76)-1</f>
        <v>-7.8349935845487551E-3</v>
      </c>
      <c r="X76" s="13">
        <f>+C76/MAX(C$2:C76)-1</f>
        <v>-2.5879031035788258E-2</v>
      </c>
      <c r="Y76" s="13">
        <f>+D76/MAX(D$2:D76)-1</f>
        <v>0</v>
      </c>
      <c r="Z76" s="13">
        <f>+E76/MAX(E$2:E76)-1</f>
        <v>0</v>
      </c>
      <c r="AA76" s="13">
        <f>+F76/MAX(F$2:F76)-1</f>
        <v>0</v>
      </c>
      <c r="AB76" s="52"/>
      <c r="AC76" s="13" t="str">
        <f t="shared" si="13"/>
        <v/>
      </c>
      <c r="AD76" s="13" t="str">
        <f t="shared" si="13"/>
        <v/>
      </c>
      <c r="AE76" s="13" t="str">
        <f t="shared" si="13"/>
        <v/>
      </c>
      <c r="AF76" s="13" t="str">
        <f t="shared" si="13"/>
        <v/>
      </c>
      <c r="AG76" s="13" t="str">
        <f t="shared" si="13"/>
        <v/>
      </c>
      <c r="AH76" s="52"/>
      <c r="AP76" s="38"/>
    </row>
    <row r="77" spans="1:42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12"/>
        <v>1.9974942225231551E-4</v>
      </c>
      <c r="J77" s="6">
        <f t="shared" si="14"/>
        <v>6.7683969358011721E-3</v>
      </c>
      <c r="K77" s="6">
        <f t="shared" si="14"/>
        <v>3.4165183963682714E-3</v>
      </c>
      <c r="L77" s="6">
        <f t="shared" si="14"/>
        <v>4.857594182652576E-3</v>
      </c>
      <c r="M77" s="6">
        <f t="shared" si="14"/>
        <v>1.1401293855996619E-2</v>
      </c>
      <c r="N77" s="6">
        <f t="shared" si="14"/>
        <v>5.8565417006152948E-3</v>
      </c>
      <c r="O77" s="6">
        <f t="shared" si="15"/>
        <v>-1.6995637959121939E-2</v>
      </c>
      <c r="P77" s="6"/>
      <c r="Q77" s="13">
        <f t="shared" si="11"/>
        <v>6.5686475135488566E-3</v>
      </c>
      <c r="R77" s="13">
        <f t="shared" si="11"/>
        <v>3.2167689741159559E-3</v>
      </c>
      <c r="S77" s="13">
        <f t="shared" si="11"/>
        <v>4.6578447604002605E-3</v>
      </c>
      <c r="T77" s="13">
        <f t="shared" si="11"/>
        <v>1.1201544433744303E-2</v>
      </c>
      <c r="U77" s="13">
        <f t="shared" si="11"/>
        <v>5.6567922783629793E-3</v>
      </c>
      <c r="V77" s="13"/>
      <c r="W77" s="13">
        <f>+B77/MAX(B$2:B77)-1</f>
        <v>-1.0968495019541002E-3</v>
      </c>
      <c r="X77" s="13">
        <f>+C77/MAX(C$2:C77)-1</f>
        <v>-2.2545237083686165E-2</v>
      </c>
      <c r="Y77" s="13">
        <f>+D77/MAX(D$2:D77)-1</f>
        <v>0</v>
      </c>
      <c r="Z77" s="13">
        <f>+E77/MAX(E$2:E77)-1</f>
        <v>0</v>
      </c>
      <c r="AA77" s="13">
        <f>+F77/MAX(F$2:F77)-1</f>
        <v>0</v>
      </c>
      <c r="AB77" s="52"/>
      <c r="AC77" s="13" t="str">
        <f t="shared" si="13"/>
        <v/>
      </c>
      <c r="AD77" s="13" t="str">
        <f t="shared" si="13"/>
        <v/>
      </c>
      <c r="AE77" s="13" t="str">
        <f t="shared" si="13"/>
        <v/>
      </c>
      <c r="AF77" s="13" t="str">
        <f t="shared" si="13"/>
        <v/>
      </c>
      <c r="AG77" s="13" t="str">
        <f t="shared" si="13"/>
        <v/>
      </c>
      <c r="AH77" s="52"/>
      <c r="AP77" s="38"/>
    </row>
    <row r="78" spans="1:42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12"/>
        <v>2.0127150788695758E-4</v>
      </c>
      <c r="J78" s="6">
        <f t="shared" si="14"/>
        <v>-9.5097229376474839E-3</v>
      </c>
      <c r="K78" s="6">
        <f t="shared" si="14"/>
        <v>-1.1944749472458554E-3</v>
      </c>
      <c r="L78" s="6">
        <f t="shared" si="14"/>
        <v>7.3054908777762974E-3</v>
      </c>
      <c r="M78" s="6">
        <f t="shared" si="14"/>
        <v>-5.9844807698541955E-3</v>
      </c>
      <c r="N78" s="6">
        <f t="shared" si="14"/>
        <v>-5.4231665551195962E-3</v>
      </c>
      <c r="O78" s="6">
        <f t="shared" si="15"/>
        <v>7.5910897879737701E-3</v>
      </c>
      <c r="P78" s="6"/>
      <c r="Q78" s="13">
        <f t="shared" si="11"/>
        <v>-9.7109944455344415E-3</v>
      </c>
      <c r="R78" s="13">
        <f t="shared" si="11"/>
        <v>-1.395746455132813E-3</v>
      </c>
      <c r="S78" s="13">
        <f t="shared" si="11"/>
        <v>7.1042193698893398E-3</v>
      </c>
      <c r="T78" s="13">
        <f t="shared" si="11"/>
        <v>-6.1857522777411531E-3</v>
      </c>
      <c r="U78" s="13">
        <f t="shared" si="11"/>
        <v>-5.6244380630065538E-3</v>
      </c>
      <c r="V78" s="13"/>
      <c r="W78" s="13">
        <f>+B78/MAX(B$2:B78)-1</f>
        <v>-1.0551116724321741E-2</v>
      </c>
      <c r="X78" s="13">
        <f>+C78/MAX(C$2:C78)-1</f>
        <v>-2.3712085285848117E-2</v>
      </c>
      <c r="Y78" s="13">
        <f>+D78/MAX(D$2:D78)-1</f>
        <v>0</v>
      </c>
      <c r="Z78" s="13">
        <f>+E78/MAX(E$2:E78)-1</f>
        <v>-5.9666094328080233E-3</v>
      </c>
      <c r="AA78" s="13">
        <f>+F78/MAX(F$2:F78)-1</f>
        <v>-5.4084877345945692E-3</v>
      </c>
      <c r="AB78" s="52"/>
      <c r="AC78" s="13">
        <f t="shared" si="13"/>
        <v>-1.7100812725621254E-2</v>
      </c>
      <c r="AD78" s="13">
        <f t="shared" si="13"/>
        <v>-8.7855647352196257E-3</v>
      </c>
      <c r="AE78" s="13">
        <f t="shared" si="13"/>
        <v>-2.855989101974727E-4</v>
      </c>
      <c r="AF78" s="13">
        <f t="shared" si="13"/>
        <v>-1.3575570557827966E-2</v>
      </c>
      <c r="AG78" s="13">
        <f t="shared" si="13"/>
        <v>-1.3014256343093366E-2</v>
      </c>
      <c r="AH78" s="52"/>
      <c r="AP78" s="38"/>
    </row>
    <row r="79" spans="1:42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12"/>
        <v>1.970843837875158E-4</v>
      </c>
      <c r="J79" s="6">
        <f t="shared" si="14"/>
        <v>2.084449839920156E-2</v>
      </c>
      <c r="K79" s="6">
        <f t="shared" si="14"/>
        <v>1.5354718166455639E-3</v>
      </c>
      <c r="L79" s="6">
        <f t="shared" si="14"/>
        <v>-1.266031176191559E-4</v>
      </c>
      <c r="M79" s="6">
        <f t="shared" si="14"/>
        <v>3.306087505214772E-2</v>
      </c>
      <c r="N79" s="6">
        <f t="shared" si="14"/>
        <v>-5.691170958779145E-4</v>
      </c>
      <c r="O79" s="6">
        <f t="shared" si="15"/>
        <v>-2.1022800952401315E-2</v>
      </c>
      <c r="P79" s="6"/>
      <c r="Q79" s="13">
        <f t="shared" si="11"/>
        <v>2.0647414015414044E-2</v>
      </c>
      <c r="R79" s="13">
        <f t="shared" si="11"/>
        <v>1.3383874328580481E-3</v>
      </c>
      <c r="S79" s="13">
        <f t="shared" si="11"/>
        <v>-3.2368750140667174E-4</v>
      </c>
      <c r="T79" s="13">
        <f t="shared" si="11"/>
        <v>3.2863790668360204E-2</v>
      </c>
      <c r="U79" s="13">
        <f t="shared" si="11"/>
        <v>-7.6620147966543031E-4</v>
      </c>
      <c r="V79" s="13"/>
      <c r="W79" s="13">
        <f>+B79/MAX(B$2:B79)-1</f>
        <v>0</v>
      </c>
      <c r="X79" s="13">
        <f>+C79/MAX(C$2:C79)-1</f>
        <v>-2.2211871234426694E-2</v>
      </c>
      <c r="Y79" s="13">
        <f>+D79/MAX(D$2:D79)-1</f>
        <v>-1.2659510378265626E-4</v>
      </c>
      <c r="Z79" s="13">
        <f>+E79/MAX(E$2:E79)-1</f>
        <v>0</v>
      </c>
      <c r="AA79" s="13">
        <f>+F79/MAX(F$2:F79)-1</f>
        <v>-5.974365726946429E-3</v>
      </c>
      <c r="AB79" s="52"/>
      <c r="AC79" s="13" t="str">
        <f t="shared" si="13"/>
        <v/>
      </c>
      <c r="AD79" s="13" t="str">
        <f t="shared" si="13"/>
        <v/>
      </c>
      <c r="AE79" s="13" t="str">
        <f t="shared" si="13"/>
        <v/>
      </c>
      <c r="AF79" s="13" t="str">
        <f t="shared" si="13"/>
        <v/>
      </c>
      <c r="AG79" s="13" t="str">
        <f t="shared" si="13"/>
        <v/>
      </c>
      <c r="AH79" s="52"/>
      <c r="AP79" s="38"/>
    </row>
    <row r="80" spans="1:42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12"/>
        <v>1.9898816309771306E-4</v>
      </c>
      <c r="J80" s="6">
        <f t="shared" si="14"/>
        <v>-5.7032520050787593E-3</v>
      </c>
      <c r="K80" s="6">
        <f t="shared" si="14"/>
        <v>-1.0233916476147672E-3</v>
      </c>
      <c r="L80" s="6">
        <f t="shared" si="14"/>
        <v>-1.0563861768930536E-2</v>
      </c>
      <c r="M80" s="6">
        <f t="shared" si="14"/>
        <v>-1.6393661333646715E-2</v>
      </c>
      <c r="N80" s="6">
        <f t="shared" si="14"/>
        <v>-3.9137791113844191E-3</v>
      </c>
      <c r="O80" s="6">
        <f t="shared" si="15"/>
        <v>9.6133599104239326E-3</v>
      </c>
      <c r="P80" s="6"/>
      <c r="Q80" s="13">
        <f t="shared" si="11"/>
        <v>-5.9022401681764723E-3</v>
      </c>
      <c r="R80" s="13">
        <f t="shared" si="11"/>
        <v>-1.2223798107124802E-3</v>
      </c>
      <c r="S80" s="13">
        <f t="shared" si="11"/>
        <v>-1.0762849932028249E-2</v>
      </c>
      <c r="T80" s="13">
        <f t="shared" si="11"/>
        <v>-1.6592649496744428E-2</v>
      </c>
      <c r="U80" s="13">
        <f t="shared" si="11"/>
        <v>-4.1127672744821321E-3</v>
      </c>
      <c r="V80" s="13"/>
      <c r="W80" s="13">
        <f>+B80/MAX(B$2:B80)-1</f>
        <v>-5.6870193376874489E-3</v>
      </c>
      <c r="X80" s="13">
        <f>+C80/MAX(C$2:C80)-1</f>
        <v>-2.321201957952046E-2</v>
      </c>
      <c r="Y80" s="13">
        <f>+D80/MAX(D$2:D80)-1</f>
        <v>-1.0633524952227247E-2</v>
      </c>
      <c r="Z80" s="13">
        <f>+E80/MAX(E$2:E80)-1</f>
        <v>-1.6260016573277025E-2</v>
      </c>
      <c r="AA80" s="13">
        <f>+F80/MAX(F$2:F80)-1</f>
        <v>-9.8571593360075038E-3</v>
      </c>
      <c r="AB80" s="52"/>
      <c r="AC80" s="13">
        <f t="shared" si="13"/>
        <v>-1.5316611915502692E-2</v>
      </c>
      <c r="AD80" s="13">
        <f t="shared" si="13"/>
        <v>-1.06367515580387E-2</v>
      </c>
      <c r="AE80" s="13">
        <f t="shared" si="13"/>
        <v>-2.0177221679354471E-2</v>
      </c>
      <c r="AF80" s="13">
        <f t="shared" si="13"/>
        <v>-2.6007021244070647E-2</v>
      </c>
      <c r="AG80" s="13">
        <f t="shared" si="13"/>
        <v>-1.3527139021808351E-2</v>
      </c>
      <c r="AH80" s="52"/>
      <c r="AP80" s="38"/>
    </row>
    <row r="81" spans="1:42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12"/>
        <v>1.9746521183972021E-4</v>
      </c>
      <c r="J81" s="6">
        <f t="shared" si="14"/>
        <v>1.0088207138443817E-2</v>
      </c>
      <c r="K81" s="6">
        <f t="shared" si="14"/>
        <v>2.3863212857141401E-3</v>
      </c>
      <c r="L81" s="6">
        <f t="shared" si="14"/>
        <v>3.0661278355592595E-3</v>
      </c>
      <c r="M81" s="6">
        <f t="shared" si="14"/>
        <v>8.8156554713472324E-3</v>
      </c>
      <c r="N81" s="6">
        <f t="shared" si="14"/>
        <v>7.9366104133129379E-3</v>
      </c>
      <c r="O81" s="6">
        <f t="shared" si="15"/>
        <v>-7.6829147917782045E-3</v>
      </c>
      <c r="P81" s="6"/>
      <c r="Q81" s="13">
        <f t="shared" si="11"/>
        <v>9.890741926604097E-3</v>
      </c>
      <c r="R81" s="13">
        <f t="shared" si="11"/>
        <v>2.1888560738744199E-3</v>
      </c>
      <c r="S81" s="13">
        <f t="shared" si="11"/>
        <v>2.8686626237195392E-3</v>
      </c>
      <c r="T81" s="13">
        <f t="shared" si="11"/>
        <v>8.6181902595075122E-3</v>
      </c>
      <c r="U81" s="13">
        <f t="shared" si="11"/>
        <v>7.7391452014732177E-3</v>
      </c>
      <c r="V81" s="13"/>
      <c r="W81" s="13">
        <f>+B81/MAX(B$2:B81)-1</f>
        <v>0</v>
      </c>
      <c r="X81" s="13">
        <f>+C81/MAX(C$2:C81)-1</f>
        <v>-2.0878306242758105E-2</v>
      </c>
      <c r="Y81" s="13">
        <f>+D81/MAX(D$2:D81)-1</f>
        <v>-7.5953455204469389E-3</v>
      </c>
      <c r="Z81" s="13">
        <f>+E81/MAX(E$2:E81)-1</f>
        <v>-7.549365167988431E-3</v>
      </c>
      <c r="AA81" s="13">
        <f>+F81/MAX(F$2:F81)-1</f>
        <v>-1.9675142503313703E-3</v>
      </c>
      <c r="AB81" s="52"/>
      <c r="AC81" s="13" t="str">
        <f t="shared" si="13"/>
        <v/>
      </c>
      <c r="AD81" s="13" t="str">
        <f t="shared" si="13"/>
        <v/>
      </c>
      <c r="AE81" s="13" t="str">
        <f t="shared" si="13"/>
        <v/>
      </c>
      <c r="AF81" s="13" t="str">
        <f t="shared" si="13"/>
        <v/>
      </c>
      <c r="AG81" s="13" t="str">
        <f t="shared" si="13"/>
        <v/>
      </c>
      <c r="AH81" s="52"/>
      <c r="AP81" s="38"/>
    </row>
    <row r="82" spans="1:42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12"/>
        <v>1.9784600378991435E-4</v>
      </c>
      <c r="J82" s="6">
        <f t="shared" si="14"/>
        <v>7.3850207302899578E-3</v>
      </c>
      <c r="K82" s="6">
        <f t="shared" si="14"/>
        <v>-2.2156572655028478E-3</v>
      </c>
      <c r="L82" s="6">
        <f t="shared" si="14"/>
        <v>1.0973473354382132E-2</v>
      </c>
      <c r="M82" s="6">
        <f t="shared" si="14"/>
        <v>-9.9971434933014119E-3</v>
      </c>
      <c r="N82" s="6">
        <f t="shared" si="14"/>
        <v>4.0870746210065929E-3</v>
      </c>
      <c r="O82" s="6">
        <f t="shared" si="15"/>
        <v>1.9265432040200135E-3</v>
      </c>
      <c r="P82" s="6"/>
      <c r="Q82" s="13">
        <f t="shared" si="11"/>
        <v>7.1871747265000435E-3</v>
      </c>
      <c r="R82" s="13">
        <f t="shared" si="11"/>
        <v>-2.4135032692927621E-3</v>
      </c>
      <c r="S82" s="13">
        <f t="shared" si="11"/>
        <v>1.0775627350592218E-2</v>
      </c>
      <c r="T82" s="13">
        <f t="shared" si="11"/>
        <v>-1.0194989497091326E-2</v>
      </c>
      <c r="U82" s="13">
        <f t="shared" si="11"/>
        <v>3.8892286172166786E-3</v>
      </c>
      <c r="V82" s="13"/>
      <c r="W82" s="13">
        <f>+B82/MAX(B$2:B82)-1</f>
        <v>0</v>
      </c>
      <c r="X82" s="13">
        <f>+C82/MAX(C$2:C82)-1</f>
        <v>-2.3045302790013822E-2</v>
      </c>
      <c r="Y82" s="13">
        <f>+D82/MAX(D$2:D82)-1</f>
        <v>0</v>
      </c>
      <c r="Z82" s="13">
        <f>+E82/MAX(E$2:E82)-1</f>
        <v>-1.742160724255859E-2</v>
      </c>
      <c r="AA82" s="13">
        <f>+F82/MAX(F$2:F82)-1</f>
        <v>0</v>
      </c>
      <c r="AB82" s="52"/>
      <c r="AC82" s="13" t="str">
        <f t="shared" si="13"/>
        <v/>
      </c>
      <c r="AD82" s="13">
        <f t="shared" si="13"/>
        <v>-4.1422004695228611E-3</v>
      </c>
      <c r="AE82" s="13" t="str">
        <f t="shared" si="13"/>
        <v/>
      </c>
      <c r="AF82" s="13">
        <f t="shared" si="13"/>
        <v>-1.1923686697321426E-2</v>
      </c>
      <c r="AG82" s="13" t="str">
        <f t="shared" si="13"/>
        <v/>
      </c>
      <c r="AH82" s="52"/>
      <c r="AP82" s="38"/>
    </row>
    <row r="83" spans="1:42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12"/>
        <v>1.970843837875158E-4</v>
      </c>
      <c r="J83" s="6">
        <f t="shared" si="14"/>
        <v>-1.301155524149791E-2</v>
      </c>
      <c r="K83" s="6">
        <f t="shared" si="14"/>
        <v>7.3098102582420726E-3</v>
      </c>
      <c r="L83" s="6">
        <f t="shared" si="14"/>
        <v>3.6521773139312004E-3</v>
      </c>
      <c r="M83" s="6">
        <f t="shared" si="14"/>
        <v>-1.7889443279638567E-2</v>
      </c>
      <c r="N83" s="6">
        <f t="shared" si="14"/>
        <v>3.9168516750811289E-3</v>
      </c>
      <c r="O83" s="6">
        <f t="shared" si="15"/>
        <v>-3.8569883226658797E-3</v>
      </c>
      <c r="P83" s="6"/>
      <c r="Q83" s="13">
        <f t="shared" si="11"/>
        <v>-1.3208639625285425E-2</v>
      </c>
      <c r="R83" s="13">
        <f t="shared" si="11"/>
        <v>7.1127258744545568E-3</v>
      </c>
      <c r="S83" s="13">
        <f t="shared" si="11"/>
        <v>3.4550929301436846E-3</v>
      </c>
      <c r="T83" s="13">
        <f t="shared" si="11"/>
        <v>-1.8086527663426083E-2</v>
      </c>
      <c r="U83" s="13">
        <f t="shared" si="11"/>
        <v>3.7197672912936131E-3</v>
      </c>
      <c r="V83" s="13"/>
      <c r="W83" s="13">
        <f>+B83/MAX(B$2:B83)-1</f>
        <v>-1.2927270909372068E-2</v>
      </c>
      <c r="X83" s="13">
        <f>+C83/MAX(C$2:C83)-1</f>
        <v>-1.5877784638990033E-2</v>
      </c>
      <c r="Y83" s="13">
        <f>+D83/MAX(D$2:D83)-1</f>
        <v>0</v>
      </c>
      <c r="Z83" s="13">
        <f>+E83/MAX(E$2:E83)-1</f>
        <v>-3.4843092712324442E-2</v>
      </c>
      <c r="AA83" s="13">
        <f>+F83/MAX(F$2:F83)-1</f>
        <v>0</v>
      </c>
      <c r="AB83" s="52"/>
      <c r="AC83" s="13">
        <f t="shared" si="13"/>
        <v>-9.1545669188320307E-3</v>
      </c>
      <c r="AD83" s="13" t="str">
        <f t="shared" si="13"/>
        <v/>
      </c>
      <c r="AE83" s="13" t="str">
        <f t="shared" si="13"/>
        <v/>
      </c>
      <c r="AF83" s="13">
        <f t="shared" si="13"/>
        <v>-1.4032454956972688E-2</v>
      </c>
      <c r="AG83" s="13" t="str">
        <f t="shared" si="13"/>
        <v/>
      </c>
      <c r="AH83" s="52"/>
      <c r="AP83" s="38"/>
    </row>
    <row r="84" spans="1:42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12"/>
        <v>2.0012999773522111E-4</v>
      </c>
      <c r="J84" s="6">
        <f t="shared" si="14"/>
        <v>7.8889519649972505E-3</v>
      </c>
      <c r="K84" s="6">
        <f t="shared" si="14"/>
        <v>6.4156731620670822E-3</v>
      </c>
      <c r="L84" s="6">
        <f t="shared" si="14"/>
        <v>8.8855459657744724E-3</v>
      </c>
      <c r="M84" s="6">
        <f t="shared" si="14"/>
        <v>-1.2715943603931842E-2</v>
      </c>
      <c r="N84" s="6">
        <f t="shared" si="14"/>
        <v>4.5887580600857377E-3</v>
      </c>
      <c r="O84" s="6">
        <f t="shared" si="15"/>
        <v>1.5335162949086231E-2</v>
      </c>
      <c r="P84" s="6"/>
      <c r="Q84" s="13">
        <f t="shared" si="11"/>
        <v>7.6888219672620293E-3</v>
      </c>
      <c r="R84" s="13">
        <f t="shared" si="11"/>
        <v>6.2155431643318611E-3</v>
      </c>
      <c r="S84" s="13">
        <f t="shared" si="11"/>
        <v>8.6854159680392513E-3</v>
      </c>
      <c r="T84" s="13">
        <f t="shared" si="11"/>
        <v>-1.2916073601667064E-2</v>
      </c>
      <c r="U84" s="13">
        <f t="shared" si="11"/>
        <v>4.3886280623505166E-3</v>
      </c>
      <c r="V84" s="13"/>
      <c r="W84" s="13">
        <f>+B84/MAX(B$2:B84)-1</f>
        <v>-5.1095051194348651E-3</v>
      </c>
      <c r="X84" s="13">
        <f>+C84/MAX(C$2:C84)-1</f>
        <v>-9.5436811111148101E-3</v>
      </c>
      <c r="Y84" s="13">
        <f>+D84/MAX(D$2:D84)-1</f>
        <v>0</v>
      </c>
      <c r="Z84" s="13">
        <f>+E84/MAX(E$2:E84)-1</f>
        <v>-4.7038272579872253E-2</v>
      </c>
      <c r="AA84" s="13">
        <f>+F84/MAX(F$2:F84)-1</f>
        <v>0</v>
      </c>
      <c r="AB84" s="52"/>
      <c r="AC84" s="13">
        <f t="shared" si="13"/>
        <v>-7.4462109840889804E-3</v>
      </c>
      <c r="AD84" s="13">
        <f t="shared" si="13"/>
        <v>-8.9194897870191487E-3</v>
      </c>
      <c r="AE84" s="13">
        <f t="shared" si="13"/>
        <v>-6.4496169833117584E-3</v>
      </c>
      <c r="AF84" s="13">
        <f t="shared" si="13"/>
        <v>-2.8051106553018075E-2</v>
      </c>
      <c r="AG84" s="13">
        <f t="shared" si="13"/>
        <v>-1.0746404889000492E-2</v>
      </c>
      <c r="AH84" s="52"/>
      <c r="AP84" s="38"/>
    </row>
    <row r="85" spans="1:42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12"/>
        <v>2.0051053716385603E-4</v>
      </c>
      <c r="J85" s="6">
        <f t="shared" si="14"/>
        <v>1.6553655693470191E-2</v>
      </c>
      <c r="K85" s="6">
        <f t="shared" si="14"/>
        <v>8.5463889760277086E-3</v>
      </c>
      <c r="L85" s="6">
        <f t="shared" si="14"/>
        <v>3.3584282184013106E-3</v>
      </c>
      <c r="M85" s="6">
        <f t="shared" si="14"/>
        <v>2.4346320782964847E-3</v>
      </c>
      <c r="N85" s="6">
        <f t="shared" si="14"/>
        <v>1.3558420429298217E-2</v>
      </c>
      <c r="O85" s="6">
        <f t="shared" si="15"/>
        <v>1.8996557258902202E-3</v>
      </c>
      <c r="P85" s="6"/>
      <c r="Q85" s="13">
        <f t="shared" si="11"/>
        <v>1.6353145156306335E-2</v>
      </c>
      <c r="R85" s="13">
        <f t="shared" si="11"/>
        <v>8.3458784388638525E-3</v>
      </c>
      <c r="S85" s="13">
        <f t="shared" si="11"/>
        <v>3.1579176812374546E-3</v>
      </c>
      <c r="T85" s="13">
        <f t="shared" si="11"/>
        <v>2.2341215411326287E-3</v>
      </c>
      <c r="U85" s="13">
        <f t="shared" si="11"/>
        <v>1.3357909892134361E-2</v>
      </c>
      <c r="V85" s="13"/>
      <c r="W85" s="13">
        <f>+B85/MAX(B$2:B85)-1</f>
        <v>0</v>
      </c>
      <c r="X85" s="13">
        <f>+C85/MAX(C$2:C85)-1</f>
        <v>-1.0425810359838694E-3</v>
      </c>
      <c r="Y85" s="13">
        <f>+D85/MAX(D$2:D85)-1</f>
        <v>0</v>
      </c>
      <c r="Z85" s="13">
        <f>+E85/MAX(E$2:E85)-1</f>
        <v>-4.4715334786894489E-2</v>
      </c>
      <c r="AA85" s="13">
        <f>+F85/MAX(F$2:F85)-1</f>
        <v>0</v>
      </c>
      <c r="AB85" s="52"/>
      <c r="AC85" s="13" t="str">
        <f t="shared" si="13"/>
        <v/>
      </c>
      <c r="AD85" s="13" t="str">
        <f t="shared" si="13"/>
        <v/>
      </c>
      <c r="AE85" s="13" t="str">
        <f t="shared" si="13"/>
        <v/>
      </c>
      <c r="AF85" s="13" t="str">
        <f t="shared" si="13"/>
        <v/>
      </c>
      <c r="AG85" s="13" t="str">
        <f t="shared" si="13"/>
        <v/>
      </c>
      <c r="AH85" s="52"/>
      <c r="AP85" s="38"/>
    </row>
    <row r="86" spans="1:42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12"/>
        <v>2.0051053716385603E-4</v>
      </c>
      <c r="J86" s="6">
        <f t="shared" si="14"/>
        <v>7.5742185089877612E-4</v>
      </c>
      <c r="K86" s="6">
        <f t="shared" si="14"/>
        <v>-1.4962062138094838E-2</v>
      </c>
      <c r="L86" s="6">
        <f t="shared" si="14"/>
        <v>1.8028547888701854E-2</v>
      </c>
      <c r="M86" s="6">
        <f t="shared" si="14"/>
        <v>1.208465691282283E-2</v>
      </c>
      <c r="N86" s="6">
        <f t="shared" si="14"/>
        <v>2.6435733742609306E-3</v>
      </c>
      <c r="O86" s="6">
        <f t="shared" si="15"/>
        <v>0</v>
      </c>
      <c r="P86" s="6"/>
      <c r="Q86" s="13">
        <f t="shared" si="11"/>
        <v>5.5691131373492009E-4</v>
      </c>
      <c r="R86" s="13">
        <f t="shared" si="11"/>
        <v>-1.5162572675258694E-2</v>
      </c>
      <c r="S86" s="13">
        <f t="shared" si="11"/>
        <v>1.7828037351537998E-2</v>
      </c>
      <c r="T86" s="13">
        <f t="shared" si="11"/>
        <v>1.1884146375658974E-2</v>
      </c>
      <c r="U86" s="13">
        <f t="shared" si="11"/>
        <v>2.4430628370970746E-3</v>
      </c>
      <c r="V86" s="13"/>
      <c r="W86" s="13">
        <f>+B86/MAX(B$2:B86)-1</f>
        <v>0</v>
      </c>
      <c r="X86" s="13">
        <f>+C86/MAX(C$2:C86)-1</f>
        <v>-1.5877784638990033E-2</v>
      </c>
      <c r="Y86" s="13">
        <f>+D86/MAX(D$2:D86)-1</f>
        <v>0</v>
      </c>
      <c r="Z86" s="13">
        <f>+E86/MAX(E$2:E86)-1</f>
        <v>-3.3101011140383774E-2</v>
      </c>
      <c r="AA86" s="13">
        <f>+F86/MAX(F$2:F86)-1</f>
        <v>0</v>
      </c>
      <c r="AB86" s="52"/>
      <c r="AC86" s="13" t="str">
        <f t="shared" si="13"/>
        <v/>
      </c>
      <c r="AD86" s="13">
        <f t="shared" si="13"/>
        <v>-1.4962062138094838E-2</v>
      </c>
      <c r="AE86" s="13" t="str">
        <f t="shared" si="13"/>
        <v/>
      </c>
      <c r="AF86" s="13" t="str">
        <f t="shared" si="13"/>
        <v/>
      </c>
      <c r="AG86" s="13" t="str">
        <f t="shared" si="13"/>
        <v/>
      </c>
      <c r="AH86" s="52"/>
      <c r="AP86" s="38"/>
    </row>
    <row r="87" spans="1:42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12"/>
        <v>1.9289289052348835E-4</v>
      </c>
      <c r="J87" s="6">
        <f t="shared" si="14"/>
        <v>-2.7295073142777661E-3</v>
      </c>
      <c r="K87" s="6">
        <f t="shared" si="14"/>
        <v>-7.4804742784532674E-3</v>
      </c>
      <c r="L87" s="6">
        <f t="shared" si="14"/>
        <v>7.5329194945627474E-3</v>
      </c>
      <c r="M87" s="6">
        <f t="shared" si="14"/>
        <v>-7.8383887172057826E-3</v>
      </c>
      <c r="N87" s="6">
        <f t="shared" si="14"/>
        <v>-7.6281368101049259E-5</v>
      </c>
      <c r="O87" s="6">
        <f t="shared" si="15"/>
        <v>-3.8731736328505399E-2</v>
      </c>
      <c r="P87" s="6"/>
      <c r="Q87" s="13">
        <f t="shared" si="11"/>
        <v>-2.9224002048012544E-3</v>
      </c>
      <c r="R87" s="13">
        <f t="shared" si="11"/>
        <v>-7.6733671689767557E-3</v>
      </c>
      <c r="S87" s="13">
        <f t="shared" si="11"/>
        <v>7.3400266040392591E-3</v>
      </c>
      <c r="T87" s="13">
        <f t="shared" si="11"/>
        <v>-8.0312816077292709E-3</v>
      </c>
      <c r="U87" s="13">
        <f t="shared" si="11"/>
        <v>-2.6917425862453759E-4</v>
      </c>
      <c r="V87" s="13"/>
      <c r="W87" s="13">
        <f>+B87/MAX(B$2:B87)-1</f>
        <v>-2.725785596110808E-3</v>
      </c>
      <c r="X87" s="13">
        <f>+C87/MAX(C$2:C87)-1</f>
        <v>-2.321201957952046E-2</v>
      </c>
      <c r="Y87" s="13">
        <f>+D87/MAX(D$2:D87)-1</f>
        <v>0</v>
      </c>
      <c r="Z87" s="13">
        <f>+E87/MAX(E$2:E87)-1</f>
        <v>-4.0650315421976169E-2</v>
      </c>
      <c r="AA87" s="13">
        <f>+F87/MAX(F$2:F87)-1</f>
        <v>-7.6278458751466438E-5</v>
      </c>
      <c r="AB87" s="52"/>
      <c r="AC87" s="13" t="str">
        <f t="shared" si="13"/>
        <v/>
      </c>
      <c r="AD87" s="13" t="str">
        <f t="shared" si="13"/>
        <v/>
      </c>
      <c r="AE87" s="13" t="str">
        <f t="shared" si="13"/>
        <v/>
      </c>
      <c r="AF87" s="13" t="str">
        <f t="shared" si="13"/>
        <v/>
      </c>
      <c r="AG87" s="13" t="str">
        <f t="shared" si="13"/>
        <v/>
      </c>
      <c r="AH87" s="52"/>
      <c r="AP87" s="38"/>
    </row>
    <row r="88" spans="1:42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12"/>
        <v>1.9136762610516556E-4</v>
      </c>
      <c r="J88" s="6">
        <f t="shared" si="14"/>
        <v>-8.53965400802611E-3</v>
      </c>
      <c r="K88" s="6">
        <f t="shared" si="14"/>
        <v>7.1417585896560408E-3</v>
      </c>
      <c r="L88" s="6">
        <f t="shared" si="14"/>
        <v>6.0338573294274594E-3</v>
      </c>
      <c r="M88" s="6">
        <f t="shared" si="14"/>
        <v>-3.6386626067303612E-3</v>
      </c>
      <c r="N88" s="6">
        <f t="shared" si="14"/>
        <v>4.5180974872495441E-3</v>
      </c>
      <c r="O88" s="6">
        <f t="shared" si="15"/>
        <v>-7.938741363990285E-3</v>
      </c>
      <c r="P88" s="6"/>
      <c r="Q88" s="13">
        <f t="shared" si="11"/>
        <v>-8.7310216341312755E-3</v>
      </c>
      <c r="R88" s="13">
        <f t="shared" si="11"/>
        <v>6.9503909635508752E-3</v>
      </c>
      <c r="S88" s="13">
        <f t="shared" si="11"/>
        <v>5.8424897033222938E-3</v>
      </c>
      <c r="T88" s="13">
        <f t="shared" si="11"/>
        <v>-3.8300302328355268E-3</v>
      </c>
      <c r="U88" s="13">
        <f t="shared" si="11"/>
        <v>4.3267298611443785E-3</v>
      </c>
      <c r="V88" s="13"/>
      <c r="W88" s="13">
        <f>+B88/MAX(B$2:B88)-1</f>
        <v>-1.1205902172689797E-2</v>
      </c>
      <c r="X88" s="13">
        <f>+C88/MAX(C$2:C88)-1</f>
        <v>-1.6211065826056914E-2</v>
      </c>
      <c r="Y88" s="13">
        <f>+D88/MAX(D$2:D88)-1</f>
        <v>0</v>
      </c>
      <c r="Z88" s="13">
        <f>+E88/MAX(E$2:E88)-1</f>
        <v>-4.4134722111442759E-2</v>
      </c>
      <c r="AA88" s="13">
        <f>+F88/MAX(F$2:F88)-1</f>
        <v>0</v>
      </c>
      <c r="AB88" s="52"/>
      <c r="AC88" s="13">
        <f t="shared" si="13"/>
        <v>-6.0091264403582499E-4</v>
      </c>
      <c r="AD88" s="13" t="str">
        <f t="shared" si="13"/>
        <v/>
      </c>
      <c r="AE88" s="13" t="str">
        <f t="shared" si="13"/>
        <v/>
      </c>
      <c r="AF88" s="13" t="str">
        <f t="shared" si="13"/>
        <v/>
      </c>
      <c r="AG88" s="13" t="str">
        <f t="shared" si="13"/>
        <v/>
      </c>
      <c r="AH88" s="52"/>
      <c r="AP88" s="38"/>
    </row>
    <row r="89" spans="1:42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12"/>
        <v>1.9327411614988854E-4</v>
      </c>
      <c r="J89" s="6">
        <f t="shared" si="14"/>
        <v>5.3458637702141027E-3</v>
      </c>
      <c r="K89" s="6">
        <f t="shared" si="14"/>
        <v>-3.2244751257021888E-3</v>
      </c>
      <c r="L89" s="6">
        <f t="shared" si="14"/>
        <v>1.3266549902395489E-2</v>
      </c>
      <c r="M89" s="6">
        <f t="shared" si="14"/>
        <v>9.0718253225267661E-3</v>
      </c>
      <c r="N89" s="6">
        <f t="shared" si="14"/>
        <v>5.8492552349014293E-3</v>
      </c>
      <c r="O89" s="6">
        <f t="shared" si="15"/>
        <v>9.9131500713952395E-3</v>
      </c>
      <c r="P89" s="6"/>
      <c r="Q89" s="13">
        <f t="shared" si="11"/>
        <v>5.1525896540642142E-3</v>
      </c>
      <c r="R89" s="13">
        <f t="shared" si="11"/>
        <v>-3.4177492418520773E-3</v>
      </c>
      <c r="S89" s="13">
        <f t="shared" si="11"/>
        <v>1.30732757862456E-2</v>
      </c>
      <c r="T89" s="13">
        <f t="shared" si="11"/>
        <v>8.8785512063768775E-3</v>
      </c>
      <c r="U89" s="13">
        <f t="shared" si="11"/>
        <v>5.6559811187515407E-3</v>
      </c>
      <c r="V89" s="13"/>
      <c r="W89" s="13">
        <f>+B89/MAX(B$2:B89)-1</f>
        <v>-5.9057894108445197E-3</v>
      </c>
      <c r="X89" s="13">
        <f>+C89/MAX(C$2:C89)-1</f>
        <v>-1.9378159921090821E-2</v>
      </c>
      <c r="Y89" s="13">
        <f>+D89/MAX(D$2:D89)-1</f>
        <v>0</v>
      </c>
      <c r="Z89" s="13">
        <f>+E89/MAX(E$2:E89)-1</f>
        <v>-3.542382716056891E-2</v>
      </c>
      <c r="AA89" s="13">
        <f>+F89/MAX(F$2:F89)-1</f>
        <v>0</v>
      </c>
      <c r="AB89" s="52"/>
      <c r="AC89" s="13">
        <f t="shared" si="13"/>
        <v>-4.5672863011811367E-3</v>
      </c>
      <c r="AD89" s="13">
        <f t="shared" si="13"/>
        <v>-1.3137625197097429E-2</v>
      </c>
      <c r="AE89" s="13" t="str">
        <f t="shared" si="13"/>
        <v/>
      </c>
      <c r="AF89" s="13">
        <f t="shared" si="13"/>
        <v>-8.4132474886847337E-4</v>
      </c>
      <c r="AG89" s="13">
        <f t="shared" si="13"/>
        <v>-4.0638948364938102E-3</v>
      </c>
      <c r="AH89" s="52"/>
      <c r="AP89" s="38"/>
    </row>
    <row r="90" spans="1:42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12"/>
        <v>1.9327411614988854E-4</v>
      </c>
      <c r="J90" s="6">
        <f t="shared" si="14"/>
        <v>-1.0771711802952852E-2</v>
      </c>
      <c r="K90" s="6">
        <f t="shared" si="14"/>
        <v>-2.0955763699396959E-2</v>
      </c>
      <c r="L90" s="6">
        <f t="shared" si="14"/>
        <v>-1.1343350930772851E-2</v>
      </c>
      <c r="M90" s="6">
        <f t="shared" si="14"/>
        <v>-1.2723712230209391E-2</v>
      </c>
      <c r="N90" s="6">
        <f t="shared" si="14"/>
        <v>-1.4793144174519959E-2</v>
      </c>
      <c r="O90" s="6">
        <f t="shared" si="15"/>
        <v>0</v>
      </c>
      <c r="P90" s="6"/>
      <c r="Q90" s="13">
        <f t="shared" si="11"/>
        <v>-1.096498591910274E-2</v>
      </c>
      <c r="R90" s="13">
        <f t="shared" si="11"/>
        <v>-2.1149037815546848E-2</v>
      </c>
      <c r="S90" s="13">
        <f t="shared" si="11"/>
        <v>-1.153662504692274E-2</v>
      </c>
      <c r="T90" s="13">
        <f t="shared" si="11"/>
        <v>-1.291698634635928E-2</v>
      </c>
      <c r="U90" s="13">
        <f t="shared" si="11"/>
        <v>-1.4986418290669847E-2</v>
      </c>
      <c r="V90" s="13"/>
      <c r="W90" s="13">
        <f>+B90/MAX(B$2:B90)-1</f>
        <v>-1.6556420008313366E-2</v>
      </c>
      <c r="X90" s="13">
        <f>+C90/MAX(C$2:C90)-1</f>
        <v>-3.971401856394674E-2</v>
      </c>
      <c r="Y90" s="13">
        <f>+D90/MAX(D$2:D90)-1</f>
        <v>-1.127925769852145E-2</v>
      </c>
      <c r="Z90" s="13">
        <f>+E90/MAX(E$2:E90)-1</f>
        <v>-4.761906791451298E-2</v>
      </c>
      <c r="AA90" s="13">
        <f>+F90/MAX(F$2:F90)-1</f>
        <v>-1.4684263175886003E-2</v>
      </c>
      <c r="AB90" s="52"/>
      <c r="AC90" s="13">
        <f t="shared" si="13"/>
        <v>-1.0771711802952852E-2</v>
      </c>
      <c r="AD90" s="13">
        <f t="shared" si="13"/>
        <v>-2.0955763699396959E-2</v>
      </c>
      <c r="AE90" s="13">
        <f t="shared" si="13"/>
        <v>-1.1343350930772851E-2</v>
      </c>
      <c r="AF90" s="13">
        <f t="shared" si="13"/>
        <v>-1.2723712230209391E-2</v>
      </c>
      <c r="AG90" s="13">
        <f t="shared" si="13"/>
        <v>-1.4793144174519959E-2</v>
      </c>
      <c r="AH90" s="52"/>
      <c r="AP90" s="38"/>
    </row>
    <row r="91" spans="1:42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12"/>
        <v>1.9251162871269933E-4</v>
      </c>
      <c r="J91" s="6">
        <f t="shared" si="14"/>
        <v>-7.7033791279105483E-4</v>
      </c>
      <c r="K91" s="6">
        <f t="shared" si="14"/>
        <v>6.5744708171604086E-3</v>
      </c>
      <c r="L91" s="6">
        <f t="shared" si="14"/>
        <v>5.6878079343058051E-3</v>
      </c>
      <c r="M91" s="6">
        <f t="shared" si="14"/>
        <v>5.4729367751170889E-3</v>
      </c>
      <c r="N91" s="6">
        <f t="shared" si="14"/>
        <v>1.024879009249407E-2</v>
      </c>
      <c r="O91" s="6">
        <f t="shared" si="15"/>
        <v>-3.9529113773502057E-3</v>
      </c>
      <c r="P91" s="6"/>
      <c r="Q91" s="13">
        <f t="shared" si="11"/>
        <v>-9.6284954150375416E-4</v>
      </c>
      <c r="R91" s="13">
        <f t="shared" si="11"/>
        <v>6.3819591884477092E-3</v>
      </c>
      <c r="S91" s="13">
        <f t="shared" si="11"/>
        <v>5.4952963055931057E-3</v>
      </c>
      <c r="T91" s="13">
        <f t="shared" si="11"/>
        <v>5.2804251464043895E-3</v>
      </c>
      <c r="U91" s="13">
        <f t="shared" si="11"/>
        <v>1.0056278463781371E-2</v>
      </c>
      <c r="V91" s="13"/>
      <c r="W91" s="13">
        <f>+B91/MAX(B$2:B91)-1</f>
        <v>-1.7313712160194727E-2</v>
      </c>
      <c r="X91" s="13">
        <f>+C91/MAX(C$2:C91)-1</f>
        <v>-3.3379847306317489E-2</v>
      </c>
      <c r="Y91" s="13">
        <f>+D91/MAX(D$2:D91)-1</f>
        <v>-5.6395805195097459E-3</v>
      </c>
      <c r="Z91" s="13">
        <f>+E91/MAX(E$2:E91)-1</f>
        <v>-4.2392457880313095E-2</v>
      </c>
      <c r="AA91" s="13">
        <f>+F91/MAX(F$2:F91)-1</f>
        <v>-4.5340441282869515E-3</v>
      </c>
      <c r="AB91" s="52"/>
      <c r="AC91" s="13" t="str">
        <f t="shared" si="13"/>
        <v/>
      </c>
      <c r="AD91" s="13" t="str">
        <f t="shared" si="13"/>
        <v/>
      </c>
      <c r="AE91" s="13" t="str">
        <f t="shared" si="13"/>
        <v/>
      </c>
      <c r="AF91" s="13" t="str">
        <f t="shared" si="13"/>
        <v/>
      </c>
      <c r="AG91" s="13" t="str">
        <f t="shared" si="13"/>
        <v/>
      </c>
      <c r="AH91" s="52"/>
      <c r="AP91" s="38"/>
    </row>
    <row r="92" spans="1:42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12"/>
        <v>1.9060477665200359E-4</v>
      </c>
      <c r="J92" s="6">
        <f t="shared" si="14"/>
        <v>-5.5629055748559423E-3</v>
      </c>
      <c r="K92" s="6">
        <f t="shared" si="14"/>
        <v>5.6744066112261139E-3</v>
      </c>
      <c r="L92" s="6">
        <f t="shared" si="14"/>
        <v>-5.9719768106862266E-4</v>
      </c>
      <c r="M92" s="6">
        <f t="shared" si="14"/>
        <v>3.6318010530331695E-3</v>
      </c>
      <c r="N92" s="6">
        <f t="shared" si="14"/>
        <v>1.6587067997896167E-3</v>
      </c>
      <c r="O92" s="6">
        <f t="shared" si="15"/>
        <v>-9.9545087610752991E-3</v>
      </c>
      <c r="P92" s="6"/>
      <c r="Q92" s="13">
        <f t="shared" si="11"/>
        <v>-5.7535103515079459E-3</v>
      </c>
      <c r="R92" s="13">
        <f t="shared" si="11"/>
        <v>5.4838018345741103E-3</v>
      </c>
      <c r="S92" s="13">
        <f t="shared" si="11"/>
        <v>-7.8780245772062626E-4</v>
      </c>
      <c r="T92" s="13">
        <f t="shared" si="11"/>
        <v>3.4411962763811659E-3</v>
      </c>
      <c r="U92" s="13">
        <f t="shared" si="11"/>
        <v>1.4681020231376131E-3</v>
      </c>
      <c r="V92" s="13"/>
      <c r="W92" s="13">
        <f>+B92/MAX(B$2:B92)-1</f>
        <v>-2.2765126279910453E-2</v>
      </c>
      <c r="X92" s="13">
        <f>+C92/MAX(C$2:C92)-1</f>
        <v>-2.7879259996221761E-2</v>
      </c>
      <c r="Y92" s="13">
        <f>+D92/MAX(D$2:D92)-1</f>
        <v>-6.2332329745915516E-3</v>
      </c>
      <c r="Z92" s="13">
        <f>+E92/MAX(E$2:E92)-1</f>
        <v>-3.890829473643187E-2</v>
      </c>
      <c r="AA92" s="13">
        <f>+F92/MAX(F$2:F92)-1</f>
        <v>-2.8814878040084313E-3</v>
      </c>
      <c r="AB92" s="52"/>
      <c r="AC92" s="13" t="str">
        <f t="shared" si="13"/>
        <v/>
      </c>
      <c r="AD92" s="13" t="str">
        <f t="shared" si="13"/>
        <v/>
      </c>
      <c r="AE92" s="13" t="str">
        <f t="shared" si="13"/>
        <v/>
      </c>
      <c r="AF92" s="13" t="str">
        <f t="shared" si="13"/>
        <v/>
      </c>
      <c r="AG92" s="13" t="str">
        <f t="shared" si="13"/>
        <v/>
      </c>
      <c r="AH92" s="52"/>
      <c r="AP92" s="38"/>
    </row>
    <row r="93" spans="1:42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12"/>
        <v>1.8907864298212118E-4</v>
      </c>
      <c r="J93" s="6">
        <f t="shared" si="14"/>
        <v>-2.8449113917028523E-3</v>
      </c>
      <c r="K93" s="6">
        <f t="shared" si="14"/>
        <v>4.1068114348282283E-3</v>
      </c>
      <c r="L93" s="6">
        <f t="shared" si="14"/>
        <v>5.8965836558493075E-3</v>
      </c>
      <c r="M93" s="6">
        <f t="shared" si="14"/>
        <v>1.2077595132303129E-3</v>
      </c>
      <c r="N93" s="6">
        <f t="shared" si="14"/>
        <v>4.2227363999498384E-3</v>
      </c>
      <c r="O93" s="6">
        <f t="shared" si="15"/>
        <v>-8.0390230909918731E-3</v>
      </c>
      <c r="P93" s="6"/>
      <c r="Q93" s="13">
        <f t="shared" si="11"/>
        <v>-3.0339900346849735E-3</v>
      </c>
      <c r="R93" s="13">
        <f t="shared" si="11"/>
        <v>3.9177327918461071E-3</v>
      </c>
      <c r="S93" s="13">
        <f t="shared" si="11"/>
        <v>5.7075050128671864E-3</v>
      </c>
      <c r="T93" s="13">
        <f t="shared" si="11"/>
        <v>1.0186808702481918E-3</v>
      </c>
      <c r="U93" s="13">
        <f t="shared" si="11"/>
        <v>4.0336577569677172E-3</v>
      </c>
      <c r="V93" s="13"/>
      <c r="W93" s="13">
        <f>+B93/MAX(B$2:B93)-1</f>
        <v>-2.5541322016654489E-2</v>
      </c>
      <c r="X93" s="13">
        <f>+C93/MAX(C$2:C93)-1</f>
        <v>-2.3878734345600727E-2</v>
      </c>
      <c r="Y93" s="13">
        <f>+D93/MAX(D$2:D93)-1</f>
        <v>-3.5609360530330925E-4</v>
      </c>
      <c r="Z93" s="13">
        <f>+E93/MAX(E$2:E93)-1</f>
        <v>-3.7746825839943043E-2</v>
      </c>
      <c r="AA93" s="13">
        <f>+F93/MAX(F$2:F93)-1</f>
        <v>0</v>
      </c>
      <c r="AB93" s="52"/>
      <c r="AC93" s="13" t="str">
        <f t="shared" si="13"/>
        <v/>
      </c>
      <c r="AD93" s="13" t="str">
        <f t="shared" si="13"/>
        <v/>
      </c>
      <c r="AE93" s="13" t="str">
        <f t="shared" si="13"/>
        <v/>
      </c>
      <c r="AF93" s="13" t="str">
        <f t="shared" si="13"/>
        <v/>
      </c>
      <c r="AG93" s="13" t="str">
        <f t="shared" si="13"/>
        <v/>
      </c>
      <c r="AH93" s="52"/>
      <c r="AP93" s="38"/>
    </row>
    <row r="94" spans="1:42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12"/>
        <v>1.8831535865504456E-4</v>
      </c>
      <c r="J94" s="6">
        <f t="shared" si="14"/>
        <v>5.1779897604456546E-4</v>
      </c>
      <c r="K94" s="6">
        <f t="shared" si="14"/>
        <v>2.5581149129798759E-3</v>
      </c>
      <c r="L94" s="6">
        <f t="shared" si="14"/>
        <v>5.9800808714544585E-3</v>
      </c>
      <c r="M94" s="6">
        <f t="shared" si="14"/>
        <v>6.0333319054379066E-4</v>
      </c>
      <c r="N94" s="6">
        <f t="shared" si="14"/>
        <v>1.429419277681746E-3</v>
      </c>
      <c r="O94" s="6">
        <f t="shared" si="15"/>
        <v>-4.0450317944709362E-3</v>
      </c>
      <c r="P94" s="6"/>
      <c r="Q94" s="13">
        <f t="shared" si="11"/>
        <v>3.294836173895209E-4</v>
      </c>
      <c r="R94" s="13">
        <f t="shared" si="11"/>
        <v>2.3697995543248314E-3</v>
      </c>
      <c r="S94" s="13">
        <f t="shared" si="11"/>
        <v>5.791765512799414E-3</v>
      </c>
      <c r="T94" s="13">
        <f t="shared" si="11"/>
        <v>4.150178318887461E-4</v>
      </c>
      <c r="U94" s="13">
        <f t="shared" si="11"/>
        <v>1.2411039190267014E-3</v>
      </c>
      <c r="V94" s="13"/>
      <c r="W94" s="13">
        <f>+B94/MAX(B$2:B94)-1</f>
        <v>-2.5036617654572768E-2</v>
      </c>
      <c r="X94" s="13">
        <f>+C94/MAX(C$2:C94)-1</f>
        <v>-2.1378507408593705E-2</v>
      </c>
      <c r="Y94" s="13">
        <f>+D94/MAX(D$2:D94)-1</f>
        <v>0</v>
      </c>
      <c r="Z94" s="13">
        <f>+E94/MAX(E$2:E94)-1</f>
        <v>-3.7166091391698575E-2</v>
      </c>
      <c r="AA94" s="13">
        <f>+F94/MAX(F$2:F94)-1</f>
        <v>0</v>
      </c>
      <c r="AB94" s="52"/>
      <c r="AC94" s="13" t="str">
        <f t="shared" si="13"/>
        <v/>
      </c>
      <c r="AD94" s="13" t="str">
        <f t="shared" si="13"/>
        <v/>
      </c>
      <c r="AE94" s="13" t="str">
        <f t="shared" si="13"/>
        <v/>
      </c>
      <c r="AF94" s="13" t="str">
        <f t="shared" si="13"/>
        <v/>
      </c>
      <c r="AG94" s="13" t="str">
        <f t="shared" si="13"/>
        <v/>
      </c>
      <c r="AH94" s="52"/>
      <c r="AP94" s="38"/>
    </row>
    <row r="95" spans="1:42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12"/>
        <v>1.8831535865504456E-4</v>
      </c>
      <c r="J95" s="6">
        <f t="shared" si="14"/>
        <v>2.2237825955231019E-3</v>
      </c>
      <c r="K95" s="6">
        <f t="shared" si="14"/>
        <v>6.811858639393253E-4</v>
      </c>
      <c r="L95" s="6">
        <f t="shared" si="14"/>
        <v>5.2989165247204857E-3</v>
      </c>
      <c r="M95" s="6">
        <f t="shared" si="14"/>
        <v>9.6039637827291333E-3</v>
      </c>
      <c r="N95" s="6">
        <f t="shared" si="14"/>
        <v>3.7010203319937546E-4</v>
      </c>
      <c r="O95" s="6">
        <f t="shared" si="15"/>
        <v>0</v>
      </c>
      <c r="P95" s="6"/>
      <c r="Q95" s="13">
        <f t="shared" si="11"/>
        <v>2.0354672368680573E-3</v>
      </c>
      <c r="R95" s="13">
        <f t="shared" si="11"/>
        <v>4.9287050528428074E-4</v>
      </c>
      <c r="S95" s="13">
        <f t="shared" si="11"/>
        <v>5.1106011660654411E-3</v>
      </c>
      <c r="T95" s="13">
        <f t="shared" si="11"/>
        <v>9.4156484240740888E-3</v>
      </c>
      <c r="U95" s="13">
        <f t="shared" si="11"/>
        <v>1.817866745443309E-4</v>
      </c>
      <c r="V95" s="13"/>
      <c r="W95" s="13">
        <f>+B95/MAX(B$2:B95)-1</f>
        <v>-2.2866098566827864E-2</v>
      </c>
      <c r="X95" s="13">
        <f>+C95/MAX(C$2:C95)-1</f>
        <v>-2.0711657183005383E-2</v>
      </c>
      <c r="Y95" s="13">
        <f>+D95/MAX(D$2:D95)-1</f>
        <v>0</v>
      </c>
      <c r="Z95" s="13">
        <f>+E95/MAX(E$2:E95)-1</f>
        <v>-2.7874522878976626E-2</v>
      </c>
      <c r="AA95" s="13">
        <f>+F95/MAX(F$2:F95)-1</f>
        <v>0</v>
      </c>
      <c r="AB95" s="52"/>
      <c r="AC95" s="13" t="str">
        <f t="shared" si="13"/>
        <v/>
      </c>
      <c r="AD95" s="13" t="str">
        <f t="shared" si="13"/>
        <v/>
      </c>
      <c r="AE95" s="13" t="str">
        <f t="shared" si="13"/>
        <v/>
      </c>
      <c r="AF95" s="13" t="str">
        <f t="shared" si="13"/>
        <v/>
      </c>
      <c r="AG95" s="13" t="str">
        <f t="shared" si="13"/>
        <v/>
      </c>
      <c r="AH95" s="52"/>
      <c r="AP95" s="38"/>
    </row>
    <row r="96" spans="1:42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12"/>
        <v>1.8869701894863589E-4</v>
      </c>
      <c r="J96" s="6">
        <f t="shared" si="14"/>
        <v>-5.4389057902563941E-3</v>
      </c>
      <c r="K96" s="6">
        <f t="shared" si="14"/>
        <v>3.0590814664282501E-3</v>
      </c>
      <c r="L96" s="6">
        <f t="shared" si="14"/>
        <v>-1.1751806513597941E-3</v>
      </c>
      <c r="M96" s="6">
        <f t="shared" si="14"/>
        <v>2.3866948027653455E-3</v>
      </c>
      <c r="N96" s="6">
        <f t="shared" si="14"/>
        <v>-2.8304729998547477E-3</v>
      </c>
      <c r="O96" s="6">
        <f t="shared" si="15"/>
        <v>2.0246572613530339E-3</v>
      </c>
      <c r="P96" s="6"/>
      <c r="Q96" s="13">
        <f t="shared" si="11"/>
        <v>-5.62760280920503E-3</v>
      </c>
      <c r="R96" s="13">
        <f t="shared" si="11"/>
        <v>2.8703844474796143E-3</v>
      </c>
      <c r="S96" s="13">
        <f t="shared" si="11"/>
        <v>-1.36387767030843E-3</v>
      </c>
      <c r="T96" s="13">
        <f t="shared" si="11"/>
        <v>2.1979977838167096E-3</v>
      </c>
      <c r="U96" s="13">
        <f t="shared" si="11"/>
        <v>-3.0191700188033836E-3</v>
      </c>
      <c r="V96" s="13"/>
      <c r="W96" s="13">
        <f>+B96/MAX(B$2:B96)-1</f>
        <v>-2.8166211328673141E-2</v>
      </c>
      <c r="X96" s="13">
        <f>+C96/MAX(C$2:C96)-1</f>
        <v>-1.7711347607232142E-2</v>
      </c>
      <c r="Y96" s="13">
        <f>+D96/MAX(D$2:D96)-1</f>
        <v>-1.1744903969957976E-3</v>
      </c>
      <c r="Z96" s="13">
        <f>+E96/MAX(E$2:E96)-1</f>
        <v>-2.5551585085998751E-2</v>
      </c>
      <c r="AA96" s="13">
        <f>+F96/MAX(F$2:F96)-1</f>
        <v>-2.8264709879060046E-3</v>
      </c>
      <c r="AB96" s="52"/>
      <c r="AC96" s="13">
        <f t="shared" si="13"/>
        <v>-7.463563051609428E-3</v>
      </c>
      <c r="AD96" s="13" t="str">
        <f t="shared" si="13"/>
        <v/>
      </c>
      <c r="AE96" s="13">
        <f t="shared" si="13"/>
        <v>-3.1998379127128277E-3</v>
      </c>
      <c r="AF96" s="13" t="str">
        <f t="shared" si="13"/>
        <v/>
      </c>
      <c r="AG96" s="13">
        <f t="shared" si="13"/>
        <v>-4.855130261207782E-3</v>
      </c>
      <c r="AH96" s="52"/>
      <c r="AP96" s="38"/>
    </row>
    <row r="97" spans="1:42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12"/>
        <v>1.8717016014413446E-4</v>
      </c>
      <c r="J97" s="6">
        <f t="shared" si="14"/>
        <v>-3.6442669115568614E-2</v>
      </c>
      <c r="K97" s="6">
        <f t="shared" si="14"/>
        <v>1.4989765411567772E-2</v>
      </c>
      <c r="L97" s="6">
        <f t="shared" si="14"/>
        <v>1.1573020195509662E-2</v>
      </c>
      <c r="M97" s="6">
        <f t="shared" si="14"/>
        <v>2.7624383831125431E-2</v>
      </c>
      <c r="N97" s="6">
        <f t="shared" si="14"/>
        <v>-5.6766608929654707E-3</v>
      </c>
      <c r="O97" s="6">
        <f t="shared" si="15"/>
        <v>-8.1245040168903531E-3</v>
      </c>
      <c r="P97" s="6"/>
      <c r="Q97" s="13">
        <f t="shared" si="11"/>
        <v>-3.6629839275712749E-2</v>
      </c>
      <c r="R97" s="13">
        <f t="shared" si="11"/>
        <v>1.4802595251423637E-2</v>
      </c>
      <c r="S97" s="13">
        <f t="shared" si="11"/>
        <v>1.1385850035365528E-2</v>
      </c>
      <c r="T97" s="13">
        <f t="shared" si="11"/>
        <v>2.7437213670981297E-2</v>
      </c>
      <c r="U97" s="13">
        <f t="shared" si="11"/>
        <v>-5.8638310531096052E-3</v>
      </c>
      <c r="V97" s="13"/>
      <c r="W97" s="13">
        <f>+B97/MAX(B$2:B97)-1</f>
        <v>-6.2944866070962613E-2</v>
      </c>
      <c r="X97" s="13">
        <f>+C97/MAX(C$2:C97)-1</f>
        <v>-2.8761609366645402E-3</v>
      </c>
      <c r="Y97" s="13">
        <f>+D97/MAX(D$2:D97)-1</f>
        <v>0</v>
      </c>
      <c r="Z97" s="13">
        <f>+E97/MAX(E$2:E97)-1</f>
        <v>0</v>
      </c>
      <c r="AA97" s="13">
        <f>+F97/MAX(F$2:F97)-1</f>
        <v>-8.4710506235170513E-3</v>
      </c>
      <c r="AB97" s="52"/>
      <c r="AC97" s="13">
        <f t="shared" si="13"/>
        <v>-2.8318165098678259E-2</v>
      </c>
      <c r="AD97" s="13" t="str">
        <f t="shared" si="13"/>
        <v/>
      </c>
      <c r="AE97" s="13" t="str">
        <f t="shared" si="13"/>
        <v/>
      </c>
      <c r="AF97" s="13" t="str">
        <f t="shared" si="13"/>
        <v/>
      </c>
      <c r="AG97" s="13" t="str">
        <f t="shared" si="13"/>
        <v/>
      </c>
      <c r="AH97" s="52"/>
      <c r="AP97" s="38"/>
    </row>
    <row r="98" spans="1:42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12"/>
        <v>1.8831535865504456E-4</v>
      </c>
      <c r="J98" s="6">
        <f t="shared" si="14"/>
        <v>-7.5158087877084971E-3</v>
      </c>
      <c r="K98" s="6">
        <f t="shared" si="14"/>
        <v>2.3375916662677874E-3</v>
      </c>
      <c r="L98" s="6">
        <f t="shared" si="14"/>
        <v>-4.3679752008790812E-3</v>
      </c>
      <c r="M98" s="6">
        <f t="shared" si="14"/>
        <v>-1.1600607305661888E-3</v>
      </c>
      <c r="N98" s="6">
        <f t="shared" si="14"/>
        <v>-8.0486143089745707E-3</v>
      </c>
      <c r="O98" s="6">
        <f t="shared" si="15"/>
        <v>6.0998467555371874E-3</v>
      </c>
      <c r="P98" s="6"/>
      <c r="Q98" s="13">
        <f t="shared" si="11"/>
        <v>-7.7041241463635416E-3</v>
      </c>
      <c r="R98" s="13">
        <f t="shared" si="11"/>
        <v>2.1492763076127429E-3</v>
      </c>
      <c r="S98" s="13">
        <f t="shared" si="11"/>
        <v>-4.5562905595341258E-3</v>
      </c>
      <c r="T98" s="13">
        <f t="shared" si="11"/>
        <v>-1.3483760892212334E-3</v>
      </c>
      <c r="U98" s="13">
        <f t="shared" si="11"/>
        <v>-8.2369296676296153E-3</v>
      </c>
      <c r="V98" s="13"/>
      <c r="W98" s="13">
        <f>+B98/MAX(B$2:B98)-1</f>
        <v>-6.9961193565393986E-2</v>
      </c>
      <c r="X98" s="13">
        <f>+C98/MAX(C$2:C98)-1</f>
        <v>-5.4256612697178852E-4</v>
      </c>
      <c r="Y98" s="13">
        <f>+D98/MAX(D$2:D98)-1</f>
        <v>-4.3584494716313316E-3</v>
      </c>
      <c r="Z98" s="13">
        <f>+E98/MAX(E$2:E98)-1</f>
        <v>-1.1593881202316414E-3</v>
      </c>
      <c r="AA98" s="13">
        <f>+F98/MAX(F$2:F98)-1</f>
        <v>-1.6419454984477388E-2</v>
      </c>
      <c r="AB98" s="52"/>
      <c r="AC98" s="13">
        <f t="shared" si="13"/>
        <v>-1.3615655543245685E-2</v>
      </c>
      <c r="AD98" s="13">
        <f t="shared" si="13"/>
        <v>-3.7622550892694E-3</v>
      </c>
      <c r="AE98" s="13">
        <f t="shared" si="13"/>
        <v>-1.0467821956416268E-2</v>
      </c>
      <c r="AF98" s="13">
        <f t="shared" si="13"/>
        <v>-7.2599074861033758E-3</v>
      </c>
      <c r="AG98" s="13">
        <f t="shared" si="13"/>
        <v>-1.4148461064511758E-2</v>
      </c>
      <c r="AH98" s="52"/>
      <c r="AP98" s="38"/>
    </row>
    <row r="99" spans="1:42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12"/>
        <v>1.8717016014413446E-4</v>
      </c>
      <c r="J99" s="6">
        <f t="shared" si="14"/>
        <v>-1.2781428001649012E-2</v>
      </c>
      <c r="K99" s="6">
        <f t="shared" si="14"/>
        <v>-3.3411282708156569E-3</v>
      </c>
      <c r="L99" s="6">
        <f t="shared" si="14"/>
        <v>6.6141593258210608E-3</v>
      </c>
      <c r="M99" s="6">
        <f t="shared" si="14"/>
        <v>-4.6539918884881352E-3</v>
      </c>
      <c r="N99" s="6">
        <f t="shared" si="14"/>
        <v>-3.434296699869414E-3</v>
      </c>
      <c r="O99" s="6">
        <f t="shared" si="15"/>
        <v>-6.0998467555372334E-3</v>
      </c>
      <c r="P99" s="6"/>
      <c r="Q99" s="13">
        <f t="shared" si="11"/>
        <v>-1.2968598161793146E-2</v>
      </c>
      <c r="R99" s="13">
        <f t="shared" si="11"/>
        <v>-3.5282984309597913E-3</v>
      </c>
      <c r="S99" s="13">
        <f t="shared" si="11"/>
        <v>6.4269891656769263E-3</v>
      </c>
      <c r="T99" s="13">
        <f t="shared" si="11"/>
        <v>-4.8411620486322696E-3</v>
      </c>
      <c r="U99" s="13">
        <f t="shared" si="11"/>
        <v>-3.6214668600135485E-3</v>
      </c>
      <c r="V99" s="13"/>
      <c r="W99" s="13">
        <f>+B99/MAX(B$2:B99)-1</f>
        <v>-8.1772772387083248E-2</v>
      </c>
      <c r="X99" s="13">
        <f>+C99/MAX(C$2:C99)-1</f>
        <v>-3.8763092817583056E-3</v>
      </c>
      <c r="Y99" s="13">
        <f>+D99/MAX(D$2:D99)-1</f>
        <v>0</v>
      </c>
      <c r="Z99" s="13">
        <f>+E99/MAX(E$2:E99)-1</f>
        <v>-5.797183723175281E-3</v>
      </c>
      <c r="AA99" s="13">
        <f>+F99/MAX(F$2:F99)-1</f>
        <v>-1.9791568670492476E-2</v>
      </c>
      <c r="AB99" s="52"/>
      <c r="AC99" s="13">
        <f t="shared" si="13"/>
        <v>-6.6815812461117783E-3</v>
      </c>
      <c r="AD99" s="13" t="str">
        <f t="shared" si="13"/>
        <v/>
      </c>
      <c r="AE99" s="13" t="str">
        <f t="shared" si="13"/>
        <v/>
      </c>
      <c r="AF99" s="13" t="str">
        <f t="shared" si="13"/>
        <v/>
      </c>
      <c r="AG99" s="13" t="str">
        <f t="shared" si="13"/>
        <v/>
      </c>
      <c r="AH99" s="52"/>
      <c r="AP99" s="38"/>
    </row>
    <row r="100" spans="1:42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12"/>
        <v>1.8717016014413446E-4</v>
      </c>
      <c r="J100" s="6">
        <f t="shared" ref="J100:N130" si="16">LN(B100/B99)</f>
        <v>-4.0210117830922973E-3</v>
      </c>
      <c r="K100" s="6">
        <f t="shared" si="16"/>
        <v>-1.5071191150336566E-3</v>
      </c>
      <c r="L100" s="6">
        <f t="shared" si="16"/>
        <v>5.0046366419241994E-3</v>
      </c>
      <c r="M100" s="6">
        <f t="shared" si="16"/>
        <v>1.8487103983690103E-2</v>
      </c>
      <c r="N100" s="6">
        <f t="shared" si="16"/>
        <v>1.8240092336748459E-3</v>
      </c>
      <c r="O100" s="6">
        <f t="shared" si="15"/>
        <v>0</v>
      </c>
      <c r="P100" s="6"/>
      <c r="Q100" s="13">
        <f t="shared" si="11"/>
        <v>-4.2081819432364317E-3</v>
      </c>
      <c r="R100" s="13">
        <f t="shared" si="11"/>
        <v>-1.694289275177791E-3</v>
      </c>
      <c r="S100" s="13">
        <f t="shared" si="11"/>
        <v>4.8174664817800649E-3</v>
      </c>
      <c r="T100" s="13">
        <f t="shared" si="11"/>
        <v>1.8299933823545968E-2</v>
      </c>
      <c r="U100" s="13">
        <f t="shared" si="11"/>
        <v>1.6368390735307114E-3</v>
      </c>
      <c r="V100" s="13"/>
      <c r="W100" s="13">
        <f>+B100/MAX(B$2:B100)-1</f>
        <v>-8.5457561633579204E-2</v>
      </c>
      <c r="X100" s="13">
        <f>+C100/MAX(C$2:C100)-1</f>
        <v>-5.3764556034255895E-3</v>
      </c>
      <c r="Y100" s="13">
        <f>+D100/MAX(D$2:D100)-1</f>
        <v>0</v>
      </c>
      <c r="Z100" s="13">
        <f>+E100/MAX(E$2:E100)-1</f>
        <v>0</v>
      </c>
      <c r="AA100" s="13">
        <f>+F100/MAX(F$2:F100)-1</f>
        <v>-1.8002027867498827E-2</v>
      </c>
      <c r="AB100" s="52"/>
      <c r="AC100" s="13">
        <f t="shared" si="13"/>
        <v>-4.0210117830922973E-3</v>
      </c>
      <c r="AD100" s="13">
        <f t="shared" si="13"/>
        <v>-1.5071191150336566E-3</v>
      </c>
      <c r="AE100" s="13" t="str">
        <f t="shared" si="13"/>
        <v/>
      </c>
      <c r="AF100" s="13" t="str">
        <f t="shared" si="13"/>
        <v/>
      </c>
      <c r="AG100" s="13" t="str">
        <f t="shared" si="13"/>
        <v/>
      </c>
      <c r="AH100" s="52"/>
      <c r="AP100" s="38"/>
    </row>
    <row r="101" spans="1:42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12"/>
        <v>1.8755192925978825E-4</v>
      </c>
      <c r="J101" s="6">
        <f t="shared" si="16"/>
        <v>2.3887222589555022E-2</v>
      </c>
      <c r="K101" s="6">
        <f t="shared" si="16"/>
        <v>7.3468937372898847E-3</v>
      </c>
      <c r="L101" s="6">
        <f t="shared" si="16"/>
        <v>-1.4521496056958624E-3</v>
      </c>
      <c r="M101" s="6">
        <f t="shared" si="16"/>
        <v>-8.62337357891769E-3</v>
      </c>
      <c r="N101" s="6">
        <f t="shared" si="16"/>
        <v>1.4015987132365047E-2</v>
      </c>
      <c r="O101" s="6">
        <f t="shared" si="15"/>
        <v>2.0376127190629861E-3</v>
      </c>
      <c r="P101" s="6"/>
      <c r="Q101" s="13">
        <f t="shared" si="11"/>
        <v>2.3699670660295234E-2</v>
      </c>
      <c r="R101" s="13">
        <f t="shared" si="11"/>
        <v>7.1593418080300964E-3</v>
      </c>
      <c r="S101" s="13">
        <f t="shared" si="11"/>
        <v>-1.6397015349556507E-3</v>
      </c>
      <c r="T101" s="13">
        <f t="shared" si="11"/>
        <v>-8.8109255081774782E-3</v>
      </c>
      <c r="U101" s="13">
        <f t="shared" si="11"/>
        <v>1.3828435203105258E-2</v>
      </c>
      <c r="V101" s="13"/>
      <c r="W101" s="13">
        <f>+B101/MAX(B$2:B101)-1</f>
        <v>-6.3348674148952289E-2</v>
      </c>
      <c r="X101" s="13">
        <f>+C101/MAX(C$2:C101)-1</f>
        <v>0</v>
      </c>
      <c r="Y101" s="13">
        <f>+D101/MAX(D$2:D101)-1</f>
        <v>-1.4510957466392638E-3</v>
      </c>
      <c r="Z101" s="13">
        <f>+E101/MAX(E$2:E101)-1</f>
        <v>-8.5862989390053102E-3</v>
      </c>
      <c r="AA101" s="13">
        <f>+F101/MAX(F$2:F101)-1</f>
        <v>-4.1414489844984193E-3</v>
      </c>
      <c r="AB101" s="52"/>
      <c r="AC101" s="13" t="str">
        <f t="shared" si="13"/>
        <v/>
      </c>
      <c r="AD101" s="13" t="str">
        <f t="shared" si="13"/>
        <v/>
      </c>
      <c r="AE101" s="13">
        <f t="shared" si="13"/>
        <v>-3.4897623247588487E-3</v>
      </c>
      <c r="AF101" s="13">
        <f t="shared" si="13"/>
        <v>-1.0660986297980676E-2</v>
      </c>
      <c r="AG101" s="13" t="str">
        <f t="shared" si="13"/>
        <v/>
      </c>
      <c r="AH101" s="52"/>
      <c r="AP101" s="38"/>
    </row>
    <row r="102" spans="1:42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12"/>
        <v>1.8793366209446383E-4</v>
      </c>
      <c r="J102" s="6">
        <f t="shared" si="16"/>
        <v>-2.2659828390601978E-3</v>
      </c>
      <c r="K102" s="6">
        <f t="shared" si="16"/>
        <v>-1.8316735365529078E-3</v>
      </c>
      <c r="L102" s="6">
        <f t="shared" si="16"/>
        <v>-7.9374988566027482E-3</v>
      </c>
      <c r="M102" s="6">
        <f t="shared" si="16"/>
        <v>-5.4130016942953952E-3</v>
      </c>
      <c r="N102" s="6">
        <f t="shared" si="16"/>
        <v>-1.4789856520085827E-3</v>
      </c>
      <c r="O102" s="6">
        <f t="shared" si="15"/>
        <v>2.0332762427048251E-3</v>
      </c>
      <c r="P102" s="6"/>
      <c r="Q102" s="13">
        <f t="shared" si="11"/>
        <v>-2.4539165011546616E-3</v>
      </c>
      <c r="R102" s="13">
        <f t="shared" si="11"/>
        <v>-2.0196071986473716E-3</v>
      </c>
      <c r="S102" s="13">
        <f t="shared" si="11"/>
        <v>-8.1254325186972121E-3</v>
      </c>
      <c r="T102" s="13">
        <f t="shared" si="11"/>
        <v>-5.6009353563898591E-3</v>
      </c>
      <c r="U102" s="13">
        <f t="shared" si="11"/>
        <v>-1.6669193141030465E-3</v>
      </c>
      <c r="V102" s="13"/>
      <c r="W102" s="13">
        <f>+B102/MAX(B$2:B102)-1</f>
        <v>-6.5468707093238265E-2</v>
      </c>
      <c r="X102" s="13">
        <f>+C102/MAX(C$2:C102)-1</f>
        <v>-1.8299970463311332E-3</v>
      </c>
      <c r="Y102" s="13">
        <f>+D102/MAX(D$2:D102)-1</f>
        <v>-9.3457033637408538E-3</v>
      </c>
      <c r="Z102" s="13">
        <f>+E102/MAX(E$2:E102)-1</f>
        <v>-1.3938324652350675E-2</v>
      </c>
      <c r="AA102" s="13">
        <f>+F102/MAX(F$2:F102)-1</f>
        <v>-5.6132208598577149E-3</v>
      </c>
      <c r="AB102" s="52"/>
      <c r="AC102" s="13">
        <f t="shared" si="13"/>
        <v>-4.2992590817650233E-3</v>
      </c>
      <c r="AD102" s="13">
        <f t="shared" si="13"/>
        <v>-3.8649497792577329E-3</v>
      </c>
      <c r="AE102" s="13">
        <f t="shared" si="13"/>
        <v>-9.9707750993075737E-3</v>
      </c>
      <c r="AF102" s="13">
        <f t="shared" si="13"/>
        <v>-7.4462779370002199E-3</v>
      </c>
      <c r="AG102" s="13">
        <f t="shared" si="13"/>
        <v>-3.5122618947134076E-3</v>
      </c>
      <c r="AH102" s="52"/>
      <c r="AP102" s="38"/>
    </row>
    <row r="103" spans="1:42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12"/>
        <v>1.8946023076238383E-4</v>
      </c>
      <c r="J103" s="6">
        <f t="shared" si="16"/>
        <v>5.655471783241264E-3</v>
      </c>
      <c r="K103" s="6">
        <f t="shared" si="16"/>
        <v>3.3277857054118689E-3</v>
      </c>
      <c r="L103" s="6">
        <f t="shared" si="16"/>
        <v>2.1072476150256008E-3</v>
      </c>
      <c r="M103" s="6">
        <f t="shared" si="16"/>
        <v>-4.7308269784354078E-3</v>
      </c>
      <c r="N103" s="6">
        <f t="shared" si="16"/>
        <v>5.6499398196109933E-3</v>
      </c>
      <c r="O103" s="6">
        <f t="shared" si="15"/>
        <v>8.0900990870679586E-3</v>
      </c>
      <c r="P103" s="6"/>
      <c r="Q103" s="13">
        <f t="shared" si="11"/>
        <v>5.4660115524788801E-3</v>
      </c>
      <c r="R103" s="13">
        <f t="shared" si="11"/>
        <v>3.138325474649485E-3</v>
      </c>
      <c r="S103" s="13">
        <f t="shared" si="11"/>
        <v>1.917787384263217E-3</v>
      </c>
      <c r="T103" s="13">
        <f t="shared" si="11"/>
        <v>-4.9202872091977917E-3</v>
      </c>
      <c r="U103" s="13">
        <f t="shared" si="11"/>
        <v>5.4604795888486095E-3</v>
      </c>
      <c r="V103" s="13"/>
      <c r="W103" s="13">
        <f>+B103/MAX(B$2:B103)-1</f>
        <v>-6.0168518328567733E-2</v>
      </c>
      <c r="X103" s="13">
        <f>+C103/MAX(C$2:C103)-1</f>
        <v>0</v>
      </c>
      <c r="Y103" s="13">
        <f>+D103/MAX(D$2:D103)-1</f>
        <v>-7.2559484175710454E-3</v>
      </c>
      <c r="Z103" s="13">
        <f>+E103/MAX(E$2:E103)-1</f>
        <v>-1.8592194821466013E-2</v>
      </c>
      <c r="AA103" s="13">
        <f>+F103/MAX(F$2:F103)-1</f>
        <v>0</v>
      </c>
      <c r="AB103" s="52"/>
      <c r="AC103" s="13">
        <f t="shared" si="13"/>
        <v>-2.4346273038266947E-3</v>
      </c>
      <c r="AD103" s="13">
        <f t="shared" si="13"/>
        <v>-4.7623133816560893E-3</v>
      </c>
      <c r="AE103" s="13">
        <f t="shared" si="13"/>
        <v>-5.9828514720423574E-3</v>
      </c>
      <c r="AF103" s="13">
        <f t="shared" si="13"/>
        <v>-1.2820926065503366E-2</v>
      </c>
      <c r="AG103" s="13">
        <f t="shared" si="13"/>
        <v>-2.4401592674569653E-3</v>
      </c>
      <c r="AH103" s="52"/>
      <c r="AP103" s="38"/>
    </row>
    <row r="104" spans="1:42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12"/>
        <v>1.8907864298212118E-4</v>
      </c>
      <c r="J104" s="6">
        <f t="shared" si="16"/>
        <v>-3.2278053849822972E-3</v>
      </c>
      <c r="K104" s="6">
        <f t="shared" si="16"/>
        <v>-6.4994939061170766E-3</v>
      </c>
      <c r="L104" s="6">
        <f t="shared" si="16"/>
        <v>-4.2189451011928857E-3</v>
      </c>
      <c r="M104" s="6">
        <f t="shared" si="16"/>
        <v>-3.8675610583800438E-2</v>
      </c>
      <c r="N104" s="6">
        <f t="shared" si="16"/>
        <v>-6.7128903604016395E-4</v>
      </c>
      <c r="O104" s="6">
        <f t="shared" si="15"/>
        <v>-2.0161094988275217E-3</v>
      </c>
      <c r="P104" s="6"/>
      <c r="Q104" s="13">
        <f t="shared" si="11"/>
        <v>-3.4168840279644183E-3</v>
      </c>
      <c r="R104" s="13">
        <f t="shared" si="11"/>
        <v>-6.6885725490991978E-3</v>
      </c>
      <c r="S104" s="13">
        <f t="shared" si="11"/>
        <v>-4.4080237441750068E-3</v>
      </c>
      <c r="T104" s="13">
        <f t="shared" si="11"/>
        <v>-3.8864689226782559E-2</v>
      </c>
      <c r="U104" s="13">
        <f t="shared" si="11"/>
        <v>-8.6036767902228513E-4</v>
      </c>
      <c r="V104" s="13"/>
      <c r="W104" s="13">
        <f>+B104/MAX(B$2:B104)-1</f>
        <v>-6.3197220785431107E-2</v>
      </c>
      <c r="X104" s="13">
        <f>+C104/MAX(C$2:C104)-1</f>
        <v>-6.4784178814842885E-3</v>
      </c>
      <c r="Y104" s="13">
        <f>+D104/MAX(D$2:D104)-1</f>
        <v>-1.1435458309910773E-2</v>
      </c>
      <c r="Z104" s="13">
        <f>+E104/MAX(E$2:E104)-1</f>
        <v>-5.5824116415831737E-2</v>
      </c>
      <c r="AA104" s="13">
        <f>+F104/MAX(F$2:F104)-1</f>
        <v>-6.7106377196379796E-4</v>
      </c>
      <c r="AB104" s="52"/>
      <c r="AC104" s="13">
        <f t="shared" si="13"/>
        <v>-1.2116958861547755E-3</v>
      </c>
      <c r="AD104" s="13">
        <f t="shared" si="13"/>
        <v>-4.4833844072895545E-3</v>
      </c>
      <c r="AE104" s="13">
        <f t="shared" si="13"/>
        <v>-2.202835602365364E-3</v>
      </c>
      <c r="AF104" s="13">
        <f t="shared" si="13"/>
        <v>-3.6659501084972915E-2</v>
      </c>
      <c r="AG104" s="13" t="str">
        <f t="shared" si="13"/>
        <v/>
      </c>
      <c r="AH104" s="52"/>
      <c r="AP104" s="38"/>
    </row>
    <row r="105" spans="1:42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12"/>
        <v>1.8831535865504456E-4</v>
      </c>
      <c r="J105" s="6">
        <f t="shared" si="16"/>
        <v>1.776525989713901E-3</v>
      </c>
      <c r="K105" s="6">
        <f t="shared" si="16"/>
        <v>9.6506195124218454E-3</v>
      </c>
      <c r="L105" s="6">
        <f t="shared" si="16"/>
        <v>-7.3671383000021009E-3</v>
      </c>
      <c r="M105" s="6">
        <f t="shared" si="16"/>
        <v>1.5286157688589852E-2</v>
      </c>
      <c r="N105" s="6">
        <f t="shared" si="16"/>
        <v>7.5072645194105983E-4</v>
      </c>
      <c r="O105" s="6">
        <f t="shared" si="15"/>
        <v>-4.0450317944709362E-3</v>
      </c>
      <c r="P105" s="6"/>
      <c r="Q105" s="13">
        <f t="shared" ref="Q105:U155" si="17">+J105-$H105</f>
        <v>1.5882106310588565E-3</v>
      </c>
      <c r="R105" s="13">
        <f t="shared" si="17"/>
        <v>9.4623041537668009E-3</v>
      </c>
      <c r="S105" s="13">
        <f t="shared" si="17"/>
        <v>-7.5554536586571455E-3</v>
      </c>
      <c r="T105" s="13">
        <f t="shared" si="17"/>
        <v>1.5097842329934807E-2</v>
      </c>
      <c r="U105" s="13">
        <f t="shared" si="17"/>
        <v>5.6241109328601527E-4</v>
      </c>
      <c r="V105" s="13"/>
      <c r="W105" s="13">
        <f>+B105/MAX(B$2:B105)-1</f>
        <v>-6.1531487129448559E-2</v>
      </c>
      <c r="X105" s="13">
        <f>+C105/MAX(C$2:C105)-1</f>
        <v>0</v>
      </c>
      <c r="Y105" s="13">
        <f>+D105/MAX(D$2:D105)-1</f>
        <v>-1.8691588730177067E-2</v>
      </c>
      <c r="Z105" s="13">
        <f>+E105/MAX(E$2:E105)-1</f>
        <v>-4.1280419548691438E-2</v>
      </c>
      <c r="AA105" s="13">
        <f>+F105/MAX(F$2:F105)-1</f>
        <v>0</v>
      </c>
      <c r="AB105" s="52"/>
      <c r="AC105" s="13" t="str">
        <f t="shared" si="13"/>
        <v/>
      </c>
      <c r="AD105" s="13" t="str">
        <f t="shared" si="13"/>
        <v/>
      </c>
      <c r="AE105" s="13">
        <f t="shared" si="13"/>
        <v>-3.3221065055311647E-3</v>
      </c>
      <c r="AF105" s="13" t="str">
        <f t="shared" si="13"/>
        <v/>
      </c>
      <c r="AG105" s="13" t="str">
        <f t="shared" si="13"/>
        <v/>
      </c>
      <c r="AH105" s="52"/>
      <c r="AP105" s="38"/>
    </row>
    <row r="106" spans="1:42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12"/>
        <v>1.8831535865504456E-4</v>
      </c>
      <c r="J106" s="6">
        <f t="shared" si="16"/>
        <v>-1.2393598825964395E-2</v>
      </c>
      <c r="K106" s="6">
        <f t="shared" si="16"/>
        <v>-6.6456043485522889E-3</v>
      </c>
      <c r="L106" s="6">
        <f t="shared" si="16"/>
        <v>-6.2900128628262742E-3</v>
      </c>
      <c r="M106" s="6">
        <f t="shared" si="16"/>
        <v>-2.4301095699120847E-3</v>
      </c>
      <c r="N106" s="6">
        <f t="shared" si="16"/>
        <v>-3.7382986232446964E-3</v>
      </c>
      <c r="O106" s="6">
        <f t="shared" si="15"/>
        <v>0</v>
      </c>
      <c r="P106" s="6"/>
      <c r="Q106" s="13">
        <f t="shared" si="17"/>
        <v>-1.2581914184619439E-2</v>
      </c>
      <c r="R106" s="13">
        <f t="shared" si="17"/>
        <v>-6.8339197072073334E-3</v>
      </c>
      <c r="S106" s="13">
        <f t="shared" si="17"/>
        <v>-6.4783282214813187E-3</v>
      </c>
      <c r="T106" s="13">
        <f t="shared" si="17"/>
        <v>-2.6184249285671293E-3</v>
      </c>
      <c r="U106" s="13">
        <f t="shared" si="17"/>
        <v>-3.926613981899741E-3</v>
      </c>
      <c r="V106" s="13"/>
      <c r="W106" s="13">
        <f>+B106/MAX(B$2:B106)-1</f>
        <v>-7.3090711236669104E-2</v>
      </c>
      <c r="X106" s="13">
        <f>+C106/MAX(C$2:C106)-1</f>
        <v>-6.6235711549538223E-3</v>
      </c>
      <c r="Y106" s="13">
        <f>+D106/MAX(D$2:D106)-1</f>
        <v>-2.4844659525444457E-2</v>
      </c>
      <c r="Z106" s="13">
        <f>+E106/MAX(E$2:E106)-1</f>
        <v>-4.3607384640794167E-2</v>
      </c>
      <c r="AA106" s="13">
        <f>+F106/MAX(F$2:F106)-1</f>
        <v>-3.7313198838587747E-3</v>
      </c>
      <c r="AB106" s="52"/>
      <c r="AC106" s="13">
        <f t="shared" si="13"/>
        <v>-1.2393598825964395E-2</v>
      </c>
      <c r="AD106" s="13">
        <f t="shared" si="13"/>
        <v>-6.6456043485522889E-3</v>
      </c>
      <c r="AE106" s="13">
        <f t="shared" si="13"/>
        <v>-6.2900128628262742E-3</v>
      </c>
      <c r="AF106" s="13">
        <f t="shared" si="13"/>
        <v>-2.4301095699120847E-3</v>
      </c>
      <c r="AG106" s="13">
        <f t="shared" si="13"/>
        <v>-3.7382986232446964E-3</v>
      </c>
      <c r="AH106" s="52"/>
      <c r="AP106" s="38"/>
    </row>
    <row r="107" spans="1:42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12"/>
        <v>1.8831535865504456E-4</v>
      </c>
      <c r="J107" s="6">
        <f t="shared" si="16"/>
        <v>-5.186893307744119E-3</v>
      </c>
      <c r="K107" s="6">
        <f t="shared" si="16"/>
        <v>0</v>
      </c>
      <c r="L107" s="6">
        <f t="shared" si="16"/>
        <v>-5.371937640172391E-3</v>
      </c>
      <c r="M107" s="6">
        <f t="shared" si="16"/>
        <v>-1.8264811991713004E-3</v>
      </c>
      <c r="N107" s="6">
        <f t="shared" si="16"/>
        <v>-5.6327271267556144E-3</v>
      </c>
      <c r="O107" s="6">
        <f t="shared" si="15"/>
        <v>0</v>
      </c>
      <c r="P107" s="6"/>
      <c r="Q107" s="13">
        <f t="shared" si="17"/>
        <v>-5.3752086663991635E-3</v>
      </c>
      <c r="R107" s="13">
        <f t="shared" si="17"/>
        <v>-1.8831535865504456E-4</v>
      </c>
      <c r="S107" s="13">
        <f t="shared" si="17"/>
        <v>-5.5602529988274356E-3</v>
      </c>
      <c r="T107" s="13">
        <f t="shared" si="17"/>
        <v>-2.0147965578263451E-3</v>
      </c>
      <c r="U107" s="13">
        <f t="shared" si="17"/>
        <v>-5.8210424854106589E-3</v>
      </c>
      <c r="V107" s="13"/>
      <c r="W107" s="13">
        <f>+B107/MAX(B$2:B107)-1</f>
        <v>-7.7886043633607183E-2</v>
      </c>
      <c r="X107" s="13">
        <f>+C107/MAX(C$2:C107)-1</f>
        <v>-6.6235711549538223E-3</v>
      </c>
      <c r="Y107" s="13">
        <f>+D107/MAX(D$2:D107)-1</f>
        <v>-3.0069087988251808E-2</v>
      </c>
      <c r="Z107" s="13">
        <f>+E107/MAX(E$2:E107)-1</f>
        <v>-4.5352623463643771E-2</v>
      </c>
      <c r="AA107" s="13">
        <f>+F107/MAX(F$2:F107)-1</f>
        <v>-9.3272545220043357E-3</v>
      </c>
      <c r="AB107" s="52"/>
      <c r="AC107" s="13">
        <f t="shared" si="13"/>
        <v>-5.186893307744119E-3</v>
      </c>
      <c r="AD107" s="13" t="str">
        <f t="shared" si="13"/>
        <v/>
      </c>
      <c r="AE107" s="13">
        <f t="shared" si="13"/>
        <v>-5.371937640172391E-3</v>
      </c>
      <c r="AF107" s="13">
        <f t="shared" si="13"/>
        <v>-1.8264811991713004E-3</v>
      </c>
      <c r="AG107" s="13">
        <f t="shared" si="13"/>
        <v>-5.6327271267556144E-3</v>
      </c>
      <c r="AH107" s="52"/>
      <c r="AP107" s="38"/>
    </row>
    <row r="108" spans="1:42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12"/>
        <v>1.8564272073429144E-4</v>
      </c>
      <c r="J108" s="6">
        <f t="shared" si="16"/>
        <v>3.205143040647615E-2</v>
      </c>
      <c r="K108" s="6">
        <f t="shared" si="16"/>
        <v>2.8297562882526783E-3</v>
      </c>
      <c r="L108" s="6">
        <f t="shared" si="16"/>
        <v>1.9731308295413211E-3</v>
      </c>
      <c r="M108" s="6">
        <f t="shared" si="16"/>
        <v>-6.0961109656987951E-4</v>
      </c>
      <c r="N108" s="6">
        <f t="shared" si="16"/>
        <v>8.7667247395320728E-3</v>
      </c>
      <c r="O108" s="6">
        <f t="shared" si="15"/>
        <v>-1.4294026918207711E-2</v>
      </c>
      <c r="P108" s="6"/>
      <c r="Q108" s="13">
        <f t="shared" si="17"/>
        <v>3.1865787685741859E-2</v>
      </c>
      <c r="R108" s="13">
        <f t="shared" si="17"/>
        <v>2.6441135675183869E-3</v>
      </c>
      <c r="S108" s="13">
        <f t="shared" si="17"/>
        <v>1.7874881088070296E-3</v>
      </c>
      <c r="T108" s="13">
        <f t="shared" si="17"/>
        <v>-7.9525381730417095E-4</v>
      </c>
      <c r="U108" s="13">
        <f t="shared" si="17"/>
        <v>8.5810820187977813E-3</v>
      </c>
      <c r="V108" s="13"/>
      <c r="W108" s="13">
        <f>+B108/MAX(B$2:B108)-1</f>
        <v>-4.7852230077941926E-2</v>
      </c>
      <c r="X108" s="13">
        <f>+C108/MAX(C$2:C108)-1</f>
        <v>-3.8085769634970124E-3</v>
      </c>
      <c r="Y108" s="13">
        <f>+D108/MAX(D$2:D108)-1</f>
        <v>-2.8153398071339764E-2</v>
      </c>
      <c r="Z108" s="13">
        <f>+E108/MAX(E$2:E108)-1</f>
        <v>-4.5934409747987126E-2</v>
      </c>
      <c r="AA108" s="13">
        <f>+F108/MAX(F$2:F108)-1</f>
        <v>-6.0411845738672643E-4</v>
      </c>
      <c r="AB108" s="52"/>
      <c r="AC108" s="13" t="str">
        <f t="shared" si="13"/>
        <v/>
      </c>
      <c r="AD108" s="13" t="str">
        <f t="shared" si="13"/>
        <v/>
      </c>
      <c r="AE108" s="13" t="str">
        <f t="shared" si="13"/>
        <v/>
      </c>
      <c r="AF108" s="13" t="str">
        <f t="shared" si="13"/>
        <v/>
      </c>
      <c r="AG108" s="13" t="str">
        <f t="shared" si="13"/>
        <v/>
      </c>
      <c r="AH108" s="52"/>
      <c r="AP108" s="38"/>
    </row>
    <row r="109" spans="1:42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12"/>
        <v>1.8182157915558328E-4</v>
      </c>
      <c r="J109" s="6">
        <f t="shared" si="16"/>
        <v>1.5413605907075779E-2</v>
      </c>
      <c r="K109" s="6">
        <f t="shared" si="16"/>
        <v>-5.5003761178523645E-3</v>
      </c>
      <c r="L109" s="6">
        <f t="shared" si="16"/>
        <v>1.7114591700558776E-2</v>
      </c>
      <c r="M109" s="6">
        <f t="shared" si="16"/>
        <v>1.6329333065123283E-2</v>
      </c>
      <c r="N109" s="6">
        <f t="shared" si="16"/>
        <v>1.2238283870230153E-2</v>
      </c>
      <c r="O109" s="6">
        <f t="shared" si="15"/>
        <v>-2.0798098310837867E-2</v>
      </c>
      <c r="P109" s="6"/>
      <c r="Q109" s="13">
        <f t="shared" si="17"/>
        <v>1.5231784327920196E-2</v>
      </c>
      <c r="R109" s="13">
        <f t="shared" si="17"/>
        <v>-5.6821976970079478E-3</v>
      </c>
      <c r="S109" s="13">
        <f t="shared" si="17"/>
        <v>1.6932770121403193E-2</v>
      </c>
      <c r="T109" s="13">
        <f t="shared" si="17"/>
        <v>1.61475114859677E-2</v>
      </c>
      <c r="U109" s="13">
        <f t="shared" si="17"/>
        <v>1.2056462291074569E-2</v>
      </c>
      <c r="V109" s="13"/>
      <c r="W109" s="13">
        <f>+B109/MAX(B$2:B109)-1</f>
        <v>-3.3062510945673473E-2</v>
      </c>
      <c r="X109" s="13">
        <f>+C109/MAX(C$2:C109)-1</f>
        <v>-9.2729626107374008E-3</v>
      </c>
      <c r="Y109" s="13">
        <f>+D109/MAX(D$2:D109)-1</f>
        <v>-1.1377493387020099E-2</v>
      </c>
      <c r="Z109" s="13">
        <f>+E109/MAX(E$2:E109)-1</f>
        <v>-3.0227260342340578E-2</v>
      </c>
      <c r="AA109" s="13">
        <f>+F109/MAX(F$2:F109)-1</f>
        <v>0</v>
      </c>
      <c r="AB109" s="52"/>
      <c r="AC109" s="13" t="str">
        <f t="shared" si="13"/>
        <v/>
      </c>
      <c r="AD109" s="13" t="str">
        <f t="shared" si="13"/>
        <v/>
      </c>
      <c r="AE109" s="13" t="str">
        <f t="shared" si="13"/>
        <v/>
      </c>
      <c r="AF109" s="13" t="str">
        <f t="shared" si="13"/>
        <v/>
      </c>
      <c r="AG109" s="13" t="str">
        <f t="shared" si="13"/>
        <v/>
      </c>
      <c r="AH109" s="52"/>
      <c r="AP109" s="38"/>
    </row>
    <row r="110" spans="1:42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12"/>
        <v>1.8182157915558328E-4</v>
      </c>
      <c r="J110" s="6">
        <f t="shared" si="16"/>
        <v>1.2089939794405298E-2</v>
      </c>
      <c r="K110" s="6">
        <f t="shared" si="16"/>
        <v>-4.3551865509223759E-3</v>
      </c>
      <c r="L110" s="6">
        <f t="shared" si="16"/>
        <v>-1.1749870658817193E-3</v>
      </c>
      <c r="M110" s="6">
        <f t="shared" si="16"/>
        <v>7.7681556093607577E-3</v>
      </c>
      <c r="N110" s="6">
        <f t="shared" si="16"/>
        <v>2.1918970535104105E-3</v>
      </c>
      <c r="O110" s="6">
        <f t="shared" si="15"/>
        <v>0</v>
      </c>
      <c r="P110" s="6"/>
      <c r="Q110" s="13">
        <f t="shared" si="17"/>
        <v>1.1908118215249714E-2</v>
      </c>
      <c r="R110" s="13">
        <f t="shared" si="17"/>
        <v>-4.5370081300779592E-3</v>
      </c>
      <c r="S110" s="13">
        <f t="shared" si="17"/>
        <v>-1.3568086450373026E-3</v>
      </c>
      <c r="T110" s="13">
        <f t="shared" si="17"/>
        <v>7.5863340302051744E-3</v>
      </c>
      <c r="U110" s="13">
        <f t="shared" si="17"/>
        <v>2.0100754743548272E-3</v>
      </c>
      <c r="V110" s="13"/>
      <c r="W110" s="13">
        <f>+B110/MAX(B$2:B110)-1</f>
        <v>-2.1301342264617884E-2</v>
      </c>
      <c r="X110" s="13">
        <f>+C110/MAX(C$2:C110)-1</f>
        <v>-1.3578381423251851E-2</v>
      </c>
      <c r="Y110" s="13">
        <f>+D110/MAX(D$2:D110)-1</f>
        <v>-1.2538429869089374E-2</v>
      </c>
      <c r="Z110" s="13">
        <f>+E110/MAX(E$2:E110)-1</f>
        <v>-2.2664578781688927E-2</v>
      </c>
      <c r="AA110" s="13">
        <f>+F110/MAX(F$2:F110)-1</f>
        <v>0</v>
      </c>
      <c r="AB110" s="52"/>
      <c r="AC110" s="13" t="str">
        <f t="shared" si="13"/>
        <v/>
      </c>
      <c r="AD110" s="13">
        <f t="shared" si="13"/>
        <v>-4.3551865509223759E-3</v>
      </c>
      <c r="AE110" s="13">
        <f t="shared" si="13"/>
        <v>-1.1749870658817193E-3</v>
      </c>
      <c r="AF110" s="13" t="str">
        <f t="shared" si="13"/>
        <v/>
      </c>
      <c r="AG110" s="13" t="str">
        <f t="shared" si="13"/>
        <v/>
      </c>
      <c r="AH110" s="52"/>
      <c r="AP110" s="38"/>
    </row>
    <row r="111" spans="1:42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12"/>
        <v>1.8373260432147376E-4</v>
      </c>
      <c r="J111" s="6">
        <f t="shared" si="16"/>
        <v>6.6312354047433934E-3</v>
      </c>
      <c r="K111" s="6">
        <f t="shared" si="16"/>
        <v>4.6892664291325829E-3</v>
      </c>
      <c r="L111" s="6">
        <f t="shared" si="16"/>
        <v>-6.605698786174531E-3</v>
      </c>
      <c r="M111" s="6">
        <f t="shared" si="16"/>
        <v>2.2949014004003898E-2</v>
      </c>
      <c r="N111" s="6">
        <f t="shared" si="16"/>
        <v>2.917131506229948E-3</v>
      </c>
      <c r="O111" s="6">
        <f t="shared" si="15"/>
        <v>1.0455591327247448E-2</v>
      </c>
      <c r="P111" s="6"/>
      <c r="Q111" s="13">
        <f t="shared" si="17"/>
        <v>6.4475028004219196E-3</v>
      </c>
      <c r="R111" s="13">
        <f t="shared" si="17"/>
        <v>4.5055338248111091E-3</v>
      </c>
      <c r="S111" s="13">
        <f t="shared" si="17"/>
        <v>-6.7894313904960047E-3</v>
      </c>
      <c r="T111" s="13">
        <f t="shared" si="17"/>
        <v>2.2765281399682424E-2</v>
      </c>
      <c r="U111" s="13">
        <f t="shared" si="17"/>
        <v>2.7333989019084743E-3</v>
      </c>
      <c r="V111" s="13"/>
      <c r="W111" s="13">
        <f>+B111/MAX(B$2:B111)-1</f>
        <v>-1.4789795135093708E-2</v>
      </c>
      <c r="X111" s="13">
        <f>+C111/MAX(C$2:C111)-1</f>
        <v>-8.941925349381874E-3</v>
      </c>
      <c r="Y111" s="13">
        <f>+D111/MAX(D$2:D111)-1</f>
        <v>-1.9039806854512786E-2</v>
      </c>
      <c r="Z111" s="13">
        <f>+E111/MAX(E$2:E111)-1</f>
        <v>0</v>
      </c>
      <c r="AA111" s="13">
        <f>+F111/MAX(F$2:F111)-1</f>
        <v>0</v>
      </c>
      <c r="AB111" s="52"/>
      <c r="AC111" s="13">
        <f t="shared" si="13"/>
        <v>-3.8243559225040547E-3</v>
      </c>
      <c r="AD111" s="13">
        <f t="shared" si="13"/>
        <v>-5.7663248981148652E-3</v>
      </c>
      <c r="AE111" s="13">
        <f t="shared" si="13"/>
        <v>-1.706129011342198E-2</v>
      </c>
      <c r="AF111" s="13" t="str">
        <f t="shared" si="13"/>
        <v/>
      </c>
      <c r="AG111" s="13">
        <f t="shared" si="13"/>
        <v>-7.5384598210174996E-3</v>
      </c>
      <c r="AH111" s="52"/>
      <c r="AP111" s="38"/>
    </row>
    <row r="112" spans="1:42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12"/>
        <v>1.8755192925978825E-4</v>
      </c>
      <c r="J112" s="6">
        <f t="shared" si="16"/>
        <v>-3.4900447377881711E-3</v>
      </c>
      <c r="K112" s="6">
        <f t="shared" si="16"/>
        <v>-1.5830462198802939E-2</v>
      </c>
      <c r="L112" s="6">
        <f t="shared" si="16"/>
        <v>8.8957289910188905E-3</v>
      </c>
      <c r="M112" s="6">
        <f t="shared" si="16"/>
        <v>-3.011736741564745E-2</v>
      </c>
      <c r="N112" s="6">
        <f t="shared" si="16"/>
        <v>8.1165916827587409E-4</v>
      </c>
      <c r="O112" s="6">
        <f t="shared" si="15"/>
        <v>2.0574299865323647E-2</v>
      </c>
      <c r="P112" s="6"/>
      <c r="Q112" s="13">
        <f t="shared" si="17"/>
        <v>-3.6775966670479594E-3</v>
      </c>
      <c r="R112" s="13">
        <f t="shared" si="17"/>
        <v>-1.6018014128062728E-2</v>
      </c>
      <c r="S112" s="13">
        <f t="shared" si="17"/>
        <v>8.7081770617591023E-3</v>
      </c>
      <c r="T112" s="13">
        <f t="shared" si="17"/>
        <v>-3.0304919344907238E-2</v>
      </c>
      <c r="U112" s="13">
        <f t="shared" si="17"/>
        <v>6.2410723901608583E-4</v>
      </c>
      <c r="V112" s="13"/>
      <c r="W112" s="13">
        <f>+B112/MAX(B$2:B112)-1</f>
        <v>-1.8222229667121281E-2</v>
      </c>
      <c r="X112" s="13">
        <f>+C112/MAX(C$2:C112)-1</f>
        <v>-2.4507304106724082E-2</v>
      </c>
      <c r="Y112" s="13">
        <f>+D112/MAX(D$2:D112)-1</f>
        <v>-1.0274521827841498E-2</v>
      </c>
      <c r="Z112" s="13">
        <f>+E112/MAX(E$2:E112)-1</f>
        <v>-2.9668358452055399E-2</v>
      </c>
      <c r="AA112" s="13">
        <f>+F112/MAX(F$2:F112)-1</f>
        <v>0</v>
      </c>
      <c r="AB112" s="52"/>
      <c r="AC112" s="13">
        <f t="shared" si="13"/>
        <v>-2.4064344603111819E-2</v>
      </c>
      <c r="AD112" s="13">
        <f t="shared" si="13"/>
        <v>-3.6404762064126586E-2</v>
      </c>
      <c r="AE112" s="13">
        <f t="shared" si="13"/>
        <v>-1.1678570874304756E-2</v>
      </c>
      <c r="AF112" s="13">
        <f t="shared" si="13"/>
        <v>-5.0691667280971096E-2</v>
      </c>
      <c r="AG112" s="13">
        <f t="shared" si="13"/>
        <v>-1.9762640697047772E-2</v>
      </c>
      <c r="AH112" s="52"/>
      <c r="AP112" s="38"/>
    </row>
    <row r="113" spans="1:42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12"/>
        <v>1.8755192925978825E-4</v>
      </c>
      <c r="J113" s="6">
        <f t="shared" si="16"/>
        <v>-1.6980138057580752E-3</v>
      </c>
      <c r="K113" s="6">
        <f t="shared" si="16"/>
        <v>4.2347552165082781E-3</v>
      </c>
      <c r="L113" s="6">
        <f t="shared" si="16"/>
        <v>1.4209382167514918E-2</v>
      </c>
      <c r="M113" s="6">
        <f t="shared" si="16"/>
        <v>2.9535485641168389E-2</v>
      </c>
      <c r="N113" s="6">
        <f t="shared" si="16"/>
        <v>5.2465060919916033E-3</v>
      </c>
      <c r="O113" s="6">
        <f t="shared" si="15"/>
        <v>0</v>
      </c>
      <c r="P113" s="6"/>
      <c r="Q113" s="13">
        <f t="shared" si="17"/>
        <v>-1.8855657350178635E-3</v>
      </c>
      <c r="R113" s="13">
        <f t="shared" si="17"/>
        <v>4.0472032872484898E-3</v>
      </c>
      <c r="S113" s="13">
        <f t="shared" si="17"/>
        <v>1.402183023825513E-2</v>
      </c>
      <c r="T113" s="13">
        <f t="shared" si="17"/>
        <v>2.9347933711908601E-2</v>
      </c>
      <c r="U113" s="13">
        <f t="shared" si="17"/>
        <v>5.0589541627318151E-3</v>
      </c>
      <c r="V113" s="13"/>
      <c r="W113" s="13">
        <f>+B113/MAX(B$2:B113)-1</f>
        <v>-1.9887887320278352E-2</v>
      </c>
      <c r="X113" s="13">
        <f>+C113/MAX(C$2:C113)-1</f>
        <v>-2.0367572134877943E-2</v>
      </c>
      <c r="Y113" s="13">
        <f>+D113/MAX(D$2:D113)-1</f>
        <v>0</v>
      </c>
      <c r="Z113" s="13">
        <f>+E113/MAX(E$2:E113)-1</f>
        <v>-5.8171251411087699E-4</v>
      </c>
      <c r="AA113" s="13">
        <f>+F113/MAX(F$2:F113)-1</f>
        <v>0</v>
      </c>
      <c r="AB113" s="52"/>
      <c r="AC113" s="13">
        <f t="shared" si="13"/>
        <v>-1.6980138057580752E-3</v>
      </c>
      <c r="AD113" s="13" t="str">
        <f t="shared" si="13"/>
        <v/>
      </c>
      <c r="AE113" s="13" t="str">
        <f t="shared" si="13"/>
        <v/>
      </c>
      <c r="AF113" s="13" t="str">
        <f t="shared" si="13"/>
        <v/>
      </c>
      <c r="AG113" s="13" t="str">
        <f t="shared" si="13"/>
        <v/>
      </c>
      <c r="AH113" s="52"/>
      <c r="AP113" s="38"/>
    </row>
    <row r="114" spans="1:42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12"/>
        <v>1.8907864298212118E-4</v>
      </c>
      <c r="J114" s="6">
        <f t="shared" si="16"/>
        <v>-9.053703332614238E-3</v>
      </c>
      <c r="K114" s="6">
        <f t="shared" si="16"/>
        <v>3.5433502166368901E-3</v>
      </c>
      <c r="L114" s="6">
        <f t="shared" si="16"/>
        <v>-3.8235737207052796E-3</v>
      </c>
      <c r="M114" s="6">
        <f t="shared" si="16"/>
        <v>6.382391439619532E-3</v>
      </c>
      <c r="N114" s="6">
        <f t="shared" si="16"/>
        <v>-6.52009756234213E-4</v>
      </c>
      <c r="O114" s="6">
        <f t="shared" si="15"/>
        <v>8.1072658309452785E-3</v>
      </c>
      <c r="P114" s="6"/>
      <c r="Q114" s="13">
        <f t="shared" si="17"/>
        <v>-9.2427819755963592E-3</v>
      </c>
      <c r="R114" s="13">
        <f t="shared" si="17"/>
        <v>3.3542715736547689E-3</v>
      </c>
      <c r="S114" s="13">
        <f t="shared" si="17"/>
        <v>-4.0126523636874007E-3</v>
      </c>
      <c r="T114" s="13">
        <f t="shared" si="17"/>
        <v>6.1933127966374108E-3</v>
      </c>
      <c r="U114" s="13">
        <f t="shared" si="17"/>
        <v>-8.4108839921633418E-4</v>
      </c>
      <c r="V114" s="13"/>
      <c r="W114" s="13">
        <f>+B114/MAX(B$2:B114)-1</f>
        <v>-2.8721482903894091E-2</v>
      </c>
      <c r="X114" s="13">
        <f>+C114/MAX(C$2:C114)-1</f>
        <v>-1.6890234284725025E-2</v>
      </c>
      <c r="Y114" s="13">
        <f>+D114/MAX(D$2:D114)-1</f>
        <v>-3.8162731704012298E-3</v>
      </c>
      <c r="Z114" s="13">
        <f>+E114/MAX(E$2:E114)-1</f>
        <v>0</v>
      </c>
      <c r="AA114" s="13">
        <f>+F114/MAX(F$2:F114)-1</f>
        <v>-6.517972440622799E-4</v>
      </c>
      <c r="AB114" s="52"/>
      <c r="AC114" s="13">
        <f t="shared" si="13"/>
        <v>-1.7160969163559518E-2</v>
      </c>
      <c r="AD114" s="13">
        <f t="shared" si="13"/>
        <v>-4.5639156143083889E-3</v>
      </c>
      <c r="AE114" s="13">
        <f t="shared" si="13"/>
        <v>-1.1930839551650557E-2</v>
      </c>
      <c r="AF114" s="13">
        <f t="shared" si="13"/>
        <v>-1.7248743913257465E-3</v>
      </c>
      <c r="AG114" s="13">
        <f t="shared" si="13"/>
        <v>-8.7592755871794912E-3</v>
      </c>
      <c r="AH114" s="52"/>
      <c r="AP114" s="38"/>
    </row>
    <row r="115" spans="1:42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12"/>
        <v>1.8869701894863589E-4</v>
      </c>
      <c r="J115" s="6">
        <f t="shared" si="16"/>
        <v>-3.5923582258243084E-3</v>
      </c>
      <c r="K115" s="6">
        <f t="shared" si="16"/>
        <v>6.045418986824742E-3</v>
      </c>
      <c r="L115" s="6">
        <f t="shared" si="16"/>
        <v>2.608569026138582E-3</v>
      </c>
      <c r="M115" s="6">
        <f t="shared" si="16"/>
        <v>-2.3161320398991719E-3</v>
      </c>
      <c r="N115" s="6">
        <f t="shared" si="16"/>
        <v>7.5283737614565433E-3</v>
      </c>
      <c r="O115" s="6">
        <f t="shared" si="15"/>
        <v>-2.020374533117761E-3</v>
      </c>
      <c r="P115" s="6"/>
      <c r="Q115" s="13">
        <f t="shared" si="17"/>
        <v>-3.7810552447729443E-3</v>
      </c>
      <c r="R115" s="13">
        <f t="shared" si="17"/>
        <v>5.8567219678761061E-3</v>
      </c>
      <c r="S115" s="13">
        <f t="shared" si="17"/>
        <v>2.4198720071899461E-3</v>
      </c>
      <c r="T115" s="13">
        <f t="shared" si="17"/>
        <v>-2.5048290588478078E-3</v>
      </c>
      <c r="U115" s="13">
        <f t="shared" si="17"/>
        <v>7.3396767425079074E-3</v>
      </c>
      <c r="V115" s="13"/>
      <c r="W115" s="13">
        <f>+B115/MAX(B$2:B115)-1</f>
        <v>-3.2204403579380481E-2</v>
      </c>
      <c r="X115" s="13">
        <f>+C115/MAX(C$2:C115)-1</f>
        <v>-1.092892268347212E-2</v>
      </c>
      <c r="Y115" s="13">
        <f>+D115/MAX(D$2:D115)-1</f>
        <v>-1.2142668752110897E-3</v>
      </c>
      <c r="Z115" s="13">
        <f>+E115/MAX(E$2:E115)-1</f>
        <v>-2.3134518756900979E-3</v>
      </c>
      <c r="AA115" s="13">
        <f>+F115/MAX(F$2:F115)-1</f>
        <v>0</v>
      </c>
      <c r="AB115" s="52"/>
      <c r="AC115" s="13">
        <f t="shared" si="13"/>
        <v>-1.5719836927065474E-3</v>
      </c>
      <c r="AD115" s="13" t="str">
        <f t="shared" si="13"/>
        <v/>
      </c>
      <c r="AE115" s="13" t="str">
        <f t="shared" si="13"/>
        <v/>
      </c>
      <c r="AF115" s="13">
        <f t="shared" si="13"/>
        <v>-2.957575067814109E-4</v>
      </c>
      <c r="AG115" s="13" t="str">
        <f t="shared" si="13"/>
        <v/>
      </c>
      <c r="AH115" s="52"/>
      <c r="AP115" s="38"/>
    </row>
    <row r="116" spans="1:42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12"/>
        <v>1.8793366209446383E-4</v>
      </c>
      <c r="J116" s="6">
        <f t="shared" si="16"/>
        <v>-1.9433375980611085E-2</v>
      </c>
      <c r="K116" s="6">
        <f t="shared" si="16"/>
        <v>2.842073474480988E-3</v>
      </c>
      <c r="L116" s="6">
        <f t="shared" si="16"/>
        <v>2.0287319345977977E-2</v>
      </c>
      <c r="M116" s="6">
        <f t="shared" si="16"/>
        <v>1.610156507641821E-2</v>
      </c>
      <c r="N116" s="6">
        <f t="shared" si="16"/>
        <v>-6.0083834993726029E-4</v>
      </c>
      <c r="O116" s="6">
        <f t="shared" si="15"/>
        <v>-4.0536150551227449E-3</v>
      </c>
      <c r="P116" s="6"/>
      <c r="Q116" s="13">
        <f t="shared" si="17"/>
        <v>-1.9621309642705548E-2</v>
      </c>
      <c r="R116" s="13">
        <f t="shared" si="17"/>
        <v>2.6541398123865242E-3</v>
      </c>
      <c r="S116" s="13">
        <f t="shared" si="17"/>
        <v>2.0099385683883513E-2</v>
      </c>
      <c r="T116" s="13">
        <f t="shared" si="17"/>
        <v>1.5913631414323746E-2</v>
      </c>
      <c r="U116" s="13">
        <f t="shared" si="17"/>
        <v>-7.8877201203172412E-4</v>
      </c>
      <c r="V116" s="13"/>
      <c r="W116" s="13">
        <f>+B116/MAX(B$2:B116)-1</f>
        <v>-5.0830370388521007E-2</v>
      </c>
      <c r="X116" s="13">
        <f>+C116/MAX(C$2:C116)-1</f>
        <v>-8.1139116710163828E-3</v>
      </c>
      <c r="Y116" s="13">
        <f>+D116/MAX(D$2:D116)-1</f>
        <v>0</v>
      </c>
      <c r="Z116" s="13">
        <f>+E116/MAX(E$2:E116)-1</f>
        <v>0</v>
      </c>
      <c r="AA116" s="13">
        <f>+F116/MAX(F$2:F116)-1</f>
        <v>-6.0065788272156695E-4</v>
      </c>
      <c r="AB116" s="52"/>
      <c r="AC116" s="13">
        <f t="shared" si="13"/>
        <v>-1.537976092548834E-2</v>
      </c>
      <c r="AD116" s="13" t="str">
        <f t="shared" si="13"/>
        <v/>
      </c>
      <c r="AE116" s="13" t="str">
        <f t="shared" si="13"/>
        <v/>
      </c>
      <c r="AF116" s="13" t="str">
        <f t="shared" si="13"/>
        <v/>
      </c>
      <c r="AG116" s="13" t="str">
        <f t="shared" si="13"/>
        <v/>
      </c>
      <c r="AH116" s="52"/>
      <c r="AP116" s="38"/>
    </row>
    <row r="117" spans="1:42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12"/>
        <v>1.8869701894863589E-4</v>
      </c>
      <c r="J117" s="6">
        <f t="shared" si="16"/>
        <v>-1.9547375416428876E-2</v>
      </c>
      <c r="K117" s="6">
        <f t="shared" si="16"/>
        <v>-6.8682608284900979E-3</v>
      </c>
      <c r="L117" s="6">
        <f t="shared" si="16"/>
        <v>-1.0894867940747696E-2</v>
      </c>
      <c r="M117" s="6">
        <f t="shared" si="16"/>
        <v>9.08571462661973E-3</v>
      </c>
      <c r="N117" s="6">
        <f t="shared" si="16"/>
        <v>-1.6236787963987382E-2</v>
      </c>
      <c r="O117" s="6">
        <f t="shared" si="15"/>
        <v>4.053615055122829E-3</v>
      </c>
      <c r="P117" s="6"/>
      <c r="Q117" s="13">
        <f t="shared" si="17"/>
        <v>-1.9736072435377512E-2</v>
      </c>
      <c r="R117" s="13">
        <f t="shared" si="17"/>
        <v>-7.0569578474387338E-3</v>
      </c>
      <c r="S117" s="13">
        <f t="shared" si="17"/>
        <v>-1.1083564959696332E-2</v>
      </c>
      <c r="T117" s="13">
        <f t="shared" si="17"/>
        <v>8.8970176076710941E-3</v>
      </c>
      <c r="U117" s="13">
        <f t="shared" si="17"/>
        <v>-1.6425484982936018E-2</v>
      </c>
      <c r="V117" s="13"/>
      <c r="W117" s="13">
        <f>+B117/MAX(B$2:B117)-1</f>
        <v>-6.9203982483193149E-2</v>
      </c>
      <c r="X117" s="13">
        <f>+C117/MAX(C$2:C117)-1</f>
        <v>-1.4903102382642364E-2</v>
      </c>
      <c r="Y117" s="13">
        <f>+D117/MAX(D$2:D117)-1</f>
        <v>-1.0835733814689497E-2</v>
      </c>
      <c r="Z117" s="13">
        <f>+E117/MAX(E$2:E117)-1</f>
        <v>0</v>
      </c>
      <c r="AA117" s="13">
        <f>+F117/MAX(F$2:F117)-1</f>
        <v>-1.6696665739976191E-2</v>
      </c>
      <c r="AB117" s="52"/>
      <c r="AC117" s="13">
        <f t="shared" si="13"/>
        <v>-2.3600990471551706E-2</v>
      </c>
      <c r="AD117" s="13">
        <f t="shared" si="13"/>
        <v>-1.0921875883612927E-2</v>
      </c>
      <c r="AE117" s="13">
        <f t="shared" si="13"/>
        <v>-1.4948482995870524E-2</v>
      </c>
      <c r="AF117" s="13" t="str">
        <f t="shared" si="13"/>
        <v/>
      </c>
      <c r="AG117" s="13">
        <f t="shared" si="13"/>
        <v>-2.0290403019110212E-2</v>
      </c>
      <c r="AH117" s="52"/>
      <c r="AP117" s="38"/>
    </row>
    <row r="118" spans="1:42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12"/>
        <v>1.8602463504269195E-4</v>
      </c>
      <c r="J118" s="6">
        <f t="shared" si="16"/>
        <v>1.3252435087594459E-2</v>
      </c>
      <c r="K118" s="6">
        <f t="shared" si="16"/>
        <v>2.4737724565590001E-2</v>
      </c>
      <c r="L118" s="6">
        <f t="shared" si="16"/>
        <v>-3.6197520984293389E-3</v>
      </c>
      <c r="M118" s="6">
        <f t="shared" si="16"/>
        <v>1.9592162762490182E-2</v>
      </c>
      <c r="N118" s="6">
        <f t="shared" si="16"/>
        <v>1.2416277903485802E-2</v>
      </c>
      <c r="O118" s="6">
        <f t="shared" si="15"/>
        <v>-1.4263543006221244E-2</v>
      </c>
      <c r="P118" s="6"/>
      <c r="Q118" s="13">
        <f t="shared" si="17"/>
        <v>1.3066410452551767E-2</v>
      </c>
      <c r="R118" s="13">
        <f t="shared" si="17"/>
        <v>2.4551699930547309E-2</v>
      </c>
      <c r="S118" s="13">
        <f t="shared" si="17"/>
        <v>-3.8057767334720308E-3</v>
      </c>
      <c r="T118" s="13">
        <f t="shared" si="17"/>
        <v>1.940613812744749E-2</v>
      </c>
      <c r="U118" s="13">
        <f t="shared" si="17"/>
        <v>1.223025326844311E-2</v>
      </c>
      <c r="V118" s="13"/>
      <c r="W118" s="13">
        <f>+B118/MAX(B$2:B118)-1</f>
        <v>-5.6786569939998865E-2</v>
      </c>
      <c r="X118" s="13">
        <f>+C118/MAX(C$2:C118)-1</f>
        <v>0</v>
      </c>
      <c r="Y118" s="13">
        <f>+D118/MAX(D$2:D118)-1</f>
        <v>-1.4409790740422701E-2</v>
      </c>
      <c r="Z118" s="13">
        <f>+E118/MAX(E$2:E118)-1</f>
        <v>0</v>
      </c>
      <c r="AA118" s="13">
        <f>+F118/MAX(F$2:F118)-1</f>
        <v>-4.4115886386374425E-3</v>
      </c>
      <c r="AB118" s="52"/>
      <c r="AC118" s="13" t="str">
        <f t="shared" ref="AC118:AG168" si="18">+IF(J118&lt;$O118,J118-$O118,"")</f>
        <v/>
      </c>
      <c r="AD118" s="13" t="str">
        <f t="shared" si="18"/>
        <v/>
      </c>
      <c r="AE118" s="13" t="str">
        <f t="shared" si="18"/>
        <v/>
      </c>
      <c r="AF118" s="13" t="str">
        <f t="shared" si="18"/>
        <v/>
      </c>
      <c r="AG118" s="13" t="str">
        <f t="shared" si="18"/>
        <v/>
      </c>
      <c r="AH118" s="52"/>
      <c r="AP118" s="38"/>
    </row>
    <row r="119" spans="1:42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12"/>
        <v>1.8678835474061906E-4</v>
      </c>
      <c r="J119" s="6">
        <f t="shared" si="16"/>
        <v>-5.4198470459970276E-3</v>
      </c>
      <c r="K119" s="6">
        <f t="shared" si="16"/>
        <v>-7.2416284624734579E-3</v>
      </c>
      <c r="L119" s="6">
        <f t="shared" si="16"/>
        <v>5.7395664242008678E-3</v>
      </c>
      <c r="M119" s="6">
        <f t="shared" si="16"/>
        <v>-1.1709175802896356E-2</v>
      </c>
      <c r="N119" s="6">
        <f t="shared" si="16"/>
        <v>1.0627786351803241E-2</v>
      </c>
      <c r="O119" s="6">
        <f t="shared" si="15"/>
        <v>4.0970716534691276E-3</v>
      </c>
      <c r="P119" s="6"/>
      <c r="Q119" s="13">
        <f t="shared" si="17"/>
        <v>-5.6066354007376466E-3</v>
      </c>
      <c r="R119" s="13">
        <f t="shared" si="17"/>
        <v>-7.428416817214077E-3</v>
      </c>
      <c r="S119" s="13">
        <f t="shared" si="17"/>
        <v>5.5527780694602487E-3</v>
      </c>
      <c r="T119" s="13">
        <f t="shared" si="17"/>
        <v>-1.1895964157636975E-2</v>
      </c>
      <c r="U119" s="13">
        <f t="shared" si="17"/>
        <v>1.0440997997062622E-2</v>
      </c>
      <c r="V119" s="13"/>
      <c r="W119" s="13">
        <f>+B119/MAX(B$2:B119)-1</f>
        <v>-6.1884814130834354E-2</v>
      </c>
      <c r="X119" s="13">
        <f>+C119/MAX(C$2:C119)-1</f>
        <v>-7.2154710499187091E-3</v>
      </c>
      <c r="Y119" s="13">
        <f>+D119/MAX(D$2:D119)-1</f>
        <v>-8.7366652008628032E-3</v>
      </c>
      <c r="Z119" s="13">
        <f>+E119/MAX(E$2:E119)-1</f>
        <v>-1.1640890186527364E-2</v>
      </c>
      <c r="AA119" s="13">
        <f>+F119/MAX(F$2:F119)-1</f>
        <v>0</v>
      </c>
      <c r="AB119" s="52"/>
      <c r="AC119" s="13">
        <f t="shared" si="18"/>
        <v>-9.5169186994661543E-3</v>
      </c>
      <c r="AD119" s="13">
        <f t="shared" si="18"/>
        <v>-1.1338700115942586E-2</v>
      </c>
      <c r="AE119" s="13" t="str">
        <f t="shared" si="18"/>
        <v/>
      </c>
      <c r="AF119" s="13">
        <f t="shared" si="18"/>
        <v>-1.5806247456365483E-2</v>
      </c>
      <c r="AG119" s="13" t="str">
        <f t="shared" si="18"/>
        <v/>
      </c>
      <c r="AH119" s="52"/>
      <c r="AP119" s="38"/>
    </row>
    <row r="120" spans="1:42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12"/>
        <v>1.8602463504269195E-4</v>
      </c>
      <c r="J120" s="6">
        <f t="shared" si="16"/>
        <v>9.7984505156412712E-3</v>
      </c>
      <c r="K120" s="6">
        <f t="shared" si="16"/>
        <v>-8.2933112377348989E-3</v>
      </c>
      <c r="L120" s="6">
        <f t="shared" si="16"/>
        <v>-1.3171600244696804E-3</v>
      </c>
      <c r="M120" s="6">
        <f t="shared" si="16"/>
        <v>-5.6243984313423317E-3</v>
      </c>
      <c r="N120" s="6">
        <f t="shared" si="16"/>
        <v>-3.191464135615035E-3</v>
      </c>
      <c r="O120" s="6">
        <f t="shared" si="15"/>
        <v>-4.0970716534690834E-3</v>
      </c>
      <c r="P120" s="6"/>
      <c r="Q120" s="13">
        <f t="shared" si="17"/>
        <v>9.6124258805985793E-3</v>
      </c>
      <c r="R120" s="13">
        <f t="shared" si="17"/>
        <v>-8.4793358727775908E-3</v>
      </c>
      <c r="S120" s="13">
        <f t="shared" si="17"/>
        <v>-1.5031846595123723E-3</v>
      </c>
      <c r="T120" s="13">
        <f t="shared" si="17"/>
        <v>-5.8104230663850237E-3</v>
      </c>
      <c r="U120" s="13">
        <f t="shared" si="17"/>
        <v>-3.377488770657727E-3</v>
      </c>
      <c r="V120" s="13"/>
      <c r="W120" s="13">
        <f>+B120/MAX(B$2:B120)-1</f>
        <v>-5.2647557408024737E-2</v>
      </c>
      <c r="X120" s="13">
        <f>+C120/MAX(C$2:C120)-1</f>
        <v>-1.5414894957656022E-2</v>
      </c>
      <c r="Y120" s="13">
        <f>+D120/MAX(D$2:D120)-1</f>
        <v>-1.0041458139991355E-2</v>
      </c>
      <c r="Z120" s="13">
        <f>+E120/MAX(E$2:E120)-1</f>
        <v>-1.7184212074851657E-2</v>
      </c>
      <c r="AA120" s="13">
        <f>+F120/MAX(F$2:F120)-1</f>
        <v>-3.18637682737688E-3</v>
      </c>
      <c r="AB120" s="52"/>
      <c r="AC120" s="13" t="str">
        <f t="shared" si="18"/>
        <v/>
      </c>
      <c r="AD120" s="13">
        <f t="shared" si="18"/>
        <v>-4.1962395842658155E-3</v>
      </c>
      <c r="AE120" s="13" t="str">
        <f t="shared" si="18"/>
        <v/>
      </c>
      <c r="AF120" s="13">
        <f t="shared" si="18"/>
        <v>-1.5273267778732483E-3</v>
      </c>
      <c r="AG120" s="13" t="str">
        <f t="shared" si="18"/>
        <v/>
      </c>
      <c r="AH120" s="52"/>
      <c r="AP120" s="38"/>
    </row>
    <row r="121" spans="1:42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12"/>
        <v>1.8755192925978825E-4</v>
      </c>
      <c r="J121" s="6">
        <f t="shared" si="16"/>
        <v>8.5946741458582179E-3</v>
      </c>
      <c r="K121" s="6">
        <f t="shared" si="16"/>
        <v>-1.6669342296507035E-3</v>
      </c>
      <c r="L121" s="6">
        <f t="shared" si="16"/>
        <v>3.4324844651034197E-3</v>
      </c>
      <c r="M121" s="6">
        <f t="shared" si="16"/>
        <v>-6.7910685184317367E-3</v>
      </c>
      <c r="N121" s="6">
        <f t="shared" si="16"/>
        <v>2.3077617284261594E-3</v>
      </c>
      <c r="O121" s="6">
        <f t="shared" si="15"/>
        <v>8.1766517083937465E-3</v>
      </c>
      <c r="P121" s="6"/>
      <c r="Q121" s="13">
        <f t="shared" si="17"/>
        <v>8.4071222165984297E-3</v>
      </c>
      <c r="R121" s="13">
        <f t="shared" si="17"/>
        <v>-1.8544861589104918E-3</v>
      </c>
      <c r="S121" s="13">
        <f t="shared" si="17"/>
        <v>3.2449325358436315E-3</v>
      </c>
      <c r="T121" s="13">
        <f t="shared" si="17"/>
        <v>-6.978620447691525E-3</v>
      </c>
      <c r="U121" s="13">
        <f t="shared" si="17"/>
        <v>2.1202097991663712E-3</v>
      </c>
      <c r="V121" s="13"/>
      <c r="W121" s="13">
        <f>+B121/MAX(B$2:B121)-1</f>
        <v>-4.4470281689372948E-2</v>
      </c>
      <c r="X121" s="13">
        <f>+C121/MAX(C$2:C121)-1</f>
        <v>-1.7054766412603395E-2</v>
      </c>
      <c r="Y121" s="13">
        <f>+D121/MAX(D$2:D121)-1</f>
        <v>-6.6376023248612137E-3</v>
      </c>
      <c r="Z121" s="13">
        <f>+E121/MAX(E$2:E121)-1</f>
        <v>-2.3835969596965323E-2</v>
      </c>
      <c r="AA121" s="13">
        <f>+F121/MAX(F$2:F121)-1</f>
        <v>-8.8331205720959538E-4</v>
      </c>
      <c r="AB121" s="52"/>
      <c r="AC121" s="13" t="str">
        <f t="shared" si="18"/>
        <v/>
      </c>
      <c r="AD121" s="13">
        <f t="shared" si="18"/>
        <v>-9.8435859380444496E-3</v>
      </c>
      <c r="AE121" s="13">
        <f t="shared" si="18"/>
        <v>-4.7441672432903268E-3</v>
      </c>
      <c r="AF121" s="13">
        <f t="shared" si="18"/>
        <v>-1.4967720226825482E-2</v>
      </c>
      <c r="AG121" s="13">
        <f t="shared" si="18"/>
        <v>-5.8688899799675866E-3</v>
      </c>
      <c r="AH121" s="52"/>
      <c r="AP121" s="38"/>
    </row>
    <row r="122" spans="1:42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12"/>
        <v>1.8487878316397754E-4</v>
      </c>
      <c r="J122" s="6">
        <f t="shared" si="16"/>
        <v>5.8094509155742779E-4</v>
      </c>
      <c r="K122" s="6">
        <f t="shared" si="16"/>
        <v>8.3381444850086286E-4</v>
      </c>
      <c r="L122" s="6">
        <f t="shared" si="16"/>
        <v>1.8827811992427708E-3</v>
      </c>
      <c r="M122" s="6">
        <f t="shared" si="16"/>
        <v>-1.6027947235816124E-2</v>
      </c>
      <c r="N122" s="6">
        <f t="shared" si="16"/>
        <v>8.2076669213310503E-3</v>
      </c>
      <c r="O122" s="6">
        <f t="shared" si="15"/>
        <v>-1.4355378934220285E-2</v>
      </c>
      <c r="P122" s="6"/>
      <c r="Q122" s="13">
        <f t="shared" si="17"/>
        <v>3.9606630839345025E-4</v>
      </c>
      <c r="R122" s="13">
        <f t="shared" si="17"/>
        <v>6.4893566533688531E-4</v>
      </c>
      <c r="S122" s="13">
        <f t="shared" si="17"/>
        <v>1.6979024160787932E-3</v>
      </c>
      <c r="T122" s="13">
        <f t="shared" si="17"/>
        <v>-1.6212826018980102E-2</v>
      </c>
      <c r="U122" s="13">
        <f t="shared" si="17"/>
        <v>8.0227881381670727E-3</v>
      </c>
      <c r="V122" s="13"/>
      <c r="W122" s="13">
        <f>+B122/MAX(B$2:B122)-1</f>
        <v>-4.3915010114151998E-2</v>
      </c>
      <c r="X122" s="13">
        <f>+C122/MAX(C$2:C122)-1</f>
        <v>-1.6234830685129764E-2</v>
      </c>
      <c r="Y122" s="13">
        <f>+D122/MAX(D$2:D122)-1</f>
        <v>-4.7655565051593074E-3</v>
      </c>
      <c r="Z122" s="13">
        <f>+E122/MAX(E$2:E122)-1</f>
        <v>-3.9357156512335179E-2</v>
      </c>
      <c r="AA122" s="13">
        <f>+F122/MAX(F$2:F122)-1</f>
        <v>0</v>
      </c>
      <c r="AB122" s="52"/>
      <c r="AC122" s="13" t="str">
        <f t="shared" si="18"/>
        <v/>
      </c>
      <c r="AD122" s="13" t="str">
        <f t="shared" si="18"/>
        <v/>
      </c>
      <c r="AE122" s="13" t="str">
        <f t="shared" si="18"/>
        <v/>
      </c>
      <c r="AF122" s="13">
        <f t="shared" si="18"/>
        <v>-1.6725683015958396E-3</v>
      </c>
      <c r="AG122" s="13" t="str">
        <f t="shared" si="18"/>
        <v/>
      </c>
      <c r="AH122" s="52"/>
      <c r="AP122" s="38"/>
    </row>
    <row r="123" spans="1:42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12"/>
        <v>1.8296830335384762E-4</v>
      </c>
      <c r="J123" s="6">
        <f t="shared" si="16"/>
        <v>-5.7713210785359176E-3</v>
      </c>
      <c r="K123" s="6">
        <f t="shared" si="16"/>
        <v>-2.670619829599635E-3</v>
      </c>
      <c r="L123" s="6">
        <f t="shared" si="16"/>
        <v>-3.5975477957779409E-3</v>
      </c>
      <c r="M123" s="6">
        <f t="shared" si="16"/>
        <v>-2.9870396236716779E-2</v>
      </c>
      <c r="N123" s="6">
        <f t="shared" si="16"/>
        <v>5.7040100736248747E-4</v>
      </c>
      <c r="O123" s="6">
        <f t="shared" si="15"/>
        <v>-1.0387452060302784E-2</v>
      </c>
      <c r="P123" s="6"/>
      <c r="Q123" s="13">
        <f t="shared" si="17"/>
        <v>-5.9542893818897652E-3</v>
      </c>
      <c r="R123" s="13">
        <f t="shared" si="17"/>
        <v>-2.8535881329534826E-3</v>
      </c>
      <c r="S123" s="13">
        <f t="shared" si="17"/>
        <v>-3.7805160991317885E-3</v>
      </c>
      <c r="T123" s="13">
        <f t="shared" si="17"/>
        <v>-3.0053364540070626E-2</v>
      </c>
      <c r="U123" s="13">
        <f t="shared" si="17"/>
        <v>3.8743270400863985E-4</v>
      </c>
      <c r="V123" s="13"/>
      <c r="W123" s="13">
        <f>+B123/MAX(B$2:B123)-1</f>
        <v>-4.9416991447006842E-2</v>
      </c>
      <c r="X123" s="13">
        <f>+C123/MAX(C$2:C123)-1</f>
        <v>-1.885858836489529E-2</v>
      </c>
      <c r="Y123" s="13">
        <f>+D123/MAX(D$2:D123)-1</f>
        <v>-8.3395273635136213E-3</v>
      </c>
      <c r="Z123" s="13">
        <f>+E123/MAX(E$2:E123)-1</f>
        <v>-6.7627612062053366E-2</v>
      </c>
      <c r="AA123" s="13">
        <f>+F123/MAX(F$2:F123)-1</f>
        <v>0</v>
      </c>
      <c r="AB123" s="52"/>
      <c r="AC123" s="13" t="str">
        <f t="shared" si="18"/>
        <v/>
      </c>
      <c r="AD123" s="13" t="str">
        <f t="shared" si="18"/>
        <v/>
      </c>
      <c r="AE123" s="13" t="str">
        <f t="shared" si="18"/>
        <v/>
      </c>
      <c r="AF123" s="13">
        <f t="shared" si="18"/>
        <v>-1.9482944176413997E-2</v>
      </c>
      <c r="AG123" s="13" t="str">
        <f t="shared" si="18"/>
        <v/>
      </c>
      <c r="AH123" s="52"/>
      <c r="AP123" s="38"/>
    </row>
    <row r="124" spans="1:42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12"/>
        <v>1.8793366209446383E-4</v>
      </c>
      <c r="J124" s="6">
        <f t="shared" si="16"/>
        <v>4.0856395568765842E-3</v>
      </c>
      <c r="K124" s="6">
        <f t="shared" si="16"/>
        <v>-4.5230317841640829E-3</v>
      </c>
      <c r="L124" s="6">
        <f t="shared" si="16"/>
        <v>1.200619285424928E-3</v>
      </c>
      <c r="M124" s="6">
        <f t="shared" si="16"/>
        <v>1.1883725529783697E-3</v>
      </c>
      <c r="N124" s="6">
        <f t="shared" si="16"/>
        <v>5.7259755908601927E-3</v>
      </c>
      <c r="O124" s="6">
        <f t="shared" si="15"/>
        <v>2.6776107237227904E-2</v>
      </c>
      <c r="P124" s="6"/>
      <c r="Q124" s="13">
        <f t="shared" si="17"/>
        <v>3.8977058947821204E-3</v>
      </c>
      <c r="R124" s="13">
        <f t="shared" si="17"/>
        <v>-4.7109654462585467E-3</v>
      </c>
      <c r="S124" s="13">
        <f t="shared" si="17"/>
        <v>1.0126856233304642E-3</v>
      </c>
      <c r="T124" s="13">
        <f t="shared" si="17"/>
        <v>1.0004388908839059E-3</v>
      </c>
      <c r="U124" s="13">
        <f t="shared" si="17"/>
        <v>5.5380419287657289E-3</v>
      </c>
      <c r="V124" s="13"/>
      <c r="W124" s="13">
        <f>+B124/MAX(B$2:B124)-1</f>
        <v>-4.5525307309317364E-2</v>
      </c>
      <c r="X124" s="13">
        <f>+C124/MAX(C$2:C124)-1</f>
        <v>-2.3286301262953613E-2</v>
      </c>
      <c r="Y124" s="13">
        <f>+D124/MAX(D$2:D124)-1</f>
        <v>-7.1482056566705143E-3</v>
      </c>
      <c r="Z124" s="13">
        <f>+E124/MAX(E$2:E124)-1</f>
        <v>-6.6518947684388596E-2</v>
      </c>
      <c r="AA124" s="13">
        <f>+F124/MAX(F$2:F124)-1</f>
        <v>0</v>
      </c>
      <c r="AB124" s="52"/>
      <c r="AC124" s="13">
        <f t="shared" si="18"/>
        <v>-2.2690467680351319E-2</v>
      </c>
      <c r="AD124" s="13">
        <f t="shared" si="18"/>
        <v>-3.1299139021391989E-2</v>
      </c>
      <c r="AE124" s="13">
        <f t="shared" si="18"/>
        <v>-2.5575487951802978E-2</v>
      </c>
      <c r="AF124" s="13">
        <f t="shared" si="18"/>
        <v>-2.5587734684249533E-2</v>
      </c>
      <c r="AG124" s="13">
        <f t="shared" si="18"/>
        <v>-2.1050131646367713E-2</v>
      </c>
      <c r="AH124" s="52"/>
      <c r="AP124" s="38"/>
    </row>
    <row r="125" spans="1:42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12"/>
        <v>1.9022329759033063E-4</v>
      </c>
      <c r="J125" s="6">
        <f t="shared" si="16"/>
        <v>-9.0426439389799818E-3</v>
      </c>
      <c r="K125" s="6">
        <f t="shared" si="16"/>
        <v>2.3477669245357624E-3</v>
      </c>
      <c r="L125" s="6">
        <f t="shared" si="16"/>
        <v>4.4469325058092328E-3</v>
      </c>
      <c r="M125" s="6">
        <f t="shared" si="16"/>
        <v>1.0632216336701443E-2</v>
      </c>
      <c r="N125" s="6">
        <f t="shared" si="16"/>
        <v>-9.4940022755554091E-4</v>
      </c>
      <c r="O125" s="6">
        <f t="shared" si="15"/>
        <v>1.2109593209557942E-2</v>
      </c>
      <c r="P125" s="6"/>
      <c r="Q125" s="13">
        <f t="shared" si="17"/>
        <v>-9.2328672365703125E-3</v>
      </c>
      <c r="R125" s="13">
        <f t="shared" si="17"/>
        <v>2.1575436269454318E-3</v>
      </c>
      <c r="S125" s="13">
        <f t="shared" si="17"/>
        <v>4.2567092082189022E-3</v>
      </c>
      <c r="T125" s="13">
        <f t="shared" si="17"/>
        <v>1.0441993039111112E-2</v>
      </c>
      <c r="U125" s="13">
        <f t="shared" si="17"/>
        <v>-1.1396235251458714E-3</v>
      </c>
      <c r="V125" s="13"/>
      <c r="W125" s="13">
        <f>+B125/MAX(B$2:B125)-1</f>
        <v>-5.4117376047650878E-2</v>
      </c>
      <c r="X125" s="13">
        <f>+C125/MAX(C$2:C125)-1</f>
        <v>-2.0990511210877361E-2</v>
      </c>
      <c r="Y125" s="13">
        <f>+D125/MAX(D$2:D125)-1</f>
        <v>-2.7232292453006623E-3</v>
      </c>
      <c r="Z125" s="13">
        <f>+E125/MAX(E$2:E125)-1</f>
        <v>-5.6541025471373851E-2</v>
      </c>
      <c r="AA125" s="13">
        <f>+F125/MAX(F$2:F125)-1</f>
        <v>-9.4894968975101079E-4</v>
      </c>
      <c r="AB125" s="52"/>
      <c r="AC125" s="13">
        <f t="shared" si="18"/>
        <v>-2.1152237148537922E-2</v>
      </c>
      <c r="AD125" s="13">
        <f t="shared" si="18"/>
        <v>-9.7618262850221807E-3</v>
      </c>
      <c r="AE125" s="13">
        <f t="shared" si="18"/>
        <v>-7.6626607037487094E-3</v>
      </c>
      <c r="AF125" s="13">
        <f t="shared" si="18"/>
        <v>-1.4773768728564996E-3</v>
      </c>
      <c r="AG125" s="13">
        <f t="shared" si="18"/>
        <v>-1.3058993437113484E-2</v>
      </c>
      <c r="AH125" s="52"/>
      <c r="AP125" s="38"/>
    </row>
    <row r="126" spans="1:42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12"/>
        <v>1.8831535865504456E-4</v>
      </c>
      <c r="J126" s="6">
        <f t="shared" si="16"/>
        <v>-1.133841763443315E-2</v>
      </c>
      <c r="K126" s="6">
        <f t="shared" si="16"/>
        <v>-5.8799302773867674E-3</v>
      </c>
      <c r="L126" s="6">
        <f t="shared" si="16"/>
        <v>-8.7416423305419957E-3</v>
      </c>
      <c r="M126" s="6">
        <f t="shared" si="16"/>
        <v>-7.075609674194675E-3</v>
      </c>
      <c r="N126" s="6">
        <f t="shared" si="16"/>
        <v>-1.3768624761212093E-2</v>
      </c>
      <c r="O126" s="6">
        <f t="shared" si="15"/>
        <v>-1.0080635415788465E-2</v>
      </c>
      <c r="P126" s="6"/>
      <c r="Q126" s="13">
        <f t="shared" si="17"/>
        <v>-1.1526732993088195E-2</v>
      </c>
      <c r="R126" s="13">
        <f t="shared" si="17"/>
        <v>-6.068245636041812E-3</v>
      </c>
      <c r="S126" s="13">
        <f t="shared" si="17"/>
        <v>-8.9299576891970402E-3</v>
      </c>
      <c r="T126" s="13">
        <f t="shared" si="17"/>
        <v>-7.2639250328497195E-3</v>
      </c>
      <c r="U126" s="13">
        <f t="shared" si="17"/>
        <v>-1.3956940119867138E-2</v>
      </c>
      <c r="V126" s="13"/>
      <c r="W126" s="13">
        <f>+B126/MAX(B$2:B126)-1</f>
        <v>-6.4781616217713944E-2</v>
      </c>
      <c r="X126" s="13">
        <f>+C126/MAX(C$2:C126)-1</f>
        <v>-2.673012793619356E-2</v>
      </c>
      <c r="Y126" s="13">
        <f>+D126/MAX(D$2:D126)-1</f>
        <v>-1.140307276264152E-2</v>
      </c>
      <c r="Z126" s="13">
        <f>+E126/MAX(E$2:E126)-1</f>
        <v>-6.3193011737362914E-2</v>
      </c>
      <c r="AA126" s="13">
        <f>+F126/MAX(F$2:F126)-1</f>
        <v>-1.4610244279942064E-2</v>
      </c>
      <c r="AB126" s="52"/>
      <c r="AC126" s="13">
        <f t="shared" si="18"/>
        <v>-1.2577822186446846E-3</v>
      </c>
      <c r="AD126" s="13" t="str">
        <f t="shared" si="18"/>
        <v/>
      </c>
      <c r="AE126" s="13" t="str">
        <f t="shared" si="18"/>
        <v/>
      </c>
      <c r="AF126" s="13" t="str">
        <f t="shared" si="18"/>
        <v/>
      </c>
      <c r="AG126" s="13">
        <f t="shared" si="18"/>
        <v>-3.6879893454236281E-3</v>
      </c>
      <c r="AH126" s="52"/>
      <c r="AP126" s="38"/>
    </row>
    <row r="127" spans="1:42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12"/>
        <v>1.8869701894863589E-4</v>
      </c>
      <c r="J127" s="6">
        <f t="shared" si="16"/>
        <v>-4.8213974030586366E-3</v>
      </c>
      <c r="K127" s="6">
        <f t="shared" si="16"/>
        <v>-1.0114192349661964E-3</v>
      </c>
      <c r="L127" s="6">
        <f t="shared" si="16"/>
        <v>1.0105957663276266E-2</v>
      </c>
      <c r="M127" s="6">
        <f t="shared" si="16"/>
        <v>5.9145856733030231E-4</v>
      </c>
      <c r="N127" s="6">
        <f t="shared" si="16"/>
        <v>9.5341290968955009E-3</v>
      </c>
      <c r="O127" s="6">
        <f t="shared" si="15"/>
        <v>2.0246572613530339E-3</v>
      </c>
      <c r="P127" s="6"/>
      <c r="Q127" s="13">
        <f t="shared" si="17"/>
        <v>-5.0100944220072725E-3</v>
      </c>
      <c r="R127" s="13">
        <f t="shared" si="17"/>
        <v>-1.2001162539148323E-3</v>
      </c>
      <c r="S127" s="13">
        <f t="shared" si="17"/>
        <v>9.9172606443276301E-3</v>
      </c>
      <c r="T127" s="13">
        <f t="shared" si="17"/>
        <v>4.0276154838166643E-4</v>
      </c>
      <c r="U127" s="13">
        <f t="shared" si="17"/>
        <v>9.345432077946865E-3</v>
      </c>
      <c r="V127" s="13"/>
      <c r="W127" s="13">
        <f>+B127/MAX(B$2:B127)-1</f>
        <v>-6.927982316919179E-2</v>
      </c>
      <c r="X127" s="13">
        <f>+C127/MAX(C$2:C127)-1</f>
        <v>-2.7714014161011935E-2</v>
      </c>
      <c r="Y127" s="13">
        <f>+D127/MAX(D$2:D127)-1</f>
        <v>-1.3617006900291662E-3</v>
      </c>
      <c r="Z127" s="13">
        <f>+E127/MAX(E$2:E127)-1</f>
        <v>-6.2638765327483692E-2</v>
      </c>
      <c r="AA127" s="13">
        <f>+F127/MAX(F$2:F127)-1</f>
        <v>-5.1704826911178614E-3</v>
      </c>
      <c r="AB127" s="52"/>
      <c r="AC127" s="13">
        <f t="shared" si="18"/>
        <v>-6.8460546644116705E-3</v>
      </c>
      <c r="AD127" s="13">
        <f t="shared" si="18"/>
        <v>-3.03607649631923E-3</v>
      </c>
      <c r="AE127" s="13" t="str">
        <f t="shared" si="18"/>
        <v/>
      </c>
      <c r="AF127" s="13">
        <f t="shared" si="18"/>
        <v>-1.4331986940227315E-3</v>
      </c>
      <c r="AG127" s="13" t="str">
        <f t="shared" si="18"/>
        <v/>
      </c>
      <c r="AH127" s="52"/>
      <c r="AP127" s="38"/>
    </row>
    <row r="128" spans="1:42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12"/>
        <v>1.8869701894863589E-4</v>
      </c>
      <c r="J128" s="6">
        <f t="shared" si="16"/>
        <v>-1.5759825619922172E-3</v>
      </c>
      <c r="K128" s="6">
        <f t="shared" si="16"/>
        <v>1.8535876226185115E-3</v>
      </c>
      <c r="L128" s="6">
        <f t="shared" si="16"/>
        <v>2.1580013672744289E-2</v>
      </c>
      <c r="M128" s="6">
        <f t="shared" si="16"/>
        <v>1.0588436740846002E-2</v>
      </c>
      <c r="N128" s="6">
        <f t="shared" si="16"/>
        <v>5.8043999917945753E-3</v>
      </c>
      <c r="O128" s="6">
        <f t="shared" si="15"/>
        <v>0</v>
      </c>
      <c r="P128" s="6"/>
      <c r="Q128" s="13">
        <f t="shared" si="17"/>
        <v>-1.764679580940853E-3</v>
      </c>
      <c r="R128" s="13">
        <f t="shared" si="17"/>
        <v>1.6648906036698756E-3</v>
      </c>
      <c r="S128" s="13">
        <f t="shared" si="17"/>
        <v>2.1391316653795654E-2</v>
      </c>
      <c r="T128" s="13">
        <f t="shared" si="17"/>
        <v>1.0399739721897366E-2</v>
      </c>
      <c r="U128" s="13">
        <f t="shared" si="17"/>
        <v>5.6157029728459394E-3</v>
      </c>
      <c r="V128" s="13"/>
      <c r="W128" s="13">
        <f>+B128/MAX(B$2:B128)-1</f>
        <v>-7.0745466720278039E-2</v>
      </c>
      <c r="X128" s="13">
        <f>+C128/MAX(C$2:C128)-1</f>
        <v>-2.5910125575719589E-2</v>
      </c>
      <c r="Y128" s="13">
        <f>+D128/MAX(D$2:D128)-1</f>
        <v>0</v>
      </c>
      <c r="Z128" s="13">
        <f>+E128/MAX(E$2:E128)-1</f>
        <v>-5.2660843114468947E-2</v>
      </c>
      <c r="AA128" s="13">
        <f>+F128/MAX(F$2:F128)-1</f>
        <v>0</v>
      </c>
      <c r="AB128" s="52"/>
      <c r="AC128" s="13">
        <f t="shared" si="18"/>
        <v>-1.5759825619922172E-3</v>
      </c>
      <c r="AD128" s="13" t="str">
        <f t="shared" si="18"/>
        <v/>
      </c>
      <c r="AE128" s="13" t="str">
        <f t="shared" si="18"/>
        <v/>
      </c>
      <c r="AF128" s="13" t="str">
        <f t="shared" si="18"/>
        <v/>
      </c>
      <c r="AG128" s="13" t="str">
        <f t="shared" si="18"/>
        <v/>
      </c>
      <c r="AH128" s="52"/>
      <c r="AP128" s="38"/>
    </row>
    <row r="129" spans="1:42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12"/>
        <v>1.8984178229608517E-4</v>
      </c>
      <c r="J129" s="6">
        <f t="shared" si="16"/>
        <v>-8.4661574423176515E-3</v>
      </c>
      <c r="K129" s="6">
        <f t="shared" si="16"/>
        <v>-1.6839405150777205E-4</v>
      </c>
      <c r="L129" s="6">
        <f t="shared" si="16"/>
        <v>-4.6810314347300336E-3</v>
      </c>
      <c r="M129" s="6">
        <f t="shared" si="16"/>
        <v>-7.0465265167247411E-3</v>
      </c>
      <c r="N129" s="6">
        <f t="shared" si="16"/>
        <v>-4.8150123419915631E-3</v>
      </c>
      <c r="O129" s="6">
        <f t="shared" si="15"/>
        <v>6.0483460799302426E-3</v>
      </c>
      <c r="P129" s="6"/>
      <c r="Q129" s="13">
        <f t="shared" si="17"/>
        <v>-8.6559992246137366E-3</v>
      </c>
      <c r="R129" s="13">
        <f t="shared" si="17"/>
        <v>-3.5823583380385722E-4</v>
      </c>
      <c r="S129" s="13">
        <f t="shared" si="17"/>
        <v>-4.8708732170261188E-3</v>
      </c>
      <c r="T129" s="13">
        <f t="shared" si="17"/>
        <v>-7.2363682990208263E-3</v>
      </c>
      <c r="U129" s="13">
        <f t="shared" si="17"/>
        <v>-5.0048541242876483E-3</v>
      </c>
      <c r="V129" s="13"/>
      <c r="W129" s="13">
        <f>+B129/MAX(B$2:B129)-1</f>
        <v>-7.8579473144766543E-2</v>
      </c>
      <c r="X129" s="13">
        <f>+C129/MAX(C$2:C129)-1</f>
        <v>-2.6074142706064452E-2</v>
      </c>
      <c r="Y129" s="13">
        <f>+D129/MAX(D$2:D129)-1</f>
        <v>-4.6700924822664636E-3</v>
      </c>
      <c r="Z129" s="13">
        <f>+E129/MAX(E$2:E129)-1</f>
        <v>-5.9312829380457899E-2</v>
      </c>
      <c r="AA129" s="13">
        <f>+F129/MAX(F$2:F129)-1</f>
        <v>-4.8034387531735723E-3</v>
      </c>
      <c r="AB129" s="52"/>
      <c r="AC129" s="13">
        <f t="shared" si="18"/>
        <v>-1.4514503522247894E-2</v>
      </c>
      <c r="AD129" s="13">
        <f t="shared" si="18"/>
        <v>-6.2167401314380142E-3</v>
      </c>
      <c r="AE129" s="13">
        <f t="shared" si="18"/>
        <v>-1.0729377514660276E-2</v>
      </c>
      <c r="AF129" s="13">
        <f t="shared" si="18"/>
        <v>-1.3094872596654983E-2</v>
      </c>
      <c r="AG129" s="13">
        <f t="shared" si="18"/>
        <v>-1.0863358421921807E-2</v>
      </c>
      <c r="AH129" s="52"/>
      <c r="AP129" s="38"/>
    </row>
    <row r="130" spans="1:42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12"/>
        <v>1.9022329759033063E-4</v>
      </c>
      <c r="J130" s="6">
        <f t="shared" si="16"/>
        <v>-4.1223013161664603E-3</v>
      </c>
      <c r="K130" s="6">
        <f t="shared" si="16"/>
        <v>2.181787938436186E-2</v>
      </c>
      <c r="L130" s="6">
        <f t="shared" si="16"/>
        <v>3.9023496044056838E-3</v>
      </c>
      <c r="M130" s="6">
        <f t="shared" si="16"/>
        <v>-3.5419102241213379E-3</v>
      </c>
      <c r="N130" s="6">
        <f t="shared" si="16"/>
        <v>-6.0234144772223523E-3</v>
      </c>
      <c r="O130" s="6">
        <f t="shared" si="15"/>
        <v>2.0076320745050212E-3</v>
      </c>
      <c r="P130" s="6"/>
      <c r="Q130" s="13">
        <f t="shared" si="17"/>
        <v>-4.3125246137567909E-3</v>
      </c>
      <c r="R130" s="13">
        <f t="shared" si="17"/>
        <v>2.162765608677153E-2</v>
      </c>
      <c r="S130" s="13">
        <f t="shared" si="17"/>
        <v>3.7121263068153531E-3</v>
      </c>
      <c r="T130" s="13">
        <f t="shared" si="17"/>
        <v>-3.7321335217116685E-3</v>
      </c>
      <c r="U130" s="13">
        <f t="shared" si="17"/>
        <v>-6.2136377748126829E-3</v>
      </c>
      <c r="V130" s="13"/>
      <c r="W130" s="13">
        <f>+B130/MAX(B$2:B130)-1</f>
        <v>-8.2370027923032718E-2</v>
      </c>
      <c r="X130" s="13">
        <f>+C130/MAX(C$2:C130)-1</f>
        <v>-4.5916467371527325E-3</v>
      </c>
      <c r="Y130" s="13">
        <f>+D130/MAX(D$2:D130)-1</f>
        <v>-7.783787363042638E-4</v>
      </c>
      <c r="Z130" s="13">
        <f>+E130/MAX(E$2:E130)-1</f>
        <v>-6.2638765327483692E-2</v>
      </c>
      <c r="AA130" s="13">
        <f>+F130/MAX(F$2:F130)-1</f>
        <v>-1.0779902698554222E-2</v>
      </c>
      <c r="AB130" s="52"/>
      <c r="AC130" s="13">
        <f t="shared" si="18"/>
        <v>-6.1299333906714819E-3</v>
      </c>
      <c r="AD130" s="13" t="str">
        <f t="shared" si="18"/>
        <v/>
      </c>
      <c r="AE130" s="13" t="str">
        <f t="shared" si="18"/>
        <v/>
      </c>
      <c r="AF130" s="13">
        <f t="shared" si="18"/>
        <v>-5.5495422986263591E-3</v>
      </c>
      <c r="AG130" s="13">
        <f t="shared" si="18"/>
        <v>-8.0310465517273739E-3</v>
      </c>
      <c r="AH130" s="52"/>
      <c r="AP130" s="38"/>
    </row>
    <row r="131" spans="1:42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ref="H131:H194" si="19">+(1+G131)^(1/250)-1</f>
        <v>1.9479865694971288E-4</v>
      </c>
      <c r="J131" s="6">
        <f t="shared" ref="J131:N162" si="20">LN(B131/B130)</f>
        <v>4.1772619153831059E-3</v>
      </c>
      <c r="K131" s="6">
        <f t="shared" si="20"/>
        <v>8.8568526987604264E-3</v>
      </c>
      <c r="L131" s="6">
        <f t="shared" si="20"/>
        <v>6.4887245296995355E-3</v>
      </c>
      <c r="M131" s="6">
        <f t="shared" si="20"/>
        <v>5.3082933634442889E-3</v>
      </c>
      <c r="N131" s="6">
        <f t="shared" si="20"/>
        <v>1.2633935945864823E-3</v>
      </c>
      <c r="O131" s="6">
        <f t="shared" si="15"/>
        <v>2.3767864106321954E-2</v>
      </c>
      <c r="P131" s="6"/>
      <c r="Q131" s="13">
        <f t="shared" si="17"/>
        <v>3.9824632584333931E-3</v>
      </c>
      <c r="R131" s="13">
        <f t="shared" si="17"/>
        <v>8.6620540418107135E-3</v>
      </c>
      <c r="S131" s="13">
        <f t="shared" si="17"/>
        <v>6.2939258727498226E-3</v>
      </c>
      <c r="T131" s="13">
        <f t="shared" si="17"/>
        <v>5.1134947064945761E-3</v>
      </c>
      <c r="U131" s="13">
        <f t="shared" si="17"/>
        <v>1.0685949376367694E-3</v>
      </c>
      <c r="V131" s="13"/>
      <c r="W131" s="13">
        <f>+B131/MAX(B$2:B131)-1</f>
        <v>-7.8528829928801946E-2</v>
      </c>
      <c r="X131" s="13">
        <f>+C131/MAX(C$2:C131)-1</f>
        <v>0</v>
      </c>
      <c r="Y131" s="13">
        <f>+D131/MAX(D$2:D131)-1</f>
        <v>0</v>
      </c>
      <c r="Z131" s="13">
        <f>+E131/MAX(E$2:E131)-1</f>
        <v>-5.764974703500747E-2</v>
      </c>
      <c r="AA131" s="13">
        <f>+F131/MAX(F$2:F131)-1</f>
        <v>-9.5293385529640062E-3</v>
      </c>
      <c r="AB131" s="52"/>
      <c r="AC131" s="13">
        <f t="shared" si="18"/>
        <v>-1.9590602190938847E-2</v>
      </c>
      <c r="AD131" s="13">
        <f t="shared" si="18"/>
        <v>-1.4911011407561528E-2</v>
      </c>
      <c r="AE131" s="13">
        <f t="shared" si="18"/>
        <v>-1.7279139576622419E-2</v>
      </c>
      <c r="AF131" s="13">
        <f t="shared" si="18"/>
        <v>-1.8459570742877664E-2</v>
      </c>
      <c r="AG131" s="13">
        <f t="shared" si="18"/>
        <v>-2.2504470511735472E-2</v>
      </c>
      <c r="AH131" s="52"/>
      <c r="AP131" s="38"/>
    </row>
    <row r="132" spans="1:42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si="19"/>
        <v>1.9289289052348835E-4</v>
      </c>
      <c r="J132" s="6">
        <f t="shared" si="20"/>
        <v>1.118116096025438E-2</v>
      </c>
      <c r="K132" s="6">
        <f t="shared" si="20"/>
        <v>-1.4707357985398316E-3</v>
      </c>
      <c r="L132" s="6">
        <f t="shared" si="20"/>
        <v>1.1924178761792791E-2</v>
      </c>
      <c r="M132" s="6">
        <f t="shared" si="20"/>
        <v>-2.4413339458236528E-2</v>
      </c>
      <c r="N132" s="6">
        <f t="shared" si="20"/>
        <v>2.0902891694828028E-2</v>
      </c>
      <c r="O132" s="6">
        <f t="shared" ref="O132:O195" si="21">LN(H132/H131)</f>
        <v>-9.8314332056269067E-3</v>
      </c>
      <c r="P132" s="6"/>
      <c r="Q132" s="13">
        <f t="shared" si="17"/>
        <v>1.0988268069730892E-2</v>
      </c>
      <c r="R132" s="13">
        <f t="shared" si="17"/>
        <v>-1.66362868906332E-3</v>
      </c>
      <c r="S132" s="13">
        <f t="shared" si="17"/>
        <v>1.1731285871269303E-2</v>
      </c>
      <c r="T132" s="13">
        <f t="shared" si="17"/>
        <v>-2.4606232348760016E-2</v>
      </c>
      <c r="U132" s="13">
        <f t="shared" si="17"/>
        <v>2.070999880430454E-2</v>
      </c>
      <c r="V132" s="13"/>
      <c r="W132" s="13">
        <f>+B132/MAX(B$2:B132)-1</f>
        <v>-6.8167896767328262E-2</v>
      </c>
      <c r="X132" s="13">
        <f>+C132/MAX(C$2:C132)-1</f>
        <v>-1.4696547966662754E-3</v>
      </c>
      <c r="Y132" s="13">
        <f>+D132/MAX(D$2:D132)-1</f>
        <v>0</v>
      </c>
      <c r="Z132" s="13">
        <f>+E132/MAX(E$2:E132)-1</f>
        <v>-8.0377109440276762E-2</v>
      </c>
      <c r="AA132" s="13">
        <f>+F132/MAX(F$2:F132)-1</f>
        <v>0</v>
      </c>
      <c r="AB132" s="52"/>
      <c r="AC132" s="13" t="str">
        <f t="shared" si="18"/>
        <v/>
      </c>
      <c r="AD132" s="13" t="str">
        <f t="shared" si="18"/>
        <v/>
      </c>
      <c r="AE132" s="13" t="str">
        <f t="shared" si="18"/>
        <v/>
      </c>
      <c r="AF132" s="13">
        <f t="shared" si="18"/>
        <v>-1.4581906252609621E-2</v>
      </c>
      <c r="AG132" s="13" t="str">
        <f t="shared" si="18"/>
        <v/>
      </c>
      <c r="AH132" s="52"/>
      <c r="AP132" s="38"/>
    </row>
    <row r="133" spans="1:42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19"/>
        <v>1.9251162871269933E-4</v>
      </c>
      <c r="J133" s="6">
        <f t="shared" si="20"/>
        <v>-1.0084818339197638E-2</v>
      </c>
      <c r="K133" s="6">
        <f t="shared" si="20"/>
        <v>8.1738858055153973E-4</v>
      </c>
      <c r="L133" s="6">
        <f t="shared" si="20"/>
        <v>5.0128845481506338E-3</v>
      </c>
      <c r="M133" s="6">
        <f t="shared" si="20"/>
        <v>1.2578760442407045E-2</v>
      </c>
      <c r="N133" s="6">
        <f t="shared" si="20"/>
        <v>3.4788317372660206E-4</v>
      </c>
      <c r="O133" s="6">
        <f t="shared" si="21"/>
        <v>-1.9785026699455054E-3</v>
      </c>
      <c r="P133" s="6"/>
      <c r="Q133" s="13">
        <f t="shared" si="17"/>
        <v>-1.0277329967910337E-2</v>
      </c>
      <c r="R133" s="13">
        <f t="shared" si="17"/>
        <v>6.248769518388404E-4</v>
      </c>
      <c r="S133" s="13">
        <f t="shared" si="17"/>
        <v>4.8203729194379345E-3</v>
      </c>
      <c r="T133" s="13">
        <f t="shared" si="17"/>
        <v>1.2386248813694345E-2</v>
      </c>
      <c r="U133" s="13">
        <f t="shared" si="17"/>
        <v>1.5537154501390273E-4</v>
      </c>
      <c r="V133" s="13"/>
      <c r="W133" s="13">
        <f>+B133/MAX(B$2:B133)-1</f>
        <v>-7.7518027819506785E-2</v>
      </c>
      <c r="X133" s="13">
        <f>+C133/MAX(C$2:C133)-1</f>
        <v>-6.5313383316856211E-4</v>
      </c>
      <c r="Y133" s="13">
        <f>+D133/MAX(D$2:D133)-1</f>
        <v>0</v>
      </c>
      <c r="Z133" s="13">
        <f>+E133/MAX(E$2:E133)-1</f>
        <v>-6.8736333625686985E-2</v>
      </c>
      <c r="AA133" s="13">
        <f>+F133/MAX(F$2:F133)-1</f>
        <v>0</v>
      </c>
      <c r="AB133" s="52"/>
      <c r="AC133" s="13">
        <f t="shared" si="18"/>
        <v>-8.1063156692521322E-3</v>
      </c>
      <c r="AD133" s="13" t="str">
        <f t="shared" si="18"/>
        <v/>
      </c>
      <c r="AE133" s="13" t="str">
        <f t="shared" si="18"/>
        <v/>
      </c>
      <c r="AF133" s="13" t="str">
        <f t="shared" si="18"/>
        <v/>
      </c>
      <c r="AG133" s="13" t="str">
        <f t="shared" si="18"/>
        <v/>
      </c>
      <c r="AH133" s="52"/>
      <c r="AP133" s="38"/>
    </row>
    <row r="134" spans="1:42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19"/>
        <v>1.9441757599203413E-4</v>
      </c>
      <c r="J134" s="6">
        <f t="shared" si="20"/>
        <v>-7.479106127821062E-3</v>
      </c>
      <c r="K134" s="6">
        <f t="shared" si="20"/>
        <v>-8.0388122707836501E-3</v>
      </c>
      <c r="L134" s="6">
        <f t="shared" si="20"/>
        <v>-3.4300521667624483E-3</v>
      </c>
      <c r="M134" s="6">
        <f t="shared" si="20"/>
        <v>-1.1976066753339242E-2</v>
      </c>
      <c r="N134" s="6">
        <f t="shared" si="20"/>
        <v>-3.7939352461026604E-3</v>
      </c>
      <c r="O134" s="6">
        <f t="shared" si="21"/>
        <v>9.8517386206897241E-3</v>
      </c>
      <c r="P134" s="6"/>
      <c r="Q134" s="13">
        <f t="shared" si="17"/>
        <v>-7.6735237038130961E-3</v>
      </c>
      <c r="R134" s="13">
        <f t="shared" si="17"/>
        <v>-8.2332298467756842E-3</v>
      </c>
      <c r="S134" s="13">
        <f t="shared" si="17"/>
        <v>-3.6244697427544824E-3</v>
      </c>
      <c r="T134" s="13">
        <f t="shared" si="17"/>
        <v>-1.2170484329331276E-2</v>
      </c>
      <c r="U134" s="13">
        <f t="shared" si="17"/>
        <v>-3.988352822094695E-3</v>
      </c>
      <c r="V134" s="13"/>
      <c r="W134" s="13">
        <f>+B134/MAX(B$2:B134)-1</f>
        <v>-8.4391632141623263E-2</v>
      </c>
      <c r="X134" s="13">
        <f>+C134/MAX(C$2:C134)-1</f>
        <v>-8.6544918870907761E-3</v>
      </c>
      <c r="Y134" s="13">
        <f>+D134/MAX(D$2:D134)-1</f>
        <v>-3.4241762579735324E-3</v>
      </c>
      <c r="Z134" s="13">
        <f>+E134/MAX(E$2:E134)-1</f>
        <v>-7.9822691472491214E-2</v>
      </c>
      <c r="AA134" s="13">
        <f>+F134/MAX(F$2:F134)-1</f>
        <v>-3.7867473667663187E-3</v>
      </c>
      <c r="AB134" s="52"/>
      <c r="AC134" s="13">
        <f t="shared" si="18"/>
        <v>-1.7330844748510786E-2</v>
      </c>
      <c r="AD134" s="13">
        <f t="shared" si="18"/>
        <v>-1.7890550891473372E-2</v>
      </c>
      <c r="AE134" s="13">
        <f t="shared" si="18"/>
        <v>-1.3281790787452173E-2</v>
      </c>
      <c r="AF134" s="13">
        <f t="shared" si="18"/>
        <v>-2.1827805374028966E-2</v>
      </c>
      <c r="AG134" s="13">
        <f t="shared" si="18"/>
        <v>-1.3645673866792385E-2</v>
      </c>
      <c r="AH134" s="52"/>
      <c r="AP134" s="38"/>
    </row>
    <row r="135" spans="1:42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19"/>
        <v>1.9441757599203413E-4</v>
      </c>
      <c r="J135" s="6">
        <f t="shared" si="20"/>
        <v>8.0816092470088127E-3</v>
      </c>
      <c r="K135" s="6">
        <f t="shared" si="20"/>
        <v>-6.1132169466150627E-3</v>
      </c>
      <c r="L135" s="6">
        <f t="shared" si="20"/>
        <v>4.9073938927271261E-4</v>
      </c>
      <c r="M135" s="6">
        <f t="shared" si="20"/>
        <v>1.3760308076745754E-2</v>
      </c>
      <c r="N135" s="6">
        <f t="shared" si="20"/>
        <v>1.7048185442892359E-3</v>
      </c>
      <c r="O135" s="6">
        <f t="shared" si="21"/>
        <v>0</v>
      </c>
      <c r="P135" s="6"/>
      <c r="Q135" s="13">
        <f t="shared" si="17"/>
        <v>7.8871916710167786E-3</v>
      </c>
      <c r="R135" s="13">
        <f t="shared" si="17"/>
        <v>-6.3076345226070968E-3</v>
      </c>
      <c r="S135" s="13">
        <f t="shared" si="17"/>
        <v>2.9632181328067848E-4</v>
      </c>
      <c r="T135" s="13">
        <f t="shared" si="17"/>
        <v>1.356589050075372E-2</v>
      </c>
      <c r="U135" s="13">
        <f t="shared" si="17"/>
        <v>1.5104009682972018E-3</v>
      </c>
      <c r="V135" s="13"/>
      <c r="W135" s="13">
        <f>+B135/MAX(B$2:B135)-1</f>
        <v>-7.6962062085147553E-2</v>
      </c>
      <c r="X135" s="13">
        <f>+C135/MAX(C$2:C135)-1</f>
        <v>-1.4696315741299926E-2</v>
      </c>
      <c r="Y135" s="13">
        <f>+D135/MAX(D$2:D135)-1</f>
        <v>-2.9349972269742119E-3</v>
      </c>
      <c r="Z135" s="13">
        <f>+E135/MAX(E$2:E135)-1</f>
        <v>-6.7073251280236557E-2</v>
      </c>
      <c r="AA135" s="13">
        <f>+F135/MAX(F$2:F135)-1</f>
        <v>-2.086936016349572E-3</v>
      </c>
      <c r="AB135" s="52"/>
      <c r="AC135" s="13" t="str">
        <f t="shared" si="18"/>
        <v/>
      </c>
      <c r="AD135" s="13">
        <f t="shared" si="18"/>
        <v>-6.1132169466150627E-3</v>
      </c>
      <c r="AE135" s="13" t="str">
        <f t="shared" si="18"/>
        <v/>
      </c>
      <c r="AF135" s="13" t="str">
        <f t="shared" si="18"/>
        <v/>
      </c>
      <c r="AG135" s="13" t="str">
        <f t="shared" si="18"/>
        <v/>
      </c>
      <c r="AH135" s="52"/>
      <c r="AP135" s="38"/>
    </row>
    <row r="136" spans="1:42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19"/>
        <v>1.9403645887727805E-4</v>
      </c>
      <c r="J136" s="6">
        <f t="shared" si="20"/>
        <v>-6.647496052951337E-3</v>
      </c>
      <c r="K136" s="6">
        <f t="shared" si="20"/>
        <v>9.9389517455469021E-4</v>
      </c>
      <c r="L136" s="6">
        <f t="shared" si="20"/>
        <v>5.0566859458387667E-3</v>
      </c>
      <c r="M136" s="6">
        <f t="shared" si="20"/>
        <v>7.6945269621530249E-3</v>
      </c>
      <c r="N136" s="6">
        <f t="shared" si="20"/>
        <v>-1.659450476103029E-3</v>
      </c>
      <c r="O136" s="6">
        <f t="shared" si="21"/>
        <v>-1.9622256577658012E-3</v>
      </c>
      <c r="P136" s="6"/>
      <c r="Q136" s="13">
        <f t="shared" si="17"/>
        <v>-6.8415325118286151E-3</v>
      </c>
      <c r="R136" s="13">
        <f t="shared" si="17"/>
        <v>7.9985871567741216E-4</v>
      </c>
      <c r="S136" s="13">
        <f t="shared" si="17"/>
        <v>4.8626494869614886E-3</v>
      </c>
      <c r="T136" s="13">
        <f t="shared" si="17"/>
        <v>7.5004905032757469E-3</v>
      </c>
      <c r="U136" s="13">
        <f t="shared" si="17"/>
        <v>-1.853486934980307E-3</v>
      </c>
      <c r="V136" s="13"/>
      <c r="W136" s="13">
        <f>+B136/MAX(B$2:B136)-1</f>
        <v>-8.3077604093418911E-2</v>
      </c>
      <c r="X136" s="13">
        <f>+C136/MAX(C$2:C136)-1</f>
        <v>-1.3716540347680439E-2</v>
      </c>
      <c r="Y136" s="13">
        <f>+D136/MAX(D$2:D136)-1</f>
        <v>0</v>
      </c>
      <c r="Z136" s="13">
        <f>+E136/MAX(E$2:E136)-1</f>
        <v>-5.9867132976306081E-2</v>
      </c>
      <c r="AA136" s="13">
        <f>+F136/MAX(F$2:F136)-1</f>
        <v>-3.7415500707436156E-3</v>
      </c>
      <c r="AB136" s="52"/>
      <c r="AC136" s="13">
        <f t="shared" si="18"/>
        <v>-4.6852703951855354E-3</v>
      </c>
      <c r="AD136" s="13" t="str">
        <f t="shared" si="18"/>
        <v/>
      </c>
      <c r="AE136" s="13" t="str">
        <f t="shared" si="18"/>
        <v/>
      </c>
      <c r="AF136" s="13" t="str">
        <f t="shared" si="18"/>
        <v/>
      </c>
      <c r="AG136" s="13" t="str">
        <f t="shared" si="18"/>
        <v/>
      </c>
      <c r="AH136" s="52"/>
      <c r="AP136" s="38"/>
    </row>
    <row r="137" spans="1:42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19"/>
        <v>1.9441757599203413E-4</v>
      </c>
      <c r="J137" s="6">
        <f t="shared" si="20"/>
        <v>-3.6999302544279294E-3</v>
      </c>
      <c r="K137" s="6">
        <f t="shared" si="20"/>
        <v>-6.311315966027564E-3</v>
      </c>
      <c r="L137" s="6">
        <f t="shared" si="20"/>
        <v>9.0702909341080495E-3</v>
      </c>
      <c r="M137" s="6">
        <f t="shared" si="20"/>
        <v>-1.7703701935084114E-3</v>
      </c>
      <c r="N137" s="6">
        <f t="shared" si="20"/>
        <v>5.2154203933401618E-3</v>
      </c>
      <c r="O137" s="6">
        <f t="shared" si="21"/>
        <v>1.9622256577658281E-3</v>
      </c>
      <c r="P137" s="6"/>
      <c r="Q137" s="13">
        <f t="shared" si="17"/>
        <v>-3.8943478304199635E-3</v>
      </c>
      <c r="R137" s="13">
        <f t="shared" si="17"/>
        <v>-6.5057335420195981E-3</v>
      </c>
      <c r="S137" s="13">
        <f t="shared" si="17"/>
        <v>8.8758733581160154E-3</v>
      </c>
      <c r="T137" s="13">
        <f t="shared" si="17"/>
        <v>-1.9647877695004455E-3</v>
      </c>
      <c r="U137" s="13">
        <f t="shared" si="17"/>
        <v>5.0210028173481277E-3</v>
      </c>
      <c r="V137" s="13"/>
      <c r="W137" s="13">
        <f>+B137/MAX(B$2:B137)-1</f>
        <v>-8.6463884643033229E-2</v>
      </c>
      <c r="X137" s="13">
        <f>+C137/MAX(C$2:C137)-1</f>
        <v>-1.9921684982115107E-2</v>
      </c>
      <c r="Y137" s="13">
        <f>+D137/MAX(D$2:D137)-1</f>
        <v>0</v>
      </c>
      <c r="Z137" s="13">
        <f>+E137/MAX(E$2:E137)-1</f>
        <v>-6.1530043763850073E-2</v>
      </c>
      <c r="AA137" s="13">
        <f>+F137/MAX(F$2:F137)-1</f>
        <v>0</v>
      </c>
      <c r="AB137" s="52"/>
      <c r="AC137" s="13">
        <f t="shared" si="18"/>
        <v>-5.6621559121937575E-3</v>
      </c>
      <c r="AD137" s="13">
        <f t="shared" si="18"/>
        <v>-8.2735416237933925E-3</v>
      </c>
      <c r="AE137" s="13" t="str">
        <f t="shared" si="18"/>
        <v/>
      </c>
      <c r="AF137" s="13">
        <f t="shared" si="18"/>
        <v>-3.7325958512742395E-3</v>
      </c>
      <c r="AG137" s="13" t="str">
        <f t="shared" si="18"/>
        <v/>
      </c>
      <c r="AH137" s="52"/>
      <c r="AP137" s="38"/>
    </row>
    <row r="138" spans="1:42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19"/>
        <v>1.9594168295089531E-4</v>
      </c>
      <c r="J138" s="6">
        <f t="shared" si="20"/>
        <v>-6.0485955778969338E-3</v>
      </c>
      <c r="K138" s="6">
        <f t="shared" si="20"/>
        <v>-8.1974383416661724E-3</v>
      </c>
      <c r="L138" s="6">
        <f t="shared" si="20"/>
        <v>-4.1470699285579005E-3</v>
      </c>
      <c r="M138" s="6">
        <f t="shared" si="20"/>
        <v>2.9490604228386468E-3</v>
      </c>
      <c r="N138" s="6">
        <f t="shared" si="20"/>
        <v>7.9759250577916968E-3</v>
      </c>
      <c r="O138" s="6">
        <f t="shared" si="21"/>
        <v>7.8087795719660449E-3</v>
      </c>
      <c r="P138" s="6"/>
      <c r="Q138" s="13">
        <f t="shared" si="17"/>
        <v>-6.2445372608478291E-3</v>
      </c>
      <c r="R138" s="13">
        <f t="shared" si="17"/>
        <v>-8.3933800246170677E-3</v>
      </c>
      <c r="S138" s="13">
        <f t="shared" si="17"/>
        <v>-4.3430116115087958E-3</v>
      </c>
      <c r="T138" s="13">
        <f t="shared" si="17"/>
        <v>2.7531187398877515E-3</v>
      </c>
      <c r="U138" s="13">
        <f t="shared" si="17"/>
        <v>7.7799833748408015E-3</v>
      </c>
      <c r="V138" s="13"/>
      <c r="W138" s="13">
        <f>+B138/MAX(B$2:B138)-1</f>
        <v>-9.1972817700981091E-2</v>
      </c>
      <c r="X138" s="13">
        <f>+C138/MAX(C$2:C138)-1</f>
        <v>-2.7922976685933687E-2</v>
      </c>
      <c r="Y138" s="13">
        <f>+D138/MAX(D$2:D138)-1</f>
        <v>-4.1384827087632692E-3</v>
      </c>
      <c r="Z138" s="13">
        <f>+E138/MAX(E$2:E138)-1</f>
        <v>-5.8758354226703613E-2</v>
      </c>
      <c r="AA138" s="13">
        <f>+F138/MAX(F$2:F138)-1</f>
        <v>0</v>
      </c>
      <c r="AB138" s="52"/>
      <c r="AC138" s="13">
        <f t="shared" si="18"/>
        <v>-1.3857375149862978E-2</v>
      </c>
      <c r="AD138" s="13">
        <f t="shared" si="18"/>
        <v>-1.6006217913632218E-2</v>
      </c>
      <c r="AE138" s="13">
        <f t="shared" si="18"/>
        <v>-1.1955849500523946E-2</v>
      </c>
      <c r="AF138" s="13">
        <f t="shared" si="18"/>
        <v>-4.8597191491273981E-3</v>
      </c>
      <c r="AG138" s="13" t="str">
        <f t="shared" si="18"/>
        <v/>
      </c>
      <c r="AH138" s="52"/>
      <c r="AP138" s="38"/>
    </row>
    <row r="139" spans="1:42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19"/>
        <v>1.9517970175764177E-4</v>
      </c>
      <c r="J139" s="6">
        <f t="shared" si="20"/>
        <v>-2.5708994582135079E-2</v>
      </c>
      <c r="K139" s="6">
        <f t="shared" si="20"/>
        <v>4.6925289520041878E-3</v>
      </c>
      <c r="L139" s="6">
        <f t="shared" si="20"/>
        <v>7.4737850456217817E-3</v>
      </c>
      <c r="M139" s="6">
        <f t="shared" si="20"/>
        <v>-1.0657458514889893E-2</v>
      </c>
      <c r="N139" s="6">
        <f t="shared" si="20"/>
        <v>-1.1939974324694175E-3</v>
      </c>
      <c r="O139" s="6">
        <f t="shared" si="21"/>
        <v>-3.8963973184373184E-3</v>
      </c>
      <c r="P139" s="6"/>
      <c r="Q139" s="13">
        <f t="shared" si="17"/>
        <v>-2.590417428389272E-2</v>
      </c>
      <c r="R139" s="13">
        <f t="shared" si="17"/>
        <v>4.497349250246546E-3</v>
      </c>
      <c r="S139" s="13">
        <f t="shared" si="17"/>
        <v>7.2786053438641399E-3</v>
      </c>
      <c r="T139" s="13">
        <f t="shared" si="17"/>
        <v>-1.0852638216647535E-2</v>
      </c>
      <c r="U139" s="13">
        <f t="shared" si="17"/>
        <v>-1.3891771342270593E-3</v>
      </c>
      <c r="V139" s="13"/>
      <c r="W139" s="13">
        <f>+B139/MAX(B$2:B139)-1</f>
        <v>-0.1150197573904691</v>
      </c>
      <c r="X139" s="13">
        <f>+C139/MAX(C$2:C139)-1</f>
        <v>-2.3350757865813088E-2</v>
      </c>
      <c r="Y139" s="13">
        <f>+D139/MAX(D$2:D139)-1</f>
        <v>0</v>
      </c>
      <c r="Z139" s="13">
        <f>+E139/MAX(E$2:E139)-1</f>
        <v>-6.8736333625686985E-2</v>
      </c>
      <c r="AA139" s="13">
        <f>+F139/MAX(F$2:F139)-1</f>
        <v>-1.1932849011501157E-3</v>
      </c>
      <c r="AB139" s="52"/>
      <c r="AC139" s="13">
        <f t="shared" si="18"/>
        <v>-2.1812597263697761E-2</v>
      </c>
      <c r="AD139" s="13" t="str">
        <f t="shared" si="18"/>
        <v/>
      </c>
      <c r="AE139" s="13" t="str">
        <f t="shared" si="18"/>
        <v/>
      </c>
      <c r="AF139" s="13">
        <f t="shared" si="18"/>
        <v>-6.7610611964525743E-3</v>
      </c>
      <c r="AG139" s="13" t="str">
        <f t="shared" si="18"/>
        <v/>
      </c>
      <c r="AH139" s="52"/>
      <c r="AP139" s="38"/>
    </row>
    <row r="140" spans="1:42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19"/>
        <v>1.9632261934998674E-4</v>
      </c>
      <c r="J140" s="6">
        <f t="shared" si="20"/>
        <v>-2.8853134850884594E-2</v>
      </c>
      <c r="K140" s="6">
        <f t="shared" si="20"/>
        <v>-4.8605552480539922E-3</v>
      </c>
      <c r="L140" s="6">
        <f t="shared" si="20"/>
        <v>9.9673658093087422E-3</v>
      </c>
      <c r="M140" s="6">
        <f t="shared" si="20"/>
        <v>2.1784911671504949E-2</v>
      </c>
      <c r="N140" s="6">
        <f t="shared" si="20"/>
        <v>-1.0245348981574391E-2</v>
      </c>
      <c r="O140" s="6">
        <f t="shared" si="21"/>
        <v>5.8386414462251674E-3</v>
      </c>
      <c r="P140" s="6"/>
      <c r="Q140" s="13">
        <f t="shared" si="17"/>
        <v>-2.9049457470234581E-2</v>
      </c>
      <c r="R140" s="13">
        <f t="shared" si="17"/>
        <v>-5.0568778674039789E-3</v>
      </c>
      <c r="S140" s="13">
        <f t="shared" si="17"/>
        <v>9.7710431899587554E-3</v>
      </c>
      <c r="T140" s="13">
        <f t="shared" si="17"/>
        <v>2.1588589052154963E-2</v>
      </c>
      <c r="U140" s="13">
        <f t="shared" si="17"/>
        <v>-1.0441671600924378E-2</v>
      </c>
      <c r="V140" s="13"/>
      <c r="W140" s="13">
        <f>+B140/MAX(B$2:B140)-1</f>
        <v>-0.1401893546551457</v>
      </c>
      <c r="X140" s="13">
        <f>+C140/MAX(C$2:C140)-1</f>
        <v>-2.8086297466159094E-2</v>
      </c>
      <c r="Y140" s="13">
        <f>+D140/MAX(D$2:D140)-1</f>
        <v>0</v>
      </c>
      <c r="Z140" s="13">
        <f>+E140/MAX(E$2:E140)-1</f>
        <v>-4.8226242789778495E-2</v>
      </c>
      <c r="AA140" s="13">
        <f>+F140/MAX(F$2:F140)-1</f>
        <v>-1.1374165868548003E-2</v>
      </c>
      <c r="AB140" s="52"/>
      <c r="AC140" s="13">
        <f t="shared" si="18"/>
        <v>-3.4691776297109761E-2</v>
      </c>
      <c r="AD140" s="13">
        <f t="shared" si="18"/>
        <v>-1.069919669427916E-2</v>
      </c>
      <c r="AE140" s="13" t="str">
        <f t="shared" si="18"/>
        <v/>
      </c>
      <c r="AF140" s="13" t="str">
        <f t="shared" si="18"/>
        <v/>
      </c>
      <c r="AG140" s="13">
        <f t="shared" si="18"/>
        <v>-1.6083990427799559E-2</v>
      </c>
      <c r="AH140" s="52"/>
      <c r="AP140" s="38"/>
    </row>
    <row r="141" spans="1:42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19"/>
        <v>1.9632261934998674E-4</v>
      </c>
      <c r="J141" s="6">
        <f t="shared" si="20"/>
        <v>-5.8956789518436912E-3</v>
      </c>
      <c r="K141" s="6">
        <f t="shared" si="20"/>
        <v>5.0397715508103207E-4</v>
      </c>
      <c r="L141" s="6">
        <f t="shared" si="20"/>
        <v>5.1841067662975826E-3</v>
      </c>
      <c r="M141" s="6">
        <f t="shared" si="20"/>
        <v>5.8222055801986279E-4</v>
      </c>
      <c r="N141" s="6">
        <f t="shared" si="20"/>
        <v>5.1279595372516517E-3</v>
      </c>
      <c r="O141" s="6">
        <f t="shared" si="21"/>
        <v>0</v>
      </c>
      <c r="P141" s="6"/>
      <c r="Q141" s="13">
        <f t="shared" si="17"/>
        <v>-6.092001571193678E-3</v>
      </c>
      <c r="R141" s="13">
        <f t="shared" si="17"/>
        <v>3.0765453573104533E-4</v>
      </c>
      <c r="S141" s="13">
        <f t="shared" si="17"/>
        <v>4.9877841469475959E-3</v>
      </c>
      <c r="T141" s="13">
        <f t="shared" si="17"/>
        <v>3.8589793866987605E-4</v>
      </c>
      <c r="U141" s="13">
        <f t="shared" si="17"/>
        <v>4.9316369179016649E-3</v>
      </c>
      <c r="V141" s="13"/>
      <c r="W141" s="13">
        <f>+B141/MAX(B$2:B141)-1</f>
        <v>-0.14524360841066319</v>
      </c>
      <c r="X141" s="13">
        <f>+C141/MAX(C$2:C141)-1</f>
        <v>-2.7596351713008671E-2</v>
      </c>
      <c r="Y141" s="13">
        <f>+D141/MAX(D$2:D141)-1</f>
        <v>0</v>
      </c>
      <c r="Z141" s="13">
        <f>+E141/MAX(E$2:E141)-1</f>
        <v>-4.7671939193930535E-2</v>
      </c>
      <c r="AA141" s="13">
        <f>+F141/MAX(F$2:F141)-1</f>
        <v>-6.2915119094894001E-3</v>
      </c>
      <c r="AB141" s="52"/>
      <c r="AC141" s="13">
        <f t="shared" si="18"/>
        <v>-5.8956789518436912E-3</v>
      </c>
      <c r="AD141" s="13" t="str">
        <f t="shared" si="18"/>
        <v/>
      </c>
      <c r="AE141" s="13" t="str">
        <f t="shared" si="18"/>
        <v/>
      </c>
      <c r="AF141" s="13" t="str">
        <f t="shared" si="18"/>
        <v/>
      </c>
      <c r="AG141" s="13" t="str">
        <f t="shared" si="18"/>
        <v/>
      </c>
      <c r="AH141" s="52"/>
      <c r="AP141" s="38"/>
    </row>
    <row r="142" spans="1:42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19"/>
        <v>1.9517970175764177E-4</v>
      </c>
      <c r="J142" s="6">
        <f t="shared" si="20"/>
        <v>-7.0975441095678829E-4</v>
      </c>
      <c r="K142" s="6">
        <f t="shared" si="20"/>
        <v>-1.848914347035491E-3</v>
      </c>
      <c r="L142" s="6">
        <f t="shared" si="20"/>
        <v>-8.7971014039722271E-3</v>
      </c>
      <c r="M142" s="6">
        <f t="shared" si="20"/>
        <v>-7.5957392761439417E-3</v>
      </c>
      <c r="N142" s="6">
        <f t="shared" si="20"/>
        <v>1.0251382881397443E-2</v>
      </c>
      <c r="O142" s="6">
        <f t="shared" si="21"/>
        <v>-5.8386414462252264E-3</v>
      </c>
      <c r="P142" s="6"/>
      <c r="Q142" s="13">
        <f t="shared" si="17"/>
        <v>-9.0493411271443005E-4</v>
      </c>
      <c r="R142" s="13">
        <f t="shared" si="17"/>
        <v>-2.0440940487931325E-3</v>
      </c>
      <c r="S142" s="13">
        <f t="shared" si="17"/>
        <v>-8.9922811057298688E-3</v>
      </c>
      <c r="T142" s="13">
        <f t="shared" si="17"/>
        <v>-7.7909189779015835E-3</v>
      </c>
      <c r="U142" s="13">
        <f t="shared" si="17"/>
        <v>1.0056203179639801E-2</v>
      </c>
      <c r="V142" s="13"/>
      <c r="W142" s="13">
        <f>+B142/MAX(B$2:B142)-1</f>
        <v>-0.14585006028848113</v>
      </c>
      <c r="X142" s="13">
        <f>+C142/MAX(C$2:C142)-1</f>
        <v>-2.9392581720022237E-2</v>
      </c>
      <c r="Y142" s="13">
        <f>+D142/MAX(D$2:D142)-1</f>
        <v>-8.7585201247807332E-3</v>
      </c>
      <c r="Z142" s="13">
        <f>+E142/MAX(E$2:E142)-1</f>
        <v>-5.4878171869798598E-2</v>
      </c>
      <c r="AA142" s="13">
        <f>+F142/MAX(F$2:F142)-1</f>
        <v>0</v>
      </c>
      <c r="AB142" s="52"/>
      <c r="AC142" s="13" t="str">
        <f t="shared" si="18"/>
        <v/>
      </c>
      <c r="AD142" s="13" t="str">
        <f t="shared" si="18"/>
        <v/>
      </c>
      <c r="AE142" s="13">
        <f t="shared" si="18"/>
        <v>-2.9584599577470007E-3</v>
      </c>
      <c r="AF142" s="13">
        <f t="shared" si="18"/>
        <v>-1.7570978299187153E-3</v>
      </c>
      <c r="AG142" s="13" t="str">
        <f t="shared" si="18"/>
        <v/>
      </c>
      <c r="AH142" s="52"/>
      <c r="AP142" s="38"/>
    </row>
    <row r="143" spans="1:42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19"/>
        <v>1.9556071042226009E-4</v>
      </c>
      <c r="J143" s="6">
        <f t="shared" si="20"/>
        <v>1.0184574634208254E-2</v>
      </c>
      <c r="K143" s="6">
        <f t="shared" si="20"/>
        <v>1.3449371919544843E-3</v>
      </c>
      <c r="L143" s="6">
        <f t="shared" si="20"/>
        <v>1.8612639482236896E-3</v>
      </c>
      <c r="M143" s="6">
        <f t="shared" si="20"/>
        <v>8.7592244143747111E-3</v>
      </c>
      <c r="N143" s="6">
        <f t="shared" si="20"/>
        <v>-6.5499380656454595E-3</v>
      </c>
      <c r="O143" s="6">
        <f t="shared" si="21"/>
        <v>1.950188787733562E-3</v>
      </c>
      <c r="P143" s="6"/>
      <c r="Q143" s="13">
        <f t="shared" si="17"/>
        <v>9.9890139237859936E-3</v>
      </c>
      <c r="R143" s="13">
        <f t="shared" si="17"/>
        <v>1.1493764815322242E-3</v>
      </c>
      <c r="S143" s="13">
        <f t="shared" si="17"/>
        <v>1.6657032378014295E-3</v>
      </c>
      <c r="T143" s="13">
        <f t="shared" si="17"/>
        <v>8.563663703952451E-3</v>
      </c>
      <c r="U143" s="13">
        <f t="shared" si="17"/>
        <v>-6.7454987760677196E-3</v>
      </c>
      <c r="V143" s="13"/>
      <c r="W143" s="13">
        <f>+B143/MAX(B$2:B143)-1</f>
        <v>-0.13710645711694613</v>
      </c>
      <c r="X143" s="13">
        <f>+C143/MAX(C$2:C143)-1</f>
        <v>-2.8086297466159094E-2</v>
      </c>
      <c r="Y143" s="13">
        <f>+D143/MAX(D$2:D143)-1</f>
        <v>-6.911840047901241E-3</v>
      </c>
      <c r="Z143" s="13">
        <f>+E143/MAX(E$2:E143)-1</f>
        <v>-4.6563274816265654E-2</v>
      </c>
      <c r="AA143" s="13">
        <f>+F143/MAX(F$2:F143)-1</f>
        <v>-6.5285339786247398E-3</v>
      </c>
      <c r="AB143" s="52"/>
      <c r="AC143" s="13" t="str">
        <f t="shared" si="18"/>
        <v/>
      </c>
      <c r="AD143" s="13">
        <f t="shared" si="18"/>
        <v>-6.0525159577907777E-4</v>
      </c>
      <c r="AE143" s="13">
        <f t="shared" si="18"/>
        <v>-8.8924839509872417E-5</v>
      </c>
      <c r="AF143" s="13" t="str">
        <f t="shared" si="18"/>
        <v/>
      </c>
      <c r="AG143" s="13">
        <f t="shared" si="18"/>
        <v>-8.5001268533790222E-3</v>
      </c>
      <c r="AH143" s="52"/>
      <c r="AP143" s="38"/>
    </row>
    <row r="144" spans="1:42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19"/>
        <v>1.9289289052348835E-4</v>
      </c>
      <c r="J144" s="6">
        <f t="shared" si="20"/>
        <v>1.1762232376596935E-2</v>
      </c>
      <c r="K144" s="6">
        <f t="shared" si="20"/>
        <v>1.2024245731310248E-2</v>
      </c>
      <c r="L144" s="6">
        <f t="shared" si="20"/>
        <v>3.7176867835657829E-4</v>
      </c>
      <c r="M144" s="6">
        <f t="shared" si="20"/>
        <v>7.5296267385311973E-3</v>
      </c>
      <c r="N144" s="6">
        <f t="shared" si="20"/>
        <v>-1.1228682551799477E-3</v>
      </c>
      <c r="O144" s="6">
        <f t="shared" si="21"/>
        <v>-1.3735806992006525E-2</v>
      </c>
      <c r="P144" s="6"/>
      <c r="Q144" s="13">
        <f t="shared" si="17"/>
        <v>1.1569339486073447E-2</v>
      </c>
      <c r="R144" s="13">
        <f t="shared" si="17"/>
        <v>1.183135284078676E-2</v>
      </c>
      <c r="S144" s="13">
        <f t="shared" si="17"/>
        <v>1.7887578783308994E-4</v>
      </c>
      <c r="T144" s="13">
        <f t="shared" si="17"/>
        <v>7.336733848007709E-3</v>
      </c>
      <c r="U144" s="13">
        <f t="shared" si="17"/>
        <v>-1.315761145703436E-3</v>
      </c>
      <c r="V144" s="13"/>
      <c r="W144" s="13">
        <f>+B144/MAX(B$2:B144)-1</f>
        <v>-0.12689697731899363</v>
      </c>
      <c r="X144" s="13">
        <f>+C144/MAX(C$2:C144)-1</f>
        <v>-1.6329224968088085E-2</v>
      </c>
      <c r="Y144" s="13">
        <f>+D144/MAX(D$2:D144)-1</f>
        <v>-6.5425723383533141E-3</v>
      </c>
      <c r="Z144" s="13">
        <f>+E144/MAX(E$2:E144)-1</f>
        <v>-3.9357156512335179E-2</v>
      </c>
      <c r="AA144" s="13">
        <f>+F144/MAX(F$2:F144)-1</f>
        <v>-7.6434454837358556E-3</v>
      </c>
      <c r="AB144" s="52"/>
      <c r="AC144" s="13" t="str">
        <f t="shared" si="18"/>
        <v/>
      </c>
      <c r="AD144" s="13" t="str">
        <f t="shared" si="18"/>
        <v/>
      </c>
      <c r="AE144" s="13" t="str">
        <f t="shared" si="18"/>
        <v/>
      </c>
      <c r="AF144" s="13" t="str">
        <f t="shared" si="18"/>
        <v/>
      </c>
      <c r="AG144" s="13" t="str">
        <f t="shared" si="18"/>
        <v/>
      </c>
      <c r="AH144" s="52"/>
      <c r="AP144" s="38"/>
    </row>
    <row r="145" spans="1:42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19"/>
        <v>1.9441757599203413E-4</v>
      </c>
      <c r="J145" s="6">
        <f t="shared" si="20"/>
        <v>2.7746091448219968E-3</v>
      </c>
      <c r="K145" s="6">
        <f t="shared" si="20"/>
        <v>4.3067844327523246E-3</v>
      </c>
      <c r="L145" s="6">
        <f t="shared" si="20"/>
        <v>8.1983530120362299E-3</v>
      </c>
      <c r="M145" s="6">
        <f t="shared" si="20"/>
        <v>-7.5296267385311115E-3</v>
      </c>
      <c r="N145" s="6">
        <f t="shared" si="20"/>
        <v>1.1139497364012345E-2</v>
      </c>
      <c r="O145" s="6">
        <f t="shared" si="21"/>
        <v>7.8732359507442031E-3</v>
      </c>
      <c r="P145" s="6"/>
      <c r="Q145" s="13">
        <f t="shared" si="17"/>
        <v>2.5801915688299626E-3</v>
      </c>
      <c r="R145" s="13">
        <f t="shared" si="17"/>
        <v>4.1123668567602904E-3</v>
      </c>
      <c r="S145" s="13">
        <f t="shared" si="17"/>
        <v>8.0039354360441958E-3</v>
      </c>
      <c r="T145" s="13">
        <f t="shared" si="17"/>
        <v>-7.7240443145231456E-3</v>
      </c>
      <c r="U145" s="13">
        <f t="shared" si="17"/>
        <v>1.094507978802031E-2</v>
      </c>
      <c r="V145" s="13"/>
      <c r="W145" s="13">
        <f>+B145/MAX(B$2:B145)-1</f>
        <v>-0.12447109380489629</v>
      </c>
      <c r="X145" s="13">
        <f>+C145/MAX(C$2:C145)-1</f>
        <v>-1.2083631120892391E-2</v>
      </c>
      <c r="Y145" s="13">
        <f>+D145/MAX(D$2:D145)-1</f>
        <v>0</v>
      </c>
      <c r="Z145" s="13">
        <f>+E145/MAX(E$2:E145)-1</f>
        <v>-4.6563274816265654E-2</v>
      </c>
      <c r="AA145" s="13">
        <f>+F145/MAX(F$2:F145)-1</f>
        <v>0</v>
      </c>
      <c r="AB145" s="52"/>
      <c r="AC145" s="13">
        <f t="shared" si="18"/>
        <v>-5.0986268059222059E-3</v>
      </c>
      <c r="AD145" s="13">
        <f t="shared" si="18"/>
        <v>-3.5664515179918786E-3</v>
      </c>
      <c r="AE145" s="13" t="str">
        <f t="shared" si="18"/>
        <v/>
      </c>
      <c r="AF145" s="13">
        <f t="shared" si="18"/>
        <v>-1.5402862689275314E-2</v>
      </c>
      <c r="AG145" s="13" t="str">
        <f t="shared" si="18"/>
        <v/>
      </c>
      <c r="AH145" s="52"/>
      <c r="AP145" s="38"/>
    </row>
    <row r="146" spans="1:42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19"/>
        <v>1.9289289052348835E-4</v>
      </c>
      <c r="J146" s="6">
        <f t="shared" si="20"/>
        <v>-1.2196574219039144E-2</v>
      </c>
      <c r="K146" s="6">
        <f t="shared" si="20"/>
        <v>1.0195775101912073E-2</v>
      </c>
      <c r="L146" s="6">
        <f t="shared" si="20"/>
        <v>8.079352123651724E-3</v>
      </c>
      <c r="M146" s="6">
        <f t="shared" si="20"/>
        <v>-5.8160336375158385E-4</v>
      </c>
      <c r="N146" s="6">
        <f t="shared" si="20"/>
        <v>-1.926391571868686E-3</v>
      </c>
      <c r="O146" s="6">
        <f t="shared" si="21"/>
        <v>-7.8732359507443037E-3</v>
      </c>
      <c r="P146" s="6"/>
      <c r="Q146" s="13">
        <f t="shared" si="17"/>
        <v>-1.2389467109562633E-2</v>
      </c>
      <c r="R146" s="13">
        <f t="shared" si="17"/>
        <v>1.0002882211388585E-2</v>
      </c>
      <c r="S146" s="13">
        <f t="shared" si="17"/>
        <v>7.8864592331282356E-3</v>
      </c>
      <c r="T146" s="13">
        <f t="shared" si="17"/>
        <v>-7.744962542750722E-4</v>
      </c>
      <c r="U146" s="13">
        <f t="shared" si="17"/>
        <v>-2.1192844623921744E-3</v>
      </c>
      <c r="V146" s="13"/>
      <c r="W146" s="13">
        <f>+B146/MAX(B$2:B146)-1</f>
        <v>-0.13508469075899476</v>
      </c>
      <c r="X146" s="13">
        <f>+C146/MAX(C$2:C146)-1</f>
        <v>-1.9595341997130644E-3</v>
      </c>
      <c r="Y146" s="13">
        <f>+D146/MAX(D$2:D146)-1</f>
        <v>0</v>
      </c>
      <c r="Z146" s="13">
        <f>+E146/MAX(E$2:E146)-1</f>
        <v>-4.7117635598082463E-2</v>
      </c>
      <c r="AA146" s="13">
        <f>+F146/MAX(F$2:F146)-1</f>
        <v>-1.9245372705192221E-3</v>
      </c>
      <c r="AB146" s="52"/>
      <c r="AC146" s="13">
        <f t="shared" si="18"/>
        <v>-4.3233382682948407E-3</v>
      </c>
      <c r="AD146" s="13" t="str">
        <f t="shared" si="18"/>
        <v/>
      </c>
      <c r="AE146" s="13" t="str">
        <f t="shared" si="18"/>
        <v/>
      </c>
      <c r="AF146" s="13" t="str">
        <f t="shared" si="18"/>
        <v/>
      </c>
      <c r="AG146" s="13" t="str">
        <f t="shared" si="18"/>
        <v/>
      </c>
      <c r="AH146" s="52"/>
      <c r="AP146" s="38"/>
    </row>
    <row r="147" spans="1:42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19"/>
        <v>1.9327411614988854E-4</v>
      </c>
      <c r="J147" s="6">
        <f t="shared" si="20"/>
        <v>1.0868104262170121E-2</v>
      </c>
      <c r="K147" s="6">
        <f t="shared" si="20"/>
        <v>-2.2289265661106588E-3</v>
      </c>
      <c r="L147" s="6">
        <f t="shared" si="20"/>
        <v>-1.7978656730612674E-2</v>
      </c>
      <c r="M147" s="6">
        <f t="shared" si="20"/>
        <v>-1.0526393935028697E-2</v>
      </c>
      <c r="N147" s="6">
        <f t="shared" si="20"/>
        <v>-2.8752059156686048E-3</v>
      </c>
      <c r="O147" s="6">
        <f t="shared" si="21"/>
        <v>1.9744087074048946E-3</v>
      </c>
      <c r="P147" s="6"/>
      <c r="Q147" s="13">
        <f t="shared" si="17"/>
        <v>1.0674830146020232E-2</v>
      </c>
      <c r="R147" s="13">
        <f t="shared" si="17"/>
        <v>-2.4222006822605473E-3</v>
      </c>
      <c r="S147" s="13">
        <f t="shared" si="17"/>
        <v>-1.8171930846762562E-2</v>
      </c>
      <c r="T147" s="13">
        <f t="shared" si="17"/>
        <v>-1.0719668051178586E-2</v>
      </c>
      <c r="U147" s="13">
        <f t="shared" si="17"/>
        <v>-3.0684800318184933E-3</v>
      </c>
      <c r="V147" s="13"/>
      <c r="W147" s="13">
        <f>+B147/MAX(B$2:B147)-1</f>
        <v>-0.1256334354142481</v>
      </c>
      <c r="X147" s="13">
        <f>+C147/MAX(C$2:C147)-1</f>
        <v>-4.1816157597154291E-3</v>
      </c>
      <c r="Y147" s="13">
        <f>+D147/MAX(D$2:D147)-1</f>
        <v>-1.7818004890497896E-2</v>
      </c>
      <c r="Z147" s="13">
        <f>+E147/MAX(E$2:E147)-1</f>
        <v>-5.7095443439159621E-2</v>
      </c>
      <c r="AA147" s="13">
        <f>+F147/MAX(F$2:F147)-1</f>
        <v>-4.7900882466037631E-3</v>
      </c>
      <c r="AB147" s="52"/>
      <c r="AC147" s="13" t="str">
        <f t="shared" si="18"/>
        <v/>
      </c>
      <c r="AD147" s="13">
        <f t="shared" si="18"/>
        <v>-4.203335273515553E-3</v>
      </c>
      <c r="AE147" s="13">
        <f t="shared" si="18"/>
        <v>-1.9953065438017569E-2</v>
      </c>
      <c r="AF147" s="13">
        <f t="shared" si="18"/>
        <v>-1.2500802642433591E-2</v>
      </c>
      <c r="AG147" s="13">
        <f t="shared" si="18"/>
        <v>-4.8496146230734994E-3</v>
      </c>
      <c r="AH147" s="52"/>
      <c r="AP147" s="38"/>
    </row>
    <row r="148" spans="1:42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19"/>
        <v>1.9251162871269933E-4</v>
      </c>
      <c r="J148" s="6">
        <f t="shared" si="20"/>
        <v>-2.1990199647653258E-3</v>
      </c>
      <c r="K148" s="6">
        <f t="shared" si="20"/>
        <v>-1.0300751202101817E-2</v>
      </c>
      <c r="L148" s="6">
        <f t="shared" si="20"/>
        <v>1.2319503083121451E-2</v>
      </c>
      <c r="M148" s="6">
        <f t="shared" si="20"/>
        <v>2.3487728844055851E-3</v>
      </c>
      <c r="N148" s="6">
        <f t="shared" si="20"/>
        <v>-6.5039961169264899E-3</v>
      </c>
      <c r="O148" s="6">
        <f t="shared" si="21"/>
        <v>-3.9529113773502057E-3</v>
      </c>
      <c r="P148" s="6"/>
      <c r="Q148" s="13">
        <f t="shared" si="17"/>
        <v>-2.3915315934780251E-3</v>
      </c>
      <c r="R148" s="13">
        <f t="shared" si="17"/>
        <v>-1.0493262830814516E-2</v>
      </c>
      <c r="S148" s="13">
        <f t="shared" si="17"/>
        <v>1.2126991454408752E-2</v>
      </c>
      <c r="T148" s="13">
        <f t="shared" si="17"/>
        <v>2.1562612556928857E-3</v>
      </c>
      <c r="U148" s="13">
        <f t="shared" si="17"/>
        <v>-6.6965077456391893E-3</v>
      </c>
      <c r="V148" s="13"/>
      <c r="W148" s="13">
        <f>+B148/MAX(B$2:B148)-1</f>
        <v>-0.12755407241277628</v>
      </c>
      <c r="X148" s="13">
        <f>+C148/MAX(C$2:C148)-1</f>
        <v>-1.4386643219867046E-2</v>
      </c>
      <c r="Y148" s="13">
        <f>+D148/MAX(D$2:D148)-1</f>
        <v>-5.6431708014952342E-3</v>
      </c>
      <c r="Z148" s="13">
        <f>+E148/MAX(E$2:E148)-1</f>
        <v>-5.4878171869798598E-2</v>
      </c>
      <c r="AA148" s="13">
        <f>+F148/MAX(F$2:F148)-1</f>
        <v>-1.1241925542049058E-2</v>
      </c>
      <c r="AB148" s="52"/>
      <c r="AC148" s="13" t="str">
        <f t="shared" si="18"/>
        <v/>
      </c>
      <c r="AD148" s="13">
        <f t="shared" si="18"/>
        <v>-6.3478398247516108E-3</v>
      </c>
      <c r="AE148" s="13" t="str">
        <f t="shared" si="18"/>
        <v/>
      </c>
      <c r="AF148" s="13" t="str">
        <f t="shared" si="18"/>
        <v/>
      </c>
      <c r="AG148" s="13">
        <f t="shared" si="18"/>
        <v>-2.5510847395762842E-3</v>
      </c>
      <c r="AH148" s="52"/>
      <c r="AP148" s="38"/>
    </row>
    <row r="149" spans="1:42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19"/>
        <v>1.9213033071063812E-4</v>
      </c>
      <c r="J149" s="6">
        <f t="shared" si="20"/>
        <v>6.3521899768463532E-3</v>
      </c>
      <c r="K149" s="6">
        <f t="shared" si="20"/>
        <v>4.1663069910752798E-3</v>
      </c>
      <c r="L149" s="6">
        <f t="shared" si="20"/>
        <v>1.2325227911982373E-2</v>
      </c>
      <c r="M149" s="6">
        <f t="shared" si="20"/>
        <v>1.455631158926427E-2</v>
      </c>
      <c r="N149" s="6">
        <f t="shared" si="20"/>
        <v>6.2981688751588584E-3</v>
      </c>
      <c r="O149" s="6">
        <f t="shared" si="21"/>
        <v>-1.9826132725194968E-3</v>
      </c>
      <c r="P149" s="6"/>
      <c r="Q149" s="13">
        <f t="shared" si="17"/>
        <v>6.1600596461357151E-3</v>
      </c>
      <c r="R149" s="13">
        <f t="shared" si="17"/>
        <v>3.9741766603646417E-3</v>
      </c>
      <c r="S149" s="13">
        <f t="shared" si="17"/>
        <v>1.2133097581271735E-2</v>
      </c>
      <c r="T149" s="13">
        <f t="shared" si="17"/>
        <v>1.4364181258553632E-2</v>
      </c>
      <c r="U149" s="13">
        <f t="shared" si="17"/>
        <v>6.1060385444482203E-3</v>
      </c>
      <c r="V149" s="13"/>
      <c r="W149" s="13">
        <f>+B149/MAX(B$2:B149)-1</f>
        <v>-0.12199449107200888</v>
      </c>
      <c r="X149" s="13">
        <f>+C149/MAX(C$2:C149)-1</f>
        <v>-1.0271709314356947E-2</v>
      </c>
      <c r="Y149" s="13">
        <f>+D149/MAX(D$2:D149)-1</f>
        <v>0</v>
      </c>
      <c r="Z149" s="13">
        <f>+E149/MAX(E$2:E149)-1</f>
        <v>-4.102006729987917E-2</v>
      </c>
      <c r="AA149" s="13">
        <f>+F149/MAX(F$2:F149)-1</f>
        <v>-4.9949084782050512E-3</v>
      </c>
      <c r="AB149" s="52"/>
      <c r="AC149" s="13" t="str">
        <f t="shared" si="18"/>
        <v/>
      </c>
      <c r="AD149" s="13" t="str">
        <f t="shared" si="18"/>
        <v/>
      </c>
      <c r="AE149" s="13" t="str">
        <f t="shared" si="18"/>
        <v/>
      </c>
      <c r="AF149" s="13" t="str">
        <f t="shared" si="18"/>
        <v/>
      </c>
      <c r="AG149" s="13" t="str">
        <f t="shared" si="18"/>
        <v/>
      </c>
      <c r="AH149" s="52"/>
      <c r="AP149" s="38"/>
    </row>
    <row r="150" spans="1:42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19"/>
        <v>1.9327411614988854E-4</v>
      </c>
      <c r="J150" s="6">
        <f t="shared" si="20"/>
        <v>1.3493637966671364E-2</v>
      </c>
      <c r="K150" s="6">
        <f t="shared" si="20"/>
        <v>1.6616478726241028E-3</v>
      </c>
      <c r="L150" s="6">
        <f t="shared" si="20"/>
        <v>5.8480844115032697E-3</v>
      </c>
      <c r="M150" s="6">
        <f t="shared" si="20"/>
        <v>-7.5427928711403599E-3</v>
      </c>
      <c r="N150" s="6">
        <f t="shared" si="20"/>
        <v>5.6332831318901015E-3</v>
      </c>
      <c r="O150" s="6">
        <f t="shared" si="21"/>
        <v>5.9355246498698326E-3</v>
      </c>
      <c r="P150" s="6"/>
      <c r="Q150" s="13">
        <f t="shared" si="17"/>
        <v>1.3300363850521475E-2</v>
      </c>
      <c r="R150" s="13">
        <f t="shared" si="17"/>
        <v>1.4683737564742142E-3</v>
      </c>
      <c r="S150" s="13">
        <f t="shared" si="17"/>
        <v>5.6548102953533812E-3</v>
      </c>
      <c r="T150" s="13">
        <f t="shared" si="17"/>
        <v>-7.7360669872902485E-3</v>
      </c>
      <c r="U150" s="13">
        <f t="shared" si="17"/>
        <v>5.4400090157402129E-3</v>
      </c>
      <c r="V150" s="13"/>
      <c r="W150" s="13">
        <f>+B150/MAX(B$2:B150)-1</f>
        <v>-0.11006670899720039</v>
      </c>
      <c r="X150" s="13">
        <f>+C150/MAX(C$2:C150)-1</f>
        <v>-8.6257622921943611E-3</v>
      </c>
      <c r="Y150" s="13">
        <f>+D150/MAX(D$2:D150)-1</f>
        <v>0</v>
      </c>
      <c r="Z150" s="13">
        <f>+E150/MAX(E$2:E150)-1</f>
        <v>-4.8226242789778495E-2</v>
      </c>
      <c r="AA150" s="13">
        <f>+F150/MAX(F$2:F150)-1</f>
        <v>0</v>
      </c>
      <c r="AB150" s="52"/>
      <c r="AC150" s="13" t="str">
        <f t="shared" si="18"/>
        <v/>
      </c>
      <c r="AD150" s="13">
        <f t="shared" si="18"/>
        <v>-4.2738767772457298E-3</v>
      </c>
      <c r="AE150" s="13">
        <f t="shared" si="18"/>
        <v>-8.744023836656286E-5</v>
      </c>
      <c r="AF150" s="13">
        <f t="shared" si="18"/>
        <v>-1.3478317521010193E-2</v>
      </c>
      <c r="AG150" s="13">
        <f t="shared" si="18"/>
        <v>-3.0224151797973112E-4</v>
      </c>
      <c r="AH150" s="52"/>
      <c r="AP150" s="38"/>
    </row>
    <row r="151" spans="1:42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19"/>
        <v>1.9517970175764177E-4</v>
      </c>
      <c r="J151" s="6">
        <f t="shared" si="20"/>
        <v>1.4602145308817756E-2</v>
      </c>
      <c r="K151" s="6">
        <f t="shared" si="20"/>
        <v>8.5965451914703454E-3</v>
      </c>
      <c r="L151" s="6">
        <f t="shared" si="20"/>
        <v>1.3021806957661381E-2</v>
      </c>
      <c r="M151" s="6">
        <f t="shared" si="20"/>
        <v>2.3269110502146303E-3</v>
      </c>
      <c r="N151" s="6">
        <f t="shared" si="20"/>
        <v>8.8646978273410684E-3</v>
      </c>
      <c r="O151" s="6">
        <f t="shared" si="21"/>
        <v>9.8112094968681833E-3</v>
      </c>
      <c r="P151" s="6"/>
      <c r="Q151" s="13">
        <f t="shared" si="17"/>
        <v>1.4406965607060115E-2</v>
      </c>
      <c r="R151" s="13">
        <f t="shared" si="17"/>
        <v>8.4013654897127036E-3</v>
      </c>
      <c r="S151" s="13">
        <f t="shared" si="17"/>
        <v>1.2826627255903739E-2</v>
      </c>
      <c r="T151" s="13">
        <f t="shared" si="17"/>
        <v>2.1317313484569885E-3</v>
      </c>
      <c r="U151" s="13">
        <f t="shared" si="17"/>
        <v>8.6695181255834267E-3</v>
      </c>
      <c r="V151" s="13"/>
      <c r="W151" s="13">
        <f>+B151/MAX(B$2:B151)-1</f>
        <v>-9.6976433307389032E-2</v>
      </c>
      <c r="X151" s="13">
        <f>+C151/MAX(C$2:C151)-1</f>
        <v>-6.6632091627605305E-5</v>
      </c>
      <c r="Y151" s="13">
        <f>+D151/MAX(D$2:D151)-1</f>
        <v>0</v>
      </c>
      <c r="Z151" s="13">
        <f>+E151/MAX(E$2:E151)-1</f>
        <v>-4.6008971220417694E-2</v>
      </c>
      <c r="AA151" s="13">
        <f>+F151/MAX(F$2:F151)-1</f>
        <v>0</v>
      </c>
      <c r="AB151" s="52"/>
      <c r="AC151" s="13" t="str">
        <f t="shared" si="18"/>
        <v/>
      </c>
      <c r="AD151" s="13">
        <f t="shared" si="18"/>
        <v>-1.2146643053978379E-3</v>
      </c>
      <c r="AE151" s="13" t="str">
        <f t="shared" si="18"/>
        <v/>
      </c>
      <c r="AF151" s="13">
        <f t="shared" si="18"/>
        <v>-7.484298446653553E-3</v>
      </c>
      <c r="AG151" s="13">
        <f t="shared" si="18"/>
        <v>-9.4651166952711488E-4</v>
      </c>
      <c r="AH151" s="52"/>
      <c r="AP151" s="38"/>
    </row>
    <row r="152" spans="1:42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19"/>
        <v>1.9556071042226009E-4</v>
      </c>
      <c r="J152" s="6">
        <f t="shared" si="20"/>
        <v>-4.1715613983300662E-2</v>
      </c>
      <c r="K152" s="6">
        <f t="shared" si="20"/>
        <v>-4.6196894266072042E-3</v>
      </c>
      <c r="L152" s="6">
        <f t="shared" si="20"/>
        <v>1.3809332358761774E-2</v>
      </c>
      <c r="M152" s="6">
        <f t="shared" si="20"/>
        <v>-2.9095910236789767E-3</v>
      </c>
      <c r="N152" s="6">
        <f t="shared" si="20"/>
        <v>3.2313725131378058E-3</v>
      </c>
      <c r="O152" s="6">
        <f t="shared" si="21"/>
        <v>1.950188787733562E-3</v>
      </c>
      <c r="P152" s="6"/>
      <c r="Q152" s="13">
        <f t="shared" si="17"/>
        <v>-4.1911174693722922E-2</v>
      </c>
      <c r="R152" s="13">
        <f t="shared" si="17"/>
        <v>-4.8152501370294643E-3</v>
      </c>
      <c r="S152" s="13">
        <f t="shared" si="17"/>
        <v>1.3613771648339514E-2</v>
      </c>
      <c r="T152" s="13">
        <f t="shared" si="17"/>
        <v>-3.1051517341012368E-3</v>
      </c>
      <c r="U152" s="13">
        <f t="shared" si="17"/>
        <v>3.0358118027155457E-3</v>
      </c>
      <c r="V152" s="13"/>
      <c r="W152" s="13">
        <f>+B152/MAX(B$2:B152)-1</f>
        <v>-0.13387171100053341</v>
      </c>
      <c r="X152" s="13">
        <f>+C152/MAX(C$2:C152)-1</f>
        <v>-4.6753600563019804E-3</v>
      </c>
      <c r="Y152" s="13">
        <f>+D152/MAX(D$2:D152)-1</f>
        <v>0</v>
      </c>
      <c r="Z152" s="13">
        <f>+E152/MAX(E$2:E152)-1</f>
        <v>-4.8780660757564154E-2</v>
      </c>
      <c r="AA152" s="13">
        <f>+F152/MAX(F$2:F152)-1</f>
        <v>0</v>
      </c>
      <c r="AB152" s="52"/>
      <c r="AC152" s="13">
        <f t="shared" si="18"/>
        <v>-4.3665802771034226E-2</v>
      </c>
      <c r="AD152" s="13">
        <f t="shared" si="18"/>
        <v>-6.569878214340766E-3</v>
      </c>
      <c r="AE152" s="13" t="str">
        <f t="shared" si="18"/>
        <v/>
      </c>
      <c r="AF152" s="13">
        <f t="shared" si="18"/>
        <v>-4.8597798114125386E-3</v>
      </c>
      <c r="AG152" s="13" t="str">
        <f t="shared" si="18"/>
        <v/>
      </c>
      <c r="AH152" s="52"/>
      <c r="AP152" s="38"/>
    </row>
    <row r="153" spans="1:42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19"/>
        <v>1.9670351962641774E-4</v>
      </c>
      <c r="J153" s="6">
        <f t="shared" si="20"/>
        <v>5.2960884338796171E-3</v>
      </c>
      <c r="K153" s="6">
        <f t="shared" si="20"/>
        <v>3.3072101581254086E-4</v>
      </c>
      <c r="L153" s="6">
        <f t="shared" si="20"/>
        <v>-1.2333324609694349E-2</v>
      </c>
      <c r="M153" s="6">
        <f t="shared" si="20"/>
        <v>-1.0544773183150766E-2</v>
      </c>
      <c r="N153" s="6">
        <f t="shared" si="20"/>
        <v>-1.4032464064151588E-3</v>
      </c>
      <c r="O153" s="6">
        <f t="shared" si="21"/>
        <v>5.8267481452814176E-3</v>
      </c>
      <c r="P153" s="6"/>
      <c r="Q153" s="13">
        <f t="shared" si="17"/>
        <v>5.0993849142531994E-3</v>
      </c>
      <c r="R153" s="13">
        <f t="shared" si="17"/>
        <v>1.3401749618612311E-4</v>
      </c>
      <c r="S153" s="13">
        <f t="shared" si="17"/>
        <v>-1.2530028129320766E-2</v>
      </c>
      <c r="T153" s="13">
        <f t="shared" si="17"/>
        <v>-1.0741476702777183E-2</v>
      </c>
      <c r="U153" s="13">
        <f t="shared" si="17"/>
        <v>-1.5999499260415766E-3</v>
      </c>
      <c r="V153" s="13"/>
      <c r="W153" s="13">
        <f>+B153/MAX(B$2:B153)-1</f>
        <v>-0.12927245069245763</v>
      </c>
      <c r="X153" s="13">
        <f>+C153/MAX(C$2:C153)-1</f>
        <v>-4.3461308418073497E-3</v>
      </c>
      <c r="Y153" s="13">
        <f>+D153/MAX(D$2:D153)-1</f>
        <v>-1.225758087220763E-2</v>
      </c>
      <c r="Z153" s="13">
        <f>+E153/MAX(E$2:E153)-1</f>
        <v>-5.8758354226703613E-2</v>
      </c>
      <c r="AA153" s="13">
        <f>+F153/MAX(F$2:F153)-1</f>
        <v>-1.4022623165372838E-3</v>
      </c>
      <c r="AB153" s="52"/>
      <c r="AC153" s="13">
        <f t="shared" si="18"/>
        <v>-5.3065971140180048E-4</v>
      </c>
      <c r="AD153" s="13">
        <f t="shared" si="18"/>
        <v>-5.4960271294688771E-3</v>
      </c>
      <c r="AE153" s="13">
        <f t="shared" si="18"/>
        <v>-1.8160072754975765E-2</v>
      </c>
      <c r="AF153" s="13">
        <f t="shared" si="18"/>
        <v>-1.6371521328432184E-2</v>
      </c>
      <c r="AG153" s="13">
        <f t="shared" si="18"/>
        <v>-7.2299945516965764E-3</v>
      </c>
      <c r="AH153" s="52"/>
      <c r="AP153" s="38"/>
    </row>
    <row r="154" spans="1:42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19"/>
        <v>1.970843837875158E-4</v>
      </c>
      <c r="J154" s="6">
        <f t="shared" si="20"/>
        <v>-8.3350523254073824E-3</v>
      </c>
      <c r="K154" s="6">
        <f t="shared" si="20"/>
        <v>-1.4890065620656438E-3</v>
      </c>
      <c r="L154" s="6">
        <f t="shared" si="20"/>
        <v>-9.1968412694247506E-3</v>
      </c>
      <c r="M154" s="6">
        <f t="shared" si="20"/>
        <v>8.2110739967389546E-3</v>
      </c>
      <c r="N154" s="6">
        <f t="shared" si="20"/>
        <v>-3.0595955699421543E-3</v>
      </c>
      <c r="O154" s="6">
        <f t="shared" si="21"/>
        <v>1.9343625162409541E-3</v>
      </c>
      <c r="P154" s="6"/>
      <c r="Q154" s="13">
        <f t="shared" si="17"/>
        <v>-8.5321367091948982E-3</v>
      </c>
      <c r="R154" s="13">
        <f t="shared" si="17"/>
        <v>-1.6860909458531596E-3</v>
      </c>
      <c r="S154" s="13">
        <f t="shared" si="17"/>
        <v>-9.3939256532122664E-3</v>
      </c>
      <c r="T154" s="13">
        <f t="shared" si="17"/>
        <v>8.0139896129514387E-3</v>
      </c>
      <c r="U154" s="13">
        <f t="shared" si="17"/>
        <v>-3.2566799537296701E-3</v>
      </c>
      <c r="V154" s="13"/>
      <c r="W154" s="13">
        <f>+B154/MAX(B$2:B154)-1</f>
        <v>-0.13649984816662242</v>
      </c>
      <c r="X154" s="13">
        <f>+C154/MAX(C$2:C154)-1</f>
        <v>-5.8275627818780151E-3</v>
      </c>
      <c r="Y154" s="13">
        <f>+D154/MAX(D$2:D154)-1</f>
        <v>-2.1300046320652299E-2</v>
      </c>
      <c r="Z154" s="13">
        <f>+E154/MAX(E$2:E154)-1</f>
        <v>-5.0997932326924955E-2</v>
      </c>
      <c r="AA154" s="13">
        <f>+F154/MAX(F$2:F154)-1</f>
        <v>-4.4528982949635365E-3</v>
      </c>
      <c r="AB154" s="52"/>
      <c r="AC154" s="13">
        <f t="shared" si="18"/>
        <v>-1.0269414841648337E-2</v>
      </c>
      <c r="AD154" s="13">
        <f t="shared" si="18"/>
        <v>-3.4233690783065981E-3</v>
      </c>
      <c r="AE154" s="13">
        <f t="shared" si="18"/>
        <v>-1.1131203785665705E-2</v>
      </c>
      <c r="AF154" s="13" t="str">
        <f t="shared" si="18"/>
        <v/>
      </c>
      <c r="AG154" s="13">
        <f t="shared" si="18"/>
        <v>-4.9939580861831081E-3</v>
      </c>
      <c r="AH154" s="52"/>
      <c r="AP154" s="38"/>
    </row>
    <row r="155" spans="1:42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19"/>
        <v>1.9746521183972021E-4</v>
      </c>
      <c r="J155" s="6">
        <f t="shared" si="20"/>
        <v>-6.6948293563426041E-3</v>
      </c>
      <c r="K155" s="6">
        <f t="shared" si="20"/>
        <v>2.3152310191375206E-3</v>
      </c>
      <c r="L155" s="6">
        <f t="shared" si="20"/>
        <v>4.6600093568763086E-3</v>
      </c>
      <c r="M155" s="6">
        <f t="shared" si="20"/>
        <v>3.4985997178958793E-3</v>
      </c>
      <c r="N155" s="6">
        <f t="shared" si="20"/>
        <v>-2.8037482252575453E-3</v>
      </c>
      <c r="O155" s="6">
        <f t="shared" si="21"/>
        <v>1.9304451186456823E-3</v>
      </c>
      <c r="P155" s="6"/>
      <c r="Q155" s="13">
        <f t="shared" si="17"/>
        <v>-6.8922945681823243E-3</v>
      </c>
      <c r="R155" s="13">
        <f t="shared" si="17"/>
        <v>2.1177658072978004E-3</v>
      </c>
      <c r="S155" s="13">
        <f t="shared" si="17"/>
        <v>4.4625441450365884E-3</v>
      </c>
      <c r="T155" s="13">
        <f t="shared" si="17"/>
        <v>3.3011345060561591E-3</v>
      </c>
      <c r="U155" s="13">
        <f t="shared" si="17"/>
        <v>-3.0012134370972655E-3</v>
      </c>
      <c r="V155" s="13"/>
      <c r="W155" s="13">
        <f>+B155/MAX(B$2:B155)-1</f>
        <v>-0.14226152608687537</v>
      </c>
      <c r="X155" s="13">
        <f>+C155/MAX(C$2:C155)-1</f>
        <v>-3.5231573307260566E-3</v>
      </c>
      <c r="Y155" s="13">
        <f>+D155/MAX(D$2:D155)-1</f>
        <v>-1.6728652282012368E-2</v>
      </c>
      <c r="Z155" s="13">
        <f>+E155/MAX(E$2:E155)-1</f>
        <v>-4.7671939193930535E-2</v>
      </c>
      <c r="AA155" s="13">
        <f>+F155/MAX(F$2:F155)-1</f>
        <v>-7.2402523690601184E-3</v>
      </c>
      <c r="AB155" s="52"/>
      <c r="AC155" s="13">
        <f t="shared" si="18"/>
        <v>-8.625274474988287E-3</v>
      </c>
      <c r="AD155" s="13" t="str">
        <f t="shared" si="18"/>
        <v/>
      </c>
      <c r="AE155" s="13" t="str">
        <f t="shared" si="18"/>
        <v/>
      </c>
      <c r="AF155" s="13" t="str">
        <f t="shared" si="18"/>
        <v/>
      </c>
      <c r="AG155" s="13">
        <f t="shared" si="18"/>
        <v>-4.7341933439032273E-3</v>
      </c>
      <c r="AH155" s="52"/>
      <c r="AP155" s="38"/>
    </row>
    <row r="156" spans="1:42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19"/>
        <v>1.9746521183972021E-4</v>
      </c>
      <c r="J156" s="6">
        <f t="shared" si="20"/>
        <v>2.0990652674622658E-2</v>
      </c>
      <c r="K156" s="6">
        <f t="shared" si="20"/>
        <v>8.0612064628980545E-3</v>
      </c>
      <c r="L156" s="6">
        <f t="shared" si="20"/>
        <v>1.9178381247547345E-2</v>
      </c>
      <c r="M156" s="6">
        <f t="shared" si="20"/>
        <v>2.130803414272742E-2</v>
      </c>
      <c r="N156" s="6">
        <f t="shared" si="20"/>
        <v>8.5935659407079552E-3</v>
      </c>
      <c r="O156" s="6">
        <f t="shared" si="21"/>
        <v>0</v>
      </c>
      <c r="P156" s="6"/>
      <c r="Q156" s="13">
        <f t="shared" ref="Q156:U206" si="22">+J156-$H156</f>
        <v>2.0793187462782938E-2</v>
      </c>
      <c r="R156" s="13">
        <f t="shared" si="22"/>
        <v>7.8637412510583343E-3</v>
      </c>
      <c r="S156" s="13">
        <f t="shared" si="22"/>
        <v>1.8980916035707625E-2</v>
      </c>
      <c r="T156" s="13">
        <f t="shared" si="22"/>
        <v>2.11105689308877E-2</v>
      </c>
      <c r="U156" s="13">
        <f t="shared" si="22"/>
        <v>8.396100728868235E-3</v>
      </c>
      <c r="V156" s="13"/>
      <c r="W156" s="13">
        <f>+B156/MAX(B$2:B156)-1</f>
        <v>-0.12406674357341896</v>
      </c>
      <c r="X156" s="13">
        <f>+C156/MAX(C$2:C156)-1</f>
        <v>0</v>
      </c>
      <c r="Y156" s="13">
        <f>+D156/MAX(D$2:D156)-1</f>
        <v>0</v>
      </c>
      <c r="Z156" s="13">
        <f>+E156/MAX(E$2:E156)-1</f>
        <v>-2.7161962729959632E-2</v>
      </c>
      <c r="AA156" s="13">
        <f>+F156/MAX(F$2:F156)-1</f>
        <v>0</v>
      </c>
      <c r="AB156" s="52"/>
      <c r="AC156" s="13" t="str">
        <f t="shared" si="18"/>
        <v/>
      </c>
      <c r="AD156" s="13" t="str">
        <f t="shared" si="18"/>
        <v/>
      </c>
      <c r="AE156" s="13" t="str">
        <f t="shared" si="18"/>
        <v/>
      </c>
      <c r="AF156" s="13" t="str">
        <f t="shared" si="18"/>
        <v/>
      </c>
      <c r="AG156" s="13" t="str">
        <f t="shared" si="18"/>
        <v/>
      </c>
      <c r="AH156" s="52"/>
      <c r="AP156" s="38"/>
    </row>
    <row r="157" spans="1:42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19"/>
        <v>1.9556071042226009E-4</v>
      </c>
      <c r="J157" s="6">
        <f t="shared" si="20"/>
        <v>-1.0615167680639992E-2</v>
      </c>
      <c r="K157" s="6">
        <f t="shared" si="20"/>
        <v>2.4548076667502516E-3</v>
      </c>
      <c r="L157" s="6">
        <f t="shared" si="20"/>
        <v>3.9017948330012063E-3</v>
      </c>
      <c r="M157" s="6">
        <f t="shared" si="20"/>
        <v>2.8449078782690519E-3</v>
      </c>
      <c r="N157" s="6">
        <f t="shared" si="20"/>
        <v>1.1158887706710923E-3</v>
      </c>
      <c r="O157" s="6">
        <f t="shared" si="21"/>
        <v>-9.6915557801681984E-3</v>
      </c>
      <c r="P157" s="6"/>
      <c r="Q157" s="13">
        <f t="shared" si="22"/>
        <v>-1.0810728391062252E-2</v>
      </c>
      <c r="R157" s="13">
        <f t="shared" si="22"/>
        <v>2.2592469563279915E-3</v>
      </c>
      <c r="S157" s="13">
        <f t="shared" si="22"/>
        <v>3.7062341225789462E-3</v>
      </c>
      <c r="T157" s="13">
        <f t="shared" si="22"/>
        <v>2.6493471678467918E-3</v>
      </c>
      <c r="U157" s="13">
        <f t="shared" si="22"/>
        <v>9.2032806024883217E-4</v>
      </c>
      <c r="V157" s="13"/>
      <c r="W157" s="13">
        <f>+B157/MAX(B$2:B157)-1</f>
        <v>-0.13331574526617418</v>
      </c>
      <c r="X157" s="13">
        <f>+C157/MAX(C$2:C157)-1</f>
        <v>0</v>
      </c>
      <c r="Y157" s="13">
        <f>+D157/MAX(D$2:D157)-1</f>
        <v>0</v>
      </c>
      <c r="Z157" s="13">
        <f>+E157/MAX(E$2:E157)-1</f>
        <v>-2.4390387564750982E-2</v>
      </c>
      <c r="AA157" s="13">
        <f>+F157/MAX(F$2:F157)-1</f>
        <v>0</v>
      </c>
      <c r="AB157" s="52"/>
      <c r="AC157" s="13">
        <f t="shared" si="18"/>
        <v>-9.2361190047179388E-4</v>
      </c>
      <c r="AD157" s="13" t="str">
        <f t="shared" si="18"/>
        <v/>
      </c>
      <c r="AE157" s="13" t="str">
        <f t="shared" si="18"/>
        <v/>
      </c>
      <c r="AF157" s="13" t="str">
        <f t="shared" si="18"/>
        <v/>
      </c>
      <c r="AG157" s="13" t="str">
        <f t="shared" si="18"/>
        <v/>
      </c>
      <c r="AH157" s="52"/>
      <c r="AP157" s="38"/>
    </row>
    <row r="158" spans="1:42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19"/>
        <v>1.9556071042226009E-4</v>
      </c>
      <c r="J158" s="6">
        <f t="shared" si="20"/>
        <v>-8.4917741718009161E-3</v>
      </c>
      <c r="K158" s="6">
        <f t="shared" si="20"/>
        <v>-8.2061974569752581E-3</v>
      </c>
      <c r="L158" s="6">
        <f t="shared" si="20"/>
        <v>-6.8129855912890617E-3</v>
      </c>
      <c r="M158" s="6">
        <f t="shared" si="20"/>
        <v>-5.697991304405129E-3</v>
      </c>
      <c r="N158" s="6">
        <f t="shared" si="20"/>
        <v>-2.0155996658250933E-3</v>
      </c>
      <c r="O158" s="6">
        <f t="shared" si="21"/>
        <v>0</v>
      </c>
      <c r="P158" s="6"/>
      <c r="Q158" s="13">
        <f t="shared" si="22"/>
        <v>-8.6873348822231761E-3</v>
      </c>
      <c r="R158" s="13">
        <f t="shared" si="22"/>
        <v>-8.4017581673975182E-3</v>
      </c>
      <c r="S158" s="13">
        <f t="shared" si="22"/>
        <v>-7.0085463017113218E-3</v>
      </c>
      <c r="T158" s="13">
        <f t="shared" si="22"/>
        <v>-5.8935520148273891E-3</v>
      </c>
      <c r="U158" s="13">
        <f t="shared" si="22"/>
        <v>-2.2111603762473534E-3</v>
      </c>
      <c r="V158" s="13"/>
      <c r="W158" s="13">
        <f>+B158/MAX(B$2:B158)-1</f>
        <v>-0.14064427209976216</v>
      </c>
      <c r="X158" s="13">
        <f>+C158/MAX(C$2:C158)-1</f>
        <v>-8.1726185331619794E-3</v>
      </c>
      <c r="Y158" s="13">
        <f>+D158/MAX(D$2:D158)-1</f>
        <v>-6.7898298214400521E-3</v>
      </c>
      <c r="Z158" s="13">
        <f>+E158/MAX(E$2:E158)-1</f>
        <v>-2.9933595081137465E-2</v>
      </c>
      <c r="AA158" s="13">
        <f>+F158/MAX(F$2:F158)-1</f>
        <v>-2.0135697089078697E-3</v>
      </c>
      <c r="AB158" s="52"/>
      <c r="AC158" s="13">
        <f t="shared" si="18"/>
        <v>-8.4917741718009161E-3</v>
      </c>
      <c r="AD158" s="13">
        <f t="shared" si="18"/>
        <v>-8.2061974569752581E-3</v>
      </c>
      <c r="AE158" s="13">
        <f t="shared" si="18"/>
        <v>-6.8129855912890617E-3</v>
      </c>
      <c r="AF158" s="13">
        <f t="shared" si="18"/>
        <v>-5.697991304405129E-3</v>
      </c>
      <c r="AG158" s="13">
        <f t="shared" si="18"/>
        <v>-2.0155996658250933E-3</v>
      </c>
      <c r="AH158" s="52"/>
      <c r="AP158" s="38"/>
    </row>
    <row r="159" spans="1:42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19"/>
        <v>1.9441757599203413E-4</v>
      </c>
      <c r="J159" s="6">
        <f t="shared" si="20"/>
        <v>-7.0234473180625914E-3</v>
      </c>
      <c r="K159" s="6">
        <f t="shared" si="20"/>
        <v>-8.7726750393700287E-3</v>
      </c>
      <c r="L159" s="6">
        <f t="shared" si="20"/>
        <v>-4.0223368324664339E-4</v>
      </c>
      <c r="M159" s="6">
        <f t="shared" si="20"/>
        <v>1.1421632595400733E-3</v>
      </c>
      <c r="N159" s="6">
        <f t="shared" si="20"/>
        <v>-7.2653957344673645E-3</v>
      </c>
      <c r="O159" s="6">
        <f t="shared" si="21"/>
        <v>-5.8625710412623351E-3</v>
      </c>
      <c r="P159" s="6"/>
      <c r="Q159" s="13">
        <f t="shared" si="22"/>
        <v>-7.2178648940546255E-3</v>
      </c>
      <c r="R159" s="13">
        <f t="shared" si="22"/>
        <v>-8.9670926153620628E-3</v>
      </c>
      <c r="S159" s="13">
        <f t="shared" si="22"/>
        <v>-5.9665125923867753E-4</v>
      </c>
      <c r="T159" s="13">
        <f t="shared" si="22"/>
        <v>9.4774568354803919E-4</v>
      </c>
      <c r="U159" s="13">
        <f t="shared" si="22"/>
        <v>-7.4598133104593987E-3</v>
      </c>
      <c r="V159" s="13"/>
      <c r="W159" s="13">
        <f>+B159/MAX(B$2:B159)-1</f>
        <v>-0.14665876581829074</v>
      </c>
      <c r="X159" s="13">
        <f>+C159/MAX(C$2:C159)-1</f>
        <v>-1.6835543773874972E-2</v>
      </c>
      <c r="Y159" s="13">
        <f>+D159/MAX(D$2:D159)-1</f>
        <v>-7.1892520705025831E-3</v>
      </c>
      <c r="Z159" s="13">
        <f>+E159/MAX(E$2:E159)-1</f>
        <v>-2.8824987889441434E-2</v>
      </c>
      <c r="AA159" s="13">
        <f>+F159/MAX(F$2:F159)-1</f>
        <v>-9.2380598932313429E-3</v>
      </c>
      <c r="AB159" s="52"/>
      <c r="AC159" s="13">
        <f t="shared" si="18"/>
        <v>-1.1608762768002562E-3</v>
      </c>
      <c r="AD159" s="13">
        <f t="shared" si="18"/>
        <v>-2.9101039981076935E-3</v>
      </c>
      <c r="AE159" s="13" t="str">
        <f t="shared" si="18"/>
        <v/>
      </c>
      <c r="AF159" s="13" t="str">
        <f t="shared" si="18"/>
        <v/>
      </c>
      <c r="AG159" s="13">
        <f t="shared" si="18"/>
        <v>-1.4028246932050294E-3</v>
      </c>
      <c r="AH159" s="52"/>
      <c r="AP159" s="38"/>
    </row>
    <row r="160" spans="1:42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19"/>
        <v>1.9517970175764177E-4</v>
      </c>
      <c r="J160" s="6">
        <f t="shared" si="20"/>
        <v>4.7859728642550272E-3</v>
      </c>
      <c r="K160" s="6">
        <f t="shared" si="20"/>
        <v>-5.3342326889105063E-3</v>
      </c>
      <c r="L160" s="6">
        <f t="shared" si="20"/>
        <v>-2.8200016753762752E-3</v>
      </c>
      <c r="M160" s="6">
        <f t="shared" si="20"/>
        <v>5.12394513644681E-3</v>
      </c>
      <c r="N160" s="6">
        <f t="shared" si="20"/>
        <v>1.0904938060488179E-3</v>
      </c>
      <c r="O160" s="6">
        <f t="shared" si="21"/>
        <v>3.91238225352871E-3</v>
      </c>
      <c r="P160" s="6"/>
      <c r="Q160" s="13">
        <f t="shared" si="22"/>
        <v>4.5907931624973855E-3</v>
      </c>
      <c r="R160" s="13">
        <f t="shared" si="22"/>
        <v>-5.529412390668148E-3</v>
      </c>
      <c r="S160" s="13">
        <f t="shared" si="22"/>
        <v>-3.015181377133917E-3</v>
      </c>
      <c r="T160" s="13">
        <f t="shared" si="22"/>
        <v>4.9287654346891682E-3</v>
      </c>
      <c r="U160" s="13">
        <f t="shared" si="22"/>
        <v>8.9531410429117609E-4</v>
      </c>
      <c r="V160" s="13"/>
      <c r="W160" s="13">
        <f>+B160/MAX(B$2:B160)-1</f>
        <v>-0.14256490909829012</v>
      </c>
      <c r="X160" s="13">
        <f>+C160/MAX(C$2:C160)-1</f>
        <v>-2.2066009092993721E-2</v>
      </c>
      <c r="Y160" s="13">
        <f>+D160/MAX(D$2:D160)-1</f>
        <v>-9.9850361323580161E-3</v>
      </c>
      <c r="Z160" s="13">
        <f>+E160/MAX(E$2:E160)-1</f>
        <v>-2.3835969596965323E-2</v>
      </c>
      <c r="AA160" s="13">
        <f>+F160/MAX(F$2:F160)-1</f>
        <v>-8.1570508245549789E-3</v>
      </c>
      <c r="AB160" s="52"/>
      <c r="AC160" s="13" t="str">
        <f t="shared" si="18"/>
        <v/>
      </c>
      <c r="AD160" s="13">
        <f t="shared" si="18"/>
        <v>-9.2466149424392172E-3</v>
      </c>
      <c r="AE160" s="13">
        <f t="shared" si="18"/>
        <v>-6.7323839289049857E-3</v>
      </c>
      <c r="AF160" s="13" t="str">
        <f t="shared" si="18"/>
        <v/>
      </c>
      <c r="AG160" s="13">
        <f t="shared" si="18"/>
        <v>-2.8218884474798924E-3</v>
      </c>
      <c r="AH160" s="52"/>
      <c r="AP160" s="38"/>
    </row>
    <row r="161" spans="1:42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19"/>
        <v>1.9517970175764177E-4</v>
      </c>
      <c r="J161" s="6">
        <f t="shared" si="20"/>
        <v>-4.9043056684808586E-3</v>
      </c>
      <c r="K161" s="6">
        <f t="shared" si="20"/>
        <v>-8.8979314726668046E-3</v>
      </c>
      <c r="L161" s="6">
        <f t="shared" si="20"/>
        <v>-7.637567148412871E-3</v>
      </c>
      <c r="M161" s="6">
        <f t="shared" si="20"/>
        <v>-2.2740551851044106E-3</v>
      </c>
      <c r="N161" s="6">
        <f t="shared" si="20"/>
        <v>-1.2410983057457463E-2</v>
      </c>
      <c r="O161" s="6">
        <f t="shared" si="21"/>
        <v>0</v>
      </c>
      <c r="P161" s="6"/>
      <c r="Q161" s="13">
        <f t="shared" si="22"/>
        <v>-5.0994853702385004E-3</v>
      </c>
      <c r="R161" s="13">
        <f t="shared" si="22"/>
        <v>-9.0931111744244463E-3</v>
      </c>
      <c r="S161" s="13">
        <f t="shared" si="22"/>
        <v>-7.8327468501705119E-3</v>
      </c>
      <c r="T161" s="13">
        <f t="shared" si="22"/>
        <v>-2.4692348868620524E-3</v>
      </c>
      <c r="U161" s="13">
        <f t="shared" si="22"/>
        <v>-1.2606162759215105E-2</v>
      </c>
      <c r="V161" s="13"/>
      <c r="W161" s="13">
        <f>+B161/MAX(B$2:B161)-1</f>
        <v>-0.14675973810520826</v>
      </c>
      <c r="X161" s="13">
        <f>+C161/MAX(C$2:C161)-1</f>
        <v>-3.0729000221861869E-2</v>
      </c>
      <c r="Y161" s="13">
        <f>+D161/MAX(D$2:D161)-1</f>
        <v>-1.7517540277988575E-2</v>
      </c>
      <c r="Z161" s="13">
        <f>+E161/MAX(E$2:E161)-1</f>
        <v>-2.6053298352294973E-2</v>
      </c>
      <c r="AA161" s="13">
        <f>+F161/MAX(F$2:F161)-1</f>
        <v>-2.039072387640728E-2</v>
      </c>
      <c r="AB161" s="52"/>
      <c r="AC161" s="13">
        <f t="shared" si="18"/>
        <v>-4.9043056684808586E-3</v>
      </c>
      <c r="AD161" s="13">
        <f t="shared" si="18"/>
        <v>-8.8979314726668046E-3</v>
      </c>
      <c r="AE161" s="13">
        <f t="shared" si="18"/>
        <v>-7.637567148412871E-3</v>
      </c>
      <c r="AF161" s="13">
        <f t="shared" si="18"/>
        <v>-2.2740551851044106E-3</v>
      </c>
      <c r="AG161" s="13">
        <f t="shared" si="18"/>
        <v>-1.2410983057457463E-2</v>
      </c>
      <c r="AH161" s="52"/>
      <c r="AP161" s="38"/>
    </row>
    <row r="162" spans="1:42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19"/>
        <v>1.9479865694971288E-4</v>
      </c>
      <c r="J162" s="6">
        <f t="shared" si="20"/>
        <v>4.4916084303433098E-3</v>
      </c>
      <c r="K162" s="6">
        <f t="shared" si="20"/>
        <v>3.5350412795235415E-3</v>
      </c>
      <c r="L162" s="6">
        <f t="shared" si="20"/>
        <v>9.1580546261534317E-3</v>
      </c>
      <c r="M162" s="6">
        <f t="shared" si="20"/>
        <v>-8.5739149328683574E-3</v>
      </c>
      <c r="N162" s="6">
        <f t="shared" si="20"/>
        <v>1.1038072569656417E-2</v>
      </c>
      <c r="O162" s="6">
        <f t="shared" si="21"/>
        <v>-1.9541849986461348E-3</v>
      </c>
      <c r="P162" s="6"/>
      <c r="Q162" s="13">
        <f t="shared" si="22"/>
        <v>4.296809773393597E-3</v>
      </c>
      <c r="R162" s="13">
        <f t="shared" si="22"/>
        <v>3.3402426225738286E-3</v>
      </c>
      <c r="S162" s="13">
        <f t="shared" si="22"/>
        <v>8.9632559692037189E-3</v>
      </c>
      <c r="T162" s="13">
        <f t="shared" si="22"/>
        <v>-8.7687135898180703E-3</v>
      </c>
      <c r="U162" s="13">
        <f t="shared" si="22"/>
        <v>1.0843273912706704E-2</v>
      </c>
      <c r="V162" s="13"/>
      <c r="W162" s="13">
        <f>+B162/MAX(B$2:B162)-1</f>
        <v>-0.14291869718348327</v>
      </c>
      <c r="X162" s="13">
        <f>+C162/MAX(C$2:C162)-1</f>
        <v>-2.7296523828229002E-2</v>
      </c>
      <c r="Y162" s="13">
        <f>+D162/MAX(D$2:D162)-1</f>
        <v>-8.4785857978147972E-3</v>
      </c>
      <c r="Z162" s="13">
        <f>+E162/MAX(E$2:E162)-1</f>
        <v>-3.4368138219859068E-2</v>
      </c>
      <c r="AA162" s="13">
        <f>+F162/MAX(F$2:F162)-1</f>
        <v>-9.5178280853007724E-3</v>
      </c>
      <c r="AB162" s="52"/>
      <c r="AC162" s="13" t="str">
        <f t="shared" si="18"/>
        <v/>
      </c>
      <c r="AD162" s="13" t="str">
        <f t="shared" si="18"/>
        <v/>
      </c>
      <c r="AE162" s="13" t="str">
        <f t="shared" si="18"/>
        <v/>
      </c>
      <c r="AF162" s="13">
        <f t="shared" si="18"/>
        <v>-6.6197299342222226E-3</v>
      </c>
      <c r="AG162" s="13" t="str">
        <f t="shared" si="18"/>
        <v/>
      </c>
      <c r="AH162" s="52"/>
      <c r="AP162" s="38"/>
    </row>
    <row r="163" spans="1:42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19"/>
        <v>1.9632261934998674E-4</v>
      </c>
      <c r="J163" s="6">
        <f t="shared" ref="J163:N194" si="23">LN(B163/B162)</f>
        <v>-6.685740856598745E-3</v>
      </c>
      <c r="K163" s="6">
        <f t="shared" si="23"/>
        <v>-4.0410882798711488E-3</v>
      </c>
      <c r="L163" s="6">
        <f t="shared" si="23"/>
        <v>5.202946011474462E-3</v>
      </c>
      <c r="M163" s="6">
        <f t="shared" si="23"/>
        <v>-9.8068295948848475E-3</v>
      </c>
      <c r="N163" s="6">
        <f t="shared" si="23"/>
        <v>-3.747574930495873E-4</v>
      </c>
      <c r="O163" s="6">
        <f t="shared" si="21"/>
        <v>7.7928264448712302E-3</v>
      </c>
      <c r="P163" s="6"/>
      <c r="Q163" s="13">
        <f t="shared" si="22"/>
        <v>-6.8820634759487317E-3</v>
      </c>
      <c r="R163" s="13">
        <f t="shared" si="22"/>
        <v>-4.2374108992211355E-3</v>
      </c>
      <c r="S163" s="13">
        <f t="shared" si="22"/>
        <v>5.0066233921244752E-3</v>
      </c>
      <c r="T163" s="13">
        <f t="shared" si="22"/>
        <v>-1.0003152214234834E-2</v>
      </c>
      <c r="U163" s="13">
        <f t="shared" si="22"/>
        <v>-5.7108011239957409E-4</v>
      </c>
      <c r="V163" s="13"/>
      <c r="W163" s="13">
        <f>+B163/MAX(B$2:B163)-1</f>
        <v>-0.1486298078905971</v>
      </c>
      <c r="X163" s="13">
        <f>+C163/MAX(C$2:C163)-1</f>
        <v>-3.1219372817568147E-2</v>
      </c>
      <c r="Y163" s="13">
        <f>+D163/MAX(D$2:D163)-1</f>
        <v>-3.3063095415079014E-3</v>
      </c>
      <c r="Z163" s="13">
        <f>+E163/MAX(E$2:E163)-1</f>
        <v>-4.3791642465088043E-2</v>
      </c>
      <c r="AA163" s="13">
        <f>+F163/MAX(F$2:F163)-1</f>
        <v>-9.8889491564132515E-3</v>
      </c>
      <c r="AB163" s="52"/>
      <c r="AC163" s="13">
        <f t="shared" si="18"/>
        <v>-1.4478567301469975E-2</v>
      </c>
      <c r="AD163" s="13">
        <f t="shared" si="18"/>
        <v>-1.1833914724742378E-2</v>
      </c>
      <c r="AE163" s="13">
        <f t="shared" si="18"/>
        <v>-2.5898804333967683E-3</v>
      </c>
      <c r="AF163" s="13">
        <f t="shared" si="18"/>
        <v>-1.7599656039756079E-2</v>
      </c>
      <c r="AG163" s="13">
        <f t="shared" si="18"/>
        <v>-8.1675839379208182E-3</v>
      </c>
      <c r="AH163" s="52"/>
      <c r="AP163" s="38"/>
    </row>
    <row r="164" spans="1:42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19"/>
        <v>1.9632261934998674E-4</v>
      </c>
      <c r="J164" s="6">
        <f t="shared" si="23"/>
        <v>7.2163751807764352E-3</v>
      </c>
      <c r="K164" s="6">
        <f t="shared" si="23"/>
        <v>7.5637276739742845E-3</v>
      </c>
      <c r="L164" s="6">
        <f t="shared" si="23"/>
        <v>-6.7235150953914692E-3</v>
      </c>
      <c r="M164" s="6">
        <f t="shared" si="23"/>
        <v>-4.2513463190354973E-3</v>
      </c>
      <c r="N164" s="6">
        <f t="shared" si="23"/>
        <v>1.4444457627020377E-3</v>
      </c>
      <c r="O164" s="6">
        <f t="shared" si="21"/>
        <v>0</v>
      </c>
      <c r="P164" s="6"/>
      <c r="Q164" s="13">
        <f t="shared" si="22"/>
        <v>7.0200525614264484E-3</v>
      </c>
      <c r="R164" s="13">
        <f t="shared" si="22"/>
        <v>7.3674050546242978E-3</v>
      </c>
      <c r="S164" s="13">
        <f t="shared" si="22"/>
        <v>-6.919837714741456E-3</v>
      </c>
      <c r="T164" s="13">
        <f t="shared" si="22"/>
        <v>-4.447668938385484E-3</v>
      </c>
      <c r="U164" s="13">
        <f t="shared" si="22"/>
        <v>1.248123143352051E-3</v>
      </c>
      <c r="V164" s="13"/>
      <c r="W164" s="13">
        <f>+B164/MAX(B$2:B164)-1</f>
        <v>-0.14246377973886681</v>
      </c>
      <c r="X164" s="13">
        <f>+C164/MAX(C$2:C164)-1</f>
        <v>-2.3863998018479604E-2</v>
      </c>
      <c r="Y164" s="13">
        <f>+D164/MAX(D$2:D164)-1</f>
        <v>-9.9851169236906401E-3</v>
      </c>
      <c r="Z164" s="13">
        <f>+E164/MAX(E$2:E164)-1</f>
        <v>-4.784818634985788E-2</v>
      </c>
      <c r="AA164" s="13">
        <f>+F164/MAX(F$2:F164)-1</f>
        <v>-8.4577540514051419E-3</v>
      </c>
      <c r="AB164" s="52"/>
      <c r="AC164" s="13" t="str">
        <f t="shared" si="18"/>
        <v/>
      </c>
      <c r="AD164" s="13" t="str">
        <f t="shared" si="18"/>
        <v/>
      </c>
      <c r="AE164" s="13">
        <f t="shared" si="18"/>
        <v>-6.7235150953914692E-3</v>
      </c>
      <c r="AF164" s="13">
        <f t="shared" si="18"/>
        <v>-4.2513463190354973E-3</v>
      </c>
      <c r="AG164" s="13" t="str">
        <f t="shared" si="18"/>
        <v/>
      </c>
      <c r="AH164" s="52"/>
      <c r="AP164" s="38"/>
    </row>
    <row r="165" spans="1:42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19"/>
        <v>1.9746521183972021E-4</v>
      </c>
      <c r="J165" s="6">
        <f t="shared" si="23"/>
        <v>-1.120175412492392E-2</v>
      </c>
      <c r="K165" s="6">
        <f t="shared" si="23"/>
        <v>-1.348640955626019E-2</v>
      </c>
      <c r="L165" s="6">
        <f t="shared" si="23"/>
        <v>-8.557882737226321E-3</v>
      </c>
      <c r="M165" s="6">
        <f t="shared" si="23"/>
        <v>-1.0110097057956752E-2</v>
      </c>
      <c r="N165" s="6">
        <f t="shared" si="23"/>
        <v>-9.5019783338873547E-3</v>
      </c>
      <c r="O165" s="6">
        <f t="shared" si="21"/>
        <v>5.8031031216765087E-3</v>
      </c>
      <c r="P165" s="6"/>
      <c r="Q165" s="13">
        <f t="shared" si="22"/>
        <v>-1.139921933676364E-2</v>
      </c>
      <c r="R165" s="13">
        <f t="shared" si="22"/>
        <v>-1.368387476809991E-2</v>
      </c>
      <c r="S165" s="13">
        <f t="shared" si="22"/>
        <v>-8.7553479490660412E-3</v>
      </c>
      <c r="T165" s="13">
        <f t="shared" si="22"/>
        <v>-1.0307562269796473E-2</v>
      </c>
      <c r="U165" s="13">
        <f t="shared" si="22"/>
        <v>-9.6994435457270749E-3</v>
      </c>
      <c r="V165" s="13"/>
      <c r="W165" s="13">
        <f>+B165/MAX(B$2:B165)-1</f>
        <v>-0.15201608844021142</v>
      </c>
      <c r="X165" s="13">
        <f>+C165/MAX(C$2:C165)-1</f>
        <v>-3.6940194260354331E-2</v>
      </c>
      <c r="Y165" s="13">
        <f>+D165/MAX(D$2:D165)-1</f>
        <v>-1.8421398360014662E-2</v>
      </c>
      <c r="Z165" s="13">
        <f>+E165/MAX(E$2:E165)-1</f>
        <v>-5.7426035524953067E-2</v>
      </c>
      <c r="AA165" s="13">
        <f>+F165/MAX(F$2:F165)-1</f>
        <v>-1.783474644818106E-2</v>
      </c>
      <c r="AB165" s="52"/>
      <c r="AC165" s="13">
        <f t="shared" si="18"/>
        <v>-1.7004857246600429E-2</v>
      </c>
      <c r="AD165" s="13">
        <f t="shared" si="18"/>
        <v>-1.9289512677936698E-2</v>
      </c>
      <c r="AE165" s="13">
        <f t="shared" si="18"/>
        <v>-1.4360985858902831E-2</v>
      </c>
      <c r="AF165" s="13">
        <f t="shared" si="18"/>
        <v>-1.5913200179633262E-2</v>
      </c>
      <c r="AG165" s="13">
        <f t="shared" si="18"/>
        <v>-1.5305081455563863E-2</v>
      </c>
      <c r="AH165" s="52"/>
      <c r="AP165" s="38"/>
    </row>
    <row r="166" spans="1:42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19"/>
        <v>1.970843837875158E-4</v>
      </c>
      <c r="J166" s="6">
        <f t="shared" si="23"/>
        <v>4.236087617690229E-2</v>
      </c>
      <c r="K166" s="6">
        <f t="shared" si="23"/>
        <v>2.2039331166826617E-3</v>
      </c>
      <c r="L166" s="6">
        <f t="shared" si="23"/>
        <v>-2.0473527315899678E-4</v>
      </c>
      <c r="M166" s="6">
        <f t="shared" si="23"/>
        <v>-1.8703414262897906E-2</v>
      </c>
      <c r="N166" s="6">
        <f t="shared" si="23"/>
        <v>7.4172372058720279E-3</v>
      </c>
      <c r="O166" s="6">
        <f t="shared" si="21"/>
        <v>-1.9304451186457814E-3</v>
      </c>
      <c r="P166" s="6"/>
      <c r="Q166" s="13">
        <f t="shared" si="22"/>
        <v>4.2163791793114774E-2</v>
      </c>
      <c r="R166" s="13">
        <f t="shared" si="22"/>
        <v>2.0068487328951459E-3</v>
      </c>
      <c r="S166" s="13">
        <f t="shared" si="22"/>
        <v>-4.0181965694651258E-4</v>
      </c>
      <c r="T166" s="13">
        <f t="shared" si="22"/>
        <v>-1.8900498646685422E-2</v>
      </c>
      <c r="U166" s="13">
        <f t="shared" si="22"/>
        <v>7.2201528220845121E-3</v>
      </c>
      <c r="V166" s="13"/>
      <c r="W166" s="13">
        <f>+B166/MAX(B$2:B166)-1</f>
        <v>-0.11532305933220355</v>
      </c>
      <c r="X166" s="13">
        <f>+C166/MAX(C$2:C166)-1</f>
        <v>-3.4815334196501069E-2</v>
      </c>
      <c r="Y166" s="13">
        <f>+D166/MAX(D$2:D166)-1</f>
        <v>-1.8622341552366861E-2</v>
      </c>
      <c r="Z166" s="13">
        <f>+E166/MAX(E$2:E166)-1</f>
        <v>-7.4891545380468827E-2</v>
      </c>
      <c r="AA166" s="13">
        <f>+F166/MAX(F$2:F166)-1</f>
        <v>-1.0522709754774651E-2</v>
      </c>
      <c r="AB166" s="52"/>
      <c r="AC166" s="13" t="str">
        <f t="shared" si="18"/>
        <v/>
      </c>
      <c r="AD166" s="13" t="str">
        <f t="shared" si="18"/>
        <v/>
      </c>
      <c r="AE166" s="13" t="str">
        <f t="shared" si="18"/>
        <v/>
      </c>
      <c r="AF166" s="13">
        <f t="shared" si="18"/>
        <v>-1.6772969144252126E-2</v>
      </c>
      <c r="AG166" s="13" t="str">
        <f t="shared" si="18"/>
        <v/>
      </c>
      <c r="AH166" s="52"/>
      <c r="AP166" s="38"/>
    </row>
    <row r="167" spans="1:42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19"/>
        <v>1.9632261934998674E-4</v>
      </c>
      <c r="J167" s="6">
        <f t="shared" si="23"/>
        <v>8.5896815167550832E-3</v>
      </c>
      <c r="K167" s="6">
        <f t="shared" si="23"/>
        <v>-1.3125590939175541E-2</v>
      </c>
      <c r="L167" s="6">
        <f t="shared" si="23"/>
        <v>-6.6864291458487934E-2</v>
      </c>
      <c r="M167" s="6">
        <f t="shared" si="23"/>
        <v>-6.7217247231749887E-3</v>
      </c>
      <c r="N167" s="6">
        <f t="shared" si="23"/>
        <v>-1.4657607029448559E-2</v>
      </c>
      <c r="O167" s="6">
        <f t="shared" si="21"/>
        <v>-3.8726580030308149E-3</v>
      </c>
      <c r="P167" s="6"/>
      <c r="Q167" s="13">
        <f t="shared" si="22"/>
        <v>8.3933588974050965E-3</v>
      </c>
      <c r="R167" s="13">
        <f t="shared" si="22"/>
        <v>-1.3321913558525527E-2</v>
      </c>
      <c r="S167" s="13">
        <f t="shared" si="22"/>
        <v>-6.7060614077837921E-2</v>
      </c>
      <c r="T167" s="13">
        <f t="shared" si="22"/>
        <v>-6.9180473425249755E-3</v>
      </c>
      <c r="U167" s="13">
        <f t="shared" si="22"/>
        <v>-1.4853929648798546E-2</v>
      </c>
      <c r="V167" s="13"/>
      <c r="W167" s="13">
        <f>+B167/MAX(B$2:B167)-1</f>
        <v>-0.10769123562373628</v>
      </c>
      <c r="X167" s="13">
        <f>+C167/MAX(C$2:C167)-1</f>
        <v>-4.7401174314708472E-2</v>
      </c>
      <c r="Y167" s="13">
        <f>+D167/MAX(D$2:D167)-1</f>
        <v>-8.2095764127604109E-2</v>
      </c>
      <c r="Z167" s="13">
        <f>+E167/MAX(E$2:E167)-1</f>
        <v>-8.1089017566214228E-2</v>
      </c>
      <c r="AA167" s="13">
        <f>+F167/MAX(F$2:F167)-1</f>
        <v>-2.4920304128959958E-2</v>
      </c>
      <c r="AB167" s="52"/>
      <c r="AC167" s="13" t="str">
        <f t="shared" si="18"/>
        <v/>
      </c>
      <c r="AD167" s="13">
        <f t="shared" si="18"/>
        <v>-9.2529329361447261E-3</v>
      </c>
      <c r="AE167" s="13">
        <f t="shared" si="18"/>
        <v>-6.2991633455457122E-2</v>
      </c>
      <c r="AF167" s="13">
        <f t="shared" si="18"/>
        <v>-2.8490667201441738E-3</v>
      </c>
      <c r="AG167" s="13">
        <f t="shared" si="18"/>
        <v>-1.0784949026417745E-2</v>
      </c>
      <c r="AH167" s="52"/>
      <c r="AP167" s="38"/>
    </row>
    <row r="168" spans="1:42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19"/>
        <v>1.9517970175764177E-4</v>
      </c>
      <c r="J168" s="6">
        <f t="shared" si="23"/>
        <v>-2.2106106529132866E-2</v>
      </c>
      <c r="K168" s="6">
        <f t="shared" si="23"/>
        <v>-2.4050333635455131E-3</v>
      </c>
      <c r="L168" s="6">
        <f t="shared" si="23"/>
        <v>5.4697060967347623E-4</v>
      </c>
      <c r="M168" s="6">
        <f t="shared" si="23"/>
        <v>-4.3010263731349009E-3</v>
      </c>
      <c r="N168" s="6">
        <f t="shared" si="23"/>
        <v>-1.2094130563305876E-2</v>
      </c>
      <c r="O168" s="6">
        <f t="shared" si="21"/>
        <v>-5.8386414462252264E-3</v>
      </c>
      <c r="P168" s="6"/>
      <c r="Q168" s="13">
        <f t="shared" si="22"/>
        <v>-2.2301286230890508E-2</v>
      </c>
      <c r="R168" s="13">
        <f t="shared" si="22"/>
        <v>-2.6002130653031549E-3</v>
      </c>
      <c r="S168" s="13">
        <f t="shared" si="22"/>
        <v>3.5179090791583446E-4</v>
      </c>
      <c r="T168" s="13">
        <f t="shared" si="22"/>
        <v>-4.4962060748925427E-3</v>
      </c>
      <c r="U168" s="13">
        <f t="shared" si="22"/>
        <v>-1.2289310265063517E-2</v>
      </c>
      <c r="V168" s="13"/>
      <c r="W168" s="13">
        <f>+B168/MAX(B$2:B168)-1</f>
        <v>-0.12720027926072808</v>
      </c>
      <c r="X168" s="13">
        <f>+C168/MAX(C$2:C168)-1</f>
        <v>-4.9689453475706413E-2</v>
      </c>
      <c r="Y168" s="13">
        <f>+D168/MAX(D$2:D168)-1</f>
        <v>-8.1593560155201361E-2</v>
      </c>
      <c r="Z168" s="13">
        <f>+E168/MAX(E$2:E168)-1</f>
        <v>-8.5032790720455664E-2</v>
      </c>
      <c r="AA168" s="13">
        <f>+F168/MAX(F$2:F168)-1</f>
        <v>-3.6642020421174926E-2</v>
      </c>
      <c r="AB168" s="52"/>
      <c r="AC168" s="13">
        <f t="shared" si="18"/>
        <v>-1.6267465082907641E-2</v>
      </c>
      <c r="AD168" s="13" t="str">
        <f t="shared" si="18"/>
        <v/>
      </c>
      <c r="AE168" s="13" t="str">
        <f t="shared" si="18"/>
        <v/>
      </c>
      <c r="AF168" s="13" t="str">
        <f t="shared" si="18"/>
        <v/>
      </c>
      <c r="AG168" s="13">
        <f t="shared" si="18"/>
        <v>-6.2554891170806494E-3</v>
      </c>
      <c r="AH168" s="52"/>
      <c r="AP168" s="38"/>
    </row>
    <row r="169" spans="1:42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19"/>
        <v>1.970843837875158E-4</v>
      </c>
      <c r="J169" s="6">
        <f t="shared" si="23"/>
        <v>-1.9353292388622649E-2</v>
      </c>
      <c r="K169" s="6">
        <f t="shared" si="23"/>
        <v>-1.3769359849297128E-3</v>
      </c>
      <c r="L169" s="6">
        <f t="shared" si="23"/>
        <v>-1.1493392825475091E-2</v>
      </c>
      <c r="M169" s="6">
        <f t="shared" si="23"/>
        <v>-9.2793792839827582E-3</v>
      </c>
      <c r="N169" s="6">
        <f t="shared" si="23"/>
        <v>-2.0586901863485071E-3</v>
      </c>
      <c r="O169" s="6">
        <f t="shared" si="21"/>
        <v>9.7112994492560816E-3</v>
      </c>
      <c r="P169" s="6"/>
      <c r="Q169" s="13">
        <f t="shared" si="22"/>
        <v>-1.9550376772410165E-2</v>
      </c>
      <c r="R169" s="13">
        <f t="shared" si="22"/>
        <v>-1.5740203687172286E-3</v>
      </c>
      <c r="S169" s="13">
        <f t="shared" si="22"/>
        <v>-1.1690477209262607E-2</v>
      </c>
      <c r="T169" s="13">
        <f t="shared" si="22"/>
        <v>-9.476463667770274E-3</v>
      </c>
      <c r="U169" s="13">
        <f t="shared" si="22"/>
        <v>-2.2557745701360229E-3</v>
      </c>
      <c r="V169" s="13"/>
      <c r="W169" s="13">
        <f>+B169/MAX(B$2:B169)-1</f>
        <v>-0.14392942328995317</v>
      </c>
      <c r="X169" s="13">
        <f>+C169/MAX(C$2:C169)-1</f>
        <v>-5.0997069805486128E-2</v>
      </c>
      <c r="Y169" s="13">
        <f>+D169/MAX(D$2:D169)-1</f>
        <v>-9.2088738008382354E-2</v>
      </c>
      <c r="Z169" s="13">
        <f>+E169/MAX(E$2:E169)-1</f>
        <v>-9.3483847565767664E-2</v>
      </c>
      <c r="AA169" s="13">
        <f>+F169/MAX(F$2:F169)-1</f>
        <v>-3.8623235985421722E-2</v>
      </c>
      <c r="AB169" s="52"/>
      <c r="AC169" s="13">
        <f t="shared" ref="AC169:AG219" si="24">+IF(J169&lt;$O169,J169-$O169,"")</f>
        <v>-2.9064591837878732E-2</v>
      </c>
      <c r="AD169" s="13">
        <f t="shared" si="24"/>
        <v>-1.1088235434185795E-2</v>
      </c>
      <c r="AE169" s="13">
        <f t="shared" si="24"/>
        <v>-2.1204692274731173E-2</v>
      </c>
      <c r="AF169" s="13">
        <f t="shared" si="24"/>
        <v>-1.8990678733238842E-2</v>
      </c>
      <c r="AG169" s="13">
        <f t="shared" si="24"/>
        <v>-1.1769989635604588E-2</v>
      </c>
      <c r="AH169" s="52"/>
      <c r="AP169" s="38"/>
    </row>
    <row r="170" spans="1:42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19"/>
        <v>1.9784600378991435E-4</v>
      </c>
      <c r="J170" s="6">
        <f t="shared" si="23"/>
        <v>-8.1807529156866562E-3</v>
      </c>
      <c r="K170" s="6">
        <f t="shared" si="23"/>
        <v>7.7206836858722564E-3</v>
      </c>
      <c r="L170" s="6">
        <f t="shared" si="23"/>
        <v>-3.9902601949420831E-3</v>
      </c>
      <c r="M170" s="6">
        <f t="shared" si="23"/>
        <v>1.8628149729069926E-3</v>
      </c>
      <c r="N170" s="6">
        <f t="shared" si="23"/>
        <v>-5.797336366096615E-3</v>
      </c>
      <c r="O170" s="6">
        <f t="shared" si="21"/>
        <v>3.8569883226659335E-3</v>
      </c>
      <c r="P170" s="6"/>
      <c r="Q170" s="13">
        <f t="shared" si="22"/>
        <v>-8.3785989194765705E-3</v>
      </c>
      <c r="R170" s="13">
        <f t="shared" si="22"/>
        <v>7.5228376820823421E-3</v>
      </c>
      <c r="S170" s="13">
        <f t="shared" si="22"/>
        <v>-4.1881061987319975E-3</v>
      </c>
      <c r="T170" s="13">
        <f t="shared" si="22"/>
        <v>1.6649689691170782E-3</v>
      </c>
      <c r="U170" s="13">
        <f t="shared" si="22"/>
        <v>-5.9951823698865293E-3</v>
      </c>
      <c r="V170" s="13"/>
      <c r="W170" s="13">
        <f>+B170/MAX(B$2:B170)-1</f>
        <v>-0.15090415697149295</v>
      </c>
      <c r="X170" s="13">
        <f>+C170/MAX(C$2:C170)-1</f>
        <v>-4.3641760894552961E-2</v>
      </c>
      <c r="Y170" s="13">
        <f>+D170/MAX(D$2:D170)-1</f>
        <v>-9.5704321820235139E-2</v>
      </c>
      <c r="Z170" s="13">
        <f>+E170/MAX(E$2:E170)-1</f>
        <v>-9.1793601885123977E-2</v>
      </c>
      <c r="AA170" s="13">
        <f>+F170/MAX(F$2:F170)-1</f>
        <v>-4.4180536127208958E-2</v>
      </c>
      <c r="AB170" s="52"/>
      <c r="AC170" s="13">
        <f t="shared" si="24"/>
        <v>-1.2037741238352589E-2</v>
      </c>
      <c r="AD170" s="13" t="str">
        <f t="shared" si="24"/>
        <v/>
      </c>
      <c r="AE170" s="13">
        <f t="shared" si="24"/>
        <v>-7.8472485176080166E-3</v>
      </c>
      <c r="AF170" s="13">
        <f t="shared" si="24"/>
        <v>-1.9941733497589407E-3</v>
      </c>
      <c r="AG170" s="13">
        <f t="shared" si="24"/>
        <v>-9.6543246887625493E-3</v>
      </c>
      <c r="AH170" s="52"/>
      <c r="AP170" s="38"/>
    </row>
    <row r="171" spans="1:42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19"/>
        <v>1.9632261934998674E-4</v>
      </c>
      <c r="J171" s="6">
        <f t="shared" si="23"/>
        <v>-5.7307029681765223E-3</v>
      </c>
      <c r="K171" s="6">
        <f t="shared" si="23"/>
        <v>6.8132245978021052E-3</v>
      </c>
      <c r="L171" s="6">
        <f t="shared" si="23"/>
        <v>6.4760434973849422E-3</v>
      </c>
      <c r="M171" s="6">
        <f t="shared" si="23"/>
        <v>1.2943127412559438E-2</v>
      </c>
      <c r="N171" s="6">
        <f t="shared" si="23"/>
        <v>-2.2106328639260849E-3</v>
      </c>
      <c r="O171" s="6">
        <f t="shared" si="21"/>
        <v>-7.7296463256966716E-3</v>
      </c>
      <c r="P171" s="6"/>
      <c r="Q171" s="13">
        <f t="shared" si="22"/>
        <v>-5.927025587526509E-3</v>
      </c>
      <c r="R171" s="13">
        <f t="shared" si="22"/>
        <v>6.6169019784521185E-3</v>
      </c>
      <c r="S171" s="13">
        <f t="shared" si="22"/>
        <v>6.2797208780349554E-3</v>
      </c>
      <c r="T171" s="13">
        <f t="shared" si="22"/>
        <v>1.2746804793209452E-2</v>
      </c>
      <c r="U171" s="13">
        <f t="shared" si="22"/>
        <v>-2.4069554832760716E-3</v>
      </c>
      <c r="V171" s="13"/>
      <c r="W171" s="13">
        <f>+B171/MAX(B$2:B171)-1</f>
        <v>-0.15575615707501889</v>
      </c>
      <c r="X171" s="13">
        <f>+C171/MAX(C$2:C171)-1</f>
        <v>-3.7103629829537965E-2</v>
      </c>
      <c r="Y171" s="13">
        <f>+D171/MAX(D$2:D171)-1</f>
        <v>-8.9829059981838322E-2</v>
      </c>
      <c r="Z171" s="13">
        <f>+E171/MAX(E$2:E171)-1</f>
        <v>-7.996216805046219E-2</v>
      </c>
      <c r="AA171" s="13">
        <f>+F171/MAX(F$2:F171)-1</f>
        <v>-4.6291168270100047E-2</v>
      </c>
      <c r="AB171" s="52"/>
      <c r="AC171" s="13" t="str">
        <f t="shared" si="24"/>
        <v/>
      </c>
      <c r="AD171" s="13" t="str">
        <f t="shared" si="24"/>
        <v/>
      </c>
      <c r="AE171" s="13" t="str">
        <f t="shared" si="24"/>
        <v/>
      </c>
      <c r="AF171" s="13" t="str">
        <f t="shared" si="24"/>
        <v/>
      </c>
      <c r="AG171" s="13" t="str">
        <f t="shared" si="24"/>
        <v/>
      </c>
      <c r="AH171" s="52"/>
      <c r="AP171" s="38"/>
    </row>
    <row r="172" spans="1:42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19"/>
        <v>2.0241269373766357E-4</v>
      </c>
      <c r="J172" s="6">
        <f t="shared" si="23"/>
        <v>-1.2287828139873455E-2</v>
      </c>
      <c r="K172" s="6">
        <f t="shared" si="23"/>
        <v>2.1162958107073866E-2</v>
      </c>
      <c r="L172" s="6">
        <f t="shared" si="23"/>
        <v>2.4793566191605932E-2</v>
      </c>
      <c r="M172" s="6">
        <f t="shared" si="23"/>
        <v>1.0962394432582713E-2</v>
      </c>
      <c r="N172" s="6">
        <f t="shared" si="23"/>
        <v>-8.7971023365461913E-3</v>
      </c>
      <c r="O172" s="6">
        <f t="shared" si="21"/>
        <v>3.0549328421036113E-2</v>
      </c>
      <c r="P172" s="6"/>
      <c r="Q172" s="13">
        <f t="shared" si="22"/>
        <v>-1.2490240833611119E-2</v>
      </c>
      <c r="R172" s="13">
        <f t="shared" si="22"/>
        <v>2.0960545413336203E-2</v>
      </c>
      <c r="S172" s="13">
        <f t="shared" si="22"/>
        <v>2.4591153497868268E-2</v>
      </c>
      <c r="T172" s="13">
        <f t="shared" si="22"/>
        <v>1.0759981738845049E-2</v>
      </c>
      <c r="U172" s="13">
        <f t="shared" si="22"/>
        <v>-8.9995150302838549E-3</v>
      </c>
      <c r="V172" s="13"/>
      <c r="W172" s="13">
        <f>+B172/MAX(B$2:B172)-1</f>
        <v>-0.16606660409303398</v>
      </c>
      <c r="X172" s="13">
        <f>+C172/MAX(C$2:C172)-1</f>
        <v>-1.6508738523662969E-2</v>
      </c>
      <c r="Y172" s="13">
        <f>+D172/MAX(D$2:D172)-1</f>
        <v>-6.698059956722302E-2</v>
      </c>
      <c r="Z172" s="13">
        <f>+E172/MAX(E$2:E172)-1</f>
        <v>-6.9820865524506504E-2</v>
      </c>
      <c r="AA172" s="13">
        <f>+F172/MAX(F$2:F172)-1</f>
        <v>-5.4644247147601632E-2</v>
      </c>
      <c r="AB172" s="52"/>
      <c r="AC172" s="13">
        <f t="shared" si="24"/>
        <v>-4.283715656090957E-2</v>
      </c>
      <c r="AD172" s="13">
        <f t="shared" si="24"/>
        <v>-9.3863703139622466E-3</v>
      </c>
      <c r="AE172" s="13">
        <f t="shared" si="24"/>
        <v>-5.7557622294301808E-3</v>
      </c>
      <c r="AF172" s="13">
        <f t="shared" si="24"/>
        <v>-1.95869339884534E-2</v>
      </c>
      <c r="AG172" s="13">
        <f t="shared" si="24"/>
        <v>-3.9346430757582304E-2</v>
      </c>
      <c r="AH172" s="52"/>
      <c r="AP172" s="38"/>
    </row>
    <row r="173" spans="1:42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19"/>
        <v>2.0165193919474689E-4</v>
      </c>
      <c r="J173" s="6">
        <f t="shared" si="23"/>
        <v>5.07788929321121E-3</v>
      </c>
      <c r="K173" s="6">
        <f t="shared" si="23"/>
        <v>6.2956618817539729E-3</v>
      </c>
      <c r="L173" s="6">
        <f t="shared" si="23"/>
        <v>1.9243130694284457E-2</v>
      </c>
      <c r="M173" s="6">
        <f t="shared" si="23"/>
        <v>-1.2187931160931781E-2</v>
      </c>
      <c r="N173" s="6">
        <f t="shared" si="23"/>
        <v>8.6933277348877659E-3</v>
      </c>
      <c r="O173" s="6">
        <f t="shared" si="21"/>
        <v>-3.7655136322931222E-3</v>
      </c>
      <c r="P173" s="6"/>
      <c r="Q173" s="13">
        <f t="shared" si="22"/>
        <v>4.8762373540164631E-3</v>
      </c>
      <c r="R173" s="13">
        <f t="shared" si="22"/>
        <v>6.094009942559226E-3</v>
      </c>
      <c r="S173" s="13">
        <f t="shared" si="22"/>
        <v>1.904147875508971E-2</v>
      </c>
      <c r="T173" s="13">
        <f t="shared" si="22"/>
        <v>-1.2389583100126528E-2</v>
      </c>
      <c r="U173" s="13">
        <f t="shared" si="22"/>
        <v>8.491675795693019E-3</v>
      </c>
      <c r="V173" s="13"/>
      <c r="W173" s="13">
        <f>+B173/MAX(B$2:B173)-1</f>
        <v>-0.16182121293983165</v>
      </c>
      <c r="X173" s="13">
        <f>+C173/MAX(C$2:C173)-1</f>
        <v>-1.0297478597015131E-2</v>
      </c>
      <c r="Y173" s="13">
        <f>+D173/MAX(D$2:D173)-1</f>
        <v>-4.885252423883879E-2</v>
      </c>
      <c r="Z173" s="13">
        <f>+E173/MAX(E$2:E173)-1</f>
        <v>-8.1089017566214228E-2</v>
      </c>
      <c r="AA173" s="13">
        <f>+F173/MAX(F$2:F173)-1</f>
        <v>-4.6390133889063323E-2</v>
      </c>
      <c r="AB173" s="52"/>
      <c r="AC173" s="13" t="str">
        <f t="shared" si="24"/>
        <v/>
      </c>
      <c r="AD173" s="13" t="str">
        <f t="shared" si="24"/>
        <v/>
      </c>
      <c r="AE173" s="13" t="str">
        <f t="shared" si="24"/>
        <v/>
      </c>
      <c r="AF173" s="13">
        <f t="shared" si="24"/>
        <v>-8.4224175286386586E-3</v>
      </c>
      <c r="AG173" s="13" t="str">
        <f t="shared" si="24"/>
        <v/>
      </c>
      <c r="AH173" s="52"/>
      <c r="AP173" s="38"/>
    </row>
    <row r="174" spans="1:42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19"/>
        <v>2.0012999773522111E-4</v>
      </c>
      <c r="J174" s="6">
        <f t="shared" si="23"/>
        <v>6.3713730744178647E-3</v>
      </c>
      <c r="K174" s="6">
        <f t="shared" si="23"/>
        <v>1.4852540987510795E-3</v>
      </c>
      <c r="L174" s="6">
        <f t="shared" si="23"/>
        <v>1.4310268539026554E-2</v>
      </c>
      <c r="M174" s="6">
        <f t="shared" si="23"/>
        <v>1.1582000481511069E-2</v>
      </c>
      <c r="N174" s="6">
        <f t="shared" si="23"/>
        <v>1.1893624576650831E-2</v>
      </c>
      <c r="O174" s="6">
        <f t="shared" si="21"/>
        <v>-7.5759938366260346E-3</v>
      </c>
      <c r="P174" s="6"/>
      <c r="Q174" s="13">
        <f t="shared" si="22"/>
        <v>6.1712430766826436E-3</v>
      </c>
      <c r="R174" s="13">
        <f t="shared" si="22"/>
        <v>1.2851241010158583E-3</v>
      </c>
      <c r="S174" s="13">
        <f t="shared" si="22"/>
        <v>1.4110138541291332E-2</v>
      </c>
      <c r="T174" s="13">
        <f t="shared" si="22"/>
        <v>1.1381870483775848E-2</v>
      </c>
      <c r="U174" s="13">
        <f t="shared" si="22"/>
        <v>1.169349457891561E-2</v>
      </c>
      <c r="V174" s="13"/>
      <c r="W174" s="13">
        <f>+B174/MAX(B$2:B174)-1</f>
        <v>-0.1564638143150856</v>
      </c>
      <c r="X174" s="13">
        <f>+C174/MAX(C$2:C174)-1</f>
        <v>-8.8264266980517814E-3</v>
      </c>
      <c r="Y174" s="13">
        <f>+D174/MAX(D$2:D174)-1</f>
        <v>-3.5143492425302569E-2</v>
      </c>
      <c r="Z174" s="13">
        <f>+E174/MAX(E$2:E174)-1</f>
        <v>-7.0384318875367002E-2</v>
      </c>
      <c r="AA174" s="13">
        <f>+F174/MAX(F$2:F174)-1</f>
        <v>-3.4980539933578858E-2</v>
      </c>
      <c r="AB174" s="52"/>
      <c r="AC174" s="13" t="str">
        <f t="shared" si="24"/>
        <v/>
      </c>
      <c r="AD174" s="13" t="str">
        <f t="shared" si="24"/>
        <v/>
      </c>
      <c r="AE174" s="13" t="str">
        <f t="shared" si="24"/>
        <v/>
      </c>
      <c r="AF174" s="13" t="str">
        <f t="shared" si="24"/>
        <v/>
      </c>
      <c r="AG174" s="13" t="str">
        <f t="shared" si="24"/>
        <v/>
      </c>
      <c r="AH174" s="52"/>
      <c r="AP174" s="38"/>
    </row>
    <row r="175" spans="1:42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19"/>
        <v>2.0127150788695758E-4</v>
      </c>
      <c r="J175" s="6">
        <f t="shared" si="23"/>
        <v>1.2622341953280228E-2</v>
      </c>
      <c r="K175" s="6">
        <f t="shared" si="23"/>
        <v>1.4895089026447495E-2</v>
      </c>
      <c r="L175" s="6">
        <f t="shared" si="23"/>
        <v>4.8803897357337367E-3</v>
      </c>
      <c r="M175" s="6">
        <f t="shared" si="23"/>
        <v>1.8613569807513386E-2</v>
      </c>
      <c r="N175" s="6">
        <f t="shared" si="23"/>
        <v>2.1297196541228134E-4</v>
      </c>
      <c r="O175" s="6">
        <f t="shared" si="21"/>
        <v>5.6876380033150228E-3</v>
      </c>
      <c r="P175" s="6"/>
      <c r="Q175" s="13">
        <f t="shared" si="22"/>
        <v>1.242107044539327E-2</v>
      </c>
      <c r="R175" s="13">
        <f t="shared" si="22"/>
        <v>1.4693817518560538E-2</v>
      </c>
      <c r="S175" s="13">
        <f t="shared" si="22"/>
        <v>4.6791182278467791E-3</v>
      </c>
      <c r="T175" s="13">
        <f t="shared" si="22"/>
        <v>1.8412298299626428E-2</v>
      </c>
      <c r="U175" s="13">
        <f t="shared" si="22"/>
        <v>1.1700457525323766E-5</v>
      </c>
      <c r="V175" s="13"/>
      <c r="W175" s="13">
        <f>+B175/MAX(B$2:B175)-1</f>
        <v>-0.14574893092905805</v>
      </c>
      <c r="X175" s="13">
        <f>+C175/MAX(C$2:C175)-1</f>
        <v>0</v>
      </c>
      <c r="Y175" s="13">
        <f>+D175/MAX(D$2:D175)-1</f>
        <v>-3.0423107339071498E-2</v>
      </c>
      <c r="Z175" s="13">
        <f>+E175/MAX(E$2:E175)-1</f>
        <v>-5.2918809019851243E-2</v>
      </c>
      <c r="AA175" s="13">
        <f>+F175/MAX(F$2:F175)-1</f>
        <v>-3.4774995955731969E-2</v>
      </c>
      <c r="AB175" s="52"/>
      <c r="AC175" s="13" t="str">
        <f t="shared" si="24"/>
        <v/>
      </c>
      <c r="AD175" s="13" t="str">
        <f t="shared" si="24"/>
        <v/>
      </c>
      <c r="AE175" s="13">
        <f t="shared" si="24"/>
        <v>-8.0724826758128611E-4</v>
      </c>
      <c r="AF175" s="13" t="str">
        <f t="shared" si="24"/>
        <v/>
      </c>
      <c r="AG175" s="13">
        <f t="shared" si="24"/>
        <v>-5.4746660379027413E-3</v>
      </c>
      <c r="AH175" s="52"/>
      <c r="AP175" s="38"/>
    </row>
    <row r="176" spans="1:42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19"/>
        <v>2.0203233447624314E-4</v>
      </c>
      <c r="J176" s="6">
        <f t="shared" si="23"/>
        <v>5.1340934294748482E-3</v>
      </c>
      <c r="K176" s="6">
        <f t="shared" si="23"/>
        <v>3.082230575187468E-3</v>
      </c>
      <c r="L176" s="6">
        <f t="shared" si="23"/>
        <v>1.500784386497234E-3</v>
      </c>
      <c r="M176" s="6">
        <f t="shared" si="23"/>
        <v>-1.377680211997016E-2</v>
      </c>
      <c r="N176" s="6">
        <f t="shared" si="23"/>
        <v>-4.5869419014574458E-3</v>
      </c>
      <c r="O176" s="6">
        <f t="shared" si="21"/>
        <v>3.7729741793627114E-3</v>
      </c>
      <c r="P176" s="6"/>
      <c r="Q176" s="13">
        <f t="shared" si="22"/>
        <v>4.9320610949986051E-3</v>
      </c>
      <c r="R176" s="13">
        <f t="shared" si="22"/>
        <v>2.8801982407112249E-3</v>
      </c>
      <c r="S176" s="13">
        <f t="shared" si="22"/>
        <v>1.2987520520209908E-3</v>
      </c>
      <c r="T176" s="13">
        <f t="shared" si="22"/>
        <v>-1.3978834454446403E-2</v>
      </c>
      <c r="U176" s="13">
        <f t="shared" si="22"/>
        <v>-4.7889742359336889E-3</v>
      </c>
      <c r="V176" s="13"/>
      <c r="W176" s="13">
        <f>+B176/MAX(B$2:B176)-1</f>
        <v>-0.14135184827014835</v>
      </c>
      <c r="X176" s="13">
        <f>+C176/MAX(C$2:C176)-1</f>
        <v>0</v>
      </c>
      <c r="Y176" s="13">
        <f>+D176/MAX(D$2:D176)-1</f>
        <v>-2.8966889015522468E-2</v>
      </c>
      <c r="Z176" s="13">
        <f>+E176/MAX(E$2:E176)-1</f>
        <v>-6.5877092370265067E-2</v>
      </c>
      <c r="AA176" s="13">
        <f>+F176/MAX(F$2:F176)-1</f>
        <v>-3.9192288294460864E-2</v>
      </c>
      <c r="AB176" s="52"/>
      <c r="AC176" s="13" t="str">
        <f t="shared" si="24"/>
        <v/>
      </c>
      <c r="AD176" s="13">
        <f t="shared" si="24"/>
        <v>-6.9074360417524343E-4</v>
      </c>
      <c r="AE176" s="13">
        <f t="shared" si="24"/>
        <v>-2.2721897928654772E-3</v>
      </c>
      <c r="AF176" s="13">
        <f t="shared" si="24"/>
        <v>-1.7549776299332871E-2</v>
      </c>
      <c r="AG176" s="13">
        <f t="shared" si="24"/>
        <v>-8.3599160808201581E-3</v>
      </c>
      <c r="AH176" s="52"/>
      <c r="AP176" s="38"/>
    </row>
    <row r="177" spans="1:42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19"/>
        <v>2.0127150788695758E-4</v>
      </c>
      <c r="J177" s="6">
        <f t="shared" si="23"/>
        <v>-3.4788581331064421E-3</v>
      </c>
      <c r="K177" s="6">
        <f t="shared" si="23"/>
        <v>0</v>
      </c>
      <c r="L177" s="6">
        <f t="shared" si="23"/>
        <v>6.2045885918183598E-4</v>
      </c>
      <c r="M177" s="6">
        <f t="shared" si="23"/>
        <v>1.020115925682203E-2</v>
      </c>
      <c r="N177" s="6">
        <f t="shared" si="23"/>
        <v>1.0157373516560254E-2</v>
      </c>
      <c r="O177" s="6">
        <f t="shared" si="21"/>
        <v>-3.7729741793627526E-3</v>
      </c>
      <c r="P177" s="6"/>
      <c r="Q177" s="13">
        <f t="shared" si="22"/>
        <v>-3.6801296409933997E-3</v>
      </c>
      <c r="R177" s="13">
        <f t="shared" si="22"/>
        <v>-2.0127150788695758E-4</v>
      </c>
      <c r="S177" s="13">
        <f t="shared" si="22"/>
        <v>4.191873512948784E-4</v>
      </c>
      <c r="T177" s="13">
        <f t="shared" si="22"/>
        <v>9.9998877489350727E-3</v>
      </c>
      <c r="U177" s="13">
        <f t="shared" si="22"/>
        <v>9.9561020086732961E-3</v>
      </c>
      <c r="V177" s="13"/>
      <c r="W177" s="13">
        <f>+B177/MAX(B$2:B177)-1</f>
        <v>-0.1443337735214304</v>
      </c>
      <c r="X177" s="13">
        <f>+C177/MAX(C$2:C177)-1</f>
        <v>0</v>
      </c>
      <c r="Y177" s="13">
        <f>+D177/MAX(D$2:D177)-1</f>
        <v>-2.8364215971672824E-2</v>
      </c>
      <c r="Z177" s="13">
        <f>+E177/MAX(E$2:E177)-1</f>
        <v>-5.6299186009201141E-2</v>
      </c>
      <c r="AA177" s="13">
        <f>+F177/MAX(F$2:F177)-1</f>
        <v>-2.9383272907210323E-2</v>
      </c>
      <c r="AB177" s="52"/>
      <c r="AC177" s="13" t="str">
        <f t="shared" si="24"/>
        <v/>
      </c>
      <c r="AD177" s="13" t="str">
        <f t="shared" si="24"/>
        <v/>
      </c>
      <c r="AE177" s="13" t="str">
        <f t="shared" si="24"/>
        <v/>
      </c>
      <c r="AF177" s="13" t="str">
        <f t="shared" si="24"/>
        <v/>
      </c>
      <c r="AG177" s="13" t="str">
        <f t="shared" si="24"/>
        <v/>
      </c>
      <c r="AH177" s="52"/>
      <c r="AP177" s="38"/>
    </row>
    <row r="178" spans="1:42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19"/>
        <v>2.0203233447624314E-4</v>
      </c>
      <c r="J178" s="6">
        <f t="shared" si="23"/>
        <v>2.4505258851654717E-2</v>
      </c>
      <c r="K178" s="6">
        <f t="shared" si="23"/>
        <v>4.8472846158211921E-3</v>
      </c>
      <c r="L178" s="6">
        <f t="shared" si="23"/>
        <v>-1.0859387138235847E-3</v>
      </c>
      <c r="M178" s="6">
        <f t="shared" si="23"/>
        <v>1.5990897700798735E-2</v>
      </c>
      <c r="N178" s="6">
        <f t="shared" si="23"/>
        <v>3.1734156874775382E-3</v>
      </c>
      <c r="O178" s="6">
        <f t="shared" si="21"/>
        <v>3.7729741793627114E-3</v>
      </c>
      <c r="P178" s="6"/>
      <c r="Q178" s="13">
        <f t="shared" si="22"/>
        <v>2.4303226517178474E-2</v>
      </c>
      <c r="R178" s="13">
        <f t="shared" si="22"/>
        <v>4.645252281344949E-3</v>
      </c>
      <c r="S178" s="13">
        <f t="shared" si="22"/>
        <v>-1.2879710482998278E-3</v>
      </c>
      <c r="T178" s="13">
        <f t="shared" si="22"/>
        <v>1.5788865366322492E-2</v>
      </c>
      <c r="U178" s="13">
        <f t="shared" si="22"/>
        <v>2.971383353001295E-3</v>
      </c>
      <c r="V178" s="13"/>
      <c r="W178" s="13">
        <f>+B178/MAX(B$2:B178)-1</f>
        <v>-0.12310642254072757</v>
      </c>
      <c r="X178" s="13">
        <f>+C178/MAX(C$2:C178)-1</f>
        <v>0</v>
      </c>
      <c r="Y178" s="13">
        <f>+D178/MAX(D$2:D178)-1</f>
        <v>-2.9418780185598403E-2</v>
      </c>
      <c r="Z178" s="13">
        <f>+E178/MAX(E$2:E178)-1</f>
        <v>-4.1087260813251869E-2</v>
      </c>
      <c r="AA178" s="13">
        <f>+F178/MAX(F$2:F178)-1</f>
        <v>-2.6298210054526261E-2</v>
      </c>
      <c r="AB178" s="52"/>
      <c r="AC178" s="13" t="str">
        <f t="shared" si="24"/>
        <v/>
      </c>
      <c r="AD178" s="13" t="str">
        <f t="shared" si="24"/>
        <v/>
      </c>
      <c r="AE178" s="13">
        <f t="shared" si="24"/>
        <v>-4.8589128931862957E-3</v>
      </c>
      <c r="AF178" s="13" t="str">
        <f t="shared" si="24"/>
        <v/>
      </c>
      <c r="AG178" s="13">
        <f t="shared" si="24"/>
        <v>-5.9955849188517325E-4</v>
      </c>
      <c r="AH178" s="52"/>
      <c r="AP178" s="38"/>
    </row>
    <row r="179" spans="1:42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19"/>
        <v>2.0165193919474689E-4</v>
      </c>
      <c r="J179" s="6">
        <f t="shared" si="23"/>
        <v>-1.8439790545778333E-2</v>
      </c>
      <c r="K179" s="6">
        <f t="shared" si="23"/>
        <v>-4.3615431401830369E-3</v>
      </c>
      <c r="L179" s="6">
        <f t="shared" si="23"/>
        <v>-7.9996022089060346E-3</v>
      </c>
      <c r="M179" s="6">
        <f t="shared" si="23"/>
        <v>-7.6674124514332052E-3</v>
      </c>
      <c r="N179" s="6">
        <f t="shared" si="23"/>
        <v>-1.5855554753445709E-2</v>
      </c>
      <c r="O179" s="6">
        <f t="shared" si="21"/>
        <v>-1.8846183460518033E-3</v>
      </c>
      <c r="P179" s="6"/>
      <c r="Q179" s="13">
        <f t="shared" si="22"/>
        <v>-1.864144248497308E-2</v>
      </c>
      <c r="R179" s="13">
        <f t="shared" si="22"/>
        <v>-4.5631950793777838E-3</v>
      </c>
      <c r="S179" s="13">
        <f t="shared" si="22"/>
        <v>-8.2012541481007815E-3</v>
      </c>
      <c r="T179" s="13">
        <f t="shared" si="22"/>
        <v>-7.8690643906279521E-3</v>
      </c>
      <c r="U179" s="13">
        <f t="shared" si="22"/>
        <v>-1.6057206692640456E-2</v>
      </c>
      <c r="V179" s="13"/>
      <c r="W179" s="13">
        <f>+B179/MAX(B$2:B179)-1</f>
        <v>-0.13912798533271131</v>
      </c>
      <c r="X179" s="13">
        <f>+C179/MAX(C$2:C179)-1</f>
        <v>-4.3520454241512407E-3</v>
      </c>
      <c r="Y179" s="13">
        <f>+D179/MAX(D$2:D179)-1</f>
        <v>-3.715207099037432E-2</v>
      </c>
      <c r="Z179" s="13">
        <f>+E179/MAX(E$2:E179)-1</f>
        <v>-4.841152532878068E-2</v>
      </c>
      <c r="AA179" s="13">
        <f>+F179/MAX(F$2:F179)-1</f>
        <v>-4.1615042774082567E-2</v>
      </c>
      <c r="AB179" s="52"/>
      <c r="AC179" s="13">
        <f t="shared" si="24"/>
        <v>-1.655517219972653E-2</v>
      </c>
      <c r="AD179" s="13">
        <f t="shared" si="24"/>
        <v>-2.4769247941312336E-3</v>
      </c>
      <c r="AE179" s="13">
        <f t="shared" si="24"/>
        <v>-6.1149838628542317E-3</v>
      </c>
      <c r="AF179" s="13">
        <f t="shared" si="24"/>
        <v>-5.7827941053814023E-3</v>
      </c>
      <c r="AG179" s="13">
        <f t="shared" si="24"/>
        <v>-1.3970936407393907E-2</v>
      </c>
      <c r="AH179" s="52"/>
      <c r="AP179" s="38"/>
    </row>
    <row r="180" spans="1:42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19"/>
        <v>2.0127150788695758E-4</v>
      </c>
      <c r="J180" s="6">
        <f t="shared" si="23"/>
        <v>-6.0654683058762593E-3</v>
      </c>
      <c r="K180" s="6">
        <f t="shared" si="23"/>
        <v>2.5869042305606007E-3</v>
      </c>
      <c r="L180" s="6">
        <f t="shared" si="23"/>
        <v>6.2565312240965142E-4</v>
      </c>
      <c r="M180" s="6">
        <f t="shared" si="23"/>
        <v>1.7746003431574375E-3</v>
      </c>
      <c r="N180" s="6">
        <f t="shared" si="23"/>
        <v>-3.4413923648739225E-3</v>
      </c>
      <c r="O180" s="6">
        <f t="shared" si="21"/>
        <v>-1.8883558333109205E-3</v>
      </c>
      <c r="P180" s="6"/>
      <c r="Q180" s="13">
        <f t="shared" si="22"/>
        <v>-6.2667398137632169E-3</v>
      </c>
      <c r="R180" s="13">
        <f t="shared" si="22"/>
        <v>2.3856327226736431E-3</v>
      </c>
      <c r="S180" s="13">
        <f t="shared" si="22"/>
        <v>4.2438161452269384E-4</v>
      </c>
      <c r="T180" s="13">
        <f t="shared" si="22"/>
        <v>1.5733288352704799E-3</v>
      </c>
      <c r="U180" s="13">
        <f t="shared" si="22"/>
        <v>-3.64266387276088E-3</v>
      </c>
      <c r="V180" s="13"/>
      <c r="W180" s="13">
        <f>+B180/MAX(B$2:B180)-1</f>
        <v>-0.1443337735214304</v>
      </c>
      <c r="X180" s="13">
        <f>+C180/MAX(C$2:C180)-1</f>
        <v>-1.773065169070831E-3</v>
      </c>
      <c r="Y180" s="13">
        <f>+D180/MAX(D$2:D180)-1</f>
        <v>-3.6549473688398892E-2</v>
      </c>
      <c r="Z180" s="13">
        <f>+E180/MAX(E$2:E180)-1</f>
        <v>-4.6721336834105842E-2</v>
      </c>
      <c r="AA180" s="13">
        <f>+F180/MAX(F$2:F180)-1</f>
        <v>-4.4907552789593352E-2</v>
      </c>
      <c r="AB180" s="52"/>
      <c r="AC180" s="13">
        <f t="shared" si="24"/>
        <v>-4.1771124725653386E-3</v>
      </c>
      <c r="AD180" s="13" t="str">
        <f t="shared" si="24"/>
        <v/>
      </c>
      <c r="AE180" s="13" t="str">
        <f t="shared" si="24"/>
        <v/>
      </c>
      <c r="AF180" s="13" t="str">
        <f t="shared" si="24"/>
        <v/>
      </c>
      <c r="AG180" s="13">
        <f t="shared" si="24"/>
        <v>-1.553036531563002E-3</v>
      </c>
      <c r="AH180" s="52"/>
      <c r="AP180" s="38"/>
    </row>
    <row r="181" spans="1:42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19"/>
        <v>2.0051053716385603E-4</v>
      </c>
      <c r="J181" s="6">
        <f t="shared" si="23"/>
        <v>2.1792612899963495E-2</v>
      </c>
      <c r="K181" s="6">
        <f t="shared" si="23"/>
        <v>9.683988994642935E-4</v>
      </c>
      <c r="L181" s="6">
        <f t="shared" si="23"/>
        <v>-1.0429762752333207E-3</v>
      </c>
      <c r="M181" s="6">
        <f t="shared" si="23"/>
        <v>-5.9277432873759113E-3</v>
      </c>
      <c r="N181" s="6">
        <f t="shared" si="23"/>
        <v>9.0870134013374317E-3</v>
      </c>
      <c r="O181" s="6">
        <f t="shared" si="21"/>
        <v>-3.7879822774249021E-3</v>
      </c>
      <c r="P181" s="6"/>
      <c r="Q181" s="13">
        <f t="shared" si="22"/>
        <v>2.1592102362799639E-2</v>
      </c>
      <c r="R181" s="13">
        <f t="shared" si="22"/>
        <v>7.6788836230043747E-4</v>
      </c>
      <c r="S181" s="13">
        <f t="shared" si="22"/>
        <v>-1.2434868123971767E-3</v>
      </c>
      <c r="T181" s="13">
        <f t="shared" si="22"/>
        <v>-6.1282538245397674E-3</v>
      </c>
      <c r="U181" s="13">
        <f t="shared" si="22"/>
        <v>8.8865028641735757E-3</v>
      </c>
      <c r="V181" s="13"/>
      <c r="W181" s="13">
        <f>+B181/MAX(B$2:B181)-1</f>
        <v>-0.1254819009810465</v>
      </c>
      <c r="X181" s="13">
        <f>+C181/MAX(C$2:C181)-1</f>
        <v>-8.0591508600946771E-4</v>
      </c>
      <c r="Y181" s="13">
        <f>+D181/MAX(D$2:D181)-1</f>
        <v>-3.7553805891330283E-2</v>
      </c>
      <c r="Z181" s="13">
        <f>+E181/MAX(E$2:E181)-1</f>
        <v>-5.2355412854959704E-2</v>
      </c>
      <c r="AA181" s="13">
        <f>+F181/MAX(F$2:F181)-1</f>
        <v>-3.618906239591968E-2</v>
      </c>
      <c r="AB181" s="52"/>
      <c r="AC181" s="13" t="str">
        <f t="shared" si="24"/>
        <v/>
      </c>
      <c r="AD181" s="13" t="str">
        <f t="shared" si="24"/>
        <v/>
      </c>
      <c r="AE181" s="13" t="str">
        <f t="shared" si="24"/>
        <v/>
      </c>
      <c r="AF181" s="13">
        <f t="shared" si="24"/>
        <v>-2.1397610099510092E-3</v>
      </c>
      <c r="AG181" s="13" t="str">
        <f t="shared" si="24"/>
        <v/>
      </c>
      <c r="AH181" s="52"/>
      <c r="AP181" s="38"/>
    </row>
    <row r="182" spans="1:42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19"/>
        <v>2.0165193919474689E-4</v>
      </c>
      <c r="J182" s="6">
        <f t="shared" si="23"/>
        <v>5.8095544508652106E-2</v>
      </c>
      <c r="K182" s="6">
        <f t="shared" si="23"/>
        <v>2.8994529241732746E-3</v>
      </c>
      <c r="L182" s="6">
        <f t="shared" si="23"/>
        <v>-6.0183515082071516E-3</v>
      </c>
      <c r="M182" s="6">
        <f t="shared" si="23"/>
        <v>1.7820997373106853E-3</v>
      </c>
      <c r="N182" s="6">
        <f t="shared" si="23"/>
        <v>1.247858860899914E-2</v>
      </c>
      <c r="O182" s="6">
        <f t="shared" si="21"/>
        <v>5.6763381107358766E-3</v>
      </c>
      <c r="P182" s="6"/>
      <c r="Q182" s="13">
        <f t="shared" si="22"/>
        <v>5.7893892569457359E-2</v>
      </c>
      <c r="R182" s="13">
        <f t="shared" si="22"/>
        <v>2.6978009849785278E-3</v>
      </c>
      <c r="S182" s="13">
        <f t="shared" si="22"/>
        <v>-6.2200034474018985E-3</v>
      </c>
      <c r="T182" s="13">
        <f t="shared" si="22"/>
        <v>1.5804477981159384E-3</v>
      </c>
      <c r="U182" s="13">
        <f t="shared" si="22"/>
        <v>1.2276936669804393E-2</v>
      </c>
      <c r="V182" s="13"/>
      <c r="W182" s="13">
        <f>+B182/MAX(B$2:B182)-1</f>
        <v>-7.3171507306881267E-2</v>
      </c>
      <c r="X182" s="13">
        <f>+C182/MAX(C$2:C182)-1</f>
        <v>0</v>
      </c>
      <c r="Y182" s="13">
        <f>+D182/MAX(D$2:D182)-1</f>
        <v>-4.3328750142028638E-2</v>
      </c>
      <c r="Z182" s="13">
        <f>+E182/MAX(E$2:E182)-1</f>
        <v>-5.0665109988347057E-2</v>
      </c>
      <c r="AA182" s="13">
        <f>+F182/MAX(F$2:F182)-1</f>
        <v>-2.4086709107691839E-2</v>
      </c>
      <c r="AB182" s="52"/>
      <c r="AC182" s="13" t="str">
        <f t="shared" si="24"/>
        <v/>
      </c>
      <c r="AD182" s="13">
        <f t="shared" si="24"/>
        <v>-2.7768851865626019E-3</v>
      </c>
      <c r="AE182" s="13">
        <f t="shared" si="24"/>
        <v>-1.1694689618943028E-2</v>
      </c>
      <c r="AF182" s="13">
        <f t="shared" si="24"/>
        <v>-3.8942383734251913E-3</v>
      </c>
      <c r="AG182" s="13" t="str">
        <f t="shared" si="24"/>
        <v/>
      </c>
      <c r="AH182" s="52"/>
      <c r="AP182" s="38"/>
    </row>
    <row r="183" spans="1:42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19"/>
        <v>2.0317330422892077E-4</v>
      </c>
      <c r="J183" s="6">
        <f t="shared" si="23"/>
        <v>-9.1483674173388676E-3</v>
      </c>
      <c r="K183" s="6">
        <f t="shared" si="23"/>
        <v>2.8910542328630683E-3</v>
      </c>
      <c r="L183" s="6">
        <f t="shared" si="23"/>
        <v>7.7907210062601899E-3</v>
      </c>
      <c r="M183" s="6">
        <f t="shared" si="23"/>
        <v>8.2741716697485573E-3</v>
      </c>
      <c r="N183" s="6">
        <f t="shared" si="23"/>
        <v>1.0273136069376812E-2</v>
      </c>
      <c r="O183" s="6">
        <f t="shared" si="21"/>
        <v>7.5161923378373003E-3</v>
      </c>
      <c r="P183" s="6"/>
      <c r="Q183" s="13">
        <f t="shared" si="22"/>
        <v>-9.3515407215677884E-3</v>
      </c>
      <c r="R183" s="13">
        <f t="shared" si="22"/>
        <v>2.6878809286341476E-3</v>
      </c>
      <c r="S183" s="13">
        <f t="shared" si="22"/>
        <v>7.5875477020312691E-3</v>
      </c>
      <c r="T183" s="13">
        <f t="shared" si="22"/>
        <v>8.0709983655196365E-3</v>
      </c>
      <c r="U183" s="13">
        <f t="shared" si="22"/>
        <v>1.0069962765147891E-2</v>
      </c>
      <c r="V183" s="13"/>
      <c r="W183" s="13">
        <f>+B183/MAX(B$2:B183)-1</f>
        <v>-8.161180853668204E-2</v>
      </c>
      <c r="X183" s="13">
        <f>+C183/MAX(C$2:C183)-1</f>
        <v>0</v>
      </c>
      <c r="Y183" s="13">
        <f>+D183/MAX(D$2:D183)-1</f>
        <v>-3.5846483056850786E-2</v>
      </c>
      <c r="Z183" s="13">
        <f>+E183/MAX(E$2:E183)-1</f>
        <v>-4.2777563679864405E-2</v>
      </c>
      <c r="AA183" s="13">
        <f>+F183/MAX(F$2:F183)-1</f>
        <v>-1.4009344638252208E-2</v>
      </c>
      <c r="AB183" s="52"/>
      <c r="AC183" s="13">
        <f t="shared" si="24"/>
        <v>-1.6664559755176167E-2</v>
      </c>
      <c r="AD183" s="13">
        <f t="shared" si="24"/>
        <v>-4.6251381049742316E-3</v>
      </c>
      <c r="AE183" s="13" t="str">
        <f t="shared" si="24"/>
        <v/>
      </c>
      <c r="AF183" s="13" t="str">
        <f t="shared" si="24"/>
        <v/>
      </c>
      <c r="AG183" s="13" t="str">
        <f t="shared" si="24"/>
        <v/>
      </c>
      <c r="AH183" s="52"/>
      <c r="AP183" s="38"/>
    </row>
    <row r="184" spans="1:42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19"/>
        <v>2.0317330422892077E-4</v>
      </c>
      <c r="J184" s="6">
        <f t="shared" si="23"/>
        <v>3.7898712813242458E-3</v>
      </c>
      <c r="K184" s="6">
        <f t="shared" si="23"/>
        <v>4.3210584019733201E-3</v>
      </c>
      <c r="L184" s="6">
        <f t="shared" si="23"/>
        <v>-1.3029561227812455E-3</v>
      </c>
      <c r="M184" s="6">
        <f t="shared" si="23"/>
        <v>5.283244107095986E-3</v>
      </c>
      <c r="N184" s="6">
        <f t="shared" si="23"/>
        <v>1.3425358193505205E-3</v>
      </c>
      <c r="O184" s="6">
        <f t="shared" si="21"/>
        <v>0</v>
      </c>
      <c r="P184" s="6"/>
      <c r="Q184" s="13">
        <f t="shared" si="22"/>
        <v>3.586697977095325E-3</v>
      </c>
      <c r="R184" s="13">
        <f t="shared" si="22"/>
        <v>4.1178850977443993E-3</v>
      </c>
      <c r="S184" s="13">
        <f t="shared" si="22"/>
        <v>-1.5061294270101663E-3</v>
      </c>
      <c r="T184" s="13">
        <f t="shared" si="22"/>
        <v>5.0800708028670653E-3</v>
      </c>
      <c r="U184" s="13">
        <f t="shared" si="22"/>
        <v>1.1393625151215998E-3</v>
      </c>
      <c r="V184" s="13"/>
      <c r="W184" s="13">
        <f>+B184/MAX(B$2:B184)-1</f>
        <v>-7.8124631702975567E-2</v>
      </c>
      <c r="X184" s="13">
        <f>+C184/MAX(C$2:C184)-1</f>
        <v>0</v>
      </c>
      <c r="Y184" s="13">
        <f>+D184/MAX(D$2:D184)-1</f>
        <v>-3.7101914721254237E-2</v>
      </c>
      <c r="Z184" s="13">
        <f>+E184/MAX(E$2:E184)-1</f>
        <v>-3.7706941009871042E-2</v>
      </c>
      <c r="AA184" s="13">
        <f>+F184/MAX(F$2:F184)-1</f>
        <v>-1.2684727892127601E-2</v>
      </c>
      <c r="AB184" s="52"/>
      <c r="AC184" s="13" t="str">
        <f t="shared" si="24"/>
        <v/>
      </c>
      <c r="AD184" s="13" t="str">
        <f t="shared" si="24"/>
        <v/>
      </c>
      <c r="AE184" s="13">
        <f t="shared" si="24"/>
        <v>-1.3029561227812455E-3</v>
      </c>
      <c r="AF184" s="13" t="str">
        <f t="shared" si="24"/>
        <v/>
      </c>
      <c r="AG184" s="13" t="str">
        <f t="shared" si="24"/>
        <v/>
      </c>
      <c r="AH184" s="52"/>
      <c r="AP184" s="38"/>
    </row>
    <row r="185" spans="1:42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19"/>
        <v>2.0279301698633567E-4</v>
      </c>
      <c r="J185" s="6">
        <f t="shared" si="23"/>
        <v>1.8624377821563668E-3</v>
      </c>
      <c r="K185" s="6">
        <f t="shared" si="23"/>
        <v>3.666217842342803E-3</v>
      </c>
      <c r="L185" s="6">
        <f t="shared" si="23"/>
        <v>2.0134915133947339E-2</v>
      </c>
      <c r="M185" s="6">
        <f t="shared" si="23"/>
        <v>1.7549955781686565E-3</v>
      </c>
      <c r="N185" s="6">
        <f t="shared" si="23"/>
        <v>-5.7829262956225704E-6</v>
      </c>
      <c r="O185" s="6">
        <f t="shared" si="21"/>
        <v>-1.8734921294941596E-3</v>
      </c>
      <c r="P185" s="6"/>
      <c r="Q185" s="13">
        <f t="shared" si="22"/>
        <v>1.6596447651700311E-3</v>
      </c>
      <c r="R185" s="13">
        <f t="shared" si="22"/>
        <v>3.4634248253564673E-3</v>
      </c>
      <c r="S185" s="13">
        <f t="shared" si="22"/>
        <v>1.9932122116961003E-2</v>
      </c>
      <c r="T185" s="13">
        <f t="shared" si="22"/>
        <v>1.5522025611823208E-3</v>
      </c>
      <c r="U185" s="13">
        <f t="shared" si="22"/>
        <v>-2.0857594328195825E-4</v>
      </c>
      <c r="V185" s="13"/>
      <c r="W185" s="13">
        <f>+B185/MAX(B$2:B185)-1</f>
        <v>-7.6406096350788211E-2</v>
      </c>
      <c r="X185" s="13">
        <f>+C185/MAX(C$2:C185)-1</f>
        <v>0</v>
      </c>
      <c r="Y185" s="13">
        <f>+D185/MAX(D$2:D185)-1</f>
        <v>-1.7517540277988575E-2</v>
      </c>
      <c r="Z185" s="13">
        <f>+E185/MAX(E$2:E185)-1</f>
        <v>-3.6016638143258395E-2</v>
      </c>
      <c r="AA185" s="13">
        <f>+F185/MAX(F$2:F185)-1</f>
        <v>-1.2690437447067771E-2</v>
      </c>
      <c r="AB185" s="52"/>
      <c r="AC185" s="13" t="str">
        <f t="shared" si="24"/>
        <v/>
      </c>
      <c r="AD185" s="13" t="str">
        <f t="shared" si="24"/>
        <v/>
      </c>
      <c r="AE185" s="13" t="str">
        <f t="shared" si="24"/>
        <v/>
      </c>
      <c r="AF185" s="13" t="str">
        <f t="shared" si="24"/>
        <v/>
      </c>
      <c r="AG185" s="13" t="str">
        <f t="shared" si="24"/>
        <v/>
      </c>
      <c r="AH185" s="52"/>
      <c r="AP185" s="38"/>
    </row>
    <row r="186" spans="1:42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19"/>
        <v>2.0469409327517063E-4</v>
      </c>
      <c r="J186" s="6">
        <f t="shared" si="23"/>
        <v>9.9644209184128335E-3</v>
      </c>
      <c r="K186" s="6">
        <f t="shared" si="23"/>
        <v>4.7729304993157585E-4</v>
      </c>
      <c r="L186" s="6">
        <f t="shared" si="23"/>
        <v>9.4112742907778765E-3</v>
      </c>
      <c r="M186" s="6">
        <f t="shared" si="23"/>
        <v>4.0827757174903999E-3</v>
      </c>
      <c r="N186" s="6">
        <f t="shared" si="23"/>
        <v>5.0780025958913483E-3</v>
      </c>
      <c r="O186" s="6">
        <f t="shared" si="21"/>
        <v>9.3307986135110887E-3</v>
      </c>
      <c r="P186" s="6"/>
      <c r="Q186" s="13">
        <f t="shared" si="22"/>
        <v>9.7597268251376629E-3</v>
      </c>
      <c r="R186" s="13">
        <f t="shared" si="22"/>
        <v>2.7259895665640522E-4</v>
      </c>
      <c r="S186" s="13">
        <f t="shared" si="22"/>
        <v>9.2065801975027058E-3</v>
      </c>
      <c r="T186" s="13">
        <f t="shared" si="22"/>
        <v>3.8780816242152292E-3</v>
      </c>
      <c r="U186" s="13">
        <f t="shared" si="22"/>
        <v>4.8733085026161777E-3</v>
      </c>
      <c r="V186" s="13"/>
      <c r="W186" s="13">
        <f>+B186/MAX(B$2:B186)-1</f>
        <v>-6.7157013588352688E-2</v>
      </c>
      <c r="X186" s="13">
        <f>+C186/MAX(C$2:C186)-1</f>
        <v>0</v>
      </c>
      <c r="Y186" s="13">
        <f>+D186/MAX(D$2:D186)-1</f>
        <v>-8.2274812868843306E-3</v>
      </c>
      <c r="Z186" s="13">
        <f>+E186/MAX(E$2:E186)-1</f>
        <v>-3.207286498901718E-2</v>
      </c>
      <c r="AA186" s="13">
        <f>+F186/MAX(F$2:F186)-1</f>
        <v>-7.6641259147183227E-3</v>
      </c>
      <c r="AB186" s="52"/>
      <c r="AC186" s="13" t="str">
        <f t="shared" si="24"/>
        <v/>
      </c>
      <c r="AD186" s="13">
        <f t="shared" si="24"/>
        <v>-8.8535055635795123E-3</v>
      </c>
      <c r="AE186" s="13" t="str">
        <f t="shared" si="24"/>
        <v/>
      </c>
      <c r="AF186" s="13">
        <f t="shared" si="24"/>
        <v>-5.2480228960206888E-3</v>
      </c>
      <c r="AG186" s="13">
        <f t="shared" si="24"/>
        <v>-4.2527960176197404E-3</v>
      </c>
      <c r="AH186" s="52"/>
      <c r="AP186" s="38"/>
    </row>
    <row r="187" spans="1:42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19"/>
        <v>2.0317330422892077E-4</v>
      </c>
      <c r="J187" s="6">
        <f t="shared" si="23"/>
        <v>-6.9140777525400921E-3</v>
      </c>
      <c r="K187" s="6">
        <f t="shared" si="23"/>
        <v>6.0250352963449492E-3</v>
      </c>
      <c r="L187" s="6">
        <f t="shared" si="23"/>
        <v>6.4097849393042125E-3</v>
      </c>
      <c r="M187" s="6">
        <f t="shared" si="23"/>
        <v>-5.8223411107649701E-4</v>
      </c>
      <c r="N187" s="6">
        <f t="shared" si="23"/>
        <v>1.6480214063461682E-3</v>
      </c>
      <c r="O187" s="6">
        <f t="shared" si="21"/>
        <v>-7.4573064840169363E-3</v>
      </c>
      <c r="P187" s="6"/>
      <c r="Q187" s="13">
        <f t="shared" si="22"/>
        <v>-7.1172510567690129E-3</v>
      </c>
      <c r="R187" s="13">
        <f t="shared" si="22"/>
        <v>5.8218619921160284E-3</v>
      </c>
      <c r="S187" s="13">
        <f t="shared" si="22"/>
        <v>6.2066116350752917E-3</v>
      </c>
      <c r="T187" s="13">
        <f t="shared" si="22"/>
        <v>-7.8540741530541778E-4</v>
      </c>
      <c r="U187" s="13">
        <f t="shared" si="22"/>
        <v>1.4448481021172475E-3</v>
      </c>
      <c r="V187" s="13"/>
      <c r="W187" s="13">
        <f>+B187/MAX(B$2:B187)-1</f>
        <v>-7.3584516793594346E-2</v>
      </c>
      <c r="X187" s="13">
        <f>+C187/MAX(C$2:C187)-1</f>
        <v>0</v>
      </c>
      <c r="Y187" s="13">
        <f>+D187/MAX(D$2:D187)-1</f>
        <v>-1.8500154760846543E-3</v>
      </c>
      <c r="Z187" s="13">
        <f>+E187/MAX(E$2:E187)-1</f>
        <v>-3.2636261153908719E-2</v>
      </c>
      <c r="AA187" s="13">
        <f>+F187/MAX(F$2:F187)-1</f>
        <v>-6.0273868318631019E-3</v>
      </c>
      <c r="AB187" s="52"/>
      <c r="AC187" s="13" t="str">
        <f t="shared" si="24"/>
        <v/>
      </c>
      <c r="AD187" s="13" t="str">
        <f t="shared" si="24"/>
        <v/>
      </c>
      <c r="AE187" s="13" t="str">
        <f t="shared" si="24"/>
        <v/>
      </c>
      <c r="AF187" s="13" t="str">
        <f t="shared" si="24"/>
        <v/>
      </c>
      <c r="AG187" s="13" t="str">
        <f t="shared" si="24"/>
        <v/>
      </c>
      <c r="AH187" s="52"/>
      <c r="AP187" s="38"/>
    </row>
    <row r="188" spans="1:42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19"/>
        <v>2.0127150788695758E-4</v>
      </c>
      <c r="J188" s="6">
        <f t="shared" si="23"/>
        <v>1.7491613013872163E-2</v>
      </c>
      <c r="K188" s="6">
        <f t="shared" si="23"/>
        <v>5.0457831514656758E-3</v>
      </c>
      <c r="L188" s="6">
        <f t="shared" si="23"/>
        <v>-2.0125493872400897E-4</v>
      </c>
      <c r="M188" s="6">
        <f t="shared" si="23"/>
        <v>5.2280020464313707E-3</v>
      </c>
      <c r="N188" s="6">
        <f t="shared" si="23"/>
        <v>-2.4128455417182781E-4</v>
      </c>
      <c r="O188" s="6">
        <f t="shared" si="21"/>
        <v>-9.4045481711482436E-3</v>
      </c>
      <c r="P188" s="6"/>
      <c r="Q188" s="13">
        <f t="shared" si="22"/>
        <v>1.7290341505985206E-2</v>
      </c>
      <c r="R188" s="13">
        <f t="shared" si="22"/>
        <v>4.8445116435787182E-3</v>
      </c>
      <c r="S188" s="13">
        <f t="shared" si="22"/>
        <v>-4.0252644661096658E-4</v>
      </c>
      <c r="T188" s="13">
        <f t="shared" si="22"/>
        <v>5.0267305385444131E-3</v>
      </c>
      <c r="U188" s="13">
        <f t="shared" si="22"/>
        <v>-4.4255606205878539E-4</v>
      </c>
      <c r="V188" s="13"/>
      <c r="W188" s="13">
        <f>+B188/MAX(B$2:B188)-1</f>
        <v>-5.7237464301726271E-2</v>
      </c>
      <c r="X188" s="13">
        <f>+C188/MAX(C$2:C188)-1</f>
        <v>0</v>
      </c>
      <c r="Y188" s="13">
        <f>+D188/MAX(D$2:D188)-1</f>
        <v>-2.0508778771043401E-3</v>
      </c>
      <c r="Z188" s="13">
        <f>+E188/MAX(E$2:E188)-1</f>
        <v>-2.7565638483915356E-2</v>
      </c>
      <c r="AA188" s="13">
        <f>+F188/MAX(F$2:F188)-1</f>
        <v>-6.2671881393512319E-3</v>
      </c>
      <c r="AB188" s="52"/>
      <c r="AC188" s="13" t="str">
        <f t="shared" si="24"/>
        <v/>
      </c>
      <c r="AD188" s="13" t="str">
        <f t="shared" si="24"/>
        <v/>
      </c>
      <c r="AE188" s="13" t="str">
        <f t="shared" si="24"/>
        <v/>
      </c>
      <c r="AF188" s="13" t="str">
        <f t="shared" si="24"/>
        <v/>
      </c>
      <c r="AG188" s="13" t="str">
        <f t="shared" si="24"/>
        <v/>
      </c>
      <c r="AH188" s="52"/>
      <c r="AP188" s="38"/>
    </row>
    <row r="189" spans="1:42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19"/>
        <v>1.9974942225231551E-4</v>
      </c>
      <c r="J189" s="6">
        <f t="shared" si="23"/>
        <v>6.1545058292852206E-3</v>
      </c>
      <c r="K189" s="6">
        <f t="shared" si="23"/>
        <v>-7.578230471947678E-3</v>
      </c>
      <c r="L189" s="6">
        <f t="shared" si="23"/>
        <v>1.3891880096165623E-2</v>
      </c>
      <c r="M189" s="6">
        <f t="shared" si="23"/>
        <v>2.3147859350525577E-3</v>
      </c>
      <c r="N189" s="6">
        <f t="shared" si="23"/>
        <v>4.8261000617198218E-3</v>
      </c>
      <c r="O189" s="6">
        <f t="shared" si="21"/>
        <v>-7.5910897879736695E-3</v>
      </c>
      <c r="P189" s="6"/>
      <c r="Q189" s="13">
        <f t="shared" si="22"/>
        <v>5.9547564070329051E-3</v>
      </c>
      <c r="R189" s="13">
        <f t="shared" si="22"/>
        <v>-7.7779798941999935E-3</v>
      </c>
      <c r="S189" s="13">
        <f t="shared" si="22"/>
        <v>1.3692130673913307E-2</v>
      </c>
      <c r="T189" s="13">
        <f t="shared" si="22"/>
        <v>2.1150365128002422E-3</v>
      </c>
      <c r="U189" s="13">
        <f t="shared" si="22"/>
        <v>4.6263506394675063E-3</v>
      </c>
      <c r="V189" s="13"/>
      <c r="W189" s="13">
        <f>+B189/MAX(B$2:B189)-1</f>
        <v>-5.1417335141916931E-2</v>
      </c>
      <c r="X189" s="13">
        <f>+C189/MAX(C$2:C189)-1</f>
        <v>-7.5495880819513861E-3</v>
      </c>
      <c r="Y189" s="13">
        <f>+D189/MAX(D$2:D189)-1</f>
        <v>0</v>
      </c>
      <c r="Z189" s="13">
        <f>+E189/MAX(E$2:E189)-1</f>
        <v>-2.5312053824348757E-2</v>
      </c>
      <c r="AA189" s="13">
        <f>+F189/MAX(F$2:F189)-1</f>
        <v>-1.4597428797091805E-3</v>
      </c>
      <c r="AB189" s="52"/>
      <c r="AC189" s="13" t="str">
        <f t="shared" si="24"/>
        <v/>
      </c>
      <c r="AD189" s="13" t="str">
        <f t="shared" si="24"/>
        <v/>
      </c>
      <c r="AE189" s="13" t="str">
        <f t="shared" si="24"/>
        <v/>
      </c>
      <c r="AF189" s="13" t="str">
        <f t="shared" si="24"/>
        <v/>
      </c>
      <c r="AG189" s="13" t="str">
        <f t="shared" si="24"/>
        <v/>
      </c>
      <c r="AH189" s="52"/>
      <c r="AP189" s="38"/>
    </row>
    <row r="190" spans="1:42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19"/>
        <v>1.9974942225231551E-4</v>
      </c>
      <c r="J190" s="6">
        <f t="shared" si="23"/>
        <v>1.2143861705092206E-2</v>
      </c>
      <c r="K190" s="6">
        <f t="shared" si="23"/>
        <v>4.7533860586955039E-4</v>
      </c>
      <c r="L190" s="6">
        <f t="shared" si="23"/>
        <v>2.9731023414911141E-3</v>
      </c>
      <c r="M190" s="6">
        <f t="shared" si="23"/>
        <v>1.732579879352201E-3</v>
      </c>
      <c r="N190" s="6">
        <f t="shared" si="23"/>
        <v>1.1647879688045933E-2</v>
      </c>
      <c r="O190" s="6">
        <f t="shared" si="21"/>
        <v>0</v>
      </c>
      <c r="P190" s="6"/>
      <c r="Q190" s="13">
        <f t="shared" si="22"/>
        <v>1.194411228283989E-2</v>
      </c>
      <c r="R190" s="13">
        <f t="shared" si="22"/>
        <v>2.7558918361723488E-4</v>
      </c>
      <c r="S190" s="13">
        <f t="shared" si="22"/>
        <v>2.7733529192387986E-3</v>
      </c>
      <c r="T190" s="13">
        <f t="shared" si="22"/>
        <v>1.5328304570998855E-3</v>
      </c>
      <c r="U190" s="13">
        <f t="shared" si="22"/>
        <v>1.1448130265793617E-2</v>
      </c>
      <c r="V190" s="13"/>
      <c r="W190" s="13">
        <f>+B190/MAX(B$2:B190)-1</f>
        <v>-3.9827649102292195E-2</v>
      </c>
      <c r="X190" s="13">
        <f>+C190/MAX(C$2:C190)-1</f>
        <v>-7.0777259484959831E-3</v>
      </c>
      <c r="Y190" s="13">
        <f>+D190/MAX(D$2:D190)-1</f>
        <v>0</v>
      </c>
      <c r="Z190" s="13">
        <f>+E190/MAX(E$2:E190)-1</f>
        <v>-2.3621865329673919E-2</v>
      </c>
      <c r="AA190" s="13">
        <f>+F190/MAX(F$2:F190)-1</f>
        <v>0</v>
      </c>
      <c r="AB190" s="52"/>
      <c r="AC190" s="13" t="str">
        <f t="shared" si="24"/>
        <v/>
      </c>
      <c r="AD190" s="13" t="str">
        <f t="shared" si="24"/>
        <v/>
      </c>
      <c r="AE190" s="13" t="str">
        <f t="shared" si="24"/>
        <v/>
      </c>
      <c r="AF190" s="13" t="str">
        <f t="shared" si="24"/>
        <v/>
      </c>
      <c r="AG190" s="13" t="str">
        <f t="shared" si="24"/>
        <v/>
      </c>
      <c r="AH190" s="52"/>
      <c r="AP190" s="38"/>
    </row>
    <row r="191" spans="1:42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19"/>
        <v>2.0012999773522111E-4</v>
      </c>
      <c r="J191" s="6">
        <f t="shared" si="23"/>
        <v>6.3229391275216771E-4</v>
      </c>
      <c r="K191" s="6">
        <f t="shared" si="23"/>
        <v>3.0051413878821489E-3</v>
      </c>
      <c r="L191" s="6">
        <f t="shared" si="23"/>
        <v>1.7796277524522572E-3</v>
      </c>
      <c r="M191" s="6">
        <f t="shared" si="23"/>
        <v>-1.732579879352136E-3</v>
      </c>
      <c r="N191" s="6">
        <f t="shared" si="23"/>
        <v>-2.08387430730016E-3</v>
      </c>
      <c r="O191" s="6">
        <f t="shared" si="21"/>
        <v>1.9034517846586623E-3</v>
      </c>
      <c r="P191" s="6"/>
      <c r="Q191" s="13">
        <f t="shared" si="22"/>
        <v>4.321639150169466E-4</v>
      </c>
      <c r="R191" s="13">
        <f t="shared" si="22"/>
        <v>2.8050113901469278E-3</v>
      </c>
      <c r="S191" s="13">
        <f t="shared" si="22"/>
        <v>1.5794977547170361E-3</v>
      </c>
      <c r="T191" s="13">
        <f t="shared" si="22"/>
        <v>-1.9327098770873571E-3</v>
      </c>
      <c r="U191" s="13">
        <f t="shared" si="22"/>
        <v>-2.2840043050353811E-3</v>
      </c>
      <c r="V191" s="13"/>
      <c r="W191" s="13">
        <f>+B191/MAX(B$2:B191)-1</f>
        <v>-3.9220345992829975E-2</v>
      </c>
      <c r="X191" s="13">
        <f>+C191/MAX(C$2:C191)-1</f>
        <v>-4.0893661549031846E-3</v>
      </c>
      <c r="Y191" s="13">
        <f>+D191/MAX(D$2:D191)-1</f>
        <v>0</v>
      </c>
      <c r="Z191" s="13">
        <f>+E191/MAX(E$2:E191)-1</f>
        <v>-2.5312053824348757E-2</v>
      </c>
      <c r="AA191" s="13">
        <f>+F191/MAX(F$2:F191)-1</f>
        <v>-2.0817045486656305E-3</v>
      </c>
      <c r="AB191" s="52"/>
      <c r="AC191" s="13">
        <f t="shared" si="24"/>
        <v>-1.2711578719064947E-3</v>
      </c>
      <c r="AD191" s="13" t="str">
        <f t="shared" si="24"/>
        <v/>
      </c>
      <c r="AE191" s="13">
        <f t="shared" si="24"/>
        <v>-1.238240322064051E-4</v>
      </c>
      <c r="AF191" s="13">
        <f t="shared" si="24"/>
        <v>-3.6360316640107982E-3</v>
      </c>
      <c r="AG191" s="13">
        <f t="shared" si="24"/>
        <v>-3.9873260919588219E-3</v>
      </c>
      <c r="AH191" s="52"/>
      <c r="AP191" s="38"/>
    </row>
    <row r="192" spans="1:42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19"/>
        <v>2.0012999773522111E-4</v>
      </c>
      <c r="J192" s="6">
        <f t="shared" si="23"/>
        <v>1.5802948487189222E-4</v>
      </c>
      <c r="K192" s="6">
        <f t="shared" si="23"/>
        <v>-4.5904615610439566E-3</v>
      </c>
      <c r="L192" s="6">
        <f t="shared" si="23"/>
        <v>1.1393284747523526E-2</v>
      </c>
      <c r="M192" s="6">
        <f t="shared" si="23"/>
        <v>5.7637472026845571E-3</v>
      </c>
      <c r="N192" s="6">
        <f t="shared" si="23"/>
        <v>1.1641104408194052E-3</v>
      </c>
      <c r="O192" s="6">
        <f t="shared" si="21"/>
        <v>0</v>
      </c>
      <c r="P192" s="6"/>
      <c r="Q192" s="13">
        <f t="shared" si="22"/>
        <v>-4.2100512863328893E-5</v>
      </c>
      <c r="R192" s="13">
        <f t="shared" si="22"/>
        <v>-4.7905915587791777E-3</v>
      </c>
      <c r="S192" s="13">
        <f t="shared" si="22"/>
        <v>1.1193154749788305E-2</v>
      </c>
      <c r="T192" s="13">
        <f t="shared" si="22"/>
        <v>5.563617204949336E-3</v>
      </c>
      <c r="U192" s="13">
        <f t="shared" si="22"/>
        <v>9.6398044308418406E-4</v>
      </c>
      <c r="V192" s="13"/>
      <c r="W192" s="13">
        <f>+B192/MAX(B$2:B192)-1</f>
        <v>-3.9068502481471978E-2</v>
      </c>
      <c r="X192" s="13">
        <f>+C192/MAX(C$2:C192)-1</f>
        <v>-8.6505785930051093E-3</v>
      </c>
      <c r="Y192" s="13">
        <f>+D192/MAX(D$2:D192)-1</f>
        <v>0</v>
      </c>
      <c r="Z192" s="13">
        <f>+E192/MAX(E$2:E192)-1</f>
        <v>-1.9677977803494895E-2</v>
      </c>
      <c r="AA192" s="13">
        <f>+F192/MAX(F$2:F192)-1</f>
        <v>-9.1934101334723017E-4</v>
      </c>
      <c r="AB192" s="52"/>
      <c r="AC192" s="13" t="str">
        <f t="shared" si="24"/>
        <v/>
      </c>
      <c r="AD192" s="13">
        <f t="shared" si="24"/>
        <v>-4.5904615610439566E-3</v>
      </c>
      <c r="AE192" s="13" t="str">
        <f t="shared" si="24"/>
        <v/>
      </c>
      <c r="AF192" s="13" t="str">
        <f t="shared" si="24"/>
        <v/>
      </c>
      <c r="AG192" s="13" t="str">
        <f t="shared" si="24"/>
        <v/>
      </c>
      <c r="AH192" s="52"/>
      <c r="AP192" s="38"/>
    </row>
    <row r="193" spans="1:42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19"/>
        <v>1.9974942225231551E-4</v>
      </c>
      <c r="J193" s="6">
        <f t="shared" si="23"/>
        <v>6.1431644627328542E-3</v>
      </c>
      <c r="K193" s="6">
        <f t="shared" si="23"/>
        <v>-7.3248867997968373E-3</v>
      </c>
      <c r="L193" s="6">
        <f t="shared" si="23"/>
        <v>-4.6015528245516947E-2</v>
      </c>
      <c r="M193" s="6">
        <f t="shared" si="23"/>
        <v>6.8728485226429662E-3</v>
      </c>
      <c r="N193" s="6">
        <f t="shared" si="23"/>
        <v>9.159960683443537E-4</v>
      </c>
      <c r="O193" s="6">
        <f t="shared" si="21"/>
        <v>-1.9034517846585846E-3</v>
      </c>
      <c r="P193" s="6"/>
      <c r="Q193" s="13">
        <f t="shared" si="22"/>
        <v>5.9434150404805387E-3</v>
      </c>
      <c r="R193" s="13">
        <f t="shared" si="22"/>
        <v>-7.5246362220491528E-3</v>
      </c>
      <c r="S193" s="13">
        <f t="shared" si="22"/>
        <v>-4.6215277667769263E-2</v>
      </c>
      <c r="T193" s="13">
        <f t="shared" si="22"/>
        <v>6.6730991003906507E-3</v>
      </c>
      <c r="U193" s="13">
        <f t="shared" si="22"/>
        <v>7.1624664609203819E-4</v>
      </c>
      <c r="V193" s="13"/>
      <c r="W193" s="13">
        <f>+B193/MAX(B$2:B193)-1</f>
        <v>-3.3147173026269017E-2</v>
      </c>
      <c r="X193" s="13">
        <f>+C193/MAX(C$2:C193)-1</f>
        <v>-1.5885570785644343E-2</v>
      </c>
      <c r="Y193" s="13">
        <f>+D193/MAX(D$2:D193)-1</f>
        <v>-4.4972867820210927E-2</v>
      </c>
      <c r="Z193" s="13">
        <f>+E193/MAX(E$2:E193)-1</f>
        <v>-1.2917166638826583E-2</v>
      </c>
      <c r="AA193" s="13">
        <f>+F193/MAX(F$2:F193)-1</f>
        <v>-3.7677910381672675E-6</v>
      </c>
      <c r="AB193" s="52"/>
      <c r="AC193" s="13" t="str">
        <f t="shared" si="24"/>
        <v/>
      </c>
      <c r="AD193" s="13">
        <f t="shared" si="24"/>
        <v>-5.4214350151382523E-3</v>
      </c>
      <c r="AE193" s="13">
        <f t="shared" si="24"/>
        <v>-4.4112076460858365E-2</v>
      </c>
      <c r="AF193" s="13" t="str">
        <f t="shared" si="24"/>
        <v/>
      </c>
      <c r="AG193" s="13" t="str">
        <f t="shared" si="24"/>
        <v/>
      </c>
      <c r="AH193" s="52"/>
      <c r="AP193" s="38"/>
    </row>
    <row r="194" spans="1:42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19"/>
        <v>2.0165193919474689E-4</v>
      </c>
      <c r="J194" s="6">
        <f t="shared" si="23"/>
        <v>6.8338906269820778E-3</v>
      </c>
      <c r="K194" s="6">
        <f t="shared" si="23"/>
        <v>5.4192175886679812E-3</v>
      </c>
      <c r="L194" s="6">
        <f t="shared" si="23"/>
        <v>1.9944982273812171E-2</v>
      </c>
      <c r="M194" s="6">
        <f t="shared" si="23"/>
        <v>-1.4372182648414963E-2</v>
      </c>
      <c r="N194" s="6">
        <f t="shared" si="23"/>
        <v>2.498698327390512E-3</v>
      </c>
      <c r="O194" s="6">
        <f t="shared" si="21"/>
        <v>9.4794456212845372E-3</v>
      </c>
      <c r="P194" s="6"/>
      <c r="Q194" s="13">
        <f t="shared" si="22"/>
        <v>6.6322386877873309E-3</v>
      </c>
      <c r="R194" s="13">
        <f t="shared" si="22"/>
        <v>5.2175656494732343E-3</v>
      </c>
      <c r="S194" s="13">
        <f t="shared" si="22"/>
        <v>1.9743330334617424E-2</v>
      </c>
      <c r="T194" s="13">
        <f t="shared" si="22"/>
        <v>-1.457383458760971E-2</v>
      </c>
      <c r="U194" s="13">
        <f t="shared" si="22"/>
        <v>2.2970463881957651E-3</v>
      </c>
      <c r="V194" s="13"/>
      <c r="W194" s="13">
        <f>+B194/MAX(B$2:B194)-1</f>
        <v>-2.6517178026849608E-2</v>
      </c>
      <c r="X194" s="13">
        <f>+C194/MAX(C$2:C194)-1</f>
        <v>-1.0537963725800625E-2</v>
      </c>
      <c r="Y194" s="13">
        <f>+D194/MAX(D$2:D194)-1</f>
        <v>-2.5733643382466975E-2</v>
      </c>
      <c r="Z194" s="13">
        <f>+E194/MAX(E$2:E194)-1</f>
        <v>-2.7002242319023595E-2</v>
      </c>
      <c r="AA194" s="13">
        <f>+F194/MAX(F$2:F194)-1</f>
        <v>0</v>
      </c>
      <c r="AB194" s="52"/>
      <c r="AC194" s="13">
        <f t="shared" si="24"/>
        <v>-2.6455549943024594E-3</v>
      </c>
      <c r="AD194" s="13">
        <f t="shared" si="24"/>
        <v>-4.0602280326165561E-3</v>
      </c>
      <c r="AE194" s="13" t="str">
        <f t="shared" si="24"/>
        <v/>
      </c>
      <c r="AF194" s="13">
        <f t="shared" si="24"/>
        <v>-2.3851628269699499E-2</v>
      </c>
      <c r="AG194" s="13">
        <f t="shared" si="24"/>
        <v>-6.9807472938940253E-3</v>
      </c>
      <c r="AH194" s="52"/>
      <c r="AP194" s="38"/>
    </row>
    <row r="195" spans="1:42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ref="H195:H254" si="25">+(1+G195)^(1/250)-1</f>
        <v>2.0127150788695758E-4</v>
      </c>
      <c r="J195" s="6">
        <f t="shared" ref="J195:N226" si="26">LN(B195/B194)</f>
        <v>-7.5669526869904195E-3</v>
      </c>
      <c r="K195" s="6">
        <f t="shared" si="26"/>
        <v>1.4295762641888972E-3</v>
      </c>
      <c r="L195" s="6">
        <f t="shared" si="26"/>
        <v>-6.0830483624738684E-3</v>
      </c>
      <c r="M195" s="6">
        <f t="shared" si="26"/>
        <v>1.3229934834084765E-2</v>
      </c>
      <c r="N195" s="6">
        <f t="shared" si="26"/>
        <v>-2.7097176835470336E-3</v>
      </c>
      <c r="O195" s="6">
        <f t="shared" si="21"/>
        <v>-1.8883558333109205E-3</v>
      </c>
      <c r="P195" s="6"/>
      <c r="Q195" s="13">
        <f t="shared" si="22"/>
        <v>-7.768224194877377E-3</v>
      </c>
      <c r="R195" s="13">
        <f t="shared" si="22"/>
        <v>1.2283047563019396E-3</v>
      </c>
      <c r="S195" s="13">
        <f t="shared" si="22"/>
        <v>-6.284319870360826E-3</v>
      </c>
      <c r="T195" s="13">
        <f t="shared" si="22"/>
        <v>1.3028663326197808E-2</v>
      </c>
      <c r="U195" s="13">
        <f t="shared" si="22"/>
        <v>-2.9109891914339912E-3</v>
      </c>
      <c r="V195" s="13"/>
      <c r="W195" s="13">
        <f>+B195/MAX(B$2:B195)-1</f>
        <v>-3.3855676431124637E-2</v>
      </c>
      <c r="X195" s="13">
        <f>+C195/MAX(C$2:C195)-1</f>
        <v>-9.1224407264604013E-3</v>
      </c>
      <c r="Y195" s="13">
        <f>+D195/MAX(D$2:D195)-1</f>
        <v>-3.164216362088379E-2</v>
      </c>
      <c r="Z195" s="13">
        <f>+E195/MAX(E$2:E195)-1</f>
        <v>-1.404401615457862E-2</v>
      </c>
      <c r="AA195" s="13">
        <f>+F195/MAX(F$2:F195)-1</f>
        <v>-2.7060497123881921E-3</v>
      </c>
      <c r="AB195" s="52"/>
      <c r="AC195" s="13">
        <f t="shared" si="24"/>
        <v>-5.6785968536794988E-3</v>
      </c>
      <c r="AD195" s="13" t="str">
        <f t="shared" si="24"/>
        <v/>
      </c>
      <c r="AE195" s="13">
        <f t="shared" si="24"/>
        <v>-4.1946925291629477E-3</v>
      </c>
      <c r="AF195" s="13" t="str">
        <f t="shared" si="24"/>
        <v/>
      </c>
      <c r="AG195" s="13">
        <f t="shared" si="24"/>
        <v>-8.2136185023611312E-4</v>
      </c>
      <c r="AH195" s="52"/>
      <c r="AP195" s="38"/>
    </row>
    <row r="196" spans="1:42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si="25"/>
        <v>2.0127150788695758E-4</v>
      </c>
      <c r="J196" s="6">
        <f t="shared" si="26"/>
        <v>-2.128302424671985E-2</v>
      </c>
      <c r="K196" s="6">
        <f t="shared" si="26"/>
        <v>-1.454975939193497E-2</v>
      </c>
      <c r="L196" s="6">
        <f t="shared" si="26"/>
        <v>-7.0339066105817626E-3</v>
      </c>
      <c r="M196" s="6">
        <f t="shared" si="26"/>
        <v>-1.7157346722541096E-3</v>
      </c>
      <c r="N196" s="6">
        <f t="shared" si="26"/>
        <v>-7.4081767856449404E-3</v>
      </c>
      <c r="O196" s="6">
        <f t="shared" ref="O196:O254" si="27">LN(H196/H195)</f>
        <v>0</v>
      </c>
      <c r="P196" s="6"/>
      <c r="Q196" s="13">
        <f t="shared" si="22"/>
        <v>-2.1484295754606808E-2</v>
      </c>
      <c r="R196" s="13">
        <f t="shared" si="22"/>
        <v>-1.4751030899821927E-2</v>
      </c>
      <c r="S196" s="13">
        <f t="shared" si="22"/>
        <v>-7.2351781184687202E-3</v>
      </c>
      <c r="T196" s="13">
        <f t="shared" si="22"/>
        <v>-1.9170061801410672E-3</v>
      </c>
      <c r="U196" s="13">
        <f t="shared" si="22"/>
        <v>-7.609448293531898E-3</v>
      </c>
      <c r="V196" s="13"/>
      <c r="W196" s="13">
        <f>+B196/MAX(B$2:B196)-1</f>
        <v>-5.4200877818445736E-2</v>
      </c>
      <c r="X196" s="13">
        <f>+C196/MAX(C$2:C196)-1</f>
        <v>-2.3435095466569966E-2</v>
      </c>
      <c r="Y196" s="13">
        <f>+D196/MAX(D$2:D196)-1</f>
        <v>-3.8429603115334277E-2</v>
      </c>
      <c r="Z196" s="13">
        <f>+E196/MAX(E$2:E196)-1</f>
        <v>-1.5734204649253458E-2</v>
      </c>
      <c r="AA196" s="13">
        <f>+F196/MAX(F$2:F196)-1</f>
        <v>-1.006688077032214E-2</v>
      </c>
      <c r="AB196" s="52"/>
      <c r="AC196" s="13">
        <f t="shared" si="24"/>
        <v>-2.128302424671985E-2</v>
      </c>
      <c r="AD196" s="13">
        <f t="shared" si="24"/>
        <v>-1.454975939193497E-2</v>
      </c>
      <c r="AE196" s="13">
        <f t="shared" si="24"/>
        <v>-7.0339066105817626E-3</v>
      </c>
      <c r="AF196" s="13">
        <f t="shared" si="24"/>
        <v>-1.7157346722541096E-3</v>
      </c>
      <c r="AG196" s="13">
        <f t="shared" si="24"/>
        <v>-7.4081767856449404E-3</v>
      </c>
      <c r="AH196" s="52"/>
      <c r="AP196" s="38"/>
    </row>
    <row r="197" spans="1:42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25"/>
        <v>1.9898816309771306E-4</v>
      </c>
      <c r="J197" s="6">
        <f t="shared" si="26"/>
        <v>1.6452046082168593E-2</v>
      </c>
      <c r="K197" s="6">
        <f t="shared" si="26"/>
        <v>-1.4505435120728959E-3</v>
      </c>
      <c r="L197" s="6">
        <f t="shared" si="26"/>
        <v>1.9063546062445577E-2</v>
      </c>
      <c r="M197" s="6">
        <f t="shared" si="26"/>
        <v>1.7157346722542091E-3</v>
      </c>
      <c r="N197" s="6">
        <f t="shared" si="26"/>
        <v>6.9765789150719763E-3</v>
      </c>
      <c r="O197" s="6">
        <f t="shared" si="27"/>
        <v>-1.1409441041977197E-2</v>
      </c>
      <c r="P197" s="6"/>
      <c r="Q197" s="13">
        <f t="shared" si="22"/>
        <v>1.625305791907088E-2</v>
      </c>
      <c r="R197" s="13">
        <f t="shared" si="22"/>
        <v>-1.649531675170609E-3</v>
      </c>
      <c r="S197" s="13">
        <f t="shared" si="22"/>
        <v>1.8864557899347864E-2</v>
      </c>
      <c r="T197" s="13">
        <f t="shared" si="22"/>
        <v>1.5167465091564961E-3</v>
      </c>
      <c r="U197" s="13">
        <f t="shared" si="22"/>
        <v>6.7775907519742632E-3</v>
      </c>
      <c r="V197" s="13"/>
      <c r="W197" s="13">
        <f>+B197/MAX(B$2:B197)-1</f>
        <v>-3.8511842587974465E-2</v>
      </c>
      <c r="X197" s="13">
        <f>+C197/MAX(C$2:C197)-1</f>
        <v>-2.485061846591019E-2</v>
      </c>
      <c r="Y197" s="13">
        <f>+D197/MAX(D$2:D197)-1</f>
        <v>-1.9922819574466066E-2</v>
      </c>
      <c r="Z197" s="13">
        <f>+E197/MAX(E$2:E197)-1</f>
        <v>-1.404401615457862E-2</v>
      </c>
      <c r="AA197" s="13">
        <f>+F197/MAX(F$2:F197)-1</f>
        <v>-3.1363867847055138E-3</v>
      </c>
      <c r="AB197" s="52"/>
      <c r="AC197" s="13" t="str">
        <f t="shared" si="24"/>
        <v/>
      </c>
      <c r="AD197" s="13" t="str">
        <f t="shared" si="24"/>
        <v/>
      </c>
      <c r="AE197" s="13" t="str">
        <f t="shared" si="24"/>
        <v/>
      </c>
      <c r="AF197" s="13" t="str">
        <f t="shared" si="24"/>
        <v/>
      </c>
      <c r="AG197" s="13" t="str">
        <f t="shared" si="24"/>
        <v/>
      </c>
      <c r="AH197" s="52"/>
      <c r="AP197" s="38"/>
    </row>
    <row r="198" spans="1:42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25"/>
        <v>2.0012999773522111E-4</v>
      </c>
      <c r="J198" s="6">
        <f t="shared" si="26"/>
        <v>5.2749355993220789E-5</v>
      </c>
      <c r="K198" s="6">
        <f t="shared" si="26"/>
        <v>-2.907479760967422E-3</v>
      </c>
      <c r="L198" s="6">
        <f t="shared" si="26"/>
        <v>-6.0468730383955328E-3</v>
      </c>
      <c r="M198" s="6">
        <f t="shared" si="26"/>
        <v>-1.3229934834084642E-2</v>
      </c>
      <c r="N198" s="6">
        <f t="shared" si="26"/>
        <v>2.4880404548013993E-4</v>
      </c>
      <c r="O198" s="6">
        <f t="shared" si="27"/>
        <v>5.7218030386620624E-3</v>
      </c>
      <c r="P198" s="6"/>
      <c r="Q198" s="13">
        <f t="shared" si="22"/>
        <v>-1.4738064174200032E-4</v>
      </c>
      <c r="R198" s="13">
        <f t="shared" si="22"/>
        <v>-3.1076097587026431E-3</v>
      </c>
      <c r="S198" s="13">
        <f t="shared" si="22"/>
        <v>-6.2470030361307539E-3</v>
      </c>
      <c r="T198" s="13">
        <f t="shared" si="22"/>
        <v>-1.3430064831819863E-2</v>
      </c>
      <c r="U198" s="13">
        <f t="shared" si="22"/>
        <v>4.867404774491882E-5</v>
      </c>
      <c r="V198" s="13"/>
      <c r="W198" s="13">
        <f>+B198/MAX(B$2:B198)-1</f>
        <v>-3.8461123369184613E-2</v>
      </c>
      <c r="X198" s="13">
        <f>+C198/MAX(C$2:C198)-1</f>
        <v>-2.768172786561629E-2</v>
      </c>
      <c r="Y198" s="13">
        <f>+D198/MAX(D$2:D198)-1</f>
        <v>-2.5831339812882881E-2</v>
      </c>
      <c r="Z198" s="13">
        <f>+E198/MAX(E$2:E198)-1</f>
        <v>-2.7002242319023595E-2</v>
      </c>
      <c r="AA198" s="13">
        <f>+F198/MAX(F$2:F198)-1</f>
        <v>-2.8883322277366563E-3</v>
      </c>
      <c r="AB198" s="52"/>
      <c r="AC198" s="13">
        <f t="shared" si="24"/>
        <v>-5.6690536826688419E-3</v>
      </c>
      <c r="AD198" s="13">
        <f t="shared" si="24"/>
        <v>-8.6292827996294844E-3</v>
      </c>
      <c r="AE198" s="13">
        <f t="shared" si="24"/>
        <v>-1.1768676077057595E-2</v>
      </c>
      <c r="AF198" s="13">
        <f t="shared" si="24"/>
        <v>-1.8951737872746705E-2</v>
      </c>
      <c r="AG198" s="13">
        <f t="shared" si="24"/>
        <v>-5.4729989931819227E-3</v>
      </c>
      <c r="AH198" s="52"/>
      <c r="AP198" s="38"/>
    </row>
    <row r="199" spans="1:42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25"/>
        <v>2.0051053716385603E-4</v>
      </c>
      <c r="J199" s="6">
        <f t="shared" si="26"/>
        <v>1.5777000232845243E-3</v>
      </c>
      <c r="K199" s="6">
        <f t="shared" si="26"/>
        <v>-1.9429887302046369E-3</v>
      </c>
      <c r="L199" s="6">
        <f t="shared" si="26"/>
        <v>-6.99180300416376E-3</v>
      </c>
      <c r="M199" s="6">
        <f t="shared" si="26"/>
        <v>-8.7235267318123977E-3</v>
      </c>
      <c r="N199" s="6">
        <f t="shared" si="26"/>
        <v>-7.3943469365055463E-3</v>
      </c>
      <c r="O199" s="6">
        <f t="shared" si="27"/>
        <v>1.8996557258902202E-3</v>
      </c>
      <c r="P199" s="6"/>
      <c r="Q199" s="13">
        <f t="shared" si="22"/>
        <v>1.3771894861206683E-3</v>
      </c>
      <c r="R199" s="13">
        <f t="shared" si="22"/>
        <v>-2.1434992673684929E-3</v>
      </c>
      <c r="S199" s="13">
        <f t="shared" si="22"/>
        <v>-7.1923135413276161E-3</v>
      </c>
      <c r="T199" s="13">
        <f t="shared" si="22"/>
        <v>-8.9240372689762537E-3</v>
      </c>
      <c r="U199" s="13">
        <f t="shared" si="22"/>
        <v>-7.5948574736694023E-3</v>
      </c>
      <c r="V199" s="13"/>
      <c r="W199" s="13">
        <f>+B199/MAX(B$2:B199)-1</f>
        <v>-3.6942906130369657E-2</v>
      </c>
      <c r="X199" s="13">
        <f>+C199/MAX(C$2:C199)-1</f>
        <v>-2.9569097148155365E-2</v>
      </c>
      <c r="Y199" s="13">
        <f>+D199/MAX(D$2:D199)-1</f>
        <v>-3.2618779307333368E-2</v>
      </c>
      <c r="Z199" s="13">
        <f>+E199/MAX(E$2:E199)-1</f>
        <v>-3.5453299164335705E-2</v>
      </c>
      <c r="AA199" s="13">
        <f>+F199/MAX(F$2:F199)-1</f>
        <v>-1.0234129676157222E-2</v>
      </c>
      <c r="AB199" s="52"/>
      <c r="AC199" s="13">
        <f t="shared" si="24"/>
        <v>-3.2195570260569592E-4</v>
      </c>
      <c r="AD199" s="13">
        <f t="shared" si="24"/>
        <v>-3.8426444560948573E-3</v>
      </c>
      <c r="AE199" s="13">
        <f t="shared" si="24"/>
        <v>-8.8914587300539805E-3</v>
      </c>
      <c r="AF199" s="13">
        <f t="shared" si="24"/>
        <v>-1.0623182457702617E-2</v>
      </c>
      <c r="AG199" s="13">
        <f t="shared" si="24"/>
        <v>-9.2940026623957658E-3</v>
      </c>
      <c r="AH199" s="52"/>
      <c r="AP199" s="38"/>
    </row>
    <row r="200" spans="1:42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25"/>
        <v>2.0089104054554774E-4</v>
      </c>
      <c r="J200" s="6">
        <f t="shared" si="26"/>
        <v>5.2413568168104213E-3</v>
      </c>
      <c r="K200" s="6">
        <f t="shared" si="26"/>
        <v>4.3664643547632167E-3</v>
      </c>
      <c r="L200" s="6">
        <f t="shared" si="26"/>
        <v>6.1393658971166812E-3</v>
      </c>
      <c r="M200" s="6">
        <f t="shared" si="26"/>
        <v>2.8787286268958209E-2</v>
      </c>
      <c r="N200" s="6">
        <f t="shared" si="26"/>
        <v>-5.9929167225422977E-3</v>
      </c>
      <c r="O200" s="6">
        <f t="shared" si="27"/>
        <v>1.8958744399290306E-3</v>
      </c>
      <c r="P200" s="6"/>
      <c r="Q200" s="13">
        <f t="shared" si="22"/>
        <v>5.0404657762648736E-3</v>
      </c>
      <c r="R200" s="13">
        <f t="shared" si="22"/>
        <v>4.1655733142176689E-3</v>
      </c>
      <c r="S200" s="13">
        <f t="shared" si="22"/>
        <v>5.9384748565711335E-3</v>
      </c>
      <c r="T200" s="13">
        <f t="shared" si="22"/>
        <v>2.8586395228412661E-2</v>
      </c>
      <c r="U200" s="13">
        <f t="shared" si="22"/>
        <v>-6.1938077630878455E-3</v>
      </c>
      <c r="V200" s="13"/>
      <c r="W200" s="13">
        <f>+B200/MAX(B$2:B200)-1</f>
        <v>-3.188192865823547E-2</v>
      </c>
      <c r="X200" s="13">
        <f>+C200/MAX(C$2:C200)-1</f>
        <v>-2.5322480599365482E-2</v>
      </c>
      <c r="Y200" s="13">
        <f>+D200/MAX(D$2:D200)-1</f>
        <v>-2.6661403488545732E-2</v>
      </c>
      <c r="Z200" s="13">
        <f>+E200/MAX(E$2:E200)-1</f>
        <v>-7.2830906179726096E-3</v>
      </c>
      <c r="AA200" s="13">
        <f>+F200/MAX(F$2:F200)-1</f>
        <v>-1.6147975818439186E-2</v>
      </c>
      <c r="AB200" s="52"/>
      <c r="AC200" s="13" t="str">
        <f t="shared" si="24"/>
        <v/>
      </c>
      <c r="AD200" s="13" t="str">
        <f t="shared" si="24"/>
        <v/>
      </c>
      <c r="AE200" s="13" t="str">
        <f t="shared" si="24"/>
        <v/>
      </c>
      <c r="AF200" s="13" t="str">
        <f t="shared" si="24"/>
        <v/>
      </c>
      <c r="AG200" s="13">
        <f t="shared" si="24"/>
        <v>-7.888791162471329E-3</v>
      </c>
      <c r="AH200" s="52"/>
      <c r="AP200" s="38"/>
    </row>
    <row r="201" spans="1:42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25"/>
        <v>2.0051053716385603E-4</v>
      </c>
      <c r="J201" s="6">
        <f t="shared" si="26"/>
        <v>5.0060225548219234E-3</v>
      </c>
      <c r="K201" s="6">
        <f t="shared" si="26"/>
        <v>1.537262663889283E-2</v>
      </c>
      <c r="L201" s="6">
        <f t="shared" si="26"/>
        <v>1.6419907185533298E-2</v>
      </c>
      <c r="M201" s="6">
        <f t="shared" si="26"/>
        <v>3.3485178750257492E-2</v>
      </c>
      <c r="N201" s="6">
        <f t="shared" si="26"/>
        <v>7.9958649115222311E-3</v>
      </c>
      <c r="O201" s="6">
        <f t="shared" si="27"/>
        <v>-1.8958744399290869E-3</v>
      </c>
      <c r="P201" s="6"/>
      <c r="Q201" s="13">
        <f t="shared" si="22"/>
        <v>4.8055120176580673E-3</v>
      </c>
      <c r="R201" s="13">
        <f t="shared" si="22"/>
        <v>1.5172116101728974E-2</v>
      </c>
      <c r="S201" s="13">
        <f t="shared" si="22"/>
        <v>1.6219396648369442E-2</v>
      </c>
      <c r="T201" s="13">
        <f t="shared" si="22"/>
        <v>3.3284668213093636E-2</v>
      </c>
      <c r="U201" s="13">
        <f t="shared" si="22"/>
        <v>7.795354374358375E-3</v>
      </c>
      <c r="V201" s="13"/>
      <c r="W201" s="13">
        <f>+B201/MAX(B$2:B201)-1</f>
        <v>-2.7023356843743351E-2</v>
      </c>
      <c r="X201" s="13">
        <f>+C201/MAX(C$2:C201)-1</f>
        <v>-1.0223367836488584E-2</v>
      </c>
      <c r="Y201" s="13">
        <f>+D201/MAX(D$2:D201)-1</f>
        <v>-1.0547340409244987E-2</v>
      </c>
      <c r="Z201" s="13">
        <f>+E201/MAX(E$2:E201)-1</f>
        <v>0</v>
      </c>
      <c r="AA201" s="13">
        <f>+F201/MAX(F$2:F201)-1</f>
        <v>-8.2496932204058071E-3</v>
      </c>
      <c r="AB201" s="52"/>
      <c r="AC201" s="13" t="str">
        <f t="shared" si="24"/>
        <v/>
      </c>
      <c r="AD201" s="13" t="str">
        <f t="shared" si="24"/>
        <v/>
      </c>
      <c r="AE201" s="13" t="str">
        <f t="shared" si="24"/>
        <v/>
      </c>
      <c r="AF201" s="13" t="str">
        <f t="shared" si="24"/>
        <v/>
      </c>
      <c r="AG201" s="13" t="str">
        <f t="shared" si="24"/>
        <v/>
      </c>
      <c r="AH201" s="52"/>
      <c r="AP201" s="38"/>
    </row>
    <row r="202" spans="1:42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25"/>
        <v>2.0127150788695758E-4</v>
      </c>
      <c r="J202" s="6">
        <f t="shared" si="26"/>
        <v>9.2161623911649945E-3</v>
      </c>
      <c r="K202" s="6">
        <f t="shared" si="26"/>
        <v>0</v>
      </c>
      <c r="L202" s="6">
        <f t="shared" si="26"/>
        <v>-4.0053977401266682E-3</v>
      </c>
      <c r="M202" s="6">
        <f t="shared" si="26"/>
        <v>-1.1592695309031092E-2</v>
      </c>
      <c r="N202" s="6">
        <f t="shared" si="26"/>
        <v>1.1154342969859781E-3</v>
      </c>
      <c r="O202" s="6">
        <f t="shared" si="27"/>
        <v>3.7879822774248887E-3</v>
      </c>
      <c r="P202" s="6"/>
      <c r="Q202" s="13">
        <f t="shared" si="22"/>
        <v>9.0148908832780369E-3</v>
      </c>
      <c r="R202" s="13">
        <f t="shared" si="22"/>
        <v>-2.0127150788695758E-4</v>
      </c>
      <c r="S202" s="13">
        <f t="shared" si="22"/>
        <v>-4.2066692480136258E-3</v>
      </c>
      <c r="T202" s="13">
        <f t="shared" si="22"/>
        <v>-1.179396681691805E-2</v>
      </c>
      <c r="U202" s="13">
        <f t="shared" si="22"/>
        <v>9.1416278909902055E-4</v>
      </c>
      <c r="V202" s="13"/>
      <c r="W202" s="13">
        <f>+B202/MAX(B$2:B202)-1</f>
        <v>-1.8014797689295259E-2</v>
      </c>
      <c r="X202" s="13">
        <f>+C202/MAX(C$2:C202)-1</f>
        <v>-1.0223367836488584E-2</v>
      </c>
      <c r="Y202" s="13">
        <f>+D202/MAX(D$2:D202)-1</f>
        <v>-1.4502565443351045E-2</v>
      </c>
      <c r="Z202" s="13">
        <f>+E202/MAX(E$2:E202)-1</f>
        <v>-1.1525758924157081E-2</v>
      </c>
      <c r="AA202" s="13">
        <f>+F202/MAX(F$2:F202)-1</f>
        <v>-7.1428437199915207E-3</v>
      </c>
      <c r="AB202" s="52"/>
      <c r="AC202" s="13" t="str">
        <f t="shared" si="24"/>
        <v/>
      </c>
      <c r="AD202" s="13">
        <f t="shared" si="24"/>
        <v>-3.7879822774248887E-3</v>
      </c>
      <c r="AE202" s="13">
        <f t="shared" si="24"/>
        <v>-7.7933800175515565E-3</v>
      </c>
      <c r="AF202" s="13">
        <f t="shared" si="24"/>
        <v>-1.5380677586455982E-2</v>
      </c>
      <c r="AG202" s="13">
        <f t="shared" si="24"/>
        <v>-2.6725479804389106E-3</v>
      </c>
      <c r="AH202" s="52"/>
      <c r="AP202" s="38"/>
    </row>
    <row r="203" spans="1:42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25"/>
        <v>2.0279301698633567E-4</v>
      </c>
      <c r="J203" s="6">
        <f t="shared" si="26"/>
        <v>1.6479275844381797E-3</v>
      </c>
      <c r="K203" s="6">
        <f t="shared" si="26"/>
        <v>1.5922092232906072E-2</v>
      </c>
      <c r="L203" s="6">
        <f t="shared" si="26"/>
        <v>-1.3267754604042227E-2</v>
      </c>
      <c r="M203" s="6">
        <f t="shared" si="26"/>
        <v>1.8702397437831947E-2</v>
      </c>
      <c r="N203" s="6">
        <f t="shared" si="26"/>
        <v>1.5016920495655548E-3</v>
      </c>
      <c r="O203" s="6">
        <f t="shared" si="27"/>
        <v>7.5310560416541605E-3</v>
      </c>
      <c r="P203" s="6"/>
      <c r="Q203" s="13">
        <f t="shared" si="22"/>
        <v>1.445134567451844E-3</v>
      </c>
      <c r="R203" s="13">
        <f t="shared" si="22"/>
        <v>1.5719299215919736E-2</v>
      </c>
      <c r="S203" s="13">
        <f t="shared" si="22"/>
        <v>-1.3470547621028563E-2</v>
      </c>
      <c r="T203" s="13">
        <f t="shared" si="22"/>
        <v>1.8499604420845611E-2</v>
      </c>
      <c r="U203" s="13">
        <f t="shared" si="22"/>
        <v>1.2988990325792191E-3</v>
      </c>
      <c r="V203" s="13"/>
      <c r="W203" s="13">
        <f>+B203/MAX(B$2:B203)-1</f>
        <v>-1.6395223082581012E-2</v>
      </c>
      <c r="X203" s="13">
        <f>+C203/MAX(C$2:C203)-1</f>
        <v>0</v>
      </c>
      <c r="Y203" s="13">
        <f>+D203/MAX(D$2:D203)-1</f>
        <v>-2.7491545725945921E-2</v>
      </c>
      <c r="Z203" s="13">
        <f>+E203/MAX(E$2:E203)-1</f>
        <v>0</v>
      </c>
      <c r="AA203" s="13">
        <f>+F203/MAX(F$2:F203)-1</f>
        <v>-5.650757975799614E-3</v>
      </c>
      <c r="AB203" s="52"/>
      <c r="AC203" s="13">
        <f t="shared" si="24"/>
        <v>-5.8831284572159808E-3</v>
      </c>
      <c r="AD203" s="13" t="str">
        <f t="shared" si="24"/>
        <v/>
      </c>
      <c r="AE203" s="13">
        <f t="shared" si="24"/>
        <v>-2.0798810645696386E-2</v>
      </c>
      <c r="AF203" s="13" t="str">
        <f t="shared" si="24"/>
        <v/>
      </c>
      <c r="AG203" s="13">
        <f t="shared" si="24"/>
        <v>-6.029363992088606E-3</v>
      </c>
      <c r="AH203" s="52"/>
      <c r="AP203" s="38"/>
    </row>
    <row r="204" spans="1:42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25"/>
        <v>2.0317330422892077E-4</v>
      </c>
      <c r="J204" s="6">
        <f t="shared" si="26"/>
        <v>7.7904722351031866E-3</v>
      </c>
      <c r="K204" s="6">
        <f t="shared" si="26"/>
        <v>-3.1287359214828865E-4</v>
      </c>
      <c r="L204" s="6">
        <f t="shared" si="26"/>
        <v>-9.5859227382981537E-3</v>
      </c>
      <c r="M204" s="6">
        <f t="shared" si="26"/>
        <v>-2.7285349047250127E-3</v>
      </c>
      <c r="N204" s="6">
        <f t="shared" si="26"/>
        <v>1.1778026448059028E-2</v>
      </c>
      <c r="O204" s="6">
        <f t="shared" si="27"/>
        <v>1.8734921294942879E-3</v>
      </c>
      <c r="P204" s="6"/>
      <c r="Q204" s="13">
        <f t="shared" si="22"/>
        <v>7.5872989308742658E-3</v>
      </c>
      <c r="R204" s="13">
        <f t="shared" si="22"/>
        <v>-5.1604689637720948E-4</v>
      </c>
      <c r="S204" s="13">
        <f t="shared" si="22"/>
        <v>-9.7890960425270745E-3</v>
      </c>
      <c r="T204" s="13">
        <f t="shared" si="22"/>
        <v>-2.9317082089539335E-3</v>
      </c>
      <c r="U204" s="13">
        <f t="shared" si="22"/>
        <v>1.1574853143830107E-2</v>
      </c>
      <c r="V204" s="13"/>
      <c r="W204" s="13">
        <f>+B204/MAX(B$2:B204)-1</f>
        <v>-8.7025515121309516E-3</v>
      </c>
      <c r="X204" s="13">
        <f>+C204/MAX(C$2:C204)-1</f>
        <v>-3.1282465231008416E-4</v>
      </c>
      <c r="Y204" s="13">
        <f>+D204/MAX(D$2:D204)-1</f>
        <v>-3.6769397202271126E-2</v>
      </c>
      <c r="Z204" s="13">
        <f>+E204/MAX(E$2:E204)-1</f>
        <v>-2.7248158366665054E-3</v>
      </c>
      <c r="AA204" s="13">
        <f>+F204/MAX(F$2:F204)-1</f>
        <v>0</v>
      </c>
      <c r="AB204" s="52"/>
      <c r="AC204" s="13" t="str">
        <f t="shared" si="24"/>
        <v/>
      </c>
      <c r="AD204" s="13">
        <f t="shared" si="24"/>
        <v>-2.1863657216425764E-3</v>
      </c>
      <c r="AE204" s="13">
        <f t="shared" si="24"/>
        <v>-1.1459414867792441E-2</v>
      </c>
      <c r="AF204" s="13">
        <f t="shared" si="24"/>
        <v>-4.6020270342193009E-3</v>
      </c>
      <c r="AG204" s="13" t="str">
        <f t="shared" si="24"/>
        <v/>
      </c>
      <c r="AH204" s="52"/>
      <c r="AP204" s="38"/>
    </row>
    <row r="205" spans="1:42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25"/>
        <v>2.0317330422892077E-4</v>
      </c>
      <c r="J205" s="6">
        <f t="shared" si="26"/>
        <v>-7.121864915451831E-3</v>
      </c>
      <c r="K205" s="6">
        <f t="shared" si="26"/>
        <v>3.5918669636785371E-3</v>
      </c>
      <c r="L205" s="6">
        <f t="shared" si="26"/>
        <v>-1.7757906147097171E-3</v>
      </c>
      <c r="M205" s="6">
        <f t="shared" si="26"/>
        <v>-1.0934242170624129E-3</v>
      </c>
      <c r="N205" s="6">
        <f t="shared" si="26"/>
        <v>-1.9986943175659869E-4</v>
      </c>
      <c r="O205" s="6">
        <f t="shared" si="27"/>
        <v>0</v>
      </c>
      <c r="P205" s="6"/>
      <c r="Q205" s="13">
        <f t="shared" si="22"/>
        <v>-7.3250382196807517E-3</v>
      </c>
      <c r="R205" s="13">
        <f t="shared" si="22"/>
        <v>3.3886936594496164E-3</v>
      </c>
      <c r="S205" s="13">
        <f t="shared" si="22"/>
        <v>-1.9789639189386381E-3</v>
      </c>
      <c r="T205" s="13">
        <f t="shared" si="22"/>
        <v>-1.2965975212913337E-3</v>
      </c>
      <c r="U205" s="13">
        <f t="shared" si="22"/>
        <v>-4.0304273598551943E-4</v>
      </c>
      <c r="V205" s="13"/>
      <c r="W205" s="13">
        <f>+B205/MAX(B$2:B205)-1</f>
        <v>-1.573735782683483E-2</v>
      </c>
      <c r="X205" s="13">
        <f>+C205/MAX(C$2:C205)-1</f>
        <v>0</v>
      </c>
      <c r="Y205" s="13">
        <f>+D205/MAX(D$2:D205)-1</f>
        <v>-3.8478375223859329E-2</v>
      </c>
      <c r="Z205" s="13">
        <f>+E205/MAX(E$2:E205)-1</f>
        <v>-3.8146647319353688E-3</v>
      </c>
      <c r="AA205" s="13">
        <f>+F205/MAX(F$2:F205)-1</f>
        <v>-1.9984945919238051E-4</v>
      </c>
      <c r="AB205" s="52"/>
      <c r="AC205" s="13">
        <f t="shared" si="24"/>
        <v>-7.121864915451831E-3</v>
      </c>
      <c r="AD205" s="13" t="str">
        <f t="shared" si="24"/>
        <v/>
      </c>
      <c r="AE205" s="13">
        <f t="shared" si="24"/>
        <v>-1.7757906147097171E-3</v>
      </c>
      <c r="AF205" s="13">
        <f t="shared" si="24"/>
        <v>-1.0934242170624129E-3</v>
      </c>
      <c r="AG205" s="13">
        <f t="shared" si="24"/>
        <v>-1.9986943175659869E-4</v>
      </c>
      <c r="AH205" s="52"/>
      <c r="AP205" s="38"/>
    </row>
    <row r="206" spans="1:42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25"/>
        <v>2.0317330422892077E-4</v>
      </c>
      <c r="J206" s="6">
        <f t="shared" si="26"/>
        <v>1.2315935510636394E-2</v>
      </c>
      <c r="K206" s="6">
        <f t="shared" si="26"/>
        <v>-3.748245865629597E-3</v>
      </c>
      <c r="L206" s="6">
        <f t="shared" si="26"/>
        <v>1.5320518573155651E-2</v>
      </c>
      <c r="M206" s="6">
        <f t="shared" si="26"/>
        <v>-9.8955551720559757E-3</v>
      </c>
      <c r="N206" s="6">
        <f t="shared" si="26"/>
        <v>-1.1158931807150971E-3</v>
      </c>
      <c r="O206" s="6">
        <f t="shared" si="27"/>
        <v>0</v>
      </c>
      <c r="P206" s="6"/>
      <c r="Q206" s="13">
        <f t="shared" si="22"/>
        <v>1.2112762206407474E-2</v>
      </c>
      <c r="R206" s="13">
        <f t="shared" si="22"/>
        <v>-3.9514191698585173E-3</v>
      </c>
      <c r="S206" s="13">
        <f t="shared" si="22"/>
        <v>1.5117345268926731E-2</v>
      </c>
      <c r="T206" s="13">
        <f t="shared" si="22"/>
        <v>-1.0098728476284896E-2</v>
      </c>
      <c r="U206" s="13">
        <f t="shared" si="22"/>
        <v>-1.3190664849440179E-3</v>
      </c>
      <c r="V206" s="13"/>
      <c r="W206" s="13">
        <f>+B206/MAX(B$2:B206)-1</f>
        <v>-3.5402876080675716E-3</v>
      </c>
      <c r="X206" s="13">
        <f>+C206/MAX(C$2:C206)-1</f>
        <v>-3.7412299606113253E-3</v>
      </c>
      <c r="Y206" s="13">
        <f>+D206/MAX(D$2:D206)-1</f>
        <v>-2.3633943470626972E-2</v>
      </c>
      <c r="Z206" s="13">
        <f>+E206/MAX(E$2:E206)-1</f>
        <v>-1.3623857927910876E-2</v>
      </c>
      <c r="AA206" s="13">
        <f>+F206/MAX(F$2:F206)-1</f>
        <v>-1.3148973763688065E-3</v>
      </c>
      <c r="AB206" s="52"/>
      <c r="AC206" s="13" t="str">
        <f t="shared" si="24"/>
        <v/>
      </c>
      <c r="AD206" s="13">
        <f t="shared" si="24"/>
        <v>-3.748245865629597E-3</v>
      </c>
      <c r="AE206" s="13" t="str">
        <f t="shared" si="24"/>
        <v/>
      </c>
      <c r="AF206" s="13">
        <f t="shared" si="24"/>
        <v>-9.8955551720559757E-3</v>
      </c>
      <c r="AG206" s="13">
        <f t="shared" si="24"/>
        <v>-1.1158931807150971E-3</v>
      </c>
      <c r="AH206" s="52"/>
      <c r="AP206" s="38"/>
    </row>
    <row r="207" spans="1:42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25"/>
        <v>2.0355355547230225E-4</v>
      </c>
      <c r="J207" s="6">
        <f t="shared" si="26"/>
        <v>-1.9333515601065478E-2</v>
      </c>
      <c r="K207" s="6">
        <f t="shared" si="26"/>
        <v>-5.0196004719991047E-3</v>
      </c>
      <c r="L207" s="6">
        <f t="shared" si="26"/>
        <v>-1.7018402117130581E-3</v>
      </c>
      <c r="M207" s="6">
        <f t="shared" si="26"/>
        <v>-1.3348415321843266E-2</v>
      </c>
      <c r="N207" s="6">
        <f t="shared" si="26"/>
        <v>2.5775665246065955E-3</v>
      </c>
      <c r="O207" s="6">
        <f t="shared" si="27"/>
        <v>1.8698118656184917E-3</v>
      </c>
      <c r="P207" s="6"/>
      <c r="Q207" s="13">
        <f t="shared" ref="Q207:U254" si="28">+J207-$H207</f>
        <v>-1.953706915653778E-2</v>
      </c>
      <c r="R207" s="13">
        <f t="shared" si="28"/>
        <v>-5.2231540274714069E-3</v>
      </c>
      <c r="S207" s="13">
        <f t="shared" si="28"/>
        <v>-1.9053937671853604E-3</v>
      </c>
      <c r="T207" s="13">
        <f t="shared" si="28"/>
        <v>-1.3551968877315568E-2</v>
      </c>
      <c r="U207" s="13">
        <f t="shared" si="28"/>
        <v>2.3740129691342932E-3</v>
      </c>
      <c r="V207" s="13"/>
      <c r="W207" s="13">
        <f>+B207/MAX(B$2:B207)-1</f>
        <v>-2.2620320630180601E-2</v>
      </c>
      <c r="X207" s="13">
        <f>+C207/MAX(C$2:C207)-1</f>
        <v>-8.7295208653389578E-3</v>
      </c>
      <c r="Y207" s="13">
        <f>+D207/MAX(D$2:D207)-1</f>
        <v>-2.5294149383690012E-2</v>
      </c>
      <c r="Z207" s="13">
        <f>+E207/MAX(E$2:E207)-1</f>
        <v>-2.6702929692826061E-2</v>
      </c>
      <c r="AA207" s="13">
        <f>+F207/MAX(F$2:F207)-1</f>
        <v>0</v>
      </c>
      <c r="AB207" s="52"/>
      <c r="AC207" s="13">
        <f t="shared" si="24"/>
        <v>-2.120332746668397E-2</v>
      </c>
      <c r="AD207" s="13">
        <f t="shared" si="24"/>
        <v>-6.8894123376175963E-3</v>
      </c>
      <c r="AE207" s="13">
        <f t="shared" si="24"/>
        <v>-3.5716520773315498E-3</v>
      </c>
      <c r="AF207" s="13">
        <f t="shared" si="24"/>
        <v>-1.5218227187461759E-2</v>
      </c>
      <c r="AG207" s="13" t="str">
        <f t="shared" si="24"/>
        <v/>
      </c>
      <c r="AH207" s="52"/>
      <c r="AP207" s="38"/>
    </row>
    <row r="208" spans="1:42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25"/>
        <v>2.0241269373766357E-4</v>
      </c>
      <c r="J208" s="6">
        <f t="shared" si="26"/>
        <v>7.0131414104475584E-2</v>
      </c>
      <c r="K208" s="6">
        <f t="shared" si="26"/>
        <v>-6.2929080548693986E-4</v>
      </c>
      <c r="L208" s="6">
        <f t="shared" si="26"/>
        <v>-2.6653349995766375E-2</v>
      </c>
      <c r="M208" s="6">
        <f t="shared" si="26"/>
        <v>0</v>
      </c>
      <c r="N208" s="6">
        <f t="shared" si="26"/>
        <v>2.7067548434573357E-3</v>
      </c>
      <c r="O208" s="6">
        <f t="shared" si="27"/>
        <v>-5.6204905711627999E-3</v>
      </c>
      <c r="P208" s="6"/>
      <c r="Q208" s="13">
        <f t="shared" si="28"/>
        <v>6.992900141073792E-2</v>
      </c>
      <c r="R208" s="13">
        <f t="shared" si="28"/>
        <v>-8.3170349922460343E-4</v>
      </c>
      <c r="S208" s="13">
        <f t="shared" si="28"/>
        <v>-2.6855762689504039E-2</v>
      </c>
      <c r="T208" s="13">
        <f t="shared" si="28"/>
        <v>-2.0241269373766357E-4</v>
      </c>
      <c r="U208" s="13">
        <f t="shared" si="28"/>
        <v>2.5043421497196721E-3</v>
      </c>
      <c r="V208" s="13"/>
      <c r="W208" s="13">
        <f>+B208/MAX(B$2:B208)-1</f>
        <v>0</v>
      </c>
      <c r="X208" s="13">
        <f>+C208/MAX(C$2:C208)-1</f>
        <v>-9.3531220297903284E-3</v>
      </c>
      <c r="Y208" s="13">
        <f>+D208/MAX(D$2:D208)-1</f>
        <v>-5.0930165077261225E-2</v>
      </c>
      <c r="Z208" s="13">
        <f>+E208/MAX(E$2:E208)-1</f>
        <v>-2.6702929692826061E-2</v>
      </c>
      <c r="AA208" s="13">
        <f>+F208/MAX(F$2:F208)-1</f>
        <v>0</v>
      </c>
      <c r="AB208" s="52"/>
      <c r="AC208" s="13" t="str">
        <f t="shared" si="24"/>
        <v/>
      </c>
      <c r="AD208" s="13" t="str">
        <f t="shared" si="24"/>
        <v/>
      </c>
      <c r="AE208" s="13">
        <f t="shared" si="24"/>
        <v>-2.1032859424603575E-2</v>
      </c>
      <c r="AF208" s="13" t="str">
        <f t="shared" si="24"/>
        <v/>
      </c>
      <c r="AG208" s="13" t="str">
        <f t="shared" si="24"/>
        <v/>
      </c>
      <c r="AH208" s="52"/>
      <c r="AP208" s="38"/>
    </row>
    <row r="209" spans="1:42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25"/>
        <v>2.0203233447624314E-4</v>
      </c>
      <c r="J209" s="6">
        <f t="shared" si="26"/>
        <v>2.8177683832117249E-2</v>
      </c>
      <c r="K209" s="6">
        <f t="shared" si="26"/>
        <v>-1.0598781521427382E-2</v>
      </c>
      <c r="L209" s="6">
        <f t="shared" si="26"/>
        <v>-1.4667664855327797E-2</v>
      </c>
      <c r="M209" s="6">
        <f t="shared" si="26"/>
        <v>-1.4096584264906203E-2</v>
      </c>
      <c r="N209" s="6">
        <f t="shared" si="26"/>
        <v>8.4677271718827819E-3</v>
      </c>
      <c r="O209" s="6">
        <f t="shared" si="27"/>
        <v>-1.8808952862412942E-3</v>
      </c>
      <c r="P209" s="6"/>
      <c r="Q209" s="13">
        <f t="shared" si="28"/>
        <v>2.7975651497641005E-2</v>
      </c>
      <c r="R209" s="13">
        <f t="shared" si="28"/>
        <v>-1.0800813855903625E-2</v>
      </c>
      <c r="S209" s="13">
        <f t="shared" si="28"/>
        <v>-1.486969718980404E-2</v>
      </c>
      <c r="T209" s="13">
        <f t="shared" si="28"/>
        <v>-1.4298616599382447E-2</v>
      </c>
      <c r="U209" s="13">
        <f t="shared" si="28"/>
        <v>8.2656948374065387E-3</v>
      </c>
      <c r="V209" s="13"/>
      <c r="W209" s="13">
        <f>+B209/MAX(B$2:B209)-1</f>
        <v>0</v>
      </c>
      <c r="X209" s="13">
        <f>+C209/MAX(C$2:C209)-1</f>
        <v>-1.9797326165480689E-2</v>
      </c>
      <c r="Y209" s="13">
        <f>+D209/MAX(D$2:D209)-1</f>
        <v>-6.4749209035519062E-2</v>
      </c>
      <c r="Z209" s="13">
        <f>+E209/MAX(E$2:E209)-1</f>
        <v>-4.0326842934592433E-2</v>
      </c>
      <c r="AA209" s="13">
        <f>+F209/MAX(F$2:F209)-1</f>
        <v>0</v>
      </c>
      <c r="AB209" s="52"/>
      <c r="AC209" s="13" t="str">
        <f t="shared" si="24"/>
        <v/>
      </c>
      <c r="AD209" s="13">
        <f t="shared" si="24"/>
        <v>-8.717886235186087E-3</v>
      </c>
      <c r="AE209" s="13">
        <f t="shared" si="24"/>
        <v>-1.2786769569086504E-2</v>
      </c>
      <c r="AF209" s="13">
        <f t="shared" si="24"/>
        <v>-1.2215688978664908E-2</v>
      </c>
      <c r="AG209" s="13" t="str">
        <f t="shared" si="24"/>
        <v/>
      </c>
      <c r="AH209" s="52"/>
      <c r="AP209" s="38"/>
    </row>
    <row r="210" spans="1:42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25"/>
        <v>2.0051053716385603E-4</v>
      </c>
      <c r="J210" s="6">
        <f t="shared" si="26"/>
        <v>5.4761020107099078E-3</v>
      </c>
      <c r="K210" s="6">
        <f t="shared" si="26"/>
        <v>1.7478507559406556E-3</v>
      </c>
      <c r="L210" s="6">
        <f t="shared" si="26"/>
        <v>1.1059628683795456E-2</v>
      </c>
      <c r="M210" s="6">
        <f t="shared" si="26"/>
        <v>3.4012621492683047E-3</v>
      </c>
      <c r="N210" s="6">
        <f t="shared" si="26"/>
        <v>2.341828672305396E-3</v>
      </c>
      <c r="O210" s="6">
        <f t="shared" si="27"/>
        <v>-7.5609564567877055E-3</v>
      </c>
      <c r="P210" s="6"/>
      <c r="Q210" s="13">
        <f t="shared" si="28"/>
        <v>5.2755914735460518E-3</v>
      </c>
      <c r="R210" s="13">
        <f t="shared" si="28"/>
        <v>1.5473402187767995E-3</v>
      </c>
      <c r="S210" s="13">
        <f t="shared" si="28"/>
        <v>1.08591181466316E-2</v>
      </c>
      <c r="T210" s="13">
        <f t="shared" si="28"/>
        <v>3.2007516121044487E-3</v>
      </c>
      <c r="U210" s="13">
        <f t="shared" si="28"/>
        <v>2.14131813514154E-3</v>
      </c>
      <c r="V210" s="13"/>
      <c r="W210" s="13">
        <f>+B210/MAX(B$2:B210)-1</f>
        <v>0</v>
      </c>
      <c r="X210" s="13">
        <f>+C210/MAX(C$2:C210)-1</f>
        <v>-1.8082580057446562E-2</v>
      </c>
      <c r="Y210" s="13">
        <f>+D210/MAX(D$2:D210)-1</f>
        <v>-5.434827333380321E-2</v>
      </c>
      <c r="Z210" s="13">
        <f>+E210/MAX(E$2:E210)-1</f>
        <v>-3.7057185621074629E-2</v>
      </c>
      <c r="AA210" s="13">
        <f>+F210/MAX(F$2:F210)-1</f>
        <v>0</v>
      </c>
      <c r="AB210" s="52"/>
      <c r="AC210" s="13" t="str">
        <f t="shared" si="24"/>
        <v/>
      </c>
      <c r="AD210" s="13" t="str">
        <f t="shared" si="24"/>
        <v/>
      </c>
      <c r="AE210" s="13" t="str">
        <f t="shared" si="24"/>
        <v/>
      </c>
      <c r="AF210" s="13" t="str">
        <f t="shared" si="24"/>
        <v/>
      </c>
      <c r="AG210" s="13" t="str">
        <f t="shared" si="24"/>
        <v/>
      </c>
      <c r="AH210" s="52"/>
      <c r="AP210" s="38"/>
    </row>
    <row r="211" spans="1:42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25"/>
        <v>1.9936881070892198E-4</v>
      </c>
      <c r="J211" s="6">
        <f t="shared" si="26"/>
        <v>-8.2019263390725322E-3</v>
      </c>
      <c r="K211" s="6">
        <f t="shared" si="26"/>
        <v>7.1958738958610062E-4</v>
      </c>
      <c r="L211" s="6">
        <f t="shared" si="26"/>
        <v>6.1937429460877716E-4</v>
      </c>
      <c r="M211" s="6">
        <f t="shared" si="26"/>
        <v>-1.6992713126116508E-3</v>
      </c>
      <c r="N211" s="6">
        <f t="shared" si="26"/>
        <v>-3.9391312700216223E-4</v>
      </c>
      <c r="O211" s="6">
        <f t="shared" si="27"/>
        <v>-5.7103702078565256E-3</v>
      </c>
      <c r="P211" s="6"/>
      <c r="Q211" s="13">
        <f t="shared" si="28"/>
        <v>-8.4012951497814542E-3</v>
      </c>
      <c r="R211" s="13">
        <f t="shared" si="28"/>
        <v>5.2021857887717864E-4</v>
      </c>
      <c r="S211" s="13">
        <f t="shared" si="28"/>
        <v>4.2000548389985518E-4</v>
      </c>
      <c r="T211" s="13">
        <f t="shared" si="28"/>
        <v>-1.8986401233205728E-3</v>
      </c>
      <c r="U211" s="13">
        <f t="shared" si="28"/>
        <v>-5.9328193771108421E-4</v>
      </c>
      <c r="V211" s="13"/>
      <c r="W211" s="13">
        <f>+B211/MAX(B$2:B211)-1</f>
        <v>-8.1683823124298893E-3</v>
      </c>
      <c r="X211" s="13">
        <f>+C211/MAX(C$2:C211)-1</f>
        <v>-1.7375750382080613E-2</v>
      </c>
      <c r="Y211" s="13">
        <f>+D211/MAX(D$2:D211)-1</f>
        <v>-5.3762379537605764E-2</v>
      </c>
      <c r="Z211" s="13">
        <f>+E211/MAX(E$2:E211)-1</f>
        <v>-3.8692097248616775E-2</v>
      </c>
      <c r="AA211" s="13">
        <f>+F211/MAX(F$2:F211)-1</f>
        <v>-3.9383555341243603E-4</v>
      </c>
      <c r="AB211" s="52"/>
      <c r="AC211" s="13">
        <f t="shared" si="24"/>
        <v>-2.4915561312160066E-3</v>
      </c>
      <c r="AD211" s="13" t="str">
        <f t="shared" si="24"/>
        <v/>
      </c>
      <c r="AE211" s="13" t="str">
        <f t="shared" si="24"/>
        <v/>
      </c>
      <c r="AF211" s="13" t="str">
        <f t="shared" si="24"/>
        <v/>
      </c>
      <c r="AG211" s="13" t="str">
        <f t="shared" si="24"/>
        <v/>
      </c>
      <c r="AH211" s="52"/>
      <c r="AP211" s="38"/>
    </row>
    <row r="212" spans="1:42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25"/>
        <v>1.9822675964520364E-4</v>
      </c>
      <c r="J212" s="6">
        <f t="shared" si="26"/>
        <v>1.948047725735666E-2</v>
      </c>
      <c r="K212" s="6">
        <f t="shared" si="26"/>
        <v>1.1184790032108326E-3</v>
      </c>
      <c r="L212" s="6">
        <f t="shared" si="26"/>
        <v>6.1735082056717516E-3</v>
      </c>
      <c r="M212" s="6">
        <f t="shared" si="26"/>
        <v>1.6992713126115697E-3</v>
      </c>
      <c r="N212" s="6">
        <f t="shared" si="26"/>
        <v>7.6351859201040807E-3</v>
      </c>
      <c r="O212" s="6">
        <f t="shared" si="27"/>
        <v>-5.7448034624890849E-3</v>
      </c>
      <c r="P212" s="6"/>
      <c r="Q212" s="13">
        <f t="shared" si="28"/>
        <v>1.9282250497711456E-2</v>
      </c>
      <c r="R212" s="13">
        <f t="shared" si="28"/>
        <v>9.2025224356562891E-4</v>
      </c>
      <c r="S212" s="13">
        <f t="shared" si="28"/>
        <v>5.975281446026548E-3</v>
      </c>
      <c r="T212" s="13">
        <f t="shared" si="28"/>
        <v>1.501044552966366E-3</v>
      </c>
      <c r="U212" s="13">
        <f t="shared" si="28"/>
        <v>7.436959160458877E-3</v>
      </c>
      <c r="V212" s="13"/>
      <c r="W212" s="13">
        <f>+B212/MAX(B$2:B212)-1</f>
        <v>0</v>
      </c>
      <c r="X212" s="13">
        <f>+C212/MAX(C$2:C212)-1</f>
        <v>-1.6276090932473619E-2</v>
      </c>
      <c r="Y212" s="13">
        <f>+D212/MAX(D$2:D212)-1</f>
        <v>-4.7902705059342465E-2</v>
      </c>
      <c r="Z212" s="13">
        <f>+E212/MAX(E$2:E212)-1</f>
        <v>-3.7057185621074629E-2</v>
      </c>
      <c r="AA212" s="13">
        <f>+F212/MAX(F$2:F212)-1</f>
        <v>0</v>
      </c>
      <c r="AB212" s="52"/>
      <c r="AC212" s="13" t="str">
        <f t="shared" si="24"/>
        <v/>
      </c>
      <c r="AD212" s="13" t="str">
        <f t="shared" si="24"/>
        <v/>
      </c>
      <c r="AE212" s="13" t="str">
        <f t="shared" si="24"/>
        <v/>
      </c>
      <c r="AF212" s="13" t="str">
        <f t="shared" si="24"/>
        <v/>
      </c>
      <c r="AG212" s="13" t="str">
        <f t="shared" si="24"/>
        <v/>
      </c>
      <c r="AH212" s="52"/>
      <c r="AP212" s="38"/>
    </row>
    <row r="213" spans="1:42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25"/>
        <v>1.9822675964520364E-4</v>
      </c>
      <c r="J213" s="6">
        <f t="shared" si="26"/>
        <v>-1.1045270681009117E-2</v>
      </c>
      <c r="K213" s="6">
        <f t="shared" si="26"/>
        <v>1.5971257518978638E-4</v>
      </c>
      <c r="L213" s="6">
        <f t="shared" si="26"/>
        <v>1.030672096955205E-2</v>
      </c>
      <c r="M213" s="6">
        <f t="shared" si="26"/>
        <v>2.1277351283956945E-2</v>
      </c>
      <c r="N213" s="6">
        <f t="shared" si="26"/>
        <v>2.5181897678469146E-3</v>
      </c>
      <c r="O213" s="6">
        <f t="shared" si="27"/>
        <v>0</v>
      </c>
      <c r="P213" s="6"/>
      <c r="Q213" s="13">
        <f t="shared" si="28"/>
        <v>-1.124349744065432E-2</v>
      </c>
      <c r="R213" s="13">
        <f t="shared" si="28"/>
        <v>-3.8514184455417267E-5</v>
      </c>
      <c r="S213" s="13">
        <f t="shared" si="28"/>
        <v>1.0108494209906846E-2</v>
      </c>
      <c r="T213" s="13">
        <f t="shared" si="28"/>
        <v>2.1079124524311741E-2</v>
      </c>
      <c r="U213" s="13">
        <f t="shared" si="28"/>
        <v>2.319963008201711E-3</v>
      </c>
      <c r="V213" s="13"/>
      <c r="W213" s="13">
        <f>+B213/MAX(B$2:B213)-1</f>
        <v>-1.0984495643518666E-2</v>
      </c>
      <c r="X213" s="13">
        <f>+C213/MAX(C$2:C213)-1</f>
        <v>-1.6118965306545552E-2</v>
      </c>
      <c r="Y213" s="13">
        <f>+D213/MAX(D$2:D213)-1</f>
        <v>-3.8038959786819593E-2</v>
      </c>
      <c r="Z213" s="13">
        <f>+E213/MAX(E$2:E213)-1</f>
        <v>-1.6348784392288485E-2</v>
      </c>
      <c r="AA213" s="13">
        <f>+F213/MAX(F$2:F213)-1</f>
        <v>0</v>
      </c>
      <c r="AB213" s="52"/>
      <c r="AC213" s="13">
        <f t="shared" si="24"/>
        <v>-1.1045270681009117E-2</v>
      </c>
      <c r="AD213" s="13" t="str">
        <f t="shared" si="24"/>
        <v/>
      </c>
      <c r="AE213" s="13" t="str">
        <f t="shared" si="24"/>
        <v/>
      </c>
      <c r="AF213" s="13" t="str">
        <f t="shared" si="24"/>
        <v/>
      </c>
      <c r="AG213" s="13" t="str">
        <f t="shared" si="24"/>
        <v/>
      </c>
      <c r="AH213" s="52"/>
      <c r="AP213" s="38"/>
    </row>
    <row r="214" spans="1:42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25"/>
        <v>2.0165193919474689E-4</v>
      </c>
      <c r="J214" s="6">
        <f t="shared" si="26"/>
        <v>-2.1747631659808291E-2</v>
      </c>
      <c r="K214" s="6">
        <f t="shared" si="26"/>
        <v>-7.2110078735026766E-3</v>
      </c>
      <c r="L214" s="6">
        <f t="shared" si="26"/>
        <v>8.4414315435738397E-3</v>
      </c>
      <c r="M214" s="6">
        <f t="shared" si="26"/>
        <v>3.3186565462668526E-3</v>
      </c>
      <c r="N214" s="6">
        <f t="shared" si="26"/>
        <v>-2.5291522760688338E-3</v>
      </c>
      <c r="O214" s="6">
        <f t="shared" si="27"/>
        <v>1.7131511781081622E-2</v>
      </c>
      <c r="P214" s="6"/>
      <c r="Q214" s="13">
        <f t="shared" si="28"/>
        <v>-2.1949283599003038E-2</v>
      </c>
      <c r="R214" s="13">
        <f t="shared" si="28"/>
        <v>-7.4126598126974235E-3</v>
      </c>
      <c r="S214" s="13">
        <f t="shared" si="28"/>
        <v>8.2397796043790928E-3</v>
      </c>
      <c r="T214" s="13">
        <f t="shared" si="28"/>
        <v>3.1170046070721057E-3</v>
      </c>
      <c r="U214" s="13">
        <f t="shared" si="28"/>
        <v>-2.7308042152635807E-3</v>
      </c>
      <c r="V214" s="13"/>
      <c r="W214" s="13">
        <f>+B214/MAX(B$2:B214)-1</f>
        <v>-3.2261044690082175E-2</v>
      </c>
      <c r="X214" s="13">
        <f>+C214/MAX(C$2:C214)-1</f>
        <v>-2.3188220334867893E-2</v>
      </c>
      <c r="Y214" s="13">
        <f>+D214/MAX(D$2:D214)-1</f>
        <v>-2.9884261277404844E-2</v>
      </c>
      <c r="Z214" s="13">
        <f>+E214/MAX(E$2:E214)-1</f>
        <v>-1.3078961137204081E-2</v>
      </c>
      <c r="AA214" s="13">
        <f>+F214/MAX(F$2:F214)-1</f>
        <v>-2.5259566650810417E-3</v>
      </c>
      <c r="AB214" s="52"/>
      <c r="AC214" s="13">
        <f t="shared" si="24"/>
        <v>-3.8879143440889913E-2</v>
      </c>
      <c r="AD214" s="13">
        <f t="shared" si="24"/>
        <v>-2.4342519654584296E-2</v>
      </c>
      <c r="AE214" s="13">
        <f t="shared" si="24"/>
        <v>-8.6900802375077819E-3</v>
      </c>
      <c r="AF214" s="13">
        <f t="shared" si="24"/>
        <v>-1.3812855234814769E-2</v>
      </c>
      <c r="AG214" s="13">
        <f t="shared" si="24"/>
        <v>-1.9660664057150456E-2</v>
      </c>
      <c r="AH214" s="52"/>
      <c r="AP214" s="38"/>
    </row>
    <row r="215" spans="1:42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25"/>
        <v>2.0127150788695758E-4</v>
      </c>
      <c r="J215" s="6">
        <f t="shared" si="26"/>
        <v>-1.0499345697948081E-2</v>
      </c>
      <c r="K215" s="6">
        <f t="shared" si="26"/>
        <v>9.443847698832648E-3</v>
      </c>
      <c r="L215" s="6">
        <f t="shared" si="26"/>
        <v>-1.2001025271443897E-2</v>
      </c>
      <c r="M215" s="6">
        <f t="shared" si="26"/>
        <v>1.588635415691966E-2</v>
      </c>
      <c r="N215" s="6">
        <f t="shared" si="26"/>
        <v>-1.5633874377691908E-3</v>
      </c>
      <c r="O215" s="6">
        <f t="shared" si="27"/>
        <v>-1.8883558333109205E-3</v>
      </c>
      <c r="P215" s="6"/>
      <c r="Q215" s="13">
        <f t="shared" si="28"/>
        <v>-1.0700617205835039E-2</v>
      </c>
      <c r="R215" s="13">
        <f t="shared" si="28"/>
        <v>9.2425761909456904E-3</v>
      </c>
      <c r="S215" s="13">
        <f t="shared" si="28"/>
        <v>-1.2202296779330855E-2</v>
      </c>
      <c r="T215" s="13">
        <f t="shared" si="28"/>
        <v>1.5685082649032702E-2</v>
      </c>
      <c r="U215" s="13">
        <f t="shared" si="28"/>
        <v>-1.7646589456561483E-3</v>
      </c>
      <c r="V215" s="13"/>
      <c r="W215" s="13">
        <f>+B215/MAX(B$2:B215)-1</f>
        <v>-4.2368516754925478E-2</v>
      </c>
      <c r="X215" s="13">
        <f>+C215/MAX(C$2:C215)-1</f>
        <v>-1.3919662116752329E-2</v>
      </c>
      <c r="Y215" s="13">
        <f>+D215/MAX(D$2:D215)-1</f>
        <v>-4.1457063133253036E-2</v>
      </c>
      <c r="Z215" s="13">
        <f>+E215/MAX(E$2:E215)-1</f>
        <v>0</v>
      </c>
      <c r="AA215" s="13">
        <f>+F215/MAX(F$2:F215)-1</f>
        <v>-4.0841766857480089E-3</v>
      </c>
      <c r="AB215" s="52"/>
      <c r="AC215" s="13">
        <f t="shared" si="24"/>
        <v>-8.6109898646371617E-3</v>
      </c>
      <c r="AD215" s="13" t="str">
        <f t="shared" si="24"/>
        <v/>
      </c>
      <c r="AE215" s="13">
        <f t="shared" si="24"/>
        <v>-1.0112669438132977E-2</v>
      </c>
      <c r="AF215" s="13" t="str">
        <f t="shared" si="24"/>
        <v/>
      </c>
      <c r="AG215" s="13" t="str">
        <f t="shared" si="24"/>
        <v/>
      </c>
      <c r="AH215" s="52"/>
      <c r="AP215" s="38"/>
    </row>
    <row r="216" spans="1:42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25"/>
        <v>2.0165193919474689E-4</v>
      </c>
      <c r="J216" s="6">
        <f t="shared" si="26"/>
        <v>3.1277001097442104E-3</v>
      </c>
      <c r="K216" s="6">
        <f t="shared" si="26"/>
        <v>1.8936986764933515E-2</v>
      </c>
      <c r="L216" s="6">
        <f t="shared" si="26"/>
        <v>1.305751761044515E-2</v>
      </c>
      <c r="M216" s="6">
        <f t="shared" si="26"/>
        <v>1.3495526138129172E-2</v>
      </c>
      <c r="N216" s="6">
        <f t="shared" si="26"/>
        <v>-3.0698792218004059E-3</v>
      </c>
      <c r="O216" s="6">
        <f t="shared" si="27"/>
        <v>1.8883558333109866E-3</v>
      </c>
      <c r="P216" s="6"/>
      <c r="Q216" s="13">
        <f t="shared" si="28"/>
        <v>2.9260481705494635E-3</v>
      </c>
      <c r="R216" s="13">
        <f t="shared" si="28"/>
        <v>1.8735334825738768E-2</v>
      </c>
      <c r="S216" s="13">
        <f t="shared" si="28"/>
        <v>1.2855865671250404E-2</v>
      </c>
      <c r="T216" s="13">
        <f t="shared" si="28"/>
        <v>1.3293874198934425E-2</v>
      </c>
      <c r="U216" s="13">
        <f t="shared" si="28"/>
        <v>-3.2715311609951528E-3</v>
      </c>
      <c r="V216" s="13"/>
      <c r="W216" s="13">
        <f>+B216/MAX(B$2:B216)-1</f>
        <v>-3.93686437536509E-2</v>
      </c>
      <c r="X216" s="13">
        <f>+C216/MAX(C$2:C216)-1</f>
        <v>0</v>
      </c>
      <c r="Y216" s="13">
        <f>+D216/MAX(D$2:D216)-1</f>
        <v>-2.885879983080164E-2</v>
      </c>
      <c r="Z216" s="13">
        <f>+E216/MAX(E$2:E216)-1</f>
        <v>0</v>
      </c>
      <c r="AA216" s="13">
        <f>+F216/MAX(F$2:F216)-1</f>
        <v>-7.1368299426101123E-3</v>
      </c>
      <c r="AB216" s="52"/>
      <c r="AC216" s="13" t="str">
        <f t="shared" si="24"/>
        <v/>
      </c>
      <c r="AD216" s="13" t="str">
        <f t="shared" si="24"/>
        <v/>
      </c>
      <c r="AE216" s="13" t="str">
        <f t="shared" si="24"/>
        <v/>
      </c>
      <c r="AF216" s="13" t="str">
        <f t="shared" si="24"/>
        <v/>
      </c>
      <c r="AG216" s="13">
        <f t="shared" si="24"/>
        <v>-4.958235055111393E-3</v>
      </c>
      <c r="AH216" s="52"/>
      <c r="AP216" s="38"/>
    </row>
    <row r="217" spans="1:42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25"/>
        <v>2.0012999773522111E-4</v>
      </c>
      <c r="J217" s="6">
        <f t="shared" si="26"/>
        <v>4.4582669163491413E-3</v>
      </c>
      <c r="K217" s="6">
        <f t="shared" si="26"/>
        <v>-2.0342859528205111E-3</v>
      </c>
      <c r="L217" s="6">
        <f t="shared" si="26"/>
        <v>-4.0810762745116238E-3</v>
      </c>
      <c r="M217" s="6">
        <f t="shared" si="26"/>
        <v>2.1425562712271934E-3</v>
      </c>
      <c r="N217" s="6">
        <f t="shared" si="26"/>
        <v>3.9259309005764296E-3</v>
      </c>
      <c r="O217" s="6">
        <f t="shared" si="27"/>
        <v>-7.5759938366260346E-3</v>
      </c>
      <c r="P217" s="6"/>
      <c r="Q217" s="13">
        <f t="shared" si="28"/>
        <v>4.2581369186139202E-3</v>
      </c>
      <c r="R217" s="13">
        <f t="shared" si="28"/>
        <v>-2.2344159505557322E-3</v>
      </c>
      <c r="S217" s="13">
        <f t="shared" si="28"/>
        <v>-4.2812062722468449E-3</v>
      </c>
      <c r="T217" s="13">
        <f t="shared" si="28"/>
        <v>1.9424262734919723E-3</v>
      </c>
      <c r="U217" s="13">
        <f t="shared" si="28"/>
        <v>3.7258009028412085E-3</v>
      </c>
      <c r="V217" s="13"/>
      <c r="W217" s="13">
        <f>+B217/MAX(B$2:B217)-1</f>
        <v>-3.5076331732499466E-2</v>
      </c>
      <c r="X217" s="13">
        <f>+C217/MAX(C$2:C217)-1</f>
        <v>-2.0322181955257923E-3</v>
      </c>
      <c r="Y217" s="13">
        <f>+D217/MAX(D$2:D217)-1</f>
        <v>-3.2814024864907698E-2</v>
      </c>
      <c r="Z217" s="13">
        <f>+E217/MAX(E$2:E217)-1</f>
        <v>0</v>
      </c>
      <c r="AA217" s="13">
        <f>+F217/MAX(F$2:F217)-1</f>
        <v>-3.2312562533829414E-3</v>
      </c>
      <c r="AB217" s="52"/>
      <c r="AC217" s="13" t="str">
        <f t="shared" si="24"/>
        <v/>
      </c>
      <c r="AD217" s="13" t="str">
        <f t="shared" si="24"/>
        <v/>
      </c>
      <c r="AE217" s="13" t="str">
        <f t="shared" si="24"/>
        <v/>
      </c>
      <c r="AF217" s="13" t="str">
        <f t="shared" si="24"/>
        <v/>
      </c>
      <c r="AG217" s="13" t="str">
        <f t="shared" si="24"/>
        <v/>
      </c>
      <c r="AH217" s="52"/>
      <c r="AP217" s="38"/>
    </row>
    <row r="218" spans="1:42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25"/>
        <v>1.9784600378991435E-4</v>
      </c>
      <c r="J218" s="6">
        <f t="shared" si="26"/>
        <v>1.9796003669469535E-2</v>
      </c>
      <c r="K218" s="6">
        <f t="shared" si="26"/>
        <v>3.2841220395962312E-3</v>
      </c>
      <c r="L218" s="6">
        <f t="shared" si="26"/>
        <v>-3.2364976607338002E-3</v>
      </c>
      <c r="M218" s="6">
        <f t="shared" si="26"/>
        <v>3.738273476931629E-3</v>
      </c>
      <c r="N218" s="6">
        <f t="shared" si="26"/>
        <v>1.5711783413408377E-3</v>
      </c>
      <c r="O218" s="6">
        <f t="shared" si="27"/>
        <v>-1.1478174626420291E-2</v>
      </c>
      <c r="P218" s="6"/>
      <c r="Q218" s="13">
        <f t="shared" si="28"/>
        <v>1.9598157665679621E-2</v>
      </c>
      <c r="R218" s="13">
        <f t="shared" si="28"/>
        <v>3.0862760358063169E-3</v>
      </c>
      <c r="S218" s="13">
        <f t="shared" si="28"/>
        <v>-3.4343436645237146E-3</v>
      </c>
      <c r="T218" s="13">
        <f t="shared" si="28"/>
        <v>3.5404274731417147E-3</v>
      </c>
      <c r="U218" s="13">
        <f t="shared" si="28"/>
        <v>1.3733323375509233E-3</v>
      </c>
      <c r="V218" s="13"/>
      <c r="W218" s="13">
        <f>+B218/MAX(B$2:B218)-1</f>
        <v>-1.5784377465625332E-2</v>
      </c>
      <c r="X218" s="13">
        <f>+C218/MAX(C$2:C218)-1</f>
        <v>0</v>
      </c>
      <c r="Y218" s="13">
        <f>+D218/MAX(D$2:D218)-1</f>
        <v>-3.593925987497959E-2</v>
      </c>
      <c r="Z218" s="13">
        <f>+E218/MAX(E$2:E218)-1</f>
        <v>0</v>
      </c>
      <c r="AA218" s="13">
        <f>+F218/MAX(F$2:F218)-1</f>
        <v>-1.663923834934411E-3</v>
      </c>
      <c r="AB218" s="52"/>
      <c r="AC218" s="13" t="str">
        <f t="shared" si="24"/>
        <v/>
      </c>
      <c r="AD218" s="13" t="str">
        <f t="shared" si="24"/>
        <v/>
      </c>
      <c r="AE218" s="13" t="str">
        <f t="shared" si="24"/>
        <v/>
      </c>
      <c r="AF218" s="13" t="str">
        <f t="shared" si="24"/>
        <v/>
      </c>
      <c r="AG218" s="13" t="str">
        <f t="shared" si="24"/>
        <v/>
      </c>
      <c r="AH218" s="52"/>
      <c r="AP218" s="38"/>
    </row>
    <row r="219" spans="1:42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25"/>
        <v>1.9784600378991435E-4</v>
      </c>
      <c r="J219" s="6">
        <f t="shared" si="26"/>
        <v>3.9780687953256729E-3</v>
      </c>
      <c r="K219" s="6">
        <f t="shared" si="26"/>
        <v>-2.1882315189594016E-3</v>
      </c>
      <c r="L219" s="6">
        <f t="shared" si="26"/>
        <v>8.7746980951394233E-3</v>
      </c>
      <c r="M219" s="6">
        <f t="shared" si="26"/>
        <v>-5.3329250387106324E-4</v>
      </c>
      <c r="N219" s="6">
        <f t="shared" si="26"/>
        <v>9.068706560974762E-4</v>
      </c>
      <c r="O219" s="6">
        <f t="shared" si="27"/>
        <v>0</v>
      </c>
      <c r="P219" s="6"/>
      <c r="Q219" s="13">
        <f t="shared" si="28"/>
        <v>3.7802227915357586E-3</v>
      </c>
      <c r="R219" s="13">
        <f t="shared" si="28"/>
        <v>-2.386077522749316E-3</v>
      </c>
      <c r="S219" s="13">
        <f t="shared" si="28"/>
        <v>8.5768520913495089E-3</v>
      </c>
      <c r="T219" s="13">
        <f t="shared" si="28"/>
        <v>-7.3113850766097759E-4</v>
      </c>
      <c r="U219" s="13">
        <f t="shared" si="28"/>
        <v>7.0902465230756185E-4</v>
      </c>
      <c r="V219" s="13"/>
      <c r="W219" s="13">
        <f>+B219/MAX(B$2:B219)-1</f>
        <v>-1.1861302051370259E-2</v>
      </c>
      <c r="X219" s="13">
        <f>+C219/MAX(C$2:C219)-1</f>
        <v>-2.1858390857532051E-3</v>
      </c>
      <c r="Y219" s="13">
        <f>+D219/MAX(D$2:D219)-1</f>
        <v>-2.7442695055683752E-2</v>
      </c>
      <c r="Z219" s="13">
        <f>+E219/MAX(E$2:E219)-1</f>
        <v>-5.331503286984951E-4</v>
      </c>
      <c r="AA219" s="13">
        <f>+F219/MAX(F$2:F219)-1</f>
        <v>-7.5815149543556615E-4</v>
      </c>
      <c r="AB219" s="52"/>
      <c r="AC219" s="13" t="str">
        <f t="shared" si="24"/>
        <v/>
      </c>
      <c r="AD219" s="13">
        <f t="shared" si="24"/>
        <v>-2.1882315189594016E-3</v>
      </c>
      <c r="AE219" s="13" t="str">
        <f t="shared" si="24"/>
        <v/>
      </c>
      <c r="AF219" s="13">
        <f t="shared" si="24"/>
        <v>-5.3329250387106324E-4</v>
      </c>
      <c r="AG219" s="13" t="str">
        <f t="shared" si="24"/>
        <v/>
      </c>
      <c r="AH219" s="52"/>
      <c r="AP219" s="38"/>
    </row>
    <row r="220" spans="1:42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25"/>
        <v>1.9936881070892198E-4</v>
      </c>
      <c r="J220" s="6">
        <f t="shared" si="26"/>
        <v>-1.6387734624486144E-2</v>
      </c>
      <c r="K220" s="6">
        <f t="shared" si="26"/>
        <v>-4.0764872369371159E-3</v>
      </c>
      <c r="L220" s="6">
        <f t="shared" si="26"/>
        <v>1.5395245178859948E-2</v>
      </c>
      <c r="M220" s="6">
        <f t="shared" si="26"/>
        <v>1.901802869604308E-2</v>
      </c>
      <c r="N220" s="6">
        <f t="shared" si="26"/>
        <v>-4.0919885121458088E-3</v>
      </c>
      <c r="O220" s="6">
        <f t="shared" si="27"/>
        <v>7.6674601444540157E-3</v>
      </c>
      <c r="P220" s="6"/>
      <c r="Q220" s="13">
        <f t="shared" si="28"/>
        <v>-1.6587103435195066E-2</v>
      </c>
      <c r="R220" s="13">
        <f t="shared" si="28"/>
        <v>-4.2758560476460379E-3</v>
      </c>
      <c r="S220" s="13">
        <f t="shared" si="28"/>
        <v>1.5195876368151026E-2</v>
      </c>
      <c r="T220" s="13">
        <f t="shared" si="28"/>
        <v>1.8818659885334158E-2</v>
      </c>
      <c r="U220" s="13">
        <f t="shared" si="28"/>
        <v>-4.2913573228547308E-3</v>
      </c>
      <c r="V220" s="13"/>
      <c r="W220" s="13">
        <f>+B220/MAX(B$2:B220)-1</f>
        <v>-2.7922692454300457E-2</v>
      </c>
      <c r="X220" s="13">
        <f>+C220/MAX(C$2:C220)-1</f>
        <v>-6.2451363195096254E-3</v>
      </c>
      <c r="Y220" s="13">
        <f>+D220/MAX(D$2:D220)-1</f>
        <v>-1.2354088512877559E-2</v>
      </c>
      <c r="Z220" s="13">
        <f>+E220/MAX(E$2:E220)-1</f>
        <v>0</v>
      </c>
      <c r="AA220" s="13">
        <f>+F220/MAX(F$2:F220)-1</f>
        <v>-4.8386832220710385E-3</v>
      </c>
      <c r="AB220" s="52"/>
      <c r="AC220" s="13">
        <f t="shared" ref="AC220:AG254" si="29">+IF(J220&lt;$O220,J220-$O220,"")</f>
        <v>-2.405519476894016E-2</v>
      </c>
      <c r="AD220" s="13">
        <f t="shared" si="29"/>
        <v>-1.1743947381391132E-2</v>
      </c>
      <c r="AE220" s="13" t="str">
        <f t="shared" si="29"/>
        <v/>
      </c>
      <c r="AF220" s="13" t="str">
        <f t="shared" si="29"/>
        <v/>
      </c>
      <c r="AG220" s="13">
        <f t="shared" si="29"/>
        <v>-1.1759448656599825E-2</v>
      </c>
      <c r="AH220" s="52"/>
      <c r="AP220" s="38"/>
    </row>
    <row r="221" spans="1:42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25"/>
        <v>1.9860747941202739E-4</v>
      </c>
      <c r="J221" s="6">
        <f t="shared" si="26"/>
        <v>2.8689111628198698E-2</v>
      </c>
      <c r="K221" s="6">
        <f t="shared" si="26"/>
        <v>-5.8300487686362692E-3</v>
      </c>
      <c r="L221" s="6">
        <f t="shared" si="26"/>
        <v>1.5648710168294964E-2</v>
      </c>
      <c r="M221" s="6">
        <f t="shared" si="26"/>
        <v>-6.8259836239331134E-3</v>
      </c>
      <c r="N221" s="6">
        <f t="shared" si="26"/>
        <v>2.6720159429360979E-3</v>
      </c>
      <c r="O221" s="6">
        <f t="shared" si="27"/>
        <v>-3.8260180041707849E-3</v>
      </c>
      <c r="P221" s="6"/>
      <c r="Q221" s="13">
        <f t="shared" si="28"/>
        <v>2.849050414878667E-2</v>
      </c>
      <c r="R221" s="13">
        <f t="shared" si="28"/>
        <v>-6.0286562480482966E-3</v>
      </c>
      <c r="S221" s="13">
        <f t="shared" si="28"/>
        <v>1.5450102688882937E-2</v>
      </c>
      <c r="T221" s="13">
        <f t="shared" si="28"/>
        <v>-7.0245911033451408E-3</v>
      </c>
      <c r="U221" s="13">
        <f t="shared" si="28"/>
        <v>2.4734084635240705E-3</v>
      </c>
      <c r="V221" s="13"/>
      <c r="W221" s="13">
        <f>+B221/MAX(B$2:B221)-1</f>
        <v>0</v>
      </c>
      <c r="X221" s="13">
        <f>+C221/MAX(C$2:C221)-1</f>
        <v>-1.2021919811619819E-2</v>
      </c>
      <c r="Y221" s="13">
        <f>+D221/MAX(D$2:D221)-1</f>
        <v>0</v>
      </c>
      <c r="Z221" s="13">
        <f>+E221/MAX(E$2:E221)-1</f>
        <v>-6.8027395157539416E-3</v>
      </c>
      <c r="AA221" s="13">
        <f>+F221/MAX(F$2:F221)-1</f>
        <v>-2.1760405902646607E-3</v>
      </c>
      <c r="AB221" s="52"/>
      <c r="AC221" s="13" t="str">
        <f t="shared" si="29"/>
        <v/>
      </c>
      <c r="AD221" s="13">
        <f t="shared" si="29"/>
        <v>-2.0040307644654844E-3</v>
      </c>
      <c r="AE221" s="13" t="str">
        <f t="shared" si="29"/>
        <v/>
      </c>
      <c r="AF221" s="13">
        <f t="shared" si="29"/>
        <v>-2.9999656197623285E-3</v>
      </c>
      <c r="AG221" s="13" t="str">
        <f t="shared" si="29"/>
        <v/>
      </c>
      <c r="AH221" s="52"/>
      <c r="AP221" s="38"/>
    </row>
    <row r="222" spans="1:42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25"/>
        <v>1.9860747941202739E-4</v>
      </c>
      <c r="J222" s="6">
        <f t="shared" si="26"/>
        <v>1.6109449297697549E-2</v>
      </c>
      <c r="K222" s="6">
        <f t="shared" si="26"/>
        <v>-2.0564271894918324E-3</v>
      </c>
      <c r="L222" s="6">
        <f t="shared" si="26"/>
        <v>1.6317826996333985E-2</v>
      </c>
      <c r="M222" s="6">
        <f t="shared" si="26"/>
        <v>-8.4656033871456007E-3</v>
      </c>
      <c r="N222" s="6">
        <f t="shared" si="26"/>
        <v>6.1762197767835335E-3</v>
      </c>
      <c r="O222" s="6">
        <f t="shared" si="27"/>
        <v>0</v>
      </c>
      <c r="P222" s="6"/>
      <c r="Q222" s="13">
        <f t="shared" si="28"/>
        <v>1.5910841818285521E-2</v>
      </c>
      <c r="R222" s="13">
        <f t="shared" si="28"/>
        <v>-2.2550346689038598E-3</v>
      </c>
      <c r="S222" s="13">
        <f t="shared" si="28"/>
        <v>1.6119219516921957E-2</v>
      </c>
      <c r="T222" s="13">
        <f t="shared" si="28"/>
        <v>-8.6642108665576281E-3</v>
      </c>
      <c r="U222" s="13">
        <f t="shared" si="28"/>
        <v>5.9776122973715061E-3</v>
      </c>
      <c r="V222" s="13"/>
      <c r="W222" s="13">
        <f>+B222/MAX(B$2:B222)-1</f>
        <v>0</v>
      </c>
      <c r="X222" s="13">
        <f>+C222/MAX(C$2:C222)-1</f>
        <v>-1.4051537202894426E-2</v>
      </c>
      <c r="Y222" s="13">
        <f>+D222/MAX(D$2:D222)-1</f>
        <v>0</v>
      </c>
      <c r="Z222" s="13">
        <f>+E222/MAX(E$2:E222)-1</f>
        <v>-1.5175264368475383E-2</v>
      </c>
      <c r="AA222" s="13">
        <f>+F222/MAX(F$2:F222)-1</f>
        <v>0</v>
      </c>
      <c r="AB222" s="52"/>
      <c r="AC222" s="13" t="str">
        <f t="shared" si="29"/>
        <v/>
      </c>
      <c r="AD222" s="13">
        <f t="shared" si="29"/>
        <v>-2.0564271894918324E-3</v>
      </c>
      <c r="AE222" s="13" t="str">
        <f t="shared" si="29"/>
        <v/>
      </c>
      <c r="AF222" s="13">
        <f t="shared" si="29"/>
        <v>-8.4656033871456007E-3</v>
      </c>
      <c r="AG222" s="13" t="str">
        <f t="shared" si="29"/>
        <v/>
      </c>
      <c r="AH222" s="52"/>
      <c r="AP222" s="38"/>
    </row>
    <row r="223" spans="1:42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25"/>
        <v>1.9898816309771306E-4</v>
      </c>
      <c r="J223" s="6">
        <f t="shared" si="26"/>
        <v>5.7942259479230023E-3</v>
      </c>
      <c r="K223" s="6">
        <f t="shared" si="26"/>
        <v>2.8463016418229037E-3</v>
      </c>
      <c r="L223" s="6">
        <f t="shared" si="26"/>
        <v>-6.7059033946733737E-4</v>
      </c>
      <c r="M223" s="6">
        <f t="shared" si="26"/>
        <v>-7.466713020734231E-3</v>
      </c>
      <c r="N223" s="6">
        <f t="shared" si="26"/>
        <v>5.0715161981972666E-3</v>
      </c>
      <c r="O223" s="6">
        <f t="shared" si="27"/>
        <v>1.9149294474749643E-3</v>
      </c>
      <c r="P223" s="6"/>
      <c r="Q223" s="13">
        <f t="shared" si="28"/>
        <v>5.5952377848252893E-3</v>
      </c>
      <c r="R223" s="13">
        <f t="shared" si="28"/>
        <v>2.6473134787251907E-3</v>
      </c>
      <c r="S223" s="13">
        <f t="shared" si="28"/>
        <v>-8.6957850256505042E-4</v>
      </c>
      <c r="T223" s="13">
        <f t="shared" si="28"/>
        <v>-7.6657011838319441E-3</v>
      </c>
      <c r="U223" s="13">
        <f t="shared" si="28"/>
        <v>4.8725280350995536E-3</v>
      </c>
      <c r="V223" s="13"/>
      <c r="W223" s="13">
        <f>+B223/MAX(B$2:B223)-1</f>
        <v>0</v>
      </c>
      <c r="X223" s="13">
        <f>+C223/MAX(C$2:C223)-1</f>
        <v>-1.1241232884875996E-2</v>
      </c>
      <c r="Y223" s="13">
        <f>+D223/MAX(D$2:D223)-1</f>
        <v>-6.7036554401700421E-4</v>
      </c>
      <c r="Z223" s="13">
        <f>+E223/MAX(E$2:E223)-1</f>
        <v>-2.2501283367897251E-2</v>
      </c>
      <c r="AA223" s="13">
        <f>+F223/MAX(F$2:F223)-1</f>
        <v>0</v>
      </c>
      <c r="AB223" s="52"/>
      <c r="AC223" s="13" t="str">
        <f t="shared" si="29"/>
        <v/>
      </c>
      <c r="AD223" s="13" t="str">
        <f t="shared" si="29"/>
        <v/>
      </c>
      <c r="AE223" s="13">
        <f t="shared" si="29"/>
        <v>-2.5855197869423018E-3</v>
      </c>
      <c r="AF223" s="13">
        <f t="shared" si="29"/>
        <v>-9.3816424682091962E-3</v>
      </c>
      <c r="AG223" s="13" t="str">
        <f t="shared" si="29"/>
        <v/>
      </c>
      <c r="AH223" s="52"/>
      <c r="AP223" s="38"/>
    </row>
    <row r="224" spans="1:42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25"/>
        <v>1.9898816309771306E-4</v>
      </c>
      <c r="J224" s="6">
        <f t="shared" si="26"/>
        <v>2.1389960415288217E-2</v>
      </c>
      <c r="K224" s="6">
        <f t="shared" si="26"/>
        <v>6.7668210053826762E-3</v>
      </c>
      <c r="L224" s="6">
        <f t="shared" si="26"/>
        <v>-1.3339105875401823E-2</v>
      </c>
      <c r="M224" s="6">
        <f t="shared" si="26"/>
        <v>4.8064098657813409E-3</v>
      </c>
      <c r="N224" s="6">
        <f t="shared" si="26"/>
        <v>5.4339884131971751E-3</v>
      </c>
      <c r="O224" s="6">
        <f t="shared" si="27"/>
        <v>0</v>
      </c>
      <c r="P224" s="6"/>
      <c r="Q224" s="13">
        <f t="shared" si="28"/>
        <v>2.1190972252190503E-2</v>
      </c>
      <c r="R224" s="13">
        <f t="shared" si="28"/>
        <v>6.5678328422849631E-3</v>
      </c>
      <c r="S224" s="13">
        <f t="shared" si="28"/>
        <v>-1.3538094038499536E-2</v>
      </c>
      <c r="T224" s="13">
        <f t="shared" si="28"/>
        <v>4.6074217026836279E-3</v>
      </c>
      <c r="U224" s="13">
        <f t="shared" si="28"/>
        <v>5.235000250099462E-3</v>
      </c>
      <c r="V224" s="13"/>
      <c r="W224" s="13">
        <f>+B224/MAX(B$2:B224)-1</f>
        <v>0</v>
      </c>
      <c r="X224" s="13">
        <f>+C224/MAX(C$2:C224)-1</f>
        <v>-4.5277905763720927E-3</v>
      </c>
      <c r="Y224" s="13">
        <f>+D224/MAX(D$2:D224)-1</f>
        <v>-1.3912017104454666E-2</v>
      </c>
      <c r="Z224" s="13">
        <f>+E224/MAX(E$2:E224)-1</f>
        <v>-1.7791714900850519E-2</v>
      </c>
      <c r="AA224" s="13">
        <f>+F224/MAX(F$2:F224)-1</f>
        <v>0</v>
      </c>
      <c r="AB224" s="52"/>
      <c r="AC224" s="13" t="str">
        <f t="shared" si="29"/>
        <v/>
      </c>
      <c r="AD224" s="13" t="str">
        <f t="shared" si="29"/>
        <v/>
      </c>
      <c r="AE224" s="13">
        <f t="shared" si="29"/>
        <v>-1.3339105875401823E-2</v>
      </c>
      <c r="AF224" s="13" t="str">
        <f t="shared" si="29"/>
        <v/>
      </c>
      <c r="AG224" s="13" t="str">
        <f t="shared" si="29"/>
        <v/>
      </c>
      <c r="AH224" s="52"/>
      <c r="AP224" s="38"/>
    </row>
    <row r="225" spans="1:42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25"/>
        <v>1.9898816309771306E-4</v>
      </c>
      <c r="J225" s="6">
        <f t="shared" si="26"/>
        <v>6.5176077697273217E-3</v>
      </c>
      <c r="K225" s="6">
        <f t="shared" si="26"/>
        <v>-1.2626414888283227E-2</v>
      </c>
      <c r="L225" s="6">
        <f t="shared" si="26"/>
        <v>1.8538643632364745E-3</v>
      </c>
      <c r="M225" s="6">
        <f t="shared" si="26"/>
        <v>2.1287652308458159E-3</v>
      </c>
      <c r="N225" s="6">
        <f t="shared" si="26"/>
        <v>1.0161544279964853E-3</v>
      </c>
      <c r="O225" s="6">
        <f t="shared" si="27"/>
        <v>0</v>
      </c>
      <c r="P225" s="6"/>
      <c r="Q225" s="13">
        <f t="shared" si="28"/>
        <v>6.3186196066296087E-3</v>
      </c>
      <c r="R225" s="13">
        <f t="shared" si="28"/>
        <v>-1.282540305138094E-2</v>
      </c>
      <c r="S225" s="13">
        <f t="shared" si="28"/>
        <v>1.6548762001387615E-3</v>
      </c>
      <c r="T225" s="13">
        <f t="shared" si="28"/>
        <v>1.9297770677481028E-3</v>
      </c>
      <c r="U225" s="13">
        <f t="shared" si="28"/>
        <v>8.1716626489877222E-4</v>
      </c>
      <c r="V225" s="13"/>
      <c r="W225" s="13">
        <f>+B225/MAX(B$2:B225)-1</f>
        <v>0</v>
      </c>
      <c r="X225" s="13">
        <f>+C225/MAX(C$2:C225)-1</f>
        <v>-1.7018016376985967E-2</v>
      </c>
      <c r="Y225" s="13">
        <f>+D225/MAX(D$2:D225)-1</f>
        <v>-1.2082248186301547E-2</v>
      </c>
      <c r="Z225" s="13">
        <f>+E225/MAX(E$2:E225)-1</f>
        <v>-1.5698596966179257E-2</v>
      </c>
      <c r="AA225" s="13">
        <f>+F225/MAX(F$2:F225)-1</f>
        <v>0</v>
      </c>
      <c r="AB225" s="52"/>
      <c r="AC225" s="13" t="str">
        <f t="shared" si="29"/>
        <v/>
      </c>
      <c r="AD225" s="13">
        <f t="shared" si="29"/>
        <v>-1.2626414888283227E-2</v>
      </c>
      <c r="AE225" s="13" t="str">
        <f t="shared" si="29"/>
        <v/>
      </c>
      <c r="AF225" s="13" t="str">
        <f t="shared" si="29"/>
        <v/>
      </c>
      <c r="AG225" s="13" t="str">
        <f t="shared" si="29"/>
        <v/>
      </c>
      <c r="AH225" s="52"/>
      <c r="AP225" s="38"/>
    </row>
    <row r="226" spans="1:42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25"/>
        <v>1.9898816309771306E-4</v>
      </c>
      <c r="J226" s="6">
        <f t="shared" si="26"/>
        <v>3.7677515857849927E-3</v>
      </c>
      <c r="K226" s="6">
        <f t="shared" si="26"/>
        <v>-4.2976588916777241E-3</v>
      </c>
      <c r="L226" s="6">
        <f t="shared" si="26"/>
        <v>1.1918779573079451E-2</v>
      </c>
      <c r="M226" s="6">
        <f t="shared" si="26"/>
        <v>-5.3176661708070883E-4</v>
      </c>
      <c r="N226" s="6">
        <f t="shared" si="26"/>
        <v>7.4081850375864739E-4</v>
      </c>
      <c r="O226" s="6">
        <f t="shared" si="27"/>
        <v>0</v>
      </c>
      <c r="P226" s="6"/>
      <c r="Q226" s="13">
        <f t="shared" si="28"/>
        <v>3.5687634226872797E-3</v>
      </c>
      <c r="R226" s="13">
        <f t="shared" si="28"/>
        <v>-4.4966470547754371E-3</v>
      </c>
      <c r="S226" s="13">
        <f t="shared" si="28"/>
        <v>1.1719791409981738E-2</v>
      </c>
      <c r="T226" s="13">
        <f t="shared" si="28"/>
        <v>-7.3075478017842188E-4</v>
      </c>
      <c r="U226" s="13">
        <f t="shared" si="28"/>
        <v>5.4183034066093434E-4</v>
      </c>
      <c r="V226" s="13"/>
      <c r="W226" s="13">
        <f>+B226/MAX(B$2:B226)-1</f>
        <v>0</v>
      </c>
      <c r="X226" s="13">
        <f>+C226/MAX(C$2:C226)-1</f>
        <v>-2.123347285401378E-2</v>
      </c>
      <c r="Y226" s="13">
        <f>+D226/MAX(D$2:D226)-1</f>
        <v>-2.370241838819398E-4</v>
      </c>
      <c r="Z226" s="13">
        <f>+E226/MAX(E$2:E226)-1</f>
        <v>-1.6221876449847072E-2</v>
      </c>
      <c r="AA226" s="13">
        <f>+F226/MAX(F$2:F226)-1</f>
        <v>0</v>
      </c>
      <c r="AB226" s="52"/>
      <c r="AC226" s="13" t="str">
        <f t="shared" si="29"/>
        <v/>
      </c>
      <c r="AD226" s="13">
        <f t="shared" si="29"/>
        <v>-4.2976588916777241E-3</v>
      </c>
      <c r="AE226" s="13" t="str">
        <f t="shared" si="29"/>
        <v/>
      </c>
      <c r="AF226" s="13">
        <f t="shared" si="29"/>
        <v>-5.3176661708070883E-4</v>
      </c>
      <c r="AG226" s="13" t="str">
        <f t="shared" si="29"/>
        <v/>
      </c>
      <c r="AH226" s="52"/>
      <c r="AP226" s="38"/>
    </row>
    <row r="227" spans="1:42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25"/>
        <v>2.0012999773522111E-4</v>
      </c>
      <c r="J227" s="6">
        <f t="shared" ref="J227:N254" si="30">LN(B227/B226)</f>
        <v>1.8628964806476703E-2</v>
      </c>
      <c r="K227" s="6">
        <f t="shared" si="30"/>
        <v>2.2307689124128954E-3</v>
      </c>
      <c r="L227" s="6">
        <f t="shared" si="30"/>
        <v>8.1841949890559102E-4</v>
      </c>
      <c r="M227" s="6">
        <f t="shared" si="30"/>
        <v>1.1701116052050159E-2</v>
      </c>
      <c r="N227" s="6">
        <f t="shared" si="30"/>
        <v>1.0156283642139425E-2</v>
      </c>
      <c r="O227" s="6">
        <f t="shared" si="27"/>
        <v>5.7218030386620624E-3</v>
      </c>
      <c r="P227" s="6"/>
      <c r="Q227" s="13">
        <f t="shared" si="28"/>
        <v>1.8428834808741482E-2</v>
      </c>
      <c r="R227" s="13">
        <f t="shared" si="28"/>
        <v>2.0306389146776743E-3</v>
      </c>
      <c r="S227" s="13">
        <f t="shared" si="28"/>
        <v>6.1828950117036991E-4</v>
      </c>
      <c r="T227" s="13">
        <f t="shared" si="28"/>
        <v>1.1500986054314937E-2</v>
      </c>
      <c r="U227" s="13">
        <f t="shared" si="28"/>
        <v>9.9561536444042042E-3</v>
      </c>
      <c r="V227" s="13"/>
      <c r="W227" s="13">
        <f>+B227/MAX(B$2:B227)-1</f>
        <v>0</v>
      </c>
      <c r="X227" s="13">
        <f>+C227/MAX(C$2:C227)-1</f>
        <v>-1.9047633768260797E-2</v>
      </c>
      <c r="Y227" s="13">
        <f>+D227/MAX(D$2:D227)-1</f>
        <v>0</v>
      </c>
      <c r="Z227" s="13">
        <f>+E227/MAX(E$2:E227)-1</f>
        <v>-4.6429634657758623E-3</v>
      </c>
      <c r="AA227" s="13">
        <f>+F227/MAX(F$2:F227)-1</f>
        <v>0</v>
      </c>
      <c r="AB227" s="52"/>
      <c r="AC227" s="13" t="str">
        <f t="shared" si="29"/>
        <v/>
      </c>
      <c r="AD227" s="13">
        <f t="shared" si="29"/>
        <v>-3.491034126249167E-3</v>
      </c>
      <c r="AE227" s="13">
        <f t="shared" si="29"/>
        <v>-4.9033835397564712E-3</v>
      </c>
      <c r="AF227" s="13" t="str">
        <f t="shared" si="29"/>
        <v/>
      </c>
      <c r="AG227" s="13" t="str">
        <f t="shared" si="29"/>
        <v/>
      </c>
      <c r="AH227" s="52"/>
      <c r="AP227" s="38"/>
    </row>
    <row r="228" spans="1:42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25"/>
        <v>1.9898816309771306E-4</v>
      </c>
      <c r="J228" s="6">
        <f t="shared" si="30"/>
        <v>-2.3494672238777499E-2</v>
      </c>
      <c r="K228" s="6">
        <f t="shared" si="30"/>
        <v>4.2880396046633875E-3</v>
      </c>
      <c r="L228" s="6">
        <f t="shared" si="30"/>
        <v>-1.6857607845247413E-3</v>
      </c>
      <c r="M228" s="6">
        <f t="shared" si="30"/>
        <v>6.3830534173032645E-3</v>
      </c>
      <c r="N228" s="6">
        <f t="shared" si="30"/>
        <v>-8.8016292301766504E-3</v>
      </c>
      <c r="O228" s="6">
        <f t="shared" si="27"/>
        <v>-5.7218030386620858E-3</v>
      </c>
      <c r="P228" s="6"/>
      <c r="Q228" s="13">
        <f t="shared" si="28"/>
        <v>-2.3693660401875212E-2</v>
      </c>
      <c r="R228" s="13">
        <f t="shared" si="28"/>
        <v>4.0890514415656744E-3</v>
      </c>
      <c r="S228" s="13">
        <f t="shared" si="28"/>
        <v>-1.8847489476224544E-3</v>
      </c>
      <c r="T228" s="13">
        <f t="shared" si="28"/>
        <v>6.1840652542055514E-3</v>
      </c>
      <c r="U228" s="13">
        <f t="shared" si="28"/>
        <v>-9.0006173932743634E-3</v>
      </c>
      <c r="V228" s="13"/>
      <c r="W228" s="13">
        <f>+B228/MAX(B$2:B228)-1</f>
        <v>-2.3220821298787886E-2</v>
      </c>
      <c r="X228" s="13">
        <f>+C228/MAX(C$2:C228)-1</f>
        <v>-1.4832239742440079E-2</v>
      </c>
      <c r="Y228" s="13">
        <f>+D228/MAX(D$2:D228)-1</f>
        <v>-1.6843406879065714E-3</v>
      </c>
      <c r="Z228" s="13">
        <f>+E228/MAX(E$2:E228)-1</f>
        <v>0</v>
      </c>
      <c r="AA228" s="13">
        <f>+F228/MAX(F$2:F228)-1</f>
        <v>-8.763008283767415E-3</v>
      </c>
      <c r="AB228" s="52"/>
      <c r="AC228" s="13">
        <f t="shared" si="29"/>
        <v>-1.7772869200115414E-2</v>
      </c>
      <c r="AD228" s="13" t="str">
        <f t="shared" si="29"/>
        <v/>
      </c>
      <c r="AE228" s="13" t="str">
        <f t="shared" si="29"/>
        <v/>
      </c>
      <c r="AF228" s="13" t="str">
        <f t="shared" si="29"/>
        <v/>
      </c>
      <c r="AG228" s="13">
        <f t="shared" si="29"/>
        <v>-3.0798261915145645E-3</v>
      </c>
      <c r="AH228" s="52"/>
      <c r="AP228" s="38"/>
    </row>
    <row r="229" spans="1:42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25"/>
        <v>1.9860747941202739E-4</v>
      </c>
      <c r="J229" s="6">
        <f t="shared" si="30"/>
        <v>1.2966442042243119E-2</v>
      </c>
      <c r="K229" s="6">
        <f t="shared" si="30"/>
        <v>9.4638404252588466E-3</v>
      </c>
      <c r="L229" s="6">
        <f t="shared" si="30"/>
        <v>-1.2173069187035165E-2</v>
      </c>
      <c r="M229" s="6">
        <f t="shared" si="30"/>
        <v>-2.6547400778527642E-3</v>
      </c>
      <c r="N229" s="6">
        <f t="shared" si="30"/>
        <v>5.5018536287759819E-3</v>
      </c>
      <c r="O229" s="6">
        <f t="shared" si="27"/>
        <v>-1.9149294474749528E-3</v>
      </c>
      <c r="P229" s="6"/>
      <c r="Q229" s="13">
        <f t="shared" si="28"/>
        <v>1.2767834562831091E-2</v>
      </c>
      <c r="R229" s="13">
        <f t="shared" si="28"/>
        <v>9.2652329458468193E-3</v>
      </c>
      <c r="S229" s="13">
        <f t="shared" si="28"/>
        <v>-1.2371676666447192E-2</v>
      </c>
      <c r="T229" s="13">
        <f t="shared" si="28"/>
        <v>-2.8533475572647916E-3</v>
      </c>
      <c r="U229" s="13">
        <f t="shared" si="28"/>
        <v>5.3032461493639545E-3</v>
      </c>
      <c r="V229" s="13"/>
      <c r="W229" s="13">
        <f>+B229/MAX(B$2:B229)-1</f>
        <v>-1.047300236802251E-2</v>
      </c>
      <c r="X229" s="13">
        <f>+C229/MAX(C$2:C229)-1</f>
        <v>-5.4645118439730078E-3</v>
      </c>
      <c r="Y229" s="13">
        <f>+D229/MAX(D$2:D229)-1</f>
        <v>-1.3763238492349839E-2</v>
      </c>
      <c r="Z229" s="13">
        <f>+E229/MAX(E$2:E229)-1</f>
        <v>-2.6512193716213828E-3</v>
      </c>
      <c r="AA229" s="13">
        <f>+F229/MAX(F$2:F229)-1</f>
        <v>-3.2943373252323216E-3</v>
      </c>
      <c r="AB229" s="52"/>
      <c r="AC229" s="13" t="str">
        <f t="shared" si="29"/>
        <v/>
      </c>
      <c r="AD229" s="13" t="str">
        <f t="shared" si="29"/>
        <v/>
      </c>
      <c r="AE229" s="13">
        <f t="shared" si="29"/>
        <v>-1.0258139739560213E-2</v>
      </c>
      <c r="AF229" s="13">
        <f t="shared" si="29"/>
        <v>-7.398106303778114E-4</v>
      </c>
      <c r="AG229" s="13" t="str">
        <f t="shared" si="29"/>
        <v/>
      </c>
      <c r="AH229" s="52"/>
      <c r="AP229" s="38"/>
    </row>
    <row r="230" spans="1:42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25"/>
        <v>1.9898816309771306E-4</v>
      </c>
      <c r="J230" s="6">
        <f t="shared" si="30"/>
        <v>1.6604708169325119E-2</v>
      </c>
      <c r="K230" s="6">
        <f t="shared" si="30"/>
        <v>-4.563000564764429E-3</v>
      </c>
      <c r="L230" s="6">
        <f t="shared" si="30"/>
        <v>2.4628348767179134E-2</v>
      </c>
      <c r="M230" s="6">
        <f t="shared" si="30"/>
        <v>-1.2302856764034255E-2</v>
      </c>
      <c r="N230" s="6">
        <f t="shared" si="30"/>
        <v>2.822195662042845E-3</v>
      </c>
      <c r="O230" s="6">
        <f t="shared" si="27"/>
        <v>1.9149294474749643E-3</v>
      </c>
      <c r="P230" s="6"/>
      <c r="Q230" s="13">
        <f t="shared" si="28"/>
        <v>1.6405720006227406E-2</v>
      </c>
      <c r="R230" s="13">
        <f t="shared" si="28"/>
        <v>-4.7619887278621421E-3</v>
      </c>
      <c r="S230" s="13">
        <f t="shared" si="28"/>
        <v>2.4429360604081421E-2</v>
      </c>
      <c r="T230" s="13">
        <f t="shared" si="28"/>
        <v>-1.2501844927131968E-2</v>
      </c>
      <c r="U230" s="13">
        <f t="shared" si="28"/>
        <v>2.623207498945132E-3</v>
      </c>
      <c r="V230" s="13"/>
      <c r="W230" s="13">
        <f>+B230/MAX(B$2:B230)-1</f>
        <v>0</v>
      </c>
      <c r="X230" s="13">
        <f>+C230/MAX(C$2:C230)-1</f>
        <v>-9.9922399691380059E-3</v>
      </c>
      <c r="Y230" s="13">
        <f>+D230/MAX(D$2:D230)-1</f>
        <v>0</v>
      </c>
      <c r="Z230" s="13">
        <f>+E230/MAX(E$2:E230)-1</f>
        <v>-1.4846287653961565E-2</v>
      </c>
      <c r="AA230" s="13">
        <f>+F230/MAX(F$2:F230)-1</f>
        <v>-4.7746591621089518E-4</v>
      </c>
      <c r="AB230" s="52"/>
      <c r="AC230" s="13" t="str">
        <f t="shared" si="29"/>
        <v/>
      </c>
      <c r="AD230" s="13">
        <f t="shared" si="29"/>
        <v>-6.4779300122393933E-3</v>
      </c>
      <c r="AE230" s="13" t="str">
        <f t="shared" si="29"/>
        <v/>
      </c>
      <c r="AF230" s="13">
        <f t="shared" si="29"/>
        <v>-1.4217786211509219E-2</v>
      </c>
      <c r="AG230" s="13" t="str">
        <f t="shared" si="29"/>
        <v/>
      </c>
      <c r="AH230" s="52"/>
      <c r="AP230" s="38"/>
    </row>
    <row r="231" spans="1:42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25"/>
        <v>1.9784600378991435E-4</v>
      </c>
      <c r="J231" s="6">
        <f t="shared" si="30"/>
        <v>1.7902506232981147E-3</v>
      </c>
      <c r="K231" s="6">
        <f t="shared" si="30"/>
        <v>1.3471334993176645E-2</v>
      </c>
      <c r="L231" s="6">
        <f t="shared" si="30"/>
        <v>1.6853100357796223E-2</v>
      </c>
      <c r="M231" s="6">
        <f t="shared" si="30"/>
        <v>1.4427180508327499E-2</v>
      </c>
      <c r="N231" s="6">
        <f t="shared" si="30"/>
        <v>6.3690536600414091E-3</v>
      </c>
      <c r="O231" s="6">
        <f t="shared" si="27"/>
        <v>-5.7563715877582003E-3</v>
      </c>
      <c r="P231" s="6"/>
      <c r="Q231" s="13">
        <f t="shared" si="28"/>
        <v>1.5924046195082003E-3</v>
      </c>
      <c r="R231" s="13">
        <f t="shared" si="28"/>
        <v>1.327348898938673E-2</v>
      </c>
      <c r="S231" s="13">
        <f t="shared" si="28"/>
        <v>1.6655254354006308E-2</v>
      </c>
      <c r="T231" s="13">
        <f t="shared" si="28"/>
        <v>1.4229334504537585E-2</v>
      </c>
      <c r="U231" s="13">
        <f t="shared" si="28"/>
        <v>6.1712076562514947E-3</v>
      </c>
      <c r="V231" s="13"/>
      <c r="W231" s="13">
        <f>+B231/MAX(B$2:B231)-1</f>
        <v>0</v>
      </c>
      <c r="X231" s="13">
        <f>+C231/MAX(C$2:C231)-1</f>
        <v>0</v>
      </c>
      <c r="Y231" s="13">
        <f>+D231/MAX(D$2:D231)-1</f>
        <v>0</v>
      </c>
      <c r="Z231" s="13">
        <f>+E231/MAX(E$2:E231)-1</f>
        <v>-5.3027568768415634E-4</v>
      </c>
      <c r="AA231" s="13">
        <f>+F231/MAX(F$2:F231)-1</f>
        <v>0</v>
      </c>
      <c r="AB231" s="52"/>
      <c r="AC231" s="13" t="str">
        <f t="shared" si="29"/>
        <v/>
      </c>
      <c r="AD231" s="13" t="str">
        <f t="shared" si="29"/>
        <v/>
      </c>
      <c r="AE231" s="13" t="str">
        <f t="shared" si="29"/>
        <v/>
      </c>
      <c r="AF231" s="13" t="str">
        <f t="shared" si="29"/>
        <v/>
      </c>
      <c r="AG231" s="13" t="str">
        <f t="shared" si="29"/>
        <v/>
      </c>
      <c r="AH231" s="52"/>
      <c r="AP231" s="38"/>
    </row>
    <row r="232" spans="1:42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25"/>
        <v>1.9670351962641774E-4</v>
      </c>
      <c r="J232" s="6">
        <f t="shared" si="30"/>
        <v>-2.5621428783056767E-2</v>
      </c>
      <c r="K232" s="6">
        <f t="shared" si="30"/>
        <v>1.4519903364922418E-2</v>
      </c>
      <c r="L232" s="6">
        <f t="shared" si="30"/>
        <v>1.5099360369527649E-2</v>
      </c>
      <c r="M232" s="6">
        <f t="shared" si="30"/>
        <v>1.631185864869468E-2</v>
      </c>
      <c r="N232" s="6">
        <f t="shared" si="30"/>
        <v>-1.4025410555021933E-2</v>
      </c>
      <c r="O232" s="6">
        <f t="shared" si="27"/>
        <v>-5.7913508389068353E-3</v>
      </c>
      <c r="P232" s="6"/>
      <c r="Q232" s="13">
        <f t="shared" si="28"/>
        <v>-2.5818132302683185E-2</v>
      </c>
      <c r="R232" s="13">
        <f t="shared" si="28"/>
        <v>1.4323199845296E-2</v>
      </c>
      <c r="S232" s="13">
        <f t="shared" si="28"/>
        <v>1.4902656849901231E-2</v>
      </c>
      <c r="T232" s="13">
        <f t="shared" si="28"/>
        <v>1.6115155129068262E-2</v>
      </c>
      <c r="U232" s="13">
        <f t="shared" si="28"/>
        <v>-1.4222114074648351E-2</v>
      </c>
      <c r="V232" s="13"/>
      <c r="W232" s="13">
        <f>+B232/MAX(B$2:B232)-1</f>
        <v>-2.5295985342870808E-2</v>
      </c>
      <c r="X232" s="13">
        <f>+C232/MAX(C$2:C232)-1</f>
        <v>0</v>
      </c>
      <c r="Y232" s="13">
        <f>+D232/MAX(D$2:D232)-1</f>
        <v>0</v>
      </c>
      <c r="Z232" s="13">
        <f>+E232/MAX(E$2:E232)-1</f>
        <v>0</v>
      </c>
      <c r="AA232" s="13">
        <f>+F232/MAX(F$2:F232)-1</f>
        <v>-1.3927512704686507E-2</v>
      </c>
      <c r="AB232" s="52"/>
      <c r="AC232" s="13">
        <f t="shared" si="29"/>
        <v>-1.9830077944149933E-2</v>
      </c>
      <c r="AD232" s="13" t="str">
        <f t="shared" si="29"/>
        <v/>
      </c>
      <c r="AE232" s="13" t="str">
        <f t="shared" si="29"/>
        <v/>
      </c>
      <c r="AF232" s="13" t="str">
        <f t="shared" si="29"/>
        <v/>
      </c>
      <c r="AG232" s="13">
        <f t="shared" si="29"/>
        <v>-8.2340597161150979E-3</v>
      </c>
      <c r="AH232" s="52"/>
      <c r="AP232" s="38"/>
    </row>
    <row r="233" spans="1:42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25"/>
        <v>1.9670351962641774E-4</v>
      </c>
      <c r="J233" s="6">
        <f t="shared" si="30"/>
        <v>-2.074860964039351E-2</v>
      </c>
      <c r="K233" s="6">
        <f t="shared" si="30"/>
        <v>-3.067024540397419E-4</v>
      </c>
      <c r="L233" s="6">
        <f t="shared" si="30"/>
        <v>-3.2285803587666854E-2</v>
      </c>
      <c r="M233" s="6">
        <f t="shared" si="30"/>
        <v>-5.2205691605959625E-4</v>
      </c>
      <c r="N233" s="6">
        <f t="shared" si="30"/>
        <v>-7.8470804696827295E-3</v>
      </c>
      <c r="O233" s="6">
        <f t="shared" si="27"/>
        <v>0</v>
      </c>
      <c r="P233" s="6"/>
      <c r="Q233" s="13">
        <f t="shared" si="28"/>
        <v>-2.0945313160019928E-2</v>
      </c>
      <c r="R233" s="13">
        <f t="shared" si="28"/>
        <v>-5.0340597366615959E-4</v>
      </c>
      <c r="S233" s="13">
        <f t="shared" si="28"/>
        <v>-3.2482507107293272E-2</v>
      </c>
      <c r="T233" s="13">
        <f t="shared" si="28"/>
        <v>-7.18760435686014E-4</v>
      </c>
      <c r="U233" s="13">
        <f t="shared" si="28"/>
        <v>-8.0437839893091473E-3</v>
      </c>
      <c r="V233" s="13"/>
      <c r="W233" s="13">
        <f>+B233/MAX(B$2:B233)-1</f>
        <v>-4.5311374653167147E-2</v>
      </c>
      <c r="X233" s="13">
        <f>+C233/MAX(C$2:C233)-1</f>
        <v>-3.0665542565011528E-4</v>
      </c>
      <c r="Y233" s="13">
        <f>+D233/MAX(D$2:D233)-1</f>
        <v>-3.1770181024811661E-2</v>
      </c>
      <c r="Z233" s="13">
        <f>+E233/MAX(E$2:E233)-1</f>
        <v>-5.2192066805856197E-4</v>
      </c>
      <c r="AA233" s="13">
        <f>+F233/MAX(F$2:F233)-1</f>
        <v>-2.1635022586109498E-2</v>
      </c>
      <c r="AB233" s="52"/>
      <c r="AC233" s="13">
        <f t="shared" si="29"/>
        <v>-2.074860964039351E-2</v>
      </c>
      <c r="AD233" s="13">
        <f t="shared" si="29"/>
        <v>-3.067024540397419E-4</v>
      </c>
      <c r="AE233" s="13">
        <f t="shared" si="29"/>
        <v>-3.2285803587666854E-2</v>
      </c>
      <c r="AF233" s="13">
        <f t="shared" si="29"/>
        <v>-5.2205691605959625E-4</v>
      </c>
      <c r="AG233" s="13">
        <f t="shared" si="29"/>
        <v>-7.8470804696827295E-3</v>
      </c>
      <c r="AH233" s="52"/>
      <c r="AP233" s="38"/>
    </row>
    <row r="234" spans="1:42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25"/>
        <v>1.9441757599203413E-4</v>
      </c>
      <c r="J234" s="6">
        <f t="shared" si="30"/>
        <v>5.7973336916425204E-4</v>
      </c>
      <c r="K234" s="6">
        <f t="shared" si="30"/>
        <v>1.5327868988235308E-3</v>
      </c>
      <c r="L234" s="6">
        <f t="shared" si="30"/>
        <v>-9.5291127080258486E-4</v>
      </c>
      <c r="M234" s="6">
        <f t="shared" si="30"/>
        <v>-1.5677557021459298E-3</v>
      </c>
      <c r="N234" s="6">
        <f t="shared" si="30"/>
        <v>-7.1659074070294041E-3</v>
      </c>
      <c r="O234" s="6">
        <f t="shared" si="27"/>
        <v>-1.1689319186543775E-2</v>
      </c>
      <c r="P234" s="6"/>
      <c r="Q234" s="13">
        <f t="shared" si="28"/>
        <v>3.8531579317221791E-4</v>
      </c>
      <c r="R234" s="13">
        <f t="shared" si="28"/>
        <v>1.3383693228314966E-3</v>
      </c>
      <c r="S234" s="13">
        <f t="shared" si="28"/>
        <v>-1.147328846794619E-3</v>
      </c>
      <c r="T234" s="13">
        <f t="shared" si="28"/>
        <v>-1.762173278137964E-3</v>
      </c>
      <c r="U234" s="13">
        <f t="shared" si="28"/>
        <v>-7.3603249830214382E-3</v>
      </c>
      <c r="V234" s="13"/>
      <c r="W234" s="13">
        <f>+B234/MAX(B$2:B234)-1</f>
        <v>-4.4757749337863029E-2</v>
      </c>
      <c r="X234" s="13">
        <f>+C234/MAX(C$2:C234)-1</f>
        <v>0</v>
      </c>
      <c r="Y234" s="13">
        <f>+D234/MAX(D$2:D234)-1</f>
        <v>-3.269237867598962E-2</v>
      </c>
      <c r="Z234" s="13">
        <f>+E234/MAX(E$2:E234)-1</f>
        <v>-2.0876304801671353E-3</v>
      </c>
      <c r="AA234" s="13">
        <f>+F234/MAX(F$2:F234)-1</f>
        <v>-2.8620835686053003E-2</v>
      </c>
      <c r="AB234" s="52"/>
      <c r="AC234" s="13" t="str">
        <f t="shared" si="29"/>
        <v/>
      </c>
      <c r="AD234" s="13" t="str">
        <f t="shared" si="29"/>
        <v/>
      </c>
      <c r="AE234" s="13" t="str">
        <f t="shared" si="29"/>
        <v/>
      </c>
      <c r="AF234" s="13" t="str">
        <f t="shared" si="29"/>
        <v/>
      </c>
      <c r="AG234" s="13" t="str">
        <f t="shared" si="29"/>
        <v/>
      </c>
      <c r="AH234" s="52"/>
      <c r="AP234" s="38"/>
    </row>
    <row r="235" spans="1:42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25"/>
        <v>1.9479865694971288E-4</v>
      </c>
      <c r="J235" s="6">
        <f t="shared" si="30"/>
        <v>-1.5614861566389346E-3</v>
      </c>
      <c r="K235" s="6">
        <f t="shared" si="30"/>
        <v>-7.9964136377382936E-3</v>
      </c>
      <c r="L235" s="6">
        <f t="shared" si="30"/>
        <v>2.3806134291241197E-3</v>
      </c>
      <c r="M235" s="6">
        <f t="shared" si="30"/>
        <v>-3.0265224779422156E-2</v>
      </c>
      <c r="N235" s="6">
        <f t="shared" si="30"/>
        <v>1.0734189165974961E-2</v>
      </c>
      <c r="O235" s="6">
        <f t="shared" si="27"/>
        <v>1.9581972548826181E-3</v>
      </c>
      <c r="P235" s="6"/>
      <c r="Q235" s="13">
        <f t="shared" si="28"/>
        <v>-1.7562848135886475E-3</v>
      </c>
      <c r="R235" s="13">
        <f t="shared" si="28"/>
        <v>-8.1912122946880064E-3</v>
      </c>
      <c r="S235" s="13">
        <f t="shared" si="28"/>
        <v>2.1858147721744068E-3</v>
      </c>
      <c r="T235" s="13">
        <f t="shared" si="28"/>
        <v>-3.0460023436371868E-2</v>
      </c>
      <c r="U235" s="13">
        <f t="shared" si="28"/>
        <v>1.0539390509025248E-2</v>
      </c>
      <c r="V235" s="13"/>
      <c r="W235" s="13">
        <f>+B235/MAX(B$2:B235)-1</f>
        <v>-4.6248182939953919E-2</v>
      </c>
      <c r="X235" s="13">
        <f>+C235/MAX(C$2:C235)-1</f>
        <v>-7.9645273707378283E-3</v>
      </c>
      <c r="Y235" s="13">
        <f>+D235/MAX(D$2:D235)-1</f>
        <v>-3.0386849965113871E-2</v>
      </c>
      <c r="Z235" s="13">
        <f>+E235/MAX(E$2:E235)-1</f>
        <v>-3.183721294363262E-2</v>
      </c>
      <c r="AA235" s="13">
        <f>+F235/MAX(F$2:F235)-1</f>
        <v>-1.8137704686617684E-2</v>
      </c>
      <c r="AB235" s="52"/>
      <c r="AC235" s="13">
        <f t="shared" si="29"/>
        <v>-3.519683411521553E-3</v>
      </c>
      <c r="AD235" s="13">
        <f t="shared" si="29"/>
        <v>-9.9546108926209121E-3</v>
      </c>
      <c r="AE235" s="13" t="str">
        <f t="shared" si="29"/>
        <v/>
      </c>
      <c r="AF235" s="13">
        <f t="shared" si="29"/>
        <v>-3.2223422034304776E-2</v>
      </c>
      <c r="AG235" s="13" t="str">
        <f t="shared" si="29"/>
        <v/>
      </c>
      <c r="AH235" s="52"/>
      <c r="AP235" s="38"/>
    </row>
    <row r="236" spans="1:42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25"/>
        <v>1.9594168295089531E-4</v>
      </c>
      <c r="J236" s="6">
        <f t="shared" si="30"/>
        <v>4.6772962161707281E-3</v>
      </c>
      <c r="K236" s="6">
        <f t="shared" si="30"/>
        <v>2.9291935822486634E-3</v>
      </c>
      <c r="L236" s="6">
        <f t="shared" si="30"/>
        <v>2.3776420016967354E-4</v>
      </c>
      <c r="M236" s="6">
        <f t="shared" si="30"/>
        <v>-1.8498896320453713E-2</v>
      </c>
      <c r="N236" s="6">
        <f t="shared" si="30"/>
        <v>-1.5593317997995005E-3</v>
      </c>
      <c r="O236" s="6">
        <f t="shared" si="27"/>
        <v>5.8505823170835261E-3</v>
      </c>
      <c r="P236" s="6"/>
      <c r="Q236" s="13">
        <f t="shared" si="28"/>
        <v>4.4813545332198328E-3</v>
      </c>
      <c r="R236" s="13">
        <f t="shared" si="28"/>
        <v>2.7332518992977681E-3</v>
      </c>
      <c r="S236" s="13">
        <f t="shared" si="28"/>
        <v>4.182251721877823E-5</v>
      </c>
      <c r="T236" s="13">
        <f t="shared" si="28"/>
        <v>-1.8694838003404608E-2</v>
      </c>
      <c r="U236" s="13">
        <f t="shared" si="28"/>
        <v>-1.7552734827503958E-3</v>
      </c>
      <c r="V236" s="13"/>
      <c r="W236" s="13">
        <f>+B236/MAX(B$2:B236)-1</f>
        <v>-4.1776754228377677E-2</v>
      </c>
      <c r="X236" s="13">
        <f>+C236/MAX(C$2:C236)-1</f>
        <v>-5.0544033534324351E-3</v>
      </c>
      <c r="Y236" s="13">
        <f>+D236/MAX(D$2:D236)-1</f>
        <v>-3.0156283260853955E-2</v>
      </c>
      <c r="Z236" s="13">
        <f>+E236/MAX(E$2:E236)-1</f>
        <v>-4.9582515657620063E-2</v>
      </c>
      <c r="AA236" s="13">
        <f>+F236/MAX(F$2:F236)-1</f>
        <v>-1.9667560700169395E-2</v>
      </c>
      <c r="AB236" s="52"/>
      <c r="AC236" s="13">
        <f t="shared" si="29"/>
        <v>-1.173286100912798E-3</v>
      </c>
      <c r="AD236" s="13">
        <f t="shared" si="29"/>
        <v>-2.9213887348348627E-3</v>
      </c>
      <c r="AE236" s="13">
        <f t="shared" si="29"/>
        <v>-5.6128181169138522E-3</v>
      </c>
      <c r="AF236" s="13">
        <f t="shared" si="29"/>
        <v>-2.4349478637537239E-2</v>
      </c>
      <c r="AG236" s="13">
        <f t="shared" si="29"/>
        <v>-7.4099141168830268E-3</v>
      </c>
      <c r="AH236" s="52"/>
      <c r="AP236" s="38"/>
    </row>
    <row r="237" spans="1:42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25"/>
        <v>1.9556071042226009E-4</v>
      </c>
      <c r="J237" s="6">
        <f t="shared" si="30"/>
        <v>-2.9175802186708118E-2</v>
      </c>
      <c r="K237" s="6">
        <f t="shared" si="30"/>
        <v>1.3000091618175304E-2</v>
      </c>
      <c r="L237" s="6">
        <f t="shared" si="30"/>
        <v>-8.307151793191617E-3</v>
      </c>
      <c r="M237" s="6">
        <f t="shared" si="30"/>
        <v>5.0853933718081321E-2</v>
      </c>
      <c r="N237" s="6">
        <f t="shared" si="30"/>
        <v>-2.3421178443889513E-2</v>
      </c>
      <c r="O237" s="6">
        <f t="shared" si="27"/>
        <v>-1.9462085307038084E-3</v>
      </c>
      <c r="P237" s="6"/>
      <c r="Q237" s="13">
        <f t="shared" si="28"/>
        <v>-2.9371362897130378E-2</v>
      </c>
      <c r="R237" s="13">
        <f t="shared" si="28"/>
        <v>1.2804530907753044E-2</v>
      </c>
      <c r="S237" s="13">
        <f t="shared" si="28"/>
        <v>-8.5027125036138771E-3</v>
      </c>
      <c r="T237" s="13">
        <f t="shared" si="28"/>
        <v>5.065837300765906E-2</v>
      </c>
      <c r="U237" s="13">
        <f t="shared" si="28"/>
        <v>-2.3616739154311773E-2</v>
      </c>
      <c r="V237" s="13"/>
      <c r="W237" s="13">
        <f>+B237/MAX(B$2:B237)-1</f>
        <v>-6.9329790663401503E-2</v>
      </c>
      <c r="X237" s="13">
        <f>+C237/MAX(C$2:C237)-1</f>
        <v>0</v>
      </c>
      <c r="Y237" s="13">
        <f>+D237/MAX(D$2:D237)-1</f>
        <v>-3.8179550841046406E-2</v>
      </c>
      <c r="Z237" s="13">
        <f>+E237/MAX(E$2:E237)-1</f>
        <v>0</v>
      </c>
      <c r="AA237" s="13">
        <f>+F237/MAX(F$2:F237)-1</f>
        <v>-4.2361307171089768E-2</v>
      </c>
      <c r="AB237" s="52"/>
      <c r="AC237" s="13">
        <f t="shared" si="29"/>
        <v>-2.722959365600431E-2</v>
      </c>
      <c r="AD237" s="13" t="str">
        <f t="shared" si="29"/>
        <v/>
      </c>
      <c r="AE237" s="13">
        <f t="shared" si="29"/>
        <v>-6.3609432624878084E-3</v>
      </c>
      <c r="AF237" s="13" t="str">
        <f t="shared" si="29"/>
        <v/>
      </c>
      <c r="AG237" s="13">
        <f t="shared" si="29"/>
        <v>-2.1474969913185704E-2</v>
      </c>
      <c r="AH237" s="52"/>
      <c r="AP237" s="38"/>
    </row>
    <row r="238" spans="1:42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25"/>
        <v>1.9174899651042132E-4</v>
      </c>
      <c r="J238" s="6">
        <f t="shared" si="30"/>
        <v>-4.8161042901711899E-3</v>
      </c>
      <c r="K238" s="6">
        <f t="shared" si="30"/>
        <v>3.943013964285107E-3</v>
      </c>
      <c r="L238" s="6">
        <f t="shared" si="30"/>
        <v>3.8346355812063522E-4</v>
      </c>
      <c r="M238" s="6">
        <f t="shared" si="30"/>
        <v>1.564589587366755E-3</v>
      </c>
      <c r="N238" s="6">
        <f t="shared" si="30"/>
        <v>-5.1559504042484414E-3</v>
      </c>
      <c r="O238" s="6">
        <f t="shared" si="27"/>
        <v>-1.9683663551158869E-2</v>
      </c>
      <c r="P238" s="6"/>
      <c r="Q238" s="13">
        <f t="shared" si="28"/>
        <v>-5.0078532866816112E-3</v>
      </c>
      <c r="R238" s="13">
        <f t="shared" si="28"/>
        <v>3.7512649677746857E-3</v>
      </c>
      <c r="S238" s="13">
        <f t="shared" si="28"/>
        <v>1.917145616102139E-4</v>
      </c>
      <c r="T238" s="13">
        <f t="shared" si="28"/>
        <v>1.3728405908563336E-3</v>
      </c>
      <c r="U238" s="13">
        <f t="shared" si="28"/>
        <v>-5.3476994007588628E-3</v>
      </c>
      <c r="V238" s="13"/>
      <c r="W238" s="13">
        <f>+B238/MAX(B$2:B238)-1</f>
        <v>-7.3801219374977745E-2</v>
      </c>
      <c r="X238" s="13">
        <f>+C238/MAX(C$2:C238)-1</f>
        <v>0</v>
      </c>
      <c r="Y238" s="13">
        <f>+D238/MAX(D$2:D238)-1</f>
        <v>-3.7810657025191485E-2</v>
      </c>
      <c r="Z238" s="13">
        <f>+E238/MAX(E$2:E238)-1</f>
        <v>0</v>
      </c>
      <c r="AA238" s="13">
        <f>+F238/MAX(F$2:F238)-1</f>
        <v>-4.7286137775268133E-2</v>
      </c>
      <c r="AB238" s="52"/>
      <c r="AC238" s="13" t="str">
        <f t="shared" si="29"/>
        <v/>
      </c>
      <c r="AD238" s="13" t="str">
        <f t="shared" si="29"/>
        <v/>
      </c>
      <c r="AE238" s="13" t="str">
        <f t="shared" si="29"/>
        <v/>
      </c>
      <c r="AF238" s="13" t="str">
        <f t="shared" si="29"/>
        <v/>
      </c>
      <c r="AG238" s="13" t="str">
        <f t="shared" si="29"/>
        <v/>
      </c>
      <c r="AH238" s="52"/>
      <c r="AP238" s="38"/>
    </row>
    <row r="239" spans="1:42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25"/>
        <v>1.9022329759033063E-4</v>
      </c>
      <c r="J239" s="6">
        <f t="shared" si="30"/>
        <v>2.1586660116600692E-3</v>
      </c>
      <c r="K239" s="6">
        <f t="shared" si="30"/>
        <v>1.4723868428621712E-2</v>
      </c>
      <c r="L239" s="6">
        <f t="shared" si="30"/>
        <v>1.6963686226937915E-2</v>
      </c>
      <c r="M239" s="6">
        <f t="shared" si="30"/>
        <v>-9.4242056297434203E-3</v>
      </c>
      <c r="N239" s="6">
        <f t="shared" si="30"/>
        <v>1.1029442312488889E-2</v>
      </c>
      <c r="O239" s="6">
        <f t="shared" si="27"/>
        <v>-7.9885743415427004E-3</v>
      </c>
      <c r="P239" s="6"/>
      <c r="Q239" s="13">
        <f t="shared" si="28"/>
        <v>1.9684427140697386E-3</v>
      </c>
      <c r="R239" s="13">
        <f t="shared" si="28"/>
        <v>1.4533645131031381E-2</v>
      </c>
      <c r="S239" s="13">
        <f t="shared" si="28"/>
        <v>1.6773462929347584E-2</v>
      </c>
      <c r="T239" s="13">
        <f t="shared" si="28"/>
        <v>-9.614428927333751E-3</v>
      </c>
      <c r="U239" s="13">
        <f t="shared" si="28"/>
        <v>1.0839219014898559E-2</v>
      </c>
      <c r="V239" s="13"/>
      <c r="W239" s="13">
        <f>+B239/MAX(B$2:B239)-1</f>
        <v>-7.1799706025008625E-2</v>
      </c>
      <c r="X239" s="13">
        <f>+C239/MAX(C$2:C239)-1</f>
        <v>0</v>
      </c>
      <c r="Y239" s="13">
        <f>+D239/MAX(D$2:D239)-1</f>
        <v>-2.1349149752136087E-2</v>
      </c>
      <c r="Z239" s="13">
        <f>+E239/MAX(E$2:E239)-1</f>
        <v>-9.3799369786378151E-3</v>
      </c>
      <c r="AA239" s="13">
        <f>+F239/MAX(F$2:F239)-1</f>
        <v>-3.6720073404855946E-2</v>
      </c>
      <c r="AB239" s="52"/>
      <c r="AC239" s="13" t="str">
        <f t="shared" si="29"/>
        <v/>
      </c>
      <c r="AD239" s="13" t="str">
        <f t="shared" si="29"/>
        <v/>
      </c>
      <c r="AE239" s="13" t="str">
        <f t="shared" si="29"/>
        <v/>
      </c>
      <c r="AF239" s="13">
        <f t="shared" si="29"/>
        <v>-1.4356312882007199E-3</v>
      </c>
      <c r="AG239" s="13" t="str">
        <f t="shared" si="29"/>
        <v/>
      </c>
      <c r="AH239" s="52"/>
      <c r="AP239" s="38"/>
    </row>
    <row r="240" spans="1:42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25"/>
        <v>1.8946023076238383E-4</v>
      </c>
      <c r="J240" s="6">
        <f t="shared" si="30"/>
        <v>1.2838228252665619E-3</v>
      </c>
      <c r="K240" s="6">
        <f t="shared" si="30"/>
        <v>-3.2865430207580882E-3</v>
      </c>
      <c r="L240" s="6">
        <f t="shared" si="30"/>
        <v>-6.5707247389028478E-3</v>
      </c>
      <c r="M240" s="6">
        <f t="shared" si="30"/>
        <v>-5.8032344347412621E-3</v>
      </c>
      <c r="N240" s="6">
        <f t="shared" si="30"/>
        <v>8.129903108684501E-4</v>
      </c>
      <c r="O240" s="6">
        <f t="shared" si="27"/>
        <v>-4.0194941224900244E-3</v>
      </c>
      <c r="P240" s="6"/>
      <c r="Q240" s="13">
        <f t="shared" si="28"/>
        <v>1.0943625945041781E-3</v>
      </c>
      <c r="R240" s="13">
        <f t="shared" si="28"/>
        <v>-3.4760032515204721E-3</v>
      </c>
      <c r="S240" s="13">
        <f t="shared" si="28"/>
        <v>-6.7601849696652316E-3</v>
      </c>
      <c r="T240" s="13">
        <f t="shared" si="28"/>
        <v>-5.9926946655036459E-3</v>
      </c>
      <c r="U240" s="13">
        <f t="shared" si="28"/>
        <v>6.2353008010606627E-4</v>
      </c>
      <c r="V240" s="13"/>
      <c r="W240" s="13">
        <f>+B240/MAX(B$2:B240)-1</f>
        <v>-7.0607296043386225E-2</v>
      </c>
      <c r="X240" s="13">
        <f>+C240/MAX(C$2:C240)-1</f>
        <v>-3.2811482499115474E-3</v>
      </c>
      <c r="Y240" s="13">
        <f>+D240/MAX(D$2:D240)-1</f>
        <v>-2.7758514957313407E-2</v>
      </c>
      <c r="Z240" s="13">
        <f>+E240/MAX(E$2:E240)-1</f>
        <v>-1.5112088842517579E-2</v>
      </c>
      <c r="AA240" s="13">
        <f>+F240/MAX(F$2:F240)-1</f>
        <v>-3.5936617730095932E-2</v>
      </c>
      <c r="AB240" s="52"/>
      <c r="AC240" s="13" t="str">
        <f t="shared" si="29"/>
        <v/>
      </c>
      <c r="AD240" s="13" t="str">
        <f t="shared" si="29"/>
        <v/>
      </c>
      <c r="AE240" s="13">
        <f t="shared" si="29"/>
        <v>-2.5512306164128234E-3</v>
      </c>
      <c r="AF240" s="13">
        <f t="shared" si="29"/>
        <v>-1.7837403122512377E-3</v>
      </c>
      <c r="AG240" s="13" t="str">
        <f t="shared" si="29"/>
        <v/>
      </c>
      <c r="AH240" s="52"/>
      <c r="AP240" s="38"/>
    </row>
    <row r="241" spans="1:42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25"/>
        <v>1.8946023076238383E-4</v>
      </c>
      <c r="J241" s="6">
        <f t="shared" si="30"/>
        <v>2.562716177992965E-3</v>
      </c>
      <c r="K241" s="6">
        <f t="shared" si="30"/>
        <v>1.2638603848310002E-2</v>
      </c>
      <c r="L241" s="6">
        <f t="shared" si="30"/>
        <v>2.0374359451747755E-2</v>
      </c>
      <c r="M241" s="6">
        <f t="shared" si="30"/>
        <v>4.2238711161852434E-3</v>
      </c>
      <c r="N241" s="6">
        <f t="shared" si="30"/>
        <v>-4.9724964337360253E-3</v>
      </c>
      <c r="O241" s="6">
        <f t="shared" si="27"/>
        <v>0</v>
      </c>
      <c r="P241" s="6"/>
      <c r="Q241" s="13">
        <f t="shared" si="28"/>
        <v>2.3732559472305812E-3</v>
      </c>
      <c r="R241" s="13">
        <f t="shared" si="28"/>
        <v>1.2449143617547618E-2</v>
      </c>
      <c r="S241" s="13">
        <f t="shared" si="28"/>
        <v>2.0184899220985372E-2</v>
      </c>
      <c r="T241" s="13">
        <f t="shared" si="28"/>
        <v>4.0344108854228596E-3</v>
      </c>
      <c r="U241" s="13">
        <f t="shared" si="28"/>
        <v>-5.1619566644984091E-3</v>
      </c>
      <c r="V241" s="13"/>
      <c r="W241" s="13">
        <f>+B241/MAX(B$2:B241)-1</f>
        <v>-6.8222471816631214E-2</v>
      </c>
      <c r="X241" s="13">
        <f>+C241/MAX(C$2:C241)-1</f>
        <v>0</v>
      </c>
      <c r="Y241" s="13">
        <f>+D241/MAX(D$2:D241)-1</f>
        <v>-7.7465441911408472E-3</v>
      </c>
      <c r="Z241" s="13">
        <f>+E241/MAX(E$2:E241)-1</f>
        <v>-1.0943251123332276E-2</v>
      </c>
      <c r="AA241" s="13">
        <f>+F241/MAX(F$2:F241)-1</f>
        <v>-4.0718520609824949E-2</v>
      </c>
      <c r="AB241" s="52"/>
      <c r="AC241" s="13" t="str">
        <f t="shared" si="29"/>
        <v/>
      </c>
      <c r="AD241" s="13" t="str">
        <f t="shared" si="29"/>
        <v/>
      </c>
      <c r="AE241" s="13" t="str">
        <f t="shared" si="29"/>
        <v/>
      </c>
      <c r="AF241" s="13" t="str">
        <f t="shared" si="29"/>
        <v/>
      </c>
      <c r="AG241" s="13">
        <f t="shared" si="29"/>
        <v>-4.9724964337360253E-3</v>
      </c>
      <c r="AH241" s="52"/>
      <c r="AP241" s="38"/>
    </row>
    <row r="242" spans="1:42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25"/>
        <v>1.8946023076238383E-4</v>
      </c>
      <c r="J242" s="6">
        <f t="shared" si="30"/>
        <v>1.4879566390620118E-2</v>
      </c>
      <c r="K242" s="6">
        <f t="shared" si="30"/>
        <v>-1.3986271941776691E-2</v>
      </c>
      <c r="L242" s="6">
        <f t="shared" si="30"/>
        <v>-1.1168596535331227E-2</v>
      </c>
      <c r="M242" s="6">
        <f t="shared" si="30"/>
        <v>1.4125267552011362E-2</v>
      </c>
      <c r="N242" s="6">
        <f t="shared" si="30"/>
        <v>1.567000529191805E-2</v>
      </c>
      <c r="O242" s="6">
        <f t="shared" si="27"/>
        <v>0</v>
      </c>
      <c r="P242" s="6"/>
      <c r="Q242" s="13">
        <f t="shared" si="28"/>
        <v>1.4690106159857734E-2</v>
      </c>
      <c r="R242" s="13">
        <f t="shared" si="28"/>
        <v>-1.4175732172539075E-2</v>
      </c>
      <c r="S242" s="13">
        <f t="shared" si="28"/>
        <v>-1.135805676609361E-2</v>
      </c>
      <c r="T242" s="13">
        <f t="shared" si="28"/>
        <v>1.3935807321248979E-2</v>
      </c>
      <c r="U242" s="13">
        <f t="shared" si="28"/>
        <v>1.5480545061155666E-2</v>
      </c>
      <c r="V242" s="13"/>
      <c r="W242" s="13">
        <f>+B242/MAX(B$2:B242)-1</f>
        <v>-5.4254364245133191E-2</v>
      </c>
      <c r="X242" s="13">
        <f>+C242/MAX(C$2:C242)-1</f>
        <v>-1.3888918439716402E-2</v>
      </c>
      <c r="Y242" s="13">
        <f>+D242/MAX(D$2:D242)-1</f>
        <v>-1.8766966818069886E-2</v>
      </c>
      <c r="Z242" s="13">
        <f>+E242/MAX(E$2:E242)-1</f>
        <v>0</v>
      </c>
      <c r="AA242" s="13">
        <f>+F242/MAX(F$2:F242)-1</f>
        <v>-2.5568181818181768E-2</v>
      </c>
      <c r="AB242" s="52"/>
      <c r="AC242" s="13" t="str">
        <f t="shared" si="29"/>
        <v/>
      </c>
      <c r="AD242" s="13">
        <f t="shared" si="29"/>
        <v>-1.3986271941776691E-2</v>
      </c>
      <c r="AE242" s="13">
        <f t="shared" si="29"/>
        <v>-1.1168596535331227E-2</v>
      </c>
      <c r="AF242" s="13" t="str">
        <f t="shared" si="29"/>
        <v/>
      </c>
      <c r="AG242" s="13" t="str">
        <f t="shared" si="29"/>
        <v/>
      </c>
      <c r="AH242" s="52"/>
      <c r="AP242" s="38"/>
    </row>
    <row r="243" spans="1:42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25"/>
        <v>1.8984178229608517E-4</v>
      </c>
      <c r="J243" s="6">
        <f t="shared" si="30"/>
        <v>-1.6892595276606047E-2</v>
      </c>
      <c r="K243" s="6">
        <f t="shared" si="30"/>
        <v>1.8114838733001931E-2</v>
      </c>
      <c r="L243" s="6">
        <f t="shared" si="30"/>
        <v>-2.300698438939985E-2</v>
      </c>
      <c r="M243" s="6">
        <f t="shared" si="30"/>
        <v>1.1363707289245462E-2</v>
      </c>
      <c r="N243" s="6">
        <f t="shared" si="30"/>
        <v>-1.3788191433053192E-2</v>
      </c>
      <c r="O243" s="6">
        <f t="shared" si="27"/>
        <v>2.0118620479849911E-3</v>
      </c>
      <c r="P243" s="6"/>
      <c r="Q243" s="13">
        <f t="shared" si="28"/>
        <v>-1.7082437058902132E-2</v>
      </c>
      <c r="R243" s="13">
        <f t="shared" si="28"/>
        <v>1.7924996950705846E-2</v>
      </c>
      <c r="S243" s="13">
        <f t="shared" si="28"/>
        <v>-2.3196826171695935E-2</v>
      </c>
      <c r="T243" s="13">
        <f t="shared" si="28"/>
        <v>1.1173865506949376E-2</v>
      </c>
      <c r="U243" s="13">
        <f t="shared" si="28"/>
        <v>-1.3978033215349277E-2</v>
      </c>
      <c r="V243" s="13"/>
      <c r="W243" s="13">
        <f>+B243/MAX(B$2:B243)-1</f>
        <v>-7.0096280248159948E-2</v>
      </c>
      <c r="X243" s="13">
        <f>+C243/MAX(C$2:C243)-1</f>
        <v>0</v>
      </c>
      <c r="Y243" s="13">
        <f>+D243/MAX(D$2:D243)-1</f>
        <v>-4.1084466295118416E-2</v>
      </c>
      <c r="Z243" s="13">
        <f>+E243/MAX(E$2:E243)-1</f>
        <v>0</v>
      </c>
      <c r="AA243" s="13">
        <f>+F243/MAX(F$2:F243)-1</f>
        <v>-3.891163184641433E-2</v>
      </c>
      <c r="AB243" s="52"/>
      <c r="AC243" s="13">
        <f t="shared" si="29"/>
        <v>-1.8904457324591038E-2</v>
      </c>
      <c r="AD243" s="13" t="str">
        <f t="shared" si="29"/>
        <v/>
      </c>
      <c r="AE243" s="13">
        <f t="shared" si="29"/>
        <v>-2.5018846437384841E-2</v>
      </c>
      <c r="AF243" s="13" t="str">
        <f t="shared" si="29"/>
        <v/>
      </c>
      <c r="AG243" s="13">
        <f t="shared" si="29"/>
        <v>-1.5800053481038183E-2</v>
      </c>
      <c r="AH243" s="52"/>
      <c r="AP243" s="38"/>
    </row>
    <row r="244" spans="1:42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25"/>
        <v>1.9022329759033063E-4</v>
      </c>
      <c r="J244" s="6">
        <f t="shared" si="30"/>
        <v>6.8458769114516189E-3</v>
      </c>
      <c r="K244" s="6">
        <f t="shared" si="30"/>
        <v>1.9958459712746134E-2</v>
      </c>
      <c r="L244" s="6">
        <f t="shared" si="30"/>
        <v>-4.3337697237488322E-2</v>
      </c>
      <c r="M244" s="6">
        <f t="shared" si="30"/>
        <v>-5.1492389779095047E-3</v>
      </c>
      <c r="N244" s="6">
        <f t="shared" si="30"/>
        <v>-1.8552885294602865E-2</v>
      </c>
      <c r="O244" s="6">
        <f t="shared" si="27"/>
        <v>2.0076320745050212E-3</v>
      </c>
      <c r="P244" s="6"/>
      <c r="Q244" s="13">
        <f t="shared" si="28"/>
        <v>6.6556536138612883E-3</v>
      </c>
      <c r="R244" s="13">
        <f t="shared" si="28"/>
        <v>1.9768236415155804E-2</v>
      </c>
      <c r="S244" s="13">
        <f t="shared" si="28"/>
        <v>-4.3527920535078653E-2</v>
      </c>
      <c r="T244" s="13">
        <f t="shared" si="28"/>
        <v>-5.3394622754998353E-3</v>
      </c>
      <c r="U244" s="13">
        <f t="shared" si="28"/>
        <v>-1.8743108592193195E-2</v>
      </c>
      <c r="V244" s="13"/>
      <c r="W244" s="13">
        <f>+B244/MAX(B$2:B244)-1</f>
        <v>-6.3708433584977131E-2</v>
      </c>
      <c r="X244" s="13">
        <f>+C244/MAX(C$2:C244)-1</f>
        <v>0</v>
      </c>
      <c r="Y244" s="13">
        <f>+D244/MAX(D$2:D244)-1</f>
        <v>-8.1754029643427595E-2</v>
      </c>
      <c r="Z244" s="13">
        <f>+E244/MAX(E$2:E244)-1</f>
        <v>-5.1360043726762505E-3</v>
      </c>
      <c r="AA244" s="13">
        <f>+F244/MAX(F$2:F244)-1</f>
        <v>-5.6578204404291288E-2</v>
      </c>
      <c r="AB244" s="52"/>
      <c r="AC244" s="13" t="str">
        <f t="shared" si="29"/>
        <v/>
      </c>
      <c r="AD244" s="13" t="str">
        <f t="shared" si="29"/>
        <v/>
      </c>
      <c r="AE244" s="13">
        <f t="shared" si="29"/>
        <v>-4.5345329311993345E-2</v>
      </c>
      <c r="AF244" s="13">
        <f t="shared" si="29"/>
        <v>-7.1568710524145263E-3</v>
      </c>
      <c r="AG244" s="13">
        <f t="shared" si="29"/>
        <v>-2.0560517369107887E-2</v>
      </c>
      <c r="AH244" s="52"/>
      <c r="AP244" s="38"/>
    </row>
    <row r="245" spans="1:42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25"/>
        <v>1.9060477665200359E-4</v>
      </c>
      <c r="J245" s="6">
        <f t="shared" si="30"/>
        <v>-4.936563304839342E-2</v>
      </c>
      <c r="K245" s="6">
        <f t="shared" si="30"/>
        <v>-1.7900558015048668E-2</v>
      </c>
      <c r="L245" s="6">
        <f t="shared" si="30"/>
        <v>-2.1521514209848672E-2</v>
      </c>
      <c r="M245" s="6">
        <f t="shared" si="30"/>
        <v>-2.4034646374763047E-2</v>
      </c>
      <c r="N245" s="6">
        <f t="shared" si="30"/>
        <v>-3.0427045496882188E-2</v>
      </c>
      <c r="O245" s="6">
        <f t="shared" si="27"/>
        <v>2.0034194696742034E-3</v>
      </c>
      <c r="P245" s="6"/>
      <c r="Q245" s="13">
        <f t="shared" si="28"/>
        <v>-4.9556237825045424E-2</v>
      </c>
      <c r="R245" s="13">
        <f t="shared" si="28"/>
        <v>-1.8091162791700671E-2</v>
      </c>
      <c r="S245" s="13">
        <f t="shared" si="28"/>
        <v>-2.1712118986500675E-2</v>
      </c>
      <c r="T245" s="13">
        <f t="shared" si="28"/>
        <v>-2.422525115141505E-2</v>
      </c>
      <c r="U245" s="13">
        <f t="shared" si="28"/>
        <v>-3.0617650273534192E-2</v>
      </c>
      <c r="V245" s="13"/>
      <c r="W245" s="13">
        <f>+B245/MAX(B$2:B245)-1</f>
        <v>-0.10880674784722466</v>
      </c>
      <c r="X245" s="13">
        <f>+C245/MAX(C$2:C245)-1</f>
        <v>-1.774129474278674E-2</v>
      </c>
      <c r="Y245" s="13">
        <f>+D245/MAX(D$2:D245)-1</f>
        <v>-0.10130493616694181</v>
      </c>
      <c r="Z245" s="13">
        <f>+E245/MAX(E$2:E245)-1</f>
        <v>-2.876214836991009E-2</v>
      </c>
      <c r="AA245" s="13">
        <f>+F245/MAX(F$2:F245)-1</f>
        <v>-8.4851425748164844E-2</v>
      </c>
      <c r="AB245" s="52"/>
      <c r="AC245" s="13">
        <f t="shared" si="29"/>
        <v>-5.1369052518067622E-2</v>
      </c>
      <c r="AD245" s="13">
        <f t="shared" si="29"/>
        <v>-1.9903977484722869E-2</v>
      </c>
      <c r="AE245" s="13">
        <f t="shared" si="29"/>
        <v>-2.3524933679522873E-2</v>
      </c>
      <c r="AF245" s="13">
        <f t="shared" si="29"/>
        <v>-2.6038065844437248E-2</v>
      </c>
      <c r="AG245" s="13">
        <f t="shared" si="29"/>
        <v>-3.243046496655639E-2</v>
      </c>
      <c r="AH245" s="52"/>
      <c r="AP245" s="38"/>
    </row>
    <row r="246" spans="1:42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25"/>
        <v>1.8946023076238383E-4</v>
      </c>
      <c r="J246" s="6">
        <f t="shared" si="30"/>
        <v>-9.7960810695936606E-3</v>
      </c>
      <c r="K246" s="6">
        <f t="shared" si="30"/>
        <v>-7.3441060418495512E-4</v>
      </c>
      <c r="L246" s="6">
        <f t="shared" si="30"/>
        <v>2.7529327489063685E-2</v>
      </c>
      <c r="M246" s="6">
        <f t="shared" si="30"/>
        <v>1.4698479459715275E-2</v>
      </c>
      <c r="N246" s="6">
        <f t="shared" si="30"/>
        <v>1.0300905557719547E-2</v>
      </c>
      <c r="O246" s="6">
        <f t="shared" si="27"/>
        <v>-6.0229135921643839E-3</v>
      </c>
      <c r="P246" s="6"/>
      <c r="Q246" s="13">
        <f t="shared" si="28"/>
        <v>-9.9855413003560444E-3</v>
      </c>
      <c r="R246" s="13">
        <f t="shared" si="28"/>
        <v>-9.2387083494733895E-4</v>
      </c>
      <c r="S246" s="13">
        <f t="shared" si="28"/>
        <v>2.7339867258301301E-2</v>
      </c>
      <c r="T246" s="13">
        <f t="shared" si="28"/>
        <v>1.4509019228952891E-2</v>
      </c>
      <c r="U246" s="13">
        <f t="shared" si="28"/>
        <v>1.0111445326957163E-2</v>
      </c>
      <c r="V246" s="13"/>
      <c r="W246" s="13">
        <f>+B246/MAX(B$2:B246)-1</f>
        <v>-0.11749432760231027</v>
      </c>
      <c r="X246" s="13">
        <f>+C246/MAX(C$2:C246)-1</f>
        <v>-1.8462411121811129E-2</v>
      </c>
      <c r="Y246" s="13">
        <f>+D246/MAX(D$2:D246)-1</f>
        <v>-7.6220774570497807E-2</v>
      </c>
      <c r="Z246" s="13">
        <f>+E246/MAX(E$2:E246)-1</f>
        <v>-1.4380997143348728E-2</v>
      </c>
      <c r="AA246" s="13">
        <f>+F246/MAX(F$2:F246)-1</f>
        <v>-7.5375846979107819E-2</v>
      </c>
      <c r="AB246" s="52"/>
      <c r="AC246" s="13">
        <f t="shared" si="29"/>
        <v>-3.7731674774292767E-3</v>
      </c>
      <c r="AD246" s="13" t="str">
        <f t="shared" si="29"/>
        <v/>
      </c>
      <c r="AE246" s="13" t="str">
        <f t="shared" si="29"/>
        <v/>
      </c>
      <c r="AF246" s="13" t="str">
        <f t="shared" si="29"/>
        <v/>
      </c>
      <c r="AG246" s="13" t="str">
        <f t="shared" si="29"/>
        <v/>
      </c>
      <c r="AH246" s="52"/>
      <c r="AP246" s="38"/>
    </row>
    <row r="247" spans="1:42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25"/>
        <v>1.8831535865504456E-4</v>
      </c>
      <c r="J247" s="6">
        <f t="shared" si="30"/>
        <v>1.2420806909965328E-2</v>
      </c>
      <c r="K247" s="6">
        <f t="shared" si="30"/>
        <v>6.0068453122636119E-3</v>
      </c>
      <c r="L247" s="6">
        <f t="shared" si="30"/>
        <v>2.9943605302915484E-4</v>
      </c>
      <c r="M247" s="6">
        <f t="shared" si="30"/>
        <v>3.1216986037119246E-3</v>
      </c>
      <c r="N247" s="6">
        <f t="shared" si="30"/>
        <v>-7.7647563892511828E-3</v>
      </c>
      <c r="O247" s="6">
        <f t="shared" si="27"/>
        <v>-6.0611412932984471E-3</v>
      </c>
      <c r="P247" s="6"/>
      <c r="Q247" s="13">
        <f t="shared" si="28"/>
        <v>1.2232491551310284E-2</v>
      </c>
      <c r="R247" s="13">
        <f t="shared" si="28"/>
        <v>5.8185299536085673E-3</v>
      </c>
      <c r="S247" s="13">
        <f t="shared" si="28"/>
        <v>1.1112069437411027E-4</v>
      </c>
      <c r="T247" s="13">
        <f t="shared" si="28"/>
        <v>2.9333832450568801E-3</v>
      </c>
      <c r="U247" s="13">
        <f t="shared" si="28"/>
        <v>-7.9530717479062273E-3</v>
      </c>
      <c r="V247" s="13"/>
      <c r="W247" s="13">
        <f>+B247/MAX(B$2:B247)-1</f>
        <v>-0.1064645374040577</v>
      </c>
      <c r="X247" s="13">
        <f>+C247/MAX(C$2:C247)-1</f>
        <v>-1.2548723134322093E-2</v>
      </c>
      <c r="Y247" s="13">
        <f>+D247/MAX(D$2:D247)-1</f>
        <v>-7.5944120347307575E-2</v>
      </c>
      <c r="Z247" s="13">
        <f>+E247/MAX(E$2:E247)-1</f>
        <v>-1.1299384247528743E-2</v>
      </c>
      <c r="AA247" s="13">
        <f>+F247/MAX(F$2:F247)-1</f>
        <v>-8.2527526821005059E-2</v>
      </c>
      <c r="AB247" s="52"/>
      <c r="AC247" s="13" t="str">
        <f t="shared" si="29"/>
        <v/>
      </c>
      <c r="AD247" s="13" t="str">
        <f t="shared" si="29"/>
        <v/>
      </c>
      <c r="AE247" s="13" t="str">
        <f t="shared" si="29"/>
        <v/>
      </c>
      <c r="AF247" s="13" t="str">
        <f t="shared" si="29"/>
        <v/>
      </c>
      <c r="AG247" s="13">
        <f t="shared" si="29"/>
        <v>-1.7036150959527357E-3</v>
      </c>
      <c r="AH247" s="52"/>
      <c r="AP247" s="38"/>
    </row>
    <row r="248" spans="1:42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25"/>
        <v>1.8869701894863589E-4</v>
      </c>
      <c r="J248" s="6">
        <f t="shared" si="30"/>
        <v>1.6496471649674511E-2</v>
      </c>
      <c r="K248" s="6">
        <f t="shared" si="30"/>
        <v>3.9362102876051566E-3</v>
      </c>
      <c r="L248" s="6">
        <f t="shared" si="30"/>
        <v>1.8098719175530638E-2</v>
      </c>
      <c r="M248" s="6">
        <f t="shared" si="30"/>
        <v>7.7620053354891094E-3</v>
      </c>
      <c r="N248" s="6">
        <f t="shared" si="30"/>
        <v>2.2781128575607587E-2</v>
      </c>
      <c r="O248" s="6">
        <f t="shared" si="27"/>
        <v>2.0246572613530339E-3</v>
      </c>
      <c r="P248" s="6"/>
      <c r="Q248" s="13">
        <f t="shared" si="28"/>
        <v>1.6307774630725875E-2</v>
      </c>
      <c r="R248" s="13">
        <f t="shared" si="28"/>
        <v>3.7475132686565207E-3</v>
      </c>
      <c r="S248" s="13">
        <f t="shared" si="28"/>
        <v>1.7910022156582002E-2</v>
      </c>
      <c r="T248" s="13">
        <f t="shared" si="28"/>
        <v>7.5733083165404735E-3</v>
      </c>
      <c r="U248" s="13">
        <f t="shared" si="28"/>
        <v>2.2592431556658951E-2</v>
      </c>
      <c r="V248" s="13"/>
      <c r="W248" s="13">
        <f>+B248/MAX(B$2:B248)-1</f>
        <v>-9.1602103160547177E-2</v>
      </c>
      <c r="X248" s="13">
        <f>+C248/MAX(C$2:C248)-1</f>
        <v>-8.6542475507211947E-3</v>
      </c>
      <c r="Y248" s="13">
        <f>+D248/MAX(D$2:D248)-1</f>
        <v>-5.9067631739466719E-2</v>
      </c>
      <c r="Z248" s="13">
        <f>+E248/MAX(E$2:E248)-1</f>
        <v>-3.5952236053018449E-3</v>
      </c>
      <c r="AA248" s="13">
        <f>+F248/MAX(F$2:F248)-1</f>
        <v>-6.1386575381140451E-2</v>
      </c>
      <c r="AB248" s="52"/>
      <c r="AC248" s="13" t="str">
        <f t="shared" si="29"/>
        <v/>
      </c>
      <c r="AD248" s="13" t="str">
        <f t="shared" si="29"/>
        <v/>
      </c>
      <c r="AE248" s="13" t="str">
        <f t="shared" si="29"/>
        <v/>
      </c>
      <c r="AF248" s="13" t="str">
        <f t="shared" si="29"/>
        <v/>
      </c>
      <c r="AG248" s="13" t="str">
        <f t="shared" si="29"/>
        <v/>
      </c>
      <c r="AH248" s="52"/>
      <c r="AP248" s="38"/>
    </row>
    <row r="249" spans="1:42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25"/>
        <v>1.8717016014413446E-4</v>
      </c>
      <c r="J249" s="6">
        <f t="shared" si="30"/>
        <v>1.3642429865120695E-2</v>
      </c>
      <c r="K249" s="6">
        <f t="shared" si="30"/>
        <v>-7.2779275329949461E-4</v>
      </c>
      <c r="L249" s="6">
        <f t="shared" si="30"/>
        <v>8.4907795310884548E-3</v>
      </c>
      <c r="M249" s="6">
        <f t="shared" si="30"/>
        <v>4.6284474501869788E-3</v>
      </c>
      <c r="N249" s="6">
        <f t="shared" si="30"/>
        <v>4.660780212150723E-3</v>
      </c>
      <c r="O249" s="6">
        <f t="shared" si="27"/>
        <v>-8.1245040168903531E-3</v>
      </c>
      <c r="P249" s="6"/>
      <c r="Q249" s="13">
        <f t="shared" si="28"/>
        <v>1.345525970497656E-2</v>
      </c>
      <c r="R249" s="13">
        <f t="shared" si="28"/>
        <v>-9.1496291344362907E-4</v>
      </c>
      <c r="S249" s="13">
        <f t="shared" si="28"/>
        <v>8.3036093709443204E-3</v>
      </c>
      <c r="T249" s="13">
        <f t="shared" si="28"/>
        <v>4.4412772900428443E-3</v>
      </c>
      <c r="U249" s="13">
        <f t="shared" si="28"/>
        <v>4.4736100520065885E-3</v>
      </c>
      <c r="V249" s="13"/>
      <c r="W249" s="13">
        <f>+B249/MAX(B$2:B249)-1</f>
        <v>-7.9124429191140044E-2</v>
      </c>
      <c r="X249" s="13">
        <f>+C249/MAX(C$2:C249)-1</f>
        <v>-9.3754793199052333E-3</v>
      </c>
      <c r="Y249" s="13">
        <f>+D249/MAX(D$2:D249)-1</f>
        <v>-5.1044368770331694E-2</v>
      </c>
      <c r="Z249" s="13">
        <f>+E249/MAX(E$2:E249)-1</f>
        <v>0</v>
      </c>
      <c r="AA249" s="13">
        <f>+F249/MAX(F$2:F249)-1</f>
        <v>-5.7001693958215638E-2</v>
      </c>
      <c r="AB249" s="52"/>
      <c r="AC249" s="13" t="str">
        <f t="shared" si="29"/>
        <v/>
      </c>
      <c r="AD249" s="13" t="str">
        <f t="shared" si="29"/>
        <v/>
      </c>
      <c r="AE249" s="13" t="str">
        <f t="shared" si="29"/>
        <v/>
      </c>
      <c r="AF249" s="13" t="str">
        <f t="shared" si="29"/>
        <v/>
      </c>
      <c r="AG249" s="13" t="str">
        <f t="shared" si="29"/>
        <v/>
      </c>
      <c r="AH249" s="52"/>
      <c r="AP249" s="38"/>
    </row>
    <row r="250" spans="1:42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25"/>
        <v>1.8717016014413446E-4</v>
      </c>
      <c r="J250" s="6">
        <f t="shared" si="30"/>
        <v>7.1046339891622338E-3</v>
      </c>
      <c r="K250" s="6">
        <f t="shared" si="30"/>
        <v>-7.4534799929999399E-3</v>
      </c>
      <c r="L250" s="6">
        <f t="shared" si="30"/>
        <v>1.8932455242062468E-3</v>
      </c>
      <c r="M250" s="6">
        <f t="shared" si="30"/>
        <v>-3.0832501301206196E-3</v>
      </c>
      <c r="N250" s="6">
        <f t="shared" si="30"/>
        <v>4.3036707511422095E-5</v>
      </c>
      <c r="O250" s="6">
        <f t="shared" si="27"/>
        <v>0</v>
      </c>
      <c r="P250" s="6"/>
      <c r="Q250" s="13">
        <f t="shared" si="28"/>
        <v>6.9174638290180994E-3</v>
      </c>
      <c r="R250" s="13">
        <f t="shared" si="28"/>
        <v>-7.6406501531440744E-3</v>
      </c>
      <c r="S250" s="13">
        <f t="shared" si="28"/>
        <v>1.7060753640621123E-3</v>
      </c>
      <c r="T250" s="13">
        <f t="shared" si="28"/>
        <v>-3.2704202902647541E-3</v>
      </c>
      <c r="U250" s="13">
        <f t="shared" si="28"/>
        <v>-1.4413345263271235E-4</v>
      </c>
      <c r="V250" s="13"/>
      <c r="W250" s="13">
        <f>+B250/MAX(B$2:B250)-1</f>
        <v>-7.2558649196865721E-2</v>
      </c>
      <c r="X250" s="13">
        <f>+C250/MAX(C$2:C250)-1</f>
        <v>-1.6731630845762679E-2</v>
      </c>
      <c r="Y250" s="13">
        <f>+D250/MAX(D$2:D250)-1</f>
        <v>-4.9246060986905982E-2</v>
      </c>
      <c r="Z250" s="13">
        <f>+E250/MAX(E$2:E250)-1</f>
        <v>-3.0785017957926097E-3</v>
      </c>
      <c r="AA250" s="13">
        <f>+F250/MAX(F$2:F250)-1</f>
        <v>-5.6961109542631227E-2</v>
      </c>
      <c r="AB250" s="52"/>
      <c r="AC250" s="13" t="str">
        <f t="shared" si="29"/>
        <v/>
      </c>
      <c r="AD250" s="13">
        <f t="shared" si="29"/>
        <v>-7.4534799929999399E-3</v>
      </c>
      <c r="AE250" s="13" t="str">
        <f t="shared" si="29"/>
        <v/>
      </c>
      <c r="AF250" s="13">
        <f t="shared" si="29"/>
        <v>-3.0832501301206196E-3</v>
      </c>
      <c r="AG250" s="13" t="str">
        <f t="shared" si="29"/>
        <v/>
      </c>
      <c r="AH250" s="52"/>
      <c r="AP250" s="38"/>
    </row>
    <row r="251" spans="1:42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25"/>
        <v>1.8678835474061906E-4</v>
      </c>
      <c r="J251" s="6">
        <f t="shared" si="30"/>
        <v>1.7046925905757491E-2</v>
      </c>
      <c r="K251" s="6">
        <f t="shared" si="30"/>
        <v>4.2450624586943594E-3</v>
      </c>
      <c r="L251" s="6">
        <f t="shared" si="30"/>
        <v>8.4515026665683331E-3</v>
      </c>
      <c r="M251" s="6">
        <f t="shared" si="30"/>
        <v>4.6213175955976916E-3</v>
      </c>
      <c r="N251" s="6">
        <f t="shared" si="30"/>
        <v>1.6707226654933075E-2</v>
      </c>
      <c r="O251" s="6">
        <f t="shared" si="27"/>
        <v>-2.0419673358617789E-3</v>
      </c>
      <c r="P251" s="6"/>
      <c r="Q251" s="13">
        <f t="shared" si="28"/>
        <v>1.6860137551016872E-2</v>
      </c>
      <c r="R251" s="13">
        <f t="shared" si="28"/>
        <v>4.0582741039537403E-3</v>
      </c>
      <c r="S251" s="13">
        <f t="shared" si="28"/>
        <v>8.2647143118277141E-3</v>
      </c>
      <c r="T251" s="13">
        <f t="shared" si="28"/>
        <v>4.4345292408570726E-3</v>
      </c>
      <c r="U251" s="13">
        <f t="shared" si="28"/>
        <v>1.6520438300192456E-2</v>
      </c>
      <c r="V251" s="13"/>
      <c r="W251" s="13">
        <f>+B251/MAX(B$2:B251)-1</f>
        <v>-5.6613100053501508E-2</v>
      </c>
      <c r="X251" s="13">
        <f>+C251/MAX(C$2:C251)-1</f>
        <v>-1.2548723134322093E-2</v>
      </c>
      <c r="Y251" s="13">
        <f>+D251/MAX(D$2:D251)-1</f>
        <v>-4.117671049884053E-2</v>
      </c>
      <c r="Z251" s="13">
        <f>+E251/MAX(E$2:E251)-1</f>
        <v>0</v>
      </c>
      <c r="AA251" s="13">
        <f>+F251/MAX(F$2:F251)-1</f>
        <v>-4.1073193111236472E-2</v>
      </c>
      <c r="AB251" s="52"/>
      <c r="AC251" s="13" t="str">
        <f t="shared" si="29"/>
        <v/>
      </c>
      <c r="AD251" s="13" t="str">
        <f t="shared" si="29"/>
        <v/>
      </c>
      <c r="AE251" s="13" t="str">
        <f t="shared" si="29"/>
        <v/>
      </c>
      <c r="AF251" s="13" t="str">
        <f t="shared" si="29"/>
        <v/>
      </c>
      <c r="AG251" s="13" t="str">
        <f t="shared" si="29"/>
        <v/>
      </c>
      <c r="AH251" s="52"/>
      <c r="AP251" s="38"/>
    </row>
    <row r="252" spans="1:42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25"/>
        <v>1.8487878316397754E-4</v>
      </c>
      <c r="J252" s="6">
        <f t="shared" si="30"/>
        <v>2.0316357014954671E-3</v>
      </c>
      <c r="K252" s="6">
        <f t="shared" si="30"/>
        <v>1.751357702825767E-3</v>
      </c>
      <c r="L252" s="6">
        <f t="shared" si="30"/>
        <v>1.1000172910606301E-2</v>
      </c>
      <c r="M252" s="6">
        <f t="shared" si="30"/>
        <v>5.6193763609869146E-3</v>
      </c>
      <c r="N252" s="6">
        <f t="shared" si="30"/>
        <v>3.816476067632372E-3</v>
      </c>
      <c r="O252" s="6">
        <f t="shared" si="27"/>
        <v>-1.0275798879295729E-2</v>
      </c>
      <c r="P252" s="6"/>
      <c r="Q252" s="13">
        <f t="shared" si="28"/>
        <v>1.8467569183314896E-3</v>
      </c>
      <c r="R252" s="13">
        <f t="shared" si="28"/>
        <v>1.5664789196617895E-3</v>
      </c>
      <c r="S252" s="13">
        <f t="shared" si="28"/>
        <v>1.0815294127442324E-2</v>
      </c>
      <c r="T252" s="13">
        <f t="shared" si="28"/>
        <v>5.434497577822937E-3</v>
      </c>
      <c r="U252" s="13">
        <f t="shared" si="28"/>
        <v>3.6315972844683945E-3</v>
      </c>
      <c r="V252" s="13"/>
      <c r="W252" s="13">
        <f>+B252/MAX(B$2:B252)-1</f>
        <v>-5.4694533292797609E-2</v>
      </c>
      <c r="X252" s="13">
        <f>+C252/MAX(C$2:C252)-1</f>
        <v>-1.0817827468113994E-2</v>
      </c>
      <c r="Y252" s="13">
        <f>+D252/MAX(D$2:D252)-1</f>
        <v>-3.0571264595639414E-2</v>
      </c>
      <c r="Z252" s="13">
        <f>+E252/MAX(E$2:E252)-1</f>
        <v>0</v>
      </c>
      <c r="AA252" s="13">
        <f>+F252/MAX(F$2:F252)-1</f>
        <v>-3.7406479390175051E-2</v>
      </c>
      <c r="AB252" s="52"/>
      <c r="AC252" s="13" t="str">
        <f t="shared" si="29"/>
        <v/>
      </c>
      <c r="AD252" s="13" t="str">
        <f t="shared" si="29"/>
        <v/>
      </c>
      <c r="AE252" s="13" t="str">
        <f t="shared" si="29"/>
        <v/>
      </c>
      <c r="AF252" s="13" t="str">
        <f t="shared" si="29"/>
        <v/>
      </c>
      <c r="AG252" s="13" t="str">
        <f t="shared" si="29"/>
        <v/>
      </c>
      <c r="AH252" s="52"/>
      <c r="AP252" s="38"/>
    </row>
    <row r="253" spans="1:42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25"/>
        <v>1.8067452749437329E-4</v>
      </c>
      <c r="J253" s="6">
        <f t="shared" si="30"/>
        <v>1.3439858184173351E-2</v>
      </c>
      <c r="K253" s="6">
        <f t="shared" si="30"/>
        <v>1.0201851494693278E-3</v>
      </c>
      <c r="L253" s="6">
        <f t="shared" si="30"/>
        <v>6.2116322685317679E-3</v>
      </c>
      <c r="M253" s="6">
        <f t="shared" si="30"/>
        <v>-2.7894319608277238E-2</v>
      </c>
      <c r="N253" s="6">
        <f t="shared" si="30"/>
        <v>1.6004444012785939E-2</v>
      </c>
      <c r="O253" s="6">
        <f t="shared" si="27"/>
        <v>-2.3003162241745385E-2</v>
      </c>
      <c r="P253" s="6"/>
      <c r="Q253" s="13">
        <f t="shared" si="28"/>
        <v>1.3259183656678978E-2</v>
      </c>
      <c r="R253" s="13">
        <f t="shared" si="28"/>
        <v>8.3951062197495452E-4</v>
      </c>
      <c r="S253" s="13">
        <f t="shared" si="28"/>
        <v>6.0309577410373946E-3</v>
      </c>
      <c r="T253" s="13">
        <f t="shared" si="28"/>
        <v>-2.8074994135771612E-2</v>
      </c>
      <c r="U253" s="13">
        <f t="shared" si="28"/>
        <v>1.5823769485291565E-2</v>
      </c>
      <c r="V253" s="13"/>
      <c r="W253" s="13">
        <f>+B253/MAX(B$2:B253)-1</f>
        <v>-4.1904002951235753E-2</v>
      </c>
      <c r="X253" s="13">
        <f>+C253/MAX(C$2:C253)-1</f>
        <v>-9.808163571089934E-3</v>
      </c>
      <c r="Y253" s="13">
        <f>+D253/MAX(D$2:D253)-1</f>
        <v>-2.4530788595259478E-2</v>
      </c>
      <c r="Z253" s="13">
        <f>+E253/MAX(E$2:E253)-1</f>
        <v>-2.7508865385067138E-2</v>
      </c>
      <c r="AA253" s="13">
        <f>+F253/MAX(F$2:F253)-1</f>
        <v>-2.1876764539807914E-2</v>
      </c>
      <c r="AB253" s="52"/>
      <c r="AC253" s="13" t="str">
        <f t="shared" si="29"/>
        <v/>
      </c>
      <c r="AD253" s="13" t="str">
        <f t="shared" si="29"/>
        <v/>
      </c>
      <c r="AE253" s="13" t="str">
        <f t="shared" si="29"/>
        <v/>
      </c>
      <c r="AF253" s="13">
        <f t="shared" si="29"/>
        <v>-4.8911573665318536E-3</v>
      </c>
      <c r="AG253" s="13" t="str">
        <f t="shared" si="29"/>
        <v/>
      </c>
      <c r="AH253" s="52"/>
      <c r="AP253" s="38"/>
    </row>
    <row r="254" spans="1:42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25"/>
        <v>1.69569441239803E-4</v>
      </c>
      <c r="J254" s="6">
        <f t="shared" si="30"/>
        <v>5.9010397660438866E-3</v>
      </c>
      <c r="K254" s="6">
        <f t="shared" si="30"/>
        <v>7.6906421617582866E-3</v>
      </c>
      <c r="L254" s="6">
        <f t="shared" si="30"/>
        <v>1.1374431605290789E-2</v>
      </c>
      <c r="M254" s="6">
        <f t="shared" si="30"/>
        <v>1.3010852287492039E-2</v>
      </c>
      <c r="N254" s="6">
        <f t="shared" si="30"/>
        <v>0</v>
      </c>
      <c r="O254" s="6">
        <f t="shared" si="27"/>
        <v>-6.3434696187352618E-2</v>
      </c>
      <c r="P254" s="6"/>
      <c r="Q254" s="13">
        <f t="shared" si="28"/>
        <v>5.7314703248040836E-3</v>
      </c>
      <c r="R254" s="13">
        <f t="shared" si="28"/>
        <v>7.5210727205184836E-3</v>
      </c>
      <c r="S254" s="13">
        <f t="shared" si="28"/>
        <v>1.1204862164050986E-2</v>
      </c>
      <c r="T254" s="13">
        <f t="shared" si="28"/>
        <v>1.2841282846252236E-2</v>
      </c>
      <c r="U254" s="13">
        <f t="shared" si="28"/>
        <v>-1.69569441239803E-4</v>
      </c>
      <c r="V254" s="13"/>
      <c r="W254" s="13">
        <f>+B254/MAX(B$2:B254)-1</f>
        <v>-3.6233525972789837E-2</v>
      </c>
      <c r="X254" s="13">
        <f>+C254/MAX(C$2:C254)-1</f>
        <v>-2.1635943411625336E-3</v>
      </c>
      <c r="Y254" s="13">
        <f>+D254/MAX(D$2:D254)-1</f>
        <v>-1.3372038856735324E-2</v>
      </c>
      <c r="Z254" s="13">
        <f>+E254/MAX(E$2:E254)-1</f>
        <v>-1.4773255974185329E-2</v>
      </c>
      <c r="AA254" s="13">
        <f>+F254/MAX(F$2:F254)-1</f>
        <v>-2.1876764539807914E-2</v>
      </c>
      <c r="AB254" s="52"/>
      <c r="AC254" s="13" t="str">
        <f t="shared" si="29"/>
        <v/>
      </c>
      <c r="AD254" s="13" t="str">
        <f t="shared" si="29"/>
        <v/>
      </c>
      <c r="AE254" s="13" t="str">
        <f t="shared" si="29"/>
        <v/>
      </c>
      <c r="AF254" s="13" t="str">
        <f t="shared" si="29"/>
        <v/>
      </c>
      <c r="AG254" s="13" t="str">
        <f t="shared" si="29"/>
        <v/>
      </c>
      <c r="AH254" s="52"/>
      <c r="AP254" s="38"/>
    </row>
    <row r="255" spans="1:42" x14ac:dyDescent="0.2">
      <c r="AP255" s="38"/>
    </row>
    <row r="256" spans="1:42" x14ac:dyDescent="0.2">
      <c r="AP256" s="38"/>
    </row>
    <row r="257" spans="42:42" x14ac:dyDescent="0.2">
      <c r="AP257" s="38"/>
    </row>
    <row r="258" spans="42:42" x14ac:dyDescent="0.2">
      <c r="AP258" s="38"/>
    </row>
    <row r="259" spans="42:42" x14ac:dyDescent="0.2">
      <c r="AP259" s="38"/>
    </row>
    <row r="260" spans="42:42" x14ac:dyDescent="0.2">
      <c r="AP260" s="38"/>
    </row>
    <row r="261" spans="42:42" x14ac:dyDescent="0.2">
      <c r="AP261" s="38"/>
    </row>
    <row r="262" spans="42:42" x14ac:dyDescent="0.2">
      <c r="AP262" s="38"/>
    </row>
    <row r="263" spans="42:42" x14ac:dyDescent="0.2">
      <c r="AP263" s="38"/>
    </row>
    <row r="264" spans="42:42" x14ac:dyDescent="0.2">
      <c r="AP264" s="38"/>
    </row>
  </sheetData>
  <mergeCells count="3">
    <mergeCell ref="J1:O1"/>
    <mergeCell ref="Q1:U1"/>
    <mergeCell ref="AC1:A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B07B-1859-8C40-B4E4-57FDC21391EE}">
  <dimension ref="A1:AA264"/>
  <sheetViews>
    <sheetView showGridLines="0" topLeftCell="D1" zoomScale="130" zoomScaleNormal="130" workbookViewId="0">
      <selection activeCell="T4" sqref="T4:U6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6" max="16" width="2.5" style="3" customWidth="1"/>
    <col min="18" max="18" width="2.5" style="3" customWidth="1"/>
    <col min="19" max="19" width="23.33203125" style="3" customWidth="1"/>
    <col min="20" max="20" width="12.1640625" style="3" bestFit="1" customWidth="1"/>
    <col min="21" max="21" width="11.33203125" style="3"/>
    <col min="22" max="22" width="11.6640625" style="3" bestFit="1" customWidth="1"/>
    <col min="23" max="23" width="13.6640625" style="3" bestFit="1" customWidth="1"/>
    <col min="24" max="24" width="11.33203125" style="3"/>
    <col min="25" max="25" width="13.6640625" style="3" bestFit="1" customWidth="1"/>
    <col min="26" max="26" width="16.5" bestFit="1" customWidth="1"/>
    <col min="27" max="27" width="8" style="20" bestFit="1" customWidth="1"/>
    <col min="28" max="16384" width="11.33203125" style="3"/>
  </cols>
  <sheetData>
    <row r="1" spans="1:27" ht="17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90" t="s">
        <v>72</v>
      </c>
      <c r="K1" s="90"/>
      <c r="L1" s="90"/>
      <c r="M1" s="90"/>
      <c r="N1" s="90"/>
      <c r="O1" s="90"/>
      <c r="P1" s="56"/>
      <c r="Q1" s="91" t="s">
        <v>60</v>
      </c>
      <c r="R1" s="56"/>
      <c r="S1" s="3" t="s">
        <v>35</v>
      </c>
      <c r="U1" s="3" t="s">
        <v>43</v>
      </c>
      <c r="Z1" s="38"/>
      <c r="AA1" s="38"/>
    </row>
    <row r="2" spans="1:27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57" t="s">
        <v>1</v>
      </c>
      <c r="K2" s="57" t="s">
        <v>2</v>
      </c>
      <c r="L2" s="57" t="s">
        <v>3</v>
      </c>
      <c r="M2" s="57" t="s">
        <v>4</v>
      </c>
      <c r="N2" s="58" t="s">
        <v>15</v>
      </c>
      <c r="O2" s="48" t="s">
        <v>34</v>
      </c>
      <c r="P2" s="56"/>
      <c r="Q2" s="92"/>
      <c r="R2" s="56"/>
      <c r="S2" s="3" t="s">
        <v>36</v>
      </c>
      <c r="U2" s="3" t="s">
        <v>51</v>
      </c>
      <c r="Z2" s="38"/>
    </row>
    <row r="3" spans="1:27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 t="shared" ref="H3:H66" si="0"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 t="shared" ref="O3:O66" si="1">LN(H3/H2)</f>
        <v>-1.8162558630952245E-3</v>
      </c>
      <c r="P3" s="6"/>
      <c r="Q3" s="6">
        <f>+SUMPRODUCT($T$16:$W$16,J3:M3)</f>
        <v>-9.8350837056143635E-3</v>
      </c>
      <c r="R3" s="6"/>
      <c r="Z3" s="38"/>
    </row>
    <row r="4" spans="1:27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si="0"/>
        <v>2.0849354880780879E-4</v>
      </c>
      <c r="J4" s="6">
        <f t="shared" ref="J4:J35" si="2">LN(B4/B3)</f>
        <v>2.8121205565770678E-3</v>
      </c>
      <c r="K4" s="6">
        <f t="shared" ref="K4:K35" si="3">LN(C4/C3)</f>
        <v>5.5939921723177225E-3</v>
      </c>
      <c r="L4" s="6">
        <f t="shared" ref="L4:L35" si="4">LN(D4/D3)</f>
        <v>2.2848847647558819E-3</v>
      </c>
      <c r="M4" s="6">
        <f t="shared" ref="M4:M35" si="5">LN(E4/E3)</f>
        <v>2.8511962146941443E-3</v>
      </c>
      <c r="N4" s="6">
        <f t="shared" ref="N4:N67" si="6">LN(F4/F3)</f>
        <v>-1.4874022775515319E-4</v>
      </c>
      <c r="O4" s="6">
        <f t="shared" si="1"/>
        <v>-1.8197328262530177E-3</v>
      </c>
      <c r="P4" s="6"/>
      <c r="Q4" s="6">
        <f t="shared" ref="Q4:Q67" si="7">+SUMPRODUCT($T$16:$W$16,J4:M4)</f>
        <v>2.5809540020426194E-3</v>
      </c>
      <c r="R4" s="6"/>
      <c r="S4" s="7" t="s">
        <v>6</v>
      </c>
      <c r="T4" s="50" t="s">
        <v>1</v>
      </c>
      <c r="U4" s="50" t="s">
        <v>2</v>
      </c>
      <c r="V4" s="50" t="s">
        <v>3</v>
      </c>
      <c r="W4" s="50" t="s">
        <v>4</v>
      </c>
      <c r="X4" s="50" t="s">
        <v>15</v>
      </c>
      <c r="Z4" s="38"/>
    </row>
    <row r="5" spans="1:27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0"/>
        <v>2.0925300885044074E-4</v>
      </c>
      <c r="J5" s="6">
        <f t="shared" si="2"/>
        <v>7.7070400094383651E-3</v>
      </c>
      <c r="K5" s="6">
        <f t="shared" si="3"/>
        <v>-8.568180711971048E-3</v>
      </c>
      <c r="L5" s="6">
        <f t="shared" si="4"/>
        <v>3.4177360836862881E-3</v>
      </c>
      <c r="M5" s="6">
        <f t="shared" si="5"/>
        <v>3.5523360724823969E-3</v>
      </c>
      <c r="N5" s="6">
        <f t="shared" si="6"/>
        <v>6.8556214812669266E-3</v>
      </c>
      <c r="O5" s="6">
        <f t="shared" si="1"/>
        <v>3.635988689348241E-3</v>
      </c>
      <c r="P5" s="6"/>
      <c r="Q5" s="6">
        <f>+SUMPRODUCT($T$16:$W$16,J5:M5)</f>
        <v>4.273332930691558E-3</v>
      </c>
      <c r="R5" s="6"/>
      <c r="S5" s="55" t="s">
        <v>21</v>
      </c>
      <c r="T5" s="8">
        <f>AVERAGE(J3:J254)</f>
        <v>1.0005667965467292E-3</v>
      </c>
      <c r="U5" s="8">
        <f>AVERAGE(K3:K254)</f>
        <v>6.5844828632144513E-4</v>
      </c>
      <c r="V5" s="8">
        <f>AVERAGE(L3:L254)</f>
        <v>1.5030786305094985E-3</v>
      </c>
      <c r="W5" s="8">
        <f>AVERAGE(M3:M254)</f>
        <v>1.5168662454873357E-3</v>
      </c>
      <c r="X5" s="8">
        <f>AVERAGE(N3:N254)</f>
        <v>9.1264845799794573E-4</v>
      </c>
    </row>
    <row r="6" spans="1:27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0"/>
        <v>2.1001232533235381E-4</v>
      </c>
      <c r="J6" s="6">
        <f t="shared" si="2"/>
        <v>7.8738144273404372E-3</v>
      </c>
      <c r="K6" s="6">
        <f t="shared" si="3"/>
        <v>-6.141625470814838E-3</v>
      </c>
      <c r="L6" s="6">
        <f t="shared" si="4"/>
        <v>-2.0956622133486116E-2</v>
      </c>
      <c r="M6" s="6">
        <f t="shared" si="5"/>
        <v>1.1283650762276005E-2</v>
      </c>
      <c r="N6" s="6">
        <f t="shared" si="6"/>
        <v>-2.7812820922299762E-3</v>
      </c>
      <c r="O6" s="6">
        <f t="shared" si="1"/>
        <v>3.6221325742041705E-3</v>
      </c>
      <c r="P6" s="6"/>
      <c r="Q6" s="6">
        <f t="shared" si="7"/>
        <v>-4.3248246938818449E-3</v>
      </c>
      <c r="R6" s="6"/>
      <c r="S6" s="55" t="s">
        <v>39</v>
      </c>
      <c r="T6" s="8">
        <f>STDEV(J3:J254)</f>
        <v>1.4317007168692672E-2</v>
      </c>
      <c r="U6" s="8">
        <f>STDEV(K3:K254)</f>
        <v>8.4145554622722402E-3</v>
      </c>
      <c r="V6" s="8">
        <f>STDEV(L3:L254)</f>
        <v>1.1640822805611175E-2</v>
      </c>
      <c r="W6" s="8">
        <f>STDEV(M3:M254)</f>
        <v>1.3397541042164431E-2</v>
      </c>
      <c r="X6" s="8">
        <f>STDEV(N3:N254)</f>
        <v>7.8758266281572179E-3</v>
      </c>
      <c r="Z6" s="38"/>
    </row>
    <row r="7" spans="1:27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0"/>
        <v>2.0849354880780879E-4</v>
      </c>
      <c r="J7" s="6">
        <f t="shared" si="2"/>
        <v>2.1711540417555734E-2</v>
      </c>
      <c r="K7" s="6">
        <f t="shared" si="3"/>
        <v>3.4904214645253497E-3</v>
      </c>
      <c r="L7" s="6">
        <f t="shared" si="4"/>
        <v>6.740365503857486E-3</v>
      </c>
      <c r="M7" s="6">
        <f t="shared" si="5"/>
        <v>-7.0373473579131004E-3</v>
      </c>
      <c r="N7" s="6">
        <f t="shared" si="6"/>
        <v>1.0984339030271489E-2</v>
      </c>
      <c r="O7" s="6">
        <f t="shared" si="1"/>
        <v>-7.2581212635524379E-3</v>
      </c>
      <c r="P7" s="6"/>
      <c r="Q7" s="6">
        <f t="shared" si="7"/>
        <v>4.7794071065958878E-3</v>
      </c>
      <c r="R7" s="6"/>
      <c r="Z7" s="38"/>
    </row>
    <row r="8" spans="1:27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0"/>
        <v>2.1001232533235381E-4</v>
      </c>
      <c r="J8" s="6">
        <f t="shared" si="2"/>
        <v>-2.6519108676923038E-2</v>
      </c>
      <c r="K8" s="6">
        <f t="shared" si="3"/>
        <v>-2.6582344086022547E-3</v>
      </c>
      <c r="L8" s="6">
        <f t="shared" si="4"/>
        <v>-9.5044774711671462E-4</v>
      </c>
      <c r="M8" s="6">
        <f t="shared" si="5"/>
        <v>-7.0654176800563693E-4</v>
      </c>
      <c r="N8" s="6">
        <f t="shared" si="6"/>
        <v>-1.3549420207499292E-2</v>
      </c>
      <c r="O8" s="6">
        <f t="shared" si="1"/>
        <v>7.2581212635524119E-3</v>
      </c>
      <c r="P8" s="6"/>
      <c r="Q8" s="6">
        <f t="shared" si="7"/>
        <v>-5.6873822385500863E-3</v>
      </c>
      <c r="R8" s="6"/>
      <c r="S8" s="7" t="s">
        <v>7</v>
      </c>
      <c r="T8" s="50" t="s">
        <v>1</v>
      </c>
      <c r="U8" s="50" t="s">
        <v>2</v>
      </c>
      <c r="V8" s="50" t="s">
        <v>3</v>
      </c>
      <c r="W8" s="50" t="s">
        <v>4</v>
      </c>
      <c r="X8" s="50" t="s">
        <v>15</v>
      </c>
      <c r="Z8" s="38"/>
    </row>
    <row r="9" spans="1:27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0"/>
        <v>2.1190998881470691E-4</v>
      </c>
      <c r="J9" s="6">
        <f t="shared" si="2"/>
        <v>1.2564052740774025E-2</v>
      </c>
      <c r="K9" s="6">
        <f t="shared" si="3"/>
        <v>4.6472362667604817E-3</v>
      </c>
      <c r="L9" s="6">
        <f t="shared" si="4"/>
        <v>-1.2233201758554283E-3</v>
      </c>
      <c r="M9" s="6">
        <f t="shared" si="5"/>
        <v>-2.830866787178094E-3</v>
      </c>
      <c r="N9" s="6">
        <f t="shared" si="6"/>
        <v>6.6955233154781116E-3</v>
      </c>
      <c r="O9" s="6">
        <f t="shared" si="1"/>
        <v>8.9953823952637728E-3</v>
      </c>
      <c r="P9" s="6"/>
      <c r="Q9" s="6">
        <f t="shared" si="7"/>
        <v>8.1844057171207496E-4</v>
      </c>
      <c r="R9" s="6"/>
      <c r="S9" s="55" t="s">
        <v>21</v>
      </c>
      <c r="T9" s="8">
        <f>((1+T5)^250)-1</f>
        <v>0.28404678408841222</v>
      </c>
      <c r="U9" s="8">
        <f>((1+U5)^250)-1</f>
        <v>0.17887182553898695</v>
      </c>
      <c r="V9" s="8">
        <f>((1+V5)^250)-1</f>
        <v>0.45570094625533186</v>
      </c>
      <c r="W9" s="8">
        <f>((1+W5)^250)-1</f>
        <v>0.46071967373147737</v>
      </c>
      <c r="X9" s="8">
        <f>((1+X5)^250)-1</f>
        <v>0.25615825825352467</v>
      </c>
      <c r="Z9" s="54"/>
    </row>
    <row r="10" spans="1:27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0"/>
        <v>2.1190998881470691E-4</v>
      </c>
      <c r="J10" s="6">
        <f t="shared" si="2"/>
        <v>8.8072127836774459E-3</v>
      </c>
      <c r="K10" s="6">
        <f t="shared" si="3"/>
        <v>2.811071519673288E-3</v>
      </c>
      <c r="L10" s="6">
        <f t="shared" si="4"/>
        <v>3.4622835952314748E-3</v>
      </c>
      <c r="M10" s="6">
        <f t="shared" si="5"/>
        <v>7.0621975605345338E-3</v>
      </c>
      <c r="N10" s="6">
        <f t="shared" si="6"/>
        <v>6.2450565111568821E-3</v>
      </c>
      <c r="O10" s="6">
        <f t="shared" si="1"/>
        <v>0</v>
      </c>
      <c r="P10" s="6"/>
      <c r="Q10" s="6">
        <f t="shared" si="7"/>
        <v>5.7202376124573387E-3</v>
      </c>
      <c r="R10" s="6"/>
      <c r="S10" s="55" t="s">
        <v>39</v>
      </c>
      <c r="T10" s="8">
        <f>T6*SQRT(250)</f>
        <v>0.22637175965013689</v>
      </c>
      <c r="U10" s="8">
        <f>U6*SQRT(250)</f>
        <v>0.13304580379295658</v>
      </c>
      <c r="V10" s="8">
        <f>V6*SQRT(250)</f>
        <v>0.18405756952081409</v>
      </c>
      <c r="W10" s="8">
        <f>W6*SQRT(250)</f>
        <v>0.21183372369412781</v>
      </c>
      <c r="X10" s="8">
        <f>X6*SQRT(250)</f>
        <v>0.12452775300790411</v>
      </c>
      <c r="Z10" s="38"/>
    </row>
    <row r="11" spans="1:27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0"/>
        <v>2.0925300885044074E-4</v>
      </c>
      <c r="J11" s="6">
        <f t="shared" si="2"/>
        <v>2.1575762719950167E-2</v>
      </c>
      <c r="K11" s="6">
        <f t="shared" si="3"/>
        <v>-9.9121473034572902E-4</v>
      </c>
      <c r="L11" s="6">
        <f t="shared" si="4"/>
        <v>8.0993210507113115E-3</v>
      </c>
      <c r="M11" s="6">
        <f t="shared" si="5"/>
        <v>3.8652123786868747E-2</v>
      </c>
      <c r="N11" s="6">
        <f t="shared" si="6"/>
        <v>1.4404107984150809E-2</v>
      </c>
      <c r="O11" s="6">
        <f t="shared" si="1"/>
        <v>-1.2617514969468103E-2</v>
      </c>
      <c r="P11" s="6"/>
      <c r="Q11" s="6">
        <f t="shared" si="7"/>
        <v>2.1249772828098801E-2</v>
      </c>
      <c r="R11" s="6"/>
      <c r="Z11" s="38"/>
    </row>
    <row r="12" spans="1:27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0"/>
        <v>2.1001232533235381E-4</v>
      </c>
      <c r="J12" s="6">
        <f t="shared" si="2"/>
        <v>1.899078242547661E-2</v>
      </c>
      <c r="K12" s="6">
        <f t="shared" si="3"/>
        <v>-4.9597604879833524E-4</v>
      </c>
      <c r="L12" s="6">
        <f t="shared" si="4"/>
        <v>-4.0415125667635282E-3</v>
      </c>
      <c r="M12" s="6">
        <f t="shared" si="5"/>
        <v>-2.7118017809940271E-3</v>
      </c>
      <c r="N12" s="6">
        <f t="shared" si="6"/>
        <v>3.8258021699069606E-3</v>
      </c>
      <c r="O12" s="6">
        <f t="shared" si="1"/>
        <v>3.6221325742041705E-3</v>
      </c>
      <c r="P12" s="6"/>
      <c r="Q12" s="6">
        <f t="shared" si="7"/>
        <v>7.6354593416647749E-4</v>
      </c>
      <c r="R12" s="6"/>
      <c r="S12" s="3" t="s">
        <v>38</v>
      </c>
      <c r="T12" s="9">
        <f>+AVERAGE($G$2:$G$254)</f>
        <v>5.1073122529644292E-2</v>
      </c>
      <c r="U12" s="9"/>
      <c r="V12" s="9"/>
      <c r="W12" s="9"/>
      <c r="X12" s="9"/>
      <c r="Z12" s="38"/>
    </row>
    <row r="13" spans="1:27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0"/>
        <v>2.0925300885044074E-4</v>
      </c>
      <c r="J13" s="6">
        <f t="shared" si="2"/>
        <v>1.1717517176788328E-3</v>
      </c>
      <c r="K13" s="6">
        <f t="shared" si="3"/>
        <v>-1.0640119950070189E-2</v>
      </c>
      <c r="L13" s="6">
        <f t="shared" si="4"/>
        <v>-1.2428386047596607E-2</v>
      </c>
      <c r="M13" s="6">
        <f t="shared" si="5"/>
        <v>4.0649860690958528E-3</v>
      </c>
      <c r="N13" s="6">
        <f t="shared" si="6"/>
        <v>-1.5982216816604765E-3</v>
      </c>
      <c r="O13" s="6">
        <f t="shared" si="1"/>
        <v>-3.6221325742042767E-3</v>
      </c>
      <c r="P13" s="6"/>
      <c r="Q13" s="6">
        <f t="shared" si="7"/>
        <v>-4.1365897546672597E-3</v>
      </c>
      <c r="R13" s="6"/>
      <c r="S13" s="3" t="s">
        <v>40</v>
      </c>
      <c r="T13" s="22">
        <f>+(T9-$T$12)/T10</f>
        <v>1.0291639819332341</v>
      </c>
      <c r="U13" s="22">
        <f t="shared" ref="U13:X13" si="8">+(U9-$T$12)/U10</f>
        <v>0.96056169654339962</v>
      </c>
      <c r="V13" s="22">
        <f t="shared" si="8"/>
        <v>2.1983764361287537</v>
      </c>
      <c r="W13" s="22">
        <f t="shared" si="8"/>
        <v>1.9338117843471057</v>
      </c>
      <c r="X13" s="22">
        <f t="shared" si="8"/>
        <v>1.6469030458685228</v>
      </c>
      <c r="Z13" s="38"/>
    </row>
    <row r="14" spans="1:27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0"/>
        <v>2.0887329677776734E-4</v>
      </c>
      <c r="J14" s="6">
        <f t="shared" si="2"/>
        <v>8.4277857631225358E-3</v>
      </c>
      <c r="K14" s="6">
        <f t="shared" si="3"/>
        <v>-8.7293459886518768E-3</v>
      </c>
      <c r="L14" s="6">
        <f t="shared" si="4"/>
        <v>3.3430239573994255E-3</v>
      </c>
      <c r="M14" s="6">
        <f t="shared" si="5"/>
        <v>-9.5109702559868468E-3</v>
      </c>
      <c r="N14" s="6">
        <f t="shared" si="6"/>
        <v>1.7975431036151848E-3</v>
      </c>
      <c r="O14" s="6">
        <f t="shared" si="1"/>
        <v>-1.8162558630952245E-3</v>
      </c>
      <c r="P14" s="6"/>
      <c r="Q14" s="6">
        <f t="shared" si="7"/>
        <v>-1.6152064572379004E-4</v>
      </c>
      <c r="R14" s="6"/>
      <c r="Z14" s="38"/>
    </row>
    <row r="15" spans="1:27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0"/>
        <v>2.0887329677776734E-4</v>
      </c>
      <c r="J15" s="6">
        <f t="shared" si="2"/>
        <v>1.2659131987154749E-3</v>
      </c>
      <c r="K15" s="6">
        <f t="shared" si="3"/>
        <v>-8.2960032000802229E-3</v>
      </c>
      <c r="L15" s="6">
        <f t="shared" si="4"/>
        <v>-1.1095405596341172E-2</v>
      </c>
      <c r="M15" s="6">
        <f t="shared" si="5"/>
        <v>-1.1671910678181512E-2</v>
      </c>
      <c r="N15" s="6">
        <f t="shared" si="6"/>
        <v>-4.203010869610265E-3</v>
      </c>
      <c r="O15" s="6">
        <f t="shared" si="1"/>
        <v>0</v>
      </c>
      <c r="P15" s="6"/>
      <c r="Q15" s="6">
        <f t="shared" si="7"/>
        <v>-8.9645462520043483E-3</v>
      </c>
      <c r="R15" s="6"/>
      <c r="S15" s="10" t="s">
        <v>8</v>
      </c>
      <c r="T15" s="50" t="s">
        <v>1</v>
      </c>
      <c r="U15" s="50" t="s">
        <v>2</v>
      </c>
      <c r="V15" s="50" t="s">
        <v>3</v>
      </c>
      <c r="W15" s="50" t="s">
        <v>4</v>
      </c>
      <c r="Z15" s="38"/>
    </row>
    <row r="16" spans="1:27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0"/>
        <v>2.1115103099722532E-4</v>
      </c>
      <c r="J16" s="6">
        <f t="shared" si="2"/>
        <v>-3.6449647610985361E-2</v>
      </c>
      <c r="K16" s="6">
        <f t="shared" si="3"/>
        <v>-6.802636816685408E-4</v>
      </c>
      <c r="L16" s="6">
        <f t="shared" si="4"/>
        <v>-1.65396632304482E-3</v>
      </c>
      <c r="M16" s="6">
        <f t="shared" si="5"/>
        <v>8.9378657253624903E-3</v>
      </c>
      <c r="N16" s="6">
        <f t="shared" si="6"/>
        <v>-6.9959927442528732E-3</v>
      </c>
      <c r="O16" s="6">
        <f t="shared" si="1"/>
        <v>1.0845831522955813E-2</v>
      </c>
      <c r="P16" s="6"/>
      <c r="Q16" s="6">
        <f t="shared" si="7"/>
        <v>-4.5376899249915444E-3</v>
      </c>
      <c r="R16" s="6"/>
      <c r="S16" s="11" t="s">
        <v>45</v>
      </c>
      <c r="T16" s="51">
        <v>0.1885757003250691</v>
      </c>
      <c r="U16" s="51">
        <v>0</v>
      </c>
      <c r="V16" s="51">
        <v>0.46418537552982903</v>
      </c>
      <c r="W16" s="51">
        <v>0.34723892414510182</v>
      </c>
      <c r="X16" s="49">
        <f>SUM(T16:W16)</f>
        <v>0.99999999999999989</v>
      </c>
      <c r="Z16" s="38"/>
    </row>
    <row r="17" spans="1:26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0"/>
        <v>2.1190998881470691E-4</v>
      </c>
      <c r="J17" s="6">
        <f t="shared" si="2"/>
        <v>-2.9685687263803755E-2</v>
      </c>
      <c r="K17" s="6">
        <f t="shared" si="3"/>
        <v>-7.685086250950387E-3</v>
      </c>
      <c r="L17" s="6">
        <f t="shared" si="4"/>
        <v>-8.5911179492632866E-3</v>
      </c>
      <c r="M17" s="6">
        <f t="shared" si="5"/>
        <v>0</v>
      </c>
      <c r="N17" s="6">
        <f t="shared" si="6"/>
        <v>-3.2164682050081963E-3</v>
      </c>
      <c r="O17" s="6">
        <f t="shared" si="1"/>
        <v>3.5879393096075289E-3</v>
      </c>
      <c r="P17" s="6"/>
      <c r="Q17" s="6">
        <f t="shared" si="7"/>
        <v>-9.5858705769026106E-3</v>
      </c>
      <c r="R17" s="6"/>
      <c r="Z17" s="38"/>
    </row>
    <row r="18" spans="1:26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0"/>
        <v>2.1039192975491616E-4</v>
      </c>
      <c r="J18" s="6">
        <f t="shared" si="2"/>
        <v>3.4855737123982338E-3</v>
      </c>
      <c r="K18" s="6">
        <f t="shared" si="3"/>
        <v>0</v>
      </c>
      <c r="L18" s="6">
        <f t="shared" si="4"/>
        <v>7.6518323838956222E-4</v>
      </c>
      <c r="M18" s="6">
        <f t="shared" si="5"/>
        <v>-1.4477988707991517E-2</v>
      </c>
      <c r="N18" s="6">
        <f t="shared" si="6"/>
        <v>1.4255841976643817E-3</v>
      </c>
      <c r="O18" s="6">
        <f t="shared" si="1"/>
        <v>-7.1894799994851729E-3</v>
      </c>
      <c r="P18" s="6"/>
      <c r="Q18" s="6">
        <f t="shared" si="7"/>
        <v>-4.0148398500367694E-3</v>
      </c>
      <c r="R18" s="6"/>
      <c r="Y18" s="14"/>
      <c r="Z18" s="38"/>
    </row>
    <row r="19" spans="1:26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0"/>
        <v>2.1115103099722532E-4</v>
      </c>
      <c r="J19" s="6">
        <f t="shared" si="2"/>
        <v>6.6007039975988667E-3</v>
      </c>
      <c r="K19" s="6">
        <f t="shared" si="3"/>
        <v>9.3849136242531647E-3</v>
      </c>
      <c r="L19" s="6">
        <f t="shared" si="4"/>
        <v>4.3706422775577902E-3</v>
      </c>
      <c r="M19" s="6">
        <f t="shared" si="5"/>
        <v>8.2988273439278445E-3</v>
      </c>
      <c r="N19" s="6">
        <f t="shared" si="6"/>
        <v>6.7010127829867268E-3</v>
      </c>
      <c r="O19" s="6">
        <f t="shared" si="1"/>
        <v>3.6015406898777364E-3</v>
      </c>
      <c r="P19" s="6"/>
      <c r="Q19" s="6">
        <f t="shared" si="7"/>
        <v>6.1551964844718567E-3</v>
      </c>
      <c r="R19" s="6"/>
      <c r="S19" s="7" t="s">
        <v>10</v>
      </c>
      <c r="T19" s="15" t="str">
        <f>T8</f>
        <v>Apple</v>
      </c>
      <c r="U19" s="15" t="str">
        <f>U8</f>
        <v>Coca-Cola</v>
      </c>
      <c r="V19" s="15" t="str">
        <f>V8</f>
        <v>JPMorgan</v>
      </c>
      <c r="W19" s="15" t="str">
        <f>W8</f>
        <v>AT&amp;T</v>
      </c>
      <c r="Z19" s="38"/>
    </row>
    <row r="20" spans="1:26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0"/>
        <v>2.1039192975491616E-4</v>
      </c>
      <c r="J20" s="6">
        <f t="shared" si="2"/>
        <v>-1.7207766577965616E-2</v>
      </c>
      <c r="K20" s="6">
        <f t="shared" si="3"/>
        <v>-9.8994165765982269E-3</v>
      </c>
      <c r="L20" s="6">
        <f t="shared" si="4"/>
        <v>1.2930049259339658E-2</v>
      </c>
      <c r="M20" s="6">
        <f t="shared" si="5"/>
        <v>-4.1408787728015178E-3</v>
      </c>
      <c r="N20" s="6">
        <f t="shared" si="6"/>
        <v>-5.7121558411206055E-3</v>
      </c>
      <c r="O20" s="6">
        <f t="shared" si="1"/>
        <v>-3.6015406898777602E-3</v>
      </c>
      <c r="P20" s="6"/>
      <c r="Q20" s="6">
        <f t="shared" si="7"/>
        <v>1.3190988475126951E-3</v>
      </c>
      <c r="R20" s="6"/>
      <c r="S20" s="16" t="str">
        <f>T19</f>
        <v>Apple</v>
      </c>
      <c r="T20" s="17">
        <f>VARP([1]Portafolio!$F$3:$F$254)</f>
        <v>2.0416329468796719E-4</v>
      </c>
      <c r="U20" s="17">
        <f>T21</f>
        <v>1.114837388610517E-5</v>
      </c>
      <c r="V20" s="17">
        <f>T22</f>
        <v>7.9387037462506825E-6</v>
      </c>
      <c r="W20" s="17">
        <f>T23</f>
        <v>-2.2006229590220094E-6</v>
      </c>
      <c r="Z20" s="38"/>
    </row>
    <row r="21" spans="1:26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0"/>
        <v>2.1115103099722532E-4</v>
      </c>
      <c r="J21" s="6">
        <f t="shared" si="2"/>
        <v>-1.1925628607410014E-2</v>
      </c>
      <c r="K21" s="6">
        <f t="shared" si="3"/>
        <v>2.3984991177818894E-3</v>
      </c>
      <c r="L21" s="6">
        <f t="shared" si="4"/>
        <v>4.7822692080471709E-4</v>
      </c>
      <c r="M21" s="6">
        <f t="shared" si="5"/>
        <v>1.1004270746853787E-2</v>
      </c>
      <c r="N21" s="6">
        <f t="shared" si="6"/>
        <v>1.2408533465711885E-3</v>
      </c>
      <c r="O21" s="6">
        <f t="shared" si="1"/>
        <v>3.6015406898777364E-3</v>
      </c>
      <c r="P21" s="6"/>
      <c r="Q21" s="6">
        <f t="shared" si="7"/>
        <v>1.7942133115021147E-3</v>
      </c>
      <c r="R21" s="6"/>
      <c r="S21" s="16" t="str">
        <f>U19</f>
        <v>Coca-Cola</v>
      </c>
      <c r="T21" s="18">
        <f>_xlfn.COVARIANCE.P($J$3:$J$254,K3:K254)</f>
        <v>1.114837388610517E-5</v>
      </c>
      <c r="U21" s="17">
        <f>VARP([1]Portafolio!$G$3:$G$254)</f>
        <v>7.052377242278394E-5</v>
      </c>
      <c r="V21" s="17">
        <f>U22</f>
        <v>1.8170255662120506E-5</v>
      </c>
      <c r="W21" s="17">
        <f>U23</f>
        <v>3.9163359961956121E-5</v>
      </c>
      <c r="Z21" s="38"/>
    </row>
    <row r="22" spans="1:26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0"/>
        <v>2.1115103099722532E-4</v>
      </c>
      <c r="J22" s="6">
        <f t="shared" si="2"/>
        <v>8.744192273870471E-3</v>
      </c>
      <c r="K22" s="6">
        <f t="shared" si="3"/>
        <v>8.2446925036342867E-3</v>
      </c>
      <c r="L22" s="6">
        <f t="shared" si="4"/>
        <v>1.9211775011975799E-2</v>
      </c>
      <c r="M22" s="6">
        <f t="shared" si="5"/>
        <v>2.9651713697862989E-2</v>
      </c>
      <c r="N22" s="6">
        <f t="shared" si="6"/>
        <v>8.394550741111827E-3</v>
      </c>
      <c r="O22" s="6">
        <f t="shared" si="1"/>
        <v>0</v>
      </c>
      <c r="P22" s="6"/>
      <c r="Q22" s="6">
        <f t="shared" si="7"/>
        <v>2.0862996343855279E-2</v>
      </c>
      <c r="R22" s="6"/>
      <c r="S22" s="16" t="str">
        <f>V19</f>
        <v>JPMorgan</v>
      </c>
      <c r="T22" s="18">
        <f>_xlfn.COVARIANCE.P($J$3:$J$254,L3:L254)</f>
        <v>7.9387037462506825E-6</v>
      </c>
      <c r="U22" s="18">
        <f>_xlfn.COVARIANCE.P($K$3:$K$254,L3:L254)</f>
        <v>1.8170255662120506E-5</v>
      </c>
      <c r="V22" s="17">
        <f>VARP([1]Portafolio!$H$3:$H$254)</f>
        <v>1.3497102243452755E-4</v>
      </c>
      <c r="W22" s="17">
        <f>V23</f>
        <v>2.8925886198153199E-5</v>
      </c>
      <c r="Z22" s="38"/>
    </row>
    <row r="23" spans="1:26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0"/>
        <v>2.1115103099722532E-4</v>
      </c>
      <c r="J23" s="6">
        <f t="shared" si="2"/>
        <v>-4.1626265495737849E-3</v>
      </c>
      <c r="K23" s="6">
        <f t="shared" si="3"/>
        <v>-8.9348416448038568E-3</v>
      </c>
      <c r="L23" s="6">
        <f t="shared" si="4"/>
        <v>-2.9524998063902006E-3</v>
      </c>
      <c r="M23" s="6">
        <f t="shared" si="5"/>
        <v>1.1224978589028094E-2</v>
      </c>
      <c r="N23" s="6">
        <f t="shared" si="6"/>
        <v>-1.2234084667107637E-2</v>
      </c>
      <c r="O23" s="6">
        <f t="shared" si="1"/>
        <v>0</v>
      </c>
      <c r="P23" s="6"/>
      <c r="Q23" s="6">
        <f t="shared" si="7"/>
        <v>1.7422720406473332E-3</v>
      </c>
      <c r="R23" s="6"/>
      <c r="S23" s="16" t="str">
        <f>W19</f>
        <v>AT&amp;T</v>
      </c>
      <c r="T23" s="18">
        <f>_xlfn.COVARIANCE.P($J$3:$J$254,M5:M256)</f>
        <v>-2.2006229590220094E-6</v>
      </c>
      <c r="U23" s="18">
        <f>_xlfn.COVARIANCE.P($K$3:$K$254,M3:M254)</f>
        <v>3.9163359961956121E-5</v>
      </c>
      <c r="V23" s="18">
        <f>_xlfn.COVARIANCE.P($L$3:$L$254,M3:M254)</f>
        <v>2.8925886198153199E-5</v>
      </c>
      <c r="W23" s="17">
        <f>VARP([1]Portafolio!$I$3:$I$254)</f>
        <v>1.7878182777816105E-4</v>
      </c>
      <c r="Z23" s="38"/>
    </row>
    <row r="24" spans="1:26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0"/>
        <v>2.1153052783073889E-4</v>
      </c>
      <c r="J24" s="6">
        <f t="shared" si="2"/>
        <v>1.6771885661529522E-2</v>
      </c>
      <c r="K24" s="6">
        <f t="shared" si="3"/>
        <v>6.1940863988089057E-3</v>
      </c>
      <c r="L24" s="6">
        <f t="shared" si="4"/>
        <v>2.081060219182381E-3</v>
      </c>
      <c r="M24" s="6">
        <f t="shared" si="5"/>
        <v>-9.2349221157867391E-3</v>
      </c>
      <c r="N24" s="6">
        <f t="shared" si="6"/>
        <v>7.2103643683838804E-4</v>
      </c>
      <c r="O24" s="6">
        <f t="shared" si="1"/>
        <v>1.795663555972895E-3</v>
      </c>
      <c r="P24" s="6"/>
      <c r="Q24" s="6">
        <f t="shared" si="7"/>
        <v>9.2204338368668181E-4</v>
      </c>
      <c r="R24" s="6"/>
      <c r="T24" s="13"/>
      <c r="U24" s="53"/>
      <c r="V24" s="53"/>
      <c r="W24" s="53"/>
      <c r="X24" s="53"/>
      <c r="Z24" s="38"/>
    </row>
    <row r="25" spans="1:26" ht="17" thickBot="1" x14ac:dyDescent="0.25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0"/>
        <v>2.1190998881470691E-4</v>
      </c>
      <c r="J25" s="6">
        <f t="shared" si="2"/>
        <v>6.1618290451625419E-3</v>
      </c>
      <c r="K25" s="6">
        <f t="shared" si="3"/>
        <v>-2.0603885067279927E-3</v>
      </c>
      <c r="L25" s="6">
        <f t="shared" si="4"/>
        <v>-1.2750275394505101E-3</v>
      </c>
      <c r="M25" s="6">
        <f t="shared" si="5"/>
        <v>7.9209277625121085E-3</v>
      </c>
      <c r="N25" s="6">
        <f t="shared" si="6"/>
        <v>-2.1534195529618974E-3</v>
      </c>
      <c r="O25" s="6">
        <f t="shared" si="1"/>
        <v>1.7922757536344568E-3</v>
      </c>
      <c r="P25" s="6"/>
      <c r="Q25" s="6">
        <f t="shared" si="7"/>
        <v>3.3205765247499423E-3</v>
      </c>
      <c r="R25" s="6"/>
      <c r="S25" s="88" t="s">
        <v>61</v>
      </c>
      <c r="T25" s="88"/>
      <c r="Z25" s="38"/>
    </row>
    <row r="26" spans="1:26" ht="17" thickTop="1" x14ac:dyDescent="0.2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0"/>
        <v>2.1228941395579071E-4</v>
      </c>
      <c r="J26" s="6">
        <f t="shared" si="2"/>
        <v>-2.0194689945887755E-2</v>
      </c>
      <c r="K26" s="6">
        <f t="shared" si="3"/>
        <v>4.4589357728930948E-3</v>
      </c>
      <c r="L26" s="6">
        <f t="shared" si="4"/>
        <v>-4.2389693184284203E-3</v>
      </c>
      <c r="M26" s="6">
        <f t="shared" si="5"/>
        <v>2.2107528152630732E-2</v>
      </c>
      <c r="N26" s="6">
        <f t="shared" si="6"/>
        <v>-9.4392046231101256E-3</v>
      </c>
      <c r="O26" s="6">
        <f t="shared" si="1"/>
        <v>1.7889004076430007E-3</v>
      </c>
      <c r="P26" s="6"/>
      <c r="Q26" s="6">
        <f t="shared" si="7"/>
        <v>1.9006989268995113E-3</v>
      </c>
      <c r="R26" s="6"/>
      <c r="S26" s="3" t="s">
        <v>5</v>
      </c>
      <c r="T26" s="60">
        <f>+((1+AVERAGE(Q3:Q254))^252)-1</f>
        <v>0.42739487589953407</v>
      </c>
      <c r="Z26" s="38"/>
    </row>
    <row r="27" spans="1:26" x14ac:dyDescent="0.2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0"/>
        <v>2.1304815673750532E-4</v>
      </c>
      <c r="J27" s="6">
        <f t="shared" si="2"/>
        <v>-8.9290841663582452E-3</v>
      </c>
      <c r="K27" s="6">
        <f t="shared" si="3"/>
        <v>-1.5520182226064388E-2</v>
      </c>
      <c r="L27" s="6">
        <f t="shared" si="4"/>
        <v>-7.8527809774467452E-3</v>
      </c>
      <c r="M27" s="6">
        <f t="shared" si="5"/>
        <v>-1.5554405482686634E-2</v>
      </c>
      <c r="N27" s="6">
        <f t="shared" si="6"/>
        <v>-1.653687395146802E-2</v>
      </c>
      <c r="O27" s="6">
        <f t="shared" si="1"/>
        <v>3.567724268008604E-3</v>
      </c>
      <c r="P27" s="6"/>
      <c r="Q27" s="6">
        <f t="shared" si="7"/>
        <v>-1.0730049412426886E-2</v>
      </c>
      <c r="R27" s="6"/>
      <c r="S27" s="3" t="s">
        <v>21</v>
      </c>
      <c r="T27" s="21" cm="1">
        <f t="array" ref="T27">SQRT(+MMULT(MMULT(T16:W16,T20:W23),TRANSPOSE(T16:W16)))*SQRT(252)</f>
        <v>0.13121709392229405</v>
      </c>
      <c r="Z27" s="38"/>
    </row>
    <row r="28" spans="1:26" x14ac:dyDescent="0.2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0"/>
        <v>2.1266880326109572E-4</v>
      </c>
      <c r="J28" s="6">
        <f t="shared" si="2"/>
        <v>4.932157084030179E-3</v>
      </c>
      <c r="K28" s="6">
        <f t="shared" si="3"/>
        <v>1.0421744338548341E-3</v>
      </c>
      <c r="L28" s="6">
        <f t="shared" si="4"/>
        <v>-9.6290710303040105E-3</v>
      </c>
      <c r="M28" s="6">
        <f t="shared" si="5"/>
        <v>-1.2488017087223817E-2</v>
      </c>
      <c r="N28" s="6">
        <f t="shared" si="6"/>
        <v>-2.2982509659402743E-3</v>
      </c>
      <c r="O28" s="6">
        <f t="shared" si="1"/>
        <v>-1.7821868164193909E-3</v>
      </c>
      <c r="P28" s="6"/>
      <c r="Q28" s="6">
        <f t="shared" si="7"/>
        <v>-7.8759145940440704E-3</v>
      </c>
      <c r="R28" s="6"/>
      <c r="S28" s="3" t="s">
        <v>59</v>
      </c>
      <c r="T28" s="61">
        <f>(+T26-T12)/T27</f>
        <v>2.867932386863751</v>
      </c>
      <c r="Z28" s="38"/>
    </row>
    <row r="29" spans="1:26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0"/>
        <v>2.1266880326109572E-4</v>
      </c>
      <c r="J29" s="6">
        <f t="shared" si="2"/>
        <v>7.3532671978666295E-3</v>
      </c>
      <c r="K29" s="6">
        <f t="shared" si="3"/>
        <v>-1.0471250468192831E-2</v>
      </c>
      <c r="L29" s="6">
        <f t="shared" si="4"/>
        <v>4.9286703199951359E-3</v>
      </c>
      <c r="M29" s="6">
        <f t="shared" si="5"/>
        <v>-3.9760898184737319E-3</v>
      </c>
      <c r="N29" s="6">
        <f t="shared" si="6"/>
        <v>4.0150212758186272E-3</v>
      </c>
      <c r="O29" s="6">
        <f t="shared" si="1"/>
        <v>0</v>
      </c>
      <c r="P29" s="6"/>
      <c r="Q29" s="6">
        <f t="shared" si="7"/>
        <v>2.293811043993611E-3</v>
      </c>
      <c r="R29" s="6"/>
      <c r="Z29" s="38"/>
    </row>
    <row r="30" spans="1:26" x14ac:dyDescent="0.2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0"/>
        <v>2.1228941395579071E-4</v>
      </c>
      <c r="J30" s="6">
        <f t="shared" si="2"/>
        <v>-2.3676570379196956E-2</v>
      </c>
      <c r="K30" s="6">
        <f t="shared" si="3"/>
        <v>-8.2798817906721903E-3</v>
      </c>
      <c r="L30" s="6">
        <f t="shared" si="4"/>
        <v>-1.0433243353410393E-2</v>
      </c>
      <c r="M30" s="6">
        <f t="shared" si="5"/>
        <v>-2.6595130223768674E-3</v>
      </c>
      <c r="N30" s="6">
        <f t="shared" si="6"/>
        <v>-1.4844128717961364E-2</v>
      </c>
      <c r="O30" s="6">
        <f t="shared" si="1"/>
        <v>-1.7855374515891788E-3</v>
      </c>
      <c r="P30" s="6"/>
      <c r="Q30" s="6">
        <f t="shared" si="7"/>
        <v>-1.0231271265189778E-2</v>
      </c>
      <c r="R30" s="6"/>
      <c r="Z30" s="38"/>
    </row>
    <row r="31" spans="1:26" x14ac:dyDescent="0.2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0"/>
        <v>2.1228941395579071E-4</v>
      </c>
      <c r="J31" s="6">
        <f t="shared" si="2"/>
        <v>-8.9372740582099996E-3</v>
      </c>
      <c r="K31" s="6">
        <f t="shared" si="3"/>
        <v>-1.0313022416799286E-2</v>
      </c>
      <c r="L31" s="6">
        <f t="shared" si="4"/>
        <v>5.8476760566381946E-3</v>
      </c>
      <c r="M31" s="6">
        <f t="shared" si="5"/>
        <v>-1.0036916003110012E-2</v>
      </c>
      <c r="N31" s="6">
        <f t="shared" si="6"/>
        <v>2.2929233000634007E-4</v>
      </c>
      <c r="O31" s="6">
        <f t="shared" si="1"/>
        <v>0</v>
      </c>
      <c r="P31" s="6"/>
      <c r="Q31" s="6">
        <f t="shared" si="7"/>
        <v>-2.4561549228513087E-3</v>
      </c>
      <c r="R31" s="6"/>
      <c r="Z31" s="38"/>
    </row>
    <row r="32" spans="1:26" x14ac:dyDescent="0.2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0"/>
        <v>2.1380675622961753E-4</v>
      </c>
      <c r="J32" s="6">
        <f t="shared" si="2"/>
        <v>1.5245124110350558E-3</v>
      </c>
      <c r="K32" s="6">
        <f t="shared" si="3"/>
        <v>-2.5052793506595878E-3</v>
      </c>
      <c r="L32" s="6">
        <f t="shared" si="4"/>
        <v>1.2339652914118577E-2</v>
      </c>
      <c r="M32" s="6">
        <f t="shared" si="5"/>
        <v>9.370913321953802E-3</v>
      </c>
      <c r="N32" s="6">
        <f t="shared" si="6"/>
        <v>5.8757768874731896E-3</v>
      </c>
      <c r="O32" s="6">
        <f t="shared" si="1"/>
        <v>7.1220949345627872E-3</v>
      </c>
      <c r="P32" s="6"/>
      <c r="Q32" s="6">
        <f t="shared" si="7"/>
        <v>9.2693182775853162E-3</v>
      </c>
      <c r="R32" s="6"/>
      <c r="Z32" s="38"/>
    </row>
    <row r="33" spans="1:26" x14ac:dyDescent="0.2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0"/>
        <v>2.1266880326109572E-4</v>
      </c>
      <c r="J33" s="6">
        <f t="shared" si="2"/>
        <v>3.0418117645047292E-3</v>
      </c>
      <c r="K33" s="6">
        <f t="shared" si="3"/>
        <v>3.0412831937692204E-3</v>
      </c>
      <c r="L33" s="6">
        <f t="shared" si="4"/>
        <v>-1.7566587699048578E-2</v>
      </c>
      <c r="M33" s="6">
        <f t="shared" si="5"/>
        <v>6.6600268115622394E-4</v>
      </c>
      <c r="N33" s="6">
        <f t="shared" si="6"/>
        <v>-2.7131686755154211E-3</v>
      </c>
      <c r="O33" s="6">
        <f t="shared" si="1"/>
        <v>-5.3365574829737777E-3</v>
      </c>
      <c r="P33" s="6"/>
      <c r="Q33" s="6">
        <f t="shared" si="7"/>
        <v>-7.3492792696295845E-3</v>
      </c>
      <c r="R33" s="6"/>
      <c r="Z33" s="38"/>
    </row>
    <row r="34" spans="1:26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0"/>
        <v>2.1266880326109572E-4</v>
      </c>
      <c r="J34" s="6">
        <f t="shared" si="2"/>
        <v>1.4726612543542477E-2</v>
      </c>
      <c r="K34" s="6">
        <f t="shared" si="3"/>
        <v>-8.9718561804357604E-3</v>
      </c>
      <c r="L34" s="6">
        <f t="shared" si="4"/>
        <v>-8.6567488859623613E-3</v>
      </c>
      <c r="M34" s="6">
        <f t="shared" si="5"/>
        <v>-2.3578125464621125E-2</v>
      </c>
      <c r="N34" s="6">
        <f t="shared" si="6"/>
        <v>7.9286976922361474E-5</v>
      </c>
      <c r="O34" s="6">
        <f t="shared" si="1"/>
        <v>0</v>
      </c>
      <c r="P34" s="6"/>
      <c r="Q34" s="6">
        <f t="shared" si="7"/>
        <v>-9.4284978783766675E-3</v>
      </c>
      <c r="R34" s="6"/>
      <c r="Z34" s="38"/>
    </row>
    <row r="35" spans="1:26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0"/>
        <v>2.1380675622961753E-4</v>
      </c>
      <c r="J35" s="6">
        <f t="shared" si="2"/>
        <v>-7.8002013931504684E-3</v>
      </c>
      <c r="K35" s="6">
        <f t="shared" si="3"/>
        <v>-1.0873561101627389E-2</v>
      </c>
      <c r="L35" s="6">
        <f t="shared" si="4"/>
        <v>-7.4001160534839551E-3</v>
      </c>
      <c r="M35" s="6">
        <f t="shared" si="5"/>
        <v>7.470418425544037E-3</v>
      </c>
      <c r="N35" s="6">
        <f t="shared" si="6"/>
        <v>-1.3839410161483797E-2</v>
      </c>
      <c r="O35" s="6">
        <f t="shared" si="1"/>
        <v>5.3365574829737977E-3</v>
      </c>
      <c r="P35" s="6"/>
      <c r="Q35" s="6">
        <f t="shared" si="7"/>
        <v>-2.3119340326410377E-3</v>
      </c>
      <c r="R35" s="6"/>
      <c r="Z35" s="38"/>
    </row>
    <row r="36" spans="1:26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0"/>
        <v>2.1380675622961753E-4</v>
      </c>
      <c r="J36" s="6">
        <f t="shared" ref="J36:J67" si="9">LN(B36/B35)</f>
        <v>7.2820978273525263E-3</v>
      </c>
      <c r="K36" s="6">
        <f t="shared" ref="K36:K67" si="10">LN(C36/C35)</f>
        <v>2.9112300036451422E-3</v>
      </c>
      <c r="L36" s="6">
        <f t="shared" ref="L36:L67" si="11">LN(D36/D35)</f>
        <v>4.4743812840926343E-3</v>
      </c>
      <c r="M36" s="6">
        <f t="shared" ref="M36:M67" si="12">LN(E36/E35)</f>
        <v>-8.8346792935787202E-3</v>
      </c>
      <c r="N36" s="6">
        <f t="shared" si="6"/>
        <v>8.0770937870001339E-3</v>
      </c>
      <c r="O36" s="6">
        <f t="shared" si="1"/>
        <v>0</v>
      </c>
      <c r="P36" s="6"/>
      <c r="Q36" s="6">
        <f t="shared" si="7"/>
        <v>3.8242452117956231E-4</v>
      </c>
      <c r="R36" s="6"/>
      <c r="Z36" s="38"/>
    </row>
    <row r="37" spans="1:26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0"/>
        <v>2.1115103099722532E-4</v>
      </c>
      <c r="J37" s="6">
        <f t="shared" si="9"/>
        <v>7.1721957179410305E-3</v>
      </c>
      <c r="K37" s="6">
        <f t="shared" si="10"/>
        <v>-4.9535374384451825E-2</v>
      </c>
      <c r="L37" s="6">
        <f t="shared" si="11"/>
        <v>4.2075901542361687E-3</v>
      </c>
      <c r="M37" s="6">
        <f t="shared" si="12"/>
        <v>1.2211857867236135E-2</v>
      </c>
      <c r="N37" s="6">
        <f t="shared" si="6"/>
        <v>-1.3048673867472557E-3</v>
      </c>
      <c r="O37" s="6">
        <f t="shared" si="1"/>
        <v>-1.2498934651813405E-2</v>
      </c>
      <c r="P37" s="6"/>
      <c r="Q37" s="6">
        <f t="shared" si="7"/>
        <v>7.546036033830892E-3</v>
      </c>
      <c r="R37" s="6"/>
      <c r="Z37" s="38"/>
    </row>
    <row r="38" spans="1:26" x14ac:dyDescent="0.2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0"/>
        <v>2.1001232533235381E-4</v>
      </c>
      <c r="J38" s="6">
        <f t="shared" si="9"/>
        <v>1.4642797262619538E-2</v>
      </c>
      <c r="K38" s="6">
        <f t="shared" si="10"/>
        <v>1.4405068586763934E-2</v>
      </c>
      <c r="L38" s="6">
        <f t="shared" si="11"/>
        <v>1.5278133083516892E-2</v>
      </c>
      <c r="M38" s="6">
        <f t="shared" si="12"/>
        <v>-7.0340122474886078E-3</v>
      </c>
      <c r="N38" s="6">
        <f t="shared" si="6"/>
        <v>1.1745628333713317E-2</v>
      </c>
      <c r="O38" s="6">
        <f t="shared" si="1"/>
        <v>-5.4074430856563748E-3</v>
      </c>
      <c r="P38" s="6"/>
      <c r="Q38" s="6">
        <f t="shared" si="7"/>
        <v>7.4106788460420632E-3</v>
      </c>
      <c r="R38" s="6"/>
      <c r="Z38" s="38"/>
    </row>
    <row r="39" spans="1:26" x14ac:dyDescent="0.2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0"/>
        <v>2.1153052783073889E-4</v>
      </c>
      <c r="J39" s="6">
        <f t="shared" si="9"/>
        <v>8.4155364965835446E-3</v>
      </c>
      <c r="K39" s="6">
        <f t="shared" si="10"/>
        <v>-4.9046695157092994E-3</v>
      </c>
      <c r="L39" s="6">
        <f t="shared" si="11"/>
        <v>-2.2767875931944174E-3</v>
      </c>
      <c r="M39" s="6">
        <f t="shared" si="12"/>
        <v>1.919178660718069E-2</v>
      </c>
      <c r="N39" s="6">
        <f t="shared" si="6"/>
        <v>6.2840320810455159E-3</v>
      </c>
      <c r="O39" s="6">
        <f t="shared" si="1"/>
        <v>7.2031066416294353E-3</v>
      </c>
      <c r="P39" s="6"/>
      <c r="Q39" s="6">
        <f t="shared" si="7"/>
        <v>7.1942495184056108E-3</v>
      </c>
      <c r="R39" s="6"/>
      <c r="Z39" s="38"/>
    </row>
    <row r="40" spans="1:26" x14ac:dyDescent="0.2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0"/>
        <v>2.1153052783073889E-4</v>
      </c>
      <c r="J40" s="6">
        <f t="shared" si="9"/>
        <v>-3.3577377412587176E-3</v>
      </c>
      <c r="K40" s="6">
        <f t="shared" si="10"/>
        <v>2.1514155913894644E-2</v>
      </c>
      <c r="L40" s="6">
        <f t="shared" si="11"/>
        <v>6.0600170693245765E-3</v>
      </c>
      <c r="M40" s="6">
        <f t="shared" si="12"/>
        <v>1.5493841465178439E-2</v>
      </c>
      <c r="N40" s="6">
        <f t="shared" si="6"/>
        <v>5.1944583608864153E-3</v>
      </c>
      <c r="O40" s="6">
        <f t="shared" si="1"/>
        <v>0</v>
      </c>
      <c r="P40" s="6"/>
      <c r="Q40" s="6">
        <f t="shared" si="7"/>
        <v>7.5598483942191531E-3</v>
      </c>
      <c r="R40" s="6"/>
      <c r="Z40" s="38"/>
    </row>
    <row r="41" spans="1:26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0"/>
        <v>2.0925300885044074E-4</v>
      </c>
      <c r="J41" s="6">
        <f t="shared" si="9"/>
        <v>7.8729256654077838E-3</v>
      </c>
      <c r="K41" s="6">
        <f t="shared" si="10"/>
        <v>-5.9402085775266582E-3</v>
      </c>
      <c r="L41" s="6">
        <f t="shared" si="11"/>
        <v>3.4271245700145075E-3</v>
      </c>
      <c r="M41" s="6">
        <f t="shared" si="12"/>
        <v>-1.2781979492703863E-2</v>
      </c>
      <c r="N41" s="6">
        <f t="shared" si="6"/>
        <v>4.2838286545689866E-3</v>
      </c>
      <c r="O41" s="6">
        <f t="shared" si="1"/>
        <v>-1.0825239215833657E-2</v>
      </c>
      <c r="P41" s="6"/>
      <c r="Q41" s="6">
        <f t="shared" si="7"/>
        <v>-1.362937231010072E-3</v>
      </c>
      <c r="R41" s="6"/>
      <c r="Z41" s="38"/>
    </row>
    <row r="42" spans="1:26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0"/>
        <v>2.0963268503315646E-4</v>
      </c>
      <c r="J42" s="6">
        <f t="shared" si="9"/>
        <v>5.0484914715231101E-3</v>
      </c>
      <c r="K42" s="6">
        <f t="shared" si="10"/>
        <v>-1.6898605731409447E-2</v>
      </c>
      <c r="L42" s="6">
        <f t="shared" si="11"/>
        <v>-2.3292037153074849E-3</v>
      </c>
      <c r="M42" s="6">
        <f t="shared" si="12"/>
        <v>-2.1903648579655197E-2</v>
      </c>
      <c r="N42" s="6">
        <f t="shared" si="6"/>
        <v>-6.2659488852716012E-3</v>
      </c>
      <c r="O42" s="6">
        <f t="shared" si="1"/>
        <v>1.8127918534072056E-3</v>
      </c>
      <c r="P42" s="6"/>
      <c r="Q42" s="6">
        <f t="shared" si="7"/>
        <v>-7.7349588540997268E-3</v>
      </c>
      <c r="R42" s="6"/>
      <c r="Z42" s="38"/>
    </row>
    <row r="43" spans="1:26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0"/>
        <v>2.1153052783073889E-4</v>
      </c>
      <c r="J43" s="6">
        <f t="shared" si="9"/>
        <v>-1.0346128156285038E-2</v>
      </c>
      <c r="K43" s="6">
        <f t="shared" si="10"/>
        <v>1.5136608826072475E-3</v>
      </c>
      <c r="L43" s="6">
        <f t="shared" si="11"/>
        <v>1.490802752612275E-2</v>
      </c>
      <c r="M43" s="6">
        <f t="shared" si="12"/>
        <v>-6.2479325408984904E-3</v>
      </c>
      <c r="N43" s="6">
        <f t="shared" si="6"/>
        <v>-5.0314774496886677E-3</v>
      </c>
      <c r="O43" s="6">
        <f t="shared" si="1"/>
        <v>9.0124473624263561E-3</v>
      </c>
      <c r="P43" s="6"/>
      <c r="Q43" s="6">
        <f t="shared" si="7"/>
        <v>2.7995346192651849E-3</v>
      </c>
      <c r="R43" s="6"/>
      <c r="Z43" s="38"/>
    </row>
    <row r="44" spans="1:26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0"/>
        <v>2.107714983077269E-4</v>
      </c>
      <c r="J44" s="6">
        <f t="shared" si="9"/>
        <v>-7.2710133536225421E-4</v>
      </c>
      <c r="K44" s="6">
        <f t="shared" si="10"/>
        <v>1.0158067162630343E-2</v>
      </c>
      <c r="L44" s="6">
        <f t="shared" si="11"/>
        <v>-1.0140315442376808E-3</v>
      </c>
      <c r="M44" s="6">
        <f t="shared" si="12"/>
        <v>3.47593227385585E-3</v>
      </c>
      <c r="N44" s="6">
        <f t="shared" si="6"/>
        <v>1.0538619453747615E-2</v>
      </c>
      <c r="O44" s="6">
        <f t="shared" si="1"/>
        <v>-3.5947274385814774E-3</v>
      </c>
      <c r="P44" s="6"/>
      <c r="Q44" s="6">
        <f t="shared" si="7"/>
        <v>5.991667264906524E-4</v>
      </c>
      <c r="R44" s="6"/>
      <c r="Z44" s="38"/>
    </row>
    <row r="45" spans="1:26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0"/>
        <v>2.1115103099722532E-4</v>
      </c>
      <c r="J45" s="6">
        <f t="shared" si="9"/>
        <v>-8.8236168219693739E-3</v>
      </c>
      <c r="K45" s="6">
        <f t="shared" si="10"/>
        <v>1.1907236828734701E-2</v>
      </c>
      <c r="L45" s="6">
        <f t="shared" si="11"/>
        <v>-2.1668112665697982E-3</v>
      </c>
      <c r="M45" s="6">
        <f t="shared" si="12"/>
        <v>1.1728316519177792E-2</v>
      </c>
      <c r="N45" s="6">
        <f t="shared" si="6"/>
        <v>-9.8321334779938874E-5</v>
      </c>
      <c r="O45" s="6">
        <f t="shared" si="1"/>
        <v>1.799063882608539E-3</v>
      </c>
      <c r="P45" s="6"/>
      <c r="Q45" s="6">
        <f t="shared" si="7"/>
        <v>1.40280618707462E-3</v>
      </c>
      <c r="R45" s="6"/>
      <c r="Z45" s="38"/>
    </row>
    <row r="46" spans="1:26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0"/>
        <v>2.1342747439123677E-4</v>
      </c>
      <c r="J46" s="6">
        <f t="shared" si="9"/>
        <v>-7.4223370429170512E-3</v>
      </c>
      <c r="K46" s="6">
        <f t="shared" si="10"/>
        <v>-3.7001627652822851E-4</v>
      </c>
      <c r="L46" s="6">
        <f t="shared" si="11"/>
        <v>-1.1041381345434621E-2</v>
      </c>
      <c r="M46" s="6">
        <f t="shared" si="12"/>
        <v>-1.7993646801684915E-2</v>
      </c>
      <c r="N46" s="6">
        <f t="shared" si="6"/>
        <v>-1.349038622382619E-2</v>
      </c>
      <c r="O46" s="6">
        <f t="shared" si="1"/>
        <v>1.0723412416764824E-2</v>
      </c>
      <c r="P46" s="6"/>
      <c r="Q46" s="6">
        <f t="shared" si="7"/>
        <v>-1.2773014708979426E-2</v>
      </c>
      <c r="R46" s="6"/>
      <c r="Z46" s="38"/>
    </row>
    <row r="47" spans="1:26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0"/>
        <v>2.1304815673750532E-4</v>
      </c>
      <c r="J47" s="6">
        <f t="shared" si="9"/>
        <v>-2.1632256780532658E-3</v>
      </c>
      <c r="K47" s="6">
        <f t="shared" si="10"/>
        <v>5.5350153172178456E-3</v>
      </c>
      <c r="L47" s="6">
        <f t="shared" si="11"/>
        <v>-4.2583678361532767E-3</v>
      </c>
      <c r="M47" s="6">
        <f t="shared" si="12"/>
        <v>6.3577877182322051E-2</v>
      </c>
      <c r="N47" s="6">
        <f t="shared" si="6"/>
        <v>-8.5190096941524674E-3</v>
      </c>
      <c r="O47" s="6">
        <f t="shared" si="1"/>
        <v>-1.7788484315057955E-3</v>
      </c>
      <c r="P47" s="6"/>
      <c r="Q47" s="6">
        <f t="shared" si="7"/>
        <v>1.9692109801849905E-2</v>
      </c>
      <c r="R47" s="6"/>
      <c r="Z47" s="38"/>
    </row>
    <row r="48" spans="1:26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0"/>
        <v>2.1190998881470691E-4</v>
      </c>
      <c r="J48" s="6">
        <f t="shared" si="9"/>
        <v>-1.48134638605088E-2</v>
      </c>
      <c r="K48" s="6">
        <f t="shared" si="10"/>
        <v>4.0397446205238134E-3</v>
      </c>
      <c r="L48" s="6">
        <f t="shared" si="11"/>
        <v>-1.623677213768495E-2</v>
      </c>
      <c r="M48" s="6">
        <f t="shared" si="12"/>
        <v>7.8330630368045693E-3</v>
      </c>
      <c r="N48" s="6">
        <f t="shared" si="6"/>
        <v>-1.2665186185757991E-2</v>
      </c>
      <c r="O48" s="6">
        <f t="shared" si="1"/>
        <v>-5.3566246756515997E-3</v>
      </c>
      <c r="P48" s="6"/>
      <c r="Q48" s="6">
        <f t="shared" si="7"/>
        <v>-7.6103871121983181E-3</v>
      </c>
      <c r="R48" s="6"/>
      <c r="Z48" s="38"/>
    </row>
    <row r="49" spans="1:26" x14ac:dyDescent="0.2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0"/>
        <v>2.107714983077269E-4</v>
      </c>
      <c r="J49" s="6">
        <f t="shared" si="9"/>
        <v>6.9385280456884656E-4</v>
      </c>
      <c r="K49" s="6">
        <f t="shared" si="10"/>
        <v>-9.01984365197008E-3</v>
      </c>
      <c r="L49" s="6">
        <f t="shared" si="11"/>
        <v>-1.3735076896956099E-2</v>
      </c>
      <c r="M49" s="6">
        <f t="shared" si="12"/>
        <v>-2.8356670761467306E-2</v>
      </c>
      <c r="N49" s="6">
        <f t="shared" si="6"/>
        <v>-1.6869643388467898E-3</v>
      </c>
      <c r="O49" s="6">
        <f t="shared" si="1"/>
        <v>-5.3870031922159129E-3</v>
      </c>
      <c r="P49" s="6"/>
      <c r="Q49" s="6">
        <f t="shared" si="7"/>
        <v>-1.6091317896349336E-2</v>
      </c>
      <c r="R49" s="6"/>
      <c r="Z49" s="38"/>
    </row>
    <row r="50" spans="1:26" x14ac:dyDescent="0.2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0"/>
        <v>2.1115103099722532E-4</v>
      </c>
      <c r="J50" s="6">
        <f t="shared" si="9"/>
        <v>2.5402110604923374E-3</v>
      </c>
      <c r="K50" s="6">
        <f t="shared" si="10"/>
        <v>2.8437891260977562E-2</v>
      </c>
      <c r="L50" s="6">
        <f t="shared" si="11"/>
        <v>1.2049500256252955E-3</v>
      </c>
      <c r="M50" s="6">
        <f t="shared" si="12"/>
        <v>3.8062243981015008E-2</v>
      </c>
      <c r="N50" s="6">
        <f t="shared" si="6"/>
        <v>7.2394913997594025E-3</v>
      </c>
      <c r="O50" s="6">
        <f t="shared" si="1"/>
        <v>1.799063882608539E-3</v>
      </c>
      <c r="P50" s="6"/>
      <c r="Q50" s="6">
        <f t="shared" si="7"/>
        <v>1.4255034910361413E-2</v>
      </c>
      <c r="R50" s="6"/>
      <c r="Z50" s="38"/>
    </row>
    <row r="51" spans="1:26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0"/>
        <v>2.107714983077269E-4</v>
      </c>
      <c r="J51" s="6">
        <f t="shared" si="9"/>
        <v>-1.3583577722310494E-2</v>
      </c>
      <c r="K51" s="6">
        <f t="shared" si="10"/>
        <v>8.5898919565569297E-3</v>
      </c>
      <c r="L51" s="6">
        <f t="shared" si="11"/>
        <v>-5.4694749611117069E-3</v>
      </c>
      <c r="M51" s="6">
        <f t="shared" si="12"/>
        <v>-2.2136321441816844E-2</v>
      </c>
      <c r="N51" s="6">
        <f t="shared" si="6"/>
        <v>-1.4443397939346892E-2</v>
      </c>
      <c r="O51" s="6">
        <f t="shared" si="1"/>
        <v>-1.7990638826084831E-3</v>
      </c>
      <c r="P51" s="6"/>
      <c r="Q51" s="6">
        <f t="shared" si="7"/>
        <v>-1.2786975412665973E-2</v>
      </c>
      <c r="R51" s="6"/>
      <c r="Z51" s="38"/>
    </row>
    <row r="52" spans="1:26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0"/>
        <v>2.1153052783073889E-4</v>
      </c>
      <c r="J52" s="6">
        <f t="shared" si="9"/>
        <v>-2.4913184770041188E-2</v>
      </c>
      <c r="K52" s="6">
        <f t="shared" si="10"/>
        <v>-6.0768940601561034E-3</v>
      </c>
      <c r="L52" s="6">
        <f t="shared" si="11"/>
        <v>2.5609400579485304E-3</v>
      </c>
      <c r="M52" s="6">
        <f t="shared" si="12"/>
        <v>-4.6189215703234801E-3</v>
      </c>
      <c r="N52" s="6">
        <f t="shared" si="6"/>
        <v>-1.1903071819740901E-2</v>
      </c>
      <c r="O52" s="6">
        <f t="shared" si="1"/>
        <v>3.5947274385814149E-3</v>
      </c>
      <c r="P52" s="6"/>
      <c r="Q52" s="6">
        <f t="shared" si="7"/>
        <v>-5.1131396996198716E-3</v>
      </c>
      <c r="R52" s="6"/>
      <c r="Z52" s="38"/>
    </row>
    <row r="53" spans="1:26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0"/>
        <v>2.1001232533235381E-4</v>
      </c>
      <c r="J53" s="6">
        <f t="shared" si="9"/>
        <v>7.9376258370334254E-3</v>
      </c>
      <c r="K53" s="6">
        <f t="shared" si="10"/>
        <v>-9.7279469304567372E-3</v>
      </c>
      <c r="L53" s="6">
        <f t="shared" si="11"/>
        <v>-3.6683337928199083E-2</v>
      </c>
      <c r="M53" s="6">
        <f t="shared" si="12"/>
        <v>-2.0040684628752883E-2</v>
      </c>
      <c r="N53" s="6">
        <f t="shared" si="6"/>
        <v>-4.811871761208667E-3</v>
      </c>
      <c r="O53" s="6">
        <f t="shared" si="1"/>
        <v>-7.2031066416293607E-3</v>
      </c>
      <c r="P53" s="6"/>
      <c r="Q53" s="6">
        <f t="shared" si="7"/>
        <v>-2.24899314103712E-2</v>
      </c>
      <c r="R53" s="6"/>
      <c r="Z53" s="38"/>
    </row>
    <row r="54" spans="1:26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0"/>
        <v>2.1001232533235381E-4</v>
      </c>
      <c r="J54" s="6">
        <f t="shared" si="9"/>
        <v>1.2230145391432332E-2</v>
      </c>
      <c r="K54" s="6">
        <f t="shared" si="10"/>
        <v>1.6339294527615768E-2</v>
      </c>
      <c r="L54" s="6">
        <f t="shared" si="11"/>
        <v>1.26689866257148E-2</v>
      </c>
      <c r="M54" s="6">
        <f t="shared" si="12"/>
        <v>2.9257291384540907E-2</v>
      </c>
      <c r="N54" s="6">
        <f t="shared" si="6"/>
        <v>1.1938544947970331E-2</v>
      </c>
      <c r="O54" s="6">
        <f t="shared" si="1"/>
        <v>0</v>
      </c>
      <c r="P54" s="6"/>
      <c r="Q54" s="6">
        <f t="shared" si="7"/>
        <v>1.8346336930474313E-2</v>
      </c>
      <c r="R54" s="6"/>
      <c r="Z54" s="38"/>
    </row>
    <row r="55" spans="1:26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0"/>
        <v>2.107714983077269E-4</v>
      </c>
      <c r="J55" s="6">
        <f t="shared" si="9"/>
        <v>2.8148308012558494E-3</v>
      </c>
      <c r="K55" s="6">
        <f t="shared" si="10"/>
        <v>6.0369707476601144E-3</v>
      </c>
      <c r="L55" s="6">
        <f t="shared" si="11"/>
        <v>1.1863603111821981E-2</v>
      </c>
      <c r="M55" s="6">
        <f t="shared" si="12"/>
        <v>9.1325041752728462E-3</v>
      </c>
      <c r="N55" s="6">
        <f t="shared" si="6"/>
        <v>6.4540892074659807E-3</v>
      </c>
      <c r="O55" s="6">
        <f t="shared" si="1"/>
        <v>3.6083792030479219E-3</v>
      </c>
      <c r="P55" s="6"/>
      <c r="Q55" s="6">
        <f t="shared" si="7"/>
        <v>9.2088806798137253E-3</v>
      </c>
      <c r="R55" s="6"/>
      <c r="Z55" s="38"/>
    </row>
    <row r="56" spans="1:26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0"/>
        <v>2.1190998881470691E-4</v>
      </c>
      <c r="J56" s="6">
        <f t="shared" si="9"/>
        <v>1.8565290897534802E-2</v>
      </c>
      <c r="K56" s="6">
        <f t="shared" si="10"/>
        <v>-8.8556819319023528E-4</v>
      </c>
      <c r="L56" s="6">
        <f t="shared" si="11"/>
        <v>-8.6331287395108823E-4</v>
      </c>
      <c r="M56" s="6">
        <f t="shared" si="12"/>
        <v>1.1620614661695866E-2</v>
      </c>
      <c r="N56" s="6">
        <f t="shared" si="6"/>
        <v>1.0451180679737281E-2</v>
      </c>
      <c r="O56" s="6">
        <f t="shared" si="1"/>
        <v>5.3870031922159962E-3</v>
      </c>
      <c r="P56" s="6"/>
      <c r="Q56" s="6">
        <f t="shared" si="7"/>
        <v>7.1353552551786034E-3</v>
      </c>
      <c r="R56" s="6"/>
      <c r="Z56" s="38"/>
    </row>
    <row r="57" spans="1:26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0"/>
        <v>2.0925300885044074E-4</v>
      </c>
      <c r="J57" s="6">
        <f t="shared" si="9"/>
        <v>2.0482069684558096E-2</v>
      </c>
      <c r="K57" s="6">
        <f t="shared" si="10"/>
        <v>1.1450857122828546E-2</v>
      </c>
      <c r="L57" s="6">
        <f t="shared" si="11"/>
        <v>1.7691845912209535E-2</v>
      </c>
      <c r="M57" s="6">
        <f t="shared" si="12"/>
        <v>9.581644883623272E-3</v>
      </c>
      <c r="N57" s="6">
        <f t="shared" si="6"/>
        <v>1.8682956430735833E-2</v>
      </c>
      <c r="O57" s="6">
        <f t="shared" si="1"/>
        <v>-1.2617514969468103E-2</v>
      </c>
      <c r="P57" s="6"/>
      <c r="Q57" s="6">
        <f t="shared" si="7"/>
        <v>1.5401836834377028E-2</v>
      </c>
      <c r="R57" s="6"/>
      <c r="Z57" s="38"/>
    </row>
    <row r="58" spans="1:26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0"/>
        <v>2.0963268503315646E-4</v>
      </c>
      <c r="J58" s="6">
        <f t="shared" si="9"/>
        <v>-5.1946810275440517E-3</v>
      </c>
      <c r="K58" s="6">
        <f t="shared" si="10"/>
        <v>-6.1495523287532295E-3</v>
      </c>
      <c r="L58" s="6">
        <f t="shared" si="11"/>
        <v>1.1110587455196269E-2</v>
      </c>
      <c r="M58" s="6">
        <f t="shared" si="12"/>
        <v>9.4907076045383631E-3</v>
      </c>
      <c r="N58" s="6">
        <f t="shared" si="6"/>
        <v>9.3498696374369732E-3</v>
      </c>
      <c r="O58" s="6">
        <f t="shared" si="1"/>
        <v>1.8127918534072056E-3</v>
      </c>
      <c r="P58" s="6"/>
      <c r="Q58" s="6">
        <f t="shared" si="7"/>
        <v>7.4733246954884567E-3</v>
      </c>
      <c r="R58" s="6"/>
      <c r="Z58" s="38"/>
    </row>
    <row r="59" spans="1:26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0"/>
        <v>2.0621430676981412E-4</v>
      </c>
      <c r="J59" s="6">
        <f t="shared" si="9"/>
        <v>1.44996022601437E-2</v>
      </c>
      <c r="K59" s="6">
        <f t="shared" si="10"/>
        <v>4.0454488376433064E-3</v>
      </c>
      <c r="L59" s="6">
        <f t="shared" si="11"/>
        <v>7.5241008178584595E-3</v>
      </c>
      <c r="M59" s="6">
        <f t="shared" si="12"/>
        <v>-8.2201612246451568E-3</v>
      </c>
      <c r="N59" s="6">
        <f t="shared" si="6"/>
        <v>1.7514263468030517E-3</v>
      </c>
      <c r="O59" s="6">
        <f t="shared" si="1"/>
        <v>-1.6440928180425498E-2</v>
      </c>
      <c r="P59" s="6"/>
      <c r="Q59" s="6">
        <f t="shared" si="7"/>
        <v>3.3724902743584089E-3</v>
      </c>
      <c r="R59" s="6"/>
      <c r="Z59" s="38"/>
    </row>
    <row r="60" spans="1:26" x14ac:dyDescent="0.2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0"/>
        <v>2.0773394514983501E-4</v>
      </c>
      <c r="J60" s="6">
        <f t="shared" si="9"/>
        <v>1.4347282613426004E-2</v>
      </c>
      <c r="K60" s="6">
        <f t="shared" si="10"/>
        <v>3.6793121473435051E-3</v>
      </c>
      <c r="L60" s="6">
        <f t="shared" si="11"/>
        <v>-4.8618261899616047E-4</v>
      </c>
      <c r="M60" s="6">
        <f t="shared" si="12"/>
        <v>5.6981618175608508E-3</v>
      </c>
      <c r="N60" s="6">
        <f t="shared" si="6"/>
        <v>2.8361156932399829E-3</v>
      </c>
      <c r="O60" s="6">
        <f t="shared" si="1"/>
        <v>7.3421989327175866E-3</v>
      </c>
      <c r="P60" s="6"/>
      <c r="Q60" s="6">
        <f t="shared" si="7"/>
        <v>4.458493584148215E-3</v>
      </c>
      <c r="R60" s="6"/>
      <c r="Z60" s="38"/>
    </row>
    <row r="61" spans="1:26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0"/>
        <v>2.0773394514983501E-4</v>
      </c>
      <c r="J61" s="6">
        <f t="shared" si="9"/>
        <v>5.8675683603629037E-3</v>
      </c>
      <c r="K61" s="6">
        <f t="shared" si="10"/>
        <v>-1.5752086562333767E-3</v>
      </c>
      <c r="L61" s="6">
        <f t="shared" si="11"/>
        <v>4.9183358399554396E-3</v>
      </c>
      <c r="M61" s="6">
        <f t="shared" si="12"/>
        <v>-1.2067567354175589E-2</v>
      </c>
      <c r="N61" s="6">
        <f t="shared" si="6"/>
        <v>1.0044332873557552E-3</v>
      </c>
      <c r="O61" s="6">
        <f t="shared" si="1"/>
        <v>0</v>
      </c>
      <c r="P61" s="6"/>
      <c r="Q61" s="6">
        <f t="shared" si="7"/>
        <v>-8.0082872350029956E-4</v>
      </c>
      <c r="R61" s="6"/>
      <c r="Z61" s="38"/>
    </row>
    <row r="62" spans="1:26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0"/>
        <v>2.0811376493412581E-4</v>
      </c>
      <c r="J62" s="6">
        <f t="shared" si="9"/>
        <v>-2.6278835003809412E-3</v>
      </c>
      <c r="K62" s="6">
        <f t="shared" si="10"/>
        <v>-7.5604337307585206E-3</v>
      </c>
      <c r="L62" s="6">
        <f t="shared" si="11"/>
        <v>-2.9757978020443572E-3</v>
      </c>
      <c r="M62" s="6">
        <f t="shared" si="12"/>
        <v>-1.2787371052778911E-3</v>
      </c>
      <c r="N62" s="6">
        <f t="shared" si="6"/>
        <v>-8.1167621824379983E-3</v>
      </c>
      <c r="O62" s="6">
        <f t="shared" si="1"/>
        <v>1.8267258936371892E-3</v>
      </c>
      <c r="P62" s="6"/>
      <c r="Q62" s="6">
        <f t="shared" si="7"/>
        <v>-2.3209040884009467E-3</v>
      </c>
      <c r="R62" s="6"/>
      <c r="Z62" s="38"/>
    </row>
    <row r="63" spans="1:26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0"/>
        <v>2.1001232533235381E-4</v>
      </c>
      <c r="J63" s="6">
        <f t="shared" si="9"/>
        <v>2.2954556969230551E-2</v>
      </c>
      <c r="K63" s="6">
        <f t="shared" si="10"/>
        <v>1.0583701900695479E-3</v>
      </c>
      <c r="L63" s="6">
        <f t="shared" si="11"/>
        <v>1.4722279452399911E-2</v>
      </c>
      <c r="M63" s="6">
        <f t="shared" si="12"/>
        <v>6.3967350467703291E-4</v>
      </c>
      <c r="N63" s="6">
        <f t="shared" si="6"/>
        <v>1.5495728650985885E-2</v>
      </c>
      <c r="O63" s="6">
        <f t="shared" si="1"/>
        <v>9.0813440748678219E-3</v>
      </c>
      <c r="P63" s="6"/>
      <c r="Q63" s="6">
        <f t="shared" si="7"/>
        <v>1.1384658011959864E-2</v>
      </c>
      <c r="R63" s="6"/>
      <c r="Z63" s="38"/>
    </row>
    <row r="64" spans="1:26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0"/>
        <v>2.0963268503315646E-4</v>
      </c>
      <c r="J64" s="6">
        <f t="shared" si="9"/>
        <v>-8.6207243473615386E-3</v>
      </c>
      <c r="K64" s="6">
        <f t="shared" si="10"/>
        <v>3.6955712633663846E-3</v>
      </c>
      <c r="L64" s="6">
        <f t="shared" si="11"/>
        <v>-4.4488788474790633E-3</v>
      </c>
      <c r="M64" s="6">
        <f t="shared" si="12"/>
        <v>-3.8437221263010121E-3</v>
      </c>
      <c r="N64" s="6">
        <f t="shared" si="6"/>
        <v>-8.3609108519786131E-4</v>
      </c>
      <c r="O64" s="6">
        <f t="shared" si="1"/>
        <v>-1.8093407207971416E-3</v>
      </c>
      <c r="P64" s="6"/>
      <c r="Q64" s="6">
        <f t="shared" si="7"/>
        <v>-5.0254535654663448E-3</v>
      </c>
      <c r="R64" s="6"/>
      <c r="Z64" s="38"/>
    </row>
    <row r="65" spans="1:26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0"/>
        <v>2.0925300885044074E-4</v>
      </c>
      <c r="J65" s="6">
        <f t="shared" si="9"/>
        <v>1.4184635374476782E-2</v>
      </c>
      <c r="K65" s="6">
        <f t="shared" si="10"/>
        <v>2.981612142296002E-3</v>
      </c>
      <c r="L65" s="6">
        <f t="shared" si="11"/>
        <v>1.8082265985749042E-2</v>
      </c>
      <c r="M65" s="6">
        <f t="shared" si="12"/>
        <v>3.2040486216239152E-3</v>
      </c>
      <c r="N65" s="6">
        <f t="shared" si="6"/>
        <v>1.8895282757298078E-2</v>
      </c>
      <c r="O65" s="6">
        <f t="shared" si="1"/>
        <v>-1.8127918534071839E-3</v>
      </c>
      <c r="P65" s="6"/>
      <c r="Q65" s="6">
        <f t="shared" si="7"/>
        <v>1.2180971372904165E-2</v>
      </c>
      <c r="R65" s="6"/>
      <c r="Z65" s="38"/>
    </row>
    <row r="66" spans="1:26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0"/>
        <v>2.043139499885438E-4</v>
      </c>
      <c r="J66" s="6">
        <f t="shared" si="9"/>
        <v>3.0363308776654089E-3</v>
      </c>
      <c r="K66" s="6">
        <f t="shared" si="10"/>
        <v>1.9246372583412658E-3</v>
      </c>
      <c r="L66" s="6">
        <f t="shared" si="11"/>
        <v>8.7197537313942614E-3</v>
      </c>
      <c r="M66" s="6">
        <f t="shared" si="12"/>
        <v>8.2829440398884853E-3</v>
      </c>
      <c r="N66" s="6">
        <f t="shared" si="6"/>
        <v>1.5958076771483444E-3</v>
      </c>
      <c r="O66" s="6">
        <f t="shared" si="1"/>
        <v>-2.3886307105055279E-2</v>
      </c>
      <c r="P66" s="6"/>
      <c r="Q66" s="6">
        <f t="shared" si="7"/>
        <v>7.49632095917422E-3</v>
      </c>
      <c r="R66" s="6"/>
      <c r="Z66" s="38"/>
    </row>
    <row r="67" spans="1:26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ref="H67:H130" si="13">+(1+G67)^(1/250)-1</f>
        <v>2.0545427193918719E-4</v>
      </c>
      <c r="J67" s="6">
        <f t="shared" si="9"/>
        <v>9.0015200429287429E-3</v>
      </c>
      <c r="K67" s="6">
        <f t="shared" si="10"/>
        <v>-1.0493722296692307E-3</v>
      </c>
      <c r="L67" s="6">
        <f t="shared" si="11"/>
        <v>1.1355018101563337E-2</v>
      </c>
      <c r="M67" s="6">
        <f t="shared" si="12"/>
        <v>7.5853598266493183E-3</v>
      </c>
      <c r="N67" s="6">
        <f t="shared" si="6"/>
        <v>1.1896413835666805E-3</v>
      </c>
      <c r="O67" s="6">
        <f t="shared" ref="O67:O130" si="14">LN(H67/H66)</f>
        <v>5.565706822906585E-3</v>
      </c>
      <c r="P67" s="6"/>
      <c r="Q67" s="6">
        <f t="shared" si="7"/>
        <v>9.6022334731668026E-3</v>
      </c>
      <c r="R67" s="6"/>
      <c r="Z67" s="38"/>
    </row>
    <row r="68" spans="1:26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si="13"/>
        <v>2.0393377072314145E-4</v>
      </c>
      <c r="J68" s="6">
        <f t="shared" ref="J68:J99" si="15">LN(B68/B67)</f>
        <v>-1.0544870529251719E-4</v>
      </c>
      <c r="K68" s="6">
        <f t="shared" ref="K68:K99" si="16">LN(C68/C67)</f>
        <v>1.9229550455904989E-3</v>
      </c>
      <c r="L68" s="6">
        <f t="shared" ref="L68:L99" si="17">LN(D68/D67)</f>
        <v>9.0052481102475771E-3</v>
      </c>
      <c r="M68" s="6">
        <f t="shared" ref="M68:M99" si="18">LN(E68/E67)</f>
        <v>1.2586844676198644E-3</v>
      </c>
      <c r="N68" s="6">
        <f t="shared" ref="N68:N131" si="19">LN(F68/F67)</f>
        <v>1.2812755985166719E-3</v>
      </c>
      <c r="O68" s="6">
        <f t="shared" si="14"/>
        <v>-7.4282003826470254E-3</v>
      </c>
      <c r="P68" s="6"/>
      <c r="Q68" s="6">
        <f t="shared" ref="Q68:Q131" si="20">+SUMPRODUCT($T$16:$W$16,J68:M68)</f>
        <v>4.5972836527201182E-3</v>
      </c>
      <c r="R68" s="6"/>
      <c r="Z68" s="38"/>
    </row>
    <row r="69" spans="1:26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13"/>
        <v>2.043139499885438E-4</v>
      </c>
      <c r="J69" s="6">
        <f t="shared" si="15"/>
        <v>9.2354873918627962E-3</v>
      </c>
      <c r="K69" s="6">
        <f t="shared" si="16"/>
        <v>2.4420582166783792E-3</v>
      </c>
      <c r="L69" s="6">
        <f t="shared" si="17"/>
        <v>3.0707044771690309E-3</v>
      </c>
      <c r="M69" s="6">
        <f t="shared" si="18"/>
        <v>1.250014351434138E-2</v>
      </c>
      <c r="N69" s="6">
        <f t="shared" si="19"/>
        <v>7.3631338909269815E-3</v>
      </c>
      <c r="O69" s="6">
        <f t="shared" si="14"/>
        <v>1.86249355974044E-3</v>
      </c>
      <c r="P69" s="6"/>
      <c r="Q69" s="6">
        <f t="shared" si="20"/>
        <v>7.5075009992189795E-3</v>
      </c>
      <c r="R69" s="6"/>
      <c r="Z69" s="38"/>
    </row>
    <row r="70" spans="1:26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13"/>
        <v>2.0469409327517063E-4</v>
      </c>
      <c r="J70" s="6">
        <f t="shared" si="15"/>
        <v>-4.2398033377747738E-3</v>
      </c>
      <c r="K70" s="6">
        <f t="shared" si="16"/>
        <v>1.0915721899237774E-2</v>
      </c>
      <c r="L70" s="6">
        <f t="shared" si="17"/>
        <v>-2.089635023942204E-3</v>
      </c>
      <c r="M70" s="6">
        <f t="shared" si="18"/>
        <v>5.5745681417839043E-3</v>
      </c>
      <c r="N70" s="6">
        <f t="shared" si="19"/>
        <v>-2.0229887908321687E-3</v>
      </c>
      <c r="O70" s="6">
        <f t="shared" si="14"/>
        <v>1.8588553567499826E-3</v>
      </c>
      <c r="P70" s="6"/>
      <c r="Q70" s="6">
        <f t="shared" si="20"/>
        <v>1.6620514215626376E-4</v>
      </c>
      <c r="R70" s="6"/>
      <c r="Z70" s="38"/>
    </row>
    <row r="71" spans="1:26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13"/>
        <v>2.043139499885438E-4</v>
      </c>
      <c r="J71" s="6">
        <f t="shared" si="15"/>
        <v>3.5083046042034536E-3</v>
      </c>
      <c r="K71" s="6">
        <f t="shared" si="16"/>
        <v>6.698173115196048E-3</v>
      </c>
      <c r="L71" s="6">
        <f t="shared" si="17"/>
        <v>2.3505409404632072E-3</v>
      </c>
      <c r="M71" s="6">
        <f t="shared" si="18"/>
        <v>-1.2361893781621346E-3</v>
      </c>
      <c r="N71" s="6">
        <f t="shared" si="19"/>
        <v>4.0528664649777243E-3</v>
      </c>
      <c r="O71" s="6">
        <f t="shared" si="14"/>
        <v>-1.8588553567499557E-3</v>
      </c>
      <c r="P71" s="6"/>
      <c r="Q71" s="6">
        <f t="shared" si="20"/>
        <v>1.32341465712586E-3</v>
      </c>
      <c r="R71" s="6"/>
      <c r="Z71" s="38"/>
    </row>
    <row r="72" spans="1:26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13"/>
        <v>2.0507420058968329E-4</v>
      </c>
      <c r="J72" s="6">
        <f t="shared" si="15"/>
        <v>-7.0289607553052254E-3</v>
      </c>
      <c r="K72" s="6">
        <f t="shared" si="16"/>
        <v>2.564368058518235E-3</v>
      </c>
      <c r="L72" s="6">
        <f t="shared" si="17"/>
        <v>1.3685641523619864E-3</v>
      </c>
      <c r="M72" s="6">
        <f t="shared" si="18"/>
        <v>2.4706584385659168E-3</v>
      </c>
      <c r="N72" s="6">
        <f t="shared" si="19"/>
        <v>5.9675559803246874E-4</v>
      </c>
      <c r="O72" s="6">
        <f t="shared" si="14"/>
        <v>3.7140863701174238E-3</v>
      </c>
      <c r="P72" s="6"/>
      <c r="Q72" s="6">
        <f t="shared" si="20"/>
        <v>1.6768504614934736E-4</v>
      </c>
      <c r="R72" s="6"/>
      <c r="Z72" s="38"/>
    </row>
    <row r="73" spans="1:26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13"/>
        <v>2.0507420058968329E-4</v>
      </c>
      <c r="J73" s="6">
        <f t="shared" si="15"/>
        <v>-9.4805949388913479E-4</v>
      </c>
      <c r="K73" s="6">
        <f t="shared" si="16"/>
        <v>-1.8798349524674102E-3</v>
      </c>
      <c r="L73" s="6">
        <f t="shared" si="17"/>
        <v>-2.2819464710573719E-3</v>
      </c>
      <c r="M73" s="6">
        <f t="shared" si="18"/>
        <v>0</v>
      </c>
      <c r="N73" s="6">
        <f t="shared" si="19"/>
        <v>-1.9561422168003027E-3</v>
      </c>
      <c r="O73" s="6">
        <f t="shared" si="14"/>
        <v>0</v>
      </c>
      <c r="P73" s="6"/>
      <c r="Q73" s="6">
        <f t="shared" si="20"/>
        <v>-1.2380271626167083E-3</v>
      </c>
      <c r="R73" s="6"/>
      <c r="Z73" s="38"/>
    </row>
    <row r="74" spans="1:26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13"/>
        <v>2.0545427193918719E-4</v>
      </c>
      <c r="J74" s="6">
        <f t="shared" si="15"/>
        <v>3.2089405359202782E-3</v>
      </c>
      <c r="K74" s="6">
        <f t="shared" si="16"/>
        <v>2.0506000205027385E-3</v>
      </c>
      <c r="L74" s="6">
        <f t="shared" si="17"/>
        <v>2.2819464710573632E-3</v>
      </c>
      <c r="M74" s="6">
        <f t="shared" si="18"/>
        <v>-1.8524051289652865E-3</v>
      </c>
      <c r="N74" s="6">
        <f t="shared" si="19"/>
        <v>9.7964714182290037E-4</v>
      </c>
      <c r="O74" s="6">
        <f t="shared" si="14"/>
        <v>1.8516204527893802E-3</v>
      </c>
      <c r="P74" s="6"/>
      <c r="Q74" s="6">
        <f t="shared" si="20"/>
        <v>1.0211472244066248E-3</v>
      </c>
      <c r="R74" s="6"/>
      <c r="Z74" s="38"/>
    </row>
    <row r="75" spans="1:26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13"/>
        <v>2.043139499885438E-4</v>
      </c>
      <c r="J75" s="6">
        <f t="shared" si="15"/>
        <v>-5.4242788854046205E-3</v>
      </c>
      <c r="K75" s="6">
        <f t="shared" si="16"/>
        <v>-5.9926490699218782E-3</v>
      </c>
      <c r="L75" s="6">
        <f t="shared" si="17"/>
        <v>5.0673693523613879E-3</v>
      </c>
      <c r="M75" s="6">
        <f t="shared" si="18"/>
        <v>7.3891849715765874E-3</v>
      </c>
      <c r="N75" s="6">
        <f t="shared" si="19"/>
        <v>-9.4668376742538802E-4</v>
      </c>
      <c r="O75" s="6">
        <f t="shared" si="14"/>
        <v>-5.5657068229066041E-3</v>
      </c>
      <c r="P75" s="6"/>
      <c r="Q75" s="6">
        <f t="shared" si="20"/>
        <v>3.8951241960399649E-3</v>
      </c>
      <c r="R75" s="6"/>
      <c r="Z75" s="38"/>
    </row>
    <row r="76" spans="1:26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13"/>
        <v>2.0317330422892077E-4</v>
      </c>
      <c r="J76" s="6">
        <f t="shared" si="15"/>
        <v>3.0580089148523034E-3</v>
      </c>
      <c r="K76" s="6">
        <f t="shared" si="16"/>
        <v>1.1530896635000211E-2</v>
      </c>
      <c r="L76" s="6">
        <f t="shared" si="17"/>
        <v>1.1340267252648781E-2</v>
      </c>
      <c r="M76" s="6">
        <f t="shared" si="18"/>
        <v>1.6428683176453563E-2</v>
      </c>
      <c r="N76" s="6">
        <f t="shared" si="19"/>
        <v>3.7769911916856066E-3</v>
      </c>
      <c r="O76" s="6">
        <f t="shared" si="14"/>
        <v>-5.5984511272670423E-3</v>
      </c>
      <c r="P76" s="6"/>
      <c r="Q76" s="6">
        <f t="shared" si="20"/>
        <v>1.1545330657310445E-2</v>
      </c>
      <c r="R76" s="6"/>
      <c r="Z76" s="38"/>
    </row>
    <row r="77" spans="1:26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13"/>
        <v>1.9974942225231551E-4</v>
      </c>
      <c r="J77" s="6">
        <f t="shared" si="15"/>
        <v>6.7683969358011721E-3</v>
      </c>
      <c r="K77" s="6">
        <f t="shared" si="16"/>
        <v>3.4165183963682714E-3</v>
      </c>
      <c r="L77" s="6">
        <f t="shared" si="17"/>
        <v>4.857594182652576E-3</v>
      </c>
      <c r="M77" s="6">
        <f t="shared" si="18"/>
        <v>1.1401293855996619E-2</v>
      </c>
      <c r="N77" s="6">
        <f t="shared" si="19"/>
        <v>5.8565417006152948E-3</v>
      </c>
      <c r="O77" s="6">
        <f t="shared" si="14"/>
        <v>-1.6995637959121939E-2</v>
      </c>
      <c r="P77" s="6"/>
      <c r="Q77" s="6">
        <f t="shared" si="20"/>
        <v>7.4901523845112821E-3</v>
      </c>
      <c r="R77" s="6"/>
      <c r="Z77" s="38"/>
    </row>
    <row r="78" spans="1:26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13"/>
        <v>2.0127150788695758E-4</v>
      </c>
      <c r="J78" s="6">
        <f t="shared" si="15"/>
        <v>-9.5097229376474839E-3</v>
      </c>
      <c r="K78" s="6">
        <f t="shared" si="16"/>
        <v>-1.1944749472458554E-3</v>
      </c>
      <c r="L78" s="6">
        <f t="shared" si="17"/>
        <v>7.3054908777762974E-3</v>
      </c>
      <c r="M78" s="6">
        <f t="shared" si="18"/>
        <v>-5.9844807698541955E-3</v>
      </c>
      <c r="N78" s="6">
        <f t="shared" si="19"/>
        <v>-5.4231665551195962E-3</v>
      </c>
      <c r="O78" s="6">
        <f t="shared" si="14"/>
        <v>7.5910897879737701E-3</v>
      </c>
      <c r="P78" s="6"/>
      <c r="Q78" s="6">
        <f t="shared" si="20"/>
        <v>-4.8024530042513835E-4</v>
      </c>
      <c r="R78" s="6"/>
      <c r="Z78" s="38"/>
    </row>
    <row r="79" spans="1:26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13"/>
        <v>1.970843837875158E-4</v>
      </c>
      <c r="J79" s="6">
        <f t="shared" si="15"/>
        <v>2.084449839920156E-2</v>
      </c>
      <c r="K79" s="6">
        <f t="shared" si="16"/>
        <v>1.5354718166455639E-3</v>
      </c>
      <c r="L79" s="6">
        <f t="shared" si="17"/>
        <v>-1.266031176191559E-4</v>
      </c>
      <c r="M79" s="6">
        <f t="shared" si="18"/>
        <v>3.306087505214772E-2</v>
      </c>
      <c r="N79" s="6">
        <f t="shared" si="19"/>
        <v>-5.691170958779145E-4</v>
      </c>
      <c r="O79" s="6">
        <f t="shared" si="14"/>
        <v>-2.1022800952401315E-2</v>
      </c>
      <c r="P79" s="6"/>
      <c r="Q79" s="6">
        <f t="shared" si="20"/>
        <v>1.5352021252262333E-2</v>
      </c>
      <c r="R79" s="6"/>
      <c r="Z79" s="38"/>
    </row>
    <row r="80" spans="1:26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13"/>
        <v>1.9898816309771306E-4</v>
      </c>
      <c r="J80" s="6">
        <f t="shared" si="15"/>
        <v>-5.7032520050787593E-3</v>
      </c>
      <c r="K80" s="6">
        <f t="shared" si="16"/>
        <v>-1.0233916476147672E-3</v>
      </c>
      <c r="L80" s="6">
        <f t="shared" si="17"/>
        <v>-1.0563861768930536E-2</v>
      </c>
      <c r="M80" s="6">
        <f t="shared" si="18"/>
        <v>-1.6393661333646715E-2</v>
      </c>
      <c r="N80" s="6">
        <f t="shared" si="19"/>
        <v>-3.9137791113844191E-3</v>
      </c>
      <c r="O80" s="6">
        <f t="shared" si="14"/>
        <v>9.6133599104239326E-3</v>
      </c>
      <c r="P80" s="6"/>
      <c r="Q80" s="6">
        <f t="shared" si="20"/>
        <v>-1.1671602207538948E-2</v>
      </c>
      <c r="R80" s="6"/>
      <c r="Z80" s="38"/>
    </row>
    <row r="81" spans="1:26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13"/>
        <v>1.9746521183972021E-4</v>
      </c>
      <c r="J81" s="6">
        <f t="shared" si="15"/>
        <v>1.0088207138443817E-2</v>
      </c>
      <c r="K81" s="6">
        <f t="shared" si="16"/>
        <v>2.3863212857141401E-3</v>
      </c>
      <c r="L81" s="6">
        <f t="shared" si="17"/>
        <v>3.0661278355592595E-3</v>
      </c>
      <c r="M81" s="6">
        <f t="shared" si="18"/>
        <v>8.8156554713472324E-3</v>
      </c>
      <c r="N81" s="6">
        <f t="shared" si="19"/>
        <v>7.9366104133129379E-3</v>
      </c>
      <c r="O81" s="6">
        <f t="shared" si="14"/>
        <v>-7.6829147917782045E-3</v>
      </c>
      <c r="P81" s="6"/>
      <c r="Q81" s="6">
        <f t="shared" si="20"/>
        <v>6.3867811484324341E-3</v>
      </c>
      <c r="R81" s="6"/>
      <c r="Z81" s="38"/>
    </row>
    <row r="82" spans="1:26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13"/>
        <v>1.9784600378991435E-4</v>
      </c>
      <c r="J82" s="6">
        <f t="shared" si="15"/>
        <v>7.3850207302899578E-3</v>
      </c>
      <c r="K82" s="6">
        <f t="shared" si="16"/>
        <v>-2.2156572655028478E-3</v>
      </c>
      <c r="L82" s="6">
        <f t="shared" si="17"/>
        <v>1.0973473354382132E-2</v>
      </c>
      <c r="M82" s="6">
        <f t="shared" si="18"/>
        <v>-9.9971434933014119E-3</v>
      </c>
      <c r="N82" s="6">
        <f t="shared" si="19"/>
        <v>4.0870746210065929E-3</v>
      </c>
      <c r="O82" s="6">
        <f t="shared" si="14"/>
        <v>1.9265432040200135E-3</v>
      </c>
      <c r="P82" s="6"/>
      <c r="Q82" s="6">
        <f t="shared" si="20"/>
        <v>3.014963954861837E-3</v>
      </c>
      <c r="R82" s="6"/>
      <c r="Z82" s="38"/>
    </row>
    <row r="83" spans="1:26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13"/>
        <v>1.970843837875158E-4</v>
      </c>
      <c r="J83" s="6">
        <f t="shared" si="15"/>
        <v>-1.301155524149791E-2</v>
      </c>
      <c r="K83" s="6">
        <f t="shared" si="16"/>
        <v>7.3098102582420726E-3</v>
      </c>
      <c r="L83" s="6">
        <f t="shared" si="17"/>
        <v>3.6521773139312004E-3</v>
      </c>
      <c r="M83" s="6">
        <f t="shared" si="18"/>
        <v>-1.7889443279638567E-2</v>
      </c>
      <c r="N83" s="6">
        <f t="shared" si="19"/>
        <v>3.9168516750811289E-3</v>
      </c>
      <c r="O83" s="6">
        <f t="shared" si="14"/>
        <v>-3.8569883226658797E-3</v>
      </c>
      <c r="P83" s="6"/>
      <c r="Q83" s="6">
        <f t="shared" si="20"/>
        <v>-6.9702868819916334E-3</v>
      </c>
      <c r="R83" s="6"/>
      <c r="Z83" s="38"/>
    </row>
    <row r="84" spans="1:26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13"/>
        <v>2.0012999773522111E-4</v>
      </c>
      <c r="J84" s="6">
        <f t="shared" si="15"/>
        <v>7.8889519649972505E-3</v>
      </c>
      <c r="K84" s="6">
        <f t="shared" si="16"/>
        <v>6.4156731620670822E-3</v>
      </c>
      <c r="L84" s="6">
        <f t="shared" si="17"/>
        <v>8.8855459657744724E-3</v>
      </c>
      <c r="M84" s="6">
        <f t="shared" si="18"/>
        <v>-1.2715943603931842E-2</v>
      </c>
      <c r="N84" s="6">
        <f t="shared" si="19"/>
        <v>4.5887580600857377E-3</v>
      </c>
      <c r="O84" s="6">
        <f t="shared" si="14"/>
        <v>1.5335162949086231E-2</v>
      </c>
      <c r="P84" s="6"/>
      <c r="Q84" s="6">
        <f t="shared" si="20"/>
        <v>1.1967345560216849E-3</v>
      </c>
      <c r="R84" s="6"/>
      <c r="Z84" s="38"/>
    </row>
    <row r="85" spans="1:26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13"/>
        <v>2.0051053716385603E-4</v>
      </c>
      <c r="J85" s="6">
        <f t="shared" si="15"/>
        <v>1.6553655693470191E-2</v>
      </c>
      <c r="K85" s="6">
        <f t="shared" si="16"/>
        <v>8.5463889760277086E-3</v>
      </c>
      <c r="L85" s="6">
        <f t="shared" si="17"/>
        <v>3.3584282184013106E-3</v>
      </c>
      <c r="M85" s="6">
        <f t="shared" si="18"/>
        <v>2.4346320782964847E-3</v>
      </c>
      <c r="N85" s="6">
        <f t="shared" si="19"/>
        <v>1.3558420429298217E-2</v>
      </c>
      <c r="O85" s="6">
        <f t="shared" si="14"/>
        <v>1.8996557258902202E-3</v>
      </c>
      <c r="P85" s="6"/>
      <c r="Q85" s="6">
        <f t="shared" si="20"/>
        <v>5.5259495026416198E-3</v>
      </c>
      <c r="R85" s="6"/>
      <c r="Z85" s="38"/>
    </row>
    <row r="86" spans="1:26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13"/>
        <v>2.0051053716385603E-4</v>
      </c>
      <c r="J86" s="6">
        <f t="shared" si="15"/>
        <v>7.5742185089877612E-4</v>
      </c>
      <c r="K86" s="6">
        <f t="shared" si="16"/>
        <v>-1.4962062138094838E-2</v>
      </c>
      <c r="L86" s="6">
        <f t="shared" si="17"/>
        <v>1.8028547888701854E-2</v>
      </c>
      <c r="M86" s="6">
        <f t="shared" si="18"/>
        <v>1.208465691282283E-2</v>
      </c>
      <c r="N86" s="6">
        <f t="shared" si="19"/>
        <v>2.6435733742609306E-3</v>
      </c>
      <c r="O86" s="6">
        <f t="shared" si="14"/>
        <v>0</v>
      </c>
      <c r="P86" s="6"/>
      <c r="Q86" s="6">
        <f t="shared" si="20"/>
        <v>1.2707682893020591E-2</v>
      </c>
      <c r="R86" s="6"/>
      <c r="Z86" s="38"/>
    </row>
    <row r="87" spans="1:26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13"/>
        <v>1.9289289052348835E-4</v>
      </c>
      <c r="J87" s="6">
        <f t="shared" si="15"/>
        <v>-2.7295073142777661E-3</v>
      </c>
      <c r="K87" s="6">
        <f t="shared" si="16"/>
        <v>-7.4804742784532674E-3</v>
      </c>
      <c r="L87" s="6">
        <f t="shared" si="17"/>
        <v>7.5329194945627474E-3</v>
      </c>
      <c r="M87" s="6">
        <f t="shared" si="18"/>
        <v>-7.8383887172057826E-3</v>
      </c>
      <c r="N87" s="6">
        <f t="shared" si="19"/>
        <v>-7.6281368101049259E-5</v>
      </c>
      <c r="O87" s="6">
        <f t="shared" si="14"/>
        <v>-3.8731736328505399E-2</v>
      </c>
      <c r="P87" s="6"/>
      <c r="Q87" s="6">
        <f t="shared" si="20"/>
        <v>2.6015864589360978E-4</v>
      </c>
      <c r="R87" s="6"/>
      <c r="Z87" s="38"/>
    </row>
    <row r="88" spans="1:26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13"/>
        <v>1.9136762610516556E-4</v>
      </c>
      <c r="J88" s="6">
        <f t="shared" si="15"/>
        <v>-8.53965400802611E-3</v>
      </c>
      <c r="K88" s="6">
        <f t="shared" si="16"/>
        <v>7.1417585896560408E-3</v>
      </c>
      <c r="L88" s="6">
        <f t="shared" si="17"/>
        <v>6.0338573294274594E-3</v>
      </c>
      <c r="M88" s="6">
        <f t="shared" si="18"/>
        <v>-3.6386626067303612E-3</v>
      </c>
      <c r="N88" s="6">
        <f t="shared" si="19"/>
        <v>4.5180974872495441E-3</v>
      </c>
      <c r="O88" s="6">
        <f t="shared" si="14"/>
        <v>-7.938741363990285E-3</v>
      </c>
      <c r="P88" s="6"/>
      <c r="Q88" s="6">
        <f t="shared" si="20"/>
        <v>-7.3028193631672483E-5</v>
      </c>
      <c r="R88" s="6"/>
      <c r="Z88" s="38"/>
    </row>
    <row r="89" spans="1:26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13"/>
        <v>1.9327411614988854E-4</v>
      </c>
      <c r="J89" s="6">
        <f t="shared" si="15"/>
        <v>5.3458637702141027E-3</v>
      </c>
      <c r="K89" s="6">
        <f t="shared" si="16"/>
        <v>-3.2244751257021888E-3</v>
      </c>
      <c r="L89" s="6">
        <f t="shared" si="17"/>
        <v>1.3266549902395489E-2</v>
      </c>
      <c r="M89" s="6">
        <f t="shared" si="18"/>
        <v>9.0718253225267661E-3</v>
      </c>
      <c r="N89" s="6">
        <f t="shared" si="19"/>
        <v>5.8492552349014293E-3</v>
      </c>
      <c r="O89" s="6">
        <f t="shared" si="14"/>
        <v>9.9131500713952395E-3</v>
      </c>
      <c r="P89" s="6"/>
      <c r="Q89" s="6">
        <f t="shared" si="20"/>
        <v>1.0316329317765691E-2</v>
      </c>
      <c r="R89" s="6"/>
      <c r="Z89" s="38"/>
    </row>
    <row r="90" spans="1:26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13"/>
        <v>1.9327411614988854E-4</v>
      </c>
      <c r="J90" s="6">
        <f t="shared" si="15"/>
        <v>-1.0771711802952852E-2</v>
      </c>
      <c r="K90" s="6">
        <f t="shared" si="16"/>
        <v>-2.0955763699396959E-2</v>
      </c>
      <c r="L90" s="6">
        <f t="shared" si="17"/>
        <v>-1.1343350930772851E-2</v>
      </c>
      <c r="M90" s="6">
        <f t="shared" si="18"/>
        <v>-1.2723712230209391E-2</v>
      </c>
      <c r="N90" s="6">
        <f t="shared" si="19"/>
        <v>-1.4793144174519959E-2</v>
      </c>
      <c r="O90" s="6">
        <f t="shared" si="14"/>
        <v>0</v>
      </c>
      <c r="P90" s="6"/>
      <c r="Q90" s="6">
        <f t="shared" si="20"/>
        <v>-1.1714868854458861E-2</v>
      </c>
      <c r="R90" s="6"/>
      <c r="Z90" s="38"/>
    </row>
    <row r="91" spans="1:26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13"/>
        <v>1.9251162871269933E-4</v>
      </c>
      <c r="J91" s="6">
        <f t="shared" si="15"/>
        <v>-7.7033791279105483E-4</v>
      </c>
      <c r="K91" s="6">
        <f t="shared" si="16"/>
        <v>6.5744708171604086E-3</v>
      </c>
      <c r="L91" s="6">
        <f t="shared" si="17"/>
        <v>5.6878079343058051E-3</v>
      </c>
      <c r="M91" s="6">
        <f t="shared" si="18"/>
        <v>5.4729367751170889E-3</v>
      </c>
      <c r="N91" s="6">
        <f t="shared" si="19"/>
        <v>1.024879009249407E-2</v>
      </c>
      <c r="O91" s="6">
        <f t="shared" si="14"/>
        <v>-3.9529113773502057E-3</v>
      </c>
      <c r="P91" s="6"/>
      <c r="Q91" s="6">
        <f t="shared" si="20"/>
        <v>4.395346928241577E-3</v>
      </c>
      <c r="R91" s="6"/>
      <c r="Z91" s="38"/>
    </row>
    <row r="92" spans="1:26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13"/>
        <v>1.9060477665200359E-4</v>
      </c>
      <c r="J92" s="6">
        <f t="shared" si="15"/>
        <v>-5.5629055748559423E-3</v>
      </c>
      <c r="K92" s="6">
        <f t="shared" si="16"/>
        <v>5.6744066112261139E-3</v>
      </c>
      <c r="L92" s="6">
        <f t="shared" si="17"/>
        <v>-5.9719768106862266E-4</v>
      </c>
      <c r="M92" s="6">
        <f t="shared" si="18"/>
        <v>3.6318010530331695E-3</v>
      </c>
      <c r="N92" s="6">
        <f t="shared" si="19"/>
        <v>1.6587067997896167E-3</v>
      </c>
      <c r="O92" s="6">
        <f t="shared" si="14"/>
        <v>-9.9545087610752991E-3</v>
      </c>
      <c r="P92" s="6"/>
      <c r="Q92" s="6">
        <f t="shared" si="20"/>
        <v>-6.5136554108786342E-5</v>
      </c>
      <c r="R92" s="6"/>
      <c r="Z92" s="38"/>
    </row>
    <row r="93" spans="1:26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13"/>
        <v>1.8907864298212118E-4</v>
      </c>
      <c r="J93" s="6">
        <f t="shared" si="15"/>
        <v>-2.8449113917028523E-3</v>
      </c>
      <c r="K93" s="6">
        <f t="shared" si="16"/>
        <v>4.1068114348282283E-3</v>
      </c>
      <c r="L93" s="6">
        <f t="shared" si="17"/>
        <v>5.8965836558493075E-3</v>
      </c>
      <c r="M93" s="6">
        <f t="shared" si="18"/>
        <v>1.2077595132303129E-3</v>
      </c>
      <c r="N93" s="6">
        <f t="shared" si="19"/>
        <v>4.2227363999498384E-3</v>
      </c>
      <c r="O93" s="6">
        <f t="shared" si="14"/>
        <v>-8.0390230909918731E-3</v>
      </c>
      <c r="P93" s="6"/>
      <c r="Q93" s="6">
        <f t="shared" si="20"/>
        <v>2.6200078545804365E-3</v>
      </c>
      <c r="R93" s="6"/>
      <c r="Z93" s="38"/>
    </row>
    <row r="94" spans="1:26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13"/>
        <v>1.8831535865504456E-4</v>
      </c>
      <c r="J94" s="6">
        <f t="shared" si="15"/>
        <v>5.1779897604456546E-4</v>
      </c>
      <c r="K94" s="6">
        <f t="shared" si="16"/>
        <v>2.5581149129798759E-3</v>
      </c>
      <c r="L94" s="6">
        <f t="shared" si="17"/>
        <v>5.9800808714544585E-3</v>
      </c>
      <c r="M94" s="6">
        <f t="shared" si="18"/>
        <v>6.0333319054379066E-4</v>
      </c>
      <c r="N94" s="6">
        <f t="shared" si="19"/>
        <v>1.429419277681746E-3</v>
      </c>
      <c r="O94" s="6">
        <f t="shared" si="14"/>
        <v>-4.0450317944709362E-3</v>
      </c>
      <c r="P94" s="6"/>
      <c r="Q94" s="6">
        <f t="shared" si="20"/>
        <v>3.0830111575354999E-3</v>
      </c>
      <c r="R94" s="6"/>
      <c r="Z94" s="38"/>
    </row>
    <row r="95" spans="1:26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13"/>
        <v>1.8831535865504456E-4</v>
      </c>
      <c r="J95" s="6">
        <f t="shared" si="15"/>
        <v>2.2237825955231019E-3</v>
      </c>
      <c r="K95" s="6">
        <f t="shared" si="16"/>
        <v>6.811858639393253E-4</v>
      </c>
      <c r="L95" s="6">
        <f t="shared" si="17"/>
        <v>5.2989165247204857E-3</v>
      </c>
      <c r="M95" s="6">
        <f t="shared" si="18"/>
        <v>9.6039637827291333E-3</v>
      </c>
      <c r="N95" s="6">
        <f t="shared" si="19"/>
        <v>3.7010203319937546E-4</v>
      </c>
      <c r="O95" s="6">
        <f t="shared" si="14"/>
        <v>0</v>
      </c>
      <c r="P95" s="6"/>
      <c r="Q95" s="6">
        <f t="shared" si="20"/>
        <v>6.2139009686934506E-3</v>
      </c>
      <c r="R95" s="6"/>
      <c r="Z95" s="38"/>
    </row>
    <row r="96" spans="1:26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13"/>
        <v>1.8869701894863589E-4</v>
      </c>
      <c r="J96" s="6">
        <f t="shared" si="15"/>
        <v>-5.4389057902563941E-3</v>
      </c>
      <c r="K96" s="6">
        <f t="shared" si="16"/>
        <v>3.0590814664282501E-3</v>
      </c>
      <c r="L96" s="6">
        <f t="shared" si="17"/>
        <v>-1.1751806513597941E-3</v>
      </c>
      <c r="M96" s="6">
        <f t="shared" si="18"/>
        <v>2.3866948027653455E-3</v>
      </c>
      <c r="N96" s="6">
        <f t="shared" si="19"/>
        <v>-2.8304729998547477E-3</v>
      </c>
      <c r="O96" s="6">
        <f t="shared" si="14"/>
        <v>2.0246572613530339E-3</v>
      </c>
      <c r="P96" s="6"/>
      <c r="Q96" s="6">
        <f t="shared" si="20"/>
        <v>-7.4239380479156352E-4</v>
      </c>
      <c r="R96" s="6"/>
      <c r="Z96" s="38"/>
    </row>
    <row r="97" spans="1:26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13"/>
        <v>1.8717016014413446E-4</v>
      </c>
      <c r="J97" s="6">
        <f t="shared" si="15"/>
        <v>-3.6442669115568614E-2</v>
      </c>
      <c r="K97" s="6">
        <f t="shared" si="16"/>
        <v>1.4989765411567772E-2</v>
      </c>
      <c r="L97" s="6">
        <f t="shared" si="17"/>
        <v>1.1573020195509662E-2</v>
      </c>
      <c r="M97" s="6">
        <f t="shared" si="18"/>
        <v>2.7624383831125431E-2</v>
      </c>
      <c r="N97" s="6">
        <f t="shared" si="19"/>
        <v>-5.6766608929654707E-3</v>
      </c>
      <c r="O97" s="6">
        <f t="shared" si="14"/>
        <v>-8.1245040168903531E-3</v>
      </c>
      <c r="P97" s="6"/>
      <c r="Q97" s="6">
        <f t="shared" si="20"/>
        <v>8.0920861969751706E-3</v>
      </c>
      <c r="R97" s="6"/>
      <c r="Z97" s="38"/>
    </row>
    <row r="98" spans="1:26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13"/>
        <v>1.8831535865504456E-4</v>
      </c>
      <c r="J98" s="6">
        <f t="shared" si="15"/>
        <v>-7.5158087877084971E-3</v>
      </c>
      <c r="K98" s="6">
        <f t="shared" si="16"/>
        <v>2.3375916662677874E-3</v>
      </c>
      <c r="L98" s="6">
        <f t="shared" si="17"/>
        <v>-4.3679752008790812E-3</v>
      </c>
      <c r="M98" s="6">
        <f t="shared" si="18"/>
        <v>-1.1600607305661888E-3</v>
      </c>
      <c r="N98" s="6">
        <f t="shared" si="19"/>
        <v>-8.0486143089745707E-3</v>
      </c>
      <c r="O98" s="6">
        <f t="shared" si="14"/>
        <v>6.0998467555371874E-3</v>
      </c>
      <c r="P98" s="6"/>
      <c r="Q98" s="6">
        <f t="shared" si="20"/>
        <v>-3.8476673546012589E-3</v>
      </c>
      <c r="R98" s="6"/>
      <c r="Z98" s="38"/>
    </row>
    <row r="99" spans="1:26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13"/>
        <v>1.8717016014413446E-4</v>
      </c>
      <c r="J99" s="6">
        <f t="shared" si="15"/>
        <v>-1.2781428001649012E-2</v>
      </c>
      <c r="K99" s="6">
        <f t="shared" si="16"/>
        <v>-3.3411282708156569E-3</v>
      </c>
      <c r="L99" s="6">
        <f t="shared" si="17"/>
        <v>6.6141593258210608E-3</v>
      </c>
      <c r="M99" s="6">
        <f t="shared" si="18"/>
        <v>-4.6539918884881352E-3</v>
      </c>
      <c r="N99" s="6">
        <f t="shared" si="19"/>
        <v>-3.434296699869414E-3</v>
      </c>
      <c r="O99" s="6">
        <f t="shared" si="14"/>
        <v>-6.0998467555372334E-3</v>
      </c>
      <c r="P99" s="6"/>
      <c r="Q99" s="6">
        <f t="shared" si="20"/>
        <v>-9.5611784243369163E-4</v>
      </c>
      <c r="R99" s="6"/>
      <c r="Z99" s="38"/>
    </row>
    <row r="100" spans="1:26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13"/>
        <v>1.8717016014413446E-4</v>
      </c>
      <c r="J100" s="6">
        <f t="shared" ref="J100:J130" si="21">LN(B100/B99)</f>
        <v>-4.0210117830922973E-3</v>
      </c>
      <c r="K100" s="6">
        <f t="shared" ref="K100:K130" si="22">LN(C100/C99)</f>
        <v>-1.5071191150336566E-3</v>
      </c>
      <c r="L100" s="6">
        <f t="shared" ref="L100:L130" si="23">LN(D100/D99)</f>
        <v>5.0046366419241994E-3</v>
      </c>
      <c r="M100" s="6">
        <f t="shared" ref="M100:M130" si="24">LN(E100/E99)</f>
        <v>1.8487103983690103E-2</v>
      </c>
      <c r="N100" s="6">
        <f t="shared" si="19"/>
        <v>1.8240092336748459E-3</v>
      </c>
      <c r="O100" s="6">
        <f t="shared" si="14"/>
        <v>0</v>
      </c>
      <c r="P100" s="6"/>
      <c r="Q100" s="6">
        <f t="shared" si="20"/>
        <v>7.9842561238651182E-3</v>
      </c>
      <c r="R100" s="6"/>
      <c r="Z100" s="38"/>
    </row>
    <row r="101" spans="1:26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13"/>
        <v>1.8755192925978825E-4</v>
      </c>
      <c r="J101" s="6">
        <f t="shared" si="21"/>
        <v>2.3887222589555022E-2</v>
      </c>
      <c r="K101" s="6">
        <f t="shared" si="22"/>
        <v>7.3468937372898847E-3</v>
      </c>
      <c r="L101" s="6">
        <f t="shared" si="23"/>
        <v>-1.4521496056958624E-3</v>
      </c>
      <c r="M101" s="6">
        <f t="shared" si="24"/>
        <v>-8.62337357891769E-3</v>
      </c>
      <c r="N101" s="6">
        <f t="shared" si="19"/>
        <v>1.4015987132365047E-2</v>
      </c>
      <c r="O101" s="6">
        <f t="shared" si="14"/>
        <v>2.0376127190629861E-3</v>
      </c>
      <c r="P101" s="6"/>
      <c r="Q101" s="6">
        <f t="shared" si="20"/>
        <v>8.3611215455604675E-4</v>
      </c>
      <c r="R101" s="6"/>
      <c r="Z101" s="38"/>
    </row>
    <row r="102" spans="1:26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13"/>
        <v>1.8793366209446383E-4</v>
      </c>
      <c r="J102" s="6">
        <f t="shared" si="21"/>
        <v>-2.2659828390601978E-3</v>
      </c>
      <c r="K102" s="6">
        <f t="shared" si="22"/>
        <v>-1.8316735365529078E-3</v>
      </c>
      <c r="L102" s="6">
        <f t="shared" si="23"/>
        <v>-7.9374988566027482E-3</v>
      </c>
      <c r="M102" s="6">
        <f t="shared" si="24"/>
        <v>-5.4130016942953952E-3</v>
      </c>
      <c r="N102" s="6">
        <f t="shared" si="19"/>
        <v>-1.4789856520085827E-3</v>
      </c>
      <c r="O102" s="6">
        <f t="shared" si="14"/>
        <v>2.0332762427048251E-3</v>
      </c>
      <c r="P102" s="6"/>
      <c r="Q102" s="6">
        <f t="shared" si="20"/>
        <v>-5.9913850730428471E-3</v>
      </c>
      <c r="R102" s="6"/>
      <c r="Z102" s="38"/>
    </row>
    <row r="103" spans="1:26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13"/>
        <v>1.8946023076238383E-4</v>
      </c>
      <c r="J103" s="6">
        <f t="shared" si="21"/>
        <v>5.655471783241264E-3</v>
      </c>
      <c r="K103" s="6">
        <f t="shared" si="22"/>
        <v>3.3277857054118689E-3</v>
      </c>
      <c r="L103" s="6">
        <f t="shared" si="23"/>
        <v>2.1072476150256008E-3</v>
      </c>
      <c r="M103" s="6">
        <f t="shared" si="24"/>
        <v>-4.7308269784354078E-3</v>
      </c>
      <c r="N103" s="6">
        <f t="shared" si="19"/>
        <v>5.6499398196109933E-3</v>
      </c>
      <c r="O103" s="6">
        <f t="shared" si="14"/>
        <v>8.0900990870679586E-3</v>
      </c>
      <c r="P103" s="6"/>
      <c r="Q103" s="6">
        <f t="shared" si="20"/>
        <v>4.0191080739984978E-4</v>
      </c>
      <c r="R103" s="6"/>
      <c r="Z103" s="38"/>
    </row>
    <row r="104" spans="1:26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13"/>
        <v>1.8907864298212118E-4</v>
      </c>
      <c r="J104" s="6">
        <f t="shared" si="21"/>
        <v>-3.2278053849822972E-3</v>
      </c>
      <c r="K104" s="6">
        <f t="shared" si="22"/>
        <v>-6.4994939061170766E-3</v>
      </c>
      <c r="L104" s="6">
        <f t="shared" si="23"/>
        <v>-4.2189451011928857E-3</v>
      </c>
      <c r="M104" s="6">
        <f t="shared" si="24"/>
        <v>-3.8675610583800438E-2</v>
      </c>
      <c r="N104" s="6">
        <f t="shared" si="19"/>
        <v>-6.7128903604016395E-4</v>
      </c>
      <c r="O104" s="6">
        <f t="shared" si="14"/>
        <v>-2.0161094988275217E-3</v>
      </c>
      <c r="P104" s="6"/>
      <c r="Q104" s="6">
        <f t="shared" si="20"/>
        <v>-1.5996735686896794E-2</v>
      </c>
      <c r="R104" s="6"/>
      <c r="Z104" s="38"/>
    </row>
    <row r="105" spans="1:26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13"/>
        <v>1.8831535865504456E-4</v>
      </c>
      <c r="J105" s="6">
        <f t="shared" si="21"/>
        <v>1.776525989713901E-3</v>
      </c>
      <c r="K105" s="6">
        <f t="shared" si="22"/>
        <v>9.6506195124218454E-3</v>
      </c>
      <c r="L105" s="6">
        <f t="shared" si="23"/>
        <v>-7.3671383000021009E-3</v>
      </c>
      <c r="M105" s="6">
        <f t="shared" si="24"/>
        <v>1.5286157688589852E-2</v>
      </c>
      <c r="N105" s="6">
        <f t="shared" si="19"/>
        <v>7.5072645194105983E-4</v>
      </c>
      <c r="O105" s="6">
        <f t="shared" si="14"/>
        <v>-4.0450317944709362E-3</v>
      </c>
      <c r="P105" s="6"/>
      <c r="Q105" s="6">
        <f t="shared" si="20"/>
        <v>2.2232407243876406E-3</v>
      </c>
      <c r="R105" s="6"/>
      <c r="Z105" s="38"/>
    </row>
    <row r="106" spans="1:26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13"/>
        <v>1.8831535865504456E-4</v>
      </c>
      <c r="J106" s="6">
        <f t="shared" si="21"/>
        <v>-1.2393598825964395E-2</v>
      </c>
      <c r="K106" s="6">
        <f t="shared" si="22"/>
        <v>-6.6456043485522889E-3</v>
      </c>
      <c r="L106" s="6">
        <f t="shared" si="23"/>
        <v>-6.2900128628262742E-3</v>
      </c>
      <c r="M106" s="6">
        <f t="shared" si="24"/>
        <v>-2.4301095699120847E-3</v>
      </c>
      <c r="N106" s="6">
        <f t="shared" si="19"/>
        <v>-3.7382986232446964E-3</v>
      </c>
      <c r="O106" s="6">
        <f t="shared" si="14"/>
        <v>0</v>
      </c>
      <c r="P106" s="6"/>
      <c r="Q106" s="6">
        <f t="shared" si="20"/>
        <v>-6.1006921935836478E-3</v>
      </c>
      <c r="R106" s="6"/>
      <c r="Z106" s="38"/>
    </row>
    <row r="107" spans="1:26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13"/>
        <v>1.8831535865504456E-4</v>
      </c>
      <c r="J107" s="6">
        <f t="shared" si="21"/>
        <v>-5.186893307744119E-3</v>
      </c>
      <c r="K107" s="6">
        <f t="shared" si="22"/>
        <v>0</v>
      </c>
      <c r="L107" s="6">
        <f t="shared" si="23"/>
        <v>-5.371937640172391E-3</v>
      </c>
      <c r="M107" s="6">
        <f t="shared" si="24"/>
        <v>-1.8264811991713004E-3</v>
      </c>
      <c r="N107" s="6">
        <f t="shared" si="19"/>
        <v>-5.6327271267556144E-3</v>
      </c>
      <c r="O107" s="6">
        <f t="shared" si="14"/>
        <v>0</v>
      </c>
      <c r="P107" s="6"/>
      <c r="Q107" s="6">
        <f t="shared" si="20"/>
        <v>-4.1059222954170039E-3</v>
      </c>
      <c r="R107" s="6"/>
      <c r="Z107" s="38"/>
    </row>
    <row r="108" spans="1:26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13"/>
        <v>1.8564272073429144E-4</v>
      </c>
      <c r="J108" s="6">
        <f t="shared" si="21"/>
        <v>3.205143040647615E-2</v>
      </c>
      <c r="K108" s="6">
        <f t="shared" si="22"/>
        <v>2.8297562882526783E-3</v>
      </c>
      <c r="L108" s="6">
        <f t="shared" si="23"/>
        <v>1.9731308295413211E-3</v>
      </c>
      <c r="M108" s="6">
        <f t="shared" si="24"/>
        <v>-6.0961109656987951E-4</v>
      </c>
      <c r="N108" s="6">
        <f t="shared" si="19"/>
        <v>8.7667247395320728E-3</v>
      </c>
      <c r="O108" s="6">
        <f t="shared" si="14"/>
        <v>-1.4294026918207711E-2</v>
      </c>
      <c r="P108" s="6"/>
      <c r="Q108" s="6">
        <f t="shared" si="20"/>
        <v>6.7483387090817347E-3</v>
      </c>
      <c r="R108" s="6"/>
      <c r="Z108" s="38"/>
    </row>
    <row r="109" spans="1:26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13"/>
        <v>1.8182157915558328E-4</v>
      </c>
      <c r="J109" s="6">
        <f t="shared" si="21"/>
        <v>1.5413605907075779E-2</v>
      </c>
      <c r="K109" s="6">
        <f t="shared" si="22"/>
        <v>-5.5003761178523645E-3</v>
      </c>
      <c r="L109" s="6">
        <f t="shared" si="23"/>
        <v>1.7114591700558776E-2</v>
      </c>
      <c r="M109" s="6">
        <f t="shared" si="24"/>
        <v>1.6329333065123283E-2</v>
      </c>
      <c r="N109" s="6">
        <f t="shared" si="19"/>
        <v>1.2238283870230153E-2</v>
      </c>
      <c r="O109" s="6">
        <f t="shared" si="14"/>
        <v>-2.0798098310837867E-2</v>
      </c>
      <c r="P109" s="6"/>
      <c r="Q109" s="6">
        <f t="shared" si="20"/>
        <v>1.6521154749565455E-2</v>
      </c>
      <c r="R109" s="6"/>
      <c r="Z109" s="38"/>
    </row>
    <row r="110" spans="1:26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13"/>
        <v>1.8182157915558328E-4</v>
      </c>
      <c r="J110" s="6">
        <f t="shared" si="21"/>
        <v>1.2089939794405298E-2</v>
      </c>
      <c r="K110" s="6">
        <f t="shared" si="22"/>
        <v>-4.3551865509223759E-3</v>
      </c>
      <c r="L110" s="6">
        <f t="shared" si="23"/>
        <v>-1.1749870658817193E-3</v>
      </c>
      <c r="M110" s="6">
        <f t="shared" si="24"/>
        <v>7.7681556093607577E-3</v>
      </c>
      <c r="N110" s="6">
        <f t="shared" si="19"/>
        <v>2.1918970535104105E-3</v>
      </c>
      <c r="O110" s="6">
        <f t="shared" si="14"/>
        <v>0</v>
      </c>
      <c r="P110" s="6"/>
      <c r="Q110" s="6">
        <f t="shared" si="20"/>
        <v>4.4318630475850707E-3</v>
      </c>
      <c r="R110" s="6"/>
      <c r="Z110" s="38"/>
    </row>
    <row r="111" spans="1:26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13"/>
        <v>1.8373260432147376E-4</v>
      </c>
      <c r="J111" s="6">
        <f t="shared" si="21"/>
        <v>6.6312354047433934E-3</v>
      </c>
      <c r="K111" s="6">
        <f t="shared" si="22"/>
        <v>4.6892664291325829E-3</v>
      </c>
      <c r="L111" s="6">
        <f t="shared" si="23"/>
        <v>-6.605698786174531E-3</v>
      </c>
      <c r="M111" s="6">
        <f t="shared" si="24"/>
        <v>2.2949014004003898E-2</v>
      </c>
      <c r="N111" s="6">
        <f t="shared" si="19"/>
        <v>2.917131506229948E-3</v>
      </c>
      <c r="O111" s="6">
        <f t="shared" si="14"/>
        <v>1.0455591327247448E-2</v>
      </c>
      <c r="P111" s="6"/>
      <c r="Q111" s="6">
        <f t="shared" si="20"/>
        <v>6.1530120217137075E-3</v>
      </c>
      <c r="R111" s="6"/>
      <c r="Z111" s="38"/>
    </row>
    <row r="112" spans="1:26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13"/>
        <v>1.8755192925978825E-4</v>
      </c>
      <c r="J112" s="6">
        <f t="shared" si="21"/>
        <v>-3.4900447377881711E-3</v>
      </c>
      <c r="K112" s="6">
        <f t="shared" si="22"/>
        <v>-1.5830462198802939E-2</v>
      </c>
      <c r="L112" s="6">
        <f t="shared" si="23"/>
        <v>8.8957289910188905E-3</v>
      </c>
      <c r="M112" s="6">
        <f t="shared" si="24"/>
        <v>-3.011736741564745E-2</v>
      </c>
      <c r="N112" s="6">
        <f t="shared" si="19"/>
        <v>8.1165916827587409E-4</v>
      </c>
      <c r="O112" s="6">
        <f t="shared" si="14"/>
        <v>2.0574299865323647E-2</v>
      </c>
      <c r="P112" s="6"/>
      <c r="Q112" s="6">
        <f t="shared" si="20"/>
        <v>-6.9867925877787011E-3</v>
      </c>
      <c r="R112" s="6"/>
      <c r="Z112" s="38"/>
    </row>
    <row r="113" spans="1:26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13"/>
        <v>1.8755192925978825E-4</v>
      </c>
      <c r="J113" s="6">
        <f t="shared" si="21"/>
        <v>-1.6980138057580752E-3</v>
      </c>
      <c r="K113" s="6">
        <f t="shared" si="22"/>
        <v>4.2347552165082781E-3</v>
      </c>
      <c r="L113" s="6">
        <f t="shared" si="23"/>
        <v>1.4209382167514918E-2</v>
      </c>
      <c r="M113" s="6">
        <f t="shared" si="24"/>
        <v>2.9535485641168389E-2</v>
      </c>
      <c r="N113" s="6">
        <f t="shared" si="19"/>
        <v>5.2465060919916033E-3</v>
      </c>
      <c r="O113" s="6">
        <f t="shared" si="14"/>
        <v>0</v>
      </c>
      <c r="P113" s="6"/>
      <c r="Q113" s="6">
        <f t="shared" si="20"/>
        <v>1.6531453513034717E-2</v>
      </c>
      <c r="R113" s="6"/>
      <c r="Z113" s="38"/>
    </row>
    <row r="114" spans="1:26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13"/>
        <v>1.8907864298212118E-4</v>
      </c>
      <c r="J114" s="6">
        <f t="shared" si="21"/>
        <v>-9.053703332614238E-3</v>
      </c>
      <c r="K114" s="6">
        <f t="shared" si="22"/>
        <v>3.5433502166368901E-3</v>
      </c>
      <c r="L114" s="6">
        <f t="shared" si="23"/>
        <v>-3.8235737207052796E-3</v>
      </c>
      <c r="M114" s="6">
        <f t="shared" si="24"/>
        <v>6.382391439619532E-3</v>
      </c>
      <c r="N114" s="6">
        <f t="shared" si="19"/>
        <v>-6.52009756234213E-4</v>
      </c>
      <c r="O114" s="6">
        <f t="shared" si="14"/>
        <v>8.1072658309452785E-3</v>
      </c>
      <c r="P114" s="6"/>
      <c r="Q114" s="6">
        <f t="shared" si="20"/>
        <v>-1.2659407129283137E-3</v>
      </c>
      <c r="R114" s="6"/>
      <c r="Z114" s="38"/>
    </row>
    <row r="115" spans="1:26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13"/>
        <v>1.8869701894863589E-4</v>
      </c>
      <c r="J115" s="6">
        <f t="shared" si="21"/>
        <v>-3.5923582258243084E-3</v>
      </c>
      <c r="K115" s="6">
        <f t="shared" si="22"/>
        <v>6.045418986824742E-3</v>
      </c>
      <c r="L115" s="6">
        <f t="shared" si="23"/>
        <v>2.608569026138582E-3</v>
      </c>
      <c r="M115" s="6">
        <f t="shared" si="24"/>
        <v>-2.3161320398991719E-3</v>
      </c>
      <c r="N115" s="6">
        <f t="shared" si="19"/>
        <v>7.5283737614565433E-3</v>
      </c>
      <c r="O115" s="6">
        <f t="shared" si="14"/>
        <v>-2.020374533117761E-3</v>
      </c>
      <c r="P115" s="6"/>
      <c r="Q115" s="6">
        <f t="shared" si="20"/>
        <v>-2.7082307297231201E-4</v>
      </c>
      <c r="R115" s="6"/>
      <c r="Z115" s="38"/>
    </row>
    <row r="116" spans="1:26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13"/>
        <v>1.8793366209446383E-4</v>
      </c>
      <c r="J116" s="6">
        <f t="shared" si="21"/>
        <v>-1.9433375980611085E-2</v>
      </c>
      <c r="K116" s="6">
        <f t="shared" si="22"/>
        <v>2.842073474480988E-3</v>
      </c>
      <c r="L116" s="6">
        <f t="shared" si="23"/>
        <v>2.0287319345977977E-2</v>
      </c>
      <c r="M116" s="6">
        <f t="shared" si="24"/>
        <v>1.610156507641821E-2</v>
      </c>
      <c r="N116" s="6">
        <f t="shared" si="19"/>
        <v>-6.0083834993726029E-4</v>
      </c>
      <c r="O116" s="6">
        <f t="shared" si="14"/>
        <v>-4.0536150551227449E-3</v>
      </c>
      <c r="P116" s="6"/>
      <c r="Q116" s="6">
        <f t="shared" si="20"/>
        <v>1.1343504598070044E-2</v>
      </c>
      <c r="R116" s="6"/>
      <c r="Z116" s="38"/>
    </row>
    <row r="117" spans="1:26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13"/>
        <v>1.8869701894863589E-4</v>
      </c>
      <c r="J117" s="6">
        <f t="shared" si="21"/>
        <v>-1.9547375416428876E-2</v>
      </c>
      <c r="K117" s="6">
        <f t="shared" si="22"/>
        <v>-6.8682608284900979E-3</v>
      </c>
      <c r="L117" s="6">
        <f t="shared" si="23"/>
        <v>-1.0894867940747696E-2</v>
      </c>
      <c r="M117" s="6">
        <f t="shared" si="24"/>
        <v>9.08571462661973E-3</v>
      </c>
      <c r="N117" s="6">
        <f t="shared" si="19"/>
        <v>-1.6236787963987382E-2</v>
      </c>
      <c r="O117" s="6">
        <f t="shared" si="14"/>
        <v>4.053615055122829E-3</v>
      </c>
      <c r="P117" s="6"/>
      <c r="Q117" s="6">
        <f t="shared" si="20"/>
        <v>-5.5884846030571271E-3</v>
      </c>
      <c r="R117" s="6"/>
      <c r="Z117" s="38"/>
    </row>
    <row r="118" spans="1:26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13"/>
        <v>1.8602463504269195E-4</v>
      </c>
      <c r="J118" s="6">
        <f t="shared" si="21"/>
        <v>1.3252435087594459E-2</v>
      </c>
      <c r="K118" s="6">
        <f t="shared" si="22"/>
        <v>2.4737724565590001E-2</v>
      </c>
      <c r="L118" s="6">
        <f t="shared" si="23"/>
        <v>-3.6197520984293389E-3</v>
      </c>
      <c r="M118" s="6">
        <f t="shared" si="24"/>
        <v>1.9592162762490182E-2</v>
      </c>
      <c r="N118" s="6">
        <f t="shared" si="19"/>
        <v>1.2416277903485802E-2</v>
      </c>
      <c r="O118" s="6">
        <f t="shared" si="14"/>
        <v>-1.4263543006221244E-2</v>
      </c>
      <c r="P118" s="6"/>
      <c r="Q118" s="6">
        <f t="shared" si="20"/>
        <v>7.6220127598441512E-3</v>
      </c>
      <c r="R118" s="6"/>
      <c r="Z118" s="38"/>
    </row>
    <row r="119" spans="1:26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13"/>
        <v>1.8678835474061906E-4</v>
      </c>
      <c r="J119" s="6">
        <f t="shared" si="21"/>
        <v>-5.4198470459970276E-3</v>
      </c>
      <c r="K119" s="6">
        <f t="shared" si="22"/>
        <v>-7.2416284624734579E-3</v>
      </c>
      <c r="L119" s="6">
        <f t="shared" si="23"/>
        <v>5.7395664242008678E-3</v>
      </c>
      <c r="M119" s="6">
        <f t="shared" si="24"/>
        <v>-1.1709175802896356E-2</v>
      </c>
      <c r="N119" s="6">
        <f t="shared" si="19"/>
        <v>1.0627786351803241E-2</v>
      </c>
      <c r="O119" s="6">
        <f t="shared" si="14"/>
        <v>4.0970716534691276E-3</v>
      </c>
      <c r="P119" s="6"/>
      <c r="Q119" s="6">
        <f t="shared" si="20"/>
        <v>-2.4237102647811587E-3</v>
      </c>
      <c r="R119" s="6"/>
      <c r="Z119" s="38"/>
    </row>
    <row r="120" spans="1:26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13"/>
        <v>1.8602463504269195E-4</v>
      </c>
      <c r="J120" s="6">
        <f t="shared" si="21"/>
        <v>9.7984505156412712E-3</v>
      </c>
      <c r="K120" s="6">
        <f t="shared" si="22"/>
        <v>-8.2933112377348989E-3</v>
      </c>
      <c r="L120" s="6">
        <f t="shared" si="23"/>
        <v>-1.3171600244696804E-3</v>
      </c>
      <c r="M120" s="6">
        <f t="shared" si="24"/>
        <v>-5.6243984313423317E-3</v>
      </c>
      <c r="N120" s="6">
        <f t="shared" si="19"/>
        <v>-3.191464135615035E-3</v>
      </c>
      <c r="O120" s="6">
        <f t="shared" si="14"/>
        <v>-4.0970716534690834E-3</v>
      </c>
      <c r="P120" s="6"/>
      <c r="Q120" s="6">
        <f t="shared" si="20"/>
        <v>-7.1666681276645995E-4</v>
      </c>
      <c r="R120" s="6"/>
      <c r="Z120" s="38"/>
    </row>
    <row r="121" spans="1:26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13"/>
        <v>1.8755192925978825E-4</v>
      </c>
      <c r="J121" s="6">
        <f t="shared" si="21"/>
        <v>8.5946741458582179E-3</v>
      </c>
      <c r="K121" s="6">
        <f t="shared" si="22"/>
        <v>-1.6669342296507035E-3</v>
      </c>
      <c r="L121" s="6">
        <f t="shared" si="23"/>
        <v>3.4324844651034197E-3</v>
      </c>
      <c r="M121" s="6">
        <f t="shared" si="24"/>
        <v>-6.7910685184317367E-3</v>
      </c>
      <c r="N121" s="6">
        <f t="shared" si="19"/>
        <v>2.3077617284261594E-3</v>
      </c>
      <c r="O121" s="6">
        <f t="shared" si="14"/>
        <v>8.1766517083937465E-3</v>
      </c>
      <c r="P121" s="6"/>
      <c r="Q121" s="6">
        <f t="shared" si="20"/>
        <v>8.5593246041940681E-4</v>
      </c>
      <c r="R121" s="6"/>
      <c r="Z121" s="38"/>
    </row>
    <row r="122" spans="1:26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13"/>
        <v>1.8487878316397754E-4</v>
      </c>
      <c r="J122" s="6">
        <f t="shared" si="21"/>
        <v>5.8094509155742779E-4</v>
      </c>
      <c r="K122" s="6">
        <f t="shared" si="22"/>
        <v>8.3381444850086286E-4</v>
      </c>
      <c r="L122" s="6">
        <f t="shared" si="23"/>
        <v>1.8827811992427708E-3</v>
      </c>
      <c r="M122" s="6">
        <f t="shared" si="24"/>
        <v>-1.6027947235816124E-2</v>
      </c>
      <c r="N122" s="6">
        <f t="shared" si="19"/>
        <v>8.2076669213310503E-3</v>
      </c>
      <c r="O122" s="6">
        <f t="shared" si="14"/>
        <v>-1.4355378934220285E-2</v>
      </c>
      <c r="P122" s="6"/>
      <c r="Q122" s="6">
        <f t="shared" si="20"/>
        <v>-4.5820155289173891E-3</v>
      </c>
      <c r="R122" s="6"/>
      <c r="Z122" s="38"/>
    </row>
    <row r="123" spans="1:26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13"/>
        <v>1.8296830335384762E-4</v>
      </c>
      <c r="J123" s="6">
        <f t="shared" si="21"/>
        <v>-5.7713210785359176E-3</v>
      </c>
      <c r="K123" s="6">
        <f t="shared" si="22"/>
        <v>-2.670619829599635E-3</v>
      </c>
      <c r="L123" s="6">
        <f t="shared" si="23"/>
        <v>-3.5975477957779409E-3</v>
      </c>
      <c r="M123" s="6">
        <f t="shared" si="24"/>
        <v>-2.9870396236716779E-2</v>
      </c>
      <c r="N123" s="6">
        <f t="shared" si="19"/>
        <v>5.7040100736248747E-4</v>
      </c>
      <c r="O123" s="6">
        <f t="shared" si="14"/>
        <v>-1.0387452060302784E-2</v>
      </c>
      <c r="P123" s="6"/>
      <c r="Q123" s="6">
        <f t="shared" si="20"/>
        <v>-1.3130424241780868E-2</v>
      </c>
      <c r="R123" s="6"/>
      <c r="Z123" s="38"/>
    </row>
    <row r="124" spans="1:26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13"/>
        <v>1.8793366209446383E-4</v>
      </c>
      <c r="J124" s="6">
        <f t="shared" si="21"/>
        <v>4.0856395568765842E-3</v>
      </c>
      <c r="K124" s="6">
        <f t="shared" si="22"/>
        <v>-4.5230317841640829E-3</v>
      </c>
      <c r="L124" s="6">
        <f t="shared" si="23"/>
        <v>1.200619285424928E-3</v>
      </c>
      <c r="M124" s="6">
        <f t="shared" si="24"/>
        <v>1.1883725529783697E-3</v>
      </c>
      <c r="N124" s="6">
        <f t="shared" si="19"/>
        <v>5.7259755908601927E-3</v>
      </c>
      <c r="O124" s="6">
        <f t="shared" si="14"/>
        <v>2.6776107237227904E-2</v>
      </c>
      <c r="P124" s="6"/>
      <c r="Q124" s="6">
        <f t="shared" si="20"/>
        <v>1.740411461366909E-3</v>
      </c>
      <c r="R124" s="6"/>
      <c r="Z124" s="38"/>
    </row>
    <row r="125" spans="1:26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13"/>
        <v>1.9022329759033063E-4</v>
      </c>
      <c r="J125" s="6">
        <f t="shared" si="21"/>
        <v>-9.0426439389799818E-3</v>
      </c>
      <c r="K125" s="6">
        <f t="shared" si="22"/>
        <v>2.3477669245357624E-3</v>
      </c>
      <c r="L125" s="6">
        <f t="shared" si="23"/>
        <v>4.4469325058092328E-3</v>
      </c>
      <c r="M125" s="6">
        <f t="shared" si="24"/>
        <v>1.0632216336701443E-2</v>
      </c>
      <c r="N125" s="6">
        <f t="shared" si="19"/>
        <v>-9.4940022755554091E-4</v>
      </c>
      <c r="O125" s="6">
        <f t="shared" si="14"/>
        <v>1.2109593209557942E-2</v>
      </c>
      <c r="P125" s="6"/>
      <c r="Q125" s="6">
        <f t="shared" si="20"/>
        <v>4.0508974836156557E-3</v>
      </c>
      <c r="R125" s="6"/>
      <c r="Z125" s="38"/>
    </row>
    <row r="126" spans="1:26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13"/>
        <v>1.8831535865504456E-4</v>
      </c>
      <c r="J126" s="6">
        <f t="shared" si="21"/>
        <v>-1.133841763443315E-2</v>
      </c>
      <c r="K126" s="6">
        <f t="shared" si="22"/>
        <v>-5.8799302773867674E-3</v>
      </c>
      <c r="L126" s="6">
        <f t="shared" si="23"/>
        <v>-8.7416423305419957E-3</v>
      </c>
      <c r="M126" s="6">
        <f t="shared" si="24"/>
        <v>-7.075609674194675E-3</v>
      </c>
      <c r="N126" s="6">
        <f t="shared" si="19"/>
        <v>-1.3768624761212093E-2</v>
      </c>
      <c r="O126" s="6">
        <f t="shared" si="14"/>
        <v>-1.0080635415788465E-2</v>
      </c>
      <c r="P126" s="6"/>
      <c r="Q126" s="6">
        <f t="shared" si="20"/>
        <v>-8.6528196648794631E-3</v>
      </c>
      <c r="R126" s="6"/>
      <c r="Z126" s="38"/>
    </row>
    <row r="127" spans="1:26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13"/>
        <v>1.8869701894863589E-4</v>
      </c>
      <c r="J127" s="6">
        <f t="shared" si="21"/>
        <v>-4.8213974030586366E-3</v>
      </c>
      <c r="K127" s="6">
        <f t="shared" si="22"/>
        <v>-1.0114192349661964E-3</v>
      </c>
      <c r="L127" s="6">
        <f t="shared" si="23"/>
        <v>1.0105957663276266E-2</v>
      </c>
      <c r="M127" s="6">
        <f t="shared" si="24"/>
        <v>5.9145856733030231E-4</v>
      </c>
      <c r="N127" s="6">
        <f t="shared" si="19"/>
        <v>9.5341290968955009E-3</v>
      </c>
      <c r="O127" s="6">
        <f t="shared" si="14"/>
        <v>2.0246572613530339E-3</v>
      </c>
      <c r="P127" s="6"/>
      <c r="Q127" s="6">
        <f t="shared" si="20"/>
        <v>3.9872167977853725E-3</v>
      </c>
      <c r="R127" s="6"/>
      <c r="Z127" s="38"/>
    </row>
    <row r="128" spans="1:26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13"/>
        <v>1.8869701894863589E-4</v>
      </c>
      <c r="J128" s="6">
        <f t="shared" si="21"/>
        <v>-1.5759825619922172E-3</v>
      </c>
      <c r="K128" s="6">
        <f t="shared" si="22"/>
        <v>1.8535876226185115E-3</v>
      </c>
      <c r="L128" s="6">
        <f t="shared" si="23"/>
        <v>2.1580013672744289E-2</v>
      </c>
      <c r="M128" s="6">
        <f t="shared" si="24"/>
        <v>1.0588436740846002E-2</v>
      </c>
      <c r="N128" s="6">
        <f t="shared" si="19"/>
        <v>5.8043999917945753E-3</v>
      </c>
      <c r="O128" s="6">
        <f t="shared" si="14"/>
        <v>0</v>
      </c>
      <c r="P128" s="6"/>
      <c r="Q128" s="6">
        <f t="shared" si="20"/>
        <v>1.3396652117563707E-2</v>
      </c>
      <c r="R128" s="6"/>
      <c r="Z128" s="38"/>
    </row>
    <row r="129" spans="1:26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13"/>
        <v>1.8984178229608517E-4</v>
      </c>
      <c r="J129" s="6">
        <f t="shared" si="21"/>
        <v>-8.4661574423176515E-3</v>
      </c>
      <c r="K129" s="6">
        <f t="shared" si="22"/>
        <v>-1.6839405150777205E-4</v>
      </c>
      <c r="L129" s="6">
        <f t="shared" si="23"/>
        <v>-4.6810314347300336E-3</v>
      </c>
      <c r="M129" s="6">
        <f t="shared" si="24"/>
        <v>-7.0465265167247411E-3</v>
      </c>
      <c r="N129" s="6">
        <f t="shared" si="19"/>
        <v>-4.8150123419915631E-3</v>
      </c>
      <c r="O129" s="6">
        <f t="shared" si="14"/>
        <v>6.0483460799302426E-3</v>
      </c>
      <c r="P129" s="6"/>
      <c r="Q129" s="6">
        <f t="shared" si="20"/>
        <v>-6.2162061897718729E-3</v>
      </c>
      <c r="R129" s="6"/>
      <c r="Z129" s="38"/>
    </row>
    <row r="130" spans="1:26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13"/>
        <v>1.9022329759033063E-4</v>
      </c>
      <c r="J130" s="6">
        <f t="shared" si="21"/>
        <v>-4.1223013161664603E-3</v>
      </c>
      <c r="K130" s="6">
        <f t="shared" si="22"/>
        <v>2.181787938436186E-2</v>
      </c>
      <c r="L130" s="6">
        <f t="shared" si="23"/>
        <v>3.9023496044056838E-3</v>
      </c>
      <c r="M130" s="6">
        <f t="shared" si="24"/>
        <v>-3.5419102241213379E-3</v>
      </c>
      <c r="N130" s="6">
        <f t="shared" si="19"/>
        <v>-6.0234144772223523E-3</v>
      </c>
      <c r="O130" s="6">
        <f t="shared" si="14"/>
        <v>2.0076320745050212E-3</v>
      </c>
      <c r="P130" s="6"/>
      <c r="Q130" s="6">
        <f t="shared" si="20"/>
        <v>-1.9584133671974192E-4</v>
      </c>
      <c r="R130" s="6"/>
      <c r="Z130" s="38"/>
    </row>
    <row r="131" spans="1:26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ref="H131:H194" si="25">+(1+G131)^(1/250)-1</f>
        <v>1.9479865694971288E-4</v>
      </c>
      <c r="J131" s="6">
        <f t="shared" ref="J131:J162" si="26">LN(B131/B130)</f>
        <v>4.1772619153831059E-3</v>
      </c>
      <c r="K131" s="6">
        <f t="shared" ref="K131:K162" si="27">LN(C131/C130)</f>
        <v>8.8568526987604264E-3</v>
      </c>
      <c r="L131" s="6">
        <f t="shared" ref="L131:L162" si="28">LN(D131/D130)</f>
        <v>6.4887245296995355E-3</v>
      </c>
      <c r="M131" s="6">
        <f t="shared" ref="M131:M194" si="29">LN(E131/E130)</f>
        <v>5.3082933634442889E-3</v>
      </c>
      <c r="N131" s="6">
        <f t="shared" si="19"/>
        <v>1.2633935945864823E-3</v>
      </c>
      <c r="O131" s="6">
        <f t="shared" ref="O131:O194" si="30">LN(H131/H130)</f>
        <v>2.3767864106321954E-2</v>
      </c>
      <c r="P131" s="6"/>
      <c r="Q131" s="6">
        <f t="shared" si="20"/>
        <v>5.6429472002317797E-3</v>
      </c>
      <c r="R131" s="6"/>
      <c r="Z131" s="38"/>
    </row>
    <row r="132" spans="1:26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si="25"/>
        <v>1.9289289052348835E-4</v>
      </c>
      <c r="J132" s="6">
        <f t="shared" si="26"/>
        <v>1.118116096025438E-2</v>
      </c>
      <c r="K132" s="6">
        <f t="shared" si="27"/>
        <v>-1.4707357985398316E-3</v>
      </c>
      <c r="L132" s="6">
        <f t="shared" si="28"/>
        <v>1.1924178761792791E-2</v>
      </c>
      <c r="M132" s="6">
        <f t="shared" si="29"/>
        <v>-2.4413339458236528E-2</v>
      </c>
      <c r="N132" s="6">
        <f t="shared" ref="N132:N195" si="31">LN(F132/F131)</f>
        <v>2.0902891694828028E-2</v>
      </c>
      <c r="O132" s="6">
        <f t="shared" si="30"/>
        <v>-9.8314332056269067E-3</v>
      </c>
      <c r="P132" s="6"/>
      <c r="Q132" s="6">
        <f t="shared" ref="Q132:Q195" si="32">+SUMPRODUCT($T$16:$W$16,J132:M132)</f>
        <v>-8.3373707331232515E-4</v>
      </c>
      <c r="R132" s="6"/>
      <c r="Z132" s="38"/>
    </row>
    <row r="133" spans="1:26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25"/>
        <v>1.9251162871269933E-4</v>
      </c>
      <c r="J133" s="6">
        <f t="shared" si="26"/>
        <v>-1.0084818339197638E-2</v>
      </c>
      <c r="K133" s="6">
        <f t="shared" si="27"/>
        <v>8.1738858055153973E-4</v>
      </c>
      <c r="L133" s="6">
        <f t="shared" si="28"/>
        <v>5.0128845481506338E-3</v>
      </c>
      <c r="M133" s="6">
        <f t="shared" si="29"/>
        <v>1.2578760442407045E-2</v>
      </c>
      <c r="N133" s="6">
        <f t="shared" si="31"/>
        <v>3.4788317372660206E-4</v>
      </c>
      <c r="O133" s="6">
        <f t="shared" si="30"/>
        <v>-1.9785026699455054E-3</v>
      </c>
      <c r="P133" s="6"/>
      <c r="Q133" s="6">
        <f t="shared" si="32"/>
        <v>4.7929912586060722E-3</v>
      </c>
      <c r="R133" s="6"/>
      <c r="Z133" s="38"/>
    </row>
    <row r="134" spans="1:26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25"/>
        <v>1.9441757599203413E-4</v>
      </c>
      <c r="J134" s="6">
        <f t="shared" si="26"/>
        <v>-7.479106127821062E-3</v>
      </c>
      <c r="K134" s="6">
        <f t="shared" si="27"/>
        <v>-8.0388122707836501E-3</v>
      </c>
      <c r="L134" s="6">
        <f t="shared" si="28"/>
        <v>-3.4300521667624483E-3</v>
      </c>
      <c r="M134" s="6">
        <f t="shared" si="29"/>
        <v>-1.1976066753339242E-2</v>
      </c>
      <c r="N134" s="6">
        <f t="shared" si="31"/>
        <v>-3.7939352461026604E-3</v>
      </c>
      <c r="O134" s="6">
        <f t="shared" si="30"/>
        <v>9.8517386206897241E-3</v>
      </c>
      <c r="P134" s="6"/>
      <c r="Q134" s="6">
        <f t="shared" si="32"/>
        <v>-7.1611142638943444E-3</v>
      </c>
      <c r="R134" s="6"/>
      <c r="Z134" s="38"/>
    </row>
    <row r="135" spans="1:26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25"/>
        <v>1.9441757599203413E-4</v>
      </c>
      <c r="J135" s="6">
        <f t="shared" si="26"/>
        <v>8.0816092470088127E-3</v>
      </c>
      <c r="K135" s="6">
        <f t="shared" si="27"/>
        <v>-6.1132169466150627E-3</v>
      </c>
      <c r="L135" s="6">
        <f t="shared" si="28"/>
        <v>4.9073938927271261E-4</v>
      </c>
      <c r="M135" s="6">
        <f t="shared" si="29"/>
        <v>1.3760308076745754E-2</v>
      </c>
      <c r="N135" s="6">
        <f t="shared" si="31"/>
        <v>1.7048185442892359E-3</v>
      </c>
      <c r="O135" s="6">
        <f t="shared" si="30"/>
        <v>0</v>
      </c>
      <c r="P135" s="6"/>
      <c r="Q135" s="6">
        <f t="shared" si="32"/>
        <v>6.5299037436794254E-3</v>
      </c>
      <c r="R135" s="6"/>
      <c r="Z135" s="38"/>
    </row>
    <row r="136" spans="1:26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25"/>
        <v>1.9403645887727805E-4</v>
      </c>
      <c r="J136" s="6">
        <f t="shared" si="26"/>
        <v>-6.647496052951337E-3</v>
      </c>
      <c r="K136" s="6">
        <f t="shared" si="27"/>
        <v>9.9389517455469021E-4</v>
      </c>
      <c r="L136" s="6">
        <f t="shared" si="28"/>
        <v>5.0566859458387667E-3</v>
      </c>
      <c r="M136" s="6">
        <f t="shared" si="29"/>
        <v>7.6945269621530249E-3</v>
      </c>
      <c r="N136" s="6">
        <f t="shared" si="31"/>
        <v>-1.659450476103029E-3</v>
      </c>
      <c r="O136" s="6">
        <f t="shared" si="30"/>
        <v>-1.9622256577658012E-3</v>
      </c>
      <c r="P136" s="6"/>
      <c r="Q136" s="6">
        <f t="shared" si="32"/>
        <v>3.7655227052556407E-3</v>
      </c>
      <c r="R136" s="6"/>
      <c r="Z136" s="38"/>
    </row>
    <row r="137" spans="1:26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25"/>
        <v>1.9441757599203413E-4</v>
      </c>
      <c r="J137" s="6">
        <f t="shared" si="26"/>
        <v>-3.6999302544279294E-3</v>
      </c>
      <c r="K137" s="6">
        <f t="shared" si="27"/>
        <v>-6.311315966027564E-3</v>
      </c>
      <c r="L137" s="6">
        <f t="shared" si="28"/>
        <v>9.0702909341080495E-3</v>
      </c>
      <c r="M137" s="6">
        <f t="shared" si="29"/>
        <v>-1.7703701935084114E-3</v>
      </c>
      <c r="N137" s="6">
        <f t="shared" si="31"/>
        <v>5.2154203933401618E-3</v>
      </c>
      <c r="O137" s="6">
        <f t="shared" si="30"/>
        <v>1.9622256577658281E-3</v>
      </c>
      <c r="P137" s="6"/>
      <c r="Q137" s="6">
        <f t="shared" si="32"/>
        <v>2.8978380231986737E-3</v>
      </c>
      <c r="R137" s="6"/>
      <c r="Z137" s="38"/>
    </row>
    <row r="138" spans="1:26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25"/>
        <v>1.9594168295089531E-4</v>
      </c>
      <c r="J138" s="6">
        <f t="shared" si="26"/>
        <v>-6.0485955778969338E-3</v>
      </c>
      <c r="K138" s="6">
        <f t="shared" si="27"/>
        <v>-8.1974383416661724E-3</v>
      </c>
      <c r="L138" s="6">
        <f t="shared" si="28"/>
        <v>-4.1470699285579005E-3</v>
      </c>
      <c r="M138" s="6">
        <f t="shared" si="29"/>
        <v>2.9490604228386468E-3</v>
      </c>
      <c r="N138" s="6">
        <f t="shared" si="31"/>
        <v>7.9759250577916968E-3</v>
      </c>
      <c r="O138" s="6">
        <f t="shared" si="30"/>
        <v>7.8087795719660449E-3</v>
      </c>
      <c r="P138" s="6"/>
      <c r="Q138" s="6">
        <f t="shared" si="32"/>
        <v>-2.0415987907557494E-3</v>
      </c>
      <c r="R138" s="6"/>
      <c r="Z138" s="38"/>
    </row>
    <row r="139" spans="1:26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25"/>
        <v>1.9517970175764177E-4</v>
      </c>
      <c r="J139" s="6">
        <f t="shared" si="26"/>
        <v>-2.5708994582135079E-2</v>
      </c>
      <c r="K139" s="6">
        <f t="shared" si="27"/>
        <v>4.6925289520041878E-3</v>
      </c>
      <c r="L139" s="6">
        <f t="shared" si="28"/>
        <v>7.4737850456217817E-3</v>
      </c>
      <c r="M139" s="6">
        <f t="shared" si="29"/>
        <v>-1.0657458514889893E-2</v>
      </c>
      <c r="N139" s="6">
        <f t="shared" si="31"/>
        <v>-1.1939974324694175E-3</v>
      </c>
      <c r="O139" s="6">
        <f t="shared" si="30"/>
        <v>-3.8963973184373184E-3</v>
      </c>
      <c r="P139" s="6"/>
      <c r="Q139" s="6">
        <f t="shared" si="32"/>
        <v>-5.0795543687797836E-3</v>
      </c>
      <c r="R139" s="6"/>
      <c r="Z139" s="38"/>
    </row>
    <row r="140" spans="1:26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25"/>
        <v>1.9632261934998674E-4</v>
      </c>
      <c r="J140" s="6">
        <f t="shared" si="26"/>
        <v>-2.8853134850884594E-2</v>
      </c>
      <c r="K140" s="6">
        <f t="shared" si="27"/>
        <v>-4.8605552480539922E-3</v>
      </c>
      <c r="L140" s="6">
        <f t="shared" si="28"/>
        <v>9.9673658093087422E-3</v>
      </c>
      <c r="M140" s="6">
        <f t="shared" si="29"/>
        <v>2.1784911671504949E-2</v>
      </c>
      <c r="N140" s="6">
        <f t="shared" si="31"/>
        <v>-1.0245348981574391E-2</v>
      </c>
      <c r="O140" s="6">
        <f t="shared" si="30"/>
        <v>5.8386414462251674E-3</v>
      </c>
      <c r="P140" s="6"/>
      <c r="Q140" s="6">
        <f t="shared" si="32"/>
        <v>6.7502746215673875E-3</v>
      </c>
      <c r="R140" s="6"/>
      <c r="Z140" s="38"/>
    </row>
    <row r="141" spans="1:26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25"/>
        <v>1.9632261934998674E-4</v>
      </c>
      <c r="J141" s="6">
        <f t="shared" si="26"/>
        <v>-5.8956789518436912E-3</v>
      </c>
      <c r="K141" s="6">
        <f t="shared" si="27"/>
        <v>5.0397715508103207E-4</v>
      </c>
      <c r="L141" s="6">
        <f t="shared" si="28"/>
        <v>5.1841067662975826E-3</v>
      </c>
      <c r="M141" s="6">
        <f t="shared" si="29"/>
        <v>5.8222055801986279E-4</v>
      </c>
      <c r="N141" s="6">
        <f t="shared" si="31"/>
        <v>5.1279595372516517E-3</v>
      </c>
      <c r="O141" s="6">
        <f t="shared" si="30"/>
        <v>0</v>
      </c>
      <c r="P141" s="6"/>
      <c r="Q141" s="6">
        <f t="shared" si="32"/>
        <v>1.4967743990468556E-3</v>
      </c>
      <c r="R141" s="6"/>
      <c r="Z141" s="38"/>
    </row>
    <row r="142" spans="1:26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25"/>
        <v>1.9517970175764177E-4</v>
      </c>
      <c r="J142" s="6">
        <f t="shared" si="26"/>
        <v>-7.0975441095678829E-4</v>
      </c>
      <c r="K142" s="6">
        <f t="shared" si="27"/>
        <v>-1.848914347035491E-3</v>
      </c>
      <c r="L142" s="6">
        <f t="shared" si="28"/>
        <v>-8.7971014039722271E-3</v>
      </c>
      <c r="M142" s="6">
        <f t="shared" si="29"/>
        <v>-7.5957392761439417E-3</v>
      </c>
      <c r="N142" s="6">
        <f t="shared" si="31"/>
        <v>1.0251382881397443E-2</v>
      </c>
      <c r="O142" s="6">
        <f t="shared" si="30"/>
        <v>-5.8386414462252264E-3</v>
      </c>
      <c r="P142" s="6"/>
      <c r="Q142" s="6">
        <f t="shared" si="32"/>
        <v>-6.8548645882167344E-3</v>
      </c>
      <c r="R142" s="6"/>
      <c r="Z142" s="38"/>
    </row>
    <row r="143" spans="1:26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25"/>
        <v>1.9556071042226009E-4</v>
      </c>
      <c r="J143" s="6">
        <f t="shared" si="26"/>
        <v>1.0184574634208254E-2</v>
      </c>
      <c r="K143" s="6">
        <f t="shared" si="27"/>
        <v>1.3449371919544843E-3</v>
      </c>
      <c r="L143" s="6">
        <f t="shared" si="28"/>
        <v>1.8612639482236896E-3</v>
      </c>
      <c r="M143" s="6">
        <f t="shared" si="29"/>
        <v>8.7592244143747111E-3</v>
      </c>
      <c r="N143" s="6">
        <f t="shared" si="31"/>
        <v>-6.5499380656454595E-3</v>
      </c>
      <c r="O143" s="6">
        <f t="shared" si="30"/>
        <v>1.950188787733562E-3</v>
      </c>
      <c r="P143" s="6"/>
      <c r="Q143" s="6">
        <f t="shared" si="32"/>
        <v>5.8260784609180851E-3</v>
      </c>
      <c r="R143" s="6"/>
      <c r="Z143" s="38"/>
    </row>
    <row r="144" spans="1:26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25"/>
        <v>1.9289289052348835E-4</v>
      </c>
      <c r="J144" s="6">
        <f t="shared" si="26"/>
        <v>1.1762232376596935E-2</v>
      </c>
      <c r="K144" s="6">
        <f t="shared" si="27"/>
        <v>1.2024245731310248E-2</v>
      </c>
      <c r="L144" s="6">
        <f t="shared" si="28"/>
        <v>3.7176867835657829E-4</v>
      </c>
      <c r="M144" s="6">
        <f t="shared" si="29"/>
        <v>7.5296267385311973E-3</v>
      </c>
      <c r="N144" s="6">
        <f t="shared" si="31"/>
        <v>-1.1228682551799477E-3</v>
      </c>
      <c r="O144" s="6">
        <f t="shared" si="30"/>
        <v>-1.3735806992006525E-2</v>
      </c>
      <c r="P144" s="6"/>
      <c r="Q144" s="6">
        <f t="shared" si="32"/>
        <v>5.0052202792779093E-3</v>
      </c>
      <c r="R144" s="6"/>
      <c r="Z144" s="38"/>
    </row>
    <row r="145" spans="1:26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25"/>
        <v>1.9441757599203413E-4</v>
      </c>
      <c r="J145" s="6">
        <f t="shared" si="26"/>
        <v>2.7746091448219968E-3</v>
      </c>
      <c r="K145" s="6">
        <f t="shared" si="27"/>
        <v>4.3067844327523246E-3</v>
      </c>
      <c r="L145" s="6">
        <f t="shared" si="28"/>
        <v>8.1983530120362299E-3</v>
      </c>
      <c r="M145" s="6">
        <f t="shared" si="29"/>
        <v>-7.5296267385311115E-3</v>
      </c>
      <c r="N145" s="6">
        <f t="shared" si="31"/>
        <v>1.1139497364012345E-2</v>
      </c>
      <c r="O145" s="6">
        <f t="shared" si="30"/>
        <v>7.8732359507442031E-3</v>
      </c>
      <c r="P145" s="6"/>
      <c r="Q145" s="6">
        <f t="shared" si="32"/>
        <v>1.714199946329556E-3</v>
      </c>
      <c r="R145" s="6"/>
      <c r="Z145" s="38"/>
    </row>
    <row r="146" spans="1:26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25"/>
        <v>1.9289289052348835E-4</v>
      </c>
      <c r="J146" s="6">
        <f t="shared" si="26"/>
        <v>-1.2196574219039144E-2</v>
      </c>
      <c r="K146" s="6">
        <f t="shared" si="27"/>
        <v>1.0195775101912073E-2</v>
      </c>
      <c r="L146" s="6">
        <f t="shared" si="28"/>
        <v>8.079352123651724E-3</v>
      </c>
      <c r="M146" s="6">
        <f t="shared" si="29"/>
        <v>-5.8160336375158385E-4</v>
      </c>
      <c r="N146" s="6">
        <f t="shared" si="31"/>
        <v>-1.926391571868686E-3</v>
      </c>
      <c r="O146" s="6">
        <f t="shared" si="30"/>
        <v>-7.8732359507443037E-3</v>
      </c>
      <c r="P146" s="6"/>
      <c r="Q146" s="6">
        <f t="shared" si="32"/>
        <v>1.2483842483247353E-3</v>
      </c>
      <c r="R146" s="6"/>
      <c r="Z146" s="38"/>
    </row>
    <row r="147" spans="1:26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25"/>
        <v>1.9327411614988854E-4</v>
      </c>
      <c r="J147" s="6">
        <f t="shared" si="26"/>
        <v>1.0868104262170121E-2</v>
      </c>
      <c r="K147" s="6">
        <f t="shared" si="27"/>
        <v>-2.2289265661106588E-3</v>
      </c>
      <c r="L147" s="6">
        <f t="shared" si="28"/>
        <v>-1.7978656730612674E-2</v>
      </c>
      <c r="M147" s="6">
        <f t="shared" si="29"/>
        <v>-1.0526393935028697E-2</v>
      </c>
      <c r="N147" s="6">
        <f t="shared" si="31"/>
        <v>-2.8752059156686048E-3</v>
      </c>
      <c r="O147" s="6">
        <f t="shared" si="30"/>
        <v>1.9744087074048946E-3</v>
      </c>
      <c r="P147" s="6"/>
      <c r="Q147" s="6">
        <f t="shared" si="32"/>
        <v>-9.9511428587036217E-3</v>
      </c>
      <c r="R147" s="6"/>
      <c r="Z147" s="38"/>
    </row>
    <row r="148" spans="1:26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25"/>
        <v>1.9251162871269933E-4</v>
      </c>
      <c r="J148" s="6">
        <f t="shared" si="26"/>
        <v>-2.1990199647653258E-3</v>
      </c>
      <c r="K148" s="6">
        <f t="shared" si="27"/>
        <v>-1.0300751202101817E-2</v>
      </c>
      <c r="L148" s="6">
        <f t="shared" si="28"/>
        <v>1.2319503083121451E-2</v>
      </c>
      <c r="M148" s="6">
        <f t="shared" si="29"/>
        <v>2.3487728844055851E-3</v>
      </c>
      <c r="N148" s="6">
        <f t="shared" si="31"/>
        <v>-6.5039961169264899E-3</v>
      </c>
      <c r="O148" s="6">
        <f t="shared" si="30"/>
        <v>-3.9529113773502057E-3</v>
      </c>
      <c r="P148" s="6"/>
      <c r="Q148" s="6">
        <f t="shared" si="32"/>
        <v>6.1194368045373706E-3</v>
      </c>
      <c r="R148" s="6"/>
      <c r="Z148" s="38"/>
    </row>
    <row r="149" spans="1:26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25"/>
        <v>1.9213033071063812E-4</v>
      </c>
      <c r="J149" s="6">
        <f t="shared" si="26"/>
        <v>6.3521899768463532E-3</v>
      </c>
      <c r="K149" s="6">
        <f t="shared" si="27"/>
        <v>4.1663069910752798E-3</v>
      </c>
      <c r="L149" s="6">
        <f t="shared" si="28"/>
        <v>1.2325227911982373E-2</v>
      </c>
      <c r="M149" s="6">
        <f t="shared" si="29"/>
        <v>1.455631158926427E-2</v>
      </c>
      <c r="N149" s="6">
        <f t="shared" si="31"/>
        <v>6.2981688751588584E-3</v>
      </c>
      <c r="O149" s="6">
        <f t="shared" si="30"/>
        <v>-1.9826132725194968E-3</v>
      </c>
      <c r="P149" s="6"/>
      <c r="Q149" s="6">
        <f t="shared" si="32"/>
        <v>1.1973577196072956E-2</v>
      </c>
      <c r="R149" s="6"/>
      <c r="Z149" s="38"/>
    </row>
    <row r="150" spans="1:26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25"/>
        <v>1.9327411614988854E-4</v>
      </c>
      <c r="J150" s="6">
        <f t="shared" si="26"/>
        <v>1.3493637966671364E-2</v>
      </c>
      <c r="K150" s="6">
        <f t="shared" si="27"/>
        <v>1.6616478726241028E-3</v>
      </c>
      <c r="L150" s="6">
        <f t="shared" si="28"/>
        <v>5.8480844115032697E-3</v>
      </c>
      <c r="M150" s="6">
        <f t="shared" si="29"/>
        <v>-7.5427928711403599E-3</v>
      </c>
      <c r="N150" s="6">
        <f t="shared" si="31"/>
        <v>5.6332831318901015E-3</v>
      </c>
      <c r="O150" s="6">
        <f t="shared" si="30"/>
        <v>5.9355246498698326E-3</v>
      </c>
      <c r="P150" s="6"/>
      <c r="Q150" s="6">
        <f t="shared" si="32"/>
        <v>2.6400162065576562E-3</v>
      </c>
      <c r="R150" s="6"/>
      <c r="Z150" s="38"/>
    </row>
    <row r="151" spans="1:26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25"/>
        <v>1.9517970175764177E-4</v>
      </c>
      <c r="J151" s="6">
        <f t="shared" si="26"/>
        <v>1.4602145308817756E-2</v>
      </c>
      <c r="K151" s="6">
        <f t="shared" si="27"/>
        <v>8.5965451914703454E-3</v>
      </c>
      <c r="L151" s="6">
        <f t="shared" si="28"/>
        <v>1.3021806957661381E-2</v>
      </c>
      <c r="M151" s="6">
        <f t="shared" si="29"/>
        <v>2.3269110502146303E-3</v>
      </c>
      <c r="N151" s="6">
        <f t="shared" si="31"/>
        <v>8.8646978273410684E-3</v>
      </c>
      <c r="O151" s="6">
        <f t="shared" si="30"/>
        <v>9.8112094968681833E-3</v>
      </c>
      <c r="P151" s="6"/>
      <c r="Q151" s="6">
        <f t="shared" si="32"/>
        <v>9.6061362202355966E-3</v>
      </c>
      <c r="R151" s="6"/>
      <c r="Z151" s="38"/>
    </row>
    <row r="152" spans="1:26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25"/>
        <v>1.9556071042226009E-4</v>
      </c>
      <c r="J152" s="6">
        <f t="shared" si="26"/>
        <v>-4.1715613983300662E-2</v>
      </c>
      <c r="K152" s="6">
        <f t="shared" si="27"/>
        <v>-4.6196894266072042E-3</v>
      </c>
      <c r="L152" s="6">
        <f t="shared" si="28"/>
        <v>1.3809332358761774E-2</v>
      </c>
      <c r="M152" s="6">
        <f t="shared" si="29"/>
        <v>-2.9095910236789767E-3</v>
      </c>
      <c r="N152" s="6">
        <f t="shared" si="31"/>
        <v>3.2313725131378058E-3</v>
      </c>
      <c r="O152" s="6">
        <f t="shared" si="30"/>
        <v>1.950188787733562E-3</v>
      </c>
      <c r="P152" s="6"/>
      <c r="Q152" s="6">
        <f t="shared" si="32"/>
        <v>-2.4667842513876469E-3</v>
      </c>
      <c r="R152" s="6"/>
      <c r="Z152" s="38"/>
    </row>
    <row r="153" spans="1:26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25"/>
        <v>1.9670351962641774E-4</v>
      </c>
      <c r="J153" s="6">
        <f t="shared" si="26"/>
        <v>5.2960884338796171E-3</v>
      </c>
      <c r="K153" s="6">
        <f t="shared" si="27"/>
        <v>3.3072101581254086E-4</v>
      </c>
      <c r="L153" s="6">
        <f t="shared" si="28"/>
        <v>-1.2333324609694349E-2</v>
      </c>
      <c r="M153" s="6">
        <f t="shared" si="29"/>
        <v>-1.0544773183150766E-2</v>
      </c>
      <c r="N153" s="6">
        <f t="shared" si="31"/>
        <v>-1.4032464064151588E-3</v>
      </c>
      <c r="O153" s="6">
        <f t="shared" si="30"/>
        <v>5.8267481452814176E-3</v>
      </c>
      <c r="P153" s="6"/>
      <c r="Q153" s="6">
        <f t="shared" si="32"/>
        <v>-8.3877910255512993E-3</v>
      </c>
      <c r="R153" s="6"/>
      <c r="Z153" s="38"/>
    </row>
    <row r="154" spans="1:26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25"/>
        <v>1.970843837875158E-4</v>
      </c>
      <c r="J154" s="6">
        <f t="shared" si="26"/>
        <v>-8.3350523254073824E-3</v>
      </c>
      <c r="K154" s="6">
        <f t="shared" si="27"/>
        <v>-1.4890065620656438E-3</v>
      </c>
      <c r="L154" s="6">
        <f t="shared" si="28"/>
        <v>-9.1968412694247506E-3</v>
      </c>
      <c r="M154" s="6">
        <f t="shared" si="29"/>
        <v>8.2110739967389546E-3</v>
      </c>
      <c r="N154" s="6">
        <f t="shared" si="31"/>
        <v>-3.0595955699421543E-3</v>
      </c>
      <c r="O154" s="6">
        <f t="shared" si="30"/>
        <v>1.9343625162409541E-3</v>
      </c>
      <c r="P154" s="6"/>
      <c r="Q154" s="6">
        <f t="shared" si="32"/>
        <v>-2.9896230471424937E-3</v>
      </c>
      <c r="R154" s="6"/>
      <c r="Z154" s="38"/>
    </row>
    <row r="155" spans="1:26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25"/>
        <v>1.9746521183972021E-4</v>
      </c>
      <c r="J155" s="6">
        <f t="shared" si="26"/>
        <v>-6.6948293563426041E-3</v>
      </c>
      <c r="K155" s="6">
        <f t="shared" si="27"/>
        <v>2.3152310191375206E-3</v>
      </c>
      <c r="L155" s="6">
        <f t="shared" si="28"/>
        <v>4.6600093568763086E-3</v>
      </c>
      <c r="M155" s="6">
        <f t="shared" si="29"/>
        <v>3.4985997178958793E-3</v>
      </c>
      <c r="N155" s="6">
        <f t="shared" si="31"/>
        <v>-2.8037482252575453E-3</v>
      </c>
      <c r="O155" s="6">
        <f t="shared" si="30"/>
        <v>1.9304451186456823E-3</v>
      </c>
      <c r="P155" s="6"/>
      <c r="Q155" s="6">
        <f t="shared" si="32"/>
        <v>2.1154760609215298E-3</v>
      </c>
      <c r="R155" s="6"/>
      <c r="Z155" s="38"/>
    </row>
    <row r="156" spans="1:26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25"/>
        <v>1.9746521183972021E-4</v>
      </c>
      <c r="J156" s="6">
        <f t="shared" si="26"/>
        <v>2.0990652674622658E-2</v>
      </c>
      <c r="K156" s="6">
        <f t="shared" si="27"/>
        <v>8.0612064628980545E-3</v>
      </c>
      <c r="L156" s="6">
        <f t="shared" si="28"/>
        <v>1.9178381247547345E-2</v>
      </c>
      <c r="M156" s="6">
        <f t="shared" si="29"/>
        <v>2.130803414272742E-2</v>
      </c>
      <c r="N156" s="6">
        <f t="shared" si="31"/>
        <v>8.5935659407079552E-3</v>
      </c>
      <c r="O156" s="6">
        <f t="shared" si="30"/>
        <v>0</v>
      </c>
      <c r="P156" s="6"/>
      <c r="Q156" s="6">
        <f t="shared" si="32"/>
        <v>2.0259629981212016E-2</v>
      </c>
      <c r="R156" s="6"/>
      <c r="Z156" s="38"/>
    </row>
    <row r="157" spans="1:26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25"/>
        <v>1.9556071042226009E-4</v>
      </c>
      <c r="J157" s="6">
        <f t="shared" si="26"/>
        <v>-1.0615167680639992E-2</v>
      </c>
      <c r="K157" s="6">
        <f t="shared" si="27"/>
        <v>2.4548076667502516E-3</v>
      </c>
      <c r="L157" s="6">
        <f t="shared" si="28"/>
        <v>3.9017948330012063E-3</v>
      </c>
      <c r="M157" s="6">
        <f t="shared" si="29"/>
        <v>2.8449078782690519E-3</v>
      </c>
      <c r="N157" s="6">
        <f t="shared" si="31"/>
        <v>1.1158887706710923E-3</v>
      </c>
      <c r="O157" s="6">
        <f t="shared" si="30"/>
        <v>-9.6915557801681984E-3</v>
      </c>
      <c r="P157" s="6"/>
      <c r="Q157" s="6">
        <f t="shared" si="32"/>
        <v>7.9725617129435553E-4</v>
      </c>
      <c r="R157" s="6"/>
      <c r="Z157" s="38"/>
    </row>
    <row r="158" spans="1:26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25"/>
        <v>1.9556071042226009E-4</v>
      </c>
      <c r="J158" s="6">
        <f t="shared" si="26"/>
        <v>-8.4917741718009161E-3</v>
      </c>
      <c r="K158" s="6">
        <f t="shared" si="27"/>
        <v>-8.2061974569752581E-3</v>
      </c>
      <c r="L158" s="6">
        <f t="shared" si="28"/>
        <v>-6.8129855912890617E-3</v>
      </c>
      <c r="M158" s="6">
        <f t="shared" si="29"/>
        <v>-5.697991304405129E-3</v>
      </c>
      <c r="N158" s="6">
        <f t="shared" si="31"/>
        <v>-2.0155996658250933E-3</v>
      </c>
      <c r="O158" s="6">
        <f t="shared" si="30"/>
        <v>0</v>
      </c>
      <c r="P158" s="6"/>
      <c r="Q158" s="6">
        <f t="shared" si="32"/>
        <v>-6.742394906951301E-3</v>
      </c>
      <c r="R158" s="6"/>
      <c r="Z158" s="38"/>
    </row>
    <row r="159" spans="1:26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25"/>
        <v>1.9441757599203413E-4</v>
      </c>
      <c r="J159" s="6">
        <f t="shared" si="26"/>
        <v>-7.0234473180625914E-3</v>
      </c>
      <c r="K159" s="6">
        <f t="shared" si="27"/>
        <v>-8.7726750393700287E-3</v>
      </c>
      <c r="L159" s="6">
        <f t="shared" si="28"/>
        <v>-4.0223368324664339E-4</v>
      </c>
      <c r="M159" s="6">
        <f t="shared" si="29"/>
        <v>1.1421632595400733E-3</v>
      </c>
      <c r="N159" s="6">
        <f t="shared" si="31"/>
        <v>-7.2653957344673645E-3</v>
      </c>
      <c r="O159" s="6">
        <f t="shared" si="30"/>
        <v>-5.8625710412623351E-3</v>
      </c>
      <c r="P159" s="6"/>
      <c r="Q159" s="6">
        <f t="shared" si="32"/>
        <v>-1.1145589485677132E-3</v>
      </c>
      <c r="R159" s="6"/>
      <c r="Z159" s="38"/>
    </row>
    <row r="160" spans="1:26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25"/>
        <v>1.9517970175764177E-4</v>
      </c>
      <c r="J160" s="6">
        <f t="shared" si="26"/>
        <v>4.7859728642550272E-3</v>
      </c>
      <c r="K160" s="6">
        <f t="shared" si="27"/>
        <v>-5.3342326889105063E-3</v>
      </c>
      <c r="L160" s="6">
        <f t="shared" si="28"/>
        <v>-2.8200016753762752E-3</v>
      </c>
      <c r="M160" s="6">
        <f t="shared" si="29"/>
        <v>5.12394513644681E-3</v>
      </c>
      <c r="N160" s="6">
        <f t="shared" si="31"/>
        <v>1.0904938060488179E-3</v>
      </c>
      <c r="O160" s="6">
        <f t="shared" si="30"/>
        <v>3.91238225352871E-3</v>
      </c>
      <c r="P160" s="6"/>
      <c r="Q160" s="6">
        <f t="shared" si="32"/>
        <v>1.3727478444927024E-3</v>
      </c>
      <c r="R160" s="6"/>
      <c r="Z160" s="38"/>
    </row>
    <row r="161" spans="1:26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25"/>
        <v>1.9517970175764177E-4</v>
      </c>
      <c r="J161" s="6">
        <f t="shared" si="26"/>
        <v>-4.9043056684808586E-3</v>
      </c>
      <c r="K161" s="6">
        <f t="shared" si="27"/>
        <v>-8.8979314726668046E-3</v>
      </c>
      <c r="L161" s="6">
        <f t="shared" si="28"/>
        <v>-7.637567148412871E-3</v>
      </c>
      <c r="M161" s="6">
        <f t="shared" si="29"/>
        <v>-2.2740551851044106E-3</v>
      </c>
      <c r="N161" s="6">
        <f t="shared" si="31"/>
        <v>-1.2410983057457463E-2</v>
      </c>
      <c r="O161" s="6">
        <f t="shared" si="30"/>
        <v>0</v>
      </c>
      <c r="P161" s="6"/>
      <c r="Q161" s="6">
        <f t="shared" si="32"/>
        <v>-5.2597203268845445E-3</v>
      </c>
      <c r="R161" s="6"/>
      <c r="Z161" s="38"/>
    </row>
    <row r="162" spans="1:26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25"/>
        <v>1.9479865694971288E-4</v>
      </c>
      <c r="J162" s="6">
        <f t="shared" si="26"/>
        <v>4.4916084303433098E-3</v>
      </c>
      <c r="K162" s="6">
        <f t="shared" si="27"/>
        <v>3.5350412795235415E-3</v>
      </c>
      <c r="L162" s="6">
        <f t="shared" si="28"/>
        <v>9.1580546261534317E-3</v>
      </c>
      <c r="M162" s="6">
        <f t="shared" si="29"/>
        <v>-8.5739149328683574E-3</v>
      </c>
      <c r="N162" s="6">
        <f t="shared" si="31"/>
        <v>1.1038072569656417E-2</v>
      </c>
      <c r="O162" s="6">
        <f t="shared" si="30"/>
        <v>-1.9541849986461348E-3</v>
      </c>
      <c r="P162" s="6"/>
      <c r="Q162" s="6">
        <f t="shared" si="32"/>
        <v>2.1208462341008611E-3</v>
      </c>
      <c r="R162" s="6"/>
      <c r="Z162" s="38"/>
    </row>
    <row r="163" spans="1:26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25"/>
        <v>1.9632261934998674E-4</v>
      </c>
      <c r="J163" s="6">
        <f t="shared" ref="J163:J194" si="33">LN(B163/B162)</f>
        <v>-6.685740856598745E-3</v>
      </c>
      <c r="K163" s="6">
        <f t="shared" ref="K163:K194" si="34">LN(C163/C162)</f>
        <v>-4.0410882798711488E-3</v>
      </c>
      <c r="L163" s="6">
        <f t="shared" ref="L163:L194" si="35">LN(D163/D162)</f>
        <v>5.202946011474462E-3</v>
      </c>
      <c r="M163" s="6">
        <f t="shared" si="29"/>
        <v>-9.8068295948848475E-3</v>
      </c>
      <c r="N163" s="6">
        <f t="shared" si="31"/>
        <v>-3.747574930495873E-4</v>
      </c>
      <c r="O163" s="6">
        <f t="shared" si="30"/>
        <v>7.7928264448712302E-3</v>
      </c>
      <c r="P163" s="6"/>
      <c r="Q163" s="6">
        <f t="shared" si="32"/>
        <v>-2.2509497738294961E-3</v>
      </c>
      <c r="R163" s="6"/>
      <c r="Z163" s="38"/>
    </row>
    <row r="164" spans="1:26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25"/>
        <v>1.9632261934998674E-4</v>
      </c>
      <c r="J164" s="6">
        <f t="shared" si="33"/>
        <v>7.2163751807764352E-3</v>
      </c>
      <c r="K164" s="6">
        <f t="shared" si="34"/>
        <v>7.5637276739742845E-3</v>
      </c>
      <c r="L164" s="6">
        <f t="shared" si="35"/>
        <v>-6.7235150953914692E-3</v>
      </c>
      <c r="M164" s="6">
        <f t="shared" si="29"/>
        <v>-4.2513463190354973E-3</v>
      </c>
      <c r="N164" s="6">
        <f t="shared" si="31"/>
        <v>1.4444457627020377E-3</v>
      </c>
      <c r="O164" s="6">
        <f t="shared" si="30"/>
        <v>0</v>
      </c>
      <c r="P164" s="6"/>
      <c r="Q164" s="6">
        <f t="shared" si="32"/>
        <v>-3.2363572979015251E-3</v>
      </c>
      <c r="R164" s="6"/>
      <c r="Z164" s="38"/>
    </row>
    <row r="165" spans="1:26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25"/>
        <v>1.9746521183972021E-4</v>
      </c>
      <c r="J165" s="6">
        <f t="shared" si="33"/>
        <v>-1.120175412492392E-2</v>
      </c>
      <c r="K165" s="6">
        <f t="shared" si="34"/>
        <v>-1.348640955626019E-2</v>
      </c>
      <c r="L165" s="6">
        <f t="shared" si="35"/>
        <v>-8.557882737226321E-3</v>
      </c>
      <c r="M165" s="6">
        <f t="shared" si="29"/>
        <v>-1.0110097057956752E-2</v>
      </c>
      <c r="N165" s="6">
        <f t="shared" si="31"/>
        <v>-9.5019783338873547E-3</v>
      </c>
      <c r="O165" s="6">
        <f t="shared" si="30"/>
        <v>5.8031031216765087E-3</v>
      </c>
      <c r="P165" s="6"/>
      <c r="Q165" s="6">
        <f t="shared" si="32"/>
        <v>-9.5954418665038614E-3</v>
      </c>
      <c r="R165" s="6"/>
      <c r="Z165" s="38"/>
    </row>
    <row r="166" spans="1:26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25"/>
        <v>1.970843837875158E-4</v>
      </c>
      <c r="J166" s="6">
        <f t="shared" si="33"/>
        <v>4.236087617690229E-2</v>
      </c>
      <c r="K166" s="6">
        <f t="shared" si="34"/>
        <v>2.2039331166826617E-3</v>
      </c>
      <c r="L166" s="6">
        <f t="shared" si="35"/>
        <v>-2.0473527315899678E-4</v>
      </c>
      <c r="M166" s="6">
        <f t="shared" si="29"/>
        <v>-1.8703414262897906E-2</v>
      </c>
      <c r="N166" s="6">
        <f t="shared" si="31"/>
        <v>7.4172372058720279E-3</v>
      </c>
      <c r="O166" s="6">
        <f t="shared" si="30"/>
        <v>-1.9304451186457814E-3</v>
      </c>
      <c r="P166" s="6"/>
      <c r="Q166" s="6">
        <f t="shared" si="32"/>
        <v>1.3986433252985517E-3</v>
      </c>
      <c r="R166" s="6"/>
      <c r="Z166" s="38"/>
    </row>
    <row r="167" spans="1:26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25"/>
        <v>1.9632261934998674E-4</v>
      </c>
      <c r="J167" s="6">
        <f t="shared" si="33"/>
        <v>8.5896815167550832E-3</v>
      </c>
      <c r="K167" s="6">
        <f t="shared" si="34"/>
        <v>-1.3125590939175541E-2</v>
      </c>
      <c r="L167" s="6">
        <f t="shared" si="35"/>
        <v>-6.6864291458487934E-2</v>
      </c>
      <c r="M167" s="6">
        <f t="shared" si="29"/>
        <v>-6.7217247231749887E-3</v>
      </c>
      <c r="N167" s="6">
        <f t="shared" si="31"/>
        <v>-1.4657607029448559E-2</v>
      </c>
      <c r="O167" s="6">
        <f t="shared" si="30"/>
        <v>-3.8726580030308149E-3</v>
      </c>
      <c r="P167" s="6"/>
      <c r="Q167" s="6">
        <f t="shared" si="32"/>
        <v>-3.1751665493877583E-2</v>
      </c>
      <c r="R167" s="6"/>
      <c r="Z167" s="38"/>
    </row>
    <row r="168" spans="1:26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25"/>
        <v>1.9517970175764177E-4</v>
      </c>
      <c r="J168" s="6">
        <f t="shared" si="33"/>
        <v>-2.2106106529132866E-2</v>
      </c>
      <c r="K168" s="6">
        <f t="shared" si="34"/>
        <v>-2.4050333635455131E-3</v>
      </c>
      <c r="L168" s="6">
        <f t="shared" si="35"/>
        <v>5.4697060967347623E-4</v>
      </c>
      <c r="M168" s="6">
        <f t="shared" si="29"/>
        <v>-4.3010263731349009E-3</v>
      </c>
      <c r="N168" s="6">
        <f t="shared" si="31"/>
        <v>-1.2094130563305876E-2</v>
      </c>
      <c r="O168" s="6">
        <f t="shared" si="30"/>
        <v>-5.8386414462252264E-3</v>
      </c>
      <c r="P168" s="6"/>
      <c r="Q168" s="6">
        <f t="shared" si="32"/>
        <v>-5.408262532863823E-3</v>
      </c>
      <c r="R168" s="6"/>
      <c r="Z168" s="38"/>
    </row>
    <row r="169" spans="1:26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25"/>
        <v>1.970843837875158E-4</v>
      </c>
      <c r="J169" s="6">
        <f t="shared" si="33"/>
        <v>-1.9353292388622649E-2</v>
      </c>
      <c r="K169" s="6">
        <f t="shared" si="34"/>
        <v>-1.3769359849297128E-3</v>
      </c>
      <c r="L169" s="6">
        <f t="shared" si="35"/>
        <v>-1.1493392825475091E-2</v>
      </c>
      <c r="M169" s="6">
        <f t="shared" si="29"/>
        <v>-9.2793792839827582E-3</v>
      </c>
      <c r="N169" s="6">
        <f t="shared" si="31"/>
        <v>-2.0586901863485071E-3</v>
      </c>
      <c r="O169" s="6">
        <f t="shared" si="30"/>
        <v>9.7112994492560816E-3</v>
      </c>
      <c r="P169" s="6"/>
      <c r="Q169" s="6">
        <f t="shared" si="32"/>
        <v>-1.2206787209889861E-2</v>
      </c>
      <c r="R169" s="6"/>
      <c r="Z169" s="38"/>
    </row>
    <row r="170" spans="1:26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25"/>
        <v>1.9784600378991435E-4</v>
      </c>
      <c r="J170" s="6">
        <f t="shared" si="33"/>
        <v>-8.1807529156866562E-3</v>
      </c>
      <c r="K170" s="6">
        <f t="shared" si="34"/>
        <v>7.7206836858722564E-3</v>
      </c>
      <c r="L170" s="6">
        <f t="shared" si="35"/>
        <v>-3.9902601949420831E-3</v>
      </c>
      <c r="M170" s="6">
        <f t="shared" si="29"/>
        <v>1.8628149729069926E-3</v>
      </c>
      <c r="N170" s="6">
        <f t="shared" si="31"/>
        <v>-5.797336366096615E-3</v>
      </c>
      <c r="O170" s="6">
        <f t="shared" si="30"/>
        <v>3.8569883226659335E-3</v>
      </c>
      <c r="P170" s="6"/>
      <c r="Q170" s="6">
        <f t="shared" si="32"/>
        <v>-2.7480697702392705E-3</v>
      </c>
      <c r="R170" s="6"/>
      <c r="Z170" s="38"/>
    </row>
    <row r="171" spans="1:26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25"/>
        <v>1.9632261934998674E-4</v>
      </c>
      <c r="J171" s="6">
        <f t="shared" si="33"/>
        <v>-5.7307029681765223E-3</v>
      </c>
      <c r="K171" s="6">
        <f t="shared" si="34"/>
        <v>6.8132245978021052E-3</v>
      </c>
      <c r="L171" s="6">
        <f t="shared" si="35"/>
        <v>6.4760434973849422E-3</v>
      </c>
      <c r="M171" s="6">
        <f t="shared" si="29"/>
        <v>1.2943127412559438E-2</v>
      </c>
      <c r="N171" s="6">
        <f t="shared" si="31"/>
        <v>-2.2106328639260849E-3</v>
      </c>
      <c r="O171" s="6">
        <f t="shared" si="30"/>
        <v>-7.7296463256966716E-3</v>
      </c>
      <c r="P171" s="6"/>
      <c r="Q171" s="6">
        <f t="shared" si="32"/>
        <v>6.4197709950124119E-3</v>
      </c>
      <c r="R171" s="6"/>
      <c r="Z171" s="38"/>
    </row>
    <row r="172" spans="1:26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25"/>
        <v>2.0241269373766357E-4</v>
      </c>
      <c r="J172" s="6">
        <f t="shared" si="33"/>
        <v>-1.2287828139873455E-2</v>
      </c>
      <c r="K172" s="6">
        <f t="shared" si="34"/>
        <v>2.1162958107073866E-2</v>
      </c>
      <c r="L172" s="6">
        <f t="shared" si="35"/>
        <v>2.4793566191605932E-2</v>
      </c>
      <c r="M172" s="6">
        <f t="shared" si="29"/>
        <v>1.0962394432582713E-2</v>
      </c>
      <c r="N172" s="6">
        <f t="shared" si="31"/>
        <v>-8.7971023365461913E-3</v>
      </c>
      <c r="O172" s="6">
        <f t="shared" si="30"/>
        <v>3.0549328421036113E-2</v>
      </c>
      <c r="P172" s="6"/>
      <c r="Q172" s="6">
        <f t="shared" si="32"/>
        <v>1.2998195085247818E-2</v>
      </c>
      <c r="R172" s="6"/>
      <c r="Z172" s="38"/>
    </row>
    <row r="173" spans="1:26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25"/>
        <v>2.0165193919474689E-4</v>
      </c>
      <c r="J173" s="6">
        <f t="shared" si="33"/>
        <v>5.07788929321121E-3</v>
      </c>
      <c r="K173" s="6">
        <f t="shared" si="34"/>
        <v>6.2956618817539729E-3</v>
      </c>
      <c r="L173" s="6">
        <f t="shared" si="35"/>
        <v>1.9243130694284457E-2</v>
      </c>
      <c r="M173" s="6">
        <f t="shared" si="29"/>
        <v>-1.2187931160931781E-2</v>
      </c>
      <c r="N173" s="6">
        <f t="shared" si="31"/>
        <v>8.6933277348877659E-3</v>
      </c>
      <c r="O173" s="6">
        <f t="shared" si="30"/>
        <v>-3.7655136322931222E-3</v>
      </c>
      <c r="P173" s="6"/>
      <c r="Q173" s="6">
        <f t="shared" si="32"/>
        <v>5.6578222734599698E-3</v>
      </c>
      <c r="R173" s="6"/>
      <c r="Z173" s="38"/>
    </row>
    <row r="174" spans="1:26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25"/>
        <v>2.0012999773522111E-4</v>
      </c>
      <c r="J174" s="6">
        <f t="shared" si="33"/>
        <v>6.3713730744178647E-3</v>
      </c>
      <c r="K174" s="6">
        <f t="shared" si="34"/>
        <v>1.4852540987510795E-3</v>
      </c>
      <c r="L174" s="6">
        <f t="shared" si="35"/>
        <v>1.4310268539026554E-2</v>
      </c>
      <c r="M174" s="6">
        <f t="shared" si="29"/>
        <v>1.1582000481511069E-2</v>
      </c>
      <c r="N174" s="6">
        <f t="shared" si="31"/>
        <v>1.1893624576650831E-2</v>
      </c>
      <c r="O174" s="6">
        <f t="shared" si="30"/>
        <v>-7.5759938366260346E-3</v>
      </c>
      <c r="P174" s="6"/>
      <c r="Q174" s="6">
        <f t="shared" si="32"/>
        <v>1.1865824901909329E-2</v>
      </c>
      <c r="R174" s="6"/>
      <c r="Z174" s="38"/>
    </row>
    <row r="175" spans="1:26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25"/>
        <v>2.0127150788695758E-4</v>
      </c>
      <c r="J175" s="6">
        <f t="shared" si="33"/>
        <v>1.2622341953280228E-2</v>
      </c>
      <c r="K175" s="6">
        <f t="shared" si="34"/>
        <v>1.4895089026447495E-2</v>
      </c>
      <c r="L175" s="6">
        <f t="shared" si="35"/>
        <v>4.8803897357337367E-3</v>
      </c>
      <c r="M175" s="6">
        <f t="shared" si="29"/>
        <v>1.8613569807513386E-2</v>
      </c>
      <c r="N175" s="6">
        <f t="shared" si="31"/>
        <v>2.1297196541228134E-4</v>
      </c>
      <c r="O175" s="6">
        <f t="shared" si="30"/>
        <v>5.6876380033150228E-3</v>
      </c>
      <c r="P175" s="6"/>
      <c r="Q175" s="6">
        <f t="shared" si="32"/>
        <v>1.1109028470256506E-2</v>
      </c>
      <c r="R175" s="6"/>
      <c r="Z175" s="38"/>
    </row>
    <row r="176" spans="1:26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25"/>
        <v>2.0203233447624314E-4</v>
      </c>
      <c r="J176" s="6">
        <f t="shared" si="33"/>
        <v>5.1340934294748482E-3</v>
      </c>
      <c r="K176" s="6">
        <f t="shared" si="34"/>
        <v>3.082230575187468E-3</v>
      </c>
      <c r="L176" s="6">
        <f t="shared" si="35"/>
        <v>1.500784386497234E-3</v>
      </c>
      <c r="M176" s="6">
        <f t="shared" si="29"/>
        <v>-1.377680211997016E-2</v>
      </c>
      <c r="N176" s="6">
        <f t="shared" si="31"/>
        <v>-4.5869419014574458E-3</v>
      </c>
      <c r="O176" s="6">
        <f t="shared" si="30"/>
        <v>3.7729741793627114E-3</v>
      </c>
      <c r="P176" s="6"/>
      <c r="Q176" s="6">
        <f t="shared" si="32"/>
        <v>-3.1190345182653184E-3</v>
      </c>
      <c r="R176" s="6"/>
      <c r="Z176" s="38"/>
    </row>
    <row r="177" spans="1:26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25"/>
        <v>2.0127150788695758E-4</v>
      </c>
      <c r="J177" s="6">
        <f t="shared" si="33"/>
        <v>-3.4788581331064421E-3</v>
      </c>
      <c r="K177" s="6">
        <f t="shared" si="34"/>
        <v>0</v>
      </c>
      <c r="L177" s="6">
        <f t="shared" si="35"/>
        <v>6.2045885918183598E-4</v>
      </c>
      <c r="M177" s="6">
        <f t="shared" si="29"/>
        <v>1.020115925682203E-2</v>
      </c>
      <c r="N177" s="6">
        <f t="shared" si="31"/>
        <v>1.0157373516560254E-2</v>
      </c>
      <c r="O177" s="6">
        <f t="shared" si="30"/>
        <v>-3.7729741793627526E-3</v>
      </c>
      <c r="P177" s="6"/>
      <c r="Q177" s="6">
        <f t="shared" si="32"/>
        <v>3.174219385139748E-3</v>
      </c>
      <c r="R177" s="6"/>
      <c r="Z177" s="38"/>
    </row>
    <row r="178" spans="1:26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25"/>
        <v>2.0203233447624314E-4</v>
      </c>
      <c r="J178" s="6">
        <f t="shared" si="33"/>
        <v>2.4505258851654717E-2</v>
      </c>
      <c r="K178" s="6">
        <f t="shared" si="34"/>
        <v>4.8472846158211921E-3</v>
      </c>
      <c r="L178" s="6">
        <f t="shared" si="35"/>
        <v>-1.0859387138235847E-3</v>
      </c>
      <c r="M178" s="6">
        <f t="shared" si="29"/>
        <v>1.5990897700798735E-2</v>
      </c>
      <c r="N178" s="6">
        <f t="shared" si="31"/>
        <v>3.1734156874775382E-3</v>
      </c>
      <c r="O178" s="6">
        <f t="shared" si="30"/>
        <v>3.7729741793627114E-3</v>
      </c>
      <c r="P178" s="6"/>
      <c r="Q178" s="6">
        <f t="shared" si="32"/>
        <v>9.6696815936590415E-3</v>
      </c>
      <c r="R178" s="6"/>
      <c r="Z178" s="38"/>
    </row>
    <row r="179" spans="1:26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25"/>
        <v>2.0165193919474689E-4</v>
      </c>
      <c r="J179" s="6">
        <f t="shared" si="33"/>
        <v>-1.8439790545778333E-2</v>
      </c>
      <c r="K179" s="6">
        <f t="shared" si="34"/>
        <v>-4.3615431401830369E-3</v>
      </c>
      <c r="L179" s="6">
        <f t="shared" si="35"/>
        <v>-7.9996022089060346E-3</v>
      </c>
      <c r="M179" s="6">
        <f t="shared" si="29"/>
        <v>-7.6674124514332052E-3</v>
      </c>
      <c r="N179" s="6">
        <f t="shared" si="31"/>
        <v>-1.5855554753445709E-2</v>
      </c>
      <c r="O179" s="6">
        <f t="shared" si="30"/>
        <v>-1.8846183460518033E-3</v>
      </c>
      <c r="P179" s="6"/>
      <c r="Q179" s="6">
        <f t="shared" si="32"/>
        <v>-9.8530188220604595E-3</v>
      </c>
      <c r="R179" s="6"/>
      <c r="Z179" s="38"/>
    </row>
    <row r="180" spans="1:26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25"/>
        <v>2.0127150788695758E-4</v>
      </c>
      <c r="J180" s="6">
        <f t="shared" si="33"/>
        <v>-6.0654683058762593E-3</v>
      </c>
      <c r="K180" s="6">
        <f t="shared" si="34"/>
        <v>2.5869042305606007E-3</v>
      </c>
      <c r="L180" s="6">
        <f t="shared" si="35"/>
        <v>6.2565312240965142E-4</v>
      </c>
      <c r="M180" s="6">
        <f t="shared" si="29"/>
        <v>1.7746003431574375E-3</v>
      </c>
      <c r="N180" s="6">
        <f t="shared" si="31"/>
        <v>-3.4413923648739225E-3</v>
      </c>
      <c r="O180" s="6">
        <f t="shared" si="30"/>
        <v>-1.8883558333109205E-3</v>
      </c>
      <c r="P180" s="6"/>
      <c r="Q180" s="6">
        <f t="shared" si="32"/>
        <v>-2.3717059005747476E-4</v>
      </c>
      <c r="R180" s="6"/>
      <c r="Z180" s="38"/>
    </row>
    <row r="181" spans="1:26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25"/>
        <v>2.0051053716385603E-4</v>
      </c>
      <c r="J181" s="6">
        <f t="shared" si="33"/>
        <v>2.1792612899963495E-2</v>
      </c>
      <c r="K181" s="6">
        <f t="shared" si="34"/>
        <v>9.683988994642935E-4</v>
      </c>
      <c r="L181" s="6">
        <f t="shared" si="35"/>
        <v>-1.0429762752333207E-3</v>
      </c>
      <c r="M181" s="6">
        <f t="shared" si="29"/>
        <v>-5.9277432873759113E-3</v>
      </c>
      <c r="N181" s="6">
        <f t="shared" si="31"/>
        <v>9.0870134013374317E-3</v>
      </c>
      <c r="O181" s="6">
        <f t="shared" si="30"/>
        <v>-3.7879822774249021E-3</v>
      </c>
      <c r="P181" s="6"/>
      <c r="Q181" s="6">
        <f t="shared" si="32"/>
        <v>1.5670797038191092E-3</v>
      </c>
      <c r="R181" s="6"/>
      <c r="Z181" s="38"/>
    </row>
    <row r="182" spans="1:26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25"/>
        <v>2.0165193919474689E-4</v>
      </c>
      <c r="J182" s="6">
        <f t="shared" si="33"/>
        <v>5.8095544508652106E-2</v>
      </c>
      <c r="K182" s="6">
        <f t="shared" si="34"/>
        <v>2.8994529241732746E-3</v>
      </c>
      <c r="L182" s="6">
        <f t="shared" si="35"/>
        <v>-6.0183515082071516E-3</v>
      </c>
      <c r="M182" s="6">
        <f t="shared" si="29"/>
        <v>1.7820997373106853E-3</v>
      </c>
      <c r="N182" s="6">
        <f t="shared" si="31"/>
        <v>1.247858860899914E-2</v>
      </c>
      <c r="O182" s="6">
        <f t="shared" si="30"/>
        <v>5.6763381107358766E-3</v>
      </c>
      <c r="P182" s="6"/>
      <c r="Q182" s="6">
        <f t="shared" si="32"/>
        <v>8.780591632080675E-3</v>
      </c>
      <c r="R182" s="6"/>
      <c r="Z182" s="38"/>
    </row>
    <row r="183" spans="1:26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25"/>
        <v>2.0317330422892077E-4</v>
      </c>
      <c r="J183" s="6">
        <f t="shared" si="33"/>
        <v>-9.1483674173388676E-3</v>
      </c>
      <c r="K183" s="6">
        <f t="shared" si="34"/>
        <v>2.8910542328630683E-3</v>
      </c>
      <c r="L183" s="6">
        <f t="shared" si="35"/>
        <v>7.7907210062601899E-3</v>
      </c>
      <c r="M183" s="6">
        <f t="shared" si="29"/>
        <v>8.2741716697485573E-3</v>
      </c>
      <c r="N183" s="6">
        <f t="shared" si="31"/>
        <v>1.0273136069376812E-2</v>
      </c>
      <c r="O183" s="6">
        <f t="shared" si="30"/>
        <v>7.5161923378373003E-3</v>
      </c>
      <c r="P183" s="6"/>
      <c r="Q183" s="6">
        <f t="shared" si="32"/>
        <v>4.7642934321786628E-3</v>
      </c>
      <c r="R183" s="6"/>
      <c r="Z183" s="38"/>
    </row>
    <row r="184" spans="1:26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25"/>
        <v>2.0317330422892077E-4</v>
      </c>
      <c r="J184" s="6">
        <f t="shared" si="33"/>
        <v>3.7898712813242458E-3</v>
      </c>
      <c r="K184" s="6">
        <f t="shared" si="34"/>
        <v>4.3210584019733201E-3</v>
      </c>
      <c r="L184" s="6">
        <f t="shared" si="35"/>
        <v>-1.3029561227812455E-3</v>
      </c>
      <c r="M184" s="6">
        <f t="shared" si="29"/>
        <v>5.283244107095986E-3</v>
      </c>
      <c r="N184" s="6">
        <f t="shared" si="31"/>
        <v>1.3425358193505205E-3</v>
      </c>
      <c r="O184" s="6">
        <f t="shared" si="30"/>
        <v>0</v>
      </c>
      <c r="P184" s="6"/>
      <c r="Q184" s="6">
        <f t="shared" si="32"/>
        <v>1.9444124536094434E-3</v>
      </c>
      <c r="R184" s="6"/>
      <c r="Z184" s="38"/>
    </row>
    <row r="185" spans="1:26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25"/>
        <v>2.0279301698633567E-4</v>
      </c>
      <c r="J185" s="6">
        <f t="shared" si="33"/>
        <v>1.8624377821563668E-3</v>
      </c>
      <c r="K185" s="6">
        <f t="shared" si="34"/>
        <v>3.666217842342803E-3</v>
      </c>
      <c r="L185" s="6">
        <f t="shared" si="35"/>
        <v>2.0134915133947339E-2</v>
      </c>
      <c r="M185" s="6">
        <f t="shared" si="29"/>
        <v>1.7549955781686565E-3</v>
      </c>
      <c r="N185" s="6">
        <f t="shared" si="31"/>
        <v>-5.7829262956225704E-6</v>
      </c>
      <c r="O185" s="6">
        <f t="shared" si="30"/>
        <v>-1.8734921294941596E-3</v>
      </c>
      <c r="P185" s="6"/>
      <c r="Q185" s="6">
        <f t="shared" si="32"/>
        <v>1.0306946428237283E-2</v>
      </c>
      <c r="R185" s="6"/>
      <c r="Z185" s="38"/>
    </row>
    <row r="186" spans="1:26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25"/>
        <v>2.0469409327517063E-4</v>
      </c>
      <c r="J186" s="6">
        <f t="shared" si="33"/>
        <v>9.9644209184128335E-3</v>
      </c>
      <c r="K186" s="6">
        <f t="shared" si="34"/>
        <v>4.7729304993157585E-4</v>
      </c>
      <c r="L186" s="6">
        <f t="shared" si="35"/>
        <v>9.4112742907778765E-3</v>
      </c>
      <c r="M186" s="6">
        <f t="shared" si="29"/>
        <v>4.0827757174903999E-3</v>
      </c>
      <c r="N186" s="6">
        <f t="shared" si="31"/>
        <v>5.0780025958913483E-3</v>
      </c>
      <c r="O186" s="6">
        <f t="shared" si="30"/>
        <v>9.3307986135110887E-3</v>
      </c>
      <c r="P186" s="6"/>
      <c r="Q186" s="6">
        <f t="shared" si="32"/>
        <v>7.665322191569535E-3</v>
      </c>
      <c r="R186" s="6"/>
      <c r="Z186" s="38"/>
    </row>
    <row r="187" spans="1:26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25"/>
        <v>2.0317330422892077E-4</v>
      </c>
      <c r="J187" s="6">
        <f t="shared" si="33"/>
        <v>-6.9140777525400921E-3</v>
      </c>
      <c r="K187" s="6">
        <f t="shared" si="34"/>
        <v>6.0250352963449492E-3</v>
      </c>
      <c r="L187" s="6">
        <f t="shared" si="35"/>
        <v>6.4097849393042125E-3</v>
      </c>
      <c r="M187" s="6">
        <f t="shared" si="29"/>
        <v>-5.8223411107649701E-4</v>
      </c>
      <c r="N187" s="6">
        <f t="shared" si="31"/>
        <v>1.6480214063461682E-3</v>
      </c>
      <c r="O187" s="6">
        <f t="shared" si="30"/>
        <v>-7.4573064840169363E-3</v>
      </c>
      <c r="P187" s="6"/>
      <c r="Q187" s="6">
        <f t="shared" si="32"/>
        <v>1.4693270284983578E-3</v>
      </c>
      <c r="R187" s="6"/>
      <c r="Z187" s="38"/>
    </row>
    <row r="188" spans="1:26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25"/>
        <v>2.0127150788695758E-4</v>
      </c>
      <c r="J188" s="6">
        <f t="shared" si="33"/>
        <v>1.7491613013872163E-2</v>
      </c>
      <c r="K188" s="6">
        <f t="shared" si="34"/>
        <v>5.0457831514656758E-3</v>
      </c>
      <c r="L188" s="6">
        <f t="shared" si="35"/>
        <v>-2.0125493872400897E-4</v>
      </c>
      <c r="M188" s="6">
        <f t="shared" si="29"/>
        <v>5.2280020464313707E-3</v>
      </c>
      <c r="N188" s="6">
        <f t="shared" si="31"/>
        <v>-2.4128455417182781E-4</v>
      </c>
      <c r="O188" s="6">
        <f t="shared" si="30"/>
        <v>-9.4045481711482436E-3</v>
      </c>
      <c r="P188" s="6"/>
      <c r="Q188" s="6">
        <f t="shared" si="32"/>
        <v>5.0204393806284192E-3</v>
      </c>
      <c r="R188" s="6"/>
      <c r="Z188" s="38"/>
    </row>
    <row r="189" spans="1:26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25"/>
        <v>1.9974942225231551E-4</v>
      </c>
      <c r="J189" s="6">
        <f t="shared" si="33"/>
        <v>6.1545058292852206E-3</v>
      </c>
      <c r="K189" s="6">
        <f t="shared" si="34"/>
        <v>-7.578230471947678E-3</v>
      </c>
      <c r="L189" s="6">
        <f t="shared" si="35"/>
        <v>1.3891880096165623E-2</v>
      </c>
      <c r="M189" s="6">
        <f t="shared" si="29"/>
        <v>2.3147859350525577E-3</v>
      </c>
      <c r="N189" s="6">
        <f t="shared" si="31"/>
        <v>4.8261000617198218E-3</v>
      </c>
      <c r="O189" s="6">
        <f t="shared" si="30"/>
        <v>-7.5910897879736695E-3</v>
      </c>
      <c r="P189" s="6"/>
      <c r="Q189" s="6">
        <f t="shared" si="32"/>
        <v>8.4127816038800408E-3</v>
      </c>
      <c r="R189" s="6"/>
      <c r="Z189" s="38"/>
    </row>
    <row r="190" spans="1:26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25"/>
        <v>1.9974942225231551E-4</v>
      </c>
      <c r="J190" s="6">
        <f t="shared" si="33"/>
        <v>1.2143861705092206E-2</v>
      </c>
      <c r="K190" s="6">
        <f t="shared" si="34"/>
        <v>4.7533860586955039E-4</v>
      </c>
      <c r="L190" s="6">
        <f t="shared" si="35"/>
        <v>2.9731023414911141E-3</v>
      </c>
      <c r="M190" s="6">
        <f t="shared" si="29"/>
        <v>1.732579879352201E-3</v>
      </c>
      <c r="N190" s="6">
        <f t="shared" si="31"/>
        <v>1.1647879688045933E-2</v>
      </c>
      <c r="O190" s="6">
        <f t="shared" si="30"/>
        <v>0</v>
      </c>
      <c r="P190" s="6"/>
      <c r="Q190" s="6">
        <f t="shared" si="32"/>
        <v>4.2717270258639259E-3</v>
      </c>
      <c r="R190" s="6"/>
      <c r="Z190" s="38"/>
    </row>
    <row r="191" spans="1:26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25"/>
        <v>2.0012999773522111E-4</v>
      </c>
      <c r="J191" s="6">
        <f t="shared" si="33"/>
        <v>6.3229391275216771E-4</v>
      </c>
      <c r="K191" s="6">
        <f t="shared" si="34"/>
        <v>3.0051413878821489E-3</v>
      </c>
      <c r="L191" s="6">
        <f t="shared" si="35"/>
        <v>1.7796277524522572E-3</v>
      </c>
      <c r="M191" s="6">
        <f t="shared" si="29"/>
        <v>-1.732579879352136E-3</v>
      </c>
      <c r="N191" s="6">
        <f t="shared" si="31"/>
        <v>-2.08387430730016E-3</v>
      </c>
      <c r="O191" s="6">
        <f t="shared" si="30"/>
        <v>1.9034517846586623E-3</v>
      </c>
      <c r="P191" s="6"/>
      <c r="Q191" s="6">
        <f t="shared" si="32"/>
        <v>3.4369327068218874E-4</v>
      </c>
      <c r="R191" s="6"/>
      <c r="Z191" s="38"/>
    </row>
    <row r="192" spans="1:26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25"/>
        <v>2.0012999773522111E-4</v>
      </c>
      <c r="J192" s="6">
        <f t="shared" si="33"/>
        <v>1.5802948487189222E-4</v>
      </c>
      <c r="K192" s="6">
        <f t="shared" si="34"/>
        <v>-4.5904615610439566E-3</v>
      </c>
      <c r="L192" s="6">
        <f t="shared" si="35"/>
        <v>1.1393284747523526E-2</v>
      </c>
      <c r="M192" s="6">
        <f t="shared" si="29"/>
        <v>5.7637472026845571E-3</v>
      </c>
      <c r="N192" s="6">
        <f t="shared" si="31"/>
        <v>1.1641104408194052E-3</v>
      </c>
      <c r="O192" s="6">
        <f t="shared" si="30"/>
        <v>0</v>
      </c>
      <c r="P192" s="6"/>
      <c r="Q192" s="6">
        <f t="shared" si="32"/>
        <v>7.319794057533734E-3</v>
      </c>
      <c r="R192" s="6"/>
      <c r="Z192" s="38"/>
    </row>
    <row r="193" spans="1:26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25"/>
        <v>1.9974942225231551E-4</v>
      </c>
      <c r="J193" s="6">
        <f t="shared" si="33"/>
        <v>6.1431644627328542E-3</v>
      </c>
      <c r="K193" s="6">
        <f t="shared" si="34"/>
        <v>-7.3248867997968373E-3</v>
      </c>
      <c r="L193" s="6">
        <f t="shared" si="35"/>
        <v>-4.6015528245516947E-2</v>
      </c>
      <c r="M193" s="6">
        <f t="shared" si="29"/>
        <v>6.8728485226429662E-3</v>
      </c>
      <c r="N193" s="6">
        <f t="shared" si="31"/>
        <v>9.159960683443537E-4</v>
      </c>
      <c r="O193" s="6">
        <f t="shared" si="30"/>
        <v>-1.9034517846585846E-3</v>
      </c>
      <c r="P193" s="6"/>
      <c r="Q193" s="6">
        <f t="shared" si="32"/>
        <v>-1.7814763191262017E-2</v>
      </c>
      <c r="R193" s="6"/>
      <c r="Z193" s="38"/>
    </row>
    <row r="194" spans="1:26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25"/>
        <v>2.0165193919474689E-4</v>
      </c>
      <c r="J194" s="6">
        <f t="shared" si="33"/>
        <v>6.8338906269820778E-3</v>
      </c>
      <c r="K194" s="6">
        <f t="shared" si="34"/>
        <v>5.4192175886679812E-3</v>
      </c>
      <c r="L194" s="6">
        <f t="shared" si="35"/>
        <v>1.9944982273812171E-2</v>
      </c>
      <c r="M194" s="6">
        <f t="shared" si="29"/>
        <v>-1.4372182648414963E-2</v>
      </c>
      <c r="N194" s="6">
        <f t="shared" si="31"/>
        <v>2.498698327390512E-3</v>
      </c>
      <c r="O194" s="6">
        <f t="shared" si="30"/>
        <v>9.4794456212845372E-3</v>
      </c>
      <c r="P194" s="6"/>
      <c r="Q194" s="6">
        <f t="shared" si="32"/>
        <v>5.5562935571808443E-3</v>
      </c>
      <c r="R194" s="6"/>
      <c r="Z194" s="38"/>
    </row>
    <row r="195" spans="1:26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ref="H195:H254" si="36">+(1+G195)^(1/250)-1</f>
        <v>2.0127150788695758E-4</v>
      </c>
      <c r="J195" s="6">
        <f t="shared" ref="J195:J226" si="37">LN(B195/B194)</f>
        <v>-7.5669526869904195E-3</v>
      </c>
      <c r="K195" s="6">
        <f t="shared" ref="K195:K226" si="38">LN(C195/C194)</f>
        <v>1.4295762641888972E-3</v>
      </c>
      <c r="L195" s="6">
        <f t="shared" ref="L195:L226" si="39">LN(D195/D194)</f>
        <v>-6.0830483624738684E-3</v>
      </c>
      <c r="M195" s="6">
        <f t="shared" ref="M195:M226" si="40">LN(E195/E194)</f>
        <v>1.3229934834084765E-2</v>
      </c>
      <c r="N195" s="6">
        <f t="shared" si="31"/>
        <v>-2.7097176835470336E-3</v>
      </c>
      <c r="O195" s="6">
        <f t="shared" ref="O195:O254" si="41">LN(H195/H194)</f>
        <v>-1.8883558333109205E-3</v>
      </c>
      <c r="P195" s="6"/>
      <c r="Q195" s="6">
        <f t="shared" si="32"/>
        <v>3.4334284752047476E-4</v>
      </c>
      <c r="R195" s="6"/>
      <c r="Z195" s="38"/>
    </row>
    <row r="196" spans="1:26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si="36"/>
        <v>2.0127150788695758E-4</v>
      </c>
      <c r="J196" s="6">
        <f t="shared" si="37"/>
        <v>-2.128302424671985E-2</v>
      </c>
      <c r="K196" s="6">
        <f t="shared" si="38"/>
        <v>-1.454975939193497E-2</v>
      </c>
      <c r="L196" s="6">
        <f t="shared" si="39"/>
        <v>-7.0339066105817626E-3</v>
      </c>
      <c r="M196" s="6">
        <f t="shared" si="40"/>
        <v>-1.7157346722541096E-3</v>
      </c>
      <c r="N196" s="6">
        <f t="shared" ref="N196:N254" si="42">LN(F196/F195)</f>
        <v>-7.4081767856449404E-3</v>
      </c>
      <c r="O196" s="6">
        <f t="shared" si="41"/>
        <v>0</v>
      </c>
      <c r="P196" s="6"/>
      <c r="Q196" s="6">
        <f t="shared" ref="Q196:Q254" si="43">+SUMPRODUCT($T$16:$W$16,J196:M196)</f>
        <v>-7.8742676455472293E-3</v>
      </c>
      <c r="R196" s="6"/>
      <c r="Z196" s="38"/>
    </row>
    <row r="197" spans="1:26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36"/>
        <v>1.9898816309771306E-4</v>
      </c>
      <c r="J197" s="6">
        <f t="shared" si="37"/>
        <v>1.6452046082168593E-2</v>
      </c>
      <c r="K197" s="6">
        <f t="shared" si="38"/>
        <v>-1.4505435120728959E-3</v>
      </c>
      <c r="L197" s="6">
        <f t="shared" si="39"/>
        <v>1.9063546062445577E-2</v>
      </c>
      <c r="M197" s="6">
        <f t="shared" si="40"/>
        <v>1.7157346722542091E-3</v>
      </c>
      <c r="N197" s="6">
        <f t="shared" si="42"/>
        <v>6.9765789150719763E-3</v>
      </c>
      <c r="O197" s="6">
        <f t="shared" si="41"/>
        <v>-1.1409441041977197E-2</v>
      </c>
      <c r="P197" s="6"/>
      <c r="Q197" s="6">
        <f t="shared" si="43"/>
        <v>1.2547245261363745E-2</v>
      </c>
      <c r="R197" s="6"/>
      <c r="Z197" s="38"/>
    </row>
    <row r="198" spans="1:26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36"/>
        <v>2.0012999773522111E-4</v>
      </c>
      <c r="J198" s="6">
        <f t="shared" si="37"/>
        <v>5.2749355993220789E-5</v>
      </c>
      <c r="K198" s="6">
        <f t="shared" si="38"/>
        <v>-2.907479760967422E-3</v>
      </c>
      <c r="L198" s="6">
        <f t="shared" si="39"/>
        <v>-6.0468730383955328E-3</v>
      </c>
      <c r="M198" s="6">
        <f t="shared" si="40"/>
        <v>-1.3229934834084642E-2</v>
      </c>
      <c r="N198" s="6">
        <f t="shared" si="42"/>
        <v>2.4880404548013993E-4</v>
      </c>
      <c r="O198" s="6">
        <f t="shared" si="41"/>
        <v>5.7218030386620624E-3</v>
      </c>
      <c r="P198" s="6"/>
      <c r="Q198" s="6">
        <f t="shared" si="43"/>
        <v>-7.3908711236580684E-3</v>
      </c>
      <c r="R198" s="6"/>
      <c r="Z198" s="38"/>
    </row>
    <row r="199" spans="1:26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36"/>
        <v>2.0051053716385603E-4</v>
      </c>
      <c r="J199" s="6">
        <f t="shared" si="37"/>
        <v>1.5777000232845243E-3</v>
      </c>
      <c r="K199" s="6">
        <f t="shared" si="38"/>
        <v>-1.9429887302046369E-3</v>
      </c>
      <c r="L199" s="6">
        <f t="shared" si="39"/>
        <v>-6.99180300416376E-3</v>
      </c>
      <c r="M199" s="6">
        <f t="shared" si="40"/>
        <v>-8.7235267318123977E-3</v>
      </c>
      <c r="N199" s="6">
        <f t="shared" si="42"/>
        <v>-7.3943469365055463E-3</v>
      </c>
      <c r="O199" s="6">
        <f t="shared" si="41"/>
        <v>1.8996557258902202E-3</v>
      </c>
      <c r="P199" s="6"/>
      <c r="Q199" s="6">
        <f t="shared" si="43"/>
        <v>-5.9771248534301585E-3</v>
      </c>
      <c r="R199" s="6"/>
      <c r="Z199" s="38"/>
    </row>
    <row r="200" spans="1:26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36"/>
        <v>2.0089104054554774E-4</v>
      </c>
      <c r="J200" s="6">
        <f t="shared" si="37"/>
        <v>5.2413568168104213E-3</v>
      </c>
      <c r="K200" s="6">
        <f t="shared" si="38"/>
        <v>4.3664643547632167E-3</v>
      </c>
      <c r="L200" s="6">
        <f t="shared" si="39"/>
        <v>6.1393658971166812E-3</v>
      </c>
      <c r="M200" s="6">
        <f t="shared" si="40"/>
        <v>2.8787286268958209E-2</v>
      </c>
      <c r="N200" s="6">
        <f t="shared" si="42"/>
        <v>-5.9929167225422977E-3</v>
      </c>
      <c r="O200" s="6">
        <f t="shared" si="41"/>
        <v>1.8958744399290306E-3</v>
      </c>
      <c r="P200" s="6"/>
      <c r="Q200" s="6">
        <f t="shared" si="43"/>
        <v>1.3834262709941843E-2</v>
      </c>
      <c r="R200" s="6"/>
      <c r="Z200" s="38"/>
    </row>
    <row r="201" spans="1:26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36"/>
        <v>2.0051053716385603E-4</v>
      </c>
      <c r="J201" s="6">
        <f t="shared" si="37"/>
        <v>5.0060225548219234E-3</v>
      </c>
      <c r="K201" s="6">
        <f t="shared" si="38"/>
        <v>1.537262663889283E-2</v>
      </c>
      <c r="L201" s="6">
        <f t="shared" si="39"/>
        <v>1.6419907185533298E-2</v>
      </c>
      <c r="M201" s="6">
        <f t="shared" si="40"/>
        <v>3.3485178750257492E-2</v>
      </c>
      <c r="N201" s="6">
        <f t="shared" si="42"/>
        <v>7.9958649115222311E-3</v>
      </c>
      <c r="O201" s="6">
        <f t="shared" si="41"/>
        <v>-1.8958744399290869E-3</v>
      </c>
      <c r="P201" s="6"/>
      <c r="Q201" s="6">
        <f t="shared" si="43"/>
        <v>2.0193252436246183E-2</v>
      </c>
      <c r="R201" s="6"/>
      <c r="Z201" s="38"/>
    </row>
    <row r="202" spans="1:26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36"/>
        <v>2.0127150788695758E-4</v>
      </c>
      <c r="J202" s="6">
        <f t="shared" si="37"/>
        <v>9.2161623911649945E-3</v>
      </c>
      <c r="K202" s="6">
        <f t="shared" si="38"/>
        <v>0</v>
      </c>
      <c r="L202" s="6">
        <f t="shared" si="39"/>
        <v>-4.0053977401266682E-3</v>
      </c>
      <c r="M202" s="6">
        <f t="shared" si="40"/>
        <v>-1.1592695309031092E-2</v>
      </c>
      <c r="N202" s="6">
        <f t="shared" si="42"/>
        <v>1.1154342969859781E-3</v>
      </c>
      <c r="O202" s="6">
        <f t="shared" si="41"/>
        <v>3.7879822774248887E-3</v>
      </c>
      <c r="P202" s="6"/>
      <c r="Q202" s="6">
        <f t="shared" si="43"/>
        <v>-4.1467378239734495E-3</v>
      </c>
      <c r="R202" s="6"/>
      <c r="Z202" s="38"/>
    </row>
    <row r="203" spans="1:26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36"/>
        <v>2.0279301698633567E-4</v>
      </c>
      <c r="J203" s="6">
        <f t="shared" si="37"/>
        <v>1.6479275844381797E-3</v>
      </c>
      <c r="K203" s="6">
        <f t="shared" si="38"/>
        <v>1.5922092232906072E-2</v>
      </c>
      <c r="L203" s="6">
        <f t="shared" si="39"/>
        <v>-1.3267754604042227E-2</v>
      </c>
      <c r="M203" s="6">
        <f t="shared" si="40"/>
        <v>1.8702397437831947E-2</v>
      </c>
      <c r="N203" s="6">
        <f t="shared" si="42"/>
        <v>1.5016920495655548E-3</v>
      </c>
      <c r="O203" s="6">
        <f t="shared" si="41"/>
        <v>7.5310560416541605E-3</v>
      </c>
      <c r="P203" s="6"/>
      <c r="Q203" s="6">
        <f t="shared" si="43"/>
        <v>6.4626181025234306E-4</v>
      </c>
      <c r="R203" s="6"/>
      <c r="Z203" s="38"/>
    </row>
    <row r="204" spans="1:26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36"/>
        <v>2.0317330422892077E-4</v>
      </c>
      <c r="J204" s="6">
        <f t="shared" si="37"/>
        <v>7.7904722351031866E-3</v>
      </c>
      <c r="K204" s="6">
        <f t="shared" si="38"/>
        <v>-3.1287359214828865E-4</v>
      </c>
      <c r="L204" s="6">
        <f t="shared" si="39"/>
        <v>-9.5859227382981537E-3</v>
      </c>
      <c r="M204" s="6">
        <f t="shared" si="40"/>
        <v>-2.7285349047250127E-3</v>
      </c>
      <c r="N204" s="6">
        <f t="shared" si="42"/>
        <v>1.1778026448059028E-2</v>
      </c>
      <c r="O204" s="6">
        <f t="shared" si="41"/>
        <v>1.8734921294942879E-3</v>
      </c>
      <c r="P204" s="6"/>
      <c r="Q204" s="6">
        <f t="shared" si="43"/>
        <v>-3.928004913288337E-3</v>
      </c>
      <c r="R204" s="6"/>
      <c r="Z204" s="38"/>
    </row>
    <row r="205" spans="1:26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36"/>
        <v>2.0317330422892077E-4</v>
      </c>
      <c r="J205" s="6">
        <f t="shared" si="37"/>
        <v>-7.121864915451831E-3</v>
      </c>
      <c r="K205" s="6">
        <f t="shared" si="38"/>
        <v>3.5918669636785371E-3</v>
      </c>
      <c r="L205" s="6">
        <f t="shared" si="39"/>
        <v>-1.7757906147097171E-3</v>
      </c>
      <c r="M205" s="6">
        <f t="shared" si="40"/>
        <v>-1.0934242170624129E-3</v>
      </c>
      <c r="N205" s="6">
        <f t="shared" si="42"/>
        <v>-1.9986943175659869E-4</v>
      </c>
      <c r="O205" s="6">
        <f t="shared" si="41"/>
        <v>0</v>
      </c>
      <c r="P205" s="6"/>
      <c r="Q205" s="6">
        <f t="shared" si="43"/>
        <v>-2.5469861461701964E-3</v>
      </c>
      <c r="R205" s="6"/>
      <c r="Z205" s="38"/>
    </row>
    <row r="206" spans="1:26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36"/>
        <v>2.0317330422892077E-4</v>
      </c>
      <c r="J206" s="6">
        <f t="shared" si="37"/>
        <v>1.2315935510636394E-2</v>
      </c>
      <c r="K206" s="6">
        <f t="shared" si="38"/>
        <v>-3.748245865629597E-3</v>
      </c>
      <c r="L206" s="6">
        <f t="shared" si="39"/>
        <v>1.5320518573155651E-2</v>
      </c>
      <c r="M206" s="6">
        <f t="shared" si="40"/>
        <v>-9.8955551720559757E-3</v>
      </c>
      <c r="N206" s="6">
        <f t="shared" si="42"/>
        <v>-1.1158931807150971E-3</v>
      </c>
      <c r="O206" s="6">
        <f t="shared" si="41"/>
        <v>0</v>
      </c>
      <c r="P206" s="6"/>
      <c r="Q206" s="6">
        <f t="shared" si="43"/>
        <v>5.9979248995054059E-3</v>
      </c>
      <c r="R206" s="6"/>
      <c r="Z206" s="38"/>
    </row>
    <row r="207" spans="1:26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36"/>
        <v>2.0355355547230225E-4</v>
      </c>
      <c r="J207" s="6">
        <f t="shared" si="37"/>
        <v>-1.9333515601065478E-2</v>
      </c>
      <c r="K207" s="6">
        <f t="shared" si="38"/>
        <v>-5.0196004719991047E-3</v>
      </c>
      <c r="L207" s="6">
        <f t="shared" si="39"/>
        <v>-1.7018402117130581E-3</v>
      </c>
      <c r="M207" s="6">
        <f t="shared" si="40"/>
        <v>-1.3348415321843266E-2</v>
      </c>
      <c r="N207" s="6">
        <f t="shared" si="42"/>
        <v>2.5775665246065955E-3</v>
      </c>
      <c r="O207" s="6">
        <f t="shared" si="41"/>
        <v>1.8698118656184917E-3</v>
      </c>
      <c r="P207" s="6"/>
      <c r="Q207" s="6">
        <f t="shared" si="43"/>
        <v>-9.0708899573812094E-3</v>
      </c>
      <c r="R207" s="6"/>
      <c r="Z207" s="38"/>
    </row>
    <row r="208" spans="1:26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36"/>
        <v>2.0241269373766357E-4</v>
      </c>
      <c r="J208" s="6">
        <f t="shared" si="37"/>
        <v>7.0131414104475584E-2</v>
      </c>
      <c r="K208" s="6">
        <f t="shared" si="38"/>
        <v>-6.2929080548693986E-4</v>
      </c>
      <c r="L208" s="6">
        <f t="shared" si="39"/>
        <v>-2.6653349995766375E-2</v>
      </c>
      <c r="M208" s="6">
        <f t="shared" si="40"/>
        <v>0</v>
      </c>
      <c r="N208" s="6">
        <f t="shared" si="42"/>
        <v>2.7067548434573357E-3</v>
      </c>
      <c r="O208" s="6">
        <f t="shared" si="41"/>
        <v>-5.6204905711627999E-3</v>
      </c>
      <c r="P208" s="6"/>
      <c r="Q208" s="6">
        <f t="shared" si="43"/>
        <v>8.529852526261289E-4</v>
      </c>
      <c r="R208" s="6"/>
      <c r="Z208" s="38"/>
    </row>
    <row r="209" spans="1:26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36"/>
        <v>2.0203233447624314E-4</v>
      </c>
      <c r="J209" s="6">
        <f t="shared" si="37"/>
        <v>2.8177683832117249E-2</v>
      </c>
      <c r="K209" s="6">
        <f t="shared" si="38"/>
        <v>-1.0598781521427382E-2</v>
      </c>
      <c r="L209" s="6">
        <f t="shared" si="39"/>
        <v>-1.4667664855327797E-2</v>
      </c>
      <c r="M209" s="6">
        <f t="shared" si="40"/>
        <v>-1.4096584264906203E-2</v>
      </c>
      <c r="N209" s="6">
        <f t="shared" si="42"/>
        <v>8.4677271718827819E-3</v>
      </c>
      <c r="O209" s="6">
        <f t="shared" si="41"/>
        <v>-1.8808952862412942E-3</v>
      </c>
      <c r="P209" s="6"/>
      <c r="Q209" s="6">
        <f t="shared" si="43"/>
        <v>-6.3897718111029234E-3</v>
      </c>
      <c r="R209" s="6"/>
      <c r="Z209" s="38"/>
    </row>
    <row r="210" spans="1:26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36"/>
        <v>2.0051053716385603E-4</v>
      </c>
      <c r="J210" s="6">
        <f t="shared" si="37"/>
        <v>5.4761020107099078E-3</v>
      </c>
      <c r="K210" s="6">
        <f t="shared" si="38"/>
        <v>1.7478507559406556E-3</v>
      </c>
      <c r="L210" s="6">
        <f t="shared" si="39"/>
        <v>1.1059628683795456E-2</v>
      </c>
      <c r="M210" s="6">
        <f t="shared" si="40"/>
        <v>3.4012621492683047E-3</v>
      </c>
      <c r="N210" s="6">
        <f t="shared" si="42"/>
        <v>2.341828672305396E-3</v>
      </c>
      <c r="O210" s="6">
        <f t="shared" si="41"/>
        <v>-7.5609564567877055E-3</v>
      </c>
      <c r="P210" s="6"/>
      <c r="Q210" s="6">
        <f t="shared" si="43"/>
        <v>7.3474282749765854E-3</v>
      </c>
      <c r="R210" s="6"/>
      <c r="Z210" s="38"/>
    </row>
    <row r="211" spans="1:26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36"/>
        <v>1.9936881070892198E-4</v>
      </c>
      <c r="J211" s="6">
        <f t="shared" si="37"/>
        <v>-8.2019263390725322E-3</v>
      </c>
      <c r="K211" s="6">
        <f t="shared" si="38"/>
        <v>7.1958738958610062E-4</v>
      </c>
      <c r="L211" s="6">
        <f t="shared" si="39"/>
        <v>6.1937429460877716E-4</v>
      </c>
      <c r="M211" s="6">
        <f t="shared" si="40"/>
        <v>-1.6992713126116508E-3</v>
      </c>
      <c r="N211" s="6">
        <f t="shared" si="42"/>
        <v>-3.9391312700216223E-4</v>
      </c>
      <c r="O211" s="6">
        <f t="shared" si="41"/>
        <v>-5.7103702078565256E-3</v>
      </c>
      <c r="P211" s="6"/>
      <c r="Q211" s="6">
        <f t="shared" si="43"/>
        <v>-1.8492326562906392E-3</v>
      </c>
      <c r="R211" s="6"/>
      <c r="Z211" s="38"/>
    </row>
    <row r="212" spans="1:26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36"/>
        <v>1.9822675964520364E-4</v>
      </c>
      <c r="J212" s="6">
        <f t="shared" si="37"/>
        <v>1.948047725735666E-2</v>
      </c>
      <c r="K212" s="6">
        <f t="shared" si="38"/>
        <v>1.1184790032108326E-3</v>
      </c>
      <c r="L212" s="6">
        <f t="shared" si="39"/>
        <v>6.1735082056717516E-3</v>
      </c>
      <c r="M212" s="6">
        <f t="shared" si="40"/>
        <v>1.6992713126115697E-3</v>
      </c>
      <c r="N212" s="6">
        <f t="shared" si="42"/>
        <v>7.6351859201040807E-3</v>
      </c>
      <c r="O212" s="6">
        <f t="shared" si="41"/>
        <v>-5.7448034624890849E-3</v>
      </c>
      <c r="P212" s="6"/>
      <c r="Q212" s="6">
        <f t="shared" si="43"/>
        <v>7.1292500086807126E-3</v>
      </c>
      <c r="R212" s="6"/>
      <c r="Z212" s="38"/>
    </row>
    <row r="213" spans="1:26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36"/>
        <v>1.9822675964520364E-4</v>
      </c>
      <c r="J213" s="6">
        <f t="shared" si="37"/>
        <v>-1.1045270681009117E-2</v>
      </c>
      <c r="K213" s="6">
        <f t="shared" si="38"/>
        <v>1.5971257518978638E-4</v>
      </c>
      <c r="L213" s="6">
        <f t="shared" si="39"/>
        <v>1.030672096955205E-2</v>
      </c>
      <c r="M213" s="6">
        <f t="shared" si="40"/>
        <v>2.1277351283956945E-2</v>
      </c>
      <c r="N213" s="6">
        <f t="shared" si="42"/>
        <v>2.5181897678469146E-3</v>
      </c>
      <c r="O213" s="6">
        <f t="shared" si="41"/>
        <v>0</v>
      </c>
      <c r="P213" s="6"/>
      <c r="Q213" s="6">
        <f t="shared" si="43"/>
        <v>1.0089684058280046E-2</v>
      </c>
      <c r="R213" s="6"/>
      <c r="Z213" s="38"/>
    </row>
    <row r="214" spans="1:26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36"/>
        <v>2.0165193919474689E-4</v>
      </c>
      <c r="J214" s="6">
        <f t="shared" si="37"/>
        <v>-2.1747631659808291E-2</v>
      </c>
      <c r="K214" s="6">
        <f t="shared" si="38"/>
        <v>-7.2110078735026766E-3</v>
      </c>
      <c r="L214" s="6">
        <f t="shared" si="39"/>
        <v>8.4414315435738397E-3</v>
      </c>
      <c r="M214" s="6">
        <f t="shared" si="40"/>
        <v>3.3186565462668526E-3</v>
      </c>
      <c r="N214" s="6">
        <f t="shared" si="42"/>
        <v>-2.5291522760688338E-3</v>
      </c>
      <c r="O214" s="6">
        <f t="shared" si="41"/>
        <v>1.7131511781081622E-2</v>
      </c>
      <c r="P214" s="6"/>
      <c r="Q214" s="6">
        <f t="shared" si="43"/>
        <v>9.6968092913597486E-4</v>
      </c>
      <c r="R214" s="6"/>
      <c r="Z214" s="38"/>
    </row>
    <row r="215" spans="1:26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36"/>
        <v>2.0127150788695758E-4</v>
      </c>
      <c r="J215" s="6">
        <f t="shared" si="37"/>
        <v>-1.0499345697948081E-2</v>
      </c>
      <c r="K215" s="6">
        <f t="shared" si="38"/>
        <v>9.443847698832648E-3</v>
      </c>
      <c r="L215" s="6">
        <f t="shared" si="39"/>
        <v>-1.2001025271443897E-2</v>
      </c>
      <c r="M215" s="6">
        <f t="shared" si="40"/>
        <v>1.588635415691966E-2</v>
      </c>
      <c r="N215" s="6">
        <f t="shared" si="42"/>
        <v>-1.5633874377691908E-3</v>
      </c>
      <c r="O215" s="6">
        <f t="shared" si="41"/>
        <v>-1.8883558333109205E-3</v>
      </c>
      <c r="P215" s="6"/>
      <c r="Q215" s="6">
        <f t="shared" si="43"/>
        <v>-2.0342613642768655E-3</v>
      </c>
      <c r="R215" s="6"/>
      <c r="Z215" s="38"/>
    </row>
    <row r="216" spans="1:26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36"/>
        <v>2.0165193919474689E-4</v>
      </c>
      <c r="J216" s="6">
        <f t="shared" si="37"/>
        <v>3.1277001097442104E-3</v>
      </c>
      <c r="K216" s="6">
        <f t="shared" si="38"/>
        <v>1.8936986764933515E-2</v>
      </c>
      <c r="L216" s="6">
        <f t="shared" si="39"/>
        <v>1.305751761044515E-2</v>
      </c>
      <c r="M216" s="6">
        <f t="shared" si="40"/>
        <v>1.3495526138129172E-2</v>
      </c>
      <c r="N216" s="6">
        <f t="shared" si="42"/>
        <v>-3.0698792218004059E-3</v>
      </c>
      <c r="O216" s="6">
        <f t="shared" si="41"/>
        <v>1.8883558333109866E-3</v>
      </c>
      <c r="P216" s="6"/>
      <c r="Q216" s="6">
        <f t="shared" si="43"/>
        <v>1.1337088931069723E-2</v>
      </c>
      <c r="R216" s="6"/>
      <c r="Z216" s="38"/>
    </row>
    <row r="217" spans="1:26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36"/>
        <v>2.0012999773522111E-4</v>
      </c>
      <c r="J217" s="6">
        <f t="shared" si="37"/>
        <v>4.4582669163491413E-3</v>
      </c>
      <c r="K217" s="6">
        <f t="shared" si="38"/>
        <v>-2.0342859528205111E-3</v>
      </c>
      <c r="L217" s="6">
        <f t="shared" si="39"/>
        <v>-4.0810762745116238E-3</v>
      </c>
      <c r="M217" s="6">
        <f t="shared" si="40"/>
        <v>2.1425562712271934E-3</v>
      </c>
      <c r="N217" s="6">
        <f t="shared" si="42"/>
        <v>3.9259309005764296E-3</v>
      </c>
      <c r="O217" s="6">
        <f t="shared" si="41"/>
        <v>-7.5759938366260346E-3</v>
      </c>
      <c r="P217" s="6"/>
      <c r="Q217" s="6">
        <f t="shared" si="43"/>
        <v>-3.0967618252215651E-4</v>
      </c>
      <c r="R217" s="6"/>
      <c r="Z217" s="38"/>
    </row>
    <row r="218" spans="1:26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36"/>
        <v>1.9784600378991435E-4</v>
      </c>
      <c r="J218" s="6">
        <f t="shared" si="37"/>
        <v>1.9796003669469535E-2</v>
      </c>
      <c r="K218" s="6">
        <f t="shared" si="38"/>
        <v>3.2841220395962312E-3</v>
      </c>
      <c r="L218" s="6">
        <f t="shared" si="39"/>
        <v>-3.2364976607338002E-3</v>
      </c>
      <c r="M218" s="6">
        <f t="shared" si="40"/>
        <v>3.738273476931629E-3</v>
      </c>
      <c r="N218" s="6">
        <f t="shared" si="42"/>
        <v>1.5711783413408377E-3</v>
      </c>
      <c r="O218" s="6">
        <f t="shared" si="41"/>
        <v>-1.1478174626420291E-2</v>
      </c>
      <c r="P218" s="6"/>
      <c r="Q218" s="6">
        <f t="shared" si="43"/>
        <v>3.5287844338486307E-3</v>
      </c>
      <c r="R218" s="6"/>
      <c r="Z218" s="38"/>
    </row>
    <row r="219" spans="1:26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36"/>
        <v>1.9784600378991435E-4</v>
      </c>
      <c r="J219" s="6">
        <f t="shared" si="37"/>
        <v>3.9780687953256729E-3</v>
      </c>
      <c r="K219" s="6">
        <f t="shared" si="38"/>
        <v>-2.1882315189594016E-3</v>
      </c>
      <c r="L219" s="6">
        <f t="shared" si="39"/>
        <v>8.7746980951394233E-3</v>
      </c>
      <c r="M219" s="6">
        <f t="shared" si="40"/>
        <v>-5.3329250387106324E-4</v>
      </c>
      <c r="N219" s="6">
        <f t="shared" si="42"/>
        <v>9.068706560974762E-4</v>
      </c>
      <c r="O219" s="6">
        <f t="shared" si="41"/>
        <v>0</v>
      </c>
      <c r="P219" s="6"/>
      <c r="Q219" s="6">
        <f t="shared" si="43"/>
        <v>4.6380737241741759E-3</v>
      </c>
      <c r="R219" s="6"/>
      <c r="Z219" s="38"/>
    </row>
    <row r="220" spans="1:26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36"/>
        <v>1.9936881070892198E-4</v>
      </c>
      <c r="J220" s="6">
        <f t="shared" si="37"/>
        <v>-1.6387734624486144E-2</v>
      </c>
      <c r="K220" s="6">
        <f t="shared" si="38"/>
        <v>-4.0764872369371159E-3</v>
      </c>
      <c r="L220" s="6">
        <f t="shared" si="39"/>
        <v>1.5395245178859948E-2</v>
      </c>
      <c r="M220" s="6">
        <f t="shared" si="40"/>
        <v>1.901802869604308E-2</v>
      </c>
      <c r="N220" s="6">
        <f t="shared" si="42"/>
        <v>-4.0919885121458088E-3</v>
      </c>
      <c r="O220" s="6">
        <f t="shared" si="41"/>
        <v>7.6674601444540157E-3</v>
      </c>
      <c r="P220" s="6"/>
      <c r="Q220" s="6">
        <f t="shared" si="43"/>
        <v>1.0659718954943709E-2</v>
      </c>
      <c r="R220" s="6"/>
      <c r="Z220" s="38"/>
    </row>
    <row r="221" spans="1:26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36"/>
        <v>1.9860747941202739E-4</v>
      </c>
      <c r="J221" s="6">
        <f t="shared" si="37"/>
        <v>2.8689111628198698E-2</v>
      </c>
      <c r="K221" s="6">
        <f t="shared" si="38"/>
        <v>-5.8300487686362692E-3</v>
      </c>
      <c r="L221" s="6">
        <f t="shared" si="39"/>
        <v>1.5648710168294964E-2</v>
      </c>
      <c r="M221" s="6">
        <f t="shared" si="40"/>
        <v>-6.8259836239331134E-3</v>
      </c>
      <c r="N221" s="6">
        <f t="shared" si="42"/>
        <v>2.6720159429360979E-3</v>
      </c>
      <c r="O221" s="6">
        <f t="shared" si="41"/>
        <v>-3.8260180041707849E-3</v>
      </c>
      <c r="P221" s="6"/>
      <c r="Q221" s="6">
        <f t="shared" si="43"/>
        <v>1.0303724513212488E-2</v>
      </c>
      <c r="R221" s="6"/>
      <c r="Z221" s="38"/>
    </row>
    <row r="222" spans="1:26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36"/>
        <v>1.9860747941202739E-4</v>
      </c>
      <c r="J222" s="6">
        <f t="shared" si="37"/>
        <v>1.6109449297697549E-2</v>
      </c>
      <c r="K222" s="6">
        <f t="shared" si="38"/>
        <v>-2.0564271894918324E-3</v>
      </c>
      <c r="L222" s="6">
        <f t="shared" si="39"/>
        <v>1.6317826996333985E-2</v>
      </c>
      <c r="M222" s="6">
        <f t="shared" si="40"/>
        <v>-8.4656033871456007E-3</v>
      </c>
      <c r="N222" s="6">
        <f t="shared" si="42"/>
        <v>6.1762197767835335E-3</v>
      </c>
      <c r="O222" s="6">
        <f t="shared" si="41"/>
        <v>0</v>
      </c>
      <c r="P222" s="6"/>
      <c r="Q222" s="6">
        <f t="shared" si="43"/>
        <v>7.672760322897011E-3</v>
      </c>
      <c r="R222" s="6"/>
      <c r="Z222" s="38"/>
    </row>
    <row r="223" spans="1:26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36"/>
        <v>1.9898816309771306E-4</v>
      </c>
      <c r="J223" s="6">
        <f t="shared" si="37"/>
        <v>5.7942259479230023E-3</v>
      </c>
      <c r="K223" s="6">
        <f t="shared" si="38"/>
        <v>2.8463016418229037E-3</v>
      </c>
      <c r="L223" s="6">
        <f t="shared" si="39"/>
        <v>-6.7059033946733737E-4</v>
      </c>
      <c r="M223" s="6">
        <f t="shared" si="40"/>
        <v>-7.466713020734231E-3</v>
      </c>
      <c r="N223" s="6">
        <f t="shared" si="42"/>
        <v>5.0715161981972666E-3</v>
      </c>
      <c r="O223" s="6">
        <f t="shared" si="41"/>
        <v>1.9149294474749643E-3</v>
      </c>
      <c r="P223" s="6"/>
      <c r="Q223" s="6">
        <f t="shared" si="43"/>
        <v>-1.8113614088010317E-3</v>
      </c>
      <c r="R223" s="6"/>
      <c r="Z223" s="38"/>
    </row>
    <row r="224" spans="1:26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36"/>
        <v>1.9898816309771306E-4</v>
      </c>
      <c r="J224" s="6">
        <f t="shared" si="37"/>
        <v>2.1389960415288217E-2</v>
      </c>
      <c r="K224" s="6">
        <f t="shared" si="38"/>
        <v>6.7668210053826762E-3</v>
      </c>
      <c r="L224" s="6">
        <f t="shared" si="39"/>
        <v>-1.3339105875401823E-2</v>
      </c>
      <c r="M224" s="6">
        <f t="shared" si="40"/>
        <v>4.8064098657813409E-3</v>
      </c>
      <c r="N224" s="6">
        <f t="shared" si="42"/>
        <v>5.4339884131971751E-3</v>
      </c>
      <c r="O224" s="6">
        <f t="shared" si="41"/>
        <v>0</v>
      </c>
      <c r="P224" s="6"/>
      <c r="Q224" s="6">
        <f t="shared" si="43"/>
        <v>-4.8921851397274634E-4</v>
      </c>
      <c r="R224" s="6"/>
      <c r="Z224" s="38"/>
    </row>
    <row r="225" spans="1:26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36"/>
        <v>1.9898816309771306E-4</v>
      </c>
      <c r="J225" s="6">
        <f t="shared" si="37"/>
        <v>6.5176077697273217E-3</v>
      </c>
      <c r="K225" s="6">
        <f t="shared" si="38"/>
        <v>-1.2626414888283227E-2</v>
      </c>
      <c r="L225" s="6">
        <f t="shared" si="39"/>
        <v>1.8538643632364745E-3</v>
      </c>
      <c r="M225" s="6">
        <f t="shared" si="40"/>
        <v>2.1287652308458159E-3</v>
      </c>
      <c r="N225" s="6">
        <f t="shared" si="42"/>
        <v>1.0161544279964853E-3</v>
      </c>
      <c r="O225" s="6">
        <f t="shared" si="41"/>
        <v>0</v>
      </c>
      <c r="P225" s="6"/>
      <c r="Q225" s="6">
        <f t="shared" si="43"/>
        <v>2.828789323767132E-3</v>
      </c>
      <c r="R225" s="6"/>
      <c r="Z225" s="38"/>
    </row>
    <row r="226" spans="1:26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36"/>
        <v>1.9898816309771306E-4</v>
      </c>
      <c r="J226" s="6">
        <f t="shared" si="37"/>
        <v>3.7677515857849927E-3</v>
      </c>
      <c r="K226" s="6">
        <f t="shared" si="38"/>
        <v>-4.2976588916777241E-3</v>
      </c>
      <c r="L226" s="6">
        <f t="shared" si="39"/>
        <v>1.1918779573079451E-2</v>
      </c>
      <c r="M226" s="6">
        <f t="shared" si="40"/>
        <v>-5.3176661708070883E-4</v>
      </c>
      <c r="N226" s="6">
        <f t="shared" si="42"/>
        <v>7.4081850375864739E-4</v>
      </c>
      <c r="O226" s="6">
        <f t="shared" si="41"/>
        <v>0</v>
      </c>
      <c r="P226" s="6"/>
      <c r="Q226" s="6">
        <f t="shared" si="43"/>
        <v>6.0583794979160496E-3</v>
      </c>
      <c r="R226" s="6"/>
      <c r="Z226" s="38"/>
    </row>
    <row r="227" spans="1:26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36"/>
        <v>2.0012999773522111E-4</v>
      </c>
      <c r="J227" s="6">
        <f t="shared" ref="J227:J254" si="44">LN(B227/B226)</f>
        <v>1.8628964806476703E-2</v>
      </c>
      <c r="K227" s="6">
        <f t="shared" ref="K227:K254" si="45">LN(C227/C226)</f>
        <v>2.2307689124128954E-3</v>
      </c>
      <c r="L227" s="6">
        <f t="shared" ref="L227:L254" si="46">LN(D227/D226)</f>
        <v>8.1841949890559102E-4</v>
      </c>
      <c r="M227" s="6">
        <f t="shared" ref="M227:M254" si="47">LN(E227/E226)</f>
        <v>1.1701116052050159E-2</v>
      </c>
      <c r="N227" s="6">
        <f t="shared" si="42"/>
        <v>1.0156283642139425E-2</v>
      </c>
      <c r="O227" s="6">
        <f t="shared" si="41"/>
        <v>5.7218030386620624E-3</v>
      </c>
      <c r="P227" s="6"/>
      <c r="Q227" s="6">
        <f t="shared" si="43"/>
        <v>7.9559513963637137E-3</v>
      </c>
      <c r="R227" s="6"/>
      <c r="Z227" s="38"/>
    </row>
    <row r="228" spans="1:26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36"/>
        <v>1.9898816309771306E-4</v>
      </c>
      <c r="J228" s="6">
        <f t="shared" si="44"/>
        <v>-2.3494672238777499E-2</v>
      </c>
      <c r="K228" s="6">
        <f t="shared" si="45"/>
        <v>4.2880396046633875E-3</v>
      </c>
      <c r="L228" s="6">
        <f t="shared" si="46"/>
        <v>-1.6857607845247413E-3</v>
      </c>
      <c r="M228" s="6">
        <f t="shared" si="47"/>
        <v>6.3830534173032645E-3</v>
      </c>
      <c r="N228" s="6">
        <f t="shared" si="42"/>
        <v>-8.8016292301766504E-3</v>
      </c>
      <c r="O228" s="6">
        <f t="shared" si="41"/>
        <v>-5.7218030386620858E-3</v>
      </c>
      <c r="P228" s="6"/>
      <c r="Q228" s="6">
        <f t="shared" si="43"/>
        <v>-2.9965851727684015E-3</v>
      </c>
      <c r="R228" s="6"/>
      <c r="Z228" s="38"/>
    </row>
    <row r="229" spans="1:26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36"/>
        <v>1.9860747941202739E-4</v>
      </c>
      <c r="J229" s="6">
        <f t="shared" si="44"/>
        <v>1.2966442042243119E-2</v>
      </c>
      <c r="K229" s="6">
        <f t="shared" si="45"/>
        <v>9.4638404252588466E-3</v>
      </c>
      <c r="L229" s="6">
        <f t="shared" si="46"/>
        <v>-1.2173069187035165E-2</v>
      </c>
      <c r="M229" s="6">
        <f t="shared" si="47"/>
        <v>-2.6547400778527642E-3</v>
      </c>
      <c r="N229" s="6">
        <f t="shared" si="42"/>
        <v>5.5018536287759819E-3</v>
      </c>
      <c r="O229" s="6">
        <f t="shared" si="41"/>
        <v>-1.9149294474749528E-3</v>
      </c>
      <c r="P229" s="6"/>
      <c r="Q229" s="6">
        <f t="shared" si="43"/>
        <v>-4.1272338916125712E-3</v>
      </c>
      <c r="R229" s="6"/>
      <c r="Z229" s="38"/>
    </row>
    <row r="230" spans="1:26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36"/>
        <v>1.9898816309771306E-4</v>
      </c>
      <c r="J230" s="6">
        <f t="shared" si="44"/>
        <v>1.6604708169325119E-2</v>
      </c>
      <c r="K230" s="6">
        <f t="shared" si="45"/>
        <v>-4.563000564764429E-3</v>
      </c>
      <c r="L230" s="6">
        <f t="shared" si="46"/>
        <v>2.4628348767179134E-2</v>
      </c>
      <c r="M230" s="6">
        <f t="shared" si="47"/>
        <v>-1.2302856764034255E-2</v>
      </c>
      <c r="N230" s="6">
        <f t="shared" si="42"/>
        <v>2.822195662042845E-3</v>
      </c>
      <c r="O230" s="6">
        <f t="shared" si="41"/>
        <v>1.9149294474749643E-3</v>
      </c>
      <c r="P230" s="6"/>
      <c r="Q230" s="6">
        <f t="shared" si="43"/>
        <v>1.0291333046241986E-2</v>
      </c>
      <c r="R230" s="6"/>
      <c r="Z230" s="38"/>
    </row>
    <row r="231" spans="1:26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36"/>
        <v>1.9784600378991435E-4</v>
      </c>
      <c r="J231" s="6">
        <f t="shared" si="44"/>
        <v>1.7902506232981147E-3</v>
      </c>
      <c r="K231" s="6">
        <f t="shared" si="45"/>
        <v>1.3471334993176645E-2</v>
      </c>
      <c r="L231" s="6">
        <f t="shared" si="46"/>
        <v>1.6853100357796223E-2</v>
      </c>
      <c r="M231" s="6">
        <f t="shared" si="47"/>
        <v>1.4427180508327499E-2</v>
      </c>
      <c r="N231" s="6">
        <f t="shared" si="42"/>
        <v>6.3690536600414091E-3</v>
      </c>
      <c r="O231" s="6">
        <f t="shared" si="41"/>
        <v>-5.7563715877582003E-3</v>
      </c>
      <c r="P231" s="6"/>
      <c r="Q231" s="6">
        <f t="shared" si="43"/>
        <v>1.3170239121630194E-2</v>
      </c>
      <c r="R231" s="6"/>
      <c r="Z231" s="38"/>
    </row>
    <row r="232" spans="1:26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36"/>
        <v>1.9670351962641774E-4</v>
      </c>
      <c r="J232" s="6">
        <f t="shared" si="44"/>
        <v>-2.5621428783056767E-2</v>
      </c>
      <c r="K232" s="6">
        <f t="shared" si="45"/>
        <v>1.4519903364922418E-2</v>
      </c>
      <c r="L232" s="6">
        <f t="shared" si="46"/>
        <v>1.5099360369527649E-2</v>
      </c>
      <c r="M232" s="6">
        <f t="shared" si="47"/>
        <v>1.631185864869468E-2</v>
      </c>
      <c r="N232" s="6">
        <f t="shared" si="42"/>
        <v>-1.4025410555021933E-2</v>
      </c>
      <c r="O232" s="6">
        <f t="shared" si="41"/>
        <v>-5.7913508389068353E-3</v>
      </c>
      <c r="P232" s="6"/>
      <c r="Q232" s="6">
        <f t="shared" si="43"/>
        <v>7.8414356352753123E-3</v>
      </c>
      <c r="R232" s="6"/>
      <c r="Z232" s="38"/>
    </row>
    <row r="233" spans="1:26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36"/>
        <v>1.9670351962641774E-4</v>
      </c>
      <c r="J233" s="6">
        <f t="shared" si="44"/>
        <v>-2.074860964039351E-2</v>
      </c>
      <c r="K233" s="6">
        <f t="shared" si="45"/>
        <v>-3.067024540397419E-4</v>
      </c>
      <c r="L233" s="6">
        <f t="shared" si="46"/>
        <v>-3.2285803587666854E-2</v>
      </c>
      <c r="M233" s="6">
        <f t="shared" si="47"/>
        <v>-5.2205691605959625E-4</v>
      </c>
      <c r="N233" s="6">
        <f t="shared" si="42"/>
        <v>-7.8470804696827295E-3</v>
      </c>
      <c r="O233" s="6">
        <f t="shared" si="41"/>
        <v>0</v>
      </c>
      <c r="P233" s="6"/>
      <c r="Q233" s="6">
        <f t="shared" si="43"/>
        <v>-1.9080559938207172E-2</v>
      </c>
      <c r="R233" s="6"/>
      <c r="Z233" s="38"/>
    </row>
    <row r="234" spans="1:26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36"/>
        <v>1.9441757599203413E-4</v>
      </c>
      <c r="J234" s="6">
        <f t="shared" si="44"/>
        <v>5.7973336916425204E-4</v>
      </c>
      <c r="K234" s="6">
        <f t="shared" si="45"/>
        <v>1.5327868988235308E-3</v>
      </c>
      <c r="L234" s="6">
        <f t="shared" si="46"/>
        <v>-9.5291127080258486E-4</v>
      </c>
      <c r="M234" s="6">
        <f t="shared" si="47"/>
        <v>-1.5677557021459298E-3</v>
      </c>
      <c r="N234" s="6">
        <f t="shared" si="42"/>
        <v>-7.1659074070294041E-3</v>
      </c>
      <c r="O234" s="6">
        <f t="shared" si="41"/>
        <v>-1.1689319186543775E-2</v>
      </c>
      <c r="P234" s="6"/>
      <c r="Q234" s="6">
        <f t="shared" si="43"/>
        <v>-8.7738965332764514E-4</v>
      </c>
      <c r="R234" s="6"/>
      <c r="Z234" s="38"/>
    </row>
    <row r="235" spans="1:26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36"/>
        <v>1.9479865694971288E-4</v>
      </c>
      <c r="J235" s="6">
        <f t="shared" si="44"/>
        <v>-1.5614861566389346E-3</v>
      </c>
      <c r="K235" s="6">
        <f t="shared" si="45"/>
        <v>-7.9964136377382936E-3</v>
      </c>
      <c r="L235" s="6">
        <f t="shared" si="46"/>
        <v>2.3806134291241197E-3</v>
      </c>
      <c r="M235" s="6">
        <f t="shared" si="47"/>
        <v>-3.0265224779422156E-2</v>
      </c>
      <c r="N235" s="6">
        <f t="shared" si="42"/>
        <v>1.0734189165974961E-2</v>
      </c>
      <c r="O235" s="6">
        <f t="shared" si="41"/>
        <v>1.9581972548826181E-3</v>
      </c>
      <c r="P235" s="6"/>
      <c r="Q235" s="6">
        <f t="shared" si="43"/>
        <v>-9.6986764983629809E-3</v>
      </c>
      <c r="R235" s="6"/>
      <c r="Z235" s="38"/>
    </row>
    <row r="236" spans="1:26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36"/>
        <v>1.9594168295089531E-4</v>
      </c>
      <c r="J236" s="6">
        <f t="shared" si="44"/>
        <v>4.6772962161707281E-3</v>
      </c>
      <c r="K236" s="6">
        <f t="shared" si="45"/>
        <v>2.9291935822486634E-3</v>
      </c>
      <c r="L236" s="6">
        <f t="shared" si="46"/>
        <v>2.3776420016967354E-4</v>
      </c>
      <c r="M236" s="6">
        <f t="shared" si="47"/>
        <v>-1.8498896320453713E-2</v>
      </c>
      <c r="N236" s="6">
        <f t="shared" si="42"/>
        <v>-1.5593317997995005E-3</v>
      </c>
      <c r="O236" s="6">
        <f t="shared" si="41"/>
        <v>5.8505823170835261E-3</v>
      </c>
      <c r="P236" s="6"/>
      <c r="Q236" s="6">
        <f t="shared" si="43"/>
        <v>-5.4311457820506301E-3</v>
      </c>
      <c r="R236" s="6"/>
      <c r="Z236" s="38"/>
    </row>
    <row r="237" spans="1:26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36"/>
        <v>1.9556071042226009E-4</v>
      </c>
      <c r="J237" s="6">
        <f t="shared" si="44"/>
        <v>-2.9175802186708118E-2</v>
      </c>
      <c r="K237" s="6">
        <f t="shared" si="45"/>
        <v>1.3000091618175304E-2</v>
      </c>
      <c r="L237" s="6">
        <f t="shared" si="46"/>
        <v>-8.307151793191617E-3</v>
      </c>
      <c r="M237" s="6">
        <f t="shared" si="47"/>
        <v>5.0853933718081321E-2</v>
      </c>
      <c r="N237" s="6">
        <f t="shared" si="42"/>
        <v>-2.3421178443889513E-2</v>
      </c>
      <c r="O237" s="6">
        <f t="shared" si="41"/>
        <v>-1.9462085307038084E-3</v>
      </c>
      <c r="P237" s="6"/>
      <c r="Q237" s="6">
        <f t="shared" si="43"/>
        <v>8.3005595282027653E-3</v>
      </c>
      <c r="R237" s="6"/>
      <c r="Z237" s="38"/>
    </row>
    <row r="238" spans="1:26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36"/>
        <v>1.9174899651042132E-4</v>
      </c>
      <c r="J238" s="6">
        <f t="shared" si="44"/>
        <v>-4.8161042901711899E-3</v>
      </c>
      <c r="K238" s="6">
        <f t="shared" si="45"/>
        <v>3.943013964285107E-3</v>
      </c>
      <c r="L238" s="6">
        <f t="shared" si="46"/>
        <v>3.8346355812063522E-4</v>
      </c>
      <c r="M238" s="6">
        <f t="shared" si="47"/>
        <v>1.564589587366755E-3</v>
      </c>
      <c r="N238" s="6">
        <f t="shared" si="42"/>
        <v>-5.1559504042484414E-3</v>
      </c>
      <c r="O238" s="6">
        <f t="shared" si="41"/>
        <v>-1.9683663551158869E-2</v>
      </c>
      <c r="P238" s="6"/>
      <c r="Q238" s="6">
        <f t="shared" si="43"/>
        <v>-1.8691565858350962E-4</v>
      </c>
      <c r="R238" s="6"/>
      <c r="Z238" s="38"/>
    </row>
    <row r="239" spans="1:26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36"/>
        <v>1.9022329759033063E-4</v>
      </c>
      <c r="J239" s="6">
        <f t="shared" si="44"/>
        <v>2.1586660116600692E-3</v>
      </c>
      <c r="K239" s="6">
        <f t="shared" si="45"/>
        <v>1.4723868428621712E-2</v>
      </c>
      <c r="L239" s="6">
        <f t="shared" si="46"/>
        <v>1.6963686226937915E-2</v>
      </c>
      <c r="M239" s="6">
        <f t="shared" si="47"/>
        <v>-9.4242056297434203E-3</v>
      </c>
      <c r="N239" s="6">
        <f t="shared" si="42"/>
        <v>1.1029442312488889E-2</v>
      </c>
      <c r="O239" s="6">
        <f t="shared" si="41"/>
        <v>-7.9885743415427004E-3</v>
      </c>
      <c r="P239" s="6"/>
      <c r="Q239" s="6">
        <f t="shared" si="43"/>
        <v>5.0089159927437675E-3</v>
      </c>
      <c r="R239" s="6"/>
      <c r="Z239" s="38"/>
    </row>
    <row r="240" spans="1:26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36"/>
        <v>1.8946023076238383E-4</v>
      </c>
      <c r="J240" s="6">
        <f t="shared" si="44"/>
        <v>1.2838228252665619E-3</v>
      </c>
      <c r="K240" s="6">
        <f t="shared" si="45"/>
        <v>-3.2865430207580882E-3</v>
      </c>
      <c r="L240" s="6">
        <f t="shared" si="46"/>
        <v>-6.5707247389028478E-3</v>
      </c>
      <c r="M240" s="6">
        <f t="shared" si="47"/>
        <v>-5.8032344347412621E-3</v>
      </c>
      <c r="N240" s="6">
        <f t="shared" si="42"/>
        <v>8.129903108684501E-4</v>
      </c>
      <c r="O240" s="6">
        <f t="shared" si="41"/>
        <v>-4.0194941224900244E-3</v>
      </c>
      <c r="P240" s="6"/>
      <c r="Q240" s="6">
        <f t="shared" si="43"/>
        <v>-4.8230454237441697E-3</v>
      </c>
      <c r="R240" s="6"/>
      <c r="Z240" s="38"/>
    </row>
    <row r="241" spans="1:26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36"/>
        <v>1.8946023076238383E-4</v>
      </c>
      <c r="J241" s="6">
        <f t="shared" si="44"/>
        <v>2.562716177992965E-3</v>
      </c>
      <c r="K241" s="6">
        <f t="shared" si="45"/>
        <v>1.2638603848310002E-2</v>
      </c>
      <c r="L241" s="6">
        <f t="shared" si="46"/>
        <v>2.0374359451747755E-2</v>
      </c>
      <c r="M241" s="6">
        <f t="shared" si="47"/>
        <v>4.2238711161852434E-3</v>
      </c>
      <c r="N241" s="6">
        <f t="shared" si="42"/>
        <v>-4.9724964337360253E-3</v>
      </c>
      <c r="O241" s="6">
        <f t="shared" si="41"/>
        <v>0</v>
      </c>
      <c r="P241" s="6"/>
      <c r="Q241" s="6">
        <f t="shared" si="43"/>
        <v>1.1407438153400395E-2</v>
      </c>
      <c r="R241" s="6"/>
      <c r="Z241" s="38"/>
    </row>
    <row r="242" spans="1:26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36"/>
        <v>1.8946023076238383E-4</v>
      </c>
      <c r="J242" s="6">
        <f t="shared" si="44"/>
        <v>1.4879566390620118E-2</v>
      </c>
      <c r="K242" s="6">
        <f t="shared" si="45"/>
        <v>-1.3986271941776691E-2</v>
      </c>
      <c r="L242" s="6">
        <f t="shared" si="46"/>
        <v>-1.1168596535331227E-2</v>
      </c>
      <c r="M242" s="6">
        <f t="shared" si="47"/>
        <v>1.4125267552011362E-2</v>
      </c>
      <c r="N242" s="6">
        <f t="shared" si="42"/>
        <v>1.567000529191805E-2</v>
      </c>
      <c r="O242" s="6">
        <f t="shared" si="41"/>
        <v>0</v>
      </c>
      <c r="P242" s="6"/>
      <c r="Q242" s="6">
        <f t="shared" si="43"/>
        <v>2.5264681837728182E-3</v>
      </c>
      <c r="R242" s="6"/>
      <c r="Z242" s="38"/>
    </row>
    <row r="243" spans="1:26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36"/>
        <v>1.8984178229608517E-4</v>
      </c>
      <c r="J243" s="6">
        <f t="shared" si="44"/>
        <v>-1.6892595276606047E-2</v>
      </c>
      <c r="K243" s="6">
        <f t="shared" si="45"/>
        <v>1.8114838733001931E-2</v>
      </c>
      <c r="L243" s="6">
        <f t="shared" si="46"/>
        <v>-2.300698438939985E-2</v>
      </c>
      <c r="M243" s="6">
        <f t="shared" si="47"/>
        <v>1.1363707289245462E-2</v>
      </c>
      <c r="N243" s="6">
        <f t="shared" si="42"/>
        <v>-1.3788191433053192E-2</v>
      </c>
      <c r="O243" s="6">
        <f t="shared" si="41"/>
        <v>2.0118620479849911E-3</v>
      </c>
      <c r="P243" s="6"/>
      <c r="Q243" s="6">
        <f t="shared" si="43"/>
        <v>-9.9191171797789763E-3</v>
      </c>
      <c r="R243" s="6"/>
      <c r="Z243" s="38"/>
    </row>
    <row r="244" spans="1:26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36"/>
        <v>1.9022329759033063E-4</v>
      </c>
      <c r="J244" s="6">
        <f t="shared" si="44"/>
        <v>6.8458769114516189E-3</v>
      </c>
      <c r="K244" s="6">
        <f t="shared" si="45"/>
        <v>1.9958459712746134E-2</v>
      </c>
      <c r="L244" s="6">
        <f t="shared" si="46"/>
        <v>-4.3337697237488322E-2</v>
      </c>
      <c r="M244" s="6">
        <f t="shared" si="47"/>
        <v>-5.1492389779095047E-3</v>
      </c>
      <c r="N244" s="6">
        <f t="shared" si="42"/>
        <v>-1.8552885294602865E-2</v>
      </c>
      <c r="O244" s="6">
        <f t="shared" si="41"/>
        <v>2.0076320745050212E-3</v>
      </c>
      <c r="P244" s="6"/>
      <c r="Q244" s="6">
        <f t="shared" si="43"/>
        <v>-2.061377543672066E-2</v>
      </c>
      <c r="R244" s="6"/>
      <c r="Z244" s="38"/>
    </row>
    <row r="245" spans="1:26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36"/>
        <v>1.9060477665200359E-4</v>
      </c>
      <c r="J245" s="6">
        <f t="shared" si="44"/>
        <v>-4.936563304839342E-2</v>
      </c>
      <c r="K245" s="6">
        <f t="shared" si="45"/>
        <v>-1.7900558015048668E-2</v>
      </c>
      <c r="L245" s="6">
        <f t="shared" si="46"/>
        <v>-2.1521514209848672E-2</v>
      </c>
      <c r="M245" s="6">
        <f t="shared" si="47"/>
        <v>-2.4034646374763047E-2</v>
      </c>
      <c r="N245" s="6">
        <f t="shared" si="42"/>
        <v>-3.0427045496882188E-2</v>
      </c>
      <c r="O245" s="6">
        <f t="shared" si="41"/>
        <v>2.0034194696742034E-3</v>
      </c>
      <c r="P245" s="6"/>
      <c r="Q245" s="6">
        <f t="shared" si="43"/>
        <v>-2.7644895728941014E-2</v>
      </c>
      <c r="R245" s="6"/>
      <c r="Z245" s="38"/>
    </row>
    <row r="246" spans="1:26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36"/>
        <v>1.8946023076238383E-4</v>
      </c>
      <c r="J246" s="6">
        <f t="shared" si="44"/>
        <v>-9.7960810695936606E-3</v>
      </c>
      <c r="K246" s="6">
        <f t="shared" si="45"/>
        <v>-7.3441060418495512E-4</v>
      </c>
      <c r="L246" s="6">
        <f t="shared" si="46"/>
        <v>2.7529327489063685E-2</v>
      </c>
      <c r="M246" s="6">
        <f t="shared" si="47"/>
        <v>1.4698479459715275E-2</v>
      </c>
      <c r="N246" s="6">
        <f t="shared" si="42"/>
        <v>1.0300905557719547E-2</v>
      </c>
      <c r="O246" s="6">
        <f t="shared" si="41"/>
        <v>-6.0229135921643839E-3</v>
      </c>
      <c r="P246" s="6"/>
      <c r="Q246" s="6">
        <f t="shared" si="43"/>
        <v>1.6035292564615305E-2</v>
      </c>
      <c r="R246" s="6"/>
      <c r="Z246" s="38"/>
    </row>
    <row r="247" spans="1:26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36"/>
        <v>1.8831535865504456E-4</v>
      </c>
      <c r="J247" s="6">
        <f t="shared" si="44"/>
        <v>1.2420806909965328E-2</v>
      </c>
      <c r="K247" s="6">
        <f t="shared" si="45"/>
        <v>6.0068453122636119E-3</v>
      </c>
      <c r="L247" s="6">
        <f t="shared" si="46"/>
        <v>2.9943605302915484E-4</v>
      </c>
      <c r="M247" s="6">
        <f t="shared" si="47"/>
        <v>3.1216986037119246E-3</v>
      </c>
      <c r="N247" s="6">
        <f t="shared" si="42"/>
        <v>-7.7647563892511828E-3</v>
      </c>
      <c r="O247" s="6">
        <f t="shared" si="41"/>
        <v>-6.0611412932984471E-3</v>
      </c>
      <c r="P247" s="6"/>
      <c r="Q247" s="6">
        <f t="shared" si="43"/>
        <v>3.5652314630298726E-3</v>
      </c>
      <c r="R247" s="6"/>
      <c r="Z247" s="38"/>
    </row>
    <row r="248" spans="1:26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36"/>
        <v>1.8869701894863589E-4</v>
      </c>
      <c r="J248" s="6">
        <f t="shared" si="44"/>
        <v>1.6496471649674511E-2</v>
      </c>
      <c r="K248" s="6">
        <f t="shared" si="45"/>
        <v>3.9362102876051566E-3</v>
      </c>
      <c r="L248" s="6">
        <f t="shared" si="46"/>
        <v>1.8098719175530638E-2</v>
      </c>
      <c r="M248" s="6">
        <f t="shared" si="47"/>
        <v>7.7620053354891094E-3</v>
      </c>
      <c r="N248" s="6">
        <f t="shared" si="42"/>
        <v>2.2781128575607587E-2</v>
      </c>
      <c r="O248" s="6">
        <f t="shared" si="41"/>
        <v>2.0246572613530339E-3</v>
      </c>
      <c r="P248" s="6"/>
      <c r="Q248" s="6">
        <f t="shared" si="43"/>
        <v>1.4207264833236404E-2</v>
      </c>
      <c r="R248" s="6"/>
      <c r="Z248" s="38"/>
    </row>
    <row r="249" spans="1:26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36"/>
        <v>1.8717016014413446E-4</v>
      </c>
      <c r="J249" s="6">
        <f t="shared" si="44"/>
        <v>1.3642429865120695E-2</v>
      </c>
      <c r="K249" s="6">
        <f t="shared" si="45"/>
        <v>-7.2779275329949461E-4</v>
      </c>
      <c r="L249" s="6">
        <f t="shared" si="46"/>
        <v>8.4907795310884548E-3</v>
      </c>
      <c r="M249" s="6">
        <f t="shared" si="47"/>
        <v>4.6284474501869788E-3</v>
      </c>
      <c r="N249" s="6">
        <f t="shared" si="42"/>
        <v>4.660780212150723E-3</v>
      </c>
      <c r="O249" s="6">
        <f t="shared" si="41"/>
        <v>-8.1245040168903531E-3</v>
      </c>
      <c r="P249" s="6"/>
      <c r="Q249" s="6">
        <f t="shared" si="43"/>
        <v>8.1211035641951188E-3</v>
      </c>
      <c r="R249" s="6"/>
      <c r="Z249" s="38"/>
    </row>
    <row r="250" spans="1:26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36"/>
        <v>1.8717016014413446E-4</v>
      </c>
      <c r="J250" s="6">
        <f t="shared" si="44"/>
        <v>7.1046339891622338E-3</v>
      </c>
      <c r="K250" s="6">
        <f t="shared" si="45"/>
        <v>-7.4534799929999399E-3</v>
      </c>
      <c r="L250" s="6">
        <f t="shared" si="46"/>
        <v>1.8932455242062468E-3</v>
      </c>
      <c r="M250" s="6">
        <f t="shared" si="47"/>
        <v>-3.0832501301206196E-3</v>
      </c>
      <c r="N250" s="6">
        <f t="shared" si="42"/>
        <v>4.3036707511422095E-5</v>
      </c>
      <c r="O250" s="6">
        <f t="shared" si="41"/>
        <v>0</v>
      </c>
      <c r="P250" s="6"/>
      <c r="Q250" s="6">
        <f t="shared" si="43"/>
        <v>1.147953756630073E-3</v>
      </c>
      <c r="R250" s="6"/>
      <c r="Z250" s="38"/>
    </row>
    <row r="251" spans="1:26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36"/>
        <v>1.8678835474061906E-4</v>
      </c>
      <c r="J251" s="6">
        <f t="shared" si="44"/>
        <v>1.7046925905757491E-2</v>
      </c>
      <c r="K251" s="6">
        <f t="shared" si="45"/>
        <v>4.2450624586943594E-3</v>
      </c>
      <c r="L251" s="6">
        <f t="shared" si="46"/>
        <v>8.4515026665683331E-3</v>
      </c>
      <c r="M251" s="6">
        <f t="shared" si="47"/>
        <v>4.6213175955976916E-3</v>
      </c>
      <c r="N251" s="6">
        <f t="shared" si="42"/>
        <v>1.6707226654933075E-2</v>
      </c>
      <c r="O251" s="6">
        <f t="shared" si="41"/>
        <v>-2.0419673358617789E-3</v>
      </c>
      <c r="P251" s="6"/>
      <c r="Q251" s="6">
        <f t="shared" si="43"/>
        <v>8.7424012801683264E-3</v>
      </c>
      <c r="R251" s="6"/>
      <c r="Z251" s="38"/>
    </row>
    <row r="252" spans="1:26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36"/>
        <v>1.8487878316397754E-4</v>
      </c>
      <c r="J252" s="6">
        <f t="shared" si="44"/>
        <v>2.0316357014954671E-3</v>
      </c>
      <c r="K252" s="6">
        <f t="shared" si="45"/>
        <v>1.751357702825767E-3</v>
      </c>
      <c r="L252" s="6">
        <f t="shared" si="46"/>
        <v>1.1000172910606301E-2</v>
      </c>
      <c r="M252" s="6">
        <f t="shared" si="47"/>
        <v>5.6193763609869146E-3</v>
      </c>
      <c r="N252" s="6">
        <f t="shared" si="42"/>
        <v>3.816476067632372E-3</v>
      </c>
      <c r="O252" s="6">
        <f t="shared" si="41"/>
        <v>-1.0275798879295729E-2</v>
      </c>
      <c r="P252" s="6"/>
      <c r="Q252" s="6">
        <f t="shared" si="43"/>
        <v>7.4405027205732728E-3</v>
      </c>
      <c r="R252" s="6"/>
      <c r="Z252" s="38"/>
    </row>
    <row r="253" spans="1:26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36"/>
        <v>1.8067452749437329E-4</v>
      </c>
      <c r="J253" s="6">
        <f t="shared" si="44"/>
        <v>1.3439858184173351E-2</v>
      </c>
      <c r="K253" s="6">
        <f t="shared" si="45"/>
        <v>1.0201851494693278E-3</v>
      </c>
      <c r="L253" s="6">
        <f t="shared" si="46"/>
        <v>6.2116322685317679E-3</v>
      </c>
      <c r="M253" s="6">
        <f t="shared" si="47"/>
        <v>-2.7894319608277238E-2</v>
      </c>
      <c r="N253" s="6">
        <f t="shared" si="42"/>
        <v>1.6004444012785939E-2</v>
      </c>
      <c r="O253" s="6">
        <f t="shared" si="41"/>
        <v>-2.3003162241745385E-2</v>
      </c>
      <c r="P253" s="6"/>
      <c r="Q253" s="6">
        <f t="shared" si="43"/>
        <v>-4.2682140039660829E-3</v>
      </c>
      <c r="R253" s="6"/>
      <c r="Z253" s="38"/>
    </row>
    <row r="254" spans="1:26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36"/>
        <v>1.69569441239803E-4</v>
      </c>
      <c r="J254" s="6">
        <f t="shared" si="44"/>
        <v>5.9010397660438866E-3</v>
      </c>
      <c r="K254" s="6">
        <f t="shared" si="45"/>
        <v>7.6906421617582866E-3</v>
      </c>
      <c r="L254" s="6">
        <f t="shared" si="46"/>
        <v>1.1374431605290789E-2</v>
      </c>
      <c r="M254" s="6">
        <f t="shared" si="47"/>
        <v>1.3010852287492039E-2</v>
      </c>
      <c r="N254" s="6">
        <f t="shared" si="42"/>
        <v>0</v>
      </c>
      <c r="O254" s="6">
        <f t="shared" si="41"/>
        <v>-6.3434696187352618E-2</v>
      </c>
      <c r="P254" s="6"/>
      <c r="Q254" s="6">
        <f t="shared" si="43"/>
        <v>1.0910511863187641E-2</v>
      </c>
      <c r="R254" s="6"/>
      <c r="Z254" s="38"/>
    </row>
    <row r="255" spans="1:26" x14ac:dyDescent="0.2">
      <c r="Z255" s="38"/>
    </row>
    <row r="256" spans="1:26" x14ac:dyDescent="0.2">
      <c r="Z256" s="38"/>
    </row>
    <row r="257" spans="26:26" x14ac:dyDescent="0.2">
      <c r="Z257" s="38"/>
    </row>
    <row r="258" spans="26:26" x14ac:dyDescent="0.2">
      <c r="Z258" s="38"/>
    </row>
    <row r="259" spans="26:26" x14ac:dyDescent="0.2">
      <c r="Z259" s="38"/>
    </row>
    <row r="260" spans="26:26" x14ac:dyDescent="0.2">
      <c r="Z260" s="38"/>
    </row>
    <row r="261" spans="26:26" x14ac:dyDescent="0.2">
      <c r="Z261" s="38"/>
    </row>
    <row r="262" spans="26:26" x14ac:dyDescent="0.2">
      <c r="Z262" s="38"/>
    </row>
    <row r="263" spans="26:26" x14ac:dyDescent="0.2">
      <c r="Z263" s="38"/>
    </row>
    <row r="264" spans="26:26" x14ac:dyDescent="0.2">
      <c r="Z264" s="38"/>
    </row>
  </sheetData>
  <mergeCells count="3">
    <mergeCell ref="S25:T25"/>
    <mergeCell ref="J1:O1"/>
    <mergeCell ref="Q1:Q2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C6E7-DA86-CD4A-875A-B73CFF0992D5}">
  <dimension ref="A1:AB264"/>
  <sheetViews>
    <sheetView showGridLines="0" topLeftCell="E1" zoomScale="130" zoomScaleNormal="130" workbookViewId="0">
      <selection activeCell="T13" sqref="T13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6" max="16" width="2.5" style="3" customWidth="1"/>
    <col min="19" max="19" width="2.5" style="3" customWidth="1"/>
    <col min="20" max="20" width="23.33203125" style="3" customWidth="1"/>
    <col min="21" max="21" width="12.1640625" style="3" bestFit="1" customWidth="1"/>
    <col min="22" max="22" width="11.33203125" style="3"/>
    <col min="23" max="23" width="11.6640625" style="3" bestFit="1" customWidth="1"/>
    <col min="24" max="24" width="13.6640625" style="3" bestFit="1" customWidth="1"/>
    <col min="25" max="25" width="11.33203125" style="3"/>
    <col min="26" max="26" width="13.6640625" style="3" bestFit="1" customWidth="1"/>
    <col min="27" max="27" width="16.5" bestFit="1" customWidth="1"/>
    <col min="28" max="28" width="8" style="20" bestFit="1" customWidth="1"/>
    <col min="29" max="16384" width="11.33203125" style="3"/>
  </cols>
  <sheetData>
    <row r="1" spans="1:28" ht="17" customHeight="1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90" t="s">
        <v>72</v>
      </c>
      <c r="K1" s="90"/>
      <c r="L1" s="90"/>
      <c r="M1" s="90"/>
      <c r="N1" s="90"/>
      <c r="O1" s="90"/>
      <c r="P1" s="56"/>
      <c r="Q1" s="91" t="s">
        <v>60</v>
      </c>
      <c r="R1" s="91" t="s">
        <v>70</v>
      </c>
      <c r="S1" s="56"/>
      <c r="T1" s="3" t="s">
        <v>35</v>
      </c>
      <c r="V1" s="3" t="s">
        <v>43</v>
      </c>
      <c r="AA1" s="38"/>
      <c r="AB1" s="38"/>
    </row>
    <row r="2" spans="1:28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57" t="s">
        <v>1</v>
      </c>
      <c r="K2" s="57" t="s">
        <v>2</v>
      </c>
      <c r="L2" s="57" t="s">
        <v>3</v>
      </c>
      <c r="M2" s="57" t="s">
        <v>4</v>
      </c>
      <c r="N2" s="58" t="s">
        <v>15</v>
      </c>
      <c r="O2" s="48" t="s">
        <v>34</v>
      </c>
      <c r="P2" s="56"/>
      <c r="Q2" s="92"/>
      <c r="R2" s="92"/>
      <c r="S2" s="56"/>
      <c r="T2" s="3" t="s">
        <v>36</v>
      </c>
      <c r="V2" s="3" t="s">
        <v>51</v>
      </c>
      <c r="AA2" s="38"/>
    </row>
    <row r="3" spans="1:28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>+LN(H3/H2)</f>
        <v>-1.8162558630952245E-3</v>
      </c>
      <c r="P3" s="6"/>
      <c r="Q3" s="6">
        <f>+SUMPRODUCT($U$16:$X$16,J3:M3)</f>
        <v>-9.8350837056143635E-3</v>
      </c>
      <c r="R3" s="6">
        <f>+SUMPRODUCT($U$17:$X$17,J3:M3)</f>
        <v>-6.4035322871765958E-3</v>
      </c>
      <c r="S3" s="6"/>
      <c r="AA3" s="38"/>
    </row>
    <row r="4" spans="1:28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ref="H4:H66" si="0">+(1+G4)^(1/250)-1</f>
        <v>2.0849354880780879E-4</v>
      </c>
      <c r="J4" s="6">
        <f t="shared" ref="J4:N35" si="1">LN(B4/B3)</f>
        <v>2.8121205565770678E-3</v>
      </c>
      <c r="K4" s="6">
        <f t="shared" si="1"/>
        <v>5.5939921723177225E-3</v>
      </c>
      <c r="L4" s="6">
        <f t="shared" si="1"/>
        <v>2.2848847647558819E-3</v>
      </c>
      <c r="M4" s="6">
        <f t="shared" si="1"/>
        <v>2.8511962146941443E-3</v>
      </c>
      <c r="N4" s="6">
        <f t="shared" si="1"/>
        <v>-1.4874022775515319E-4</v>
      </c>
      <c r="O4" s="6">
        <f t="shared" ref="O4:O67" si="2">+LN(H4/H3)</f>
        <v>-1.8197328262530177E-3</v>
      </c>
      <c r="P4" s="6"/>
      <c r="Q4" s="6">
        <f t="shared" ref="Q4:Q67" si="3">+SUMPRODUCT($U$16:$X$16,J4:M4)</f>
        <v>2.5809540020426194E-3</v>
      </c>
      <c r="R4" s="6">
        <f t="shared" ref="R4:R67" si="4">+SUMPRODUCT($U$17:$X$17,J4:M4)</f>
        <v>2.8511962146941438E-3</v>
      </c>
      <c r="S4" s="6"/>
      <c r="T4" s="7" t="s">
        <v>6</v>
      </c>
      <c r="U4" s="50" t="s">
        <v>1</v>
      </c>
      <c r="V4" s="50" t="s">
        <v>2</v>
      </c>
      <c r="W4" s="50" t="s">
        <v>3</v>
      </c>
      <c r="X4" s="50" t="s">
        <v>4</v>
      </c>
      <c r="Y4" s="50" t="s">
        <v>15</v>
      </c>
      <c r="AA4" s="38"/>
    </row>
    <row r="5" spans="1:28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0"/>
        <v>2.0925300885044074E-4</v>
      </c>
      <c r="J5" s="6">
        <f t="shared" si="1"/>
        <v>7.7070400094383651E-3</v>
      </c>
      <c r="K5" s="6">
        <f t="shared" si="1"/>
        <v>-8.568180711971048E-3</v>
      </c>
      <c r="L5" s="6">
        <f t="shared" si="1"/>
        <v>3.4177360836862881E-3</v>
      </c>
      <c r="M5" s="6">
        <f t="shared" si="1"/>
        <v>3.5523360724823969E-3</v>
      </c>
      <c r="N5" s="6">
        <f t="shared" si="1"/>
        <v>6.8556214812669266E-3</v>
      </c>
      <c r="O5" s="6">
        <f t="shared" si="2"/>
        <v>3.635988689348241E-3</v>
      </c>
      <c r="P5" s="6"/>
      <c r="Q5" s="6">
        <f>+SUMPRODUCT($U$16:$X$16,J5:M5)</f>
        <v>4.273332930691558E-3</v>
      </c>
      <c r="R5" s="6">
        <f t="shared" si="4"/>
        <v>3.5523360724823965E-3</v>
      </c>
      <c r="S5" s="6"/>
      <c r="T5" s="55" t="s">
        <v>21</v>
      </c>
      <c r="U5" s="8">
        <f>AVERAGE(J3:J254)</f>
        <v>1.0005667965467292E-3</v>
      </c>
      <c r="V5" s="8">
        <f>AVERAGE(K3:K254)</f>
        <v>6.5844828632144513E-4</v>
      </c>
      <c r="W5" s="8">
        <f>AVERAGE(L3:L254)</f>
        <v>1.5030786305094985E-3</v>
      </c>
      <c r="X5" s="8">
        <f>AVERAGE(M3:M254)</f>
        <v>1.5168662454873357E-3</v>
      </c>
      <c r="Y5" s="8">
        <f>AVERAGE(N3:N254)</f>
        <v>9.1264845799794573E-4</v>
      </c>
    </row>
    <row r="6" spans="1:28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0"/>
        <v>2.1001232533235381E-4</v>
      </c>
      <c r="J6" s="6">
        <f t="shared" si="1"/>
        <v>7.8738144273404372E-3</v>
      </c>
      <c r="K6" s="6">
        <f t="shared" si="1"/>
        <v>-6.141625470814838E-3</v>
      </c>
      <c r="L6" s="6">
        <f t="shared" si="1"/>
        <v>-2.0956622133486116E-2</v>
      </c>
      <c r="M6" s="6">
        <f t="shared" si="1"/>
        <v>1.1283650762276005E-2</v>
      </c>
      <c r="N6" s="6">
        <f t="shared" si="1"/>
        <v>-2.7812820922299762E-3</v>
      </c>
      <c r="O6" s="6">
        <f t="shared" si="2"/>
        <v>3.6221325742041705E-3</v>
      </c>
      <c r="P6" s="6"/>
      <c r="Q6" s="6">
        <f t="shared" si="3"/>
        <v>-4.3248246938818449E-3</v>
      </c>
      <c r="R6" s="6">
        <f t="shared" si="4"/>
        <v>1.1283650762276004E-2</v>
      </c>
      <c r="S6" s="6"/>
      <c r="T6" s="55" t="s">
        <v>39</v>
      </c>
      <c r="U6" s="8">
        <f>STDEV(J3:J254)</f>
        <v>1.4317007168692672E-2</v>
      </c>
      <c r="V6" s="8">
        <f>STDEV(K3:K254)</f>
        <v>8.4145554622722402E-3</v>
      </c>
      <c r="W6" s="8">
        <f>STDEV(L3:L254)</f>
        <v>1.1640822805611175E-2</v>
      </c>
      <c r="X6" s="8">
        <f>STDEV(M3:M254)</f>
        <v>1.3397541042164431E-2</v>
      </c>
      <c r="Y6" s="8">
        <f>STDEV(N3:N254)</f>
        <v>7.8758266281572179E-3</v>
      </c>
      <c r="AA6" s="38"/>
    </row>
    <row r="7" spans="1:28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0"/>
        <v>2.0849354880780879E-4</v>
      </c>
      <c r="J7" s="6">
        <f t="shared" si="1"/>
        <v>2.1711540417555734E-2</v>
      </c>
      <c r="K7" s="6">
        <f t="shared" si="1"/>
        <v>3.4904214645253497E-3</v>
      </c>
      <c r="L7" s="6">
        <f t="shared" si="1"/>
        <v>6.740365503857486E-3</v>
      </c>
      <c r="M7" s="6">
        <f t="shared" si="1"/>
        <v>-7.0373473579131004E-3</v>
      </c>
      <c r="N7" s="6">
        <f t="shared" si="1"/>
        <v>1.0984339030271489E-2</v>
      </c>
      <c r="O7" s="6">
        <f t="shared" si="2"/>
        <v>-7.2581212635524379E-3</v>
      </c>
      <c r="P7" s="6"/>
      <c r="Q7" s="6">
        <f t="shared" si="3"/>
        <v>4.7794071065958878E-3</v>
      </c>
      <c r="R7" s="6">
        <f t="shared" si="4"/>
        <v>-7.0373473579130996E-3</v>
      </c>
      <c r="S7" s="6"/>
      <c r="AA7" s="38"/>
    </row>
    <row r="8" spans="1:28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0"/>
        <v>2.1001232533235381E-4</v>
      </c>
      <c r="J8" s="6">
        <f t="shared" si="1"/>
        <v>-2.6519108676923038E-2</v>
      </c>
      <c r="K8" s="6">
        <f t="shared" si="1"/>
        <v>-2.6582344086022547E-3</v>
      </c>
      <c r="L8" s="6">
        <f t="shared" si="1"/>
        <v>-9.5044774711671462E-4</v>
      </c>
      <c r="M8" s="6">
        <f t="shared" si="1"/>
        <v>-7.0654176800563693E-4</v>
      </c>
      <c r="N8" s="6">
        <f t="shared" si="1"/>
        <v>-1.3549420207499292E-2</v>
      </c>
      <c r="O8" s="6">
        <f t="shared" si="2"/>
        <v>7.2581212635524119E-3</v>
      </c>
      <c r="P8" s="6"/>
      <c r="Q8" s="6">
        <f t="shared" si="3"/>
        <v>-5.6873822385500863E-3</v>
      </c>
      <c r="R8" s="6">
        <f t="shared" si="4"/>
        <v>-7.0654176800563683E-4</v>
      </c>
      <c r="S8" s="6"/>
      <c r="T8" s="7" t="s">
        <v>7</v>
      </c>
      <c r="U8" s="50" t="s">
        <v>1</v>
      </c>
      <c r="V8" s="50" t="s">
        <v>2</v>
      </c>
      <c r="W8" s="50" t="s">
        <v>3</v>
      </c>
      <c r="X8" s="50" t="s">
        <v>4</v>
      </c>
      <c r="Y8" s="50" t="s">
        <v>15</v>
      </c>
      <c r="AA8" s="38"/>
    </row>
    <row r="9" spans="1:28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0"/>
        <v>2.1190998881470691E-4</v>
      </c>
      <c r="J9" s="6">
        <f t="shared" si="1"/>
        <v>1.2564052740774025E-2</v>
      </c>
      <c r="K9" s="6">
        <f t="shared" si="1"/>
        <v>4.6472362667604817E-3</v>
      </c>
      <c r="L9" s="6">
        <f t="shared" si="1"/>
        <v>-1.2233201758554283E-3</v>
      </c>
      <c r="M9" s="6">
        <f t="shared" si="1"/>
        <v>-2.830866787178094E-3</v>
      </c>
      <c r="N9" s="6">
        <f t="shared" si="1"/>
        <v>6.6955233154781116E-3</v>
      </c>
      <c r="O9" s="6">
        <f t="shared" si="2"/>
        <v>8.9953823952637728E-3</v>
      </c>
      <c r="P9" s="6"/>
      <c r="Q9" s="6">
        <f t="shared" si="3"/>
        <v>8.1844057171207496E-4</v>
      </c>
      <c r="R9" s="6">
        <f t="shared" si="4"/>
        <v>-2.8308667871780936E-3</v>
      </c>
      <c r="S9" s="6"/>
      <c r="T9" s="55" t="s">
        <v>21</v>
      </c>
      <c r="U9" s="8">
        <f>((1+U5)^250)-1</f>
        <v>0.28404678408841222</v>
      </c>
      <c r="V9" s="8">
        <f>((1+V5)^250)-1</f>
        <v>0.17887182553898695</v>
      </c>
      <c r="W9" s="8">
        <f>((1+W5)^250)-1</f>
        <v>0.45570094625533186</v>
      </c>
      <c r="X9" s="8">
        <f>((1+X5)^250)-1</f>
        <v>0.46071967373147737</v>
      </c>
      <c r="Y9" s="8">
        <f>((1+Y5)^250)-1</f>
        <v>0.25615825825352467</v>
      </c>
      <c r="AA9" s="54"/>
    </row>
    <row r="10" spans="1:28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0"/>
        <v>2.1190998881470691E-4</v>
      </c>
      <c r="J10" s="6">
        <f t="shared" si="1"/>
        <v>8.8072127836774459E-3</v>
      </c>
      <c r="K10" s="6">
        <f t="shared" si="1"/>
        <v>2.811071519673288E-3</v>
      </c>
      <c r="L10" s="6">
        <f t="shared" si="1"/>
        <v>3.4622835952314748E-3</v>
      </c>
      <c r="M10" s="6">
        <f t="shared" si="1"/>
        <v>7.0621975605345338E-3</v>
      </c>
      <c r="N10" s="6">
        <f t="shared" si="1"/>
        <v>6.2450565111568821E-3</v>
      </c>
      <c r="O10" s="6">
        <f t="shared" si="2"/>
        <v>0</v>
      </c>
      <c r="P10" s="6"/>
      <c r="Q10" s="6">
        <f t="shared" si="3"/>
        <v>5.7202376124573387E-3</v>
      </c>
      <c r="R10" s="6">
        <f t="shared" si="4"/>
        <v>7.0621975605345329E-3</v>
      </c>
      <c r="S10" s="6"/>
      <c r="T10" s="55" t="s">
        <v>39</v>
      </c>
      <c r="U10" s="8">
        <f>U6*SQRT(250)</f>
        <v>0.22637175965013689</v>
      </c>
      <c r="V10" s="8">
        <f>V6*SQRT(250)</f>
        <v>0.13304580379295658</v>
      </c>
      <c r="W10" s="8">
        <f>W6*SQRT(250)</f>
        <v>0.18405756952081409</v>
      </c>
      <c r="X10" s="8">
        <f>X6*SQRT(250)</f>
        <v>0.21183372369412781</v>
      </c>
      <c r="Y10" s="8">
        <f>Y6*SQRT(250)</f>
        <v>0.12452775300790411</v>
      </c>
      <c r="AA10" s="38"/>
    </row>
    <row r="11" spans="1:28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0"/>
        <v>2.0925300885044074E-4</v>
      </c>
      <c r="J11" s="6">
        <f t="shared" si="1"/>
        <v>2.1575762719950167E-2</v>
      </c>
      <c r="K11" s="6">
        <f t="shared" si="1"/>
        <v>-9.9121473034572902E-4</v>
      </c>
      <c r="L11" s="6">
        <f t="shared" si="1"/>
        <v>8.0993210507113115E-3</v>
      </c>
      <c r="M11" s="6">
        <f t="shared" si="1"/>
        <v>3.8652123786868747E-2</v>
      </c>
      <c r="N11" s="6">
        <f t="shared" si="1"/>
        <v>1.4404107984150809E-2</v>
      </c>
      <c r="O11" s="6">
        <f t="shared" si="2"/>
        <v>-1.2617514969468103E-2</v>
      </c>
      <c r="P11" s="6"/>
      <c r="Q11" s="6">
        <f t="shared" si="3"/>
        <v>2.1249772828098801E-2</v>
      </c>
      <c r="R11" s="6">
        <f t="shared" si="4"/>
        <v>3.865212378686874E-2</v>
      </c>
      <c r="S11" s="6"/>
      <c r="AA11" s="38"/>
    </row>
    <row r="12" spans="1:28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0"/>
        <v>2.1001232533235381E-4</v>
      </c>
      <c r="J12" s="6">
        <f t="shared" si="1"/>
        <v>1.899078242547661E-2</v>
      </c>
      <c r="K12" s="6">
        <f t="shared" si="1"/>
        <v>-4.9597604879833524E-4</v>
      </c>
      <c r="L12" s="6">
        <f t="shared" si="1"/>
        <v>-4.0415125667635282E-3</v>
      </c>
      <c r="M12" s="6">
        <f t="shared" si="1"/>
        <v>-2.7118017809940271E-3</v>
      </c>
      <c r="N12" s="6">
        <f t="shared" si="1"/>
        <v>3.8258021699069606E-3</v>
      </c>
      <c r="O12" s="6">
        <f t="shared" si="2"/>
        <v>3.6221325742041705E-3</v>
      </c>
      <c r="P12" s="6"/>
      <c r="Q12" s="6">
        <f t="shared" si="3"/>
        <v>7.6354593416647749E-4</v>
      </c>
      <c r="R12" s="6">
        <f t="shared" si="4"/>
        <v>-2.7118017809940266E-3</v>
      </c>
      <c r="S12" s="6"/>
      <c r="T12" s="3" t="s">
        <v>38</v>
      </c>
      <c r="U12" s="9">
        <f>+AVERAGE($G$2:$G$254)</f>
        <v>5.1073122529644292E-2</v>
      </c>
      <c r="V12" s="9"/>
      <c r="W12" s="9"/>
      <c r="X12" s="9"/>
      <c r="Y12" s="9"/>
      <c r="AA12" s="38"/>
    </row>
    <row r="13" spans="1:28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0"/>
        <v>2.0925300885044074E-4</v>
      </c>
      <c r="J13" s="6">
        <f t="shared" si="1"/>
        <v>1.1717517176788328E-3</v>
      </c>
      <c r="K13" s="6">
        <f t="shared" si="1"/>
        <v>-1.0640119950070189E-2</v>
      </c>
      <c r="L13" s="6">
        <f t="shared" si="1"/>
        <v>-1.2428386047596607E-2</v>
      </c>
      <c r="M13" s="6">
        <f t="shared" si="1"/>
        <v>4.0649860690958528E-3</v>
      </c>
      <c r="N13" s="6">
        <f t="shared" si="1"/>
        <v>-1.5982216816604765E-3</v>
      </c>
      <c r="O13" s="6">
        <f t="shared" si="2"/>
        <v>-3.6221325742042767E-3</v>
      </c>
      <c r="P13" s="6"/>
      <c r="Q13" s="6">
        <f t="shared" si="3"/>
        <v>-4.1365897546672597E-3</v>
      </c>
      <c r="R13" s="6">
        <f t="shared" si="4"/>
        <v>4.0649860690958519E-3</v>
      </c>
      <c r="S13" s="6"/>
      <c r="T13" s="3" t="s">
        <v>40</v>
      </c>
      <c r="U13" s="22">
        <f>+(U9-$U$12)/U10</f>
        <v>1.0291639819332341</v>
      </c>
      <c r="V13" s="22">
        <f t="shared" ref="V13:Y13" si="5">+(V9-$U$12)/V10</f>
        <v>0.96056169654339962</v>
      </c>
      <c r="W13" s="22">
        <f t="shared" si="5"/>
        <v>2.1983764361287537</v>
      </c>
      <c r="X13" s="22">
        <f t="shared" si="5"/>
        <v>1.9338117843471057</v>
      </c>
      <c r="Y13" s="22">
        <f t="shared" si="5"/>
        <v>1.6469030458685228</v>
      </c>
      <c r="AA13" s="38"/>
    </row>
    <row r="14" spans="1:28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0"/>
        <v>2.0887329677776734E-4</v>
      </c>
      <c r="J14" s="6">
        <f t="shared" si="1"/>
        <v>8.4277857631225358E-3</v>
      </c>
      <c r="K14" s="6">
        <f t="shared" si="1"/>
        <v>-8.7293459886518768E-3</v>
      </c>
      <c r="L14" s="6">
        <f t="shared" si="1"/>
        <v>3.3430239573994255E-3</v>
      </c>
      <c r="M14" s="6">
        <f t="shared" si="1"/>
        <v>-9.5109702559868468E-3</v>
      </c>
      <c r="N14" s="6">
        <f t="shared" si="1"/>
        <v>1.7975431036151848E-3</v>
      </c>
      <c r="O14" s="6">
        <f t="shared" si="2"/>
        <v>-1.8162558630952245E-3</v>
      </c>
      <c r="P14" s="6"/>
      <c r="Q14" s="6">
        <f t="shared" si="3"/>
        <v>-1.6152064572379004E-4</v>
      </c>
      <c r="R14" s="6">
        <f t="shared" si="4"/>
        <v>-9.5109702559868451E-3</v>
      </c>
      <c r="S14" s="6"/>
      <c r="AA14" s="38"/>
    </row>
    <row r="15" spans="1:28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0"/>
        <v>2.0887329677776734E-4</v>
      </c>
      <c r="J15" s="6">
        <f t="shared" si="1"/>
        <v>1.2659131987154749E-3</v>
      </c>
      <c r="K15" s="6">
        <f t="shared" si="1"/>
        <v>-8.2960032000802229E-3</v>
      </c>
      <c r="L15" s="6">
        <f t="shared" si="1"/>
        <v>-1.1095405596341172E-2</v>
      </c>
      <c r="M15" s="6">
        <f t="shared" si="1"/>
        <v>-1.1671910678181512E-2</v>
      </c>
      <c r="N15" s="6">
        <f t="shared" si="1"/>
        <v>-4.203010869610265E-3</v>
      </c>
      <c r="O15" s="6">
        <f t="shared" si="2"/>
        <v>0</v>
      </c>
      <c r="P15" s="6"/>
      <c r="Q15" s="6">
        <f t="shared" si="3"/>
        <v>-8.9645462520043483E-3</v>
      </c>
      <c r="R15" s="6">
        <f t="shared" si="4"/>
        <v>-1.167191067818151E-2</v>
      </c>
      <c r="S15" s="6"/>
      <c r="T15" s="10" t="s">
        <v>8</v>
      </c>
      <c r="U15" s="50" t="s">
        <v>1</v>
      </c>
      <c r="V15" s="50" t="s">
        <v>2</v>
      </c>
      <c r="W15" s="50" t="s">
        <v>3</v>
      </c>
      <c r="X15" s="50" t="s">
        <v>4</v>
      </c>
      <c r="AA15" s="38"/>
    </row>
    <row r="16" spans="1:28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0"/>
        <v>2.1115103099722532E-4</v>
      </c>
      <c r="J16" s="6">
        <f t="shared" si="1"/>
        <v>-3.6449647610985361E-2</v>
      </c>
      <c r="K16" s="6">
        <f t="shared" si="1"/>
        <v>-6.802636816685408E-4</v>
      </c>
      <c r="L16" s="6">
        <f t="shared" si="1"/>
        <v>-1.65396632304482E-3</v>
      </c>
      <c r="M16" s="6">
        <f t="shared" si="1"/>
        <v>8.9378657253624903E-3</v>
      </c>
      <c r="N16" s="6">
        <f t="shared" si="1"/>
        <v>-6.9959927442528732E-3</v>
      </c>
      <c r="O16" s="6">
        <f t="shared" si="2"/>
        <v>1.0845831522955813E-2</v>
      </c>
      <c r="P16" s="6"/>
      <c r="Q16" s="6">
        <f t="shared" si="3"/>
        <v>-4.5376899249915444E-3</v>
      </c>
      <c r="R16" s="6">
        <f t="shared" si="4"/>
        <v>8.9378657253624885E-3</v>
      </c>
      <c r="S16" s="6"/>
      <c r="T16" s="11" t="s">
        <v>45</v>
      </c>
      <c r="U16" s="51">
        <v>0.1885757003250691</v>
      </c>
      <c r="V16" s="51">
        <v>0</v>
      </c>
      <c r="W16" s="51">
        <v>0.46418537552982903</v>
      </c>
      <c r="X16" s="51">
        <v>0.34723892414510182</v>
      </c>
      <c r="Y16" s="49">
        <f>SUM(U16:X16)</f>
        <v>0.99999999999999989</v>
      </c>
      <c r="AA16" s="38"/>
    </row>
    <row r="17" spans="1:27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0"/>
        <v>2.1190998881470691E-4</v>
      </c>
      <c r="J17" s="6">
        <f t="shared" si="1"/>
        <v>-2.9685687263803755E-2</v>
      </c>
      <c r="K17" s="6">
        <f t="shared" si="1"/>
        <v>-7.685086250950387E-3</v>
      </c>
      <c r="L17" s="6">
        <f t="shared" si="1"/>
        <v>-8.5911179492632866E-3</v>
      </c>
      <c r="M17" s="6">
        <f t="shared" si="1"/>
        <v>0</v>
      </c>
      <c r="N17" s="6">
        <f t="shared" si="1"/>
        <v>-3.2164682050081963E-3</v>
      </c>
      <c r="O17" s="6">
        <f t="shared" si="2"/>
        <v>3.5879393096075289E-3</v>
      </c>
      <c r="P17" s="6"/>
      <c r="Q17" s="6">
        <f t="shared" si="3"/>
        <v>-9.5858705769026106E-3</v>
      </c>
      <c r="R17" s="6">
        <f t="shared" si="4"/>
        <v>0</v>
      </c>
      <c r="S17" s="6"/>
      <c r="T17" s="11" t="s">
        <v>62</v>
      </c>
      <c r="U17" s="51">
        <v>0</v>
      </c>
      <c r="V17" s="51">
        <v>0</v>
      </c>
      <c r="W17" s="51">
        <v>0</v>
      </c>
      <c r="X17" s="51">
        <v>0.99999999999999989</v>
      </c>
      <c r="Y17" s="49">
        <f>SUM(U17:X17)</f>
        <v>0.99999999999999989</v>
      </c>
      <c r="AA17" s="38"/>
    </row>
    <row r="18" spans="1:27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0"/>
        <v>2.1039192975491616E-4</v>
      </c>
      <c r="J18" s="6">
        <f t="shared" si="1"/>
        <v>3.4855737123982338E-3</v>
      </c>
      <c r="K18" s="6">
        <f t="shared" si="1"/>
        <v>0</v>
      </c>
      <c r="L18" s="6">
        <f t="shared" si="1"/>
        <v>7.6518323838956222E-4</v>
      </c>
      <c r="M18" s="6">
        <f t="shared" si="1"/>
        <v>-1.4477988707991517E-2</v>
      </c>
      <c r="N18" s="6">
        <f t="shared" si="1"/>
        <v>1.4255841976643817E-3</v>
      </c>
      <c r="O18" s="6">
        <f t="shared" si="2"/>
        <v>-7.1894799994851729E-3</v>
      </c>
      <c r="P18" s="6"/>
      <c r="Q18" s="6">
        <f t="shared" si="3"/>
        <v>-4.0148398500367694E-3</v>
      </c>
      <c r="R18" s="6">
        <f t="shared" si="4"/>
        <v>-1.4477988707991515E-2</v>
      </c>
      <c r="S18" s="6"/>
      <c r="Z18" s="14"/>
      <c r="AA18" s="38"/>
    </row>
    <row r="19" spans="1:27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0"/>
        <v>2.1115103099722532E-4</v>
      </c>
      <c r="J19" s="6">
        <f t="shared" si="1"/>
        <v>6.6007039975988667E-3</v>
      </c>
      <c r="K19" s="6">
        <f t="shared" si="1"/>
        <v>9.3849136242531647E-3</v>
      </c>
      <c r="L19" s="6">
        <f t="shared" si="1"/>
        <v>4.3706422775577902E-3</v>
      </c>
      <c r="M19" s="6">
        <f t="shared" si="1"/>
        <v>8.2988273439278445E-3</v>
      </c>
      <c r="N19" s="6">
        <f t="shared" si="1"/>
        <v>6.7010127829867268E-3</v>
      </c>
      <c r="O19" s="6">
        <f t="shared" si="2"/>
        <v>3.6015406898777364E-3</v>
      </c>
      <c r="P19" s="6"/>
      <c r="Q19" s="6">
        <f t="shared" si="3"/>
        <v>6.1551964844718567E-3</v>
      </c>
      <c r="R19" s="6">
        <f t="shared" si="4"/>
        <v>8.2988273439278427E-3</v>
      </c>
      <c r="S19" s="6"/>
      <c r="T19" s="7" t="s">
        <v>10</v>
      </c>
      <c r="U19" s="15" t="str">
        <f>U8</f>
        <v>Apple</v>
      </c>
      <c r="V19" s="15" t="str">
        <f>V8</f>
        <v>Coca-Cola</v>
      </c>
      <c r="W19" s="15" t="str">
        <f>W8</f>
        <v>JPMorgan</v>
      </c>
      <c r="X19" s="15" t="str">
        <f>X8</f>
        <v>AT&amp;T</v>
      </c>
      <c r="AA19" s="38"/>
    </row>
    <row r="20" spans="1:27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0"/>
        <v>2.1039192975491616E-4</v>
      </c>
      <c r="J20" s="6">
        <f t="shared" si="1"/>
        <v>-1.7207766577965616E-2</v>
      </c>
      <c r="K20" s="6">
        <f t="shared" si="1"/>
        <v>-9.8994165765982269E-3</v>
      </c>
      <c r="L20" s="6">
        <f t="shared" si="1"/>
        <v>1.2930049259339658E-2</v>
      </c>
      <c r="M20" s="6">
        <f t="shared" si="1"/>
        <v>-4.1408787728015178E-3</v>
      </c>
      <c r="N20" s="6">
        <f t="shared" si="1"/>
        <v>-5.7121558411206055E-3</v>
      </c>
      <c r="O20" s="6">
        <f t="shared" si="2"/>
        <v>-3.6015406898777602E-3</v>
      </c>
      <c r="P20" s="6"/>
      <c r="Q20" s="6">
        <f t="shared" si="3"/>
        <v>1.3190988475126951E-3</v>
      </c>
      <c r="R20" s="6">
        <f t="shared" si="4"/>
        <v>-4.140878772801517E-3</v>
      </c>
      <c r="S20" s="6"/>
      <c r="T20" s="16" t="str">
        <f>U19</f>
        <v>Apple</v>
      </c>
      <c r="U20" s="17">
        <f>VARP([1]Portafolio!$F$3:$F$254)</f>
        <v>2.0416329468796719E-4</v>
      </c>
      <c r="V20" s="17">
        <f>U21</f>
        <v>1.114837388610517E-5</v>
      </c>
      <c r="W20" s="17">
        <f>U22</f>
        <v>7.9387037462506825E-6</v>
      </c>
      <c r="X20" s="17">
        <f>U23</f>
        <v>-2.2006229590220094E-6</v>
      </c>
      <c r="AA20" s="38"/>
    </row>
    <row r="21" spans="1:27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0"/>
        <v>2.1115103099722532E-4</v>
      </c>
      <c r="J21" s="6">
        <f t="shared" si="1"/>
        <v>-1.1925628607410014E-2</v>
      </c>
      <c r="K21" s="6">
        <f t="shared" si="1"/>
        <v>2.3984991177818894E-3</v>
      </c>
      <c r="L21" s="6">
        <f t="shared" si="1"/>
        <v>4.7822692080471709E-4</v>
      </c>
      <c r="M21" s="6">
        <f t="shared" si="1"/>
        <v>1.1004270746853787E-2</v>
      </c>
      <c r="N21" s="6">
        <f t="shared" si="1"/>
        <v>1.2408533465711885E-3</v>
      </c>
      <c r="O21" s="6">
        <f t="shared" si="2"/>
        <v>3.6015406898777364E-3</v>
      </c>
      <c r="P21" s="6"/>
      <c r="Q21" s="6">
        <f t="shared" si="3"/>
        <v>1.7942133115021147E-3</v>
      </c>
      <c r="R21" s="6">
        <f t="shared" si="4"/>
        <v>1.1004270746853785E-2</v>
      </c>
      <c r="S21" s="6"/>
      <c r="T21" s="16" t="str">
        <f>V19</f>
        <v>Coca-Cola</v>
      </c>
      <c r="U21" s="18">
        <f>_xlfn.COVARIANCE.P($J$3:$J$254,K3:K254)</f>
        <v>1.114837388610517E-5</v>
      </c>
      <c r="V21" s="17">
        <f>VARP([1]Portafolio!$G$3:$G$254)</f>
        <v>7.052377242278394E-5</v>
      </c>
      <c r="W21" s="17">
        <f>V22</f>
        <v>1.8170255662120506E-5</v>
      </c>
      <c r="X21" s="17">
        <f>V23</f>
        <v>3.9163359961956121E-5</v>
      </c>
      <c r="AA21" s="38"/>
    </row>
    <row r="22" spans="1:27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0"/>
        <v>2.1115103099722532E-4</v>
      </c>
      <c r="J22" s="6">
        <f t="shared" si="1"/>
        <v>8.744192273870471E-3</v>
      </c>
      <c r="K22" s="6">
        <f t="shared" si="1"/>
        <v>8.2446925036342867E-3</v>
      </c>
      <c r="L22" s="6">
        <f t="shared" si="1"/>
        <v>1.9211775011975799E-2</v>
      </c>
      <c r="M22" s="6">
        <f t="shared" si="1"/>
        <v>2.9651713697862989E-2</v>
      </c>
      <c r="N22" s="6">
        <f t="shared" si="1"/>
        <v>8.394550741111827E-3</v>
      </c>
      <c r="O22" s="6">
        <f t="shared" si="2"/>
        <v>0</v>
      </c>
      <c r="P22" s="6"/>
      <c r="Q22" s="6">
        <f t="shared" si="3"/>
        <v>2.0862996343855279E-2</v>
      </c>
      <c r="R22" s="6">
        <f t="shared" si="4"/>
        <v>2.9651713697862986E-2</v>
      </c>
      <c r="S22" s="6"/>
      <c r="T22" s="16" t="str">
        <f>W19</f>
        <v>JPMorgan</v>
      </c>
      <c r="U22" s="18">
        <f>_xlfn.COVARIANCE.P($J$3:$J$254,L3:L254)</f>
        <v>7.9387037462506825E-6</v>
      </c>
      <c r="V22" s="18">
        <f>_xlfn.COVARIANCE.P($K$3:$K$254,L3:L254)</f>
        <v>1.8170255662120506E-5</v>
      </c>
      <c r="W22" s="17">
        <f>VARP([1]Portafolio!$H$3:$H$254)</f>
        <v>1.3497102243452755E-4</v>
      </c>
      <c r="X22" s="17">
        <f>W23</f>
        <v>2.8925886198153199E-5</v>
      </c>
      <c r="AA22" s="38"/>
    </row>
    <row r="23" spans="1:27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0"/>
        <v>2.1115103099722532E-4</v>
      </c>
      <c r="J23" s="6">
        <f t="shared" si="1"/>
        <v>-4.1626265495737849E-3</v>
      </c>
      <c r="K23" s="6">
        <f t="shared" si="1"/>
        <v>-8.9348416448038568E-3</v>
      </c>
      <c r="L23" s="6">
        <f t="shared" si="1"/>
        <v>-2.9524998063902006E-3</v>
      </c>
      <c r="M23" s="6">
        <f t="shared" si="1"/>
        <v>1.1224978589028094E-2</v>
      </c>
      <c r="N23" s="6">
        <f t="shared" si="1"/>
        <v>-1.2234084667107637E-2</v>
      </c>
      <c r="O23" s="6">
        <f t="shared" si="2"/>
        <v>0</v>
      </c>
      <c r="P23" s="6"/>
      <c r="Q23" s="6">
        <f t="shared" si="3"/>
        <v>1.7422720406473332E-3</v>
      </c>
      <c r="R23" s="6">
        <f t="shared" si="4"/>
        <v>1.1224978589028092E-2</v>
      </c>
      <c r="S23" s="6"/>
      <c r="T23" s="16" t="str">
        <f>X19</f>
        <v>AT&amp;T</v>
      </c>
      <c r="U23" s="18">
        <f>_xlfn.COVARIANCE.P($J$3:$J$254,M5:M256)</f>
        <v>-2.2006229590220094E-6</v>
      </c>
      <c r="V23" s="18">
        <f>_xlfn.COVARIANCE.P($K$3:$K$254,M3:M254)</f>
        <v>3.9163359961956121E-5</v>
      </c>
      <c r="W23" s="18">
        <f>_xlfn.COVARIANCE.P($L$3:$L$254,M3:M254)</f>
        <v>2.8925886198153199E-5</v>
      </c>
      <c r="X23" s="17">
        <f>VARP([1]Portafolio!$I$3:$I$254)</f>
        <v>1.7878182777816105E-4</v>
      </c>
      <c r="AA23" s="38"/>
    </row>
    <row r="24" spans="1:27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0"/>
        <v>2.1153052783073889E-4</v>
      </c>
      <c r="J24" s="6">
        <f t="shared" si="1"/>
        <v>1.6771885661529522E-2</v>
      </c>
      <c r="K24" s="6">
        <f t="shared" si="1"/>
        <v>6.1940863988089057E-3</v>
      </c>
      <c r="L24" s="6">
        <f t="shared" si="1"/>
        <v>2.081060219182381E-3</v>
      </c>
      <c r="M24" s="6">
        <f t="shared" si="1"/>
        <v>-9.2349221157867391E-3</v>
      </c>
      <c r="N24" s="6">
        <f t="shared" si="1"/>
        <v>7.2103643683838804E-4</v>
      </c>
      <c r="O24" s="6">
        <f t="shared" si="2"/>
        <v>1.795663555972895E-3</v>
      </c>
      <c r="P24" s="6"/>
      <c r="Q24" s="6">
        <f t="shared" si="3"/>
        <v>9.2204338368668181E-4</v>
      </c>
      <c r="R24" s="6">
        <f t="shared" si="4"/>
        <v>-9.2349221157867374E-3</v>
      </c>
      <c r="S24" s="6"/>
      <c r="U24" s="13"/>
      <c r="V24" s="53"/>
      <c r="W24" s="53"/>
      <c r="X24" s="53"/>
      <c r="Y24" s="53"/>
      <c r="AA24" s="38"/>
    </row>
    <row r="25" spans="1:27" ht="17" thickBot="1" x14ac:dyDescent="0.25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0"/>
        <v>2.1190998881470691E-4</v>
      </c>
      <c r="J25" s="6">
        <f t="shared" si="1"/>
        <v>6.1618290451625419E-3</v>
      </c>
      <c r="K25" s="6">
        <f t="shared" si="1"/>
        <v>-2.0603885067279927E-3</v>
      </c>
      <c r="L25" s="6">
        <f t="shared" si="1"/>
        <v>-1.2750275394505101E-3</v>
      </c>
      <c r="M25" s="6">
        <f t="shared" si="1"/>
        <v>7.9209277625121085E-3</v>
      </c>
      <c r="N25" s="6">
        <f t="shared" si="1"/>
        <v>-2.1534195529618974E-3</v>
      </c>
      <c r="O25" s="6">
        <f t="shared" si="2"/>
        <v>1.7922757536344568E-3</v>
      </c>
      <c r="P25" s="6"/>
      <c r="Q25" s="6">
        <f t="shared" si="3"/>
        <v>3.3205765247499423E-3</v>
      </c>
      <c r="R25" s="6">
        <f t="shared" si="4"/>
        <v>7.9209277625121068E-3</v>
      </c>
      <c r="S25" s="6"/>
      <c r="T25" s="88" t="s">
        <v>61</v>
      </c>
      <c r="U25" s="88"/>
      <c r="AA25" s="38"/>
    </row>
    <row r="26" spans="1:27" ht="17" thickTop="1" x14ac:dyDescent="0.2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0"/>
        <v>2.1228941395579071E-4</v>
      </c>
      <c r="J26" s="6">
        <f t="shared" si="1"/>
        <v>-2.0194689945887755E-2</v>
      </c>
      <c r="K26" s="6">
        <f t="shared" si="1"/>
        <v>4.4589357728930948E-3</v>
      </c>
      <c r="L26" s="6">
        <f t="shared" si="1"/>
        <v>-4.2389693184284203E-3</v>
      </c>
      <c r="M26" s="6">
        <f t="shared" si="1"/>
        <v>2.2107528152630732E-2</v>
      </c>
      <c r="N26" s="6">
        <f t="shared" si="1"/>
        <v>-9.4392046231101256E-3</v>
      </c>
      <c r="O26" s="6">
        <f t="shared" si="2"/>
        <v>1.7889004076430007E-3</v>
      </c>
      <c r="P26" s="6"/>
      <c r="Q26" s="6">
        <f t="shared" si="3"/>
        <v>1.9006989268995113E-3</v>
      </c>
      <c r="R26" s="6">
        <f t="shared" si="4"/>
        <v>2.2107528152630729E-2</v>
      </c>
      <c r="S26" s="6"/>
      <c r="T26" s="3" t="s">
        <v>21</v>
      </c>
      <c r="U26" s="60">
        <f>+((1+AVERAGE(Q3:Q254))^252)-1</f>
        <v>0.42739487589953407</v>
      </c>
      <c r="W26" s="63"/>
      <c r="AA26" s="38"/>
    </row>
    <row r="27" spans="1:27" x14ac:dyDescent="0.2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0"/>
        <v>2.1304815673750532E-4</v>
      </c>
      <c r="J27" s="6">
        <f t="shared" si="1"/>
        <v>-8.9290841663582452E-3</v>
      </c>
      <c r="K27" s="6">
        <f t="shared" si="1"/>
        <v>-1.5520182226064388E-2</v>
      </c>
      <c r="L27" s="6">
        <f t="shared" si="1"/>
        <v>-7.8527809774467452E-3</v>
      </c>
      <c r="M27" s="6">
        <f t="shared" si="1"/>
        <v>-1.5554405482686634E-2</v>
      </c>
      <c r="N27" s="6">
        <f t="shared" si="1"/>
        <v>-1.653687395146802E-2</v>
      </c>
      <c r="O27" s="6">
        <f t="shared" si="2"/>
        <v>3.567724268008604E-3</v>
      </c>
      <c r="P27" s="6"/>
      <c r="Q27" s="6">
        <f t="shared" si="3"/>
        <v>-1.0730049412426886E-2</v>
      </c>
      <c r="R27" s="6">
        <f t="shared" si="4"/>
        <v>-1.5554405482686632E-2</v>
      </c>
      <c r="S27" s="6"/>
      <c r="T27" s="3" t="s">
        <v>63</v>
      </c>
      <c r="U27" s="21" cm="1">
        <f t="array" ref="U27">SQRT(+MMULT(MMULT(U16:X16,U20:X23),TRANSPOSE(U16:X16)))*SQRT(252)</f>
        <v>0.13121709392229405</v>
      </c>
      <c r="W27" s="63"/>
      <c r="AA27" s="38"/>
    </row>
    <row r="28" spans="1:27" x14ac:dyDescent="0.2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0"/>
        <v>2.1266880326109572E-4</v>
      </c>
      <c r="J28" s="6">
        <f t="shared" si="1"/>
        <v>4.932157084030179E-3</v>
      </c>
      <c r="K28" s="6">
        <f t="shared" si="1"/>
        <v>1.0421744338548341E-3</v>
      </c>
      <c r="L28" s="6">
        <f t="shared" si="1"/>
        <v>-9.6290710303040105E-3</v>
      </c>
      <c r="M28" s="6">
        <f t="shared" si="1"/>
        <v>-1.2488017087223817E-2</v>
      </c>
      <c r="N28" s="6">
        <f t="shared" si="1"/>
        <v>-2.2982509659402743E-3</v>
      </c>
      <c r="O28" s="6">
        <f t="shared" si="2"/>
        <v>-1.7821868164193909E-3</v>
      </c>
      <c r="P28" s="6"/>
      <c r="Q28" s="6">
        <f t="shared" si="3"/>
        <v>-7.8759145940440704E-3</v>
      </c>
      <c r="R28" s="6">
        <f t="shared" si="4"/>
        <v>-1.2488017087223816E-2</v>
      </c>
      <c r="S28" s="6"/>
      <c r="T28" s="3" t="s">
        <v>40</v>
      </c>
      <c r="U28" s="61">
        <f>(+U26-U12)/U27</f>
        <v>2.867932386863751</v>
      </c>
      <c r="AA28" s="38"/>
    </row>
    <row r="29" spans="1:27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0"/>
        <v>2.1266880326109572E-4</v>
      </c>
      <c r="J29" s="6">
        <f t="shared" si="1"/>
        <v>7.3532671978666295E-3</v>
      </c>
      <c r="K29" s="6">
        <f t="shared" si="1"/>
        <v>-1.0471250468192831E-2</v>
      </c>
      <c r="L29" s="6">
        <f t="shared" si="1"/>
        <v>4.9286703199951359E-3</v>
      </c>
      <c r="M29" s="6">
        <f t="shared" si="1"/>
        <v>-3.9760898184737319E-3</v>
      </c>
      <c r="N29" s="6">
        <f t="shared" si="1"/>
        <v>4.0150212758186272E-3</v>
      </c>
      <c r="O29" s="6">
        <f t="shared" si="2"/>
        <v>0</v>
      </c>
      <c r="P29" s="6"/>
      <c r="Q29" s="6">
        <f t="shared" si="3"/>
        <v>2.293811043993611E-3</v>
      </c>
      <c r="R29" s="6">
        <f t="shared" si="4"/>
        <v>-3.976089818473731E-3</v>
      </c>
      <c r="S29" s="6"/>
      <c r="AA29" s="38"/>
    </row>
    <row r="30" spans="1:27" ht="17" thickBot="1" x14ac:dyDescent="0.25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0"/>
        <v>2.1228941395579071E-4</v>
      </c>
      <c r="J30" s="6">
        <f t="shared" si="1"/>
        <v>-2.3676570379196956E-2</v>
      </c>
      <c r="K30" s="6">
        <f t="shared" si="1"/>
        <v>-8.2798817906721903E-3</v>
      </c>
      <c r="L30" s="6">
        <f t="shared" si="1"/>
        <v>-1.0433243353410393E-2</v>
      </c>
      <c r="M30" s="6">
        <f t="shared" si="1"/>
        <v>-2.6595130223768674E-3</v>
      </c>
      <c r="N30" s="6">
        <f t="shared" si="1"/>
        <v>-1.4844128717961364E-2</v>
      </c>
      <c r="O30" s="6">
        <f t="shared" si="2"/>
        <v>-1.7855374515891788E-3</v>
      </c>
      <c r="P30" s="6"/>
      <c r="Q30" s="6">
        <f t="shared" si="3"/>
        <v>-1.0231271265189778E-2</v>
      </c>
      <c r="R30" s="6">
        <f t="shared" si="4"/>
        <v>-2.6595130223768669E-3</v>
      </c>
      <c r="S30" s="6"/>
      <c r="T30" s="88" t="s">
        <v>64</v>
      </c>
      <c r="U30" s="88"/>
      <c r="AA30" s="38"/>
    </row>
    <row r="31" spans="1:27" ht="17" thickTop="1" x14ac:dyDescent="0.2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0"/>
        <v>2.1228941395579071E-4</v>
      </c>
      <c r="J31" s="6">
        <f t="shared" si="1"/>
        <v>-8.9372740582099996E-3</v>
      </c>
      <c r="K31" s="6">
        <f t="shared" si="1"/>
        <v>-1.0313022416799286E-2</v>
      </c>
      <c r="L31" s="6">
        <f t="shared" si="1"/>
        <v>5.8476760566381946E-3</v>
      </c>
      <c r="M31" s="6">
        <f t="shared" si="1"/>
        <v>-1.0036916003110012E-2</v>
      </c>
      <c r="N31" s="6">
        <f t="shared" si="1"/>
        <v>2.2929233000634007E-4</v>
      </c>
      <c r="O31" s="6">
        <f t="shared" si="2"/>
        <v>0</v>
      </c>
      <c r="P31" s="6"/>
      <c r="Q31" s="6">
        <f t="shared" si="3"/>
        <v>-2.4561549228513087E-3</v>
      </c>
      <c r="R31" s="6">
        <f t="shared" si="4"/>
        <v>-1.003691600311001E-2</v>
      </c>
      <c r="S31" s="6"/>
      <c r="T31" s="3" t="s">
        <v>21</v>
      </c>
      <c r="U31" s="60">
        <f>+((1+AVERAGE(R3:R254))^252)-1</f>
        <v>0.46515446741124955</v>
      </c>
      <c r="AA31" s="38"/>
    </row>
    <row r="32" spans="1:27" x14ac:dyDescent="0.2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0"/>
        <v>2.1380675622961753E-4</v>
      </c>
      <c r="J32" s="6">
        <f t="shared" si="1"/>
        <v>1.5245124110350558E-3</v>
      </c>
      <c r="K32" s="6">
        <f t="shared" si="1"/>
        <v>-2.5052793506595878E-3</v>
      </c>
      <c r="L32" s="6">
        <f t="shared" si="1"/>
        <v>1.2339652914118577E-2</v>
      </c>
      <c r="M32" s="6">
        <f t="shared" si="1"/>
        <v>9.370913321953802E-3</v>
      </c>
      <c r="N32" s="6">
        <f t="shared" si="1"/>
        <v>5.8757768874731896E-3</v>
      </c>
      <c r="O32" s="6">
        <f t="shared" si="2"/>
        <v>7.1220949345627872E-3</v>
      </c>
      <c r="P32" s="6"/>
      <c r="Q32" s="6">
        <f t="shared" si="3"/>
        <v>9.2693182775853162E-3</v>
      </c>
      <c r="R32" s="6">
        <f t="shared" si="4"/>
        <v>9.3709133219538002E-3</v>
      </c>
      <c r="S32" s="6"/>
      <c r="T32" s="3" t="s">
        <v>63</v>
      </c>
      <c r="U32" s="21" cm="1">
        <f t="array" ref="U32">SQRT(+MMULT(MMULT(U17:X17,U20:X23),TRANSPOSE(U17:X17)))*SQRT(252)</f>
        <v>0.21225696831929117</v>
      </c>
      <c r="AA32" s="38"/>
    </row>
    <row r="33" spans="1:27" x14ac:dyDescent="0.2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0"/>
        <v>2.1266880326109572E-4</v>
      </c>
      <c r="J33" s="6">
        <f t="shared" si="1"/>
        <v>3.0418117645047292E-3</v>
      </c>
      <c r="K33" s="6">
        <f t="shared" si="1"/>
        <v>3.0412831937692204E-3</v>
      </c>
      <c r="L33" s="6">
        <f t="shared" si="1"/>
        <v>-1.7566587699048578E-2</v>
      </c>
      <c r="M33" s="6">
        <f t="shared" si="1"/>
        <v>6.6600268115622394E-4</v>
      </c>
      <c r="N33" s="6">
        <f t="shared" si="1"/>
        <v>-2.7131686755154211E-3</v>
      </c>
      <c r="O33" s="6">
        <f t="shared" si="2"/>
        <v>-5.3365574829737777E-3</v>
      </c>
      <c r="P33" s="6"/>
      <c r="Q33" s="6">
        <f t="shared" si="3"/>
        <v>-7.3492792696295845E-3</v>
      </c>
      <c r="R33" s="6">
        <f t="shared" si="4"/>
        <v>6.6600268115622383E-4</v>
      </c>
      <c r="S33" s="6"/>
      <c r="T33" s="3" t="s">
        <v>13</v>
      </c>
      <c r="U33" s="61" cm="1">
        <f t="array" ref="U33">+SLOPE((R3:R254-O3:O254),(N3:N254-O3:O254))</f>
        <v>0.62244961080506556</v>
      </c>
      <c r="AA33" s="38"/>
    </row>
    <row r="34" spans="1:27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0"/>
        <v>2.1266880326109572E-4</v>
      </c>
      <c r="J34" s="6">
        <f t="shared" si="1"/>
        <v>1.4726612543542477E-2</v>
      </c>
      <c r="K34" s="6">
        <f t="shared" si="1"/>
        <v>-8.9718561804357604E-3</v>
      </c>
      <c r="L34" s="6">
        <f t="shared" si="1"/>
        <v>-8.6567488859623613E-3</v>
      </c>
      <c r="M34" s="6">
        <f t="shared" si="1"/>
        <v>-2.3578125464621125E-2</v>
      </c>
      <c r="N34" s="6">
        <f t="shared" si="1"/>
        <v>7.9286976922361474E-5</v>
      </c>
      <c r="O34" s="6">
        <f t="shared" si="2"/>
        <v>0</v>
      </c>
      <c r="P34" s="6"/>
      <c r="Q34" s="6">
        <f t="shared" si="3"/>
        <v>-9.4284978783766675E-3</v>
      </c>
      <c r="R34" s="6">
        <f t="shared" si="4"/>
        <v>-2.3578125464621121E-2</v>
      </c>
      <c r="S34" s="6"/>
      <c r="T34" s="3" t="s">
        <v>41</v>
      </c>
      <c r="U34" s="61">
        <f>+(U31-U12)/U33</f>
        <v>0.66524476470639871</v>
      </c>
      <c r="AA34" s="38"/>
    </row>
    <row r="35" spans="1:27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0"/>
        <v>2.1380675622961753E-4</v>
      </c>
      <c r="J35" s="6">
        <f t="shared" si="1"/>
        <v>-7.8002013931504684E-3</v>
      </c>
      <c r="K35" s="6">
        <f t="shared" si="1"/>
        <v>-1.0873561101627389E-2</v>
      </c>
      <c r="L35" s="6">
        <f t="shared" si="1"/>
        <v>-7.4001160534839551E-3</v>
      </c>
      <c r="M35" s="6">
        <f t="shared" si="1"/>
        <v>7.470418425544037E-3</v>
      </c>
      <c r="N35" s="6">
        <f t="shared" si="1"/>
        <v>-1.3839410161483797E-2</v>
      </c>
      <c r="O35" s="6">
        <f t="shared" si="2"/>
        <v>5.3365574829737977E-3</v>
      </c>
      <c r="P35" s="6"/>
      <c r="Q35" s="6">
        <f t="shared" si="3"/>
        <v>-2.3119340326410377E-3</v>
      </c>
      <c r="R35" s="6">
        <f t="shared" si="4"/>
        <v>7.4704184255440361E-3</v>
      </c>
      <c r="S35" s="6"/>
      <c r="T35" s="3" t="s">
        <v>40</v>
      </c>
      <c r="U35" s="61">
        <f>+U31/U32</f>
        <v>2.1914685350237031</v>
      </c>
      <c r="AA35" s="38"/>
    </row>
    <row r="36" spans="1:27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0"/>
        <v>2.1380675622961753E-4</v>
      </c>
      <c r="J36" s="6">
        <f t="shared" ref="J36:N67" si="6">LN(B36/B35)</f>
        <v>7.2820978273525263E-3</v>
      </c>
      <c r="K36" s="6">
        <f t="shared" si="6"/>
        <v>2.9112300036451422E-3</v>
      </c>
      <c r="L36" s="6">
        <f t="shared" si="6"/>
        <v>4.4743812840926343E-3</v>
      </c>
      <c r="M36" s="6">
        <f t="shared" si="6"/>
        <v>-8.8346792935787202E-3</v>
      </c>
      <c r="N36" s="6">
        <f t="shared" si="6"/>
        <v>8.0770937870001339E-3</v>
      </c>
      <c r="O36" s="6">
        <f t="shared" si="2"/>
        <v>0</v>
      </c>
      <c r="P36" s="6"/>
      <c r="Q36" s="6">
        <f t="shared" si="3"/>
        <v>3.8242452117956231E-4</v>
      </c>
      <c r="R36" s="6">
        <f t="shared" si="4"/>
        <v>-8.8346792935787184E-3</v>
      </c>
      <c r="S36" s="6"/>
      <c r="AA36" s="38"/>
    </row>
    <row r="37" spans="1:27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0"/>
        <v>2.1115103099722532E-4</v>
      </c>
      <c r="J37" s="6">
        <f t="shared" si="6"/>
        <v>7.1721957179410305E-3</v>
      </c>
      <c r="K37" s="6">
        <f t="shared" si="6"/>
        <v>-4.9535374384451825E-2</v>
      </c>
      <c r="L37" s="6">
        <f t="shared" si="6"/>
        <v>4.2075901542361687E-3</v>
      </c>
      <c r="M37" s="6">
        <f t="shared" si="6"/>
        <v>1.2211857867236135E-2</v>
      </c>
      <c r="N37" s="6">
        <f t="shared" si="6"/>
        <v>-1.3048673867472557E-3</v>
      </c>
      <c r="O37" s="6">
        <f t="shared" si="2"/>
        <v>-1.2498934651813405E-2</v>
      </c>
      <c r="P37" s="6"/>
      <c r="Q37" s="6">
        <f t="shared" si="3"/>
        <v>7.546036033830892E-3</v>
      </c>
      <c r="R37" s="6">
        <f t="shared" si="4"/>
        <v>1.2211857867236133E-2</v>
      </c>
      <c r="S37" s="6"/>
      <c r="AA37" s="38"/>
    </row>
    <row r="38" spans="1:27" x14ac:dyDescent="0.2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0"/>
        <v>2.1001232533235381E-4</v>
      </c>
      <c r="J38" s="6">
        <f t="shared" si="6"/>
        <v>1.4642797262619538E-2</v>
      </c>
      <c r="K38" s="6">
        <f t="shared" si="6"/>
        <v>1.4405068586763934E-2</v>
      </c>
      <c r="L38" s="6">
        <f t="shared" si="6"/>
        <v>1.5278133083516892E-2</v>
      </c>
      <c r="M38" s="6">
        <f t="shared" si="6"/>
        <v>-7.0340122474886078E-3</v>
      </c>
      <c r="N38" s="6">
        <f t="shared" si="6"/>
        <v>1.1745628333713317E-2</v>
      </c>
      <c r="O38" s="6">
        <f t="shared" si="2"/>
        <v>-5.4074430856563748E-3</v>
      </c>
      <c r="P38" s="6"/>
      <c r="Q38" s="6">
        <f t="shared" si="3"/>
        <v>7.4106788460420632E-3</v>
      </c>
      <c r="R38" s="6">
        <f t="shared" si="4"/>
        <v>-7.0340122474886069E-3</v>
      </c>
      <c r="S38" s="6"/>
      <c r="AA38" s="38"/>
    </row>
    <row r="39" spans="1:27" x14ac:dyDescent="0.2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0"/>
        <v>2.1153052783073889E-4</v>
      </c>
      <c r="J39" s="6">
        <f t="shared" si="6"/>
        <v>8.4155364965835446E-3</v>
      </c>
      <c r="K39" s="6">
        <f t="shared" si="6"/>
        <v>-4.9046695157092994E-3</v>
      </c>
      <c r="L39" s="6">
        <f t="shared" si="6"/>
        <v>-2.2767875931944174E-3</v>
      </c>
      <c r="M39" s="6">
        <f t="shared" si="6"/>
        <v>1.919178660718069E-2</v>
      </c>
      <c r="N39" s="6">
        <f t="shared" si="6"/>
        <v>6.2840320810455159E-3</v>
      </c>
      <c r="O39" s="6">
        <f t="shared" si="2"/>
        <v>7.2031066416294353E-3</v>
      </c>
      <c r="P39" s="6"/>
      <c r="Q39" s="6">
        <f t="shared" si="3"/>
        <v>7.1942495184056108E-3</v>
      </c>
      <c r="R39" s="6">
        <f t="shared" si="4"/>
        <v>1.9191786607180687E-2</v>
      </c>
      <c r="S39" s="6"/>
      <c r="AA39" s="38"/>
    </row>
    <row r="40" spans="1:27" x14ac:dyDescent="0.2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0"/>
        <v>2.1153052783073889E-4</v>
      </c>
      <c r="J40" s="6">
        <f t="shared" si="6"/>
        <v>-3.3577377412587176E-3</v>
      </c>
      <c r="K40" s="6">
        <f t="shared" si="6"/>
        <v>2.1514155913894644E-2</v>
      </c>
      <c r="L40" s="6">
        <f t="shared" si="6"/>
        <v>6.0600170693245765E-3</v>
      </c>
      <c r="M40" s="6">
        <f t="shared" si="6"/>
        <v>1.5493841465178439E-2</v>
      </c>
      <c r="N40" s="6">
        <f t="shared" si="6"/>
        <v>5.1944583608864153E-3</v>
      </c>
      <c r="O40" s="6">
        <f t="shared" si="2"/>
        <v>0</v>
      </c>
      <c r="P40" s="6"/>
      <c r="Q40" s="6">
        <f t="shared" si="3"/>
        <v>7.5598483942191531E-3</v>
      </c>
      <c r="R40" s="6">
        <f t="shared" si="4"/>
        <v>1.5493841465178437E-2</v>
      </c>
      <c r="S40" s="6"/>
      <c r="AA40" s="38"/>
    </row>
    <row r="41" spans="1:27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0"/>
        <v>2.0925300885044074E-4</v>
      </c>
      <c r="J41" s="6">
        <f t="shared" si="6"/>
        <v>7.8729256654077838E-3</v>
      </c>
      <c r="K41" s="6">
        <f t="shared" si="6"/>
        <v>-5.9402085775266582E-3</v>
      </c>
      <c r="L41" s="6">
        <f t="shared" si="6"/>
        <v>3.4271245700145075E-3</v>
      </c>
      <c r="M41" s="6">
        <f t="shared" si="6"/>
        <v>-1.2781979492703863E-2</v>
      </c>
      <c r="N41" s="6">
        <f t="shared" si="6"/>
        <v>4.2838286545689866E-3</v>
      </c>
      <c r="O41" s="6">
        <f t="shared" si="2"/>
        <v>-1.0825239215833657E-2</v>
      </c>
      <c r="P41" s="6"/>
      <c r="Q41" s="6">
        <f t="shared" si="3"/>
        <v>-1.362937231010072E-3</v>
      </c>
      <c r="R41" s="6">
        <f t="shared" si="4"/>
        <v>-1.2781979492703861E-2</v>
      </c>
      <c r="S41" s="6"/>
      <c r="AA41" s="38"/>
    </row>
    <row r="42" spans="1:27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0"/>
        <v>2.0963268503315646E-4</v>
      </c>
      <c r="J42" s="6">
        <f t="shared" si="6"/>
        <v>5.0484914715231101E-3</v>
      </c>
      <c r="K42" s="6">
        <f t="shared" si="6"/>
        <v>-1.6898605731409447E-2</v>
      </c>
      <c r="L42" s="6">
        <f t="shared" si="6"/>
        <v>-2.3292037153074849E-3</v>
      </c>
      <c r="M42" s="6">
        <f t="shared" si="6"/>
        <v>-2.1903648579655197E-2</v>
      </c>
      <c r="N42" s="6">
        <f t="shared" si="6"/>
        <v>-6.2659488852716012E-3</v>
      </c>
      <c r="O42" s="6">
        <f t="shared" si="2"/>
        <v>1.8127918534072056E-3</v>
      </c>
      <c r="P42" s="6"/>
      <c r="Q42" s="6">
        <f t="shared" si="3"/>
        <v>-7.7349588540997268E-3</v>
      </c>
      <c r="R42" s="6">
        <f t="shared" si="4"/>
        <v>-2.1903648579655193E-2</v>
      </c>
      <c r="S42" s="6"/>
      <c r="AA42" s="38"/>
    </row>
    <row r="43" spans="1:27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0"/>
        <v>2.1153052783073889E-4</v>
      </c>
      <c r="J43" s="6">
        <f t="shared" si="6"/>
        <v>-1.0346128156285038E-2</v>
      </c>
      <c r="K43" s="6">
        <f t="shared" si="6"/>
        <v>1.5136608826072475E-3</v>
      </c>
      <c r="L43" s="6">
        <f t="shared" si="6"/>
        <v>1.490802752612275E-2</v>
      </c>
      <c r="M43" s="6">
        <f t="shared" si="6"/>
        <v>-6.2479325408984904E-3</v>
      </c>
      <c r="N43" s="6">
        <f t="shared" si="6"/>
        <v>-5.0314774496886677E-3</v>
      </c>
      <c r="O43" s="6">
        <f t="shared" si="2"/>
        <v>9.0124473624263561E-3</v>
      </c>
      <c r="P43" s="6"/>
      <c r="Q43" s="6">
        <f t="shared" si="3"/>
        <v>2.7995346192651849E-3</v>
      </c>
      <c r="R43" s="6">
        <f t="shared" si="4"/>
        <v>-6.2479325408984895E-3</v>
      </c>
      <c r="S43" s="6"/>
      <c r="AA43" s="38"/>
    </row>
    <row r="44" spans="1:27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0"/>
        <v>2.107714983077269E-4</v>
      </c>
      <c r="J44" s="6">
        <f t="shared" si="6"/>
        <v>-7.2710133536225421E-4</v>
      </c>
      <c r="K44" s="6">
        <f t="shared" si="6"/>
        <v>1.0158067162630343E-2</v>
      </c>
      <c r="L44" s="6">
        <f t="shared" si="6"/>
        <v>-1.0140315442376808E-3</v>
      </c>
      <c r="M44" s="6">
        <f t="shared" si="6"/>
        <v>3.47593227385585E-3</v>
      </c>
      <c r="N44" s="6">
        <f t="shared" si="6"/>
        <v>1.0538619453747615E-2</v>
      </c>
      <c r="O44" s="6">
        <f t="shared" si="2"/>
        <v>-3.5947274385814774E-3</v>
      </c>
      <c r="P44" s="6"/>
      <c r="Q44" s="6">
        <f t="shared" si="3"/>
        <v>5.991667264906524E-4</v>
      </c>
      <c r="R44" s="6">
        <f t="shared" si="4"/>
        <v>3.4759322738558496E-3</v>
      </c>
      <c r="S44" s="6"/>
      <c r="AA44" s="38"/>
    </row>
    <row r="45" spans="1:27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0"/>
        <v>2.1115103099722532E-4</v>
      </c>
      <c r="J45" s="6">
        <f t="shared" si="6"/>
        <v>-8.8236168219693739E-3</v>
      </c>
      <c r="K45" s="6">
        <f t="shared" si="6"/>
        <v>1.1907236828734701E-2</v>
      </c>
      <c r="L45" s="6">
        <f t="shared" si="6"/>
        <v>-2.1668112665697982E-3</v>
      </c>
      <c r="M45" s="6">
        <f t="shared" si="6"/>
        <v>1.1728316519177792E-2</v>
      </c>
      <c r="N45" s="6">
        <f t="shared" si="6"/>
        <v>-9.8321334779938874E-5</v>
      </c>
      <c r="O45" s="6">
        <f t="shared" si="2"/>
        <v>1.799063882608539E-3</v>
      </c>
      <c r="P45" s="6"/>
      <c r="Q45" s="6">
        <f t="shared" si="3"/>
        <v>1.40280618707462E-3</v>
      </c>
      <c r="R45" s="6">
        <f t="shared" si="4"/>
        <v>1.172831651917779E-2</v>
      </c>
      <c r="S45" s="6"/>
      <c r="AA45" s="38"/>
    </row>
    <row r="46" spans="1:27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0"/>
        <v>2.1342747439123677E-4</v>
      </c>
      <c r="J46" s="6">
        <f t="shared" si="6"/>
        <v>-7.4223370429170512E-3</v>
      </c>
      <c r="K46" s="6">
        <f t="shared" si="6"/>
        <v>-3.7001627652822851E-4</v>
      </c>
      <c r="L46" s="6">
        <f t="shared" si="6"/>
        <v>-1.1041381345434621E-2</v>
      </c>
      <c r="M46" s="6">
        <f t="shared" si="6"/>
        <v>-1.7993646801684915E-2</v>
      </c>
      <c r="N46" s="6">
        <f t="shared" si="6"/>
        <v>-1.349038622382619E-2</v>
      </c>
      <c r="O46" s="6">
        <f t="shared" si="2"/>
        <v>1.0723412416764824E-2</v>
      </c>
      <c r="P46" s="6"/>
      <c r="Q46" s="6">
        <f t="shared" si="3"/>
        <v>-1.2773014708979426E-2</v>
      </c>
      <c r="R46" s="6">
        <f t="shared" si="4"/>
        <v>-1.7993646801684911E-2</v>
      </c>
      <c r="S46" s="6"/>
      <c r="AA46" s="38"/>
    </row>
    <row r="47" spans="1:27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0"/>
        <v>2.1304815673750532E-4</v>
      </c>
      <c r="J47" s="6">
        <f t="shared" si="6"/>
        <v>-2.1632256780532658E-3</v>
      </c>
      <c r="K47" s="6">
        <f t="shared" si="6"/>
        <v>5.5350153172178456E-3</v>
      </c>
      <c r="L47" s="6">
        <f t="shared" si="6"/>
        <v>-4.2583678361532767E-3</v>
      </c>
      <c r="M47" s="6">
        <f t="shared" si="6"/>
        <v>6.3577877182322051E-2</v>
      </c>
      <c r="N47" s="6">
        <f t="shared" si="6"/>
        <v>-8.5190096941524674E-3</v>
      </c>
      <c r="O47" s="6">
        <f t="shared" si="2"/>
        <v>-1.7788484315057955E-3</v>
      </c>
      <c r="P47" s="6"/>
      <c r="Q47" s="6">
        <f t="shared" si="3"/>
        <v>1.9692109801849905E-2</v>
      </c>
      <c r="R47" s="6">
        <f t="shared" si="4"/>
        <v>6.3577877182322037E-2</v>
      </c>
      <c r="S47" s="6"/>
      <c r="AA47" s="38"/>
    </row>
    <row r="48" spans="1:27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0"/>
        <v>2.1190998881470691E-4</v>
      </c>
      <c r="J48" s="6">
        <f t="shared" si="6"/>
        <v>-1.48134638605088E-2</v>
      </c>
      <c r="K48" s="6">
        <f t="shared" si="6"/>
        <v>4.0397446205238134E-3</v>
      </c>
      <c r="L48" s="6">
        <f t="shared" si="6"/>
        <v>-1.623677213768495E-2</v>
      </c>
      <c r="M48" s="6">
        <f t="shared" si="6"/>
        <v>7.8330630368045693E-3</v>
      </c>
      <c r="N48" s="6">
        <f t="shared" si="6"/>
        <v>-1.2665186185757991E-2</v>
      </c>
      <c r="O48" s="6">
        <f t="shared" si="2"/>
        <v>-5.3566246756515997E-3</v>
      </c>
      <c r="P48" s="6"/>
      <c r="Q48" s="6">
        <f t="shared" si="3"/>
        <v>-7.6103871121983181E-3</v>
      </c>
      <c r="R48" s="6">
        <f t="shared" si="4"/>
        <v>7.8330630368045676E-3</v>
      </c>
      <c r="S48" s="6"/>
      <c r="AA48" s="38"/>
    </row>
    <row r="49" spans="1:27" x14ac:dyDescent="0.2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0"/>
        <v>2.107714983077269E-4</v>
      </c>
      <c r="J49" s="6">
        <f t="shared" si="6"/>
        <v>6.9385280456884656E-4</v>
      </c>
      <c r="K49" s="6">
        <f t="shared" si="6"/>
        <v>-9.01984365197008E-3</v>
      </c>
      <c r="L49" s="6">
        <f t="shared" si="6"/>
        <v>-1.3735076896956099E-2</v>
      </c>
      <c r="M49" s="6">
        <f t="shared" si="6"/>
        <v>-2.8356670761467306E-2</v>
      </c>
      <c r="N49" s="6">
        <f t="shared" si="6"/>
        <v>-1.6869643388467898E-3</v>
      </c>
      <c r="O49" s="6">
        <f t="shared" si="2"/>
        <v>-5.3870031922159129E-3</v>
      </c>
      <c r="P49" s="6"/>
      <c r="Q49" s="6">
        <f t="shared" si="3"/>
        <v>-1.6091317896349336E-2</v>
      </c>
      <c r="R49" s="6">
        <f t="shared" si="4"/>
        <v>-2.8356670761467303E-2</v>
      </c>
      <c r="S49" s="6"/>
      <c r="AA49" s="38"/>
    </row>
    <row r="50" spans="1:27" x14ac:dyDescent="0.2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0"/>
        <v>2.1115103099722532E-4</v>
      </c>
      <c r="J50" s="6">
        <f t="shared" si="6"/>
        <v>2.5402110604923374E-3</v>
      </c>
      <c r="K50" s="6">
        <f t="shared" si="6"/>
        <v>2.8437891260977562E-2</v>
      </c>
      <c r="L50" s="6">
        <f t="shared" si="6"/>
        <v>1.2049500256252955E-3</v>
      </c>
      <c r="M50" s="6">
        <f t="shared" si="6"/>
        <v>3.8062243981015008E-2</v>
      </c>
      <c r="N50" s="6">
        <f t="shared" si="6"/>
        <v>7.2394913997594025E-3</v>
      </c>
      <c r="O50" s="6">
        <f t="shared" si="2"/>
        <v>1.799063882608539E-3</v>
      </c>
      <c r="P50" s="6"/>
      <c r="Q50" s="6">
        <f t="shared" si="3"/>
        <v>1.4255034910361413E-2</v>
      </c>
      <c r="R50" s="6">
        <f t="shared" si="4"/>
        <v>3.8062243981015001E-2</v>
      </c>
      <c r="S50" s="6"/>
      <c r="AA50" s="38"/>
    </row>
    <row r="51" spans="1:27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0"/>
        <v>2.107714983077269E-4</v>
      </c>
      <c r="J51" s="6">
        <f t="shared" si="6"/>
        <v>-1.3583577722310494E-2</v>
      </c>
      <c r="K51" s="6">
        <f t="shared" si="6"/>
        <v>8.5898919565569297E-3</v>
      </c>
      <c r="L51" s="6">
        <f t="shared" si="6"/>
        <v>-5.4694749611117069E-3</v>
      </c>
      <c r="M51" s="6">
        <f t="shared" si="6"/>
        <v>-2.2136321441816844E-2</v>
      </c>
      <c r="N51" s="6">
        <f t="shared" si="6"/>
        <v>-1.4443397939346892E-2</v>
      </c>
      <c r="O51" s="6">
        <f t="shared" si="2"/>
        <v>-1.7990638826084831E-3</v>
      </c>
      <c r="P51" s="6"/>
      <c r="Q51" s="6">
        <f t="shared" si="3"/>
        <v>-1.2786975412665973E-2</v>
      </c>
      <c r="R51" s="6">
        <f t="shared" si="4"/>
        <v>-2.2136321441816841E-2</v>
      </c>
      <c r="S51" s="6"/>
      <c r="AA51" s="38"/>
    </row>
    <row r="52" spans="1:27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0"/>
        <v>2.1153052783073889E-4</v>
      </c>
      <c r="J52" s="6">
        <f t="shared" si="6"/>
        <v>-2.4913184770041188E-2</v>
      </c>
      <c r="K52" s="6">
        <f t="shared" si="6"/>
        <v>-6.0768940601561034E-3</v>
      </c>
      <c r="L52" s="6">
        <f t="shared" si="6"/>
        <v>2.5609400579485304E-3</v>
      </c>
      <c r="M52" s="6">
        <f t="shared" si="6"/>
        <v>-4.6189215703234801E-3</v>
      </c>
      <c r="N52" s="6">
        <f t="shared" si="6"/>
        <v>-1.1903071819740901E-2</v>
      </c>
      <c r="O52" s="6">
        <f t="shared" si="2"/>
        <v>3.5947274385814149E-3</v>
      </c>
      <c r="P52" s="6"/>
      <c r="Q52" s="6">
        <f t="shared" si="3"/>
        <v>-5.1131396996198716E-3</v>
      </c>
      <c r="R52" s="6">
        <f t="shared" si="4"/>
        <v>-4.6189215703234792E-3</v>
      </c>
      <c r="S52" s="6"/>
      <c r="AA52" s="38"/>
    </row>
    <row r="53" spans="1:27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0"/>
        <v>2.1001232533235381E-4</v>
      </c>
      <c r="J53" s="6">
        <f t="shared" si="6"/>
        <v>7.9376258370334254E-3</v>
      </c>
      <c r="K53" s="6">
        <f t="shared" si="6"/>
        <v>-9.7279469304567372E-3</v>
      </c>
      <c r="L53" s="6">
        <f t="shared" si="6"/>
        <v>-3.6683337928199083E-2</v>
      </c>
      <c r="M53" s="6">
        <f t="shared" si="6"/>
        <v>-2.0040684628752883E-2</v>
      </c>
      <c r="N53" s="6">
        <f t="shared" si="6"/>
        <v>-4.811871761208667E-3</v>
      </c>
      <c r="O53" s="6">
        <f t="shared" si="2"/>
        <v>-7.2031066416293607E-3</v>
      </c>
      <c r="P53" s="6"/>
      <c r="Q53" s="6">
        <f t="shared" si="3"/>
        <v>-2.24899314103712E-2</v>
      </c>
      <c r="R53" s="6">
        <f t="shared" si="4"/>
        <v>-2.0040684628752879E-2</v>
      </c>
      <c r="S53" s="6"/>
      <c r="AA53" s="38"/>
    </row>
    <row r="54" spans="1:27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0"/>
        <v>2.1001232533235381E-4</v>
      </c>
      <c r="J54" s="6">
        <f t="shared" si="6"/>
        <v>1.2230145391432332E-2</v>
      </c>
      <c r="K54" s="6">
        <f t="shared" si="6"/>
        <v>1.6339294527615768E-2</v>
      </c>
      <c r="L54" s="6">
        <f t="shared" si="6"/>
        <v>1.26689866257148E-2</v>
      </c>
      <c r="M54" s="6">
        <f t="shared" si="6"/>
        <v>2.9257291384540907E-2</v>
      </c>
      <c r="N54" s="6">
        <f t="shared" si="6"/>
        <v>1.1938544947970331E-2</v>
      </c>
      <c r="O54" s="6">
        <f t="shared" si="2"/>
        <v>0</v>
      </c>
      <c r="P54" s="6"/>
      <c r="Q54" s="6">
        <f t="shared" si="3"/>
        <v>1.8346336930474313E-2</v>
      </c>
      <c r="R54" s="6">
        <f t="shared" si="4"/>
        <v>2.9257291384540904E-2</v>
      </c>
      <c r="S54" s="6"/>
      <c r="AA54" s="38"/>
    </row>
    <row r="55" spans="1:27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0"/>
        <v>2.107714983077269E-4</v>
      </c>
      <c r="J55" s="6">
        <f t="shared" si="6"/>
        <v>2.8148308012558494E-3</v>
      </c>
      <c r="K55" s="6">
        <f t="shared" si="6"/>
        <v>6.0369707476601144E-3</v>
      </c>
      <c r="L55" s="6">
        <f t="shared" si="6"/>
        <v>1.1863603111821981E-2</v>
      </c>
      <c r="M55" s="6">
        <f t="shared" si="6"/>
        <v>9.1325041752728462E-3</v>
      </c>
      <c r="N55" s="6">
        <f t="shared" si="6"/>
        <v>6.4540892074659807E-3</v>
      </c>
      <c r="O55" s="6">
        <f t="shared" si="2"/>
        <v>3.6083792030479219E-3</v>
      </c>
      <c r="P55" s="6"/>
      <c r="Q55" s="6">
        <f t="shared" si="3"/>
        <v>9.2088806798137253E-3</v>
      </c>
      <c r="R55" s="6">
        <f t="shared" si="4"/>
        <v>9.1325041752728445E-3</v>
      </c>
      <c r="S55" s="6"/>
      <c r="AA55" s="38"/>
    </row>
    <row r="56" spans="1:27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0"/>
        <v>2.1190998881470691E-4</v>
      </c>
      <c r="J56" s="6">
        <f t="shared" si="6"/>
        <v>1.8565290897534802E-2</v>
      </c>
      <c r="K56" s="6">
        <f t="shared" si="6"/>
        <v>-8.8556819319023528E-4</v>
      </c>
      <c r="L56" s="6">
        <f t="shared" si="6"/>
        <v>-8.6331287395108823E-4</v>
      </c>
      <c r="M56" s="6">
        <f t="shared" si="6"/>
        <v>1.1620614661695866E-2</v>
      </c>
      <c r="N56" s="6">
        <f t="shared" si="6"/>
        <v>1.0451180679737281E-2</v>
      </c>
      <c r="O56" s="6">
        <f t="shared" si="2"/>
        <v>5.3870031922159962E-3</v>
      </c>
      <c r="P56" s="6"/>
      <c r="Q56" s="6">
        <f t="shared" si="3"/>
        <v>7.1353552551786034E-3</v>
      </c>
      <c r="R56" s="6">
        <f t="shared" si="4"/>
        <v>1.1620614661695864E-2</v>
      </c>
      <c r="S56" s="6"/>
      <c r="AA56" s="38"/>
    </row>
    <row r="57" spans="1:27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0"/>
        <v>2.0925300885044074E-4</v>
      </c>
      <c r="J57" s="6">
        <f t="shared" si="6"/>
        <v>2.0482069684558096E-2</v>
      </c>
      <c r="K57" s="6">
        <f t="shared" si="6"/>
        <v>1.1450857122828546E-2</v>
      </c>
      <c r="L57" s="6">
        <f t="shared" si="6"/>
        <v>1.7691845912209535E-2</v>
      </c>
      <c r="M57" s="6">
        <f t="shared" si="6"/>
        <v>9.581644883623272E-3</v>
      </c>
      <c r="N57" s="6">
        <f t="shared" si="6"/>
        <v>1.8682956430735833E-2</v>
      </c>
      <c r="O57" s="6">
        <f t="shared" si="2"/>
        <v>-1.2617514969468103E-2</v>
      </c>
      <c r="P57" s="6"/>
      <c r="Q57" s="6">
        <f t="shared" si="3"/>
        <v>1.5401836834377028E-2</v>
      </c>
      <c r="R57" s="6">
        <f t="shared" si="4"/>
        <v>9.5816448836232703E-3</v>
      </c>
      <c r="S57" s="6"/>
      <c r="AA57" s="38"/>
    </row>
    <row r="58" spans="1:27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0"/>
        <v>2.0963268503315646E-4</v>
      </c>
      <c r="J58" s="6">
        <f t="shared" si="6"/>
        <v>-5.1946810275440517E-3</v>
      </c>
      <c r="K58" s="6">
        <f t="shared" si="6"/>
        <v>-6.1495523287532295E-3</v>
      </c>
      <c r="L58" s="6">
        <f t="shared" si="6"/>
        <v>1.1110587455196269E-2</v>
      </c>
      <c r="M58" s="6">
        <f t="shared" si="6"/>
        <v>9.4907076045383631E-3</v>
      </c>
      <c r="N58" s="6">
        <f t="shared" si="6"/>
        <v>9.3498696374369732E-3</v>
      </c>
      <c r="O58" s="6">
        <f t="shared" si="2"/>
        <v>1.8127918534072056E-3</v>
      </c>
      <c r="P58" s="6"/>
      <c r="Q58" s="6">
        <f t="shared" si="3"/>
        <v>7.4733246954884567E-3</v>
      </c>
      <c r="R58" s="6">
        <f t="shared" si="4"/>
        <v>9.4907076045383613E-3</v>
      </c>
      <c r="S58" s="6"/>
      <c r="AA58" s="38"/>
    </row>
    <row r="59" spans="1:27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0"/>
        <v>2.0621430676981412E-4</v>
      </c>
      <c r="J59" s="6">
        <f t="shared" si="6"/>
        <v>1.44996022601437E-2</v>
      </c>
      <c r="K59" s="6">
        <f t="shared" si="6"/>
        <v>4.0454488376433064E-3</v>
      </c>
      <c r="L59" s="6">
        <f t="shared" si="6"/>
        <v>7.5241008178584595E-3</v>
      </c>
      <c r="M59" s="6">
        <f t="shared" si="6"/>
        <v>-8.2201612246451568E-3</v>
      </c>
      <c r="N59" s="6">
        <f t="shared" si="6"/>
        <v>1.7514263468030517E-3</v>
      </c>
      <c r="O59" s="6">
        <f t="shared" si="2"/>
        <v>-1.6440928180425498E-2</v>
      </c>
      <c r="P59" s="6"/>
      <c r="Q59" s="6">
        <f t="shared" si="3"/>
        <v>3.3724902743584089E-3</v>
      </c>
      <c r="R59" s="6">
        <f t="shared" si="4"/>
        <v>-8.220161224645155E-3</v>
      </c>
      <c r="S59" s="6"/>
      <c r="AA59" s="38"/>
    </row>
    <row r="60" spans="1:27" x14ac:dyDescent="0.2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0"/>
        <v>2.0773394514983501E-4</v>
      </c>
      <c r="J60" s="6">
        <f t="shared" si="6"/>
        <v>1.4347282613426004E-2</v>
      </c>
      <c r="K60" s="6">
        <f t="shared" si="6"/>
        <v>3.6793121473435051E-3</v>
      </c>
      <c r="L60" s="6">
        <f t="shared" si="6"/>
        <v>-4.8618261899616047E-4</v>
      </c>
      <c r="M60" s="6">
        <f t="shared" si="6"/>
        <v>5.6981618175608508E-3</v>
      </c>
      <c r="N60" s="6">
        <f t="shared" si="6"/>
        <v>2.8361156932399829E-3</v>
      </c>
      <c r="O60" s="6">
        <f t="shared" si="2"/>
        <v>7.3421989327175866E-3</v>
      </c>
      <c r="P60" s="6"/>
      <c r="Q60" s="6">
        <f t="shared" si="3"/>
        <v>4.458493584148215E-3</v>
      </c>
      <c r="R60" s="6">
        <f t="shared" si="4"/>
        <v>5.6981618175608499E-3</v>
      </c>
      <c r="S60" s="6"/>
      <c r="AA60" s="38"/>
    </row>
    <row r="61" spans="1:27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0"/>
        <v>2.0773394514983501E-4</v>
      </c>
      <c r="J61" s="6">
        <f t="shared" si="6"/>
        <v>5.8675683603629037E-3</v>
      </c>
      <c r="K61" s="6">
        <f t="shared" si="6"/>
        <v>-1.5752086562333767E-3</v>
      </c>
      <c r="L61" s="6">
        <f t="shared" si="6"/>
        <v>4.9183358399554396E-3</v>
      </c>
      <c r="M61" s="6">
        <f t="shared" si="6"/>
        <v>-1.2067567354175589E-2</v>
      </c>
      <c r="N61" s="6">
        <f t="shared" si="6"/>
        <v>1.0044332873557552E-3</v>
      </c>
      <c r="O61" s="6">
        <f t="shared" si="2"/>
        <v>0</v>
      </c>
      <c r="P61" s="6"/>
      <c r="Q61" s="6">
        <f t="shared" si="3"/>
        <v>-8.0082872350029956E-4</v>
      </c>
      <c r="R61" s="6">
        <f t="shared" si="4"/>
        <v>-1.2067567354175588E-2</v>
      </c>
      <c r="S61" s="6"/>
      <c r="AA61" s="38"/>
    </row>
    <row r="62" spans="1:27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0"/>
        <v>2.0811376493412581E-4</v>
      </c>
      <c r="J62" s="6">
        <f t="shared" si="6"/>
        <v>-2.6278835003809412E-3</v>
      </c>
      <c r="K62" s="6">
        <f t="shared" si="6"/>
        <v>-7.5604337307585206E-3</v>
      </c>
      <c r="L62" s="6">
        <f t="shared" si="6"/>
        <v>-2.9757978020443572E-3</v>
      </c>
      <c r="M62" s="6">
        <f t="shared" si="6"/>
        <v>-1.2787371052778911E-3</v>
      </c>
      <c r="N62" s="6">
        <f t="shared" si="6"/>
        <v>-8.1167621824379983E-3</v>
      </c>
      <c r="O62" s="6">
        <f t="shared" si="2"/>
        <v>1.8267258936371892E-3</v>
      </c>
      <c r="P62" s="6"/>
      <c r="Q62" s="6">
        <f t="shared" si="3"/>
        <v>-2.3209040884009467E-3</v>
      </c>
      <c r="R62" s="6">
        <f t="shared" si="4"/>
        <v>-1.2787371052778908E-3</v>
      </c>
      <c r="S62" s="6"/>
      <c r="AA62" s="38"/>
    </row>
    <row r="63" spans="1:27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0"/>
        <v>2.1001232533235381E-4</v>
      </c>
      <c r="J63" s="6">
        <f t="shared" si="6"/>
        <v>2.2954556969230551E-2</v>
      </c>
      <c r="K63" s="6">
        <f t="shared" si="6"/>
        <v>1.0583701900695479E-3</v>
      </c>
      <c r="L63" s="6">
        <f t="shared" si="6"/>
        <v>1.4722279452399911E-2</v>
      </c>
      <c r="M63" s="6">
        <f t="shared" si="6"/>
        <v>6.3967350467703291E-4</v>
      </c>
      <c r="N63" s="6">
        <f t="shared" si="6"/>
        <v>1.5495728650985885E-2</v>
      </c>
      <c r="O63" s="6">
        <f t="shared" si="2"/>
        <v>9.0813440748678219E-3</v>
      </c>
      <c r="P63" s="6"/>
      <c r="Q63" s="6">
        <f t="shared" si="3"/>
        <v>1.1384658011959864E-2</v>
      </c>
      <c r="R63" s="6">
        <f t="shared" si="4"/>
        <v>6.396735046770328E-4</v>
      </c>
      <c r="S63" s="6"/>
      <c r="AA63" s="38"/>
    </row>
    <row r="64" spans="1:27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0"/>
        <v>2.0963268503315646E-4</v>
      </c>
      <c r="J64" s="6">
        <f t="shared" si="6"/>
        <v>-8.6207243473615386E-3</v>
      </c>
      <c r="K64" s="6">
        <f t="shared" si="6"/>
        <v>3.6955712633663846E-3</v>
      </c>
      <c r="L64" s="6">
        <f t="shared" si="6"/>
        <v>-4.4488788474790633E-3</v>
      </c>
      <c r="M64" s="6">
        <f t="shared" si="6"/>
        <v>-3.8437221263010121E-3</v>
      </c>
      <c r="N64" s="6">
        <f t="shared" si="6"/>
        <v>-8.3609108519786131E-4</v>
      </c>
      <c r="O64" s="6">
        <f t="shared" si="2"/>
        <v>-1.8093407207971416E-3</v>
      </c>
      <c r="P64" s="6"/>
      <c r="Q64" s="6">
        <f t="shared" si="3"/>
        <v>-5.0254535654663448E-3</v>
      </c>
      <c r="R64" s="6">
        <f t="shared" si="4"/>
        <v>-3.8437221263010117E-3</v>
      </c>
      <c r="S64" s="6"/>
      <c r="AA64" s="38"/>
    </row>
    <row r="65" spans="1:27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0"/>
        <v>2.0925300885044074E-4</v>
      </c>
      <c r="J65" s="6">
        <f t="shared" si="6"/>
        <v>1.4184635374476782E-2</v>
      </c>
      <c r="K65" s="6">
        <f t="shared" si="6"/>
        <v>2.981612142296002E-3</v>
      </c>
      <c r="L65" s="6">
        <f t="shared" si="6"/>
        <v>1.8082265985749042E-2</v>
      </c>
      <c r="M65" s="6">
        <f t="shared" si="6"/>
        <v>3.2040486216239152E-3</v>
      </c>
      <c r="N65" s="6">
        <f t="shared" si="6"/>
        <v>1.8895282757298078E-2</v>
      </c>
      <c r="O65" s="6">
        <f t="shared" si="2"/>
        <v>-1.8127918534071839E-3</v>
      </c>
      <c r="P65" s="6"/>
      <c r="Q65" s="6">
        <f t="shared" si="3"/>
        <v>1.2180971372904165E-2</v>
      </c>
      <c r="R65" s="6">
        <f t="shared" si="4"/>
        <v>3.2040486216239148E-3</v>
      </c>
      <c r="S65" s="6"/>
      <c r="AA65" s="38"/>
    </row>
    <row r="66" spans="1:27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0"/>
        <v>2.043139499885438E-4</v>
      </c>
      <c r="J66" s="6">
        <f t="shared" si="6"/>
        <v>3.0363308776654089E-3</v>
      </c>
      <c r="K66" s="6">
        <f t="shared" si="6"/>
        <v>1.9246372583412658E-3</v>
      </c>
      <c r="L66" s="6">
        <f t="shared" si="6"/>
        <v>8.7197537313942614E-3</v>
      </c>
      <c r="M66" s="6">
        <f t="shared" si="6"/>
        <v>8.2829440398884853E-3</v>
      </c>
      <c r="N66" s="6">
        <f t="shared" si="6"/>
        <v>1.5958076771483444E-3</v>
      </c>
      <c r="O66" s="6">
        <f t="shared" si="2"/>
        <v>-2.3886307105055279E-2</v>
      </c>
      <c r="P66" s="6"/>
      <c r="Q66" s="6">
        <f t="shared" si="3"/>
        <v>7.49632095917422E-3</v>
      </c>
      <c r="R66" s="6">
        <f t="shared" si="4"/>
        <v>8.2829440398884836E-3</v>
      </c>
      <c r="S66" s="6"/>
      <c r="AA66" s="38"/>
    </row>
    <row r="67" spans="1:27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ref="H67:H130" si="7">+(1+G67)^(1/250)-1</f>
        <v>2.0545427193918719E-4</v>
      </c>
      <c r="J67" s="6">
        <f t="shared" si="6"/>
        <v>9.0015200429287429E-3</v>
      </c>
      <c r="K67" s="6">
        <f t="shared" si="6"/>
        <v>-1.0493722296692307E-3</v>
      </c>
      <c r="L67" s="6">
        <f t="shared" si="6"/>
        <v>1.1355018101563337E-2</v>
      </c>
      <c r="M67" s="6">
        <f t="shared" si="6"/>
        <v>7.5853598266493183E-3</v>
      </c>
      <c r="N67" s="6">
        <f t="shared" si="6"/>
        <v>1.1896413835666805E-3</v>
      </c>
      <c r="O67" s="6">
        <f t="shared" si="2"/>
        <v>5.565706822906585E-3</v>
      </c>
      <c r="P67" s="6"/>
      <c r="Q67" s="6">
        <f t="shared" si="3"/>
        <v>9.6022334731668026E-3</v>
      </c>
      <c r="R67" s="6">
        <f t="shared" si="4"/>
        <v>7.5853598266493174E-3</v>
      </c>
      <c r="S67" s="6"/>
      <c r="AA67" s="38"/>
    </row>
    <row r="68" spans="1:27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si="7"/>
        <v>2.0393377072314145E-4</v>
      </c>
      <c r="J68" s="6">
        <f t="shared" ref="J68:N99" si="8">LN(B68/B67)</f>
        <v>-1.0544870529251719E-4</v>
      </c>
      <c r="K68" s="6">
        <f t="shared" si="8"/>
        <v>1.9229550455904989E-3</v>
      </c>
      <c r="L68" s="6">
        <f t="shared" si="8"/>
        <v>9.0052481102475771E-3</v>
      </c>
      <c r="M68" s="6">
        <f t="shared" si="8"/>
        <v>1.2586844676198644E-3</v>
      </c>
      <c r="N68" s="6">
        <f t="shared" si="8"/>
        <v>1.2812755985166719E-3</v>
      </c>
      <c r="O68" s="6">
        <f t="shared" ref="O68:O131" si="9">+LN(H68/H67)</f>
        <v>-7.4282003826470254E-3</v>
      </c>
      <c r="P68" s="6"/>
      <c r="Q68" s="6">
        <f t="shared" ref="Q68:Q131" si="10">+SUMPRODUCT($U$16:$X$16,J68:M68)</f>
        <v>4.5972836527201182E-3</v>
      </c>
      <c r="R68" s="6">
        <f t="shared" ref="R68:R131" si="11">+SUMPRODUCT($U$17:$X$17,J68:M68)</f>
        <v>1.2586844676198642E-3</v>
      </c>
      <c r="S68" s="6"/>
      <c r="AA68" s="38"/>
    </row>
    <row r="69" spans="1:27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7"/>
        <v>2.043139499885438E-4</v>
      </c>
      <c r="J69" s="6">
        <f t="shared" si="8"/>
        <v>9.2354873918627962E-3</v>
      </c>
      <c r="K69" s="6">
        <f t="shared" si="8"/>
        <v>2.4420582166783792E-3</v>
      </c>
      <c r="L69" s="6">
        <f t="shared" si="8"/>
        <v>3.0707044771690309E-3</v>
      </c>
      <c r="M69" s="6">
        <f t="shared" si="8"/>
        <v>1.250014351434138E-2</v>
      </c>
      <c r="N69" s="6">
        <f t="shared" si="8"/>
        <v>7.3631338909269815E-3</v>
      </c>
      <c r="O69" s="6">
        <f t="shared" si="9"/>
        <v>1.86249355974044E-3</v>
      </c>
      <c r="P69" s="6"/>
      <c r="Q69" s="6">
        <f t="shared" si="10"/>
        <v>7.5075009992189795E-3</v>
      </c>
      <c r="R69" s="6">
        <f t="shared" si="11"/>
        <v>1.2500143514341379E-2</v>
      </c>
      <c r="S69" s="6"/>
      <c r="AA69" s="38"/>
    </row>
    <row r="70" spans="1:27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7"/>
        <v>2.0469409327517063E-4</v>
      </c>
      <c r="J70" s="6">
        <f t="shared" si="8"/>
        <v>-4.2398033377747738E-3</v>
      </c>
      <c r="K70" s="6">
        <f t="shared" si="8"/>
        <v>1.0915721899237774E-2</v>
      </c>
      <c r="L70" s="6">
        <f t="shared" si="8"/>
        <v>-2.089635023942204E-3</v>
      </c>
      <c r="M70" s="6">
        <f t="shared" si="8"/>
        <v>5.5745681417839043E-3</v>
      </c>
      <c r="N70" s="6">
        <f t="shared" si="8"/>
        <v>-2.0229887908321687E-3</v>
      </c>
      <c r="O70" s="6">
        <f t="shared" si="9"/>
        <v>1.8588553567499826E-3</v>
      </c>
      <c r="P70" s="6"/>
      <c r="Q70" s="6">
        <f t="shared" si="10"/>
        <v>1.6620514215626376E-4</v>
      </c>
      <c r="R70" s="6">
        <f t="shared" si="11"/>
        <v>5.5745681417839034E-3</v>
      </c>
      <c r="S70" s="6"/>
      <c r="AA70" s="38"/>
    </row>
    <row r="71" spans="1:27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7"/>
        <v>2.043139499885438E-4</v>
      </c>
      <c r="J71" s="6">
        <f t="shared" si="8"/>
        <v>3.5083046042034536E-3</v>
      </c>
      <c r="K71" s="6">
        <f t="shared" si="8"/>
        <v>6.698173115196048E-3</v>
      </c>
      <c r="L71" s="6">
        <f t="shared" si="8"/>
        <v>2.3505409404632072E-3</v>
      </c>
      <c r="M71" s="6">
        <f t="shared" si="8"/>
        <v>-1.2361893781621346E-3</v>
      </c>
      <c r="N71" s="6">
        <f t="shared" si="8"/>
        <v>4.0528664649777243E-3</v>
      </c>
      <c r="O71" s="6">
        <f t="shared" si="9"/>
        <v>-1.8588553567499557E-3</v>
      </c>
      <c r="P71" s="6"/>
      <c r="Q71" s="6">
        <f t="shared" si="10"/>
        <v>1.32341465712586E-3</v>
      </c>
      <c r="R71" s="6">
        <f t="shared" si="11"/>
        <v>-1.2361893781621344E-3</v>
      </c>
      <c r="S71" s="6"/>
      <c r="AA71" s="38"/>
    </row>
    <row r="72" spans="1:27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7"/>
        <v>2.0507420058968329E-4</v>
      </c>
      <c r="J72" s="6">
        <f t="shared" si="8"/>
        <v>-7.0289607553052254E-3</v>
      </c>
      <c r="K72" s="6">
        <f t="shared" si="8"/>
        <v>2.564368058518235E-3</v>
      </c>
      <c r="L72" s="6">
        <f t="shared" si="8"/>
        <v>1.3685641523619864E-3</v>
      </c>
      <c r="M72" s="6">
        <f t="shared" si="8"/>
        <v>2.4706584385659168E-3</v>
      </c>
      <c r="N72" s="6">
        <f t="shared" si="8"/>
        <v>5.9675559803246874E-4</v>
      </c>
      <c r="O72" s="6">
        <f t="shared" si="9"/>
        <v>3.7140863701174238E-3</v>
      </c>
      <c r="P72" s="6"/>
      <c r="Q72" s="6">
        <f t="shared" si="10"/>
        <v>1.6768504614934736E-4</v>
      </c>
      <c r="R72" s="6">
        <f t="shared" si="11"/>
        <v>2.4706584385659164E-3</v>
      </c>
      <c r="S72" s="6"/>
      <c r="AA72" s="38"/>
    </row>
    <row r="73" spans="1:27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7"/>
        <v>2.0507420058968329E-4</v>
      </c>
      <c r="J73" s="6">
        <f t="shared" si="8"/>
        <v>-9.4805949388913479E-4</v>
      </c>
      <c r="K73" s="6">
        <f t="shared" si="8"/>
        <v>-1.8798349524674102E-3</v>
      </c>
      <c r="L73" s="6">
        <f t="shared" si="8"/>
        <v>-2.2819464710573719E-3</v>
      </c>
      <c r="M73" s="6">
        <f t="shared" si="8"/>
        <v>0</v>
      </c>
      <c r="N73" s="6">
        <f t="shared" si="8"/>
        <v>-1.9561422168003027E-3</v>
      </c>
      <c r="O73" s="6">
        <f t="shared" si="9"/>
        <v>0</v>
      </c>
      <c r="P73" s="6"/>
      <c r="Q73" s="6">
        <f t="shared" si="10"/>
        <v>-1.2380271626167083E-3</v>
      </c>
      <c r="R73" s="6">
        <f t="shared" si="11"/>
        <v>0</v>
      </c>
      <c r="S73" s="6"/>
      <c r="AA73" s="38"/>
    </row>
    <row r="74" spans="1:27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7"/>
        <v>2.0545427193918719E-4</v>
      </c>
      <c r="J74" s="6">
        <f t="shared" si="8"/>
        <v>3.2089405359202782E-3</v>
      </c>
      <c r="K74" s="6">
        <f t="shared" si="8"/>
        <v>2.0506000205027385E-3</v>
      </c>
      <c r="L74" s="6">
        <f t="shared" si="8"/>
        <v>2.2819464710573632E-3</v>
      </c>
      <c r="M74" s="6">
        <f t="shared" si="8"/>
        <v>-1.8524051289652865E-3</v>
      </c>
      <c r="N74" s="6">
        <f t="shared" si="8"/>
        <v>9.7964714182290037E-4</v>
      </c>
      <c r="O74" s="6">
        <f t="shared" si="9"/>
        <v>1.8516204527893802E-3</v>
      </c>
      <c r="P74" s="6"/>
      <c r="Q74" s="6">
        <f t="shared" si="10"/>
        <v>1.0211472244066248E-3</v>
      </c>
      <c r="R74" s="6">
        <f t="shared" si="11"/>
        <v>-1.8524051289652863E-3</v>
      </c>
      <c r="S74" s="6"/>
      <c r="AA74" s="38"/>
    </row>
    <row r="75" spans="1:27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7"/>
        <v>2.043139499885438E-4</v>
      </c>
      <c r="J75" s="6">
        <f t="shared" si="8"/>
        <v>-5.4242788854046205E-3</v>
      </c>
      <c r="K75" s="6">
        <f t="shared" si="8"/>
        <v>-5.9926490699218782E-3</v>
      </c>
      <c r="L75" s="6">
        <f t="shared" si="8"/>
        <v>5.0673693523613879E-3</v>
      </c>
      <c r="M75" s="6">
        <f t="shared" si="8"/>
        <v>7.3891849715765874E-3</v>
      </c>
      <c r="N75" s="6">
        <f t="shared" si="8"/>
        <v>-9.4668376742538802E-4</v>
      </c>
      <c r="O75" s="6">
        <f t="shared" si="9"/>
        <v>-5.5657068229066041E-3</v>
      </c>
      <c r="P75" s="6"/>
      <c r="Q75" s="6">
        <f t="shared" si="10"/>
        <v>3.8951241960399649E-3</v>
      </c>
      <c r="R75" s="6">
        <f t="shared" si="11"/>
        <v>7.3891849715765866E-3</v>
      </c>
      <c r="S75" s="6"/>
      <c r="AA75" s="38"/>
    </row>
    <row r="76" spans="1:27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7"/>
        <v>2.0317330422892077E-4</v>
      </c>
      <c r="J76" s="6">
        <f t="shared" si="8"/>
        <v>3.0580089148523034E-3</v>
      </c>
      <c r="K76" s="6">
        <f t="shared" si="8"/>
        <v>1.1530896635000211E-2</v>
      </c>
      <c r="L76" s="6">
        <f t="shared" si="8"/>
        <v>1.1340267252648781E-2</v>
      </c>
      <c r="M76" s="6">
        <f t="shared" si="8"/>
        <v>1.6428683176453563E-2</v>
      </c>
      <c r="N76" s="6">
        <f t="shared" si="8"/>
        <v>3.7769911916856066E-3</v>
      </c>
      <c r="O76" s="6">
        <f t="shared" si="9"/>
        <v>-5.5984511272670423E-3</v>
      </c>
      <c r="P76" s="6"/>
      <c r="Q76" s="6">
        <f t="shared" si="10"/>
        <v>1.1545330657310445E-2</v>
      </c>
      <c r="R76" s="6">
        <f t="shared" si="11"/>
        <v>1.642868317645356E-2</v>
      </c>
      <c r="S76" s="6"/>
      <c r="AA76" s="38"/>
    </row>
    <row r="77" spans="1:27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7"/>
        <v>1.9974942225231551E-4</v>
      </c>
      <c r="J77" s="6">
        <f t="shared" si="8"/>
        <v>6.7683969358011721E-3</v>
      </c>
      <c r="K77" s="6">
        <f t="shared" si="8"/>
        <v>3.4165183963682714E-3</v>
      </c>
      <c r="L77" s="6">
        <f t="shared" si="8"/>
        <v>4.857594182652576E-3</v>
      </c>
      <c r="M77" s="6">
        <f t="shared" si="8"/>
        <v>1.1401293855996619E-2</v>
      </c>
      <c r="N77" s="6">
        <f t="shared" si="8"/>
        <v>5.8565417006152948E-3</v>
      </c>
      <c r="O77" s="6">
        <f t="shared" si="9"/>
        <v>-1.6995637959121939E-2</v>
      </c>
      <c r="P77" s="6"/>
      <c r="Q77" s="6">
        <f t="shared" si="10"/>
        <v>7.4901523845112821E-3</v>
      </c>
      <c r="R77" s="6">
        <f t="shared" si="11"/>
        <v>1.1401293855996617E-2</v>
      </c>
      <c r="S77" s="6"/>
      <c r="AA77" s="38"/>
    </row>
    <row r="78" spans="1:27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7"/>
        <v>2.0127150788695758E-4</v>
      </c>
      <c r="J78" s="6">
        <f t="shared" si="8"/>
        <v>-9.5097229376474839E-3</v>
      </c>
      <c r="K78" s="6">
        <f t="shared" si="8"/>
        <v>-1.1944749472458554E-3</v>
      </c>
      <c r="L78" s="6">
        <f t="shared" si="8"/>
        <v>7.3054908777762974E-3</v>
      </c>
      <c r="M78" s="6">
        <f t="shared" si="8"/>
        <v>-5.9844807698541955E-3</v>
      </c>
      <c r="N78" s="6">
        <f t="shared" si="8"/>
        <v>-5.4231665551195962E-3</v>
      </c>
      <c r="O78" s="6">
        <f t="shared" si="9"/>
        <v>7.5910897879737701E-3</v>
      </c>
      <c r="P78" s="6"/>
      <c r="Q78" s="6">
        <f t="shared" si="10"/>
        <v>-4.8024530042513835E-4</v>
      </c>
      <c r="R78" s="6">
        <f t="shared" si="11"/>
        <v>-5.9844807698541946E-3</v>
      </c>
      <c r="S78" s="6"/>
      <c r="AA78" s="38"/>
    </row>
    <row r="79" spans="1:27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7"/>
        <v>1.970843837875158E-4</v>
      </c>
      <c r="J79" s="6">
        <f t="shared" si="8"/>
        <v>2.084449839920156E-2</v>
      </c>
      <c r="K79" s="6">
        <f t="shared" si="8"/>
        <v>1.5354718166455639E-3</v>
      </c>
      <c r="L79" s="6">
        <f t="shared" si="8"/>
        <v>-1.266031176191559E-4</v>
      </c>
      <c r="M79" s="6">
        <f t="shared" si="8"/>
        <v>3.306087505214772E-2</v>
      </c>
      <c r="N79" s="6">
        <f t="shared" si="8"/>
        <v>-5.691170958779145E-4</v>
      </c>
      <c r="O79" s="6">
        <f t="shared" si="9"/>
        <v>-2.1022800952401315E-2</v>
      </c>
      <c r="P79" s="6"/>
      <c r="Q79" s="6">
        <f t="shared" si="10"/>
        <v>1.5352021252262333E-2</v>
      </c>
      <c r="R79" s="6">
        <f t="shared" si="11"/>
        <v>3.3060875052147713E-2</v>
      </c>
      <c r="S79" s="6"/>
      <c r="AA79" s="38"/>
    </row>
    <row r="80" spans="1:27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7"/>
        <v>1.9898816309771306E-4</v>
      </c>
      <c r="J80" s="6">
        <f t="shared" si="8"/>
        <v>-5.7032520050787593E-3</v>
      </c>
      <c r="K80" s="6">
        <f t="shared" si="8"/>
        <v>-1.0233916476147672E-3</v>
      </c>
      <c r="L80" s="6">
        <f t="shared" si="8"/>
        <v>-1.0563861768930536E-2</v>
      </c>
      <c r="M80" s="6">
        <f t="shared" si="8"/>
        <v>-1.6393661333646715E-2</v>
      </c>
      <c r="N80" s="6">
        <f t="shared" si="8"/>
        <v>-3.9137791113844191E-3</v>
      </c>
      <c r="O80" s="6">
        <f t="shared" si="9"/>
        <v>9.6133599104239326E-3</v>
      </c>
      <c r="P80" s="6"/>
      <c r="Q80" s="6">
        <f t="shared" si="10"/>
        <v>-1.1671602207538948E-2</v>
      </c>
      <c r="R80" s="6">
        <f t="shared" si="11"/>
        <v>-1.6393661333646711E-2</v>
      </c>
      <c r="S80" s="6"/>
      <c r="AA80" s="38"/>
    </row>
    <row r="81" spans="1:27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7"/>
        <v>1.9746521183972021E-4</v>
      </c>
      <c r="J81" s="6">
        <f t="shared" si="8"/>
        <v>1.0088207138443817E-2</v>
      </c>
      <c r="K81" s="6">
        <f t="shared" si="8"/>
        <v>2.3863212857141401E-3</v>
      </c>
      <c r="L81" s="6">
        <f t="shared" si="8"/>
        <v>3.0661278355592595E-3</v>
      </c>
      <c r="M81" s="6">
        <f t="shared" si="8"/>
        <v>8.8156554713472324E-3</v>
      </c>
      <c r="N81" s="6">
        <f t="shared" si="8"/>
        <v>7.9366104133129379E-3</v>
      </c>
      <c r="O81" s="6">
        <f t="shared" si="9"/>
        <v>-7.6829147917782045E-3</v>
      </c>
      <c r="P81" s="6"/>
      <c r="Q81" s="6">
        <f t="shared" si="10"/>
        <v>6.3867811484324341E-3</v>
      </c>
      <c r="R81" s="6">
        <f t="shared" si="11"/>
        <v>8.8156554713472307E-3</v>
      </c>
      <c r="S81" s="6"/>
      <c r="AA81" s="38"/>
    </row>
    <row r="82" spans="1:27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7"/>
        <v>1.9784600378991435E-4</v>
      </c>
      <c r="J82" s="6">
        <f t="shared" si="8"/>
        <v>7.3850207302899578E-3</v>
      </c>
      <c r="K82" s="6">
        <f t="shared" si="8"/>
        <v>-2.2156572655028478E-3</v>
      </c>
      <c r="L82" s="6">
        <f t="shared" si="8"/>
        <v>1.0973473354382132E-2</v>
      </c>
      <c r="M82" s="6">
        <f t="shared" si="8"/>
        <v>-9.9971434933014119E-3</v>
      </c>
      <c r="N82" s="6">
        <f t="shared" si="8"/>
        <v>4.0870746210065929E-3</v>
      </c>
      <c r="O82" s="6">
        <f t="shared" si="9"/>
        <v>1.9265432040200135E-3</v>
      </c>
      <c r="P82" s="6"/>
      <c r="Q82" s="6">
        <f t="shared" si="10"/>
        <v>3.014963954861837E-3</v>
      </c>
      <c r="R82" s="6">
        <f t="shared" si="11"/>
        <v>-9.9971434933014101E-3</v>
      </c>
      <c r="S82" s="6"/>
      <c r="AA82" s="38"/>
    </row>
    <row r="83" spans="1:27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7"/>
        <v>1.970843837875158E-4</v>
      </c>
      <c r="J83" s="6">
        <f t="shared" si="8"/>
        <v>-1.301155524149791E-2</v>
      </c>
      <c r="K83" s="6">
        <f t="shared" si="8"/>
        <v>7.3098102582420726E-3</v>
      </c>
      <c r="L83" s="6">
        <f t="shared" si="8"/>
        <v>3.6521773139312004E-3</v>
      </c>
      <c r="M83" s="6">
        <f t="shared" si="8"/>
        <v>-1.7889443279638567E-2</v>
      </c>
      <c r="N83" s="6">
        <f t="shared" si="8"/>
        <v>3.9168516750811289E-3</v>
      </c>
      <c r="O83" s="6">
        <f t="shared" si="9"/>
        <v>-3.8569883226658797E-3</v>
      </c>
      <c r="P83" s="6"/>
      <c r="Q83" s="6">
        <f t="shared" si="10"/>
        <v>-6.9702868819916334E-3</v>
      </c>
      <c r="R83" s="6">
        <f t="shared" si="11"/>
        <v>-1.7889443279638564E-2</v>
      </c>
      <c r="S83" s="6"/>
      <c r="AA83" s="38"/>
    </row>
    <row r="84" spans="1:27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7"/>
        <v>2.0012999773522111E-4</v>
      </c>
      <c r="J84" s="6">
        <f t="shared" si="8"/>
        <v>7.8889519649972505E-3</v>
      </c>
      <c r="K84" s="6">
        <f t="shared" si="8"/>
        <v>6.4156731620670822E-3</v>
      </c>
      <c r="L84" s="6">
        <f t="shared" si="8"/>
        <v>8.8855459657744724E-3</v>
      </c>
      <c r="M84" s="6">
        <f t="shared" si="8"/>
        <v>-1.2715943603931842E-2</v>
      </c>
      <c r="N84" s="6">
        <f t="shared" si="8"/>
        <v>4.5887580600857377E-3</v>
      </c>
      <c r="O84" s="6">
        <f t="shared" si="9"/>
        <v>1.5335162949086231E-2</v>
      </c>
      <c r="P84" s="6"/>
      <c r="Q84" s="6">
        <f t="shared" si="10"/>
        <v>1.1967345560216849E-3</v>
      </c>
      <c r="R84" s="6">
        <f t="shared" si="11"/>
        <v>-1.2715943603931841E-2</v>
      </c>
      <c r="S84" s="6"/>
      <c r="AA84" s="38"/>
    </row>
    <row r="85" spans="1:27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7"/>
        <v>2.0051053716385603E-4</v>
      </c>
      <c r="J85" s="6">
        <f t="shared" si="8"/>
        <v>1.6553655693470191E-2</v>
      </c>
      <c r="K85" s="6">
        <f t="shared" si="8"/>
        <v>8.5463889760277086E-3</v>
      </c>
      <c r="L85" s="6">
        <f t="shared" si="8"/>
        <v>3.3584282184013106E-3</v>
      </c>
      <c r="M85" s="6">
        <f t="shared" si="8"/>
        <v>2.4346320782964847E-3</v>
      </c>
      <c r="N85" s="6">
        <f t="shared" si="8"/>
        <v>1.3558420429298217E-2</v>
      </c>
      <c r="O85" s="6">
        <f t="shared" si="9"/>
        <v>1.8996557258902202E-3</v>
      </c>
      <c r="P85" s="6"/>
      <c r="Q85" s="6">
        <f t="shared" si="10"/>
        <v>5.5259495026416198E-3</v>
      </c>
      <c r="R85" s="6">
        <f t="shared" si="11"/>
        <v>2.4346320782964843E-3</v>
      </c>
      <c r="S85" s="6"/>
      <c r="AA85" s="38"/>
    </row>
    <row r="86" spans="1:27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7"/>
        <v>2.0051053716385603E-4</v>
      </c>
      <c r="J86" s="6">
        <f t="shared" si="8"/>
        <v>7.5742185089877612E-4</v>
      </c>
      <c r="K86" s="6">
        <f t="shared" si="8"/>
        <v>-1.4962062138094838E-2</v>
      </c>
      <c r="L86" s="6">
        <f t="shared" si="8"/>
        <v>1.8028547888701854E-2</v>
      </c>
      <c r="M86" s="6">
        <f t="shared" si="8"/>
        <v>1.208465691282283E-2</v>
      </c>
      <c r="N86" s="6">
        <f t="shared" si="8"/>
        <v>2.6435733742609306E-3</v>
      </c>
      <c r="O86" s="6">
        <f t="shared" si="9"/>
        <v>0</v>
      </c>
      <c r="P86" s="6"/>
      <c r="Q86" s="6">
        <f t="shared" si="10"/>
        <v>1.2707682893020591E-2</v>
      </c>
      <c r="R86" s="6">
        <f t="shared" si="11"/>
        <v>1.2084656912822829E-2</v>
      </c>
      <c r="S86" s="6"/>
      <c r="AA86" s="38"/>
    </row>
    <row r="87" spans="1:27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7"/>
        <v>1.9289289052348835E-4</v>
      </c>
      <c r="J87" s="6">
        <f t="shared" si="8"/>
        <v>-2.7295073142777661E-3</v>
      </c>
      <c r="K87" s="6">
        <f t="shared" si="8"/>
        <v>-7.4804742784532674E-3</v>
      </c>
      <c r="L87" s="6">
        <f t="shared" si="8"/>
        <v>7.5329194945627474E-3</v>
      </c>
      <c r="M87" s="6">
        <f t="shared" si="8"/>
        <v>-7.8383887172057826E-3</v>
      </c>
      <c r="N87" s="6">
        <f t="shared" si="8"/>
        <v>-7.6281368101049259E-5</v>
      </c>
      <c r="O87" s="6">
        <f t="shared" si="9"/>
        <v>-3.8731736328505399E-2</v>
      </c>
      <c r="P87" s="6"/>
      <c r="Q87" s="6">
        <f t="shared" si="10"/>
        <v>2.6015864589360978E-4</v>
      </c>
      <c r="R87" s="6">
        <f t="shared" si="11"/>
        <v>-7.8383887172057808E-3</v>
      </c>
      <c r="S87" s="6"/>
      <c r="AA87" s="38"/>
    </row>
    <row r="88" spans="1:27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7"/>
        <v>1.9136762610516556E-4</v>
      </c>
      <c r="J88" s="6">
        <f t="shared" si="8"/>
        <v>-8.53965400802611E-3</v>
      </c>
      <c r="K88" s="6">
        <f t="shared" si="8"/>
        <v>7.1417585896560408E-3</v>
      </c>
      <c r="L88" s="6">
        <f t="shared" si="8"/>
        <v>6.0338573294274594E-3</v>
      </c>
      <c r="M88" s="6">
        <f t="shared" si="8"/>
        <v>-3.6386626067303612E-3</v>
      </c>
      <c r="N88" s="6">
        <f t="shared" si="8"/>
        <v>4.5180974872495441E-3</v>
      </c>
      <c r="O88" s="6">
        <f t="shared" si="9"/>
        <v>-7.938741363990285E-3</v>
      </c>
      <c r="P88" s="6"/>
      <c r="Q88" s="6">
        <f t="shared" si="10"/>
        <v>-7.3028193631672483E-5</v>
      </c>
      <c r="R88" s="6">
        <f t="shared" si="11"/>
        <v>-3.6386626067303608E-3</v>
      </c>
      <c r="S88" s="6"/>
      <c r="AA88" s="38"/>
    </row>
    <row r="89" spans="1:27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7"/>
        <v>1.9327411614988854E-4</v>
      </c>
      <c r="J89" s="6">
        <f t="shared" si="8"/>
        <v>5.3458637702141027E-3</v>
      </c>
      <c r="K89" s="6">
        <f t="shared" si="8"/>
        <v>-3.2244751257021888E-3</v>
      </c>
      <c r="L89" s="6">
        <f t="shared" si="8"/>
        <v>1.3266549902395489E-2</v>
      </c>
      <c r="M89" s="6">
        <f t="shared" si="8"/>
        <v>9.0718253225267661E-3</v>
      </c>
      <c r="N89" s="6">
        <f t="shared" si="8"/>
        <v>5.8492552349014293E-3</v>
      </c>
      <c r="O89" s="6">
        <f t="shared" si="9"/>
        <v>9.9131500713952395E-3</v>
      </c>
      <c r="P89" s="6"/>
      <c r="Q89" s="6">
        <f t="shared" si="10"/>
        <v>1.0316329317765691E-2</v>
      </c>
      <c r="R89" s="6">
        <f t="shared" si="11"/>
        <v>9.0718253225267644E-3</v>
      </c>
      <c r="S89" s="6"/>
      <c r="AA89" s="38"/>
    </row>
    <row r="90" spans="1:27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7"/>
        <v>1.9327411614988854E-4</v>
      </c>
      <c r="J90" s="6">
        <f t="shared" si="8"/>
        <v>-1.0771711802952852E-2</v>
      </c>
      <c r="K90" s="6">
        <f t="shared" si="8"/>
        <v>-2.0955763699396959E-2</v>
      </c>
      <c r="L90" s="6">
        <f t="shared" si="8"/>
        <v>-1.1343350930772851E-2</v>
      </c>
      <c r="M90" s="6">
        <f t="shared" si="8"/>
        <v>-1.2723712230209391E-2</v>
      </c>
      <c r="N90" s="6">
        <f t="shared" si="8"/>
        <v>-1.4793144174519959E-2</v>
      </c>
      <c r="O90" s="6">
        <f t="shared" si="9"/>
        <v>0</v>
      </c>
      <c r="P90" s="6"/>
      <c r="Q90" s="6">
        <f t="shared" si="10"/>
        <v>-1.1714868854458861E-2</v>
      </c>
      <c r="R90" s="6">
        <f t="shared" si="11"/>
        <v>-1.272371223020939E-2</v>
      </c>
      <c r="S90" s="6"/>
      <c r="AA90" s="38"/>
    </row>
    <row r="91" spans="1:27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7"/>
        <v>1.9251162871269933E-4</v>
      </c>
      <c r="J91" s="6">
        <f t="shared" si="8"/>
        <v>-7.7033791279105483E-4</v>
      </c>
      <c r="K91" s="6">
        <f t="shared" si="8"/>
        <v>6.5744708171604086E-3</v>
      </c>
      <c r="L91" s="6">
        <f t="shared" si="8"/>
        <v>5.6878079343058051E-3</v>
      </c>
      <c r="M91" s="6">
        <f t="shared" si="8"/>
        <v>5.4729367751170889E-3</v>
      </c>
      <c r="N91" s="6">
        <f t="shared" si="8"/>
        <v>1.024879009249407E-2</v>
      </c>
      <c r="O91" s="6">
        <f t="shared" si="9"/>
        <v>-3.9529113773502057E-3</v>
      </c>
      <c r="P91" s="6"/>
      <c r="Q91" s="6">
        <f t="shared" si="10"/>
        <v>4.395346928241577E-3</v>
      </c>
      <c r="R91" s="6">
        <f t="shared" si="11"/>
        <v>5.472936775117088E-3</v>
      </c>
      <c r="S91" s="6"/>
      <c r="AA91" s="38"/>
    </row>
    <row r="92" spans="1:27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7"/>
        <v>1.9060477665200359E-4</v>
      </c>
      <c r="J92" s="6">
        <f t="shared" si="8"/>
        <v>-5.5629055748559423E-3</v>
      </c>
      <c r="K92" s="6">
        <f t="shared" si="8"/>
        <v>5.6744066112261139E-3</v>
      </c>
      <c r="L92" s="6">
        <f t="shared" si="8"/>
        <v>-5.9719768106862266E-4</v>
      </c>
      <c r="M92" s="6">
        <f t="shared" si="8"/>
        <v>3.6318010530331695E-3</v>
      </c>
      <c r="N92" s="6">
        <f t="shared" si="8"/>
        <v>1.6587067997896167E-3</v>
      </c>
      <c r="O92" s="6">
        <f t="shared" si="9"/>
        <v>-9.9545087610752991E-3</v>
      </c>
      <c r="P92" s="6"/>
      <c r="Q92" s="6">
        <f t="shared" si="10"/>
        <v>-6.5136554108786342E-5</v>
      </c>
      <c r="R92" s="6">
        <f t="shared" si="11"/>
        <v>3.631801053033169E-3</v>
      </c>
      <c r="S92" s="6"/>
      <c r="AA92" s="38"/>
    </row>
    <row r="93" spans="1:27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7"/>
        <v>1.8907864298212118E-4</v>
      </c>
      <c r="J93" s="6">
        <f t="shared" si="8"/>
        <v>-2.8449113917028523E-3</v>
      </c>
      <c r="K93" s="6">
        <f t="shared" si="8"/>
        <v>4.1068114348282283E-3</v>
      </c>
      <c r="L93" s="6">
        <f t="shared" si="8"/>
        <v>5.8965836558493075E-3</v>
      </c>
      <c r="M93" s="6">
        <f t="shared" si="8"/>
        <v>1.2077595132303129E-3</v>
      </c>
      <c r="N93" s="6">
        <f t="shared" si="8"/>
        <v>4.2227363999498384E-3</v>
      </c>
      <c r="O93" s="6">
        <f t="shared" si="9"/>
        <v>-8.0390230909918731E-3</v>
      </c>
      <c r="P93" s="6"/>
      <c r="Q93" s="6">
        <f t="shared" si="10"/>
        <v>2.6200078545804365E-3</v>
      </c>
      <c r="R93" s="6">
        <f t="shared" si="11"/>
        <v>1.2077595132303127E-3</v>
      </c>
      <c r="S93" s="6"/>
      <c r="AA93" s="38"/>
    </row>
    <row r="94" spans="1:27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7"/>
        <v>1.8831535865504456E-4</v>
      </c>
      <c r="J94" s="6">
        <f t="shared" si="8"/>
        <v>5.1779897604456546E-4</v>
      </c>
      <c r="K94" s="6">
        <f t="shared" si="8"/>
        <v>2.5581149129798759E-3</v>
      </c>
      <c r="L94" s="6">
        <f t="shared" si="8"/>
        <v>5.9800808714544585E-3</v>
      </c>
      <c r="M94" s="6">
        <f t="shared" si="8"/>
        <v>6.0333319054379066E-4</v>
      </c>
      <c r="N94" s="6">
        <f t="shared" si="8"/>
        <v>1.429419277681746E-3</v>
      </c>
      <c r="O94" s="6">
        <f t="shared" si="9"/>
        <v>-4.0450317944709362E-3</v>
      </c>
      <c r="P94" s="6"/>
      <c r="Q94" s="6">
        <f t="shared" si="10"/>
        <v>3.0830111575354999E-3</v>
      </c>
      <c r="R94" s="6">
        <f t="shared" si="11"/>
        <v>6.0333319054379055E-4</v>
      </c>
      <c r="S94" s="6"/>
      <c r="AA94" s="38"/>
    </row>
    <row r="95" spans="1:27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7"/>
        <v>1.8831535865504456E-4</v>
      </c>
      <c r="J95" s="6">
        <f t="shared" si="8"/>
        <v>2.2237825955231019E-3</v>
      </c>
      <c r="K95" s="6">
        <f t="shared" si="8"/>
        <v>6.811858639393253E-4</v>
      </c>
      <c r="L95" s="6">
        <f t="shared" si="8"/>
        <v>5.2989165247204857E-3</v>
      </c>
      <c r="M95" s="6">
        <f t="shared" si="8"/>
        <v>9.6039637827291333E-3</v>
      </c>
      <c r="N95" s="6">
        <f t="shared" si="8"/>
        <v>3.7010203319937546E-4</v>
      </c>
      <c r="O95" s="6">
        <f t="shared" si="9"/>
        <v>0</v>
      </c>
      <c r="P95" s="6"/>
      <c r="Q95" s="6">
        <f t="shared" si="10"/>
        <v>6.2139009686934506E-3</v>
      </c>
      <c r="R95" s="6">
        <f t="shared" si="11"/>
        <v>9.6039637827291316E-3</v>
      </c>
      <c r="S95" s="6"/>
      <c r="AA95" s="38"/>
    </row>
    <row r="96" spans="1:27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7"/>
        <v>1.8869701894863589E-4</v>
      </c>
      <c r="J96" s="6">
        <f t="shared" si="8"/>
        <v>-5.4389057902563941E-3</v>
      </c>
      <c r="K96" s="6">
        <f t="shared" si="8"/>
        <v>3.0590814664282501E-3</v>
      </c>
      <c r="L96" s="6">
        <f t="shared" si="8"/>
        <v>-1.1751806513597941E-3</v>
      </c>
      <c r="M96" s="6">
        <f t="shared" si="8"/>
        <v>2.3866948027653455E-3</v>
      </c>
      <c r="N96" s="6">
        <f t="shared" si="8"/>
        <v>-2.8304729998547477E-3</v>
      </c>
      <c r="O96" s="6">
        <f t="shared" si="9"/>
        <v>2.0246572613530339E-3</v>
      </c>
      <c r="P96" s="6"/>
      <c r="Q96" s="6">
        <f t="shared" si="10"/>
        <v>-7.4239380479156352E-4</v>
      </c>
      <c r="R96" s="6">
        <f t="shared" si="11"/>
        <v>2.3866948027653451E-3</v>
      </c>
      <c r="S96" s="6"/>
      <c r="AA96" s="38"/>
    </row>
    <row r="97" spans="1:27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7"/>
        <v>1.8717016014413446E-4</v>
      </c>
      <c r="J97" s="6">
        <f t="shared" si="8"/>
        <v>-3.6442669115568614E-2</v>
      </c>
      <c r="K97" s="6">
        <f t="shared" si="8"/>
        <v>1.4989765411567772E-2</v>
      </c>
      <c r="L97" s="6">
        <f t="shared" si="8"/>
        <v>1.1573020195509662E-2</v>
      </c>
      <c r="M97" s="6">
        <f t="shared" si="8"/>
        <v>2.7624383831125431E-2</v>
      </c>
      <c r="N97" s="6">
        <f t="shared" si="8"/>
        <v>-5.6766608929654707E-3</v>
      </c>
      <c r="O97" s="6">
        <f t="shared" si="9"/>
        <v>-8.1245040168903531E-3</v>
      </c>
      <c r="P97" s="6"/>
      <c r="Q97" s="6">
        <f t="shared" si="10"/>
        <v>8.0920861969751706E-3</v>
      </c>
      <c r="R97" s="6">
        <f t="shared" si="11"/>
        <v>2.7624383831125428E-2</v>
      </c>
      <c r="S97" s="6"/>
      <c r="AA97" s="38"/>
    </row>
    <row r="98" spans="1:27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7"/>
        <v>1.8831535865504456E-4</v>
      </c>
      <c r="J98" s="6">
        <f t="shared" si="8"/>
        <v>-7.5158087877084971E-3</v>
      </c>
      <c r="K98" s="6">
        <f t="shared" si="8"/>
        <v>2.3375916662677874E-3</v>
      </c>
      <c r="L98" s="6">
        <f t="shared" si="8"/>
        <v>-4.3679752008790812E-3</v>
      </c>
      <c r="M98" s="6">
        <f t="shared" si="8"/>
        <v>-1.1600607305661888E-3</v>
      </c>
      <c r="N98" s="6">
        <f t="shared" si="8"/>
        <v>-8.0486143089745707E-3</v>
      </c>
      <c r="O98" s="6">
        <f t="shared" si="9"/>
        <v>6.0998467555371874E-3</v>
      </c>
      <c r="P98" s="6"/>
      <c r="Q98" s="6">
        <f t="shared" si="10"/>
        <v>-3.8476673546012589E-3</v>
      </c>
      <c r="R98" s="6">
        <f t="shared" si="11"/>
        <v>-1.1600607305661886E-3</v>
      </c>
      <c r="S98" s="6"/>
      <c r="AA98" s="38"/>
    </row>
    <row r="99" spans="1:27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7"/>
        <v>1.8717016014413446E-4</v>
      </c>
      <c r="J99" s="6">
        <f t="shared" si="8"/>
        <v>-1.2781428001649012E-2</v>
      </c>
      <c r="K99" s="6">
        <f t="shared" si="8"/>
        <v>-3.3411282708156569E-3</v>
      </c>
      <c r="L99" s="6">
        <f t="shared" si="8"/>
        <v>6.6141593258210608E-3</v>
      </c>
      <c r="M99" s="6">
        <f t="shared" si="8"/>
        <v>-4.6539918884881352E-3</v>
      </c>
      <c r="N99" s="6">
        <f t="shared" si="8"/>
        <v>-3.434296699869414E-3</v>
      </c>
      <c r="O99" s="6">
        <f t="shared" si="9"/>
        <v>-6.0998467555372334E-3</v>
      </c>
      <c r="P99" s="6"/>
      <c r="Q99" s="6">
        <f t="shared" si="10"/>
        <v>-9.5611784243369163E-4</v>
      </c>
      <c r="R99" s="6">
        <f t="shared" si="11"/>
        <v>-4.6539918884881343E-3</v>
      </c>
      <c r="S99" s="6"/>
      <c r="AA99" s="38"/>
    </row>
    <row r="100" spans="1:27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7"/>
        <v>1.8717016014413446E-4</v>
      </c>
      <c r="J100" s="6">
        <f t="shared" ref="J100:N130" si="12">LN(B100/B99)</f>
        <v>-4.0210117830922973E-3</v>
      </c>
      <c r="K100" s="6">
        <f t="shared" si="12"/>
        <v>-1.5071191150336566E-3</v>
      </c>
      <c r="L100" s="6">
        <f t="shared" si="12"/>
        <v>5.0046366419241994E-3</v>
      </c>
      <c r="M100" s="6">
        <f t="shared" si="12"/>
        <v>1.8487103983690103E-2</v>
      </c>
      <c r="N100" s="6">
        <f t="shared" si="12"/>
        <v>1.8240092336748459E-3</v>
      </c>
      <c r="O100" s="6">
        <f t="shared" si="9"/>
        <v>0</v>
      </c>
      <c r="P100" s="6"/>
      <c r="Q100" s="6">
        <f t="shared" si="10"/>
        <v>7.9842561238651182E-3</v>
      </c>
      <c r="R100" s="6">
        <f t="shared" si="11"/>
        <v>1.8487103983690099E-2</v>
      </c>
      <c r="S100" s="6"/>
      <c r="AA100" s="38"/>
    </row>
    <row r="101" spans="1:27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7"/>
        <v>1.8755192925978825E-4</v>
      </c>
      <c r="J101" s="6">
        <f t="shared" si="12"/>
        <v>2.3887222589555022E-2</v>
      </c>
      <c r="K101" s="6">
        <f t="shared" si="12"/>
        <v>7.3468937372898847E-3</v>
      </c>
      <c r="L101" s="6">
        <f t="shared" si="12"/>
        <v>-1.4521496056958624E-3</v>
      </c>
      <c r="M101" s="6">
        <f t="shared" si="12"/>
        <v>-8.62337357891769E-3</v>
      </c>
      <c r="N101" s="6">
        <f t="shared" si="12"/>
        <v>1.4015987132365047E-2</v>
      </c>
      <c r="O101" s="6">
        <f t="shared" si="9"/>
        <v>2.0376127190629861E-3</v>
      </c>
      <c r="P101" s="6"/>
      <c r="Q101" s="6">
        <f t="shared" si="10"/>
        <v>8.3611215455604675E-4</v>
      </c>
      <c r="R101" s="6">
        <f t="shared" si="11"/>
        <v>-8.6233735789176882E-3</v>
      </c>
      <c r="S101" s="6"/>
      <c r="AA101" s="38"/>
    </row>
    <row r="102" spans="1:27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7"/>
        <v>1.8793366209446383E-4</v>
      </c>
      <c r="J102" s="6">
        <f t="shared" si="12"/>
        <v>-2.2659828390601978E-3</v>
      </c>
      <c r="K102" s="6">
        <f t="shared" si="12"/>
        <v>-1.8316735365529078E-3</v>
      </c>
      <c r="L102" s="6">
        <f t="shared" si="12"/>
        <v>-7.9374988566027482E-3</v>
      </c>
      <c r="M102" s="6">
        <f t="shared" si="12"/>
        <v>-5.4130016942953952E-3</v>
      </c>
      <c r="N102" s="6">
        <f t="shared" si="12"/>
        <v>-1.4789856520085827E-3</v>
      </c>
      <c r="O102" s="6">
        <f t="shared" si="9"/>
        <v>2.0332762427048251E-3</v>
      </c>
      <c r="P102" s="6"/>
      <c r="Q102" s="6">
        <f t="shared" si="10"/>
        <v>-5.9913850730428471E-3</v>
      </c>
      <c r="R102" s="6">
        <f t="shared" si="11"/>
        <v>-5.4130016942953944E-3</v>
      </c>
      <c r="S102" s="6"/>
      <c r="AA102" s="38"/>
    </row>
    <row r="103" spans="1:27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7"/>
        <v>1.8946023076238383E-4</v>
      </c>
      <c r="J103" s="6">
        <f t="shared" si="12"/>
        <v>5.655471783241264E-3</v>
      </c>
      <c r="K103" s="6">
        <f t="shared" si="12"/>
        <v>3.3277857054118689E-3</v>
      </c>
      <c r="L103" s="6">
        <f t="shared" si="12"/>
        <v>2.1072476150256008E-3</v>
      </c>
      <c r="M103" s="6">
        <f t="shared" si="12"/>
        <v>-4.7308269784354078E-3</v>
      </c>
      <c r="N103" s="6">
        <f t="shared" si="12"/>
        <v>5.6499398196109933E-3</v>
      </c>
      <c r="O103" s="6">
        <f t="shared" si="9"/>
        <v>8.0900990870679586E-3</v>
      </c>
      <c r="P103" s="6"/>
      <c r="Q103" s="6">
        <f t="shared" si="10"/>
        <v>4.0191080739984978E-4</v>
      </c>
      <c r="R103" s="6">
        <f t="shared" si="11"/>
        <v>-4.730826978435407E-3</v>
      </c>
      <c r="S103" s="6"/>
      <c r="AA103" s="38"/>
    </row>
    <row r="104" spans="1:27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7"/>
        <v>1.8907864298212118E-4</v>
      </c>
      <c r="J104" s="6">
        <f t="shared" si="12"/>
        <v>-3.2278053849822972E-3</v>
      </c>
      <c r="K104" s="6">
        <f t="shared" si="12"/>
        <v>-6.4994939061170766E-3</v>
      </c>
      <c r="L104" s="6">
        <f t="shared" si="12"/>
        <v>-4.2189451011928857E-3</v>
      </c>
      <c r="M104" s="6">
        <f t="shared" si="12"/>
        <v>-3.8675610583800438E-2</v>
      </c>
      <c r="N104" s="6">
        <f t="shared" si="12"/>
        <v>-6.7128903604016395E-4</v>
      </c>
      <c r="O104" s="6">
        <f t="shared" si="9"/>
        <v>-2.0161094988275217E-3</v>
      </c>
      <c r="P104" s="6"/>
      <c r="Q104" s="6">
        <f t="shared" si="10"/>
        <v>-1.5996735686896794E-2</v>
      </c>
      <c r="R104" s="6">
        <f t="shared" si="11"/>
        <v>-3.8675610583800431E-2</v>
      </c>
      <c r="S104" s="6"/>
      <c r="AA104" s="38"/>
    </row>
    <row r="105" spans="1:27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7"/>
        <v>1.8831535865504456E-4</v>
      </c>
      <c r="J105" s="6">
        <f t="shared" si="12"/>
        <v>1.776525989713901E-3</v>
      </c>
      <c r="K105" s="6">
        <f t="shared" si="12"/>
        <v>9.6506195124218454E-3</v>
      </c>
      <c r="L105" s="6">
        <f t="shared" si="12"/>
        <v>-7.3671383000021009E-3</v>
      </c>
      <c r="M105" s="6">
        <f t="shared" si="12"/>
        <v>1.5286157688589852E-2</v>
      </c>
      <c r="N105" s="6">
        <f t="shared" si="12"/>
        <v>7.5072645194105983E-4</v>
      </c>
      <c r="O105" s="6">
        <f t="shared" si="9"/>
        <v>-4.0450317944709362E-3</v>
      </c>
      <c r="P105" s="6"/>
      <c r="Q105" s="6">
        <f t="shared" si="10"/>
        <v>2.2232407243876406E-3</v>
      </c>
      <c r="R105" s="6">
        <f t="shared" si="11"/>
        <v>1.528615768858985E-2</v>
      </c>
      <c r="S105" s="6"/>
      <c r="AA105" s="38"/>
    </row>
    <row r="106" spans="1:27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7"/>
        <v>1.8831535865504456E-4</v>
      </c>
      <c r="J106" s="6">
        <f t="shared" si="12"/>
        <v>-1.2393598825964395E-2</v>
      </c>
      <c r="K106" s="6">
        <f t="shared" si="12"/>
        <v>-6.6456043485522889E-3</v>
      </c>
      <c r="L106" s="6">
        <f t="shared" si="12"/>
        <v>-6.2900128628262742E-3</v>
      </c>
      <c r="M106" s="6">
        <f t="shared" si="12"/>
        <v>-2.4301095699120847E-3</v>
      </c>
      <c r="N106" s="6">
        <f t="shared" si="12"/>
        <v>-3.7382986232446964E-3</v>
      </c>
      <c r="O106" s="6">
        <f t="shared" si="9"/>
        <v>0</v>
      </c>
      <c r="P106" s="6"/>
      <c r="Q106" s="6">
        <f t="shared" si="10"/>
        <v>-6.1006921935836478E-3</v>
      </c>
      <c r="R106" s="6">
        <f t="shared" si="11"/>
        <v>-2.4301095699120843E-3</v>
      </c>
      <c r="S106" s="6"/>
      <c r="AA106" s="38"/>
    </row>
    <row r="107" spans="1:27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7"/>
        <v>1.8831535865504456E-4</v>
      </c>
      <c r="J107" s="6">
        <f t="shared" si="12"/>
        <v>-5.186893307744119E-3</v>
      </c>
      <c r="K107" s="6">
        <f t="shared" si="12"/>
        <v>0</v>
      </c>
      <c r="L107" s="6">
        <f t="shared" si="12"/>
        <v>-5.371937640172391E-3</v>
      </c>
      <c r="M107" s="6">
        <f t="shared" si="12"/>
        <v>-1.8264811991713004E-3</v>
      </c>
      <c r="N107" s="6">
        <f t="shared" si="12"/>
        <v>-5.6327271267556144E-3</v>
      </c>
      <c r="O107" s="6">
        <f t="shared" si="9"/>
        <v>0</v>
      </c>
      <c r="P107" s="6"/>
      <c r="Q107" s="6">
        <f t="shared" si="10"/>
        <v>-4.1059222954170039E-3</v>
      </c>
      <c r="R107" s="6">
        <f t="shared" si="11"/>
        <v>-1.8264811991713001E-3</v>
      </c>
      <c r="S107" s="6"/>
      <c r="AA107" s="38"/>
    </row>
    <row r="108" spans="1:27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7"/>
        <v>1.8564272073429144E-4</v>
      </c>
      <c r="J108" s="6">
        <f t="shared" si="12"/>
        <v>3.205143040647615E-2</v>
      </c>
      <c r="K108" s="6">
        <f t="shared" si="12"/>
        <v>2.8297562882526783E-3</v>
      </c>
      <c r="L108" s="6">
        <f t="shared" si="12"/>
        <v>1.9731308295413211E-3</v>
      </c>
      <c r="M108" s="6">
        <f t="shared" si="12"/>
        <v>-6.0961109656987951E-4</v>
      </c>
      <c r="N108" s="6">
        <f t="shared" si="12"/>
        <v>8.7667247395320728E-3</v>
      </c>
      <c r="O108" s="6">
        <f t="shared" si="9"/>
        <v>-1.4294026918207711E-2</v>
      </c>
      <c r="P108" s="6"/>
      <c r="Q108" s="6">
        <f t="shared" si="10"/>
        <v>6.7483387090817347E-3</v>
      </c>
      <c r="R108" s="6">
        <f t="shared" si="11"/>
        <v>-6.096110965698794E-4</v>
      </c>
      <c r="S108" s="6"/>
      <c r="AA108" s="38"/>
    </row>
    <row r="109" spans="1:27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7"/>
        <v>1.8182157915558328E-4</v>
      </c>
      <c r="J109" s="6">
        <f t="shared" si="12"/>
        <v>1.5413605907075779E-2</v>
      </c>
      <c r="K109" s="6">
        <f t="shared" si="12"/>
        <v>-5.5003761178523645E-3</v>
      </c>
      <c r="L109" s="6">
        <f t="shared" si="12"/>
        <v>1.7114591700558776E-2</v>
      </c>
      <c r="M109" s="6">
        <f t="shared" si="12"/>
        <v>1.6329333065123283E-2</v>
      </c>
      <c r="N109" s="6">
        <f t="shared" si="12"/>
        <v>1.2238283870230153E-2</v>
      </c>
      <c r="O109" s="6">
        <f t="shared" si="9"/>
        <v>-2.0798098310837867E-2</v>
      </c>
      <c r="P109" s="6"/>
      <c r="Q109" s="6">
        <f t="shared" si="10"/>
        <v>1.6521154749565455E-2</v>
      </c>
      <c r="R109" s="6">
        <f t="shared" si="11"/>
        <v>1.632933306512328E-2</v>
      </c>
      <c r="S109" s="6"/>
      <c r="AA109" s="38"/>
    </row>
    <row r="110" spans="1:27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7"/>
        <v>1.8182157915558328E-4</v>
      </c>
      <c r="J110" s="6">
        <f t="shared" si="12"/>
        <v>1.2089939794405298E-2</v>
      </c>
      <c r="K110" s="6">
        <f t="shared" si="12"/>
        <v>-4.3551865509223759E-3</v>
      </c>
      <c r="L110" s="6">
        <f t="shared" si="12"/>
        <v>-1.1749870658817193E-3</v>
      </c>
      <c r="M110" s="6">
        <f t="shared" si="12"/>
        <v>7.7681556093607577E-3</v>
      </c>
      <c r="N110" s="6">
        <f t="shared" si="12"/>
        <v>2.1918970535104105E-3</v>
      </c>
      <c r="O110" s="6">
        <f t="shared" si="9"/>
        <v>0</v>
      </c>
      <c r="P110" s="6"/>
      <c r="Q110" s="6">
        <f t="shared" si="10"/>
        <v>4.4318630475850707E-3</v>
      </c>
      <c r="R110" s="6">
        <f t="shared" si="11"/>
        <v>7.7681556093607568E-3</v>
      </c>
      <c r="S110" s="6"/>
      <c r="AA110" s="38"/>
    </row>
    <row r="111" spans="1:27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7"/>
        <v>1.8373260432147376E-4</v>
      </c>
      <c r="J111" s="6">
        <f t="shared" si="12"/>
        <v>6.6312354047433934E-3</v>
      </c>
      <c r="K111" s="6">
        <f t="shared" si="12"/>
        <v>4.6892664291325829E-3</v>
      </c>
      <c r="L111" s="6">
        <f t="shared" si="12"/>
        <v>-6.605698786174531E-3</v>
      </c>
      <c r="M111" s="6">
        <f t="shared" si="12"/>
        <v>2.2949014004003898E-2</v>
      </c>
      <c r="N111" s="6">
        <f t="shared" si="12"/>
        <v>2.917131506229948E-3</v>
      </c>
      <c r="O111" s="6">
        <f t="shared" si="9"/>
        <v>1.0455591327247448E-2</v>
      </c>
      <c r="P111" s="6"/>
      <c r="Q111" s="6">
        <f t="shared" si="10"/>
        <v>6.1530120217137075E-3</v>
      </c>
      <c r="R111" s="6">
        <f t="shared" si="11"/>
        <v>2.2949014004003895E-2</v>
      </c>
      <c r="S111" s="6"/>
      <c r="AA111" s="38"/>
    </row>
    <row r="112" spans="1:27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7"/>
        <v>1.8755192925978825E-4</v>
      </c>
      <c r="J112" s="6">
        <f t="shared" si="12"/>
        <v>-3.4900447377881711E-3</v>
      </c>
      <c r="K112" s="6">
        <f t="shared" si="12"/>
        <v>-1.5830462198802939E-2</v>
      </c>
      <c r="L112" s="6">
        <f t="shared" si="12"/>
        <v>8.8957289910188905E-3</v>
      </c>
      <c r="M112" s="6">
        <f t="shared" si="12"/>
        <v>-3.011736741564745E-2</v>
      </c>
      <c r="N112" s="6">
        <f t="shared" si="12"/>
        <v>8.1165916827587409E-4</v>
      </c>
      <c r="O112" s="6">
        <f t="shared" si="9"/>
        <v>2.0574299865323647E-2</v>
      </c>
      <c r="P112" s="6"/>
      <c r="Q112" s="6">
        <f t="shared" si="10"/>
        <v>-6.9867925877787011E-3</v>
      </c>
      <c r="R112" s="6">
        <f t="shared" si="11"/>
        <v>-3.0117367415647446E-2</v>
      </c>
      <c r="S112" s="6"/>
      <c r="AA112" s="38"/>
    </row>
    <row r="113" spans="1:27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7"/>
        <v>1.8755192925978825E-4</v>
      </c>
      <c r="J113" s="6">
        <f t="shared" si="12"/>
        <v>-1.6980138057580752E-3</v>
      </c>
      <c r="K113" s="6">
        <f t="shared" si="12"/>
        <v>4.2347552165082781E-3</v>
      </c>
      <c r="L113" s="6">
        <f t="shared" si="12"/>
        <v>1.4209382167514918E-2</v>
      </c>
      <c r="M113" s="6">
        <f t="shared" si="12"/>
        <v>2.9535485641168389E-2</v>
      </c>
      <c r="N113" s="6">
        <f t="shared" si="12"/>
        <v>5.2465060919916033E-3</v>
      </c>
      <c r="O113" s="6">
        <f t="shared" si="9"/>
        <v>0</v>
      </c>
      <c r="P113" s="6"/>
      <c r="Q113" s="6">
        <f t="shared" si="10"/>
        <v>1.6531453513034717E-2</v>
      </c>
      <c r="R113" s="6">
        <f t="shared" si="11"/>
        <v>2.9535485641168386E-2</v>
      </c>
      <c r="S113" s="6"/>
      <c r="AA113" s="38"/>
    </row>
    <row r="114" spans="1:27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7"/>
        <v>1.8907864298212118E-4</v>
      </c>
      <c r="J114" s="6">
        <f t="shared" si="12"/>
        <v>-9.053703332614238E-3</v>
      </c>
      <c r="K114" s="6">
        <f t="shared" si="12"/>
        <v>3.5433502166368901E-3</v>
      </c>
      <c r="L114" s="6">
        <f t="shared" si="12"/>
        <v>-3.8235737207052796E-3</v>
      </c>
      <c r="M114" s="6">
        <f t="shared" si="12"/>
        <v>6.382391439619532E-3</v>
      </c>
      <c r="N114" s="6">
        <f t="shared" si="12"/>
        <v>-6.52009756234213E-4</v>
      </c>
      <c r="O114" s="6">
        <f t="shared" si="9"/>
        <v>8.1072658309452785E-3</v>
      </c>
      <c r="P114" s="6"/>
      <c r="Q114" s="6">
        <f t="shared" si="10"/>
        <v>-1.2659407129283137E-3</v>
      </c>
      <c r="R114" s="6">
        <f t="shared" si="11"/>
        <v>6.3823914396195312E-3</v>
      </c>
      <c r="S114" s="6"/>
      <c r="AA114" s="38"/>
    </row>
    <row r="115" spans="1:27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7"/>
        <v>1.8869701894863589E-4</v>
      </c>
      <c r="J115" s="6">
        <f t="shared" si="12"/>
        <v>-3.5923582258243084E-3</v>
      </c>
      <c r="K115" s="6">
        <f t="shared" si="12"/>
        <v>6.045418986824742E-3</v>
      </c>
      <c r="L115" s="6">
        <f t="shared" si="12"/>
        <v>2.608569026138582E-3</v>
      </c>
      <c r="M115" s="6">
        <f t="shared" si="12"/>
        <v>-2.3161320398991719E-3</v>
      </c>
      <c r="N115" s="6">
        <f t="shared" si="12"/>
        <v>7.5283737614565433E-3</v>
      </c>
      <c r="O115" s="6">
        <f t="shared" si="9"/>
        <v>-2.020374533117761E-3</v>
      </c>
      <c r="P115" s="6"/>
      <c r="Q115" s="6">
        <f t="shared" si="10"/>
        <v>-2.7082307297231201E-4</v>
      </c>
      <c r="R115" s="6">
        <f t="shared" si="11"/>
        <v>-2.3161320398991715E-3</v>
      </c>
      <c r="S115" s="6"/>
      <c r="AA115" s="38"/>
    </row>
    <row r="116" spans="1:27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7"/>
        <v>1.8793366209446383E-4</v>
      </c>
      <c r="J116" s="6">
        <f t="shared" si="12"/>
        <v>-1.9433375980611085E-2</v>
      </c>
      <c r="K116" s="6">
        <f t="shared" si="12"/>
        <v>2.842073474480988E-3</v>
      </c>
      <c r="L116" s="6">
        <f t="shared" si="12"/>
        <v>2.0287319345977977E-2</v>
      </c>
      <c r="M116" s="6">
        <f t="shared" si="12"/>
        <v>1.610156507641821E-2</v>
      </c>
      <c r="N116" s="6">
        <f t="shared" si="12"/>
        <v>-6.0083834993726029E-4</v>
      </c>
      <c r="O116" s="6">
        <f t="shared" si="9"/>
        <v>-4.0536150551227449E-3</v>
      </c>
      <c r="P116" s="6"/>
      <c r="Q116" s="6">
        <f t="shared" si="10"/>
        <v>1.1343504598070044E-2</v>
      </c>
      <c r="R116" s="6">
        <f t="shared" si="11"/>
        <v>1.6101565076418207E-2</v>
      </c>
      <c r="S116" s="6"/>
      <c r="AA116" s="38"/>
    </row>
    <row r="117" spans="1:27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7"/>
        <v>1.8869701894863589E-4</v>
      </c>
      <c r="J117" s="6">
        <f t="shared" si="12"/>
        <v>-1.9547375416428876E-2</v>
      </c>
      <c r="K117" s="6">
        <f t="shared" si="12"/>
        <v>-6.8682608284900979E-3</v>
      </c>
      <c r="L117" s="6">
        <f t="shared" si="12"/>
        <v>-1.0894867940747696E-2</v>
      </c>
      <c r="M117" s="6">
        <f t="shared" si="12"/>
        <v>9.08571462661973E-3</v>
      </c>
      <c r="N117" s="6">
        <f t="shared" si="12"/>
        <v>-1.6236787963987382E-2</v>
      </c>
      <c r="O117" s="6">
        <f t="shared" si="9"/>
        <v>4.053615055122829E-3</v>
      </c>
      <c r="P117" s="6"/>
      <c r="Q117" s="6">
        <f t="shared" si="10"/>
        <v>-5.5884846030571271E-3</v>
      </c>
      <c r="R117" s="6">
        <f t="shared" si="11"/>
        <v>9.0857146266197283E-3</v>
      </c>
      <c r="S117" s="6"/>
      <c r="AA117" s="38"/>
    </row>
    <row r="118" spans="1:27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7"/>
        <v>1.8602463504269195E-4</v>
      </c>
      <c r="J118" s="6">
        <f t="shared" si="12"/>
        <v>1.3252435087594459E-2</v>
      </c>
      <c r="K118" s="6">
        <f t="shared" si="12"/>
        <v>2.4737724565590001E-2</v>
      </c>
      <c r="L118" s="6">
        <f t="shared" si="12"/>
        <v>-3.6197520984293389E-3</v>
      </c>
      <c r="M118" s="6">
        <f t="shared" si="12"/>
        <v>1.9592162762490182E-2</v>
      </c>
      <c r="N118" s="6">
        <f t="shared" si="12"/>
        <v>1.2416277903485802E-2</v>
      </c>
      <c r="O118" s="6">
        <f t="shared" si="9"/>
        <v>-1.4263543006221244E-2</v>
      </c>
      <c r="P118" s="6"/>
      <c r="Q118" s="6">
        <f t="shared" si="10"/>
        <v>7.6220127598441512E-3</v>
      </c>
      <c r="R118" s="6">
        <f t="shared" si="11"/>
        <v>1.9592162762490178E-2</v>
      </c>
      <c r="S118" s="6"/>
      <c r="AA118" s="38"/>
    </row>
    <row r="119" spans="1:27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7"/>
        <v>1.8678835474061906E-4</v>
      </c>
      <c r="J119" s="6">
        <f t="shared" si="12"/>
        <v>-5.4198470459970276E-3</v>
      </c>
      <c r="K119" s="6">
        <f t="shared" si="12"/>
        <v>-7.2416284624734579E-3</v>
      </c>
      <c r="L119" s="6">
        <f t="shared" si="12"/>
        <v>5.7395664242008678E-3</v>
      </c>
      <c r="M119" s="6">
        <f t="shared" si="12"/>
        <v>-1.1709175802896356E-2</v>
      </c>
      <c r="N119" s="6">
        <f t="shared" si="12"/>
        <v>1.0627786351803241E-2</v>
      </c>
      <c r="O119" s="6">
        <f t="shared" si="9"/>
        <v>4.0970716534691276E-3</v>
      </c>
      <c r="P119" s="6"/>
      <c r="Q119" s="6">
        <f t="shared" si="10"/>
        <v>-2.4237102647811587E-3</v>
      </c>
      <c r="R119" s="6">
        <f t="shared" si="11"/>
        <v>-1.1709175802896354E-2</v>
      </c>
      <c r="S119" s="6"/>
      <c r="AA119" s="38"/>
    </row>
    <row r="120" spans="1:27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7"/>
        <v>1.8602463504269195E-4</v>
      </c>
      <c r="J120" s="6">
        <f t="shared" si="12"/>
        <v>9.7984505156412712E-3</v>
      </c>
      <c r="K120" s="6">
        <f t="shared" si="12"/>
        <v>-8.2933112377348989E-3</v>
      </c>
      <c r="L120" s="6">
        <f t="shared" si="12"/>
        <v>-1.3171600244696804E-3</v>
      </c>
      <c r="M120" s="6">
        <f t="shared" si="12"/>
        <v>-5.6243984313423317E-3</v>
      </c>
      <c r="N120" s="6">
        <f t="shared" si="12"/>
        <v>-3.191464135615035E-3</v>
      </c>
      <c r="O120" s="6">
        <f t="shared" si="9"/>
        <v>-4.0970716534690834E-3</v>
      </c>
      <c r="P120" s="6"/>
      <c r="Q120" s="6">
        <f t="shared" si="10"/>
        <v>-7.1666681276645995E-4</v>
      </c>
      <c r="R120" s="6">
        <f t="shared" si="11"/>
        <v>-5.6243984313423308E-3</v>
      </c>
      <c r="S120" s="6"/>
      <c r="AA120" s="38"/>
    </row>
    <row r="121" spans="1:27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7"/>
        <v>1.8755192925978825E-4</v>
      </c>
      <c r="J121" s="6">
        <f t="shared" si="12"/>
        <v>8.5946741458582179E-3</v>
      </c>
      <c r="K121" s="6">
        <f t="shared" si="12"/>
        <v>-1.6669342296507035E-3</v>
      </c>
      <c r="L121" s="6">
        <f t="shared" si="12"/>
        <v>3.4324844651034197E-3</v>
      </c>
      <c r="M121" s="6">
        <f t="shared" si="12"/>
        <v>-6.7910685184317367E-3</v>
      </c>
      <c r="N121" s="6">
        <f t="shared" si="12"/>
        <v>2.3077617284261594E-3</v>
      </c>
      <c r="O121" s="6">
        <f t="shared" si="9"/>
        <v>8.1766517083937465E-3</v>
      </c>
      <c r="P121" s="6"/>
      <c r="Q121" s="6">
        <f t="shared" si="10"/>
        <v>8.5593246041940681E-4</v>
      </c>
      <c r="R121" s="6">
        <f t="shared" si="11"/>
        <v>-6.7910685184317358E-3</v>
      </c>
      <c r="S121" s="6"/>
      <c r="AA121" s="38"/>
    </row>
    <row r="122" spans="1:27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7"/>
        <v>1.8487878316397754E-4</v>
      </c>
      <c r="J122" s="6">
        <f t="shared" si="12"/>
        <v>5.8094509155742779E-4</v>
      </c>
      <c r="K122" s="6">
        <f t="shared" si="12"/>
        <v>8.3381444850086286E-4</v>
      </c>
      <c r="L122" s="6">
        <f t="shared" si="12"/>
        <v>1.8827811992427708E-3</v>
      </c>
      <c r="M122" s="6">
        <f t="shared" si="12"/>
        <v>-1.6027947235816124E-2</v>
      </c>
      <c r="N122" s="6">
        <f t="shared" si="12"/>
        <v>8.2076669213310503E-3</v>
      </c>
      <c r="O122" s="6">
        <f t="shared" si="9"/>
        <v>-1.4355378934220285E-2</v>
      </c>
      <c r="P122" s="6"/>
      <c r="Q122" s="6">
        <f t="shared" si="10"/>
        <v>-4.5820155289173891E-3</v>
      </c>
      <c r="R122" s="6">
        <f t="shared" si="11"/>
        <v>-1.6027947235816121E-2</v>
      </c>
      <c r="S122" s="6"/>
      <c r="AA122" s="38"/>
    </row>
    <row r="123" spans="1:27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7"/>
        <v>1.8296830335384762E-4</v>
      </c>
      <c r="J123" s="6">
        <f t="shared" si="12"/>
        <v>-5.7713210785359176E-3</v>
      </c>
      <c r="K123" s="6">
        <f t="shared" si="12"/>
        <v>-2.670619829599635E-3</v>
      </c>
      <c r="L123" s="6">
        <f t="shared" si="12"/>
        <v>-3.5975477957779409E-3</v>
      </c>
      <c r="M123" s="6">
        <f t="shared" si="12"/>
        <v>-2.9870396236716779E-2</v>
      </c>
      <c r="N123" s="6">
        <f t="shared" si="12"/>
        <v>5.7040100736248747E-4</v>
      </c>
      <c r="O123" s="6">
        <f t="shared" si="9"/>
        <v>-1.0387452060302784E-2</v>
      </c>
      <c r="P123" s="6"/>
      <c r="Q123" s="6">
        <f t="shared" si="10"/>
        <v>-1.3130424241780868E-2</v>
      </c>
      <c r="R123" s="6">
        <f t="shared" si="11"/>
        <v>-2.9870396236716775E-2</v>
      </c>
      <c r="S123" s="6"/>
      <c r="AA123" s="38"/>
    </row>
    <row r="124" spans="1:27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7"/>
        <v>1.8793366209446383E-4</v>
      </c>
      <c r="J124" s="6">
        <f t="shared" si="12"/>
        <v>4.0856395568765842E-3</v>
      </c>
      <c r="K124" s="6">
        <f t="shared" si="12"/>
        <v>-4.5230317841640829E-3</v>
      </c>
      <c r="L124" s="6">
        <f t="shared" si="12"/>
        <v>1.200619285424928E-3</v>
      </c>
      <c r="M124" s="6">
        <f t="shared" si="12"/>
        <v>1.1883725529783697E-3</v>
      </c>
      <c r="N124" s="6">
        <f t="shared" si="12"/>
        <v>5.7259755908601927E-3</v>
      </c>
      <c r="O124" s="6">
        <f t="shared" si="9"/>
        <v>2.6776107237227904E-2</v>
      </c>
      <c r="P124" s="6"/>
      <c r="Q124" s="6">
        <f t="shared" si="10"/>
        <v>1.740411461366909E-3</v>
      </c>
      <c r="R124" s="6">
        <f t="shared" si="11"/>
        <v>1.1883725529783695E-3</v>
      </c>
      <c r="S124" s="6"/>
      <c r="AA124" s="38"/>
    </row>
    <row r="125" spans="1:27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7"/>
        <v>1.9022329759033063E-4</v>
      </c>
      <c r="J125" s="6">
        <f t="shared" si="12"/>
        <v>-9.0426439389799818E-3</v>
      </c>
      <c r="K125" s="6">
        <f t="shared" si="12"/>
        <v>2.3477669245357624E-3</v>
      </c>
      <c r="L125" s="6">
        <f t="shared" si="12"/>
        <v>4.4469325058092328E-3</v>
      </c>
      <c r="M125" s="6">
        <f t="shared" si="12"/>
        <v>1.0632216336701443E-2</v>
      </c>
      <c r="N125" s="6">
        <f t="shared" si="12"/>
        <v>-9.4940022755554091E-4</v>
      </c>
      <c r="O125" s="6">
        <f t="shared" si="9"/>
        <v>1.2109593209557942E-2</v>
      </c>
      <c r="P125" s="6"/>
      <c r="Q125" s="6">
        <f t="shared" si="10"/>
        <v>4.0508974836156557E-3</v>
      </c>
      <c r="R125" s="6">
        <f t="shared" si="11"/>
        <v>1.0632216336701441E-2</v>
      </c>
      <c r="S125" s="6"/>
      <c r="AA125" s="38"/>
    </row>
    <row r="126" spans="1:27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7"/>
        <v>1.8831535865504456E-4</v>
      </c>
      <c r="J126" s="6">
        <f t="shared" si="12"/>
        <v>-1.133841763443315E-2</v>
      </c>
      <c r="K126" s="6">
        <f t="shared" si="12"/>
        <v>-5.8799302773867674E-3</v>
      </c>
      <c r="L126" s="6">
        <f t="shared" si="12"/>
        <v>-8.7416423305419957E-3</v>
      </c>
      <c r="M126" s="6">
        <f t="shared" si="12"/>
        <v>-7.075609674194675E-3</v>
      </c>
      <c r="N126" s="6">
        <f t="shared" si="12"/>
        <v>-1.3768624761212093E-2</v>
      </c>
      <c r="O126" s="6">
        <f t="shared" si="9"/>
        <v>-1.0080635415788465E-2</v>
      </c>
      <c r="P126" s="6"/>
      <c r="Q126" s="6">
        <f t="shared" si="10"/>
        <v>-8.6528196648794631E-3</v>
      </c>
      <c r="R126" s="6">
        <f t="shared" si="11"/>
        <v>-7.0756096741946741E-3</v>
      </c>
      <c r="S126" s="6"/>
      <c r="AA126" s="38"/>
    </row>
    <row r="127" spans="1:27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7"/>
        <v>1.8869701894863589E-4</v>
      </c>
      <c r="J127" s="6">
        <f t="shared" si="12"/>
        <v>-4.8213974030586366E-3</v>
      </c>
      <c r="K127" s="6">
        <f t="shared" si="12"/>
        <v>-1.0114192349661964E-3</v>
      </c>
      <c r="L127" s="6">
        <f t="shared" si="12"/>
        <v>1.0105957663276266E-2</v>
      </c>
      <c r="M127" s="6">
        <f t="shared" si="12"/>
        <v>5.9145856733030231E-4</v>
      </c>
      <c r="N127" s="6">
        <f t="shared" si="12"/>
        <v>9.5341290968955009E-3</v>
      </c>
      <c r="O127" s="6">
        <f t="shared" si="9"/>
        <v>2.0246572613530339E-3</v>
      </c>
      <c r="P127" s="6"/>
      <c r="Q127" s="6">
        <f t="shared" si="10"/>
        <v>3.9872167977853725E-3</v>
      </c>
      <c r="R127" s="6">
        <f t="shared" si="11"/>
        <v>5.914585673303022E-4</v>
      </c>
      <c r="S127" s="6"/>
      <c r="AA127" s="38"/>
    </row>
    <row r="128" spans="1:27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7"/>
        <v>1.8869701894863589E-4</v>
      </c>
      <c r="J128" s="6">
        <f t="shared" si="12"/>
        <v>-1.5759825619922172E-3</v>
      </c>
      <c r="K128" s="6">
        <f t="shared" si="12"/>
        <v>1.8535876226185115E-3</v>
      </c>
      <c r="L128" s="6">
        <f t="shared" si="12"/>
        <v>2.1580013672744289E-2</v>
      </c>
      <c r="M128" s="6">
        <f t="shared" si="12"/>
        <v>1.0588436740846002E-2</v>
      </c>
      <c r="N128" s="6">
        <f t="shared" si="12"/>
        <v>5.8043999917945753E-3</v>
      </c>
      <c r="O128" s="6">
        <f t="shared" si="9"/>
        <v>0</v>
      </c>
      <c r="P128" s="6"/>
      <c r="Q128" s="6">
        <f t="shared" si="10"/>
        <v>1.3396652117563707E-2</v>
      </c>
      <c r="R128" s="6">
        <f t="shared" si="11"/>
        <v>1.0588436740846001E-2</v>
      </c>
      <c r="S128" s="6"/>
      <c r="AA128" s="38"/>
    </row>
    <row r="129" spans="1:27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7"/>
        <v>1.8984178229608517E-4</v>
      </c>
      <c r="J129" s="6">
        <f t="shared" si="12"/>
        <v>-8.4661574423176515E-3</v>
      </c>
      <c r="K129" s="6">
        <f t="shared" si="12"/>
        <v>-1.6839405150777205E-4</v>
      </c>
      <c r="L129" s="6">
        <f t="shared" si="12"/>
        <v>-4.6810314347300336E-3</v>
      </c>
      <c r="M129" s="6">
        <f t="shared" si="12"/>
        <v>-7.0465265167247411E-3</v>
      </c>
      <c r="N129" s="6">
        <f t="shared" si="12"/>
        <v>-4.8150123419915631E-3</v>
      </c>
      <c r="O129" s="6">
        <f t="shared" si="9"/>
        <v>6.0483460799302426E-3</v>
      </c>
      <c r="P129" s="6"/>
      <c r="Q129" s="6">
        <f t="shared" si="10"/>
        <v>-6.2162061897718729E-3</v>
      </c>
      <c r="R129" s="6">
        <f t="shared" si="11"/>
        <v>-7.0465265167247403E-3</v>
      </c>
      <c r="S129" s="6"/>
      <c r="AA129" s="38"/>
    </row>
    <row r="130" spans="1:27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7"/>
        <v>1.9022329759033063E-4</v>
      </c>
      <c r="J130" s="6">
        <f t="shared" si="12"/>
        <v>-4.1223013161664603E-3</v>
      </c>
      <c r="K130" s="6">
        <f t="shared" si="12"/>
        <v>2.181787938436186E-2</v>
      </c>
      <c r="L130" s="6">
        <f t="shared" si="12"/>
        <v>3.9023496044056838E-3</v>
      </c>
      <c r="M130" s="6">
        <f t="shared" si="12"/>
        <v>-3.5419102241213379E-3</v>
      </c>
      <c r="N130" s="6">
        <f t="shared" si="12"/>
        <v>-6.0234144772223523E-3</v>
      </c>
      <c r="O130" s="6">
        <f t="shared" si="9"/>
        <v>2.0076320745050212E-3</v>
      </c>
      <c r="P130" s="6"/>
      <c r="Q130" s="6">
        <f t="shared" si="10"/>
        <v>-1.9584133671974192E-4</v>
      </c>
      <c r="R130" s="6">
        <f t="shared" si="11"/>
        <v>-3.5419102241213375E-3</v>
      </c>
      <c r="S130" s="6"/>
      <c r="AA130" s="38"/>
    </row>
    <row r="131" spans="1:27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ref="H131:H194" si="13">+(1+G131)^(1/250)-1</f>
        <v>1.9479865694971288E-4</v>
      </c>
      <c r="J131" s="6">
        <f t="shared" ref="J131:N162" si="14">LN(B131/B130)</f>
        <v>4.1772619153831059E-3</v>
      </c>
      <c r="K131" s="6">
        <f t="shared" si="14"/>
        <v>8.8568526987604264E-3</v>
      </c>
      <c r="L131" s="6">
        <f t="shared" si="14"/>
        <v>6.4887245296995355E-3</v>
      </c>
      <c r="M131" s="6">
        <f t="shared" si="14"/>
        <v>5.3082933634442889E-3</v>
      </c>
      <c r="N131" s="6">
        <f t="shared" si="14"/>
        <v>1.2633935945864823E-3</v>
      </c>
      <c r="O131" s="6">
        <f t="shared" si="9"/>
        <v>2.3767864106321954E-2</v>
      </c>
      <c r="P131" s="6"/>
      <c r="Q131" s="6">
        <f t="shared" si="10"/>
        <v>5.6429472002317797E-3</v>
      </c>
      <c r="R131" s="6">
        <f t="shared" si="11"/>
        <v>5.3082933634442881E-3</v>
      </c>
      <c r="S131" s="6"/>
      <c r="AA131" s="38"/>
    </row>
    <row r="132" spans="1:27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si="13"/>
        <v>1.9289289052348835E-4</v>
      </c>
      <c r="J132" s="6">
        <f t="shared" si="14"/>
        <v>1.118116096025438E-2</v>
      </c>
      <c r="K132" s="6">
        <f t="shared" si="14"/>
        <v>-1.4707357985398316E-3</v>
      </c>
      <c r="L132" s="6">
        <f t="shared" si="14"/>
        <v>1.1924178761792791E-2</v>
      </c>
      <c r="M132" s="6">
        <f t="shared" si="14"/>
        <v>-2.4413339458236528E-2</v>
      </c>
      <c r="N132" s="6">
        <f t="shared" si="14"/>
        <v>2.0902891694828028E-2</v>
      </c>
      <c r="O132" s="6">
        <f t="shared" ref="O132:O195" si="15">+LN(H132/H131)</f>
        <v>-9.8314332056269067E-3</v>
      </c>
      <c r="P132" s="6"/>
      <c r="Q132" s="6">
        <f t="shared" ref="Q132:Q195" si="16">+SUMPRODUCT($U$16:$X$16,J132:M132)</f>
        <v>-8.3373707331232515E-4</v>
      </c>
      <c r="R132" s="6">
        <f t="shared" ref="R132:R195" si="17">+SUMPRODUCT($U$17:$X$17,J132:M132)</f>
        <v>-2.4413339458236524E-2</v>
      </c>
      <c r="S132" s="6"/>
      <c r="AA132" s="38"/>
    </row>
    <row r="133" spans="1:27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13"/>
        <v>1.9251162871269933E-4</v>
      </c>
      <c r="J133" s="6">
        <f t="shared" si="14"/>
        <v>-1.0084818339197638E-2</v>
      </c>
      <c r="K133" s="6">
        <f t="shared" si="14"/>
        <v>8.1738858055153973E-4</v>
      </c>
      <c r="L133" s="6">
        <f t="shared" si="14"/>
        <v>5.0128845481506338E-3</v>
      </c>
      <c r="M133" s="6">
        <f t="shared" si="14"/>
        <v>1.2578760442407045E-2</v>
      </c>
      <c r="N133" s="6">
        <f t="shared" si="14"/>
        <v>3.4788317372660206E-4</v>
      </c>
      <c r="O133" s="6">
        <f t="shared" si="15"/>
        <v>-1.9785026699455054E-3</v>
      </c>
      <c r="P133" s="6"/>
      <c r="Q133" s="6">
        <f t="shared" si="16"/>
        <v>4.7929912586060722E-3</v>
      </c>
      <c r="R133" s="6">
        <f t="shared" si="17"/>
        <v>1.2578760442407043E-2</v>
      </c>
      <c r="S133" s="6"/>
      <c r="AA133" s="38"/>
    </row>
    <row r="134" spans="1:27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13"/>
        <v>1.9441757599203413E-4</v>
      </c>
      <c r="J134" s="6">
        <f t="shared" si="14"/>
        <v>-7.479106127821062E-3</v>
      </c>
      <c r="K134" s="6">
        <f t="shared" si="14"/>
        <v>-8.0388122707836501E-3</v>
      </c>
      <c r="L134" s="6">
        <f t="shared" si="14"/>
        <v>-3.4300521667624483E-3</v>
      </c>
      <c r="M134" s="6">
        <f t="shared" si="14"/>
        <v>-1.1976066753339242E-2</v>
      </c>
      <c r="N134" s="6">
        <f t="shared" si="14"/>
        <v>-3.7939352461026604E-3</v>
      </c>
      <c r="O134" s="6">
        <f t="shared" si="15"/>
        <v>9.8517386206897241E-3</v>
      </c>
      <c r="P134" s="6"/>
      <c r="Q134" s="6">
        <f t="shared" si="16"/>
        <v>-7.1611142638943444E-3</v>
      </c>
      <c r="R134" s="6">
        <f t="shared" si="17"/>
        <v>-1.197606675333924E-2</v>
      </c>
      <c r="S134" s="6"/>
      <c r="AA134" s="38"/>
    </row>
    <row r="135" spans="1:27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13"/>
        <v>1.9441757599203413E-4</v>
      </c>
      <c r="J135" s="6">
        <f t="shared" si="14"/>
        <v>8.0816092470088127E-3</v>
      </c>
      <c r="K135" s="6">
        <f t="shared" si="14"/>
        <v>-6.1132169466150627E-3</v>
      </c>
      <c r="L135" s="6">
        <f t="shared" si="14"/>
        <v>4.9073938927271261E-4</v>
      </c>
      <c r="M135" s="6">
        <f t="shared" si="14"/>
        <v>1.3760308076745754E-2</v>
      </c>
      <c r="N135" s="6">
        <f t="shared" si="14"/>
        <v>1.7048185442892359E-3</v>
      </c>
      <c r="O135" s="6">
        <f t="shared" si="15"/>
        <v>0</v>
      </c>
      <c r="P135" s="6"/>
      <c r="Q135" s="6">
        <f t="shared" si="16"/>
        <v>6.5299037436794254E-3</v>
      </c>
      <c r="R135" s="6">
        <f t="shared" si="17"/>
        <v>1.3760308076745753E-2</v>
      </c>
      <c r="S135" s="6"/>
      <c r="AA135" s="38"/>
    </row>
    <row r="136" spans="1:27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13"/>
        <v>1.9403645887727805E-4</v>
      </c>
      <c r="J136" s="6">
        <f t="shared" si="14"/>
        <v>-6.647496052951337E-3</v>
      </c>
      <c r="K136" s="6">
        <f t="shared" si="14"/>
        <v>9.9389517455469021E-4</v>
      </c>
      <c r="L136" s="6">
        <f t="shared" si="14"/>
        <v>5.0566859458387667E-3</v>
      </c>
      <c r="M136" s="6">
        <f t="shared" si="14"/>
        <v>7.6945269621530249E-3</v>
      </c>
      <c r="N136" s="6">
        <f t="shared" si="14"/>
        <v>-1.659450476103029E-3</v>
      </c>
      <c r="O136" s="6">
        <f t="shared" si="15"/>
        <v>-1.9622256577658012E-3</v>
      </c>
      <c r="P136" s="6"/>
      <c r="Q136" s="6">
        <f t="shared" si="16"/>
        <v>3.7655227052556407E-3</v>
      </c>
      <c r="R136" s="6">
        <f t="shared" si="17"/>
        <v>7.6945269621530241E-3</v>
      </c>
      <c r="S136" s="6"/>
      <c r="AA136" s="38"/>
    </row>
    <row r="137" spans="1:27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13"/>
        <v>1.9441757599203413E-4</v>
      </c>
      <c r="J137" s="6">
        <f t="shared" si="14"/>
        <v>-3.6999302544279294E-3</v>
      </c>
      <c r="K137" s="6">
        <f t="shared" si="14"/>
        <v>-6.311315966027564E-3</v>
      </c>
      <c r="L137" s="6">
        <f t="shared" si="14"/>
        <v>9.0702909341080495E-3</v>
      </c>
      <c r="M137" s="6">
        <f t="shared" si="14"/>
        <v>-1.7703701935084114E-3</v>
      </c>
      <c r="N137" s="6">
        <f t="shared" si="14"/>
        <v>5.2154203933401618E-3</v>
      </c>
      <c r="O137" s="6">
        <f t="shared" si="15"/>
        <v>1.9622256577658281E-3</v>
      </c>
      <c r="P137" s="6"/>
      <c r="Q137" s="6">
        <f t="shared" si="16"/>
        <v>2.8978380231986737E-3</v>
      </c>
      <c r="R137" s="6">
        <f t="shared" si="17"/>
        <v>-1.7703701935084112E-3</v>
      </c>
      <c r="S137" s="6"/>
      <c r="AA137" s="38"/>
    </row>
    <row r="138" spans="1:27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13"/>
        <v>1.9594168295089531E-4</v>
      </c>
      <c r="J138" s="6">
        <f t="shared" si="14"/>
        <v>-6.0485955778969338E-3</v>
      </c>
      <c r="K138" s="6">
        <f t="shared" si="14"/>
        <v>-8.1974383416661724E-3</v>
      </c>
      <c r="L138" s="6">
        <f t="shared" si="14"/>
        <v>-4.1470699285579005E-3</v>
      </c>
      <c r="M138" s="6">
        <f t="shared" si="14"/>
        <v>2.9490604228386468E-3</v>
      </c>
      <c r="N138" s="6">
        <f t="shared" si="14"/>
        <v>7.9759250577916968E-3</v>
      </c>
      <c r="O138" s="6">
        <f t="shared" si="15"/>
        <v>7.8087795719660449E-3</v>
      </c>
      <c r="P138" s="6"/>
      <c r="Q138" s="6">
        <f t="shared" si="16"/>
        <v>-2.0415987907557494E-3</v>
      </c>
      <c r="R138" s="6">
        <f t="shared" si="17"/>
        <v>2.9490604228386464E-3</v>
      </c>
      <c r="S138" s="6"/>
      <c r="AA138" s="38"/>
    </row>
    <row r="139" spans="1:27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13"/>
        <v>1.9517970175764177E-4</v>
      </c>
      <c r="J139" s="6">
        <f t="shared" si="14"/>
        <v>-2.5708994582135079E-2</v>
      </c>
      <c r="K139" s="6">
        <f t="shared" si="14"/>
        <v>4.6925289520041878E-3</v>
      </c>
      <c r="L139" s="6">
        <f t="shared" si="14"/>
        <v>7.4737850456217817E-3</v>
      </c>
      <c r="M139" s="6">
        <f t="shared" si="14"/>
        <v>-1.0657458514889893E-2</v>
      </c>
      <c r="N139" s="6">
        <f t="shared" si="14"/>
        <v>-1.1939974324694175E-3</v>
      </c>
      <c r="O139" s="6">
        <f t="shared" si="15"/>
        <v>-3.8963973184373184E-3</v>
      </c>
      <c r="P139" s="6"/>
      <c r="Q139" s="6">
        <f t="shared" si="16"/>
        <v>-5.0795543687797836E-3</v>
      </c>
      <c r="R139" s="6">
        <f t="shared" si="17"/>
        <v>-1.0657458514889891E-2</v>
      </c>
      <c r="S139" s="6"/>
      <c r="AA139" s="38"/>
    </row>
    <row r="140" spans="1:27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13"/>
        <v>1.9632261934998674E-4</v>
      </c>
      <c r="J140" s="6">
        <f t="shared" si="14"/>
        <v>-2.8853134850884594E-2</v>
      </c>
      <c r="K140" s="6">
        <f t="shared" si="14"/>
        <v>-4.8605552480539922E-3</v>
      </c>
      <c r="L140" s="6">
        <f t="shared" si="14"/>
        <v>9.9673658093087422E-3</v>
      </c>
      <c r="M140" s="6">
        <f t="shared" si="14"/>
        <v>2.1784911671504949E-2</v>
      </c>
      <c r="N140" s="6">
        <f t="shared" si="14"/>
        <v>-1.0245348981574391E-2</v>
      </c>
      <c r="O140" s="6">
        <f t="shared" si="15"/>
        <v>5.8386414462251674E-3</v>
      </c>
      <c r="P140" s="6"/>
      <c r="Q140" s="6">
        <f t="shared" si="16"/>
        <v>6.7502746215673875E-3</v>
      </c>
      <c r="R140" s="6">
        <f t="shared" si="17"/>
        <v>2.1784911671504946E-2</v>
      </c>
      <c r="S140" s="6"/>
      <c r="AA140" s="38"/>
    </row>
    <row r="141" spans="1:27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13"/>
        <v>1.9632261934998674E-4</v>
      </c>
      <c r="J141" s="6">
        <f t="shared" si="14"/>
        <v>-5.8956789518436912E-3</v>
      </c>
      <c r="K141" s="6">
        <f t="shared" si="14"/>
        <v>5.0397715508103207E-4</v>
      </c>
      <c r="L141" s="6">
        <f t="shared" si="14"/>
        <v>5.1841067662975826E-3</v>
      </c>
      <c r="M141" s="6">
        <f t="shared" si="14"/>
        <v>5.8222055801986279E-4</v>
      </c>
      <c r="N141" s="6">
        <f t="shared" si="14"/>
        <v>5.1279595372516517E-3</v>
      </c>
      <c r="O141" s="6">
        <f t="shared" si="15"/>
        <v>0</v>
      </c>
      <c r="P141" s="6"/>
      <c r="Q141" s="6">
        <f t="shared" si="16"/>
        <v>1.4967743990468556E-3</v>
      </c>
      <c r="R141" s="6">
        <f t="shared" si="17"/>
        <v>5.8222055801986268E-4</v>
      </c>
      <c r="S141" s="6"/>
      <c r="AA141" s="38"/>
    </row>
    <row r="142" spans="1:27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13"/>
        <v>1.9517970175764177E-4</v>
      </c>
      <c r="J142" s="6">
        <f t="shared" si="14"/>
        <v>-7.0975441095678829E-4</v>
      </c>
      <c r="K142" s="6">
        <f t="shared" si="14"/>
        <v>-1.848914347035491E-3</v>
      </c>
      <c r="L142" s="6">
        <f t="shared" si="14"/>
        <v>-8.7971014039722271E-3</v>
      </c>
      <c r="M142" s="6">
        <f t="shared" si="14"/>
        <v>-7.5957392761439417E-3</v>
      </c>
      <c r="N142" s="6">
        <f t="shared" si="14"/>
        <v>1.0251382881397443E-2</v>
      </c>
      <c r="O142" s="6">
        <f t="shared" si="15"/>
        <v>-5.8386414462252264E-3</v>
      </c>
      <c r="P142" s="6"/>
      <c r="Q142" s="6">
        <f t="shared" si="16"/>
        <v>-6.8548645882167344E-3</v>
      </c>
      <c r="R142" s="6">
        <f t="shared" si="17"/>
        <v>-7.5957392761439408E-3</v>
      </c>
      <c r="S142" s="6"/>
      <c r="AA142" s="38"/>
    </row>
    <row r="143" spans="1:27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13"/>
        <v>1.9556071042226009E-4</v>
      </c>
      <c r="J143" s="6">
        <f t="shared" si="14"/>
        <v>1.0184574634208254E-2</v>
      </c>
      <c r="K143" s="6">
        <f t="shared" si="14"/>
        <v>1.3449371919544843E-3</v>
      </c>
      <c r="L143" s="6">
        <f t="shared" si="14"/>
        <v>1.8612639482236896E-3</v>
      </c>
      <c r="M143" s="6">
        <f t="shared" si="14"/>
        <v>8.7592244143747111E-3</v>
      </c>
      <c r="N143" s="6">
        <f t="shared" si="14"/>
        <v>-6.5499380656454595E-3</v>
      </c>
      <c r="O143" s="6">
        <f t="shared" si="15"/>
        <v>1.950188787733562E-3</v>
      </c>
      <c r="P143" s="6"/>
      <c r="Q143" s="6">
        <f t="shared" si="16"/>
        <v>5.8260784609180851E-3</v>
      </c>
      <c r="R143" s="6">
        <f t="shared" si="17"/>
        <v>8.7592244143747094E-3</v>
      </c>
      <c r="S143" s="6"/>
      <c r="AA143" s="38"/>
    </row>
    <row r="144" spans="1:27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13"/>
        <v>1.9289289052348835E-4</v>
      </c>
      <c r="J144" s="6">
        <f t="shared" si="14"/>
        <v>1.1762232376596935E-2</v>
      </c>
      <c r="K144" s="6">
        <f t="shared" si="14"/>
        <v>1.2024245731310248E-2</v>
      </c>
      <c r="L144" s="6">
        <f t="shared" si="14"/>
        <v>3.7176867835657829E-4</v>
      </c>
      <c r="M144" s="6">
        <f t="shared" si="14"/>
        <v>7.5296267385311973E-3</v>
      </c>
      <c r="N144" s="6">
        <f t="shared" si="14"/>
        <v>-1.1228682551799477E-3</v>
      </c>
      <c r="O144" s="6">
        <f t="shared" si="15"/>
        <v>-1.3735806992006525E-2</v>
      </c>
      <c r="P144" s="6"/>
      <c r="Q144" s="6">
        <f t="shared" si="16"/>
        <v>5.0052202792779093E-3</v>
      </c>
      <c r="R144" s="6">
        <f t="shared" si="17"/>
        <v>7.5296267385311965E-3</v>
      </c>
      <c r="S144" s="6"/>
      <c r="AA144" s="38"/>
    </row>
    <row r="145" spans="1:27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13"/>
        <v>1.9441757599203413E-4</v>
      </c>
      <c r="J145" s="6">
        <f t="shared" si="14"/>
        <v>2.7746091448219968E-3</v>
      </c>
      <c r="K145" s="6">
        <f t="shared" si="14"/>
        <v>4.3067844327523246E-3</v>
      </c>
      <c r="L145" s="6">
        <f t="shared" si="14"/>
        <v>8.1983530120362299E-3</v>
      </c>
      <c r="M145" s="6">
        <f t="shared" si="14"/>
        <v>-7.5296267385311115E-3</v>
      </c>
      <c r="N145" s="6">
        <f t="shared" si="14"/>
        <v>1.1139497364012345E-2</v>
      </c>
      <c r="O145" s="6">
        <f t="shared" si="15"/>
        <v>7.8732359507442031E-3</v>
      </c>
      <c r="P145" s="6"/>
      <c r="Q145" s="6">
        <f t="shared" si="16"/>
        <v>1.714199946329556E-3</v>
      </c>
      <c r="R145" s="6">
        <f t="shared" si="17"/>
        <v>-7.5296267385311106E-3</v>
      </c>
      <c r="S145" s="6"/>
      <c r="AA145" s="38"/>
    </row>
    <row r="146" spans="1:27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13"/>
        <v>1.9289289052348835E-4</v>
      </c>
      <c r="J146" s="6">
        <f t="shared" si="14"/>
        <v>-1.2196574219039144E-2</v>
      </c>
      <c r="K146" s="6">
        <f t="shared" si="14"/>
        <v>1.0195775101912073E-2</v>
      </c>
      <c r="L146" s="6">
        <f t="shared" si="14"/>
        <v>8.079352123651724E-3</v>
      </c>
      <c r="M146" s="6">
        <f t="shared" si="14"/>
        <v>-5.8160336375158385E-4</v>
      </c>
      <c r="N146" s="6">
        <f t="shared" si="14"/>
        <v>-1.926391571868686E-3</v>
      </c>
      <c r="O146" s="6">
        <f t="shared" si="15"/>
        <v>-7.8732359507443037E-3</v>
      </c>
      <c r="P146" s="6"/>
      <c r="Q146" s="6">
        <f t="shared" si="16"/>
        <v>1.2483842483247353E-3</v>
      </c>
      <c r="R146" s="6">
        <f t="shared" si="17"/>
        <v>-5.8160336375158374E-4</v>
      </c>
      <c r="S146" s="6"/>
      <c r="AA146" s="38"/>
    </row>
    <row r="147" spans="1:27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13"/>
        <v>1.9327411614988854E-4</v>
      </c>
      <c r="J147" s="6">
        <f t="shared" si="14"/>
        <v>1.0868104262170121E-2</v>
      </c>
      <c r="K147" s="6">
        <f t="shared" si="14"/>
        <v>-2.2289265661106588E-3</v>
      </c>
      <c r="L147" s="6">
        <f t="shared" si="14"/>
        <v>-1.7978656730612674E-2</v>
      </c>
      <c r="M147" s="6">
        <f t="shared" si="14"/>
        <v>-1.0526393935028697E-2</v>
      </c>
      <c r="N147" s="6">
        <f t="shared" si="14"/>
        <v>-2.8752059156686048E-3</v>
      </c>
      <c r="O147" s="6">
        <f t="shared" si="15"/>
        <v>1.9744087074048946E-3</v>
      </c>
      <c r="P147" s="6"/>
      <c r="Q147" s="6">
        <f t="shared" si="16"/>
        <v>-9.9511428587036217E-3</v>
      </c>
      <c r="R147" s="6">
        <f t="shared" si="17"/>
        <v>-1.0526393935028695E-2</v>
      </c>
      <c r="S147" s="6"/>
      <c r="AA147" s="38"/>
    </row>
    <row r="148" spans="1:27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13"/>
        <v>1.9251162871269933E-4</v>
      </c>
      <c r="J148" s="6">
        <f t="shared" si="14"/>
        <v>-2.1990199647653258E-3</v>
      </c>
      <c r="K148" s="6">
        <f t="shared" si="14"/>
        <v>-1.0300751202101817E-2</v>
      </c>
      <c r="L148" s="6">
        <f t="shared" si="14"/>
        <v>1.2319503083121451E-2</v>
      </c>
      <c r="M148" s="6">
        <f t="shared" si="14"/>
        <v>2.3487728844055851E-3</v>
      </c>
      <c r="N148" s="6">
        <f t="shared" si="14"/>
        <v>-6.5039961169264899E-3</v>
      </c>
      <c r="O148" s="6">
        <f t="shared" si="15"/>
        <v>-3.9529113773502057E-3</v>
      </c>
      <c r="P148" s="6"/>
      <c r="Q148" s="6">
        <f t="shared" si="16"/>
        <v>6.1194368045373706E-3</v>
      </c>
      <c r="R148" s="6">
        <f t="shared" si="17"/>
        <v>2.3487728844055846E-3</v>
      </c>
      <c r="S148" s="6"/>
      <c r="AA148" s="38"/>
    </row>
    <row r="149" spans="1:27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13"/>
        <v>1.9213033071063812E-4</v>
      </c>
      <c r="J149" s="6">
        <f t="shared" si="14"/>
        <v>6.3521899768463532E-3</v>
      </c>
      <c r="K149" s="6">
        <f t="shared" si="14"/>
        <v>4.1663069910752798E-3</v>
      </c>
      <c r="L149" s="6">
        <f t="shared" si="14"/>
        <v>1.2325227911982373E-2</v>
      </c>
      <c r="M149" s="6">
        <f t="shared" si="14"/>
        <v>1.455631158926427E-2</v>
      </c>
      <c r="N149" s="6">
        <f t="shared" si="14"/>
        <v>6.2981688751588584E-3</v>
      </c>
      <c r="O149" s="6">
        <f t="shared" si="15"/>
        <v>-1.9826132725194968E-3</v>
      </c>
      <c r="P149" s="6"/>
      <c r="Q149" s="6">
        <f t="shared" si="16"/>
        <v>1.1973577196072956E-2</v>
      </c>
      <c r="R149" s="6">
        <f t="shared" si="17"/>
        <v>1.4556311589264268E-2</v>
      </c>
      <c r="S149" s="6"/>
      <c r="AA149" s="38"/>
    </row>
    <row r="150" spans="1:27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13"/>
        <v>1.9327411614988854E-4</v>
      </c>
      <c r="J150" s="6">
        <f t="shared" si="14"/>
        <v>1.3493637966671364E-2</v>
      </c>
      <c r="K150" s="6">
        <f t="shared" si="14"/>
        <v>1.6616478726241028E-3</v>
      </c>
      <c r="L150" s="6">
        <f t="shared" si="14"/>
        <v>5.8480844115032697E-3</v>
      </c>
      <c r="M150" s="6">
        <f t="shared" si="14"/>
        <v>-7.5427928711403599E-3</v>
      </c>
      <c r="N150" s="6">
        <f t="shared" si="14"/>
        <v>5.6332831318901015E-3</v>
      </c>
      <c r="O150" s="6">
        <f t="shared" si="15"/>
        <v>5.9355246498698326E-3</v>
      </c>
      <c r="P150" s="6"/>
      <c r="Q150" s="6">
        <f t="shared" si="16"/>
        <v>2.6400162065576562E-3</v>
      </c>
      <c r="R150" s="6">
        <f t="shared" si="17"/>
        <v>-7.5427928711403591E-3</v>
      </c>
      <c r="S150" s="6"/>
      <c r="AA150" s="38"/>
    </row>
    <row r="151" spans="1:27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13"/>
        <v>1.9517970175764177E-4</v>
      </c>
      <c r="J151" s="6">
        <f t="shared" si="14"/>
        <v>1.4602145308817756E-2</v>
      </c>
      <c r="K151" s="6">
        <f t="shared" si="14"/>
        <v>8.5965451914703454E-3</v>
      </c>
      <c r="L151" s="6">
        <f t="shared" si="14"/>
        <v>1.3021806957661381E-2</v>
      </c>
      <c r="M151" s="6">
        <f t="shared" si="14"/>
        <v>2.3269110502146303E-3</v>
      </c>
      <c r="N151" s="6">
        <f t="shared" si="14"/>
        <v>8.8646978273410684E-3</v>
      </c>
      <c r="O151" s="6">
        <f t="shared" si="15"/>
        <v>9.8112094968681833E-3</v>
      </c>
      <c r="P151" s="6"/>
      <c r="Q151" s="6">
        <f t="shared" si="16"/>
        <v>9.6061362202355966E-3</v>
      </c>
      <c r="R151" s="6">
        <f t="shared" si="17"/>
        <v>2.3269110502146298E-3</v>
      </c>
      <c r="S151" s="6"/>
      <c r="AA151" s="38"/>
    </row>
    <row r="152" spans="1:27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13"/>
        <v>1.9556071042226009E-4</v>
      </c>
      <c r="J152" s="6">
        <f t="shared" si="14"/>
        <v>-4.1715613983300662E-2</v>
      </c>
      <c r="K152" s="6">
        <f t="shared" si="14"/>
        <v>-4.6196894266072042E-3</v>
      </c>
      <c r="L152" s="6">
        <f t="shared" si="14"/>
        <v>1.3809332358761774E-2</v>
      </c>
      <c r="M152" s="6">
        <f t="shared" si="14"/>
        <v>-2.9095910236789767E-3</v>
      </c>
      <c r="N152" s="6">
        <f t="shared" si="14"/>
        <v>3.2313725131378058E-3</v>
      </c>
      <c r="O152" s="6">
        <f t="shared" si="15"/>
        <v>1.950188787733562E-3</v>
      </c>
      <c r="P152" s="6"/>
      <c r="Q152" s="6">
        <f t="shared" si="16"/>
        <v>-2.4667842513876469E-3</v>
      </c>
      <c r="R152" s="6">
        <f t="shared" si="17"/>
        <v>-2.9095910236789763E-3</v>
      </c>
      <c r="S152" s="6"/>
      <c r="AA152" s="38"/>
    </row>
    <row r="153" spans="1:27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13"/>
        <v>1.9670351962641774E-4</v>
      </c>
      <c r="J153" s="6">
        <f t="shared" si="14"/>
        <v>5.2960884338796171E-3</v>
      </c>
      <c r="K153" s="6">
        <f t="shared" si="14"/>
        <v>3.3072101581254086E-4</v>
      </c>
      <c r="L153" s="6">
        <f t="shared" si="14"/>
        <v>-1.2333324609694349E-2</v>
      </c>
      <c r="M153" s="6">
        <f t="shared" si="14"/>
        <v>-1.0544773183150766E-2</v>
      </c>
      <c r="N153" s="6">
        <f t="shared" si="14"/>
        <v>-1.4032464064151588E-3</v>
      </c>
      <c r="O153" s="6">
        <f t="shared" si="15"/>
        <v>5.8267481452814176E-3</v>
      </c>
      <c r="P153" s="6"/>
      <c r="Q153" s="6">
        <f t="shared" si="16"/>
        <v>-8.3877910255512993E-3</v>
      </c>
      <c r="R153" s="6">
        <f t="shared" si="17"/>
        <v>-1.0544773183150764E-2</v>
      </c>
      <c r="S153" s="6"/>
      <c r="AA153" s="38"/>
    </row>
    <row r="154" spans="1:27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13"/>
        <v>1.970843837875158E-4</v>
      </c>
      <c r="J154" s="6">
        <f t="shared" si="14"/>
        <v>-8.3350523254073824E-3</v>
      </c>
      <c r="K154" s="6">
        <f t="shared" si="14"/>
        <v>-1.4890065620656438E-3</v>
      </c>
      <c r="L154" s="6">
        <f t="shared" si="14"/>
        <v>-9.1968412694247506E-3</v>
      </c>
      <c r="M154" s="6">
        <f t="shared" si="14"/>
        <v>8.2110739967389546E-3</v>
      </c>
      <c r="N154" s="6">
        <f t="shared" si="14"/>
        <v>-3.0595955699421543E-3</v>
      </c>
      <c r="O154" s="6">
        <f t="shared" si="15"/>
        <v>1.9343625162409541E-3</v>
      </c>
      <c r="P154" s="6"/>
      <c r="Q154" s="6">
        <f t="shared" si="16"/>
        <v>-2.9896230471424937E-3</v>
      </c>
      <c r="R154" s="6">
        <f t="shared" si="17"/>
        <v>8.2110739967389528E-3</v>
      </c>
      <c r="S154" s="6"/>
      <c r="AA154" s="38"/>
    </row>
    <row r="155" spans="1:27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13"/>
        <v>1.9746521183972021E-4</v>
      </c>
      <c r="J155" s="6">
        <f t="shared" si="14"/>
        <v>-6.6948293563426041E-3</v>
      </c>
      <c r="K155" s="6">
        <f t="shared" si="14"/>
        <v>2.3152310191375206E-3</v>
      </c>
      <c r="L155" s="6">
        <f t="shared" si="14"/>
        <v>4.6600093568763086E-3</v>
      </c>
      <c r="M155" s="6">
        <f t="shared" si="14"/>
        <v>3.4985997178958793E-3</v>
      </c>
      <c r="N155" s="6">
        <f t="shared" si="14"/>
        <v>-2.8037482252575453E-3</v>
      </c>
      <c r="O155" s="6">
        <f t="shared" si="15"/>
        <v>1.9304451186456823E-3</v>
      </c>
      <c r="P155" s="6"/>
      <c r="Q155" s="6">
        <f t="shared" si="16"/>
        <v>2.1154760609215298E-3</v>
      </c>
      <c r="R155" s="6">
        <f t="shared" si="17"/>
        <v>3.4985997178958788E-3</v>
      </c>
      <c r="S155" s="6"/>
      <c r="AA155" s="38"/>
    </row>
    <row r="156" spans="1:27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13"/>
        <v>1.9746521183972021E-4</v>
      </c>
      <c r="J156" s="6">
        <f t="shared" si="14"/>
        <v>2.0990652674622658E-2</v>
      </c>
      <c r="K156" s="6">
        <f t="shared" si="14"/>
        <v>8.0612064628980545E-3</v>
      </c>
      <c r="L156" s="6">
        <f t="shared" si="14"/>
        <v>1.9178381247547345E-2</v>
      </c>
      <c r="M156" s="6">
        <f t="shared" si="14"/>
        <v>2.130803414272742E-2</v>
      </c>
      <c r="N156" s="6">
        <f t="shared" si="14"/>
        <v>8.5935659407079552E-3</v>
      </c>
      <c r="O156" s="6">
        <f t="shared" si="15"/>
        <v>0</v>
      </c>
      <c r="P156" s="6"/>
      <c r="Q156" s="6">
        <f t="shared" si="16"/>
        <v>2.0259629981212016E-2</v>
      </c>
      <c r="R156" s="6">
        <f t="shared" si="17"/>
        <v>2.1308034142727417E-2</v>
      </c>
      <c r="S156" s="6"/>
      <c r="AA156" s="38"/>
    </row>
    <row r="157" spans="1:27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13"/>
        <v>1.9556071042226009E-4</v>
      </c>
      <c r="J157" s="6">
        <f t="shared" si="14"/>
        <v>-1.0615167680639992E-2</v>
      </c>
      <c r="K157" s="6">
        <f t="shared" si="14"/>
        <v>2.4548076667502516E-3</v>
      </c>
      <c r="L157" s="6">
        <f t="shared" si="14"/>
        <v>3.9017948330012063E-3</v>
      </c>
      <c r="M157" s="6">
        <f t="shared" si="14"/>
        <v>2.8449078782690519E-3</v>
      </c>
      <c r="N157" s="6">
        <f t="shared" si="14"/>
        <v>1.1158887706710923E-3</v>
      </c>
      <c r="O157" s="6">
        <f t="shared" si="15"/>
        <v>-9.6915557801681984E-3</v>
      </c>
      <c r="P157" s="6"/>
      <c r="Q157" s="6">
        <f t="shared" si="16"/>
        <v>7.9725617129435553E-4</v>
      </c>
      <c r="R157" s="6">
        <f t="shared" si="17"/>
        <v>2.8449078782690515E-3</v>
      </c>
      <c r="S157" s="6"/>
      <c r="AA157" s="38"/>
    </row>
    <row r="158" spans="1:27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13"/>
        <v>1.9556071042226009E-4</v>
      </c>
      <c r="J158" s="6">
        <f t="shared" si="14"/>
        <v>-8.4917741718009161E-3</v>
      </c>
      <c r="K158" s="6">
        <f t="shared" si="14"/>
        <v>-8.2061974569752581E-3</v>
      </c>
      <c r="L158" s="6">
        <f t="shared" si="14"/>
        <v>-6.8129855912890617E-3</v>
      </c>
      <c r="M158" s="6">
        <f t="shared" si="14"/>
        <v>-5.697991304405129E-3</v>
      </c>
      <c r="N158" s="6">
        <f t="shared" si="14"/>
        <v>-2.0155996658250933E-3</v>
      </c>
      <c r="O158" s="6">
        <f t="shared" si="15"/>
        <v>0</v>
      </c>
      <c r="P158" s="6"/>
      <c r="Q158" s="6">
        <f t="shared" si="16"/>
        <v>-6.742394906951301E-3</v>
      </c>
      <c r="R158" s="6">
        <f t="shared" si="17"/>
        <v>-5.6979913044051282E-3</v>
      </c>
      <c r="S158" s="6"/>
      <c r="AA158" s="38"/>
    </row>
    <row r="159" spans="1:27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13"/>
        <v>1.9441757599203413E-4</v>
      </c>
      <c r="J159" s="6">
        <f t="shared" si="14"/>
        <v>-7.0234473180625914E-3</v>
      </c>
      <c r="K159" s="6">
        <f t="shared" si="14"/>
        <v>-8.7726750393700287E-3</v>
      </c>
      <c r="L159" s="6">
        <f t="shared" si="14"/>
        <v>-4.0223368324664339E-4</v>
      </c>
      <c r="M159" s="6">
        <f t="shared" si="14"/>
        <v>1.1421632595400733E-3</v>
      </c>
      <c r="N159" s="6">
        <f t="shared" si="14"/>
        <v>-7.2653957344673645E-3</v>
      </c>
      <c r="O159" s="6">
        <f t="shared" si="15"/>
        <v>-5.8625710412623351E-3</v>
      </c>
      <c r="P159" s="6"/>
      <c r="Q159" s="6">
        <f t="shared" si="16"/>
        <v>-1.1145589485677132E-3</v>
      </c>
      <c r="R159" s="6">
        <f t="shared" si="17"/>
        <v>1.1421632595400731E-3</v>
      </c>
      <c r="S159" s="6"/>
      <c r="AA159" s="38"/>
    </row>
    <row r="160" spans="1:27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13"/>
        <v>1.9517970175764177E-4</v>
      </c>
      <c r="J160" s="6">
        <f t="shared" si="14"/>
        <v>4.7859728642550272E-3</v>
      </c>
      <c r="K160" s="6">
        <f t="shared" si="14"/>
        <v>-5.3342326889105063E-3</v>
      </c>
      <c r="L160" s="6">
        <f t="shared" si="14"/>
        <v>-2.8200016753762752E-3</v>
      </c>
      <c r="M160" s="6">
        <f t="shared" si="14"/>
        <v>5.12394513644681E-3</v>
      </c>
      <c r="N160" s="6">
        <f t="shared" si="14"/>
        <v>1.0904938060488179E-3</v>
      </c>
      <c r="O160" s="6">
        <f t="shared" si="15"/>
        <v>3.91238225352871E-3</v>
      </c>
      <c r="P160" s="6"/>
      <c r="Q160" s="6">
        <f t="shared" si="16"/>
        <v>1.3727478444927024E-3</v>
      </c>
      <c r="R160" s="6">
        <f t="shared" si="17"/>
        <v>5.1239451364468091E-3</v>
      </c>
      <c r="S160" s="6"/>
      <c r="AA160" s="38"/>
    </row>
    <row r="161" spans="1:27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13"/>
        <v>1.9517970175764177E-4</v>
      </c>
      <c r="J161" s="6">
        <f t="shared" si="14"/>
        <v>-4.9043056684808586E-3</v>
      </c>
      <c r="K161" s="6">
        <f t="shared" si="14"/>
        <v>-8.8979314726668046E-3</v>
      </c>
      <c r="L161" s="6">
        <f t="shared" si="14"/>
        <v>-7.637567148412871E-3</v>
      </c>
      <c r="M161" s="6">
        <f t="shared" si="14"/>
        <v>-2.2740551851044106E-3</v>
      </c>
      <c r="N161" s="6">
        <f t="shared" si="14"/>
        <v>-1.2410983057457463E-2</v>
      </c>
      <c r="O161" s="6">
        <f t="shared" si="15"/>
        <v>0</v>
      </c>
      <c r="P161" s="6"/>
      <c r="Q161" s="6">
        <f t="shared" si="16"/>
        <v>-5.2597203268845445E-3</v>
      </c>
      <c r="R161" s="6">
        <f t="shared" si="17"/>
        <v>-2.2740551851044102E-3</v>
      </c>
      <c r="S161" s="6"/>
      <c r="AA161" s="38"/>
    </row>
    <row r="162" spans="1:27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13"/>
        <v>1.9479865694971288E-4</v>
      </c>
      <c r="J162" s="6">
        <f t="shared" si="14"/>
        <v>4.4916084303433098E-3</v>
      </c>
      <c r="K162" s="6">
        <f t="shared" si="14"/>
        <v>3.5350412795235415E-3</v>
      </c>
      <c r="L162" s="6">
        <f t="shared" si="14"/>
        <v>9.1580546261534317E-3</v>
      </c>
      <c r="M162" s="6">
        <f t="shared" si="14"/>
        <v>-8.5739149328683574E-3</v>
      </c>
      <c r="N162" s="6">
        <f t="shared" si="14"/>
        <v>1.1038072569656417E-2</v>
      </c>
      <c r="O162" s="6">
        <f t="shared" si="15"/>
        <v>-1.9541849986461348E-3</v>
      </c>
      <c r="P162" s="6"/>
      <c r="Q162" s="6">
        <f t="shared" si="16"/>
        <v>2.1208462341008611E-3</v>
      </c>
      <c r="R162" s="6">
        <f t="shared" si="17"/>
        <v>-8.5739149328683557E-3</v>
      </c>
      <c r="S162" s="6"/>
      <c r="AA162" s="38"/>
    </row>
    <row r="163" spans="1:27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13"/>
        <v>1.9632261934998674E-4</v>
      </c>
      <c r="J163" s="6">
        <f t="shared" ref="J163:N194" si="18">LN(B163/B162)</f>
        <v>-6.685740856598745E-3</v>
      </c>
      <c r="K163" s="6">
        <f t="shared" si="18"/>
        <v>-4.0410882798711488E-3</v>
      </c>
      <c r="L163" s="6">
        <f t="shared" si="18"/>
        <v>5.202946011474462E-3</v>
      </c>
      <c r="M163" s="6">
        <f t="shared" si="18"/>
        <v>-9.8068295948848475E-3</v>
      </c>
      <c r="N163" s="6">
        <f t="shared" si="18"/>
        <v>-3.747574930495873E-4</v>
      </c>
      <c r="O163" s="6">
        <f t="shared" si="15"/>
        <v>7.7928264448712302E-3</v>
      </c>
      <c r="P163" s="6"/>
      <c r="Q163" s="6">
        <f t="shared" si="16"/>
        <v>-2.2509497738294961E-3</v>
      </c>
      <c r="R163" s="6">
        <f t="shared" si="17"/>
        <v>-9.8068295948848458E-3</v>
      </c>
      <c r="S163" s="6"/>
      <c r="AA163" s="38"/>
    </row>
    <row r="164" spans="1:27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13"/>
        <v>1.9632261934998674E-4</v>
      </c>
      <c r="J164" s="6">
        <f t="shared" si="18"/>
        <v>7.2163751807764352E-3</v>
      </c>
      <c r="K164" s="6">
        <f t="shared" si="18"/>
        <v>7.5637276739742845E-3</v>
      </c>
      <c r="L164" s="6">
        <f t="shared" si="18"/>
        <v>-6.7235150953914692E-3</v>
      </c>
      <c r="M164" s="6">
        <f t="shared" si="18"/>
        <v>-4.2513463190354973E-3</v>
      </c>
      <c r="N164" s="6">
        <f t="shared" si="18"/>
        <v>1.4444457627020377E-3</v>
      </c>
      <c r="O164" s="6">
        <f t="shared" si="15"/>
        <v>0</v>
      </c>
      <c r="P164" s="6"/>
      <c r="Q164" s="6">
        <f t="shared" si="16"/>
        <v>-3.2363572979015251E-3</v>
      </c>
      <c r="R164" s="6">
        <f t="shared" si="17"/>
        <v>-4.2513463190354964E-3</v>
      </c>
      <c r="S164" s="6"/>
      <c r="AA164" s="38"/>
    </row>
    <row r="165" spans="1:27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13"/>
        <v>1.9746521183972021E-4</v>
      </c>
      <c r="J165" s="6">
        <f t="shared" si="18"/>
        <v>-1.120175412492392E-2</v>
      </c>
      <c r="K165" s="6">
        <f t="shared" si="18"/>
        <v>-1.348640955626019E-2</v>
      </c>
      <c r="L165" s="6">
        <f t="shared" si="18"/>
        <v>-8.557882737226321E-3</v>
      </c>
      <c r="M165" s="6">
        <f t="shared" si="18"/>
        <v>-1.0110097057956752E-2</v>
      </c>
      <c r="N165" s="6">
        <f t="shared" si="18"/>
        <v>-9.5019783338873547E-3</v>
      </c>
      <c r="O165" s="6">
        <f t="shared" si="15"/>
        <v>5.8031031216765087E-3</v>
      </c>
      <c r="P165" s="6"/>
      <c r="Q165" s="6">
        <f t="shared" si="16"/>
        <v>-9.5954418665038614E-3</v>
      </c>
      <c r="R165" s="6">
        <f t="shared" si="17"/>
        <v>-1.0110097057956751E-2</v>
      </c>
      <c r="S165" s="6"/>
      <c r="AA165" s="38"/>
    </row>
    <row r="166" spans="1:27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13"/>
        <v>1.970843837875158E-4</v>
      </c>
      <c r="J166" s="6">
        <f t="shared" si="18"/>
        <v>4.236087617690229E-2</v>
      </c>
      <c r="K166" s="6">
        <f t="shared" si="18"/>
        <v>2.2039331166826617E-3</v>
      </c>
      <c r="L166" s="6">
        <f t="shared" si="18"/>
        <v>-2.0473527315899678E-4</v>
      </c>
      <c r="M166" s="6">
        <f t="shared" si="18"/>
        <v>-1.8703414262897906E-2</v>
      </c>
      <c r="N166" s="6">
        <f t="shared" si="18"/>
        <v>7.4172372058720279E-3</v>
      </c>
      <c r="O166" s="6">
        <f t="shared" si="15"/>
        <v>-1.9304451186457814E-3</v>
      </c>
      <c r="P166" s="6"/>
      <c r="Q166" s="6">
        <f t="shared" si="16"/>
        <v>1.3986433252985517E-3</v>
      </c>
      <c r="R166" s="6">
        <f t="shared" si="17"/>
        <v>-1.8703414262897903E-2</v>
      </c>
      <c r="S166" s="6"/>
      <c r="AA166" s="38"/>
    </row>
    <row r="167" spans="1:27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13"/>
        <v>1.9632261934998674E-4</v>
      </c>
      <c r="J167" s="6">
        <f t="shared" si="18"/>
        <v>8.5896815167550832E-3</v>
      </c>
      <c r="K167" s="6">
        <f t="shared" si="18"/>
        <v>-1.3125590939175541E-2</v>
      </c>
      <c r="L167" s="6">
        <f t="shared" si="18"/>
        <v>-6.6864291458487934E-2</v>
      </c>
      <c r="M167" s="6">
        <f t="shared" si="18"/>
        <v>-6.7217247231749887E-3</v>
      </c>
      <c r="N167" s="6">
        <f t="shared" si="18"/>
        <v>-1.4657607029448559E-2</v>
      </c>
      <c r="O167" s="6">
        <f t="shared" si="15"/>
        <v>-3.8726580030308149E-3</v>
      </c>
      <c r="P167" s="6"/>
      <c r="Q167" s="6">
        <f t="shared" si="16"/>
        <v>-3.1751665493877583E-2</v>
      </c>
      <c r="R167" s="6">
        <f t="shared" si="17"/>
        <v>-6.7217247231749879E-3</v>
      </c>
      <c r="S167" s="6"/>
      <c r="AA167" s="38"/>
    </row>
    <row r="168" spans="1:27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13"/>
        <v>1.9517970175764177E-4</v>
      </c>
      <c r="J168" s="6">
        <f t="shared" si="18"/>
        <v>-2.2106106529132866E-2</v>
      </c>
      <c r="K168" s="6">
        <f t="shared" si="18"/>
        <v>-2.4050333635455131E-3</v>
      </c>
      <c r="L168" s="6">
        <f t="shared" si="18"/>
        <v>5.4697060967347623E-4</v>
      </c>
      <c r="M168" s="6">
        <f t="shared" si="18"/>
        <v>-4.3010263731349009E-3</v>
      </c>
      <c r="N168" s="6">
        <f t="shared" si="18"/>
        <v>-1.2094130563305876E-2</v>
      </c>
      <c r="O168" s="6">
        <f t="shared" si="15"/>
        <v>-5.8386414462252264E-3</v>
      </c>
      <c r="P168" s="6"/>
      <c r="Q168" s="6">
        <f t="shared" si="16"/>
        <v>-5.408262532863823E-3</v>
      </c>
      <c r="R168" s="6">
        <f t="shared" si="17"/>
        <v>-4.3010263731349E-3</v>
      </c>
      <c r="S168" s="6"/>
      <c r="AA168" s="38"/>
    </row>
    <row r="169" spans="1:27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13"/>
        <v>1.970843837875158E-4</v>
      </c>
      <c r="J169" s="6">
        <f t="shared" si="18"/>
        <v>-1.9353292388622649E-2</v>
      </c>
      <c r="K169" s="6">
        <f t="shared" si="18"/>
        <v>-1.3769359849297128E-3</v>
      </c>
      <c r="L169" s="6">
        <f t="shared" si="18"/>
        <v>-1.1493392825475091E-2</v>
      </c>
      <c r="M169" s="6">
        <f t="shared" si="18"/>
        <v>-9.2793792839827582E-3</v>
      </c>
      <c r="N169" s="6">
        <f t="shared" si="18"/>
        <v>-2.0586901863485071E-3</v>
      </c>
      <c r="O169" s="6">
        <f t="shared" si="15"/>
        <v>9.7112994492560816E-3</v>
      </c>
      <c r="P169" s="6"/>
      <c r="Q169" s="6">
        <f t="shared" si="16"/>
        <v>-1.2206787209889861E-2</v>
      </c>
      <c r="R169" s="6">
        <f t="shared" si="17"/>
        <v>-9.2793792839827565E-3</v>
      </c>
      <c r="S169" s="6"/>
      <c r="AA169" s="38"/>
    </row>
    <row r="170" spans="1:27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13"/>
        <v>1.9784600378991435E-4</v>
      </c>
      <c r="J170" s="6">
        <f t="shared" si="18"/>
        <v>-8.1807529156866562E-3</v>
      </c>
      <c r="K170" s="6">
        <f t="shared" si="18"/>
        <v>7.7206836858722564E-3</v>
      </c>
      <c r="L170" s="6">
        <f t="shared" si="18"/>
        <v>-3.9902601949420831E-3</v>
      </c>
      <c r="M170" s="6">
        <f t="shared" si="18"/>
        <v>1.8628149729069926E-3</v>
      </c>
      <c r="N170" s="6">
        <f t="shared" si="18"/>
        <v>-5.797336366096615E-3</v>
      </c>
      <c r="O170" s="6">
        <f t="shared" si="15"/>
        <v>3.8569883226659335E-3</v>
      </c>
      <c r="P170" s="6"/>
      <c r="Q170" s="6">
        <f t="shared" si="16"/>
        <v>-2.7480697702392705E-3</v>
      </c>
      <c r="R170" s="6">
        <f t="shared" si="17"/>
        <v>1.8628149729069923E-3</v>
      </c>
      <c r="S170" s="6"/>
      <c r="AA170" s="38"/>
    </row>
    <row r="171" spans="1:27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13"/>
        <v>1.9632261934998674E-4</v>
      </c>
      <c r="J171" s="6">
        <f t="shared" si="18"/>
        <v>-5.7307029681765223E-3</v>
      </c>
      <c r="K171" s="6">
        <f t="shared" si="18"/>
        <v>6.8132245978021052E-3</v>
      </c>
      <c r="L171" s="6">
        <f t="shared" si="18"/>
        <v>6.4760434973849422E-3</v>
      </c>
      <c r="M171" s="6">
        <f t="shared" si="18"/>
        <v>1.2943127412559438E-2</v>
      </c>
      <c r="N171" s="6">
        <f t="shared" si="18"/>
        <v>-2.2106328639260849E-3</v>
      </c>
      <c r="O171" s="6">
        <f t="shared" si="15"/>
        <v>-7.7296463256966716E-3</v>
      </c>
      <c r="P171" s="6"/>
      <c r="Q171" s="6">
        <f t="shared" si="16"/>
        <v>6.4197709950124119E-3</v>
      </c>
      <c r="R171" s="6">
        <f t="shared" si="17"/>
        <v>1.2943127412559437E-2</v>
      </c>
      <c r="S171" s="6"/>
      <c r="AA171" s="38"/>
    </row>
    <row r="172" spans="1:27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13"/>
        <v>2.0241269373766357E-4</v>
      </c>
      <c r="J172" s="6">
        <f t="shared" si="18"/>
        <v>-1.2287828139873455E-2</v>
      </c>
      <c r="K172" s="6">
        <f t="shared" si="18"/>
        <v>2.1162958107073866E-2</v>
      </c>
      <c r="L172" s="6">
        <f t="shared" si="18"/>
        <v>2.4793566191605932E-2</v>
      </c>
      <c r="M172" s="6">
        <f t="shared" si="18"/>
        <v>1.0962394432582713E-2</v>
      </c>
      <c r="N172" s="6">
        <f t="shared" si="18"/>
        <v>-8.7971023365461913E-3</v>
      </c>
      <c r="O172" s="6">
        <f t="shared" si="15"/>
        <v>3.0549328421036113E-2</v>
      </c>
      <c r="P172" s="6"/>
      <c r="Q172" s="6">
        <f t="shared" si="16"/>
        <v>1.2998195085247818E-2</v>
      </c>
      <c r="R172" s="6">
        <f t="shared" si="17"/>
        <v>1.0962394432582711E-2</v>
      </c>
      <c r="S172" s="6"/>
      <c r="AA172" s="38"/>
    </row>
    <row r="173" spans="1:27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13"/>
        <v>2.0165193919474689E-4</v>
      </c>
      <c r="J173" s="6">
        <f t="shared" si="18"/>
        <v>5.07788929321121E-3</v>
      </c>
      <c r="K173" s="6">
        <f t="shared" si="18"/>
        <v>6.2956618817539729E-3</v>
      </c>
      <c r="L173" s="6">
        <f t="shared" si="18"/>
        <v>1.9243130694284457E-2</v>
      </c>
      <c r="M173" s="6">
        <f t="shared" si="18"/>
        <v>-1.2187931160931781E-2</v>
      </c>
      <c r="N173" s="6">
        <f t="shared" si="18"/>
        <v>8.6933277348877659E-3</v>
      </c>
      <c r="O173" s="6">
        <f t="shared" si="15"/>
        <v>-3.7655136322931222E-3</v>
      </c>
      <c r="P173" s="6"/>
      <c r="Q173" s="6">
        <f t="shared" si="16"/>
        <v>5.6578222734599698E-3</v>
      </c>
      <c r="R173" s="6">
        <f t="shared" si="17"/>
        <v>-1.2187931160931779E-2</v>
      </c>
      <c r="S173" s="6"/>
      <c r="AA173" s="38"/>
    </row>
    <row r="174" spans="1:27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13"/>
        <v>2.0012999773522111E-4</v>
      </c>
      <c r="J174" s="6">
        <f t="shared" si="18"/>
        <v>6.3713730744178647E-3</v>
      </c>
      <c r="K174" s="6">
        <f t="shared" si="18"/>
        <v>1.4852540987510795E-3</v>
      </c>
      <c r="L174" s="6">
        <f t="shared" si="18"/>
        <v>1.4310268539026554E-2</v>
      </c>
      <c r="M174" s="6">
        <f t="shared" si="18"/>
        <v>1.1582000481511069E-2</v>
      </c>
      <c r="N174" s="6">
        <f t="shared" si="18"/>
        <v>1.1893624576650831E-2</v>
      </c>
      <c r="O174" s="6">
        <f t="shared" si="15"/>
        <v>-7.5759938366260346E-3</v>
      </c>
      <c r="P174" s="6"/>
      <c r="Q174" s="6">
        <f t="shared" si="16"/>
        <v>1.1865824901909329E-2</v>
      </c>
      <c r="R174" s="6">
        <f t="shared" si="17"/>
        <v>1.1582000481511067E-2</v>
      </c>
      <c r="S174" s="6"/>
      <c r="AA174" s="38"/>
    </row>
    <row r="175" spans="1:27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13"/>
        <v>2.0127150788695758E-4</v>
      </c>
      <c r="J175" s="6">
        <f t="shared" si="18"/>
        <v>1.2622341953280228E-2</v>
      </c>
      <c r="K175" s="6">
        <f t="shared" si="18"/>
        <v>1.4895089026447495E-2</v>
      </c>
      <c r="L175" s="6">
        <f t="shared" si="18"/>
        <v>4.8803897357337367E-3</v>
      </c>
      <c r="M175" s="6">
        <f t="shared" si="18"/>
        <v>1.8613569807513386E-2</v>
      </c>
      <c r="N175" s="6">
        <f t="shared" si="18"/>
        <v>2.1297196541228134E-4</v>
      </c>
      <c r="O175" s="6">
        <f t="shared" si="15"/>
        <v>5.6876380033150228E-3</v>
      </c>
      <c r="P175" s="6"/>
      <c r="Q175" s="6">
        <f t="shared" si="16"/>
        <v>1.1109028470256506E-2</v>
      </c>
      <c r="R175" s="6">
        <f t="shared" si="17"/>
        <v>1.8613569807513382E-2</v>
      </c>
      <c r="S175" s="6"/>
      <c r="AA175" s="38"/>
    </row>
    <row r="176" spans="1:27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13"/>
        <v>2.0203233447624314E-4</v>
      </c>
      <c r="J176" s="6">
        <f t="shared" si="18"/>
        <v>5.1340934294748482E-3</v>
      </c>
      <c r="K176" s="6">
        <f t="shared" si="18"/>
        <v>3.082230575187468E-3</v>
      </c>
      <c r="L176" s="6">
        <f t="shared" si="18"/>
        <v>1.500784386497234E-3</v>
      </c>
      <c r="M176" s="6">
        <f t="shared" si="18"/>
        <v>-1.377680211997016E-2</v>
      </c>
      <c r="N176" s="6">
        <f t="shared" si="18"/>
        <v>-4.5869419014574458E-3</v>
      </c>
      <c r="O176" s="6">
        <f t="shared" si="15"/>
        <v>3.7729741793627114E-3</v>
      </c>
      <c r="P176" s="6"/>
      <c r="Q176" s="6">
        <f t="shared" si="16"/>
        <v>-3.1190345182653184E-3</v>
      </c>
      <c r="R176" s="6">
        <f t="shared" si="17"/>
        <v>-1.3776802119970158E-2</v>
      </c>
      <c r="S176" s="6"/>
      <c r="AA176" s="38"/>
    </row>
    <row r="177" spans="1:27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13"/>
        <v>2.0127150788695758E-4</v>
      </c>
      <c r="J177" s="6">
        <f t="shared" si="18"/>
        <v>-3.4788581331064421E-3</v>
      </c>
      <c r="K177" s="6">
        <f t="shared" si="18"/>
        <v>0</v>
      </c>
      <c r="L177" s="6">
        <f t="shared" si="18"/>
        <v>6.2045885918183598E-4</v>
      </c>
      <c r="M177" s="6">
        <f t="shared" si="18"/>
        <v>1.020115925682203E-2</v>
      </c>
      <c r="N177" s="6">
        <f t="shared" si="18"/>
        <v>1.0157373516560254E-2</v>
      </c>
      <c r="O177" s="6">
        <f t="shared" si="15"/>
        <v>-3.7729741793627526E-3</v>
      </c>
      <c r="P177" s="6"/>
      <c r="Q177" s="6">
        <f t="shared" si="16"/>
        <v>3.174219385139748E-3</v>
      </c>
      <c r="R177" s="6">
        <f t="shared" si="17"/>
        <v>1.0201159256822028E-2</v>
      </c>
      <c r="S177" s="6"/>
      <c r="AA177" s="38"/>
    </row>
    <row r="178" spans="1:27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13"/>
        <v>2.0203233447624314E-4</v>
      </c>
      <c r="J178" s="6">
        <f t="shared" si="18"/>
        <v>2.4505258851654717E-2</v>
      </c>
      <c r="K178" s="6">
        <f t="shared" si="18"/>
        <v>4.8472846158211921E-3</v>
      </c>
      <c r="L178" s="6">
        <f t="shared" si="18"/>
        <v>-1.0859387138235847E-3</v>
      </c>
      <c r="M178" s="6">
        <f t="shared" si="18"/>
        <v>1.5990897700798735E-2</v>
      </c>
      <c r="N178" s="6">
        <f t="shared" si="18"/>
        <v>3.1734156874775382E-3</v>
      </c>
      <c r="O178" s="6">
        <f t="shared" si="15"/>
        <v>3.7729741793627114E-3</v>
      </c>
      <c r="P178" s="6"/>
      <c r="Q178" s="6">
        <f t="shared" si="16"/>
        <v>9.6696815936590415E-3</v>
      </c>
      <c r="R178" s="6">
        <f t="shared" si="17"/>
        <v>1.5990897700798732E-2</v>
      </c>
      <c r="S178" s="6"/>
      <c r="AA178" s="38"/>
    </row>
    <row r="179" spans="1:27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13"/>
        <v>2.0165193919474689E-4</v>
      </c>
      <c r="J179" s="6">
        <f t="shared" si="18"/>
        <v>-1.8439790545778333E-2</v>
      </c>
      <c r="K179" s="6">
        <f t="shared" si="18"/>
        <v>-4.3615431401830369E-3</v>
      </c>
      <c r="L179" s="6">
        <f t="shared" si="18"/>
        <v>-7.9996022089060346E-3</v>
      </c>
      <c r="M179" s="6">
        <f t="shared" si="18"/>
        <v>-7.6674124514332052E-3</v>
      </c>
      <c r="N179" s="6">
        <f t="shared" si="18"/>
        <v>-1.5855554753445709E-2</v>
      </c>
      <c r="O179" s="6">
        <f t="shared" si="15"/>
        <v>-1.8846183460518033E-3</v>
      </c>
      <c r="P179" s="6"/>
      <c r="Q179" s="6">
        <f t="shared" si="16"/>
        <v>-9.8530188220604595E-3</v>
      </c>
      <c r="R179" s="6">
        <f t="shared" si="17"/>
        <v>-7.6674124514332044E-3</v>
      </c>
      <c r="S179" s="6"/>
      <c r="AA179" s="38"/>
    </row>
    <row r="180" spans="1:27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13"/>
        <v>2.0127150788695758E-4</v>
      </c>
      <c r="J180" s="6">
        <f t="shared" si="18"/>
        <v>-6.0654683058762593E-3</v>
      </c>
      <c r="K180" s="6">
        <f t="shared" si="18"/>
        <v>2.5869042305606007E-3</v>
      </c>
      <c r="L180" s="6">
        <f t="shared" si="18"/>
        <v>6.2565312240965142E-4</v>
      </c>
      <c r="M180" s="6">
        <f t="shared" si="18"/>
        <v>1.7746003431574375E-3</v>
      </c>
      <c r="N180" s="6">
        <f t="shared" si="18"/>
        <v>-3.4413923648739225E-3</v>
      </c>
      <c r="O180" s="6">
        <f t="shared" si="15"/>
        <v>-1.8883558333109205E-3</v>
      </c>
      <c r="P180" s="6"/>
      <c r="Q180" s="6">
        <f t="shared" si="16"/>
        <v>-2.3717059005747476E-4</v>
      </c>
      <c r="R180" s="6">
        <f t="shared" si="17"/>
        <v>1.7746003431574372E-3</v>
      </c>
      <c r="S180" s="6"/>
      <c r="AA180" s="38"/>
    </row>
    <row r="181" spans="1:27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13"/>
        <v>2.0051053716385603E-4</v>
      </c>
      <c r="J181" s="6">
        <f t="shared" si="18"/>
        <v>2.1792612899963495E-2</v>
      </c>
      <c r="K181" s="6">
        <f t="shared" si="18"/>
        <v>9.683988994642935E-4</v>
      </c>
      <c r="L181" s="6">
        <f t="shared" si="18"/>
        <v>-1.0429762752333207E-3</v>
      </c>
      <c r="M181" s="6">
        <f t="shared" si="18"/>
        <v>-5.9277432873759113E-3</v>
      </c>
      <c r="N181" s="6">
        <f t="shared" si="18"/>
        <v>9.0870134013374317E-3</v>
      </c>
      <c r="O181" s="6">
        <f t="shared" si="15"/>
        <v>-3.7879822774249021E-3</v>
      </c>
      <c r="P181" s="6"/>
      <c r="Q181" s="6">
        <f t="shared" si="16"/>
        <v>1.5670797038191092E-3</v>
      </c>
      <c r="R181" s="6">
        <f t="shared" si="17"/>
        <v>-5.9277432873759105E-3</v>
      </c>
      <c r="S181" s="6"/>
      <c r="AA181" s="38"/>
    </row>
    <row r="182" spans="1:27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13"/>
        <v>2.0165193919474689E-4</v>
      </c>
      <c r="J182" s="6">
        <f t="shared" si="18"/>
        <v>5.8095544508652106E-2</v>
      </c>
      <c r="K182" s="6">
        <f t="shared" si="18"/>
        <v>2.8994529241732746E-3</v>
      </c>
      <c r="L182" s="6">
        <f t="shared" si="18"/>
        <v>-6.0183515082071516E-3</v>
      </c>
      <c r="M182" s="6">
        <f t="shared" si="18"/>
        <v>1.7820997373106853E-3</v>
      </c>
      <c r="N182" s="6">
        <f t="shared" si="18"/>
        <v>1.247858860899914E-2</v>
      </c>
      <c r="O182" s="6">
        <f t="shared" si="15"/>
        <v>5.6763381107358766E-3</v>
      </c>
      <c r="P182" s="6"/>
      <c r="Q182" s="6">
        <f t="shared" si="16"/>
        <v>8.780591632080675E-3</v>
      </c>
      <c r="R182" s="6">
        <f t="shared" si="17"/>
        <v>1.782099737310685E-3</v>
      </c>
      <c r="S182" s="6"/>
      <c r="AA182" s="38"/>
    </row>
    <row r="183" spans="1:27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13"/>
        <v>2.0317330422892077E-4</v>
      </c>
      <c r="J183" s="6">
        <f t="shared" si="18"/>
        <v>-9.1483674173388676E-3</v>
      </c>
      <c r="K183" s="6">
        <f t="shared" si="18"/>
        <v>2.8910542328630683E-3</v>
      </c>
      <c r="L183" s="6">
        <f t="shared" si="18"/>
        <v>7.7907210062601899E-3</v>
      </c>
      <c r="M183" s="6">
        <f t="shared" si="18"/>
        <v>8.2741716697485573E-3</v>
      </c>
      <c r="N183" s="6">
        <f t="shared" si="18"/>
        <v>1.0273136069376812E-2</v>
      </c>
      <c r="O183" s="6">
        <f t="shared" si="15"/>
        <v>7.5161923378373003E-3</v>
      </c>
      <c r="P183" s="6"/>
      <c r="Q183" s="6">
        <f t="shared" si="16"/>
        <v>4.7642934321786628E-3</v>
      </c>
      <c r="R183" s="6">
        <f t="shared" si="17"/>
        <v>8.2741716697485555E-3</v>
      </c>
      <c r="S183" s="6"/>
      <c r="AA183" s="38"/>
    </row>
    <row r="184" spans="1:27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13"/>
        <v>2.0317330422892077E-4</v>
      </c>
      <c r="J184" s="6">
        <f t="shared" si="18"/>
        <v>3.7898712813242458E-3</v>
      </c>
      <c r="K184" s="6">
        <f t="shared" si="18"/>
        <v>4.3210584019733201E-3</v>
      </c>
      <c r="L184" s="6">
        <f t="shared" si="18"/>
        <v>-1.3029561227812455E-3</v>
      </c>
      <c r="M184" s="6">
        <f t="shared" si="18"/>
        <v>5.283244107095986E-3</v>
      </c>
      <c r="N184" s="6">
        <f t="shared" si="18"/>
        <v>1.3425358193505205E-3</v>
      </c>
      <c r="O184" s="6">
        <f t="shared" si="15"/>
        <v>0</v>
      </c>
      <c r="P184" s="6"/>
      <c r="Q184" s="6">
        <f t="shared" si="16"/>
        <v>1.9444124536094434E-3</v>
      </c>
      <c r="R184" s="6">
        <f t="shared" si="17"/>
        <v>5.2832441070959852E-3</v>
      </c>
      <c r="S184" s="6"/>
      <c r="AA184" s="38"/>
    </row>
    <row r="185" spans="1:27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13"/>
        <v>2.0279301698633567E-4</v>
      </c>
      <c r="J185" s="6">
        <f t="shared" si="18"/>
        <v>1.8624377821563668E-3</v>
      </c>
      <c r="K185" s="6">
        <f t="shared" si="18"/>
        <v>3.666217842342803E-3</v>
      </c>
      <c r="L185" s="6">
        <f t="shared" si="18"/>
        <v>2.0134915133947339E-2</v>
      </c>
      <c r="M185" s="6">
        <f t="shared" si="18"/>
        <v>1.7549955781686565E-3</v>
      </c>
      <c r="N185" s="6">
        <f t="shared" si="18"/>
        <v>-5.7829262956225704E-6</v>
      </c>
      <c r="O185" s="6">
        <f t="shared" si="15"/>
        <v>-1.8734921294941596E-3</v>
      </c>
      <c r="P185" s="6"/>
      <c r="Q185" s="6">
        <f t="shared" si="16"/>
        <v>1.0306946428237283E-2</v>
      </c>
      <c r="R185" s="6">
        <f t="shared" si="17"/>
        <v>1.7549955781686563E-3</v>
      </c>
      <c r="S185" s="6"/>
      <c r="AA185" s="38"/>
    </row>
    <row r="186" spans="1:27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13"/>
        <v>2.0469409327517063E-4</v>
      </c>
      <c r="J186" s="6">
        <f t="shared" si="18"/>
        <v>9.9644209184128335E-3</v>
      </c>
      <c r="K186" s="6">
        <f t="shared" si="18"/>
        <v>4.7729304993157585E-4</v>
      </c>
      <c r="L186" s="6">
        <f t="shared" si="18"/>
        <v>9.4112742907778765E-3</v>
      </c>
      <c r="M186" s="6">
        <f t="shared" si="18"/>
        <v>4.0827757174903999E-3</v>
      </c>
      <c r="N186" s="6">
        <f t="shared" si="18"/>
        <v>5.0780025958913483E-3</v>
      </c>
      <c r="O186" s="6">
        <f t="shared" si="15"/>
        <v>9.3307986135110887E-3</v>
      </c>
      <c r="P186" s="6"/>
      <c r="Q186" s="6">
        <f t="shared" si="16"/>
        <v>7.665322191569535E-3</v>
      </c>
      <c r="R186" s="6">
        <f t="shared" si="17"/>
        <v>4.082775717490399E-3</v>
      </c>
      <c r="S186" s="6"/>
      <c r="AA186" s="38"/>
    </row>
    <row r="187" spans="1:27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13"/>
        <v>2.0317330422892077E-4</v>
      </c>
      <c r="J187" s="6">
        <f t="shared" si="18"/>
        <v>-6.9140777525400921E-3</v>
      </c>
      <c r="K187" s="6">
        <f t="shared" si="18"/>
        <v>6.0250352963449492E-3</v>
      </c>
      <c r="L187" s="6">
        <f t="shared" si="18"/>
        <v>6.4097849393042125E-3</v>
      </c>
      <c r="M187" s="6">
        <f t="shared" si="18"/>
        <v>-5.8223411107649701E-4</v>
      </c>
      <c r="N187" s="6">
        <f t="shared" si="18"/>
        <v>1.6480214063461682E-3</v>
      </c>
      <c r="O187" s="6">
        <f t="shared" si="15"/>
        <v>-7.4573064840169363E-3</v>
      </c>
      <c r="P187" s="6"/>
      <c r="Q187" s="6">
        <f t="shared" si="16"/>
        <v>1.4693270284983578E-3</v>
      </c>
      <c r="R187" s="6">
        <f t="shared" si="17"/>
        <v>-5.822341110764969E-4</v>
      </c>
      <c r="S187" s="6"/>
      <c r="AA187" s="38"/>
    </row>
    <row r="188" spans="1:27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13"/>
        <v>2.0127150788695758E-4</v>
      </c>
      <c r="J188" s="6">
        <f t="shared" si="18"/>
        <v>1.7491613013872163E-2</v>
      </c>
      <c r="K188" s="6">
        <f t="shared" si="18"/>
        <v>5.0457831514656758E-3</v>
      </c>
      <c r="L188" s="6">
        <f t="shared" si="18"/>
        <v>-2.0125493872400897E-4</v>
      </c>
      <c r="M188" s="6">
        <f t="shared" si="18"/>
        <v>5.2280020464313707E-3</v>
      </c>
      <c r="N188" s="6">
        <f t="shared" si="18"/>
        <v>-2.4128455417182781E-4</v>
      </c>
      <c r="O188" s="6">
        <f t="shared" si="15"/>
        <v>-9.4045481711482436E-3</v>
      </c>
      <c r="P188" s="6"/>
      <c r="Q188" s="6">
        <f t="shared" si="16"/>
        <v>5.0204393806284192E-3</v>
      </c>
      <c r="R188" s="6">
        <f t="shared" si="17"/>
        <v>5.2280020464313699E-3</v>
      </c>
      <c r="S188" s="6"/>
      <c r="AA188" s="38"/>
    </row>
    <row r="189" spans="1:27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13"/>
        <v>1.9974942225231551E-4</v>
      </c>
      <c r="J189" s="6">
        <f t="shared" si="18"/>
        <v>6.1545058292852206E-3</v>
      </c>
      <c r="K189" s="6">
        <f t="shared" si="18"/>
        <v>-7.578230471947678E-3</v>
      </c>
      <c r="L189" s="6">
        <f t="shared" si="18"/>
        <v>1.3891880096165623E-2</v>
      </c>
      <c r="M189" s="6">
        <f t="shared" si="18"/>
        <v>2.3147859350525577E-3</v>
      </c>
      <c r="N189" s="6">
        <f t="shared" si="18"/>
        <v>4.8261000617198218E-3</v>
      </c>
      <c r="O189" s="6">
        <f t="shared" si="15"/>
        <v>-7.5910897879736695E-3</v>
      </c>
      <c r="P189" s="6"/>
      <c r="Q189" s="6">
        <f t="shared" si="16"/>
        <v>8.4127816038800408E-3</v>
      </c>
      <c r="R189" s="6">
        <f t="shared" si="17"/>
        <v>2.3147859350525573E-3</v>
      </c>
      <c r="S189" s="6"/>
      <c r="AA189" s="38"/>
    </row>
    <row r="190" spans="1:27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13"/>
        <v>1.9974942225231551E-4</v>
      </c>
      <c r="J190" s="6">
        <f t="shared" si="18"/>
        <v>1.2143861705092206E-2</v>
      </c>
      <c r="K190" s="6">
        <f t="shared" si="18"/>
        <v>4.7533860586955039E-4</v>
      </c>
      <c r="L190" s="6">
        <f t="shared" si="18"/>
        <v>2.9731023414911141E-3</v>
      </c>
      <c r="M190" s="6">
        <f t="shared" si="18"/>
        <v>1.732579879352201E-3</v>
      </c>
      <c r="N190" s="6">
        <f t="shared" si="18"/>
        <v>1.1647879688045933E-2</v>
      </c>
      <c r="O190" s="6">
        <f t="shared" si="15"/>
        <v>0</v>
      </c>
      <c r="P190" s="6"/>
      <c r="Q190" s="6">
        <f t="shared" si="16"/>
        <v>4.2717270258639259E-3</v>
      </c>
      <c r="R190" s="6">
        <f t="shared" si="17"/>
        <v>1.7325798793522008E-3</v>
      </c>
      <c r="S190" s="6"/>
      <c r="AA190" s="38"/>
    </row>
    <row r="191" spans="1:27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13"/>
        <v>2.0012999773522111E-4</v>
      </c>
      <c r="J191" s="6">
        <f t="shared" si="18"/>
        <v>6.3229391275216771E-4</v>
      </c>
      <c r="K191" s="6">
        <f t="shared" si="18"/>
        <v>3.0051413878821489E-3</v>
      </c>
      <c r="L191" s="6">
        <f t="shared" si="18"/>
        <v>1.7796277524522572E-3</v>
      </c>
      <c r="M191" s="6">
        <f t="shared" si="18"/>
        <v>-1.732579879352136E-3</v>
      </c>
      <c r="N191" s="6">
        <f t="shared" si="18"/>
        <v>-2.08387430730016E-3</v>
      </c>
      <c r="O191" s="6">
        <f t="shared" si="15"/>
        <v>1.9034517846586623E-3</v>
      </c>
      <c r="P191" s="6"/>
      <c r="Q191" s="6">
        <f t="shared" si="16"/>
        <v>3.4369327068218874E-4</v>
      </c>
      <c r="R191" s="6">
        <f t="shared" si="17"/>
        <v>-1.7325798793521357E-3</v>
      </c>
      <c r="S191" s="6"/>
      <c r="AA191" s="38"/>
    </row>
    <row r="192" spans="1:27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13"/>
        <v>2.0012999773522111E-4</v>
      </c>
      <c r="J192" s="6">
        <f t="shared" si="18"/>
        <v>1.5802948487189222E-4</v>
      </c>
      <c r="K192" s="6">
        <f t="shared" si="18"/>
        <v>-4.5904615610439566E-3</v>
      </c>
      <c r="L192" s="6">
        <f t="shared" si="18"/>
        <v>1.1393284747523526E-2</v>
      </c>
      <c r="M192" s="6">
        <f t="shared" si="18"/>
        <v>5.7637472026845571E-3</v>
      </c>
      <c r="N192" s="6">
        <f t="shared" si="18"/>
        <v>1.1641104408194052E-3</v>
      </c>
      <c r="O192" s="6">
        <f t="shared" si="15"/>
        <v>0</v>
      </c>
      <c r="P192" s="6"/>
      <c r="Q192" s="6">
        <f t="shared" si="16"/>
        <v>7.319794057533734E-3</v>
      </c>
      <c r="R192" s="6">
        <f t="shared" si="17"/>
        <v>5.7637472026845563E-3</v>
      </c>
      <c r="S192" s="6"/>
      <c r="AA192" s="38"/>
    </row>
    <row r="193" spans="1:27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13"/>
        <v>1.9974942225231551E-4</v>
      </c>
      <c r="J193" s="6">
        <f t="shared" si="18"/>
        <v>6.1431644627328542E-3</v>
      </c>
      <c r="K193" s="6">
        <f t="shared" si="18"/>
        <v>-7.3248867997968373E-3</v>
      </c>
      <c r="L193" s="6">
        <f t="shared" si="18"/>
        <v>-4.6015528245516947E-2</v>
      </c>
      <c r="M193" s="6">
        <f t="shared" si="18"/>
        <v>6.8728485226429662E-3</v>
      </c>
      <c r="N193" s="6">
        <f t="shared" si="18"/>
        <v>9.159960683443537E-4</v>
      </c>
      <c r="O193" s="6">
        <f t="shared" si="15"/>
        <v>-1.9034517846585846E-3</v>
      </c>
      <c r="P193" s="6"/>
      <c r="Q193" s="6">
        <f t="shared" si="16"/>
        <v>-1.7814763191262017E-2</v>
      </c>
      <c r="R193" s="6">
        <f t="shared" si="17"/>
        <v>6.8728485226429653E-3</v>
      </c>
      <c r="S193" s="6"/>
      <c r="AA193" s="38"/>
    </row>
    <row r="194" spans="1:27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13"/>
        <v>2.0165193919474689E-4</v>
      </c>
      <c r="J194" s="6">
        <f t="shared" si="18"/>
        <v>6.8338906269820778E-3</v>
      </c>
      <c r="K194" s="6">
        <f t="shared" si="18"/>
        <v>5.4192175886679812E-3</v>
      </c>
      <c r="L194" s="6">
        <f t="shared" si="18"/>
        <v>1.9944982273812171E-2</v>
      </c>
      <c r="M194" s="6">
        <f t="shared" si="18"/>
        <v>-1.4372182648414963E-2</v>
      </c>
      <c r="N194" s="6">
        <f t="shared" si="18"/>
        <v>2.498698327390512E-3</v>
      </c>
      <c r="O194" s="6">
        <f t="shared" si="15"/>
        <v>9.4794456212845372E-3</v>
      </c>
      <c r="P194" s="6"/>
      <c r="Q194" s="6">
        <f t="shared" si="16"/>
        <v>5.5562935571808443E-3</v>
      </c>
      <c r="R194" s="6">
        <f t="shared" si="17"/>
        <v>-1.4372182648414961E-2</v>
      </c>
      <c r="S194" s="6"/>
      <c r="AA194" s="38"/>
    </row>
    <row r="195" spans="1:27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ref="H195:H254" si="19">+(1+G195)^(1/250)-1</f>
        <v>2.0127150788695758E-4</v>
      </c>
      <c r="J195" s="6">
        <f t="shared" ref="J195:N226" si="20">LN(B195/B194)</f>
        <v>-7.5669526869904195E-3</v>
      </c>
      <c r="K195" s="6">
        <f t="shared" si="20"/>
        <v>1.4295762641888972E-3</v>
      </c>
      <c r="L195" s="6">
        <f t="shared" si="20"/>
        <v>-6.0830483624738684E-3</v>
      </c>
      <c r="M195" s="6">
        <f t="shared" si="20"/>
        <v>1.3229934834084765E-2</v>
      </c>
      <c r="N195" s="6">
        <f t="shared" si="20"/>
        <v>-2.7097176835470336E-3</v>
      </c>
      <c r="O195" s="6">
        <f t="shared" si="15"/>
        <v>-1.8883558333109205E-3</v>
      </c>
      <c r="P195" s="6"/>
      <c r="Q195" s="6">
        <f t="shared" si="16"/>
        <v>3.4334284752047476E-4</v>
      </c>
      <c r="R195" s="6">
        <f t="shared" si="17"/>
        <v>1.3229934834084764E-2</v>
      </c>
      <c r="S195" s="6"/>
      <c r="AA195" s="38"/>
    </row>
    <row r="196" spans="1:27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si="19"/>
        <v>2.0127150788695758E-4</v>
      </c>
      <c r="J196" s="6">
        <f t="shared" si="20"/>
        <v>-2.128302424671985E-2</v>
      </c>
      <c r="K196" s="6">
        <f t="shared" si="20"/>
        <v>-1.454975939193497E-2</v>
      </c>
      <c r="L196" s="6">
        <f t="shared" si="20"/>
        <v>-7.0339066105817626E-3</v>
      </c>
      <c r="M196" s="6">
        <f t="shared" si="20"/>
        <v>-1.7157346722541096E-3</v>
      </c>
      <c r="N196" s="6">
        <f t="shared" si="20"/>
        <v>-7.4081767856449404E-3</v>
      </c>
      <c r="O196" s="6">
        <f t="shared" ref="O196:O254" si="21">+LN(H196/H195)</f>
        <v>0</v>
      </c>
      <c r="P196" s="6"/>
      <c r="Q196" s="6">
        <f t="shared" ref="Q196:Q254" si="22">+SUMPRODUCT($U$16:$X$16,J196:M196)</f>
        <v>-7.8742676455472293E-3</v>
      </c>
      <c r="R196" s="6">
        <f t="shared" ref="R196:R254" si="23">+SUMPRODUCT($U$17:$X$17,J196:M196)</f>
        <v>-1.7157346722541094E-3</v>
      </c>
      <c r="S196" s="6"/>
      <c r="AA196" s="38"/>
    </row>
    <row r="197" spans="1:27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19"/>
        <v>1.9898816309771306E-4</v>
      </c>
      <c r="J197" s="6">
        <f t="shared" si="20"/>
        <v>1.6452046082168593E-2</v>
      </c>
      <c r="K197" s="6">
        <f t="shared" si="20"/>
        <v>-1.4505435120728959E-3</v>
      </c>
      <c r="L197" s="6">
        <f t="shared" si="20"/>
        <v>1.9063546062445577E-2</v>
      </c>
      <c r="M197" s="6">
        <f t="shared" si="20"/>
        <v>1.7157346722542091E-3</v>
      </c>
      <c r="N197" s="6">
        <f t="shared" si="20"/>
        <v>6.9765789150719763E-3</v>
      </c>
      <c r="O197" s="6">
        <f t="shared" si="21"/>
        <v>-1.1409441041977197E-2</v>
      </c>
      <c r="P197" s="6"/>
      <c r="Q197" s="6">
        <f t="shared" si="22"/>
        <v>1.2547245261363745E-2</v>
      </c>
      <c r="R197" s="6">
        <f t="shared" si="23"/>
        <v>1.7157346722542089E-3</v>
      </c>
      <c r="S197" s="6"/>
      <c r="AA197" s="38"/>
    </row>
    <row r="198" spans="1:27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19"/>
        <v>2.0012999773522111E-4</v>
      </c>
      <c r="J198" s="6">
        <f t="shared" si="20"/>
        <v>5.2749355993220789E-5</v>
      </c>
      <c r="K198" s="6">
        <f t="shared" si="20"/>
        <v>-2.907479760967422E-3</v>
      </c>
      <c r="L198" s="6">
        <f t="shared" si="20"/>
        <v>-6.0468730383955328E-3</v>
      </c>
      <c r="M198" s="6">
        <f t="shared" si="20"/>
        <v>-1.3229934834084642E-2</v>
      </c>
      <c r="N198" s="6">
        <f t="shared" si="20"/>
        <v>2.4880404548013993E-4</v>
      </c>
      <c r="O198" s="6">
        <f t="shared" si="21"/>
        <v>5.7218030386620624E-3</v>
      </c>
      <c r="P198" s="6"/>
      <c r="Q198" s="6">
        <f t="shared" si="22"/>
        <v>-7.3908711236580684E-3</v>
      </c>
      <c r="R198" s="6">
        <f t="shared" si="23"/>
        <v>-1.322993483408464E-2</v>
      </c>
      <c r="S198" s="6"/>
      <c r="AA198" s="38"/>
    </row>
    <row r="199" spans="1:27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19"/>
        <v>2.0051053716385603E-4</v>
      </c>
      <c r="J199" s="6">
        <f t="shared" si="20"/>
        <v>1.5777000232845243E-3</v>
      </c>
      <c r="K199" s="6">
        <f t="shared" si="20"/>
        <v>-1.9429887302046369E-3</v>
      </c>
      <c r="L199" s="6">
        <f t="shared" si="20"/>
        <v>-6.99180300416376E-3</v>
      </c>
      <c r="M199" s="6">
        <f t="shared" si="20"/>
        <v>-8.7235267318123977E-3</v>
      </c>
      <c r="N199" s="6">
        <f t="shared" si="20"/>
        <v>-7.3943469365055463E-3</v>
      </c>
      <c r="O199" s="6">
        <f t="shared" si="21"/>
        <v>1.8996557258902202E-3</v>
      </c>
      <c r="P199" s="6"/>
      <c r="Q199" s="6">
        <f t="shared" si="22"/>
        <v>-5.9771248534301585E-3</v>
      </c>
      <c r="R199" s="6">
        <f t="shared" si="23"/>
        <v>-8.7235267318123959E-3</v>
      </c>
      <c r="S199" s="6"/>
      <c r="AA199" s="38"/>
    </row>
    <row r="200" spans="1:27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19"/>
        <v>2.0089104054554774E-4</v>
      </c>
      <c r="J200" s="6">
        <f t="shared" si="20"/>
        <v>5.2413568168104213E-3</v>
      </c>
      <c r="K200" s="6">
        <f t="shared" si="20"/>
        <v>4.3664643547632167E-3</v>
      </c>
      <c r="L200" s="6">
        <f t="shared" si="20"/>
        <v>6.1393658971166812E-3</v>
      </c>
      <c r="M200" s="6">
        <f t="shared" si="20"/>
        <v>2.8787286268958209E-2</v>
      </c>
      <c r="N200" s="6">
        <f t="shared" si="20"/>
        <v>-5.9929167225422977E-3</v>
      </c>
      <c r="O200" s="6">
        <f t="shared" si="21"/>
        <v>1.8958744399290306E-3</v>
      </c>
      <c r="P200" s="6"/>
      <c r="Q200" s="6">
        <f t="shared" si="22"/>
        <v>1.3834262709941843E-2</v>
      </c>
      <c r="R200" s="6">
        <f t="shared" si="23"/>
        <v>2.8787286268958205E-2</v>
      </c>
      <c r="S200" s="6"/>
      <c r="AA200" s="38"/>
    </row>
    <row r="201" spans="1:27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19"/>
        <v>2.0051053716385603E-4</v>
      </c>
      <c r="J201" s="6">
        <f t="shared" si="20"/>
        <v>5.0060225548219234E-3</v>
      </c>
      <c r="K201" s="6">
        <f t="shared" si="20"/>
        <v>1.537262663889283E-2</v>
      </c>
      <c r="L201" s="6">
        <f t="shared" si="20"/>
        <v>1.6419907185533298E-2</v>
      </c>
      <c r="M201" s="6">
        <f t="shared" si="20"/>
        <v>3.3485178750257492E-2</v>
      </c>
      <c r="N201" s="6">
        <f t="shared" si="20"/>
        <v>7.9958649115222311E-3</v>
      </c>
      <c r="O201" s="6">
        <f t="shared" si="21"/>
        <v>-1.8958744399290869E-3</v>
      </c>
      <c r="P201" s="6"/>
      <c r="Q201" s="6">
        <f t="shared" si="22"/>
        <v>2.0193252436246183E-2</v>
      </c>
      <c r="R201" s="6">
        <f t="shared" si="23"/>
        <v>3.3485178750257485E-2</v>
      </c>
      <c r="S201" s="6"/>
      <c r="AA201" s="38"/>
    </row>
    <row r="202" spans="1:27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19"/>
        <v>2.0127150788695758E-4</v>
      </c>
      <c r="J202" s="6">
        <f t="shared" si="20"/>
        <v>9.2161623911649945E-3</v>
      </c>
      <c r="K202" s="6">
        <f t="shared" si="20"/>
        <v>0</v>
      </c>
      <c r="L202" s="6">
        <f t="shared" si="20"/>
        <v>-4.0053977401266682E-3</v>
      </c>
      <c r="M202" s="6">
        <f t="shared" si="20"/>
        <v>-1.1592695309031092E-2</v>
      </c>
      <c r="N202" s="6">
        <f t="shared" si="20"/>
        <v>1.1154342969859781E-3</v>
      </c>
      <c r="O202" s="6">
        <f t="shared" si="21"/>
        <v>3.7879822774248887E-3</v>
      </c>
      <c r="P202" s="6"/>
      <c r="Q202" s="6">
        <f t="shared" si="22"/>
        <v>-4.1467378239734495E-3</v>
      </c>
      <c r="R202" s="6">
        <f t="shared" si="23"/>
        <v>-1.1592695309031091E-2</v>
      </c>
      <c r="S202" s="6"/>
      <c r="AA202" s="38"/>
    </row>
    <row r="203" spans="1:27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19"/>
        <v>2.0279301698633567E-4</v>
      </c>
      <c r="J203" s="6">
        <f t="shared" si="20"/>
        <v>1.6479275844381797E-3</v>
      </c>
      <c r="K203" s="6">
        <f t="shared" si="20"/>
        <v>1.5922092232906072E-2</v>
      </c>
      <c r="L203" s="6">
        <f t="shared" si="20"/>
        <v>-1.3267754604042227E-2</v>
      </c>
      <c r="M203" s="6">
        <f t="shared" si="20"/>
        <v>1.8702397437831947E-2</v>
      </c>
      <c r="N203" s="6">
        <f t="shared" si="20"/>
        <v>1.5016920495655548E-3</v>
      </c>
      <c r="O203" s="6">
        <f t="shared" si="21"/>
        <v>7.5310560416541605E-3</v>
      </c>
      <c r="P203" s="6"/>
      <c r="Q203" s="6">
        <f t="shared" si="22"/>
        <v>6.4626181025234306E-4</v>
      </c>
      <c r="R203" s="6">
        <f t="shared" si="23"/>
        <v>1.8702397437831943E-2</v>
      </c>
      <c r="S203" s="6"/>
      <c r="AA203" s="38"/>
    </row>
    <row r="204" spans="1:27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19"/>
        <v>2.0317330422892077E-4</v>
      </c>
      <c r="J204" s="6">
        <f t="shared" si="20"/>
        <v>7.7904722351031866E-3</v>
      </c>
      <c r="K204" s="6">
        <f t="shared" si="20"/>
        <v>-3.1287359214828865E-4</v>
      </c>
      <c r="L204" s="6">
        <f t="shared" si="20"/>
        <v>-9.5859227382981537E-3</v>
      </c>
      <c r="M204" s="6">
        <f t="shared" si="20"/>
        <v>-2.7285349047250127E-3</v>
      </c>
      <c r="N204" s="6">
        <f t="shared" si="20"/>
        <v>1.1778026448059028E-2</v>
      </c>
      <c r="O204" s="6">
        <f t="shared" si="21"/>
        <v>1.8734921294942879E-3</v>
      </c>
      <c r="P204" s="6"/>
      <c r="Q204" s="6">
        <f t="shared" si="22"/>
        <v>-3.928004913288337E-3</v>
      </c>
      <c r="R204" s="6">
        <f t="shared" si="23"/>
        <v>-2.7285349047250123E-3</v>
      </c>
      <c r="S204" s="6"/>
      <c r="AA204" s="38"/>
    </row>
    <row r="205" spans="1:27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19"/>
        <v>2.0317330422892077E-4</v>
      </c>
      <c r="J205" s="6">
        <f t="shared" si="20"/>
        <v>-7.121864915451831E-3</v>
      </c>
      <c r="K205" s="6">
        <f t="shared" si="20"/>
        <v>3.5918669636785371E-3</v>
      </c>
      <c r="L205" s="6">
        <f t="shared" si="20"/>
        <v>-1.7757906147097171E-3</v>
      </c>
      <c r="M205" s="6">
        <f t="shared" si="20"/>
        <v>-1.0934242170624129E-3</v>
      </c>
      <c r="N205" s="6">
        <f t="shared" si="20"/>
        <v>-1.9986943175659869E-4</v>
      </c>
      <c r="O205" s="6">
        <f t="shared" si="21"/>
        <v>0</v>
      </c>
      <c r="P205" s="6"/>
      <c r="Q205" s="6">
        <f t="shared" si="22"/>
        <v>-2.5469861461701964E-3</v>
      </c>
      <c r="R205" s="6">
        <f t="shared" si="23"/>
        <v>-1.0934242170624127E-3</v>
      </c>
      <c r="S205" s="6"/>
      <c r="AA205" s="38"/>
    </row>
    <row r="206" spans="1:27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19"/>
        <v>2.0317330422892077E-4</v>
      </c>
      <c r="J206" s="6">
        <f t="shared" si="20"/>
        <v>1.2315935510636394E-2</v>
      </c>
      <c r="K206" s="6">
        <f t="shared" si="20"/>
        <v>-3.748245865629597E-3</v>
      </c>
      <c r="L206" s="6">
        <f t="shared" si="20"/>
        <v>1.5320518573155651E-2</v>
      </c>
      <c r="M206" s="6">
        <f t="shared" si="20"/>
        <v>-9.8955551720559757E-3</v>
      </c>
      <c r="N206" s="6">
        <f t="shared" si="20"/>
        <v>-1.1158931807150971E-3</v>
      </c>
      <c r="O206" s="6">
        <f t="shared" si="21"/>
        <v>0</v>
      </c>
      <c r="P206" s="6"/>
      <c r="Q206" s="6">
        <f t="shared" si="22"/>
        <v>5.9979248995054059E-3</v>
      </c>
      <c r="R206" s="6">
        <f t="shared" si="23"/>
        <v>-9.895555172055974E-3</v>
      </c>
      <c r="S206" s="6"/>
      <c r="AA206" s="38"/>
    </row>
    <row r="207" spans="1:27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19"/>
        <v>2.0355355547230225E-4</v>
      </c>
      <c r="J207" s="6">
        <f t="shared" si="20"/>
        <v>-1.9333515601065478E-2</v>
      </c>
      <c r="K207" s="6">
        <f t="shared" si="20"/>
        <v>-5.0196004719991047E-3</v>
      </c>
      <c r="L207" s="6">
        <f t="shared" si="20"/>
        <v>-1.7018402117130581E-3</v>
      </c>
      <c r="M207" s="6">
        <f t="shared" si="20"/>
        <v>-1.3348415321843266E-2</v>
      </c>
      <c r="N207" s="6">
        <f t="shared" si="20"/>
        <v>2.5775665246065955E-3</v>
      </c>
      <c r="O207" s="6">
        <f t="shared" si="21"/>
        <v>1.8698118656184917E-3</v>
      </c>
      <c r="P207" s="6"/>
      <c r="Q207" s="6">
        <f t="shared" si="22"/>
        <v>-9.0708899573812094E-3</v>
      </c>
      <c r="R207" s="6">
        <f t="shared" si="23"/>
        <v>-1.3348415321843264E-2</v>
      </c>
      <c r="S207" s="6"/>
      <c r="AA207" s="38"/>
    </row>
    <row r="208" spans="1:27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19"/>
        <v>2.0241269373766357E-4</v>
      </c>
      <c r="J208" s="6">
        <f t="shared" si="20"/>
        <v>7.0131414104475584E-2</v>
      </c>
      <c r="K208" s="6">
        <f t="shared" si="20"/>
        <v>-6.2929080548693986E-4</v>
      </c>
      <c r="L208" s="6">
        <f t="shared" si="20"/>
        <v>-2.6653349995766375E-2</v>
      </c>
      <c r="M208" s="6">
        <f t="shared" si="20"/>
        <v>0</v>
      </c>
      <c r="N208" s="6">
        <f t="shared" si="20"/>
        <v>2.7067548434573357E-3</v>
      </c>
      <c r="O208" s="6">
        <f t="shared" si="21"/>
        <v>-5.6204905711627999E-3</v>
      </c>
      <c r="P208" s="6"/>
      <c r="Q208" s="6">
        <f t="shared" si="22"/>
        <v>8.529852526261289E-4</v>
      </c>
      <c r="R208" s="6">
        <f t="shared" si="23"/>
        <v>0</v>
      </c>
      <c r="S208" s="6"/>
      <c r="AA208" s="38"/>
    </row>
    <row r="209" spans="1:27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19"/>
        <v>2.0203233447624314E-4</v>
      </c>
      <c r="J209" s="6">
        <f t="shared" si="20"/>
        <v>2.8177683832117249E-2</v>
      </c>
      <c r="K209" s="6">
        <f t="shared" si="20"/>
        <v>-1.0598781521427382E-2</v>
      </c>
      <c r="L209" s="6">
        <f t="shared" si="20"/>
        <v>-1.4667664855327797E-2</v>
      </c>
      <c r="M209" s="6">
        <f t="shared" si="20"/>
        <v>-1.4096584264906203E-2</v>
      </c>
      <c r="N209" s="6">
        <f t="shared" si="20"/>
        <v>8.4677271718827819E-3</v>
      </c>
      <c r="O209" s="6">
        <f t="shared" si="21"/>
        <v>-1.8808952862412942E-3</v>
      </c>
      <c r="P209" s="6"/>
      <c r="Q209" s="6">
        <f t="shared" si="22"/>
        <v>-6.3897718111029234E-3</v>
      </c>
      <c r="R209" s="6">
        <f t="shared" si="23"/>
        <v>-1.4096584264906202E-2</v>
      </c>
      <c r="S209" s="6"/>
      <c r="AA209" s="38"/>
    </row>
    <row r="210" spans="1:27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19"/>
        <v>2.0051053716385603E-4</v>
      </c>
      <c r="J210" s="6">
        <f t="shared" si="20"/>
        <v>5.4761020107099078E-3</v>
      </c>
      <c r="K210" s="6">
        <f t="shared" si="20"/>
        <v>1.7478507559406556E-3</v>
      </c>
      <c r="L210" s="6">
        <f t="shared" si="20"/>
        <v>1.1059628683795456E-2</v>
      </c>
      <c r="M210" s="6">
        <f t="shared" si="20"/>
        <v>3.4012621492683047E-3</v>
      </c>
      <c r="N210" s="6">
        <f t="shared" si="20"/>
        <v>2.341828672305396E-3</v>
      </c>
      <c r="O210" s="6">
        <f t="shared" si="21"/>
        <v>-7.5609564567877055E-3</v>
      </c>
      <c r="P210" s="6"/>
      <c r="Q210" s="6">
        <f t="shared" si="22"/>
        <v>7.3474282749765854E-3</v>
      </c>
      <c r="R210" s="6">
        <f t="shared" si="23"/>
        <v>3.4012621492683043E-3</v>
      </c>
      <c r="S210" s="6"/>
      <c r="AA210" s="38"/>
    </row>
    <row r="211" spans="1:27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19"/>
        <v>1.9936881070892198E-4</v>
      </c>
      <c r="J211" s="6">
        <f t="shared" si="20"/>
        <v>-8.2019263390725322E-3</v>
      </c>
      <c r="K211" s="6">
        <f t="shared" si="20"/>
        <v>7.1958738958610062E-4</v>
      </c>
      <c r="L211" s="6">
        <f t="shared" si="20"/>
        <v>6.1937429460877716E-4</v>
      </c>
      <c r="M211" s="6">
        <f t="shared" si="20"/>
        <v>-1.6992713126116508E-3</v>
      </c>
      <c r="N211" s="6">
        <f t="shared" si="20"/>
        <v>-3.9391312700216223E-4</v>
      </c>
      <c r="O211" s="6">
        <f t="shared" si="21"/>
        <v>-5.7103702078565256E-3</v>
      </c>
      <c r="P211" s="6"/>
      <c r="Q211" s="6">
        <f t="shared" si="22"/>
        <v>-1.8492326562906392E-3</v>
      </c>
      <c r="R211" s="6">
        <f t="shared" si="23"/>
        <v>-1.6992713126116506E-3</v>
      </c>
      <c r="S211" s="6"/>
      <c r="AA211" s="38"/>
    </row>
    <row r="212" spans="1:27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19"/>
        <v>1.9822675964520364E-4</v>
      </c>
      <c r="J212" s="6">
        <f t="shared" si="20"/>
        <v>1.948047725735666E-2</v>
      </c>
      <c r="K212" s="6">
        <f t="shared" si="20"/>
        <v>1.1184790032108326E-3</v>
      </c>
      <c r="L212" s="6">
        <f t="shared" si="20"/>
        <v>6.1735082056717516E-3</v>
      </c>
      <c r="M212" s="6">
        <f t="shared" si="20"/>
        <v>1.6992713126115697E-3</v>
      </c>
      <c r="N212" s="6">
        <f t="shared" si="20"/>
        <v>7.6351859201040807E-3</v>
      </c>
      <c r="O212" s="6">
        <f t="shared" si="21"/>
        <v>-5.7448034624890849E-3</v>
      </c>
      <c r="P212" s="6"/>
      <c r="Q212" s="6">
        <f t="shared" si="22"/>
        <v>7.1292500086807126E-3</v>
      </c>
      <c r="R212" s="6">
        <f t="shared" si="23"/>
        <v>1.6992713126115695E-3</v>
      </c>
      <c r="S212" s="6"/>
      <c r="AA212" s="38"/>
    </row>
    <row r="213" spans="1:27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19"/>
        <v>1.9822675964520364E-4</v>
      </c>
      <c r="J213" s="6">
        <f t="shared" si="20"/>
        <v>-1.1045270681009117E-2</v>
      </c>
      <c r="K213" s="6">
        <f t="shared" si="20"/>
        <v>1.5971257518978638E-4</v>
      </c>
      <c r="L213" s="6">
        <f t="shared" si="20"/>
        <v>1.030672096955205E-2</v>
      </c>
      <c r="M213" s="6">
        <f t="shared" si="20"/>
        <v>2.1277351283956945E-2</v>
      </c>
      <c r="N213" s="6">
        <f t="shared" si="20"/>
        <v>2.5181897678469146E-3</v>
      </c>
      <c r="O213" s="6">
        <f t="shared" si="21"/>
        <v>0</v>
      </c>
      <c r="P213" s="6"/>
      <c r="Q213" s="6">
        <f t="shared" si="22"/>
        <v>1.0089684058280046E-2</v>
      </c>
      <c r="R213" s="6">
        <f t="shared" si="23"/>
        <v>2.1277351283956941E-2</v>
      </c>
      <c r="S213" s="6"/>
      <c r="AA213" s="38"/>
    </row>
    <row r="214" spans="1:27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19"/>
        <v>2.0165193919474689E-4</v>
      </c>
      <c r="J214" s="6">
        <f t="shared" si="20"/>
        <v>-2.1747631659808291E-2</v>
      </c>
      <c r="K214" s="6">
        <f t="shared" si="20"/>
        <v>-7.2110078735026766E-3</v>
      </c>
      <c r="L214" s="6">
        <f t="shared" si="20"/>
        <v>8.4414315435738397E-3</v>
      </c>
      <c r="M214" s="6">
        <f t="shared" si="20"/>
        <v>3.3186565462668526E-3</v>
      </c>
      <c r="N214" s="6">
        <f t="shared" si="20"/>
        <v>-2.5291522760688338E-3</v>
      </c>
      <c r="O214" s="6">
        <f t="shared" si="21"/>
        <v>1.7131511781081622E-2</v>
      </c>
      <c r="P214" s="6"/>
      <c r="Q214" s="6">
        <f t="shared" si="22"/>
        <v>9.6968092913597486E-4</v>
      </c>
      <c r="R214" s="6">
        <f t="shared" si="23"/>
        <v>3.3186565462668522E-3</v>
      </c>
      <c r="S214" s="6"/>
      <c r="AA214" s="38"/>
    </row>
    <row r="215" spans="1:27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19"/>
        <v>2.0127150788695758E-4</v>
      </c>
      <c r="J215" s="6">
        <f t="shared" si="20"/>
        <v>-1.0499345697948081E-2</v>
      </c>
      <c r="K215" s="6">
        <f t="shared" si="20"/>
        <v>9.443847698832648E-3</v>
      </c>
      <c r="L215" s="6">
        <f t="shared" si="20"/>
        <v>-1.2001025271443897E-2</v>
      </c>
      <c r="M215" s="6">
        <f t="shared" si="20"/>
        <v>1.588635415691966E-2</v>
      </c>
      <c r="N215" s="6">
        <f t="shared" si="20"/>
        <v>-1.5633874377691908E-3</v>
      </c>
      <c r="O215" s="6">
        <f t="shared" si="21"/>
        <v>-1.8883558333109205E-3</v>
      </c>
      <c r="P215" s="6"/>
      <c r="Q215" s="6">
        <f t="shared" si="22"/>
        <v>-2.0342613642768655E-3</v>
      </c>
      <c r="R215" s="6">
        <f t="shared" si="23"/>
        <v>1.5886354156919656E-2</v>
      </c>
      <c r="S215" s="6"/>
      <c r="AA215" s="38"/>
    </row>
    <row r="216" spans="1:27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19"/>
        <v>2.0165193919474689E-4</v>
      </c>
      <c r="J216" s="6">
        <f t="shared" si="20"/>
        <v>3.1277001097442104E-3</v>
      </c>
      <c r="K216" s="6">
        <f t="shared" si="20"/>
        <v>1.8936986764933515E-2</v>
      </c>
      <c r="L216" s="6">
        <f t="shared" si="20"/>
        <v>1.305751761044515E-2</v>
      </c>
      <c r="M216" s="6">
        <f t="shared" si="20"/>
        <v>1.3495526138129172E-2</v>
      </c>
      <c r="N216" s="6">
        <f t="shared" si="20"/>
        <v>-3.0698792218004059E-3</v>
      </c>
      <c r="O216" s="6">
        <f t="shared" si="21"/>
        <v>1.8883558333109866E-3</v>
      </c>
      <c r="P216" s="6"/>
      <c r="Q216" s="6">
        <f t="shared" si="22"/>
        <v>1.1337088931069723E-2</v>
      </c>
      <c r="R216" s="6">
        <f t="shared" si="23"/>
        <v>1.349552613812917E-2</v>
      </c>
      <c r="S216" s="6"/>
      <c r="AA216" s="38"/>
    </row>
    <row r="217" spans="1:27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19"/>
        <v>2.0012999773522111E-4</v>
      </c>
      <c r="J217" s="6">
        <f t="shared" si="20"/>
        <v>4.4582669163491413E-3</v>
      </c>
      <c r="K217" s="6">
        <f t="shared" si="20"/>
        <v>-2.0342859528205111E-3</v>
      </c>
      <c r="L217" s="6">
        <f t="shared" si="20"/>
        <v>-4.0810762745116238E-3</v>
      </c>
      <c r="M217" s="6">
        <f t="shared" si="20"/>
        <v>2.1425562712271934E-3</v>
      </c>
      <c r="N217" s="6">
        <f t="shared" si="20"/>
        <v>3.9259309005764296E-3</v>
      </c>
      <c r="O217" s="6">
        <f t="shared" si="21"/>
        <v>-7.5759938366260346E-3</v>
      </c>
      <c r="P217" s="6"/>
      <c r="Q217" s="6">
        <f t="shared" si="22"/>
        <v>-3.0967618252215651E-4</v>
      </c>
      <c r="R217" s="6">
        <f t="shared" si="23"/>
        <v>2.1425562712271929E-3</v>
      </c>
      <c r="S217" s="6"/>
      <c r="AA217" s="38"/>
    </row>
    <row r="218" spans="1:27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19"/>
        <v>1.9784600378991435E-4</v>
      </c>
      <c r="J218" s="6">
        <f t="shared" si="20"/>
        <v>1.9796003669469535E-2</v>
      </c>
      <c r="K218" s="6">
        <f t="shared" si="20"/>
        <v>3.2841220395962312E-3</v>
      </c>
      <c r="L218" s="6">
        <f t="shared" si="20"/>
        <v>-3.2364976607338002E-3</v>
      </c>
      <c r="M218" s="6">
        <f t="shared" si="20"/>
        <v>3.738273476931629E-3</v>
      </c>
      <c r="N218" s="6">
        <f t="shared" si="20"/>
        <v>1.5711783413408377E-3</v>
      </c>
      <c r="O218" s="6">
        <f t="shared" si="21"/>
        <v>-1.1478174626420291E-2</v>
      </c>
      <c r="P218" s="6"/>
      <c r="Q218" s="6">
        <f t="shared" si="22"/>
        <v>3.5287844338486307E-3</v>
      </c>
      <c r="R218" s="6">
        <f t="shared" si="23"/>
        <v>3.7382734769316286E-3</v>
      </c>
      <c r="S218" s="6"/>
      <c r="AA218" s="38"/>
    </row>
    <row r="219" spans="1:27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19"/>
        <v>1.9784600378991435E-4</v>
      </c>
      <c r="J219" s="6">
        <f t="shared" si="20"/>
        <v>3.9780687953256729E-3</v>
      </c>
      <c r="K219" s="6">
        <f t="shared" si="20"/>
        <v>-2.1882315189594016E-3</v>
      </c>
      <c r="L219" s="6">
        <f t="shared" si="20"/>
        <v>8.7746980951394233E-3</v>
      </c>
      <c r="M219" s="6">
        <f t="shared" si="20"/>
        <v>-5.3329250387106324E-4</v>
      </c>
      <c r="N219" s="6">
        <f t="shared" si="20"/>
        <v>9.068706560974762E-4</v>
      </c>
      <c r="O219" s="6">
        <f t="shared" si="21"/>
        <v>0</v>
      </c>
      <c r="P219" s="6"/>
      <c r="Q219" s="6">
        <f t="shared" si="22"/>
        <v>4.6380737241741759E-3</v>
      </c>
      <c r="R219" s="6">
        <f t="shared" si="23"/>
        <v>-5.3329250387106314E-4</v>
      </c>
      <c r="S219" s="6"/>
      <c r="AA219" s="38"/>
    </row>
    <row r="220" spans="1:27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19"/>
        <v>1.9936881070892198E-4</v>
      </c>
      <c r="J220" s="6">
        <f t="shared" si="20"/>
        <v>-1.6387734624486144E-2</v>
      </c>
      <c r="K220" s="6">
        <f t="shared" si="20"/>
        <v>-4.0764872369371159E-3</v>
      </c>
      <c r="L220" s="6">
        <f t="shared" si="20"/>
        <v>1.5395245178859948E-2</v>
      </c>
      <c r="M220" s="6">
        <f t="shared" si="20"/>
        <v>1.901802869604308E-2</v>
      </c>
      <c r="N220" s="6">
        <f t="shared" si="20"/>
        <v>-4.0919885121458088E-3</v>
      </c>
      <c r="O220" s="6">
        <f t="shared" si="21"/>
        <v>7.6674601444540157E-3</v>
      </c>
      <c r="P220" s="6"/>
      <c r="Q220" s="6">
        <f t="shared" si="22"/>
        <v>1.0659718954943709E-2</v>
      </c>
      <c r="R220" s="6">
        <f t="shared" si="23"/>
        <v>1.9018028696043077E-2</v>
      </c>
      <c r="S220" s="6"/>
      <c r="AA220" s="38"/>
    </row>
    <row r="221" spans="1:27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19"/>
        <v>1.9860747941202739E-4</v>
      </c>
      <c r="J221" s="6">
        <f t="shared" si="20"/>
        <v>2.8689111628198698E-2</v>
      </c>
      <c r="K221" s="6">
        <f t="shared" si="20"/>
        <v>-5.8300487686362692E-3</v>
      </c>
      <c r="L221" s="6">
        <f t="shared" si="20"/>
        <v>1.5648710168294964E-2</v>
      </c>
      <c r="M221" s="6">
        <f t="shared" si="20"/>
        <v>-6.8259836239331134E-3</v>
      </c>
      <c r="N221" s="6">
        <f t="shared" si="20"/>
        <v>2.6720159429360979E-3</v>
      </c>
      <c r="O221" s="6">
        <f t="shared" si="21"/>
        <v>-3.8260180041707849E-3</v>
      </c>
      <c r="P221" s="6"/>
      <c r="Q221" s="6">
        <f t="shared" si="22"/>
        <v>1.0303724513212488E-2</v>
      </c>
      <c r="R221" s="6">
        <f t="shared" si="23"/>
        <v>-6.8259836239331125E-3</v>
      </c>
      <c r="S221" s="6"/>
      <c r="AA221" s="38"/>
    </row>
    <row r="222" spans="1:27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19"/>
        <v>1.9860747941202739E-4</v>
      </c>
      <c r="J222" s="6">
        <f t="shared" si="20"/>
        <v>1.6109449297697549E-2</v>
      </c>
      <c r="K222" s="6">
        <f t="shared" si="20"/>
        <v>-2.0564271894918324E-3</v>
      </c>
      <c r="L222" s="6">
        <f t="shared" si="20"/>
        <v>1.6317826996333985E-2</v>
      </c>
      <c r="M222" s="6">
        <f t="shared" si="20"/>
        <v>-8.4656033871456007E-3</v>
      </c>
      <c r="N222" s="6">
        <f t="shared" si="20"/>
        <v>6.1762197767835335E-3</v>
      </c>
      <c r="O222" s="6">
        <f t="shared" si="21"/>
        <v>0</v>
      </c>
      <c r="P222" s="6"/>
      <c r="Q222" s="6">
        <f t="shared" si="22"/>
        <v>7.672760322897011E-3</v>
      </c>
      <c r="R222" s="6">
        <f t="shared" si="23"/>
        <v>-8.4656033871455989E-3</v>
      </c>
      <c r="S222" s="6"/>
      <c r="AA222" s="38"/>
    </row>
    <row r="223" spans="1:27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19"/>
        <v>1.9898816309771306E-4</v>
      </c>
      <c r="J223" s="6">
        <f t="shared" si="20"/>
        <v>5.7942259479230023E-3</v>
      </c>
      <c r="K223" s="6">
        <f t="shared" si="20"/>
        <v>2.8463016418229037E-3</v>
      </c>
      <c r="L223" s="6">
        <f t="shared" si="20"/>
        <v>-6.7059033946733737E-4</v>
      </c>
      <c r="M223" s="6">
        <f t="shared" si="20"/>
        <v>-7.466713020734231E-3</v>
      </c>
      <c r="N223" s="6">
        <f t="shared" si="20"/>
        <v>5.0715161981972666E-3</v>
      </c>
      <c r="O223" s="6">
        <f t="shared" si="21"/>
        <v>1.9149294474749643E-3</v>
      </c>
      <c r="P223" s="6"/>
      <c r="Q223" s="6">
        <f t="shared" si="22"/>
        <v>-1.8113614088010317E-3</v>
      </c>
      <c r="R223" s="6">
        <f t="shared" si="23"/>
        <v>-7.4667130207342301E-3</v>
      </c>
      <c r="S223" s="6"/>
      <c r="AA223" s="38"/>
    </row>
    <row r="224" spans="1:27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19"/>
        <v>1.9898816309771306E-4</v>
      </c>
      <c r="J224" s="6">
        <f t="shared" si="20"/>
        <v>2.1389960415288217E-2</v>
      </c>
      <c r="K224" s="6">
        <f t="shared" si="20"/>
        <v>6.7668210053826762E-3</v>
      </c>
      <c r="L224" s="6">
        <f t="shared" si="20"/>
        <v>-1.3339105875401823E-2</v>
      </c>
      <c r="M224" s="6">
        <f t="shared" si="20"/>
        <v>4.8064098657813409E-3</v>
      </c>
      <c r="N224" s="6">
        <f t="shared" si="20"/>
        <v>5.4339884131971751E-3</v>
      </c>
      <c r="O224" s="6">
        <f t="shared" si="21"/>
        <v>0</v>
      </c>
      <c r="P224" s="6"/>
      <c r="Q224" s="6">
        <f t="shared" si="22"/>
        <v>-4.8921851397274634E-4</v>
      </c>
      <c r="R224" s="6">
        <f t="shared" si="23"/>
        <v>4.8064098657813401E-3</v>
      </c>
      <c r="S224" s="6"/>
      <c r="AA224" s="38"/>
    </row>
    <row r="225" spans="1:27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19"/>
        <v>1.9898816309771306E-4</v>
      </c>
      <c r="J225" s="6">
        <f t="shared" si="20"/>
        <v>6.5176077697273217E-3</v>
      </c>
      <c r="K225" s="6">
        <f t="shared" si="20"/>
        <v>-1.2626414888283227E-2</v>
      </c>
      <c r="L225" s="6">
        <f t="shared" si="20"/>
        <v>1.8538643632364745E-3</v>
      </c>
      <c r="M225" s="6">
        <f t="shared" si="20"/>
        <v>2.1287652308458159E-3</v>
      </c>
      <c r="N225" s="6">
        <f t="shared" si="20"/>
        <v>1.0161544279964853E-3</v>
      </c>
      <c r="O225" s="6">
        <f t="shared" si="21"/>
        <v>0</v>
      </c>
      <c r="P225" s="6"/>
      <c r="Q225" s="6">
        <f t="shared" si="22"/>
        <v>2.828789323767132E-3</v>
      </c>
      <c r="R225" s="6">
        <f t="shared" si="23"/>
        <v>2.1287652308458155E-3</v>
      </c>
      <c r="S225" s="6"/>
      <c r="AA225" s="38"/>
    </row>
    <row r="226" spans="1:27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19"/>
        <v>1.9898816309771306E-4</v>
      </c>
      <c r="J226" s="6">
        <f t="shared" si="20"/>
        <v>3.7677515857849927E-3</v>
      </c>
      <c r="K226" s="6">
        <f t="shared" si="20"/>
        <v>-4.2976588916777241E-3</v>
      </c>
      <c r="L226" s="6">
        <f t="shared" si="20"/>
        <v>1.1918779573079451E-2</v>
      </c>
      <c r="M226" s="6">
        <f t="shared" si="20"/>
        <v>-5.3176661708070883E-4</v>
      </c>
      <c r="N226" s="6">
        <f t="shared" si="20"/>
        <v>7.4081850375864739E-4</v>
      </c>
      <c r="O226" s="6">
        <f t="shared" si="21"/>
        <v>0</v>
      </c>
      <c r="P226" s="6"/>
      <c r="Q226" s="6">
        <f t="shared" si="22"/>
        <v>6.0583794979160496E-3</v>
      </c>
      <c r="R226" s="6">
        <f t="shared" si="23"/>
        <v>-5.3176661708070872E-4</v>
      </c>
      <c r="S226" s="6"/>
      <c r="AA226" s="38"/>
    </row>
    <row r="227" spans="1:27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19"/>
        <v>2.0012999773522111E-4</v>
      </c>
      <c r="J227" s="6">
        <f t="shared" ref="J227:N254" si="24">LN(B227/B226)</f>
        <v>1.8628964806476703E-2</v>
      </c>
      <c r="K227" s="6">
        <f t="shared" si="24"/>
        <v>2.2307689124128954E-3</v>
      </c>
      <c r="L227" s="6">
        <f t="shared" si="24"/>
        <v>8.1841949890559102E-4</v>
      </c>
      <c r="M227" s="6">
        <f t="shared" si="24"/>
        <v>1.1701116052050159E-2</v>
      </c>
      <c r="N227" s="6">
        <f t="shared" si="24"/>
        <v>1.0156283642139425E-2</v>
      </c>
      <c r="O227" s="6">
        <f t="shared" si="21"/>
        <v>5.7218030386620624E-3</v>
      </c>
      <c r="P227" s="6"/>
      <c r="Q227" s="6">
        <f t="shared" si="22"/>
        <v>7.9559513963637137E-3</v>
      </c>
      <c r="R227" s="6">
        <f t="shared" si="23"/>
        <v>1.1701116052050157E-2</v>
      </c>
      <c r="S227" s="6"/>
      <c r="AA227" s="38"/>
    </row>
    <row r="228" spans="1:27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19"/>
        <v>1.9898816309771306E-4</v>
      </c>
      <c r="J228" s="6">
        <f t="shared" si="24"/>
        <v>-2.3494672238777499E-2</v>
      </c>
      <c r="K228" s="6">
        <f t="shared" si="24"/>
        <v>4.2880396046633875E-3</v>
      </c>
      <c r="L228" s="6">
        <f t="shared" si="24"/>
        <v>-1.6857607845247413E-3</v>
      </c>
      <c r="M228" s="6">
        <f t="shared" si="24"/>
        <v>6.3830534173032645E-3</v>
      </c>
      <c r="N228" s="6">
        <f t="shared" si="24"/>
        <v>-8.8016292301766504E-3</v>
      </c>
      <c r="O228" s="6">
        <f t="shared" si="21"/>
        <v>-5.7218030386620858E-3</v>
      </c>
      <c r="P228" s="6"/>
      <c r="Q228" s="6">
        <f t="shared" si="22"/>
        <v>-2.9965851727684015E-3</v>
      </c>
      <c r="R228" s="6">
        <f t="shared" si="23"/>
        <v>6.3830534173032636E-3</v>
      </c>
      <c r="S228" s="6"/>
      <c r="AA228" s="38"/>
    </row>
    <row r="229" spans="1:27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19"/>
        <v>1.9860747941202739E-4</v>
      </c>
      <c r="J229" s="6">
        <f t="shared" si="24"/>
        <v>1.2966442042243119E-2</v>
      </c>
      <c r="K229" s="6">
        <f t="shared" si="24"/>
        <v>9.4638404252588466E-3</v>
      </c>
      <c r="L229" s="6">
        <f t="shared" si="24"/>
        <v>-1.2173069187035165E-2</v>
      </c>
      <c r="M229" s="6">
        <f t="shared" si="24"/>
        <v>-2.6547400778527642E-3</v>
      </c>
      <c r="N229" s="6">
        <f t="shared" si="24"/>
        <v>5.5018536287759819E-3</v>
      </c>
      <c r="O229" s="6">
        <f t="shared" si="21"/>
        <v>-1.9149294474749528E-3</v>
      </c>
      <c r="P229" s="6"/>
      <c r="Q229" s="6">
        <f t="shared" si="22"/>
        <v>-4.1272338916125712E-3</v>
      </c>
      <c r="R229" s="6">
        <f t="shared" si="23"/>
        <v>-2.6547400778527638E-3</v>
      </c>
      <c r="S229" s="6"/>
      <c r="AA229" s="38"/>
    </row>
    <row r="230" spans="1:27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19"/>
        <v>1.9898816309771306E-4</v>
      </c>
      <c r="J230" s="6">
        <f t="shared" si="24"/>
        <v>1.6604708169325119E-2</v>
      </c>
      <c r="K230" s="6">
        <f t="shared" si="24"/>
        <v>-4.563000564764429E-3</v>
      </c>
      <c r="L230" s="6">
        <f t="shared" si="24"/>
        <v>2.4628348767179134E-2</v>
      </c>
      <c r="M230" s="6">
        <f t="shared" si="24"/>
        <v>-1.2302856764034255E-2</v>
      </c>
      <c r="N230" s="6">
        <f t="shared" si="24"/>
        <v>2.822195662042845E-3</v>
      </c>
      <c r="O230" s="6">
        <f t="shared" si="21"/>
        <v>1.9149294474749643E-3</v>
      </c>
      <c r="P230" s="6"/>
      <c r="Q230" s="6">
        <f t="shared" si="22"/>
        <v>1.0291333046241986E-2</v>
      </c>
      <c r="R230" s="6">
        <f t="shared" si="23"/>
        <v>-1.2302856764034253E-2</v>
      </c>
      <c r="S230" s="6"/>
      <c r="AA230" s="38"/>
    </row>
    <row r="231" spans="1:27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19"/>
        <v>1.9784600378991435E-4</v>
      </c>
      <c r="J231" s="6">
        <f t="shared" si="24"/>
        <v>1.7902506232981147E-3</v>
      </c>
      <c r="K231" s="6">
        <f t="shared" si="24"/>
        <v>1.3471334993176645E-2</v>
      </c>
      <c r="L231" s="6">
        <f t="shared" si="24"/>
        <v>1.6853100357796223E-2</v>
      </c>
      <c r="M231" s="6">
        <f t="shared" si="24"/>
        <v>1.4427180508327499E-2</v>
      </c>
      <c r="N231" s="6">
        <f t="shared" si="24"/>
        <v>6.3690536600414091E-3</v>
      </c>
      <c r="O231" s="6">
        <f t="shared" si="21"/>
        <v>-5.7563715877582003E-3</v>
      </c>
      <c r="P231" s="6"/>
      <c r="Q231" s="6">
        <f t="shared" si="22"/>
        <v>1.3170239121630194E-2</v>
      </c>
      <c r="R231" s="6">
        <f t="shared" si="23"/>
        <v>1.4427180508327498E-2</v>
      </c>
      <c r="S231" s="6"/>
      <c r="AA231" s="38"/>
    </row>
    <row r="232" spans="1:27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19"/>
        <v>1.9670351962641774E-4</v>
      </c>
      <c r="J232" s="6">
        <f t="shared" si="24"/>
        <v>-2.5621428783056767E-2</v>
      </c>
      <c r="K232" s="6">
        <f t="shared" si="24"/>
        <v>1.4519903364922418E-2</v>
      </c>
      <c r="L232" s="6">
        <f t="shared" si="24"/>
        <v>1.5099360369527649E-2</v>
      </c>
      <c r="M232" s="6">
        <f t="shared" si="24"/>
        <v>1.631185864869468E-2</v>
      </c>
      <c r="N232" s="6">
        <f t="shared" si="24"/>
        <v>-1.4025410555021933E-2</v>
      </c>
      <c r="O232" s="6">
        <f t="shared" si="21"/>
        <v>-5.7913508389068353E-3</v>
      </c>
      <c r="P232" s="6"/>
      <c r="Q232" s="6">
        <f t="shared" si="22"/>
        <v>7.8414356352753123E-3</v>
      </c>
      <c r="R232" s="6">
        <f t="shared" si="23"/>
        <v>1.6311858648694676E-2</v>
      </c>
      <c r="S232" s="6"/>
      <c r="AA232" s="38"/>
    </row>
    <row r="233" spans="1:27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19"/>
        <v>1.9670351962641774E-4</v>
      </c>
      <c r="J233" s="6">
        <f t="shared" si="24"/>
        <v>-2.074860964039351E-2</v>
      </c>
      <c r="K233" s="6">
        <f t="shared" si="24"/>
        <v>-3.067024540397419E-4</v>
      </c>
      <c r="L233" s="6">
        <f t="shared" si="24"/>
        <v>-3.2285803587666854E-2</v>
      </c>
      <c r="M233" s="6">
        <f t="shared" si="24"/>
        <v>-5.2205691605959625E-4</v>
      </c>
      <c r="N233" s="6">
        <f t="shared" si="24"/>
        <v>-7.8470804696827295E-3</v>
      </c>
      <c r="O233" s="6">
        <f t="shared" si="21"/>
        <v>0</v>
      </c>
      <c r="P233" s="6"/>
      <c r="Q233" s="6">
        <f t="shared" si="22"/>
        <v>-1.9080559938207172E-2</v>
      </c>
      <c r="R233" s="6">
        <f t="shared" si="23"/>
        <v>-5.2205691605959614E-4</v>
      </c>
      <c r="S233" s="6"/>
      <c r="AA233" s="38"/>
    </row>
    <row r="234" spans="1:27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19"/>
        <v>1.9441757599203413E-4</v>
      </c>
      <c r="J234" s="6">
        <f t="shared" si="24"/>
        <v>5.7973336916425204E-4</v>
      </c>
      <c r="K234" s="6">
        <f t="shared" si="24"/>
        <v>1.5327868988235308E-3</v>
      </c>
      <c r="L234" s="6">
        <f t="shared" si="24"/>
        <v>-9.5291127080258486E-4</v>
      </c>
      <c r="M234" s="6">
        <f t="shared" si="24"/>
        <v>-1.5677557021459298E-3</v>
      </c>
      <c r="N234" s="6">
        <f t="shared" si="24"/>
        <v>-7.1659074070294041E-3</v>
      </c>
      <c r="O234" s="6">
        <f t="shared" si="21"/>
        <v>-1.1689319186543775E-2</v>
      </c>
      <c r="P234" s="6"/>
      <c r="Q234" s="6">
        <f t="shared" si="22"/>
        <v>-8.7738965332764514E-4</v>
      </c>
      <c r="R234" s="6">
        <f t="shared" si="23"/>
        <v>-1.5677557021459296E-3</v>
      </c>
      <c r="S234" s="6"/>
      <c r="AA234" s="38"/>
    </row>
    <row r="235" spans="1:27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19"/>
        <v>1.9479865694971288E-4</v>
      </c>
      <c r="J235" s="6">
        <f t="shared" si="24"/>
        <v>-1.5614861566389346E-3</v>
      </c>
      <c r="K235" s="6">
        <f t="shared" si="24"/>
        <v>-7.9964136377382936E-3</v>
      </c>
      <c r="L235" s="6">
        <f t="shared" si="24"/>
        <v>2.3806134291241197E-3</v>
      </c>
      <c r="M235" s="6">
        <f t="shared" si="24"/>
        <v>-3.0265224779422156E-2</v>
      </c>
      <c r="N235" s="6">
        <f t="shared" si="24"/>
        <v>1.0734189165974961E-2</v>
      </c>
      <c r="O235" s="6">
        <f t="shared" si="21"/>
        <v>1.9581972548826181E-3</v>
      </c>
      <c r="P235" s="6"/>
      <c r="Q235" s="6">
        <f t="shared" si="22"/>
        <v>-9.6986764983629809E-3</v>
      </c>
      <c r="R235" s="6">
        <f t="shared" si="23"/>
        <v>-3.0265224779422152E-2</v>
      </c>
      <c r="S235" s="6"/>
      <c r="AA235" s="38"/>
    </row>
    <row r="236" spans="1:27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19"/>
        <v>1.9594168295089531E-4</v>
      </c>
      <c r="J236" s="6">
        <f t="shared" si="24"/>
        <v>4.6772962161707281E-3</v>
      </c>
      <c r="K236" s="6">
        <f t="shared" si="24"/>
        <v>2.9291935822486634E-3</v>
      </c>
      <c r="L236" s="6">
        <f t="shared" si="24"/>
        <v>2.3776420016967354E-4</v>
      </c>
      <c r="M236" s="6">
        <f t="shared" si="24"/>
        <v>-1.8498896320453713E-2</v>
      </c>
      <c r="N236" s="6">
        <f t="shared" si="24"/>
        <v>-1.5593317997995005E-3</v>
      </c>
      <c r="O236" s="6">
        <f t="shared" si="21"/>
        <v>5.8505823170835261E-3</v>
      </c>
      <c r="P236" s="6"/>
      <c r="Q236" s="6">
        <f t="shared" si="22"/>
        <v>-5.4311457820506301E-3</v>
      </c>
      <c r="R236" s="6">
        <f t="shared" si="23"/>
        <v>-1.8498896320453709E-2</v>
      </c>
      <c r="S236" s="6"/>
      <c r="AA236" s="38"/>
    </row>
    <row r="237" spans="1:27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19"/>
        <v>1.9556071042226009E-4</v>
      </c>
      <c r="J237" s="6">
        <f t="shared" si="24"/>
        <v>-2.9175802186708118E-2</v>
      </c>
      <c r="K237" s="6">
        <f t="shared" si="24"/>
        <v>1.3000091618175304E-2</v>
      </c>
      <c r="L237" s="6">
        <f t="shared" si="24"/>
        <v>-8.307151793191617E-3</v>
      </c>
      <c r="M237" s="6">
        <f t="shared" si="24"/>
        <v>5.0853933718081321E-2</v>
      </c>
      <c r="N237" s="6">
        <f t="shared" si="24"/>
        <v>-2.3421178443889513E-2</v>
      </c>
      <c r="O237" s="6">
        <f t="shared" si="21"/>
        <v>-1.9462085307038084E-3</v>
      </c>
      <c r="P237" s="6"/>
      <c r="Q237" s="6">
        <f t="shared" si="22"/>
        <v>8.3005595282027653E-3</v>
      </c>
      <c r="R237" s="6">
        <f t="shared" si="23"/>
        <v>5.0853933718081314E-2</v>
      </c>
      <c r="S237" s="6"/>
      <c r="AA237" s="38"/>
    </row>
    <row r="238" spans="1:27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19"/>
        <v>1.9174899651042132E-4</v>
      </c>
      <c r="J238" s="6">
        <f t="shared" si="24"/>
        <v>-4.8161042901711899E-3</v>
      </c>
      <c r="K238" s="6">
        <f t="shared" si="24"/>
        <v>3.943013964285107E-3</v>
      </c>
      <c r="L238" s="6">
        <f t="shared" si="24"/>
        <v>3.8346355812063522E-4</v>
      </c>
      <c r="M238" s="6">
        <f t="shared" si="24"/>
        <v>1.564589587366755E-3</v>
      </c>
      <c r="N238" s="6">
        <f t="shared" si="24"/>
        <v>-5.1559504042484414E-3</v>
      </c>
      <c r="O238" s="6">
        <f t="shared" si="21"/>
        <v>-1.9683663551158869E-2</v>
      </c>
      <c r="P238" s="6"/>
      <c r="Q238" s="6">
        <f t="shared" si="22"/>
        <v>-1.8691565858350962E-4</v>
      </c>
      <c r="R238" s="6">
        <f t="shared" si="23"/>
        <v>1.5645895873667548E-3</v>
      </c>
      <c r="S238" s="6"/>
      <c r="AA238" s="38"/>
    </row>
    <row r="239" spans="1:27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19"/>
        <v>1.9022329759033063E-4</v>
      </c>
      <c r="J239" s="6">
        <f t="shared" si="24"/>
        <v>2.1586660116600692E-3</v>
      </c>
      <c r="K239" s="6">
        <f t="shared" si="24"/>
        <v>1.4723868428621712E-2</v>
      </c>
      <c r="L239" s="6">
        <f t="shared" si="24"/>
        <v>1.6963686226937915E-2</v>
      </c>
      <c r="M239" s="6">
        <f t="shared" si="24"/>
        <v>-9.4242056297434203E-3</v>
      </c>
      <c r="N239" s="6">
        <f t="shared" si="24"/>
        <v>1.1029442312488889E-2</v>
      </c>
      <c r="O239" s="6">
        <f t="shared" si="21"/>
        <v>-7.9885743415427004E-3</v>
      </c>
      <c r="P239" s="6"/>
      <c r="Q239" s="6">
        <f t="shared" si="22"/>
        <v>5.0089159927437675E-3</v>
      </c>
      <c r="R239" s="6">
        <f t="shared" si="23"/>
        <v>-9.4242056297434186E-3</v>
      </c>
      <c r="S239" s="6"/>
      <c r="AA239" s="38"/>
    </row>
    <row r="240" spans="1:27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19"/>
        <v>1.8946023076238383E-4</v>
      </c>
      <c r="J240" s="6">
        <f t="shared" si="24"/>
        <v>1.2838228252665619E-3</v>
      </c>
      <c r="K240" s="6">
        <f t="shared" si="24"/>
        <v>-3.2865430207580882E-3</v>
      </c>
      <c r="L240" s="6">
        <f t="shared" si="24"/>
        <v>-6.5707247389028478E-3</v>
      </c>
      <c r="M240" s="6">
        <f t="shared" si="24"/>
        <v>-5.8032344347412621E-3</v>
      </c>
      <c r="N240" s="6">
        <f t="shared" si="24"/>
        <v>8.129903108684501E-4</v>
      </c>
      <c r="O240" s="6">
        <f t="shared" si="21"/>
        <v>-4.0194941224900244E-3</v>
      </c>
      <c r="P240" s="6"/>
      <c r="Q240" s="6">
        <f t="shared" si="22"/>
        <v>-4.8230454237441697E-3</v>
      </c>
      <c r="R240" s="6">
        <f t="shared" si="23"/>
        <v>-5.8032344347412612E-3</v>
      </c>
      <c r="S240" s="6"/>
      <c r="AA240" s="38"/>
    </row>
    <row r="241" spans="1:27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19"/>
        <v>1.8946023076238383E-4</v>
      </c>
      <c r="J241" s="6">
        <f t="shared" si="24"/>
        <v>2.562716177992965E-3</v>
      </c>
      <c r="K241" s="6">
        <f t="shared" si="24"/>
        <v>1.2638603848310002E-2</v>
      </c>
      <c r="L241" s="6">
        <f t="shared" si="24"/>
        <v>2.0374359451747755E-2</v>
      </c>
      <c r="M241" s="6">
        <f t="shared" si="24"/>
        <v>4.2238711161852434E-3</v>
      </c>
      <c r="N241" s="6">
        <f t="shared" si="24"/>
        <v>-4.9724964337360253E-3</v>
      </c>
      <c r="O241" s="6">
        <f t="shared" si="21"/>
        <v>0</v>
      </c>
      <c r="P241" s="6"/>
      <c r="Q241" s="6">
        <f t="shared" si="22"/>
        <v>1.1407438153400395E-2</v>
      </c>
      <c r="R241" s="6">
        <f t="shared" si="23"/>
        <v>4.2238711161852426E-3</v>
      </c>
      <c r="S241" s="6"/>
      <c r="AA241" s="38"/>
    </row>
    <row r="242" spans="1:27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19"/>
        <v>1.8946023076238383E-4</v>
      </c>
      <c r="J242" s="6">
        <f t="shared" si="24"/>
        <v>1.4879566390620118E-2</v>
      </c>
      <c r="K242" s="6">
        <f t="shared" si="24"/>
        <v>-1.3986271941776691E-2</v>
      </c>
      <c r="L242" s="6">
        <f t="shared" si="24"/>
        <v>-1.1168596535331227E-2</v>
      </c>
      <c r="M242" s="6">
        <f t="shared" si="24"/>
        <v>1.4125267552011362E-2</v>
      </c>
      <c r="N242" s="6">
        <f t="shared" si="24"/>
        <v>1.567000529191805E-2</v>
      </c>
      <c r="O242" s="6">
        <f t="shared" si="21"/>
        <v>0</v>
      </c>
      <c r="P242" s="6"/>
      <c r="Q242" s="6">
        <f t="shared" si="22"/>
        <v>2.5264681837728182E-3</v>
      </c>
      <c r="R242" s="6">
        <f t="shared" si="23"/>
        <v>1.4125267552011361E-2</v>
      </c>
      <c r="S242" s="6"/>
      <c r="AA242" s="38"/>
    </row>
    <row r="243" spans="1:27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19"/>
        <v>1.8984178229608517E-4</v>
      </c>
      <c r="J243" s="6">
        <f t="shared" si="24"/>
        <v>-1.6892595276606047E-2</v>
      </c>
      <c r="K243" s="6">
        <f t="shared" si="24"/>
        <v>1.8114838733001931E-2</v>
      </c>
      <c r="L243" s="6">
        <f t="shared" si="24"/>
        <v>-2.300698438939985E-2</v>
      </c>
      <c r="M243" s="6">
        <f t="shared" si="24"/>
        <v>1.1363707289245462E-2</v>
      </c>
      <c r="N243" s="6">
        <f t="shared" si="24"/>
        <v>-1.3788191433053192E-2</v>
      </c>
      <c r="O243" s="6">
        <f t="shared" si="21"/>
        <v>2.0118620479849911E-3</v>
      </c>
      <c r="P243" s="6"/>
      <c r="Q243" s="6">
        <f t="shared" si="22"/>
        <v>-9.9191171797789763E-3</v>
      </c>
      <c r="R243" s="6">
        <f t="shared" si="23"/>
        <v>1.136370728924546E-2</v>
      </c>
      <c r="S243" s="6"/>
      <c r="AA243" s="38"/>
    </row>
    <row r="244" spans="1:27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19"/>
        <v>1.9022329759033063E-4</v>
      </c>
      <c r="J244" s="6">
        <f t="shared" si="24"/>
        <v>6.8458769114516189E-3</v>
      </c>
      <c r="K244" s="6">
        <f t="shared" si="24"/>
        <v>1.9958459712746134E-2</v>
      </c>
      <c r="L244" s="6">
        <f t="shared" si="24"/>
        <v>-4.3337697237488322E-2</v>
      </c>
      <c r="M244" s="6">
        <f t="shared" si="24"/>
        <v>-5.1492389779095047E-3</v>
      </c>
      <c r="N244" s="6">
        <f t="shared" si="24"/>
        <v>-1.8552885294602865E-2</v>
      </c>
      <c r="O244" s="6">
        <f t="shared" si="21"/>
        <v>2.0076320745050212E-3</v>
      </c>
      <c r="P244" s="6"/>
      <c r="Q244" s="6">
        <f t="shared" si="22"/>
        <v>-2.061377543672066E-2</v>
      </c>
      <c r="R244" s="6">
        <f t="shared" si="23"/>
        <v>-5.1492389779095038E-3</v>
      </c>
      <c r="S244" s="6"/>
      <c r="AA244" s="38"/>
    </row>
    <row r="245" spans="1:27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19"/>
        <v>1.9060477665200359E-4</v>
      </c>
      <c r="J245" s="6">
        <f t="shared" si="24"/>
        <v>-4.936563304839342E-2</v>
      </c>
      <c r="K245" s="6">
        <f t="shared" si="24"/>
        <v>-1.7900558015048668E-2</v>
      </c>
      <c r="L245" s="6">
        <f t="shared" si="24"/>
        <v>-2.1521514209848672E-2</v>
      </c>
      <c r="M245" s="6">
        <f t="shared" si="24"/>
        <v>-2.4034646374763047E-2</v>
      </c>
      <c r="N245" s="6">
        <f t="shared" si="24"/>
        <v>-3.0427045496882188E-2</v>
      </c>
      <c r="O245" s="6">
        <f t="shared" si="21"/>
        <v>2.0034194696742034E-3</v>
      </c>
      <c r="P245" s="6"/>
      <c r="Q245" s="6">
        <f t="shared" si="22"/>
        <v>-2.7644895728941014E-2</v>
      </c>
      <c r="R245" s="6">
        <f t="shared" si="23"/>
        <v>-2.4034646374763043E-2</v>
      </c>
      <c r="S245" s="6"/>
      <c r="AA245" s="38"/>
    </row>
    <row r="246" spans="1:27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19"/>
        <v>1.8946023076238383E-4</v>
      </c>
      <c r="J246" s="6">
        <f t="shared" si="24"/>
        <v>-9.7960810695936606E-3</v>
      </c>
      <c r="K246" s="6">
        <f t="shared" si="24"/>
        <v>-7.3441060418495512E-4</v>
      </c>
      <c r="L246" s="6">
        <f t="shared" si="24"/>
        <v>2.7529327489063685E-2</v>
      </c>
      <c r="M246" s="6">
        <f t="shared" si="24"/>
        <v>1.4698479459715275E-2</v>
      </c>
      <c r="N246" s="6">
        <f t="shared" si="24"/>
        <v>1.0300905557719547E-2</v>
      </c>
      <c r="O246" s="6">
        <f t="shared" si="21"/>
        <v>-6.0229135921643839E-3</v>
      </c>
      <c r="P246" s="6"/>
      <c r="Q246" s="6">
        <f t="shared" si="22"/>
        <v>1.6035292564615305E-2</v>
      </c>
      <c r="R246" s="6">
        <f t="shared" si="23"/>
        <v>1.4698479459715273E-2</v>
      </c>
      <c r="S246" s="6"/>
      <c r="AA246" s="38"/>
    </row>
    <row r="247" spans="1:27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19"/>
        <v>1.8831535865504456E-4</v>
      </c>
      <c r="J247" s="6">
        <f t="shared" si="24"/>
        <v>1.2420806909965328E-2</v>
      </c>
      <c r="K247" s="6">
        <f t="shared" si="24"/>
        <v>6.0068453122636119E-3</v>
      </c>
      <c r="L247" s="6">
        <f t="shared" si="24"/>
        <v>2.9943605302915484E-4</v>
      </c>
      <c r="M247" s="6">
        <f t="shared" si="24"/>
        <v>3.1216986037119246E-3</v>
      </c>
      <c r="N247" s="6">
        <f t="shared" si="24"/>
        <v>-7.7647563892511828E-3</v>
      </c>
      <c r="O247" s="6">
        <f t="shared" si="21"/>
        <v>-6.0611412932984471E-3</v>
      </c>
      <c r="P247" s="6"/>
      <c r="Q247" s="6">
        <f t="shared" si="22"/>
        <v>3.5652314630298726E-3</v>
      </c>
      <c r="R247" s="6">
        <f t="shared" si="23"/>
        <v>3.1216986037119242E-3</v>
      </c>
      <c r="S247" s="6"/>
      <c r="AA247" s="38"/>
    </row>
    <row r="248" spans="1:27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19"/>
        <v>1.8869701894863589E-4</v>
      </c>
      <c r="J248" s="6">
        <f t="shared" si="24"/>
        <v>1.6496471649674511E-2</v>
      </c>
      <c r="K248" s="6">
        <f t="shared" si="24"/>
        <v>3.9362102876051566E-3</v>
      </c>
      <c r="L248" s="6">
        <f t="shared" si="24"/>
        <v>1.8098719175530638E-2</v>
      </c>
      <c r="M248" s="6">
        <f t="shared" si="24"/>
        <v>7.7620053354891094E-3</v>
      </c>
      <c r="N248" s="6">
        <f t="shared" si="24"/>
        <v>2.2781128575607587E-2</v>
      </c>
      <c r="O248" s="6">
        <f t="shared" si="21"/>
        <v>2.0246572613530339E-3</v>
      </c>
      <c r="P248" s="6"/>
      <c r="Q248" s="6">
        <f t="shared" si="22"/>
        <v>1.4207264833236404E-2</v>
      </c>
      <c r="R248" s="6">
        <f t="shared" si="23"/>
        <v>7.7620053354891085E-3</v>
      </c>
      <c r="S248" s="6"/>
      <c r="AA248" s="38"/>
    </row>
    <row r="249" spans="1:27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19"/>
        <v>1.8717016014413446E-4</v>
      </c>
      <c r="J249" s="6">
        <f t="shared" si="24"/>
        <v>1.3642429865120695E-2</v>
      </c>
      <c r="K249" s="6">
        <f t="shared" si="24"/>
        <v>-7.2779275329949461E-4</v>
      </c>
      <c r="L249" s="6">
        <f t="shared" si="24"/>
        <v>8.4907795310884548E-3</v>
      </c>
      <c r="M249" s="6">
        <f t="shared" si="24"/>
        <v>4.6284474501869788E-3</v>
      </c>
      <c r="N249" s="6">
        <f t="shared" si="24"/>
        <v>4.660780212150723E-3</v>
      </c>
      <c r="O249" s="6">
        <f t="shared" si="21"/>
        <v>-8.1245040168903531E-3</v>
      </c>
      <c r="P249" s="6"/>
      <c r="Q249" s="6">
        <f t="shared" si="22"/>
        <v>8.1211035641951188E-3</v>
      </c>
      <c r="R249" s="6">
        <f t="shared" si="23"/>
        <v>4.6284474501869779E-3</v>
      </c>
      <c r="S249" s="6"/>
      <c r="AA249" s="38"/>
    </row>
    <row r="250" spans="1:27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19"/>
        <v>1.8717016014413446E-4</v>
      </c>
      <c r="J250" s="6">
        <f t="shared" si="24"/>
        <v>7.1046339891622338E-3</v>
      </c>
      <c r="K250" s="6">
        <f t="shared" si="24"/>
        <v>-7.4534799929999399E-3</v>
      </c>
      <c r="L250" s="6">
        <f t="shared" si="24"/>
        <v>1.8932455242062468E-3</v>
      </c>
      <c r="M250" s="6">
        <f t="shared" si="24"/>
        <v>-3.0832501301206196E-3</v>
      </c>
      <c r="N250" s="6">
        <f t="shared" si="24"/>
        <v>4.3036707511422095E-5</v>
      </c>
      <c r="O250" s="6">
        <f t="shared" si="21"/>
        <v>0</v>
      </c>
      <c r="P250" s="6"/>
      <c r="Q250" s="6">
        <f t="shared" si="22"/>
        <v>1.147953756630073E-3</v>
      </c>
      <c r="R250" s="6">
        <f t="shared" si="23"/>
        <v>-3.0832501301206192E-3</v>
      </c>
      <c r="S250" s="6"/>
      <c r="AA250" s="38"/>
    </row>
    <row r="251" spans="1:27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19"/>
        <v>1.8678835474061906E-4</v>
      </c>
      <c r="J251" s="6">
        <f t="shared" si="24"/>
        <v>1.7046925905757491E-2</v>
      </c>
      <c r="K251" s="6">
        <f t="shared" si="24"/>
        <v>4.2450624586943594E-3</v>
      </c>
      <c r="L251" s="6">
        <f t="shared" si="24"/>
        <v>8.4515026665683331E-3</v>
      </c>
      <c r="M251" s="6">
        <f t="shared" si="24"/>
        <v>4.6213175955976916E-3</v>
      </c>
      <c r="N251" s="6">
        <f t="shared" si="24"/>
        <v>1.6707226654933075E-2</v>
      </c>
      <c r="O251" s="6">
        <f t="shared" si="21"/>
        <v>-2.0419673358617789E-3</v>
      </c>
      <c r="P251" s="6"/>
      <c r="Q251" s="6">
        <f t="shared" si="22"/>
        <v>8.7424012801683264E-3</v>
      </c>
      <c r="R251" s="6">
        <f t="shared" si="23"/>
        <v>4.6213175955976907E-3</v>
      </c>
      <c r="S251" s="6"/>
      <c r="AA251" s="38"/>
    </row>
    <row r="252" spans="1:27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19"/>
        <v>1.8487878316397754E-4</v>
      </c>
      <c r="J252" s="6">
        <f t="shared" si="24"/>
        <v>2.0316357014954671E-3</v>
      </c>
      <c r="K252" s="6">
        <f t="shared" si="24"/>
        <v>1.751357702825767E-3</v>
      </c>
      <c r="L252" s="6">
        <f t="shared" si="24"/>
        <v>1.1000172910606301E-2</v>
      </c>
      <c r="M252" s="6">
        <f t="shared" si="24"/>
        <v>5.6193763609869146E-3</v>
      </c>
      <c r="N252" s="6">
        <f t="shared" si="24"/>
        <v>3.816476067632372E-3</v>
      </c>
      <c r="O252" s="6">
        <f t="shared" si="21"/>
        <v>-1.0275798879295729E-2</v>
      </c>
      <c r="P252" s="6"/>
      <c r="Q252" s="6">
        <f t="shared" si="22"/>
        <v>7.4405027205732728E-3</v>
      </c>
      <c r="R252" s="6">
        <f t="shared" si="23"/>
        <v>5.6193763609869137E-3</v>
      </c>
      <c r="S252" s="6"/>
      <c r="AA252" s="38"/>
    </row>
    <row r="253" spans="1:27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19"/>
        <v>1.8067452749437329E-4</v>
      </c>
      <c r="J253" s="6">
        <f t="shared" si="24"/>
        <v>1.3439858184173351E-2</v>
      </c>
      <c r="K253" s="6">
        <f t="shared" si="24"/>
        <v>1.0201851494693278E-3</v>
      </c>
      <c r="L253" s="6">
        <f t="shared" si="24"/>
        <v>6.2116322685317679E-3</v>
      </c>
      <c r="M253" s="6">
        <f t="shared" si="24"/>
        <v>-2.7894319608277238E-2</v>
      </c>
      <c r="N253" s="6">
        <f t="shared" si="24"/>
        <v>1.6004444012785939E-2</v>
      </c>
      <c r="O253" s="6">
        <f t="shared" si="21"/>
        <v>-2.3003162241745385E-2</v>
      </c>
      <c r="P253" s="6"/>
      <c r="Q253" s="6">
        <f t="shared" si="22"/>
        <v>-4.2682140039660829E-3</v>
      </c>
      <c r="R253" s="6">
        <f t="shared" si="23"/>
        <v>-2.7894319608277235E-2</v>
      </c>
      <c r="S253" s="6"/>
      <c r="AA253" s="38"/>
    </row>
    <row r="254" spans="1:27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19"/>
        <v>1.69569441239803E-4</v>
      </c>
      <c r="J254" s="6">
        <f t="shared" si="24"/>
        <v>5.9010397660438866E-3</v>
      </c>
      <c r="K254" s="6">
        <f t="shared" si="24"/>
        <v>7.6906421617582866E-3</v>
      </c>
      <c r="L254" s="6">
        <f t="shared" si="24"/>
        <v>1.1374431605290789E-2</v>
      </c>
      <c r="M254" s="6">
        <f t="shared" si="24"/>
        <v>1.3010852287492039E-2</v>
      </c>
      <c r="N254" s="6">
        <f t="shared" si="24"/>
        <v>0</v>
      </c>
      <c r="O254" s="6">
        <f t="shared" si="21"/>
        <v>-6.3434696187352618E-2</v>
      </c>
      <c r="P254" s="6"/>
      <c r="Q254" s="6">
        <f t="shared" si="22"/>
        <v>1.0910511863187641E-2</v>
      </c>
      <c r="R254" s="6">
        <f t="shared" si="23"/>
        <v>1.3010852287492037E-2</v>
      </c>
      <c r="S254" s="6"/>
      <c r="AA254" s="38"/>
    </row>
    <row r="255" spans="1:27" x14ac:dyDescent="0.2">
      <c r="AA255" s="38"/>
    </row>
    <row r="256" spans="1:27" x14ac:dyDescent="0.2">
      <c r="AA256" s="38"/>
    </row>
    <row r="257" spans="27:27" x14ac:dyDescent="0.2">
      <c r="AA257" s="38"/>
    </row>
    <row r="258" spans="27:27" x14ac:dyDescent="0.2">
      <c r="AA258" s="38"/>
    </row>
    <row r="259" spans="27:27" x14ac:dyDescent="0.2">
      <c r="AA259" s="38"/>
    </row>
    <row r="260" spans="27:27" x14ac:dyDescent="0.2">
      <c r="AA260" s="38"/>
    </row>
    <row r="261" spans="27:27" x14ac:dyDescent="0.2">
      <c r="AA261" s="38"/>
    </row>
    <row r="262" spans="27:27" x14ac:dyDescent="0.2">
      <c r="AA262" s="38"/>
    </row>
    <row r="263" spans="27:27" x14ac:dyDescent="0.2">
      <c r="AA263" s="38"/>
    </row>
    <row r="264" spans="27:27" x14ac:dyDescent="0.2">
      <c r="AA264" s="38"/>
    </row>
  </sheetData>
  <mergeCells count="5">
    <mergeCell ref="T25:U25"/>
    <mergeCell ref="T30:U30"/>
    <mergeCell ref="J1:O1"/>
    <mergeCell ref="Q1:Q2"/>
    <mergeCell ref="R1: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5B5A-2A62-B84F-81D0-16A99E81CF6B}">
  <dimension ref="A1:AD264"/>
  <sheetViews>
    <sheetView showGridLines="0" topLeftCell="K1" zoomScale="130" zoomScaleNormal="130" workbookViewId="0">
      <selection activeCell="S43" sqref="S43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6" max="16" width="2.5" style="3" customWidth="1"/>
    <col min="21" max="21" width="2.5" style="3" customWidth="1"/>
    <col min="22" max="22" width="23.33203125" style="3" customWidth="1"/>
    <col min="23" max="23" width="12.83203125" style="3" bestFit="1" customWidth="1"/>
    <col min="24" max="24" width="11.33203125" style="3"/>
    <col min="25" max="25" width="11.6640625" style="3" bestFit="1" customWidth="1"/>
    <col min="26" max="26" width="13.6640625" style="3" bestFit="1" customWidth="1"/>
    <col min="27" max="27" width="11.33203125" style="3"/>
    <col min="28" max="28" width="13.6640625" style="3" bestFit="1" customWidth="1"/>
    <col min="29" max="29" width="16.5" bestFit="1" customWidth="1"/>
    <col min="30" max="30" width="8" style="20" bestFit="1" customWidth="1"/>
    <col min="31" max="16384" width="11.33203125" style="3"/>
  </cols>
  <sheetData>
    <row r="1" spans="1:30" ht="17" customHeight="1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90" t="s">
        <v>72</v>
      </c>
      <c r="K1" s="90"/>
      <c r="L1" s="90"/>
      <c r="M1" s="90"/>
      <c r="N1" s="90"/>
      <c r="O1" s="90"/>
      <c r="P1" s="6"/>
      <c r="Q1" s="91" t="s">
        <v>60</v>
      </c>
      <c r="R1" s="91" t="s">
        <v>70</v>
      </c>
      <c r="S1" s="93" t="s">
        <v>71</v>
      </c>
      <c r="T1" s="93"/>
      <c r="U1" s="56"/>
      <c r="V1" s="3" t="s">
        <v>35</v>
      </c>
      <c r="X1" s="3" t="s">
        <v>43</v>
      </c>
      <c r="AC1" s="38"/>
      <c r="AD1" s="38"/>
    </row>
    <row r="2" spans="1:30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57" t="s">
        <v>1</v>
      </c>
      <c r="K2" s="57" t="s">
        <v>2</v>
      </c>
      <c r="L2" s="57" t="s">
        <v>3</v>
      </c>
      <c r="M2" s="57" t="s">
        <v>4</v>
      </c>
      <c r="N2" s="58" t="s">
        <v>15</v>
      </c>
      <c r="O2" s="48" t="s">
        <v>34</v>
      </c>
      <c r="P2" s="6"/>
      <c r="Q2" s="92"/>
      <c r="R2" s="92"/>
      <c r="S2" s="64" t="s">
        <v>5</v>
      </c>
      <c r="T2" s="64" t="s">
        <v>52</v>
      </c>
      <c r="U2" s="56"/>
      <c r="V2" s="3" t="s">
        <v>36</v>
      </c>
      <c r="X2" s="3" t="s">
        <v>51</v>
      </c>
      <c r="AC2" s="38"/>
    </row>
    <row r="3" spans="1:30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>+LN(H3/H2)</f>
        <v>-1.8162558630952245E-3</v>
      </c>
      <c r="P3" s="6"/>
      <c r="Q3" s="6">
        <f>+SUMPRODUCT($W$16:$Z$16,J3:M3)</f>
        <v>-9.8350837056143635E-3</v>
      </c>
      <c r="R3" s="6">
        <f>+SUMPRODUCT($W$17:$Z$17,J3:M3)</f>
        <v>-6.4035322871765967E-3</v>
      </c>
      <c r="S3" s="6">
        <f>+SUMPRODUCT($W$18:$Z$18,J3:M3)</f>
        <v>-9.3907464529960002E-3</v>
      </c>
      <c r="T3" s="6">
        <f>+MIN(S3-AVERAGE($S$3:$S$254),0)^2</f>
        <v>1.1657349485168579E-4</v>
      </c>
      <c r="U3" s="6"/>
      <c r="AC3" s="38"/>
    </row>
    <row r="4" spans="1:30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ref="H4:H67" si="0">+(1+G4)^(1/250)-1</f>
        <v>2.0849354880780879E-4</v>
      </c>
      <c r="J4" s="6">
        <f t="shared" ref="J4:N35" si="1">LN(B4/B3)</f>
        <v>2.8121205565770678E-3</v>
      </c>
      <c r="K4" s="6">
        <f t="shared" si="1"/>
        <v>5.5939921723177225E-3</v>
      </c>
      <c r="L4" s="6">
        <f t="shared" si="1"/>
        <v>2.2848847647558819E-3</v>
      </c>
      <c r="M4" s="6">
        <f t="shared" si="1"/>
        <v>2.8511962146941443E-3</v>
      </c>
      <c r="N4" s="6">
        <f t="shared" si="1"/>
        <v>-1.4874022775515319E-4</v>
      </c>
      <c r="O4" s="6">
        <f t="shared" ref="O4:O67" si="2">+LN(H4/H3)</f>
        <v>-1.8197328262530177E-3</v>
      </c>
      <c r="P4" s="6"/>
      <c r="Q4" s="6">
        <f t="shared" ref="Q4:Q67" si="3">+SUMPRODUCT($W$16:$Z$16,J4:M4)</f>
        <v>2.5809540020426194E-3</v>
      </c>
      <c r="R4" s="6">
        <f t="shared" ref="R4:R67" si="4">+SUMPRODUCT($W$17:$Z$17,J4:M4)</f>
        <v>2.8511962146941443E-3</v>
      </c>
      <c r="S4" s="6">
        <f t="shared" ref="S4:S67" si="5">+SUMPRODUCT($W$18:$Z$18,J4:M4)</f>
        <v>2.6617128520546257E-3</v>
      </c>
      <c r="T4" s="6">
        <f t="shared" ref="T4:T67" si="6">+MIN(S4-AVERAGE($S$3:$S$254),0)^2</f>
        <v>0</v>
      </c>
      <c r="U4" s="6"/>
      <c r="V4" s="7" t="s">
        <v>6</v>
      </c>
      <c r="W4" s="50" t="s">
        <v>1</v>
      </c>
      <c r="X4" s="50" t="s">
        <v>2</v>
      </c>
      <c r="Y4" s="50" t="s">
        <v>3</v>
      </c>
      <c r="Z4" s="50" t="s">
        <v>4</v>
      </c>
      <c r="AA4" s="50" t="s">
        <v>15</v>
      </c>
      <c r="AC4" s="38"/>
    </row>
    <row r="5" spans="1:30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0"/>
        <v>2.0925300885044074E-4</v>
      </c>
      <c r="J5" s="6">
        <f t="shared" si="1"/>
        <v>7.7070400094383651E-3</v>
      </c>
      <c r="K5" s="6">
        <f t="shared" si="1"/>
        <v>-8.568180711971048E-3</v>
      </c>
      <c r="L5" s="6">
        <f t="shared" si="1"/>
        <v>3.4177360836862881E-3</v>
      </c>
      <c r="M5" s="6">
        <f t="shared" si="1"/>
        <v>3.5523360724823969E-3</v>
      </c>
      <c r="N5" s="6">
        <f t="shared" si="1"/>
        <v>6.8556214812669266E-3</v>
      </c>
      <c r="O5" s="6">
        <f t="shared" si="2"/>
        <v>3.635988689348241E-3</v>
      </c>
      <c r="P5" s="6"/>
      <c r="Q5" s="6">
        <f>+SUMPRODUCT($W$16:$Z$16,J5:M5)</f>
        <v>4.273332930691558E-3</v>
      </c>
      <c r="R5" s="6">
        <f t="shared" si="4"/>
        <v>3.5523360724823969E-3</v>
      </c>
      <c r="S5" s="6">
        <f t="shared" si="5"/>
        <v>4.3258538423877058E-3</v>
      </c>
      <c r="T5" s="6">
        <f t="shared" si="6"/>
        <v>0</v>
      </c>
      <c r="U5" s="6"/>
      <c r="V5" s="55" t="s">
        <v>21</v>
      </c>
      <c r="W5" s="8">
        <f>AVERAGE(J3:J254)</f>
        <v>1.0005667965467292E-3</v>
      </c>
      <c r="X5" s="8">
        <f>AVERAGE(K3:K254)</f>
        <v>6.5844828632144513E-4</v>
      </c>
      <c r="Y5" s="8">
        <f>AVERAGE(L3:L254)</f>
        <v>1.5030786305094985E-3</v>
      </c>
      <c r="Z5" s="8">
        <f>AVERAGE(M3:M254)</f>
        <v>1.5168662454873357E-3</v>
      </c>
      <c r="AA5" s="8">
        <f>AVERAGE(N3:N254)</f>
        <v>9.1264845799794573E-4</v>
      </c>
    </row>
    <row r="6" spans="1:30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0"/>
        <v>2.1001232533235381E-4</v>
      </c>
      <c r="J6" s="6">
        <f t="shared" si="1"/>
        <v>7.8738144273404372E-3</v>
      </c>
      <c r="K6" s="6">
        <f t="shared" si="1"/>
        <v>-6.141625470814838E-3</v>
      </c>
      <c r="L6" s="6">
        <f t="shared" si="1"/>
        <v>-2.0956622133486116E-2</v>
      </c>
      <c r="M6" s="6">
        <f t="shared" si="1"/>
        <v>1.1283650762276005E-2</v>
      </c>
      <c r="N6" s="6">
        <f t="shared" si="1"/>
        <v>-2.7812820922299762E-3</v>
      </c>
      <c r="O6" s="6">
        <f t="shared" si="2"/>
        <v>3.6221325742041705E-3</v>
      </c>
      <c r="P6" s="6"/>
      <c r="Q6" s="6">
        <f t="shared" si="3"/>
        <v>-4.3248246938818449E-3</v>
      </c>
      <c r="R6" s="6">
        <f t="shared" si="4"/>
        <v>1.1283650762276005E-2</v>
      </c>
      <c r="S6" s="6">
        <f t="shared" si="5"/>
        <v>-7.4151477011548048E-5</v>
      </c>
      <c r="T6" s="6">
        <f t="shared" si="6"/>
        <v>2.1913640091909425E-6</v>
      </c>
      <c r="U6" s="6"/>
      <c r="V6" s="55" t="s">
        <v>39</v>
      </c>
      <c r="W6" s="8">
        <f>STDEV(J3:J254)</f>
        <v>1.4317007168692672E-2</v>
      </c>
      <c r="X6" s="8">
        <f>STDEV(K3:K254)</f>
        <v>8.4145554622722402E-3</v>
      </c>
      <c r="Y6" s="8">
        <f>STDEV(L3:L254)</f>
        <v>1.1640822805611175E-2</v>
      </c>
      <c r="Z6" s="8">
        <f>STDEV(M3:M254)</f>
        <v>1.3397541042164431E-2</v>
      </c>
      <c r="AA6" s="8">
        <f>STDEV(N3:N254)</f>
        <v>7.8758266281572179E-3</v>
      </c>
      <c r="AC6" s="38"/>
    </row>
    <row r="7" spans="1:30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0"/>
        <v>2.0849354880780879E-4</v>
      </c>
      <c r="J7" s="6">
        <f t="shared" si="1"/>
        <v>2.1711540417555734E-2</v>
      </c>
      <c r="K7" s="6">
        <f t="shared" si="1"/>
        <v>3.4904214645253497E-3</v>
      </c>
      <c r="L7" s="6">
        <f t="shared" si="1"/>
        <v>6.740365503857486E-3</v>
      </c>
      <c r="M7" s="6">
        <f t="shared" si="1"/>
        <v>-7.0373473579131004E-3</v>
      </c>
      <c r="N7" s="6">
        <f t="shared" si="1"/>
        <v>1.0984339030271489E-2</v>
      </c>
      <c r="O7" s="6">
        <f t="shared" si="2"/>
        <v>-7.2581212635524379E-3</v>
      </c>
      <c r="P7" s="6"/>
      <c r="Q7" s="6">
        <f t="shared" si="3"/>
        <v>4.7794071065958878E-3</v>
      </c>
      <c r="R7" s="6">
        <f t="shared" si="4"/>
        <v>-7.0373473579131004E-3</v>
      </c>
      <c r="S7" s="6">
        <f t="shared" si="5"/>
        <v>3.3466173131593852E-3</v>
      </c>
      <c r="T7" s="6">
        <f t="shared" si="6"/>
        <v>0</v>
      </c>
      <c r="U7" s="6"/>
      <c r="AC7" s="38"/>
    </row>
    <row r="8" spans="1:30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0"/>
        <v>2.1001232533235381E-4</v>
      </c>
      <c r="J8" s="6">
        <f t="shared" si="1"/>
        <v>-2.6519108676923038E-2</v>
      </c>
      <c r="K8" s="6">
        <f t="shared" si="1"/>
        <v>-2.6582344086022547E-3</v>
      </c>
      <c r="L8" s="6">
        <f t="shared" si="1"/>
        <v>-9.5044774711671462E-4</v>
      </c>
      <c r="M8" s="6">
        <f t="shared" si="1"/>
        <v>-7.0654176800563693E-4</v>
      </c>
      <c r="N8" s="6">
        <f t="shared" si="1"/>
        <v>-1.3549420207499292E-2</v>
      </c>
      <c r="O8" s="6">
        <f t="shared" si="2"/>
        <v>7.2581212635524119E-3</v>
      </c>
      <c r="P8" s="6"/>
      <c r="Q8" s="6">
        <f t="shared" si="3"/>
        <v>-5.6873822385500863E-3</v>
      </c>
      <c r="R8" s="6">
        <f t="shared" si="4"/>
        <v>-7.0654176800563693E-4</v>
      </c>
      <c r="S8" s="6">
        <f t="shared" si="5"/>
        <v>-6.0157006774258564E-3</v>
      </c>
      <c r="T8" s="6">
        <f t="shared" si="6"/>
        <v>5.5084226190642242E-5</v>
      </c>
      <c r="U8" s="6"/>
      <c r="V8" s="7" t="s">
        <v>7</v>
      </c>
      <c r="W8" s="50" t="s">
        <v>1</v>
      </c>
      <c r="X8" s="50" t="s">
        <v>2</v>
      </c>
      <c r="Y8" s="50" t="s">
        <v>3</v>
      </c>
      <c r="Z8" s="50" t="s">
        <v>4</v>
      </c>
      <c r="AA8" s="50" t="s">
        <v>15</v>
      </c>
      <c r="AC8" s="38"/>
    </row>
    <row r="9" spans="1:30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0"/>
        <v>2.1190998881470691E-4</v>
      </c>
      <c r="J9" s="6">
        <f t="shared" si="1"/>
        <v>1.2564052740774025E-2</v>
      </c>
      <c r="K9" s="6">
        <f t="shared" si="1"/>
        <v>4.6472362667604817E-3</v>
      </c>
      <c r="L9" s="6">
        <f t="shared" si="1"/>
        <v>-1.2233201758554283E-3</v>
      </c>
      <c r="M9" s="6">
        <f t="shared" si="1"/>
        <v>-2.830866787178094E-3</v>
      </c>
      <c r="N9" s="6">
        <f t="shared" si="1"/>
        <v>6.6955233154781116E-3</v>
      </c>
      <c r="O9" s="6">
        <f t="shared" si="2"/>
        <v>8.9953823952637728E-3</v>
      </c>
      <c r="P9" s="6"/>
      <c r="Q9" s="6">
        <f t="shared" si="3"/>
        <v>8.1844057171207496E-4</v>
      </c>
      <c r="R9" s="6">
        <f t="shared" si="4"/>
        <v>-2.830866787178094E-3</v>
      </c>
      <c r="S9" s="6">
        <f t="shared" si="5"/>
        <v>8.298663468141313E-4</v>
      </c>
      <c r="T9" s="6">
        <f t="shared" si="6"/>
        <v>3.3213070238990843E-7</v>
      </c>
      <c r="U9" s="6"/>
      <c r="V9" s="55" t="s">
        <v>21</v>
      </c>
      <c r="W9" s="8">
        <f>((1+W5)^250)-1</f>
        <v>0.28404678408841222</v>
      </c>
      <c r="X9" s="8">
        <f>((1+X5)^250)-1</f>
        <v>0.17887182553898695</v>
      </c>
      <c r="Y9" s="8">
        <f>((1+Y5)^250)-1</f>
        <v>0.45570094625533186</v>
      </c>
      <c r="Z9" s="8">
        <f>((1+Z5)^250)-1</f>
        <v>0.46071967373147737</v>
      </c>
      <c r="AA9" s="8">
        <f>((1+AA5)^250)-1</f>
        <v>0.25615825825352467</v>
      </c>
      <c r="AC9" s="54"/>
    </row>
    <row r="10" spans="1:30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0"/>
        <v>2.1190998881470691E-4</v>
      </c>
      <c r="J10" s="6">
        <f t="shared" si="1"/>
        <v>8.8072127836774459E-3</v>
      </c>
      <c r="K10" s="6">
        <f t="shared" si="1"/>
        <v>2.811071519673288E-3</v>
      </c>
      <c r="L10" s="6">
        <f t="shared" si="1"/>
        <v>3.4622835952314748E-3</v>
      </c>
      <c r="M10" s="6">
        <f t="shared" si="1"/>
        <v>7.0621975605345338E-3</v>
      </c>
      <c r="N10" s="6">
        <f t="shared" si="1"/>
        <v>6.2450565111568821E-3</v>
      </c>
      <c r="O10" s="6">
        <f t="shared" si="2"/>
        <v>0</v>
      </c>
      <c r="P10" s="6"/>
      <c r="Q10" s="6">
        <f t="shared" si="3"/>
        <v>5.7202376124573387E-3</v>
      </c>
      <c r="R10" s="6">
        <f t="shared" si="4"/>
        <v>7.0621975605345338E-3</v>
      </c>
      <c r="S10" s="6">
        <f t="shared" si="5"/>
        <v>6.2199032924928708E-3</v>
      </c>
      <c r="T10" s="6">
        <f t="shared" si="6"/>
        <v>0</v>
      </c>
      <c r="U10" s="6"/>
      <c r="V10" s="55" t="s">
        <v>39</v>
      </c>
      <c r="W10" s="8">
        <f>W6*SQRT(250)</f>
        <v>0.22637175965013689</v>
      </c>
      <c r="X10" s="8">
        <f>X6*SQRT(250)</f>
        <v>0.13304580379295658</v>
      </c>
      <c r="Y10" s="8">
        <f>Y6*SQRT(250)</f>
        <v>0.18405756952081409</v>
      </c>
      <c r="Z10" s="8">
        <f>Z6*SQRT(250)</f>
        <v>0.21183372369412781</v>
      </c>
      <c r="AA10" s="8">
        <f>AA6*SQRT(250)</f>
        <v>0.12452775300790411</v>
      </c>
      <c r="AC10" s="38"/>
    </row>
    <row r="11" spans="1:30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0"/>
        <v>2.0925300885044074E-4</v>
      </c>
      <c r="J11" s="6">
        <f t="shared" si="1"/>
        <v>2.1575762719950167E-2</v>
      </c>
      <c r="K11" s="6">
        <f t="shared" si="1"/>
        <v>-9.9121473034572902E-4</v>
      </c>
      <c r="L11" s="6">
        <f t="shared" si="1"/>
        <v>8.0993210507113115E-3</v>
      </c>
      <c r="M11" s="6">
        <f t="shared" si="1"/>
        <v>3.8652123786868747E-2</v>
      </c>
      <c r="N11" s="6">
        <f t="shared" si="1"/>
        <v>1.4404107984150809E-2</v>
      </c>
      <c r="O11" s="6">
        <f t="shared" si="2"/>
        <v>-1.2617514969468103E-2</v>
      </c>
      <c r="P11" s="6"/>
      <c r="Q11" s="6">
        <f t="shared" si="3"/>
        <v>2.1249772828098801E-2</v>
      </c>
      <c r="R11" s="6">
        <f t="shared" si="4"/>
        <v>3.8652123786868747E-2</v>
      </c>
      <c r="S11" s="6">
        <f t="shared" si="5"/>
        <v>2.5042236563552426E-2</v>
      </c>
      <c r="T11" s="6">
        <f t="shared" si="6"/>
        <v>0</v>
      </c>
      <c r="U11" s="6"/>
      <c r="AC11" s="38"/>
    </row>
    <row r="12" spans="1:30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0"/>
        <v>2.1001232533235381E-4</v>
      </c>
      <c r="J12" s="6">
        <f t="shared" si="1"/>
        <v>1.899078242547661E-2</v>
      </c>
      <c r="K12" s="6">
        <f t="shared" si="1"/>
        <v>-4.9597604879833524E-4</v>
      </c>
      <c r="L12" s="6">
        <f t="shared" si="1"/>
        <v>-4.0415125667635282E-3</v>
      </c>
      <c r="M12" s="6">
        <f t="shared" si="1"/>
        <v>-2.7118017809940271E-3</v>
      </c>
      <c r="N12" s="6">
        <f t="shared" si="1"/>
        <v>3.8258021699069606E-3</v>
      </c>
      <c r="O12" s="6">
        <f t="shared" si="2"/>
        <v>3.6221325742041705E-3</v>
      </c>
      <c r="P12" s="6"/>
      <c r="Q12" s="6">
        <f t="shared" si="3"/>
        <v>7.6354593416647749E-4</v>
      </c>
      <c r="R12" s="6">
        <f t="shared" si="4"/>
        <v>-2.7118017809940271E-3</v>
      </c>
      <c r="S12" s="6">
        <f t="shared" si="5"/>
        <v>1.2468609920760624E-3</v>
      </c>
      <c r="T12" s="6">
        <f t="shared" si="6"/>
        <v>2.5380687367788085E-8</v>
      </c>
      <c r="U12" s="6"/>
      <c r="V12" s="3" t="s">
        <v>38</v>
      </c>
      <c r="W12" s="9">
        <f>+AVERAGE($G$2:$G$254)</f>
        <v>5.1073122529644292E-2</v>
      </c>
      <c r="X12" s="9"/>
      <c r="Y12" s="9"/>
      <c r="Z12" s="9"/>
      <c r="AA12" s="9"/>
      <c r="AC12" s="38"/>
    </row>
    <row r="13" spans="1:30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0"/>
        <v>2.0925300885044074E-4</v>
      </c>
      <c r="J13" s="6">
        <f t="shared" si="1"/>
        <v>1.1717517176788328E-3</v>
      </c>
      <c r="K13" s="6">
        <f t="shared" si="1"/>
        <v>-1.0640119950070189E-2</v>
      </c>
      <c r="L13" s="6">
        <f t="shared" si="1"/>
        <v>-1.2428386047596607E-2</v>
      </c>
      <c r="M13" s="6">
        <f t="shared" si="1"/>
        <v>4.0649860690958528E-3</v>
      </c>
      <c r="N13" s="6">
        <f t="shared" si="1"/>
        <v>-1.5982216816604765E-3</v>
      </c>
      <c r="O13" s="6">
        <f t="shared" si="2"/>
        <v>-3.6221325742042767E-3</v>
      </c>
      <c r="P13" s="6"/>
      <c r="Q13" s="6">
        <f t="shared" si="3"/>
        <v>-4.1365897546672597E-3</v>
      </c>
      <c r="R13" s="6">
        <f t="shared" si="4"/>
        <v>4.0649860690958528E-3</v>
      </c>
      <c r="S13" s="6">
        <f t="shared" si="5"/>
        <v>-1.9889772954951764E-3</v>
      </c>
      <c r="T13" s="6">
        <f t="shared" si="6"/>
        <v>1.1527053446110708E-5</v>
      </c>
      <c r="U13" s="6"/>
      <c r="V13" s="3" t="s">
        <v>40</v>
      </c>
      <c r="W13" s="22">
        <f>+(W9-$W$12)/W10</f>
        <v>1.0291639819332341</v>
      </c>
      <c r="X13" s="22">
        <f t="shared" ref="X13:AA13" si="7">+(X9-$W$12)/X10</f>
        <v>0.96056169654339962</v>
      </c>
      <c r="Y13" s="22">
        <f t="shared" si="7"/>
        <v>2.1983764361287537</v>
      </c>
      <c r="Z13" s="22">
        <f t="shared" si="7"/>
        <v>1.9338117843471057</v>
      </c>
      <c r="AA13" s="22">
        <f t="shared" si="7"/>
        <v>1.6469030458685228</v>
      </c>
      <c r="AC13" s="38"/>
    </row>
    <row r="14" spans="1:30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0"/>
        <v>2.0887329677776734E-4</v>
      </c>
      <c r="J14" s="6">
        <f t="shared" si="1"/>
        <v>8.4277857631225358E-3</v>
      </c>
      <c r="K14" s="6">
        <f t="shared" si="1"/>
        <v>-8.7293459886518768E-3</v>
      </c>
      <c r="L14" s="6">
        <f t="shared" si="1"/>
        <v>3.3430239573994255E-3</v>
      </c>
      <c r="M14" s="6">
        <f t="shared" si="1"/>
        <v>-9.5109702559868468E-3</v>
      </c>
      <c r="N14" s="6">
        <f t="shared" si="1"/>
        <v>1.7975431036151848E-3</v>
      </c>
      <c r="O14" s="6">
        <f t="shared" si="2"/>
        <v>-1.8162558630952245E-3</v>
      </c>
      <c r="P14" s="6"/>
      <c r="Q14" s="6">
        <f t="shared" si="3"/>
        <v>-1.6152064572379004E-4</v>
      </c>
      <c r="R14" s="6">
        <f t="shared" si="4"/>
        <v>-9.5109702559868468E-3</v>
      </c>
      <c r="S14" s="6">
        <f t="shared" si="5"/>
        <v>-1.6384437558458857E-3</v>
      </c>
      <c r="T14" s="6">
        <f t="shared" si="6"/>
        <v>9.2696982896824879E-6</v>
      </c>
      <c r="U14" s="6"/>
      <c r="AC14" s="38"/>
    </row>
    <row r="15" spans="1:30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0"/>
        <v>2.0887329677776734E-4</v>
      </c>
      <c r="J15" s="6">
        <f t="shared" si="1"/>
        <v>1.2659131987154749E-3</v>
      </c>
      <c r="K15" s="6">
        <f t="shared" si="1"/>
        <v>-8.2960032000802229E-3</v>
      </c>
      <c r="L15" s="6">
        <f t="shared" si="1"/>
        <v>-1.1095405596341172E-2</v>
      </c>
      <c r="M15" s="6">
        <f t="shared" si="1"/>
        <v>-1.1671910678181512E-2</v>
      </c>
      <c r="N15" s="6">
        <f t="shared" si="1"/>
        <v>-4.203010869610265E-3</v>
      </c>
      <c r="O15" s="6">
        <f t="shared" si="2"/>
        <v>0</v>
      </c>
      <c r="P15" s="6"/>
      <c r="Q15" s="6">
        <f t="shared" si="3"/>
        <v>-8.9645462520043483E-3</v>
      </c>
      <c r="R15" s="6">
        <f t="shared" si="4"/>
        <v>-1.1671910678181512E-2</v>
      </c>
      <c r="S15" s="6">
        <f t="shared" si="5"/>
        <v>-8.8564430587738975E-3</v>
      </c>
      <c r="T15" s="6">
        <f t="shared" si="6"/>
        <v>1.0532131230107084E-4</v>
      </c>
      <c r="U15" s="6"/>
      <c r="V15" s="10" t="s">
        <v>8</v>
      </c>
      <c r="W15" s="50" t="s">
        <v>1</v>
      </c>
      <c r="X15" s="50" t="s">
        <v>2</v>
      </c>
      <c r="Y15" s="50" t="s">
        <v>3</v>
      </c>
      <c r="Z15" s="50" t="s">
        <v>4</v>
      </c>
      <c r="AC15" s="38"/>
    </row>
    <row r="16" spans="1:30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0"/>
        <v>2.1115103099722532E-4</v>
      </c>
      <c r="J16" s="6">
        <f t="shared" si="1"/>
        <v>-3.6449647610985361E-2</v>
      </c>
      <c r="K16" s="6">
        <f t="shared" si="1"/>
        <v>-6.802636816685408E-4</v>
      </c>
      <c r="L16" s="6">
        <f t="shared" si="1"/>
        <v>-1.65396632304482E-3</v>
      </c>
      <c r="M16" s="6">
        <f t="shared" si="1"/>
        <v>8.9378657253624903E-3</v>
      </c>
      <c r="N16" s="6">
        <f t="shared" si="1"/>
        <v>-6.9959927442528732E-3</v>
      </c>
      <c r="O16" s="6">
        <f t="shared" si="2"/>
        <v>1.0845831522955813E-2</v>
      </c>
      <c r="P16" s="6"/>
      <c r="Q16" s="6">
        <f t="shared" si="3"/>
        <v>-4.5376899249915444E-3</v>
      </c>
      <c r="R16" s="6">
        <f t="shared" si="4"/>
        <v>8.9378657253624903E-3</v>
      </c>
      <c r="S16" s="6">
        <f t="shared" si="5"/>
        <v>-3.7615067524092317E-3</v>
      </c>
      <c r="T16" s="6">
        <f t="shared" si="6"/>
        <v>2.6704926073909263E-5</v>
      </c>
      <c r="U16" s="6"/>
      <c r="V16" s="11" t="s">
        <v>45</v>
      </c>
      <c r="W16" s="51">
        <v>0.1885757003250691</v>
      </c>
      <c r="X16" s="51">
        <v>0</v>
      </c>
      <c r="Y16" s="51">
        <v>0.46418537552982903</v>
      </c>
      <c r="Z16" s="51">
        <v>0.34723892414510182</v>
      </c>
      <c r="AA16" s="49">
        <f>SUM(W16:Z16)</f>
        <v>0.99999999999999989</v>
      </c>
      <c r="AC16" s="38"/>
    </row>
    <row r="17" spans="1:29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0"/>
        <v>2.1190998881470691E-4</v>
      </c>
      <c r="J17" s="6">
        <f t="shared" si="1"/>
        <v>-2.9685687263803755E-2</v>
      </c>
      <c r="K17" s="6">
        <f t="shared" si="1"/>
        <v>-7.685086250950387E-3</v>
      </c>
      <c r="L17" s="6">
        <f t="shared" si="1"/>
        <v>-8.5911179492632866E-3</v>
      </c>
      <c r="M17" s="6">
        <f t="shared" si="1"/>
        <v>0</v>
      </c>
      <c r="N17" s="6">
        <f t="shared" si="1"/>
        <v>-3.2164682050081963E-3</v>
      </c>
      <c r="O17" s="6">
        <f t="shared" si="2"/>
        <v>3.5879393096075289E-3</v>
      </c>
      <c r="P17" s="6"/>
      <c r="Q17" s="6">
        <f t="shared" si="3"/>
        <v>-9.5858705769026106E-3</v>
      </c>
      <c r="R17" s="6">
        <f t="shared" si="4"/>
        <v>0</v>
      </c>
      <c r="S17" s="6">
        <f t="shared" si="5"/>
        <v>-8.857389227597854E-3</v>
      </c>
      <c r="T17" s="6">
        <f t="shared" si="6"/>
        <v>1.0534073353324674E-4</v>
      </c>
      <c r="U17" s="6"/>
      <c r="V17" s="11" t="s">
        <v>62</v>
      </c>
      <c r="W17" s="51">
        <v>0</v>
      </c>
      <c r="X17" s="51">
        <v>0</v>
      </c>
      <c r="Y17" s="51">
        <v>0</v>
      </c>
      <c r="Z17" s="51">
        <v>1</v>
      </c>
      <c r="AA17" s="49">
        <f>SUM(W17:Z17)</f>
        <v>1</v>
      </c>
      <c r="AC17" s="38"/>
    </row>
    <row r="18" spans="1:29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0"/>
        <v>2.1039192975491616E-4</v>
      </c>
      <c r="J18" s="6">
        <f t="shared" si="1"/>
        <v>3.4855737123982338E-3</v>
      </c>
      <c r="K18" s="6">
        <f t="shared" si="1"/>
        <v>0</v>
      </c>
      <c r="L18" s="6">
        <f t="shared" si="1"/>
        <v>7.6518323838956222E-4</v>
      </c>
      <c r="M18" s="6">
        <f t="shared" si="1"/>
        <v>-1.4477988707991517E-2</v>
      </c>
      <c r="N18" s="6">
        <f t="shared" si="1"/>
        <v>1.4255841976643817E-3</v>
      </c>
      <c r="O18" s="6">
        <f t="shared" si="2"/>
        <v>-7.1894799994851729E-3</v>
      </c>
      <c r="P18" s="6"/>
      <c r="Q18" s="6">
        <f t="shared" si="3"/>
        <v>-4.0148398500367694E-3</v>
      </c>
      <c r="R18" s="6">
        <f t="shared" si="4"/>
        <v>-1.4477988707991517E-2</v>
      </c>
      <c r="S18" s="6">
        <f t="shared" si="5"/>
        <v>-5.7862922901187443E-3</v>
      </c>
      <c r="T18" s="6">
        <f t="shared" si="6"/>
        <v>5.1731573721583808E-5</v>
      </c>
      <c r="U18" s="6"/>
      <c r="V18" s="11" t="s">
        <v>65</v>
      </c>
      <c r="W18" s="51">
        <v>0.20242040583303048</v>
      </c>
      <c r="X18" s="51">
        <v>1.9043341223979112E-3</v>
      </c>
      <c r="Y18" s="51">
        <v>0.32984826992021699</v>
      </c>
      <c r="Z18" s="51">
        <v>0.46582699012435475</v>
      </c>
      <c r="AA18" s="49">
        <f>SUM(W18:Z18)</f>
        <v>1.0000000000000002</v>
      </c>
      <c r="AB18" s="14"/>
      <c r="AC18" s="38"/>
    </row>
    <row r="19" spans="1:29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0"/>
        <v>2.1115103099722532E-4</v>
      </c>
      <c r="J19" s="6">
        <f t="shared" si="1"/>
        <v>6.6007039975988667E-3</v>
      </c>
      <c r="K19" s="6">
        <f t="shared" si="1"/>
        <v>9.3849136242531647E-3</v>
      </c>
      <c r="L19" s="6">
        <f t="shared" si="1"/>
        <v>4.3706422775577902E-3</v>
      </c>
      <c r="M19" s="6">
        <f t="shared" si="1"/>
        <v>8.2988273439278445E-3</v>
      </c>
      <c r="N19" s="6">
        <f t="shared" si="1"/>
        <v>6.7010127829867268E-3</v>
      </c>
      <c r="O19" s="6">
        <f t="shared" si="2"/>
        <v>3.6015406898777364E-3</v>
      </c>
      <c r="P19" s="6"/>
      <c r="Q19" s="6">
        <f t="shared" si="3"/>
        <v>6.1551964844718567E-3</v>
      </c>
      <c r="R19" s="6">
        <f t="shared" si="4"/>
        <v>8.2988273439278445E-3</v>
      </c>
      <c r="S19" s="6">
        <f t="shared" si="5"/>
        <v>6.6614557501042861E-3</v>
      </c>
      <c r="T19" s="6">
        <f t="shared" si="6"/>
        <v>0</v>
      </c>
      <c r="U19" s="6"/>
      <c r="AC19" s="38"/>
    </row>
    <row r="20" spans="1:29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0"/>
        <v>2.1039192975491616E-4</v>
      </c>
      <c r="J20" s="6">
        <f t="shared" si="1"/>
        <v>-1.7207766577965616E-2</v>
      </c>
      <c r="K20" s="6">
        <f t="shared" si="1"/>
        <v>-9.8994165765982269E-3</v>
      </c>
      <c r="L20" s="6">
        <f t="shared" si="1"/>
        <v>1.2930049259339658E-2</v>
      </c>
      <c r="M20" s="6">
        <f t="shared" si="1"/>
        <v>-4.1408787728015178E-3</v>
      </c>
      <c r="N20" s="6">
        <f t="shared" si="1"/>
        <v>-5.7121558411206055E-3</v>
      </c>
      <c r="O20" s="6">
        <f t="shared" si="2"/>
        <v>-3.6015406898777602E-3</v>
      </c>
      <c r="P20" s="6"/>
      <c r="Q20" s="6">
        <f t="shared" si="3"/>
        <v>1.3190988475126951E-3</v>
      </c>
      <c r="R20" s="6">
        <f t="shared" si="4"/>
        <v>-4.1408787728015178E-3</v>
      </c>
      <c r="S20" s="6">
        <f t="shared" si="5"/>
        <v>-1.1660336079980995E-3</v>
      </c>
      <c r="T20" s="6">
        <f t="shared" si="6"/>
        <v>6.616252832326757E-6</v>
      </c>
      <c r="U20" s="6"/>
      <c r="V20" s="7" t="s">
        <v>10</v>
      </c>
      <c r="W20" s="15" t="str">
        <f>W8</f>
        <v>Apple</v>
      </c>
      <c r="X20" s="15" t="str">
        <f>X8</f>
        <v>Coca-Cola</v>
      </c>
      <c r="Y20" s="15" t="str">
        <f>Y8</f>
        <v>JPMorgan</v>
      </c>
      <c r="Z20" s="15" t="str">
        <f>Z8</f>
        <v>AT&amp;T</v>
      </c>
      <c r="AC20" s="38"/>
    </row>
    <row r="21" spans="1:29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0"/>
        <v>2.1115103099722532E-4</v>
      </c>
      <c r="J21" s="6">
        <f t="shared" si="1"/>
        <v>-1.1925628607410014E-2</v>
      </c>
      <c r="K21" s="6">
        <f t="shared" si="1"/>
        <v>2.3984991177818894E-3</v>
      </c>
      <c r="L21" s="6">
        <f t="shared" si="1"/>
        <v>4.7822692080471709E-4</v>
      </c>
      <c r="M21" s="6">
        <f t="shared" si="1"/>
        <v>1.1004270746853787E-2</v>
      </c>
      <c r="N21" s="6">
        <f t="shared" si="1"/>
        <v>1.2408533465711885E-3</v>
      </c>
      <c r="O21" s="6">
        <f t="shared" si="2"/>
        <v>3.6015406898777364E-3</v>
      </c>
      <c r="P21" s="6"/>
      <c r="Q21" s="6">
        <f t="shared" si="3"/>
        <v>1.7942133115021147E-3</v>
      </c>
      <c r="R21" s="6">
        <f t="shared" si="4"/>
        <v>1.1004270746853787E-2</v>
      </c>
      <c r="S21" s="6">
        <f t="shared" si="5"/>
        <v>2.8744056041636939E-3</v>
      </c>
      <c r="T21" s="6">
        <f t="shared" si="6"/>
        <v>0</v>
      </c>
      <c r="U21" s="6"/>
      <c r="V21" s="16" t="str">
        <f>W20</f>
        <v>Apple</v>
      </c>
      <c r="W21" s="17">
        <f>VARP([1]Portafolio!$F$3:$F$254)</f>
        <v>2.0416329468796719E-4</v>
      </c>
      <c r="X21" s="17">
        <f>W22</f>
        <v>1.114837388610517E-5</v>
      </c>
      <c r="Y21" s="17">
        <f>W23</f>
        <v>7.9387037462506825E-6</v>
      </c>
      <c r="Z21" s="17">
        <f>W24</f>
        <v>-2.2006229590220094E-6</v>
      </c>
      <c r="AC21" s="38"/>
    </row>
    <row r="22" spans="1:29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0"/>
        <v>2.1115103099722532E-4</v>
      </c>
      <c r="J22" s="6">
        <f t="shared" si="1"/>
        <v>8.744192273870471E-3</v>
      </c>
      <c r="K22" s="6">
        <f t="shared" si="1"/>
        <v>8.2446925036342867E-3</v>
      </c>
      <c r="L22" s="6">
        <f t="shared" si="1"/>
        <v>1.9211775011975799E-2</v>
      </c>
      <c r="M22" s="6">
        <f t="shared" si="1"/>
        <v>2.9651713697862989E-2</v>
      </c>
      <c r="N22" s="6">
        <f t="shared" si="1"/>
        <v>8.394550741111827E-3</v>
      </c>
      <c r="O22" s="6">
        <f t="shared" si="2"/>
        <v>0</v>
      </c>
      <c r="P22" s="6"/>
      <c r="Q22" s="6">
        <f t="shared" si="3"/>
        <v>2.0862996343855279E-2</v>
      </c>
      <c r="R22" s="6">
        <f t="shared" si="4"/>
        <v>2.9651713697862989E-2</v>
      </c>
      <c r="S22" s="6">
        <f t="shared" si="5"/>
        <v>2.193524289172355E-2</v>
      </c>
      <c r="T22" s="6">
        <f t="shared" si="6"/>
        <v>0</v>
      </c>
      <c r="U22" s="6"/>
      <c r="V22" s="16" t="str">
        <f>X20</f>
        <v>Coca-Cola</v>
      </c>
      <c r="W22" s="18">
        <f>_xlfn.COVARIANCE.P($J$3:$J$254,K3:K254)</f>
        <v>1.114837388610517E-5</v>
      </c>
      <c r="X22" s="17">
        <f>VARP([1]Portafolio!$G$3:$G$254)</f>
        <v>7.052377242278394E-5</v>
      </c>
      <c r="Y22" s="17">
        <f>X23</f>
        <v>1.8170255662120506E-5</v>
      </c>
      <c r="Z22" s="17">
        <f>X24</f>
        <v>3.9163359961956121E-5</v>
      </c>
      <c r="AC22" s="38"/>
    </row>
    <row r="23" spans="1:29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0"/>
        <v>2.1115103099722532E-4</v>
      </c>
      <c r="J23" s="6">
        <f t="shared" si="1"/>
        <v>-4.1626265495737849E-3</v>
      </c>
      <c r="K23" s="6">
        <f t="shared" si="1"/>
        <v>-8.9348416448038568E-3</v>
      </c>
      <c r="L23" s="6">
        <f t="shared" si="1"/>
        <v>-2.9524998063902006E-3</v>
      </c>
      <c r="M23" s="6">
        <f t="shared" si="1"/>
        <v>1.1224978589028094E-2</v>
      </c>
      <c r="N23" s="6">
        <f t="shared" si="1"/>
        <v>-1.2234084667107637E-2</v>
      </c>
      <c r="O23" s="6">
        <f t="shared" si="2"/>
        <v>0</v>
      </c>
      <c r="P23" s="6"/>
      <c r="Q23" s="6">
        <f t="shared" si="3"/>
        <v>1.7422720406473332E-3</v>
      </c>
      <c r="R23" s="6">
        <f t="shared" si="4"/>
        <v>1.1224978589028094E-2</v>
      </c>
      <c r="S23" s="6">
        <f t="shared" si="5"/>
        <v>3.3954055579412052E-3</v>
      </c>
      <c r="T23" s="6">
        <f t="shared" si="6"/>
        <v>0</v>
      </c>
      <c r="U23" s="6"/>
      <c r="V23" s="16" t="str">
        <f>Y20</f>
        <v>JPMorgan</v>
      </c>
      <c r="W23" s="18">
        <f>_xlfn.COVARIANCE.P($J$3:$J$254,L3:L254)</f>
        <v>7.9387037462506825E-6</v>
      </c>
      <c r="X23" s="18">
        <f>_xlfn.COVARIANCE.P($K$3:$K$254,L3:L254)</f>
        <v>1.8170255662120506E-5</v>
      </c>
      <c r="Y23" s="17">
        <f>VARP([1]Portafolio!$H$3:$H$254)</f>
        <v>1.3497102243452755E-4</v>
      </c>
      <c r="Z23" s="17">
        <f>Y24</f>
        <v>2.8925886198153199E-5</v>
      </c>
      <c r="AC23" s="38"/>
    </row>
    <row r="24" spans="1:29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0"/>
        <v>2.1153052783073889E-4</v>
      </c>
      <c r="J24" s="6">
        <f t="shared" si="1"/>
        <v>1.6771885661529522E-2</v>
      </c>
      <c r="K24" s="6">
        <f t="shared" si="1"/>
        <v>6.1940863988089057E-3</v>
      </c>
      <c r="L24" s="6">
        <f t="shared" si="1"/>
        <v>2.081060219182381E-3</v>
      </c>
      <c r="M24" s="6">
        <f t="shared" si="1"/>
        <v>-9.2349221157867391E-3</v>
      </c>
      <c r="N24" s="6">
        <f t="shared" si="1"/>
        <v>7.2103643683838804E-4</v>
      </c>
      <c r="O24" s="6">
        <f t="shared" si="2"/>
        <v>1.795663555972895E-3</v>
      </c>
      <c r="P24" s="6"/>
      <c r="Q24" s="6">
        <f t="shared" si="3"/>
        <v>9.2204338368668181E-4</v>
      </c>
      <c r="R24" s="6">
        <f t="shared" si="4"/>
        <v>-9.2349221157867391E-3</v>
      </c>
      <c r="S24" s="6">
        <f t="shared" si="5"/>
        <v>-2.0867434805435514E-4</v>
      </c>
      <c r="T24" s="6">
        <f t="shared" si="6"/>
        <v>2.6077357231618076E-6</v>
      </c>
      <c r="U24" s="6"/>
      <c r="V24" s="16" t="str">
        <f>Z20</f>
        <v>AT&amp;T</v>
      </c>
      <c r="W24" s="18">
        <f>_xlfn.COVARIANCE.P($J$3:$J$254,M5:M256)</f>
        <v>-2.2006229590220094E-6</v>
      </c>
      <c r="X24" s="18">
        <f>_xlfn.COVARIANCE.P($K$3:$K$254,M3:M254)</f>
        <v>3.9163359961956121E-5</v>
      </c>
      <c r="Y24" s="18">
        <f>_xlfn.COVARIANCE.P($L$3:$L$254,M3:M254)</f>
        <v>2.8925886198153199E-5</v>
      </c>
      <c r="Z24" s="17">
        <f>VARP([1]Portafolio!$I$3:$I$254)</f>
        <v>1.7878182777816105E-4</v>
      </c>
      <c r="AA24" s="53"/>
      <c r="AC24" s="38"/>
    </row>
    <row r="25" spans="1:29" x14ac:dyDescent="0.2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0"/>
        <v>2.1190998881470691E-4</v>
      </c>
      <c r="J25" s="6">
        <f t="shared" si="1"/>
        <v>6.1618290451625419E-3</v>
      </c>
      <c r="K25" s="6">
        <f t="shared" si="1"/>
        <v>-2.0603885067279927E-3</v>
      </c>
      <c r="L25" s="6">
        <f t="shared" si="1"/>
        <v>-1.2750275394505101E-3</v>
      </c>
      <c r="M25" s="6">
        <f t="shared" si="1"/>
        <v>7.9209277625121085E-3</v>
      </c>
      <c r="N25" s="6">
        <f t="shared" si="1"/>
        <v>-2.1534195529618974E-3</v>
      </c>
      <c r="O25" s="6">
        <f t="shared" si="2"/>
        <v>1.7922757536344568E-3</v>
      </c>
      <c r="P25" s="6"/>
      <c r="Q25" s="6">
        <f t="shared" si="3"/>
        <v>3.3205765247499423E-3</v>
      </c>
      <c r="R25" s="6">
        <f t="shared" si="4"/>
        <v>7.9209277625121085E-3</v>
      </c>
      <c r="S25" s="6">
        <f t="shared" si="5"/>
        <v>4.5125725784718714E-3</v>
      </c>
      <c r="T25" s="6">
        <f t="shared" si="6"/>
        <v>0</v>
      </c>
      <c r="U25" s="6"/>
      <c r="W25" s="13"/>
      <c r="X25" s="53"/>
      <c r="Y25" s="53"/>
      <c r="Z25" s="53"/>
      <c r="AC25" s="38"/>
    </row>
    <row r="26" spans="1:29" ht="17" thickBot="1" x14ac:dyDescent="0.25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0"/>
        <v>2.1228941395579071E-4</v>
      </c>
      <c r="J26" s="6">
        <f t="shared" si="1"/>
        <v>-2.0194689945887755E-2</v>
      </c>
      <c r="K26" s="6">
        <f t="shared" si="1"/>
        <v>4.4589357728930948E-3</v>
      </c>
      <c r="L26" s="6">
        <f t="shared" si="1"/>
        <v>-4.2389693184284203E-3</v>
      </c>
      <c r="M26" s="6">
        <f t="shared" si="1"/>
        <v>2.2107528152630732E-2</v>
      </c>
      <c r="N26" s="6">
        <f t="shared" si="1"/>
        <v>-9.4392046231101256E-3</v>
      </c>
      <c r="O26" s="6">
        <f t="shared" si="2"/>
        <v>1.7889004076430007E-3</v>
      </c>
      <c r="P26" s="6"/>
      <c r="Q26" s="6">
        <f t="shared" si="3"/>
        <v>1.9006989268995113E-3</v>
      </c>
      <c r="R26" s="6">
        <f t="shared" si="4"/>
        <v>2.2107528152630732E-2</v>
      </c>
      <c r="S26" s="6">
        <f t="shared" si="5"/>
        <v>4.820740571523997E-3</v>
      </c>
      <c r="T26" s="6">
        <f t="shared" si="6"/>
        <v>0</v>
      </c>
      <c r="U26" s="6"/>
      <c r="V26" s="88" t="s">
        <v>61</v>
      </c>
      <c r="W26" s="88"/>
      <c r="AC26" s="38"/>
    </row>
    <row r="27" spans="1:29" ht="17" thickTop="1" x14ac:dyDescent="0.2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0"/>
        <v>2.1304815673750532E-4</v>
      </c>
      <c r="J27" s="6">
        <f t="shared" si="1"/>
        <v>-8.9290841663582452E-3</v>
      </c>
      <c r="K27" s="6">
        <f t="shared" si="1"/>
        <v>-1.5520182226064388E-2</v>
      </c>
      <c r="L27" s="6">
        <f t="shared" si="1"/>
        <v>-7.8527809774467452E-3</v>
      </c>
      <c r="M27" s="6">
        <f t="shared" si="1"/>
        <v>-1.5554405482686634E-2</v>
      </c>
      <c r="N27" s="6">
        <f t="shared" si="1"/>
        <v>-1.653687395146802E-2</v>
      </c>
      <c r="O27" s="6">
        <f t="shared" si="2"/>
        <v>3.567724268008604E-3</v>
      </c>
      <c r="P27" s="6"/>
      <c r="Q27" s="6">
        <f t="shared" si="3"/>
        <v>-1.0730049412426886E-2</v>
      </c>
      <c r="R27" s="6">
        <f t="shared" si="4"/>
        <v>-1.5554405482686634E-2</v>
      </c>
      <c r="S27" s="6">
        <f t="shared" si="5"/>
        <v>-1.1672872561917326E-2</v>
      </c>
      <c r="T27" s="6">
        <f t="shared" si="6"/>
        <v>1.7106146330957288E-4</v>
      </c>
      <c r="U27" s="6"/>
      <c r="V27" s="3" t="s">
        <v>21</v>
      </c>
      <c r="W27" s="60">
        <f>+((1+AVERAGE(Q3:Q254))^252)-1</f>
        <v>0.42739487589953407</v>
      </c>
      <c r="Y27" s="63"/>
      <c r="AC27" s="38"/>
    </row>
    <row r="28" spans="1:29" x14ac:dyDescent="0.2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0"/>
        <v>2.1266880326109572E-4</v>
      </c>
      <c r="J28" s="6">
        <f t="shared" si="1"/>
        <v>4.932157084030179E-3</v>
      </c>
      <c r="K28" s="6">
        <f t="shared" si="1"/>
        <v>1.0421744338548341E-3</v>
      </c>
      <c r="L28" s="6">
        <f t="shared" si="1"/>
        <v>-9.6290710303040105E-3</v>
      </c>
      <c r="M28" s="6">
        <f t="shared" si="1"/>
        <v>-1.2488017087223817E-2</v>
      </c>
      <c r="N28" s="6">
        <f t="shared" si="1"/>
        <v>-2.2982509659402743E-3</v>
      </c>
      <c r="O28" s="6">
        <f t="shared" si="2"/>
        <v>-1.7821868164193909E-3</v>
      </c>
      <c r="P28" s="6"/>
      <c r="Q28" s="6">
        <f t="shared" si="3"/>
        <v>-7.8759145940440704E-3</v>
      </c>
      <c r="R28" s="6">
        <f t="shared" si="4"/>
        <v>-1.2488017087223817E-2</v>
      </c>
      <c r="S28" s="6">
        <f t="shared" si="5"/>
        <v>-7.9930339457301158E-3</v>
      </c>
      <c r="T28" s="6">
        <f t="shared" si="6"/>
        <v>8.8345113126555333E-5</v>
      </c>
      <c r="U28" s="6"/>
      <c r="V28" s="3" t="s">
        <v>63</v>
      </c>
      <c r="W28" s="21" cm="1">
        <f t="array" ref="W28">SQRT(+MMULT(MMULT(W16:Z16,W21:Z24),TRANSPOSE(W16:Z16)))*SQRT(252)</f>
        <v>0.13121709392229405</v>
      </c>
      <c r="Y28" s="63"/>
      <c r="AC28" s="38"/>
    </row>
    <row r="29" spans="1:29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0"/>
        <v>2.1266880326109572E-4</v>
      </c>
      <c r="J29" s="6">
        <f t="shared" si="1"/>
        <v>7.3532671978666295E-3</v>
      </c>
      <c r="K29" s="6">
        <f t="shared" si="1"/>
        <v>-1.0471250468192831E-2</v>
      </c>
      <c r="L29" s="6">
        <f t="shared" si="1"/>
        <v>4.9286703199951359E-3</v>
      </c>
      <c r="M29" s="6">
        <f t="shared" si="1"/>
        <v>-3.9760898184737319E-3</v>
      </c>
      <c r="N29" s="6">
        <f t="shared" si="1"/>
        <v>4.0150212758186272E-3</v>
      </c>
      <c r="O29" s="6">
        <f t="shared" si="2"/>
        <v>0</v>
      </c>
      <c r="P29" s="6"/>
      <c r="Q29" s="6">
        <f t="shared" si="3"/>
        <v>2.293811043993611E-3</v>
      </c>
      <c r="R29" s="6">
        <f t="shared" si="4"/>
        <v>-3.9760898184737319E-3</v>
      </c>
      <c r="S29" s="6">
        <f t="shared" si="5"/>
        <v>1.2420539962739265E-3</v>
      </c>
      <c r="T29" s="6">
        <f t="shared" si="6"/>
        <v>2.693543009244342E-8</v>
      </c>
      <c r="U29" s="6"/>
      <c r="V29" s="3" t="s">
        <v>40</v>
      </c>
      <c r="W29" s="61">
        <f>(+W27-W12)/W28</f>
        <v>2.867932386863751</v>
      </c>
      <c r="AC29" s="38"/>
    </row>
    <row r="30" spans="1:29" x14ac:dyDescent="0.2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0"/>
        <v>2.1228941395579071E-4</v>
      </c>
      <c r="J30" s="6">
        <f t="shared" si="1"/>
        <v>-2.3676570379196956E-2</v>
      </c>
      <c r="K30" s="6">
        <f t="shared" si="1"/>
        <v>-8.2798817906721903E-3</v>
      </c>
      <c r="L30" s="6">
        <f t="shared" si="1"/>
        <v>-1.0433243353410393E-2</v>
      </c>
      <c r="M30" s="6">
        <f t="shared" si="1"/>
        <v>-2.6595130223768674E-3</v>
      </c>
      <c r="N30" s="6">
        <f t="shared" si="1"/>
        <v>-1.4844128717961364E-2</v>
      </c>
      <c r="O30" s="6">
        <f t="shared" si="2"/>
        <v>-1.7855374515891788E-3</v>
      </c>
      <c r="P30" s="6"/>
      <c r="Q30" s="6">
        <f t="shared" si="3"/>
        <v>-1.0231271265189778E-2</v>
      </c>
      <c r="R30" s="6">
        <f t="shared" si="4"/>
        <v>-2.6595130223768674E-3</v>
      </c>
      <c r="S30" s="6">
        <f t="shared" si="5"/>
        <v>-9.4886488625041156E-3</v>
      </c>
      <c r="T30" s="6">
        <f t="shared" si="6"/>
        <v>1.1869716882119738E-4</v>
      </c>
      <c r="U30" s="6"/>
      <c r="AC30" s="38"/>
    </row>
    <row r="31" spans="1:29" ht="17" thickBot="1" x14ac:dyDescent="0.25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0"/>
        <v>2.1228941395579071E-4</v>
      </c>
      <c r="J31" s="6">
        <f t="shared" si="1"/>
        <v>-8.9372740582099996E-3</v>
      </c>
      <c r="K31" s="6">
        <f t="shared" si="1"/>
        <v>-1.0313022416799286E-2</v>
      </c>
      <c r="L31" s="6">
        <f t="shared" si="1"/>
        <v>5.8476760566381946E-3</v>
      </c>
      <c r="M31" s="6">
        <f t="shared" si="1"/>
        <v>-1.0036916003110012E-2</v>
      </c>
      <c r="N31" s="6">
        <f t="shared" si="1"/>
        <v>2.2929233000634007E-4</v>
      </c>
      <c r="O31" s="6">
        <f t="shared" si="2"/>
        <v>0</v>
      </c>
      <c r="P31" s="6"/>
      <c r="Q31" s="6">
        <f t="shared" si="3"/>
        <v>-2.4561549228513087E-3</v>
      </c>
      <c r="R31" s="6">
        <f t="shared" si="4"/>
        <v>-1.0036916003110012E-2</v>
      </c>
      <c r="S31" s="6">
        <f t="shared" si="5"/>
        <v>-4.5753466239209697E-3</v>
      </c>
      <c r="T31" s="6">
        <f t="shared" si="6"/>
        <v>3.5778590959583564E-5</v>
      </c>
      <c r="U31" s="6"/>
      <c r="V31" s="88" t="s">
        <v>64</v>
      </c>
      <c r="W31" s="88"/>
      <c r="AC31" s="38"/>
    </row>
    <row r="32" spans="1:29" ht="17" thickTop="1" x14ac:dyDescent="0.2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0"/>
        <v>2.1380675622961753E-4</v>
      </c>
      <c r="J32" s="6">
        <f t="shared" si="1"/>
        <v>1.5245124110350558E-3</v>
      </c>
      <c r="K32" s="6">
        <f t="shared" si="1"/>
        <v>-2.5052793506595878E-3</v>
      </c>
      <c r="L32" s="6">
        <f t="shared" si="1"/>
        <v>1.2339652914118577E-2</v>
      </c>
      <c r="M32" s="6">
        <f t="shared" si="1"/>
        <v>9.370913321953802E-3</v>
      </c>
      <c r="N32" s="6">
        <f t="shared" si="1"/>
        <v>5.8757768874731896E-3</v>
      </c>
      <c r="O32" s="6">
        <f t="shared" si="2"/>
        <v>7.1220949345627872E-3</v>
      </c>
      <c r="P32" s="6"/>
      <c r="Q32" s="6">
        <f t="shared" si="3"/>
        <v>9.2693182775853162E-3</v>
      </c>
      <c r="R32" s="6">
        <f t="shared" si="4"/>
        <v>9.370913321953802E-3</v>
      </c>
      <c r="S32" s="6">
        <f t="shared" si="5"/>
        <v>8.7392590446055424E-3</v>
      </c>
      <c r="T32" s="6">
        <f t="shared" si="6"/>
        <v>0</v>
      </c>
      <c r="U32" s="6"/>
      <c r="V32" s="3" t="s">
        <v>21</v>
      </c>
      <c r="W32" s="60">
        <f>+((1+AVERAGE(R3:R254))^252)-1</f>
        <v>0.46515446741124955</v>
      </c>
      <c r="AC32" s="38"/>
    </row>
    <row r="33" spans="1:29" x14ac:dyDescent="0.2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0"/>
        <v>2.1266880326109572E-4</v>
      </c>
      <c r="J33" s="6">
        <f t="shared" si="1"/>
        <v>3.0418117645047292E-3</v>
      </c>
      <c r="K33" s="6">
        <f t="shared" si="1"/>
        <v>3.0412831937692204E-3</v>
      </c>
      <c r="L33" s="6">
        <f t="shared" si="1"/>
        <v>-1.7566587699048578E-2</v>
      </c>
      <c r="M33" s="6">
        <f t="shared" si="1"/>
        <v>6.6600268115622394E-4</v>
      </c>
      <c r="N33" s="6">
        <f t="shared" si="1"/>
        <v>-2.7131686755154211E-3</v>
      </c>
      <c r="O33" s="6">
        <f t="shared" si="2"/>
        <v>-5.3365574829737777E-3</v>
      </c>
      <c r="P33" s="6"/>
      <c r="Q33" s="6">
        <f t="shared" si="3"/>
        <v>-7.3492792696295845E-3</v>
      </c>
      <c r="R33" s="6">
        <f t="shared" si="4"/>
        <v>6.6600268115622394E-4</v>
      </c>
      <c r="S33" s="6">
        <f t="shared" si="5"/>
        <v>-4.8625501453546816E-3</v>
      </c>
      <c r="T33" s="6">
        <f t="shared" si="6"/>
        <v>3.9296904491063689E-5</v>
      </c>
      <c r="U33" s="6"/>
      <c r="V33" s="3" t="s">
        <v>63</v>
      </c>
      <c r="W33" s="21" cm="1">
        <f t="array" ref="W33">SQRT(+MMULT(MMULT(W17:Z17,W21:Z24),TRANSPOSE(W17:Z17)))*SQRT(252)</f>
        <v>0.21225696831929122</v>
      </c>
      <c r="AC33" s="38"/>
    </row>
    <row r="34" spans="1:29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0"/>
        <v>2.1266880326109572E-4</v>
      </c>
      <c r="J34" s="6">
        <f t="shared" si="1"/>
        <v>1.4726612543542477E-2</v>
      </c>
      <c r="K34" s="6">
        <f t="shared" si="1"/>
        <v>-8.9718561804357604E-3</v>
      </c>
      <c r="L34" s="6">
        <f t="shared" si="1"/>
        <v>-8.6567488859623613E-3</v>
      </c>
      <c r="M34" s="6">
        <f t="shared" si="1"/>
        <v>-2.3578125464621125E-2</v>
      </c>
      <c r="N34" s="6">
        <f t="shared" si="1"/>
        <v>7.9286976922361474E-5</v>
      </c>
      <c r="O34" s="6">
        <f t="shared" si="2"/>
        <v>0</v>
      </c>
      <c r="P34" s="6"/>
      <c r="Q34" s="6">
        <f t="shared" si="3"/>
        <v>-9.4284978783766675E-3</v>
      </c>
      <c r="R34" s="6">
        <f t="shared" si="4"/>
        <v>-2.3578125464621125E-2</v>
      </c>
      <c r="S34" s="6">
        <f t="shared" si="5"/>
        <v>-1.0874859385383299E-2</v>
      </c>
      <c r="T34" s="6">
        <f t="shared" si="6"/>
        <v>1.5082378508882006E-4</v>
      </c>
      <c r="U34" s="6"/>
      <c r="V34" s="3" t="s">
        <v>13</v>
      </c>
      <c r="W34" s="61" cm="1">
        <f t="array" ref="W34">+SLOPE((R3:R254-O3:O254),(N3:N254-O3:O254))</f>
        <v>0.62244961080506556</v>
      </c>
      <c r="AC34" s="38"/>
    </row>
    <row r="35" spans="1:29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0"/>
        <v>2.1380675622961753E-4</v>
      </c>
      <c r="J35" s="6">
        <f t="shared" si="1"/>
        <v>-7.8002013931504684E-3</v>
      </c>
      <c r="K35" s="6">
        <f t="shared" si="1"/>
        <v>-1.0873561101627389E-2</v>
      </c>
      <c r="L35" s="6">
        <f t="shared" si="1"/>
        <v>-7.4001160534839551E-3</v>
      </c>
      <c r="M35" s="6">
        <f t="shared" si="1"/>
        <v>7.470418425544037E-3</v>
      </c>
      <c r="N35" s="6">
        <f t="shared" si="1"/>
        <v>-1.3839410161483797E-2</v>
      </c>
      <c r="O35" s="6">
        <f t="shared" si="2"/>
        <v>5.3365574829737977E-3</v>
      </c>
      <c r="P35" s="6"/>
      <c r="Q35" s="6">
        <f t="shared" si="3"/>
        <v>-2.3119340326410377E-3</v>
      </c>
      <c r="R35" s="6">
        <f t="shared" si="4"/>
        <v>7.470418425544037E-3</v>
      </c>
      <c r="S35" s="6">
        <f t="shared" si="5"/>
        <v>-5.6061977232850198E-4</v>
      </c>
      <c r="T35" s="6">
        <f t="shared" si="6"/>
        <v>3.8682783956243763E-6</v>
      </c>
      <c r="U35" s="6"/>
      <c r="V35" s="3" t="s">
        <v>41</v>
      </c>
      <c r="W35" s="61">
        <f>+(W32-W12)/W34</f>
        <v>0.66524476470639871</v>
      </c>
      <c r="AC35" s="38"/>
    </row>
    <row r="36" spans="1:29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0"/>
        <v>2.1380675622961753E-4</v>
      </c>
      <c r="J36" s="6">
        <f t="shared" ref="J36:N67" si="8">LN(B36/B35)</f>
        <v>7.2820978273525263E-3</v>
      </c>
      <c r="K36" s="6">
        <f t="shared" si="8"/>
        <v>2.9112300036451422E-3</v>
      </c>
      <c r="L36" s="6">
        <f t="shared" si="8"/>
        <v>4.4743812840926343E-3</v>
      </c>
      <c r="M36" s="6">
        <f t="shared" si="8"/>
        <v>-8.8346792935787202E-3</v>
      </c>
      <c r="N36" s="6">
        <f t="shared" si="8"/>
        <v>8.0770937870001339E-3</v>
      </c>
      <c r="O36" s="6">
        <f t="shared" si="2"/>
        <v>0</v>
      </c>
      <c r="P36" s="6"/>
      <c r="Q36" s="6">
        <f t="shared" si="3"/>
        <v>3.8242452117956231E-4</v>
      </c>
      <c r="R36" s="6">
        <f t="shared" si="4"/>
        <v>-8.8346792935787202E-3</v>
      </c>
      <c r="S36" s="6">
        <f t="shared" si="5"/>
        <v>-1.1599759863577634E-3</v>
      </c>
      <c r="T36" s="6">
        <f t="shared" si="6"/>
        <v>6.585126604156952E-6</v>
      </c>
      <c r="U36" s="6"/>
      <c r="V36" s="3" t="s">
        <v>40</v>
      </c>
      <c r="W36" s="61">
        <f>+(W32-W12)/W33</f>
        <v>1.9508492378856379</v>
      </c>
      <c r="AC36" s="38"/>
    </row>
    <row r="37" spans="1:29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0"/>
        <v>2.1115103099722532E-4</v>
      </c>
      <c r="J37" s="6">
        <f t="shared" si="8"/>
        <v>7.1721957179410305E-3</v>
      </c>
      <c r="K37" s="6">
        <f t="shared" si="8"/>
        <v>-4.9535374384451825E-2</v>
      </c>
      <c r="L37" s="6">
        <f t="shared" si="8"/>
        <v>4.2075901542361687E-3</v>
      </c>
      <c r="M37" s="6">
        <f t="shared" si="8"/>
        <v>1.2211857867236135E-2</v>
      </c>
      <c r="N37" s="6">
        <f t="shared" si="8"/>
        <v>-1.3048673867472557E-3</v>
      </c>
      <c r="O37" s="6">
        <f t="shared" si="2"/>
        <v>-1.2498934651813405E-2</v>
      </c>
      <c r="P37" s="6"/>
      <c r="Q37" s="6">
        <f t="shared" si="3"/>
        <v>7.546036033830892E-3</v>
      </c>
      <c r="R37" s="6">
        <f t="shared" si="4"/>
        <v>1.2211857867236135E-2</v>
      </c>
      <c r="S37" s="6">
        <f t="shared" si="5"/>
        <v>8.4339461912626493E-3</v>
      </c>
      <c r="T37" s="6">
        <f t="shared" si="6"/>
        <v>0</v>
      </c>
      <c r="U37" s="6"/>
      <c r="AC37" s="38"/>
    </row>
    <row r="38" spans="1:29" ht="17" thickBot="1" x14ac:dyDescent="0.25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0"/>
        <v>2.1001232533235381E-4</v>
      </c>
      <c r="J38" s="6">
        <f t="shared" si="8"/>
        <v>1.4642797262619538E-2</v>
      </c>
      <c r="K38" s="6">
        <f t="shared" si="8"/>
        <v>1.4405068586763934E-2</v>
      </c>
      <c r="L38" s="6">
        <f t="shared" si="8"/>
        <v>1.5278133083516892E-2</v>
      </c>
      <c r="M38" s="6">
        <f t="shared" si="8"/>
        <v>-7.0340122474886078E-3</v>
      </c>
      <c r="N38" s="6">
        <f t="shared" si="8"/>
        <v>1.1745628333713317E-2</v>
      </c>
      <c r="O38" s="6">
        <f t="shared" si="2"/>
        <v>-5.4074430856563748E-3</v>
      </c>
      <c r="P38" s="6"/>
      <c r="Q38" s="6">
        <f t="shared" si="3"/>
        <v>7.4106788460420632E-3</v>
      </c>
      <c r="R38" s="6">
        <f t="shared" si="4"/>
        <v>-7.0340122474886078E-3</v>
      </c>
      <c r="S38" s="6">
        <f t="shared" si="5"/>
        <v>4.7542660395389026E-3</v>
      </c>
      <c r="T38" s="6">
        <f t="shared" si="6"/>
        <v>0</v>
      </c>
      <c r="U38" s="6"/>
      <c r="V38" s="88" t="s">
        <v>69</v>
      </c>
      <c r="W38" s="88"/>
      <c r="AC38" s="38"/>
    </row>
    <row r="39" spans="1:29" ht="17" thickTop="1" x14ac:dyDescent="0.2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0"/>
        <v>2.1153052783073889E-4</v>
      </c>
      <c r="J39" s="6">
        <f t="shared" si="8"/>
        <v>8.4155364965835446E-3</v>
      </c>
      <c r="K39" s="6">
        <f t="shared" si="8"/>
        <v>-4.9046695157092994E-3</v>
      </c>
      <c r="L39" s="6">
        <f t="shared" si="8"/>
        <v>-2.2767875931944174E-3</v>
      </c>
      <c r="M39" s="6">
        <f t="shared" si="8"/>
        <v>1.919178660718069E-2</v>
      </c>
      <c r="N39" s="6">
        <f t="shared" si="8"/>
        <v>6.2840320810455159E-3</v>
      </c>
      <c r="O39" s="6">
        <f t="shared" si="2"/>
        <v>7.2031066416294353E-3</v>
      </c>
      <c r="P39" s="6"/>
      <c r="Q39" s="6">
        <f t="shared" si="3"/>
        <v>7.1942495184056108E-3</v>
      </c>
      <c r="R39" s="6">
        <f t="shared" si="4"/>
        <v>1.919178660718069E-2</v>
      </c>
      <c r="S39" s="6">
        <f t="shared" si="5"/>
        <v>9.883193925164159E-3</v>
      </c>
      <c r="T39" s="6">
        <f t="shared" si="6"/>
        <v>0</v>
      </c>
      <c r="U39" s="6"/>
      <c r="V39" s="3" t="s">
        <v>21</v>
      </c>
      <c r="W39" s="60">
        <f>+((1+AVERAGE(S3:S254))^252)-1</f>
        <v>0.42490761505963337</v>
      </c>
      <c r="AC39" s="38"/>
    </row>
    <row r="40" spans="1:29" x14ac:dyDescent="0.2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0"/>
        <v>2.1153052783073889E-4</v>
      </c>
      <c r="J40" s="6">
        <f t="shared" si="8"/>
        <v>-3.3577377412587176E-3</v>
      </c>
      <c r="K40" s="6">
        <f t="shared" si="8"/>
        <v>2.1514155913894644E-2</v>
      </c>
      <c r="L40" s="6">
        <f t="shared" si="8"/>
        <v>6.0600170693245765E-3</v>
      </c>
      <c r="M40" s="6">
        <f t="shared" si="8"/>
        <v>1.5493841465178439E-2</v>
      </c>
      <c r="N40" s="6">
        <f t="shared" si="8"/>
        <v>5.1944583608864153E-3</v>
      </c>
      <c r="O40" s="6">
        <f t="shared" si="2"/>
        <v>0</v>
      </c>
      <c r="P40" s="6"/>
      <c r="Q40" s="6">
        <f t="shared" si="3"/>
        <v>7.5598483942191531E-3</v>
      </c>
      <c r="R40" s="6">
        <f t="shared" si="4"/>
        <v>1.5493841465178439E-2</v>
      </c>
      <c r="S40" s="6">
        <f t="shared" si="5"/>
        <v>8.5776311861466351E-3</v>
      </c>
      <c r="T40" s="6">
        <f t="shared" si="6"/>
        <v>0</v>
      </c>
      <c r="U40" s="6"/>
      <c r="V40" s="3" t="s">
        <v>63</v>
      </c>
      <c r="W40" s="21" cm="1">
        <f t="array" ref="W40">SQRT(+MMULT(MMULT(W18:Z18,W21:Z24),TRANSPOSE(W18:Z18)))*SQRT(252)</f>
        <v>0.13421261076256277</v>
      </c>
      <c r="AC40" s="38"/>
    </row>
    <row r="41" spans="1:29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0"/>
        <v>2.0925300885044074E-4</v>
      </c>
      <c r="J41" s="6">
        <f t="shared" si="8"/>
        <v>7.8729256654077838E-3</v>
      </c>
      <c r="K41" s="6">
        <f t="shared" si="8"/>
        <v>-5.9402085775266582E-3</v>
      </c>
      <c r="L41" s="6">
        <f t="shared" si="8"/>
        <v>3.4271245700145075E-3</v>
      </c>
      <c r="M41" s="6">
        <f t="shared" si="8"/>
        <v>-1.2781979492703863E-2</v>
      </c>
      <c r="N41" s="6">
        <f t="shared" si="8"/>
        <v>4.2838286545689866E-3</v>
      </c>
      <c r="O41" s="6">
        <f t="shared" si="2"/>
        <v>-1.0825239215833657E-2</v>
      </c>
      <c r="P41" s="6"/>
      <c r="Q41" s="6">
        <f t="shared" si="3"/>
        <v>-1.362937231010072E-3</v>
      </c>
      <c r="R41" s="6">
        <f t="shared" si="4"/>
        <v>-1.2781979492703863E-2</v>
      </c>
      <c r="S41" s="6">
        <f t="shared" si="5"/>
        <v>-3.2414312583003342E-3</v>
      </c>
      <c r="T41" s="6">
        <f t="shared" si="6"/>
        <v>2.1600236179462801E-5</v>
      </c>
      <c r="U41" s="6"/>
      <c r="V41" s="3" t="s">
        <v>13</v>
      </c>
      <c r="W41" s="61" cm="1">
        <f t="array" ref="W41">+SLOPE((S3:S254-O3:O254),(N3:N254-O3:O254))</f>
        <v>0.78885678397437664</v>
      </c>
      <c r="AC41" s="38"/>
    </row>
    <row r="42" spans="1:29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0"/>
        <v>2.0963268503315646E-4</v>
      </c>
      <c r="J42" s="6">
        <f t="shared" si="8"/>
        <v>5.0484914715231101E-3</v>
      </c>
      <c r="K42" s="6">
        <f t="shared" si="8"/>
        <v>-1.6898605731409447E-2</v>
      </c>
      <c r="L42" s="6">
        <f t="shared" si="8"/>
        <v>-2.3292037153074849E-3</v>
      </c>
      <c r="M42" s="6">
        <f t="shared" si="8"/>
        <v>-2.1903648579655197E-2</v>
      </c>
      <c r="N42" s="6">
        <f t="shared" si="8"/>
        <v>-6.2659488852716012E-3</v>
      </c>
      <c r="O42" s="6">
        <f t="shared" si="2"/>
        <v>1.8127918534072056E-3</v>
      </c>
      <c r="P42" s="6"/>
      <c r="Q42" s="6">
        <f t="shared" si="3"/>
        <v>-7.7349588540997268E-3</v>
      </c>
      <c r="R42" s="6">
        <f t="shared" si="4"/>
        <v>-2.1903648579655197E-2</v>
      </c>
      <c r="S42" s="6">
        <f t="shared" si="5"/>
        <v>-9.9818574053932643E-3</v>
      </c>
      <c r="T42" s="6">
        <f t="shared" si="6"/>
        <v>1.2968726306976803E-4</v>
      </c>
      <c r="U42" s="6"/>
      <c r="V42" s="3" t="s">
        <v>67</v>
      </c>
      <c r="W42" s="3">
        <f>+SUM(T3:T254)/COUNTIF(T3:T254,"&gt;0")</f>
        <v>7.0234115807703751E-5</v>
      </c>
      <c r="AC42" s="38"/>
    </row>
    <row r="43" spans="1:29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0"/>
        <v>2.1153052783073889E-4</v>
      </c>
      <c r="J43" s="6">
        <f t="shared" si="8"/>
        <v>-1.0346128156285038E-2</v>
      </c>
      <c r="K43" s="6">
        <f t="shared" si="8"/>
        <v>1.5136608826072475E-3</v>
      </c>
      <c r="L43" s="6">
        <f t="shared" si="8"/>
        <v>1.490802752612275E-2</v>
      </c>
      <c r="M43" s="6">
        <f t="shared" si="8"/>
        <v>-6.2479325408984904E-3</v>
      </c>
      <c r="N43" s="6">
        <f t="shared" si="8"/>
        <v>-5.0314774496886677E-3</v>
      </c>
      <c r="O43" s="6">
        <f t="shared" si="2"/>
        <v>9.0124473624263561E-3</v>
      </c>
      <c r="P43" s="6"/>
      <c r="Q43" s="6">
        <f t="shared" si="3"/>
        <v>2.7995346192651849E-3</v>
      </c>
      <c r="R43" s="6">
        <f t="shared" si="4"/>
        <v>-6.2479325408984904E-3</v>
      </c>
      <c r="S43" s="6">
        <f t="shared" si="5"/>
        <v>-8.4453466739467346E-5</v>
      </c>
      <c r="T43" s="6">
        <f t="shared" si="6"/>
        <v>2.2219707393186982E-6</v>
      </c>
      <c r="U43" s="6"/>
      <c r="V43" s="3" t="s">
        <v>68</v>
      </c>
      <c r="W43" s="62">
        <f>+SQRT(W42)*SQRT(250)</f>
        <v>0.13250859953952399</v>
      </c>
      <c r="AC43" s="38"/>
    </row>
    <row r="44" spans="1:29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0"/>
        <v>2.107714983077269E-4</v>
      </c>
      <c r="J44" s="6">
        <f t="shared" si="8"/>
        <v>-7.2710133536225421E-4</v>
      </c>
      <c r="K44" s="6">
        <f t="shared" si="8"/>
        <v>1.0158067162630343E-2</v>
      </c>
      <c r="L44" s="6">
        <f t="shared" si="8"/>
        <v>-1.0140315442376808E-3</v>
      </c>
      <c r="M44" s="6">
        <f t="shared" si="8"/>
        <v>3.47593227385585E-3</v>
      </c>
      <c r="N44" s="6">
        <f t="shared" si="8"/>
        <v>1.0538619453747615E-2</v>
      </c>
      <c r="O44" s="6">
        <f t="shared" si="2"/>
        <v>-3.5947274385814774E-3</v>
      </c>
      <c r="P44" s="6"/>
      <c r="Q44" s="6">
        <f t="shared" si="3"/>
        <v>5.991667264906524E-4</v>
      </c>
      <c r="R44" s="6">
        <f t="shared" si="4"/>
        <v>3.47593227385585E-3</v>
      </c>
      <c r="S44" s="6">
        <f t="shared" si="5"/>
        <v>1.1568707250246908E-3</v>
      </c>
      <c r="T44" s="6">
        <f t="shared" si="6"/>
        <v>6.2152205654070334E-8</v>
      </c>
      <c r="U44" s="6"/>
      <c r="V44" s="3" t="s">
        <v>66</v>
      </c>
      <c r="W44" s="61">
        <f>+(W39-W12)/W43</f>
        <v>2.8212092938049929</v>
      </c>
      <c r="AC44" s="38"/>
    </row>
    <row r="45" spans="1:29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0"/>
        <v>2.1115103099722532E-4</v>
      </c>
      <c r="J45" s="6">
        <f t="shared" si="8"/>
        <v>-8.8236168219693739E-3</v>
      </c>
      <c r="K45" s="6">
        <f t="shared" si="8"/>
        <v>1.1907236828734701E-2</v>
      </c>
      <c r="L45" s="6">
        <f t="shared" si="8"/>
        <v>-2.1668112665697982E-3</v>
      </c>
      <c r="M45" s="6">
        <f t="shared" si="8"/>
        <v>1.1728316519177792E-2</v>
      </c>
      <c r="N45" s="6">
        <f t="shared" si="8"/>
        <v>-9.8321334779938874E-5</v>
      </c>
      <c r="O45" s="6">
        <f t="shared" si="2"/>
        <v>1.799063882608539E-3</v>
      </c>
      <c r="P45" s="6"/>
      <c r="Q45" s="6">
        <f t="shared" si="3"/>
        <v>1.40280618707462E-3</v>
      </c>
      <c r="R45" s="6">
        <f t="shared" si="4"/>
        <v>1.1728316519177792E-2</v>
      </c>
      <c r="S45" s="6">
        <f t="shared" si="5"/>
        <v>2.9852426952108949E-3</v>
      </c>
      <c r="T45" s="6">
        <f t="shared" si="6"/>
        <v>0</v>
      </c>
      <c r="U45" s="6"/>
      <c r="V45" s="3" t="s">
        <v>41</v>
      </c>
      <c r="W45" s="61">
        <f>+(W39-W12)/W41</f>
        <v>0.47389399460641746</v>
      </c>
      <c r="AC45" s="38"/>
    </row>
    <row r="46" spans="1:29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0"/>
        <v>2.1342747439123677E-4</v>
      </c>
      <c r="J46" s="6">
        <f t="shared" si="8"/>
        <v>-7.4223370429170512E-3</v>
      </c>
      <c r="K46" s="6">
        <f t="shared" si="8"/>
        <v>-3.7001627652822851E-4</v>
      </c>
      <c r="L46" s="6">
        <f t="shared" si="8"/>
        <v>-1.1041381345434621E-2</v>
      </c>
      <c r="M46" s="6">
        <f t="shared" si="8"/>
        <v>-1.7993646801684915E-2</v>
      </c>
      <c r="N46" s="6">
        <f t="shared" si="8"/>
        <v>-1.349038622382619E-2</v>
      </c>
      <c r="O46" s="6">
        <f t="shared" si="2"/>
        <v>1.0723412416764824E-2</v>
      </c>
      <c r="P46" s="6"/>
      <c r="Q46" s="6">
        <f t="shared" si="3"/>
        <v>-1.2773014708979426E-2</v>
      </c>
      <c r="R46" s="6">
        <f t="shared" si="4"/>
        <v>-1.7993646801684915E-2</v>
      </c>
      <c r="S46" s="6">
        <f t="shared" si="5"/>
        <v>-1.3527043976388615E-2</v>
      </c>
      <c r="T46" s="6">
        <f t="shared" si="6"/>
        <v>2.2300100408648374E-4</v>
      </c>
      <c r="U46" s="6"/>
      <c r="V46" s="3" t="s">
        <v>40</v>
      </c>
      <c r="W46" s="61">
        <f>+(W39-W12)/W40</f>
        <v>2.7853902133782675</v>
      </c>
      <c r="AC46" s="38"/>
    </row>
    <row r="47" spans="1:29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0"/>
        <v>2.1304815673750532E-4</v>
      </c>
      <c r="J47" s="6">
        <f t="shared" si="8"/>
        <v>-2.1632256780532658E-3</v>
      </c>
      <c r="K47" s="6">
        <f t="shared" si="8"/>
        <v>5.5350153172178456E-3</v>
      </c>
      <c r="L47" s="6">
        <f t="shared" si="8"/>
        <v>-4.2583678361532767E-3</v>
      </c>
      <c r="M47" s="6">
        <f t="shared" si="8"/>
        <v>6.3577877182322051E-2</v>
      </c>
      <c r="N47" s="6">
        <f t="shared" si="8"/>
        <v>-8.5190096941524674E-3</v>
      </c>
      <c r="O47" s="6">
        <f t="shared" si="2"/>
        <v>-1.7788484315057955E-3</v>
      </c>
      <c r="P47" s="6"/>
      <c r="Q47" s="6">
        <f t="shared" si="3"/>
        <v>1.9692109801849905E-2</v>
      </c>
      <c r="R47" s="6">
        <f t="shared" si="4"/>
        <v>6.3577877182322051E-2</v>
      </c>
      <c r="S47" s="6">
        <f t="shared" si="5"/>
        <v>2.7784335401774513E-2</v>
      </c>
      <c r="T47" s="6">
        <f t="shared" si="6"/>
        <v>0</v>
      </c>
      <c r="U47" s="6"/>
      <c r="AC47" s="38"/>
    </row>
    <row r="48" spans="1:29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0"/>
        <v>2.1190998881470691E-4</v>
      </c>
      <c r="J48" s="6">
        <f t="shared" si="8"/>
        <v>-1.48134638605088E-2</v>
      </c>
      <c r="K48" s="6">
        <f t="shared" si="8"/>
        <v>4.0397446205238134E-3</v>
      </c>
      <c r="L48" s="6">
        <f t="shared" si="8"/>
        <v>-1.623677213768495E-2</v>
      </c>
      <c r="M48" s="6">
        <f t="shared" si="8"/>
        <v>7.8330630368045693E-3</v>
      </c>
      <c r="N48" s="6">
        <f t="shared" si="8"/>
        <v>-1.2665186185757991E-2</v>
      </c>
      <c r="O48" s="6">
        <f t="shared" si="2"/>
        <v>-5.3566246756515997E-3</v>
      </c>
      <c r="P48" s="6"/>
      <c r="Q48" s="6">
        <f t="shared" si="3"/>
        <v>-7.6103871121983181E-3</v>
      </c>
      <c r="R48" s="6">
        <f t="shared" si="4"/>
        <v>7.8330630368045693E-3</v>
      </c>
      <c r="S48" s="6">
        <f t="shared" si="5"/>
        <v>-4.6976733637256393E-3</v>
      </c>
      <c r="T48" s="6">
        <f t="shared" si="6"/>
        <v>3.7256954665450808E-5</v>
      </c>
      <c r="U48" s="6"/>
      <c r="AC48" s="38"/>
    </row>
    <row r="49" spans="1:29" x14ac:dyDescent="0.2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0"/>
        <v>2.107714983077269E-4</v>
      </c>
      <c r="J49" s="6">
        <f t="shared" si="8"/>
        <v>6.9385280456884656E-4</v>
      </c>
      <c r="K49" s="6">
        <f t="shared" si="8"/>
        <v>-9.01984365197008E-3</v>
      </c>
      <c r="L49" s="6">
        <f t="shared" si="8"/>
        <v>-1.3735076896956099E-2</v>
      </c>
      <c r="M49" s="6">
        <f t="shared" si="8"/>
        <v>-2.8356670761467306E-2</v>
      </c>
      <c r="N49" s="6">
        <f t="shared" si="8"/>
        <v>-1.6869643388467898E-3</v>
      </c>
      <c r="O49" s="6">
        <f t="shared" si="2"/>
        <v>-5.3870031922159129E-3</v>
      </c>
      <c r="P49" s="6"/>
      <c r="Q49" s="6">
        <f t="shared" si="3"/>
        <v>-1.6091317896349336E-2</v>
      </c>
      <c r="R49" s="6">
        <f t="shared" si="4"/>
        <v>-2.8356670761467306E-2</v>
      </c>
      <c r="S49" s="6">
        <f t="shared" si="5"/>
        <v>-1.7616520772199652E-2</v>
      </c>
      <c r="T49" s="6">
        <f t="shared" si="6"/>
        <v>3.6186292270966558E-4</v>
      </c>
      <c r="U49" s="6"/>
      <c r="AC49" s="38"/>
    </row>
    <row r="50" spans="1:29" x14ac:dyDescent="0.2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0"/>
        <v>2.1115103099722532E-4</v>
      </c>
      <c r="J50" s="6">
        <f t="shared" si="8"/>
        <v>2.5402110604923374E-3</v>
      </c>
      <c r="K50" s="6">
        <f t="shared" si="8"/>
        <v>2.8437891260977562E-2</v>
      </c>
      <c r="L50" s="6">
        <f t="shared" si="8"/>
        <v>1.2049500256252955E-3</v>
      </c>
      <c r="M50" s="6">
        <f t="shared" si="8"/>
        <v>3.8062243981015008E-2</v>
      </c>
      <c r="N50" s="6">
        <f t="shared" si="8"/>
        <v>7.2394913997594025E-3</v>
      </c>
      <c r="O50" s="6">
        <f t="shared" si="2"/>
        <v>1.799063882608539E-3</v>
      </c>
      <c r="P50" s="6"/>
      <c r="Q50" s="6">
        <f t="shared" si="3"/>
        <v>1.4255034910361413E-2</v>
      </c>
      <c r="R50" s="6">
        <f t="shared" si="4"/>
        <v>3.8062243981015008E-2</v>
      </c>
      <c r="S50" s="6">
        <f t="shared" si="5"/>
        <v>1.8696217032811616E-2</v>
      </c>
      <c r="T50" s="6">
        <f t="shared" si="6"/>
        <v>0</v>
      </c>
      <c r="U50" s="6"/>
      <c r="AC50" s="38"/>
    </row>
    <row r="51" spans="1:29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0"/>
        <v>2.107714983077269E-4</v>
      </c>
      <c r="J51" s="6">
        <f t="shared" si="8"/>
        <v>-1.3583577722310494E-2</v>
      </c>
      <c r="K51" s="6">
        <f t="shared" si="8"/>
        <v>8.5898919565569297E-3</v>
      </c>
      <c r="L51" s="6">
        <f t="shared" si="8"/>
        <v>-5.4694749611117069E-3</v>
      </c>
      <c r="M51" s="6">
        <f t="shared" si="8"/>
        <v>-2.2136321441816844E-2</v>
      </c>
      <c r="N51" s="6">
        <f t="shared" si="8"/>
        <v>-1.4443397939346892E-2</v>
      </c>
      <c r="O51" s="6">
        <f t="shared" si="2"/>
        <v>-1.7990638826084831E-3</v>
      </c>
      <c r="P51" s="6"/>
      <c r="Q51" s="6">
        <f t="shared" si="3"/>
        <v>-1.2786975412665973E-2</v>
      </c>
      <c r="R51" s="6">
        <f t="shared" si="4"/>
        <v>-2.2136321441816844E-2</v>
      </c>
      <c r="S51" s="6">
        <f t="shared" si="5"/>
        <v>-1.4849028133815419E-2</v>
      </c>
      <c r="T51" s="6">
        <f t="shared" si="6"/>
        <v>2.64231601806095E-4</v>
      </c>
      <c r="U51" s="6"/>
      <c r="AC51" s="38"/>
    </row>
    <row r="52" spans="1:29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0"/>
        <v>2.1153052783073889E-4</v>
      </c>
      <c r="J52" s="6">
        <f t="shared" si="8"/>
        <v>-2.4913184770041188E-2</v>
      </c>
      <c r="K52" s="6">
        <f t="shared" si="8"/>
        <v>-6.0768940601561034E-3</v>
      </c>
      <c r="L52" s="6">
        <f t="shared" si="8"/>
        <v>2.5609400579485304E-3</v>
      </c>
      <c r="M52" s="6">
        <f t="shared" si="8"/>
        <v>-4.6189215703234801E-3</v>
      </c>
      <c r="N52" s="6">
        <f t="shared" si="8"/>
        <v>-1.1903071819740901E-2</v>
      </c>
      <c r="O52" s="6">
        <f t="shared" si="2"/>
        <v>3.5947274385814149E-3</v>
      </c>
      <c r="P52" s="6"/>
      <c r="Q52" s="6">
        <f t="shared" si="3"/>
        <v>-5.1131396996198716E-3</v>
      </c>
      <c r="R52" s="6">
        <f t="shared" si="4"/>
        <v>-4.6189215703234801E-3</v>
      </c>
      <c r="S52" s="6">
        <f t="shared" si="5"/>
        <v>-6.3614060937025058E-3</v>
      </c>
      <c r="T52" s="6">
        <f t="shared" si="6"/>
        <v>6.0335303090045816E-5</v>
      </c>
      <c r="U52" s="6"/>
      <c r="AC52" s="38"/>
    </row>
    <row r="53" spans="1:29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0"/>
        <v>2.1001232533235381E-4</v>
      </c>
      <c r="J53" s="6">
        <f t="shared" si="8"/>
        <v>7.9376258370334254E-3</v>
      </c>
      <c r="K53" s="6">
        <f t="shared" si="8"/>
        <v>-9.7279469304567372E-3</v>
      </c>
      <c r="L53" s="6">
        <f t="shared" si="8"/>
        <v>-3.6683337928199083E-2</v>
      </c>
      <c r="M53" s="6">
        <f t="shared" si="8"/>
        <v>-2.0040684628752883E-2</v>
      </c>
      <c r="N53" s="6">
        <f t="shared" si="8"/>
        <v>-4.811871761208667E-3</v>
      </c>
      <c r="O53" s="6">
        <f t="shared" si="2"/>
        <v>-7.2031066416293607E-3</v>
      </c>
      <c r="P53" s="6"/>
      <c r="Q53" s="6">
        <f t="shared" si="3"/>
        <v>-2.24899314103712E-2</v>
      </c>
      <c r="R53" s="6">
        <f t="shared" si="4"/>
        <v>-2.0040684628752883E-2</v>
      </c>
      <c r="S53" s="6">
        <f t="shared" si="5"/>
        <v>-1.9847215169156013E-2</v>
      </c>
      <c r="T53" s="6">
        <f t="shared" si="6"/>
        <v>4.5170655822933126E-4</v>
      </c>
      <c r="U53" s="6"/>
      <c r="AC53" s="38"/>
    </row>
    <row r="54" spans="1:29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0"/>
        <v>2.1001232533235381E-4</v>
      </c>
      <c r="J54" s="6">
        <f t="shared" si="8"/>
        <v>1.2230145391432332E-2</v>
      </c>
      <c r="K54" s="6">
        <f t="shared" si="8"/>
        <v>1.6339294527615768E-2</v>
      </c>
      <c r="L54" s="6">
        <f t="shared" si="8"/>
        <v>1.26689866257148E-2</v>
      </c>
      <c r="M54" s="6">
        <f t="shared" si="8"/>
        <v>2.9257291384540907E-2</v>
      </c>
      <c r="N54" s="6">
        <f t="shared" si="8"/>
        <v>1.1938544947970331E-2</v>
      </c>
      <c r="O54" s="6">
        <f t="shared" si="2"/>
        <v>0</v>
      </c>
      <c r="P54" s="6"/>
      <c r="Q54" s="6">
        <f t="shared" si="3"/>
        <v>1.8346336930474313E-2</v>
      </c>
      <c r="R54" s="6">
        <f t="shared" si="4"/>
        <v>2.9257291384540907E-2</v>
      </c>
      <c r="S54" s="6">
        <f t="shared" si="5"/>
        <v>2.031442577462185E-2</v>
      </c>
      <c r="T54" s="6">
        <f t="shared" si="6"/>
        <v>0</v>
      </c>
      <c r="U54" s="6"/>
      <c r="AC54" s="38"/>
    </row>
    <row r="55" spans="1:29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0"/>
        <v>2.107714983077269E-4</v>
      </c>
      <c r="J55" s="6">
        <f t="shared" si="8"/>
        <v>2.8148308012558494E-3</v>
      </c>
      <c r="K55" s="6">
        <f t="shared" si="8"/>
        <v>6.0369707476601144E-3</v>
      </c>
      <c r="L55" s="6">
        <f t="shared" si="8"/>
        <v>1.1863603111821981E-2</v>
      </c>
      <c r="M55" s="6">
        <f t="shared" si="8"/>
        <v>9.1325041752728462E-3</v>
      </c>
      <c r="N55" s="6">
        <f t="shared" si="8"/>
        <v>6.4540892074659807E-3</v>
      </c>
      <c r="O55" s="6">
        <f t="shared" si="2"/>
        <v>3.6083792030479219E-3</v>
      </c>
      <c r="P55" s="6"/>
      <c r="Q55" s="6">
        <f t="shared" si="3"/>
        <v>9.2088806798137253E-3</v>
      </c>
      <c r="R55" s="6">
        <f t="shared" si="4"/>
        <v>9.1325041752728462E-3</v>
      </c>
      <c r="S55" s="6">
        <f t="shared" si="5"/>
        <v>8.7486314962522474E-3</v>
      </c>
      <c r="T55" s="6">
        <f t="shared" si="6"/>
        <v>0</v>
      </c>
      <c r="U55" s="6"/>
      <c r="AC55" s="38"/>
    </row>
    <row r="56" spans="1:29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0"/>
        <v>2.1190998881470691E-4</v>
      </c>
      <c r="J56" s="6">
        <f t="shared" si="8"/>
        <v>1.8565290897534802E-2</v>
      </c>
      <c r="K56" s="6">
        <f t="shared" si="8"/>
        <v>-8.8556819319023528E-4</v>
      </c>
      <c r="L56" s="6">
        <f t="shared" si="8"/>
        <v>-8.6331287395108823E-4</v>
      </c>
      <c r="M56" s="6">
        <f t="shared" si="8"/>
        <v>1.1620614661695866E-2</v>
      </c>
      <c r="N56" s="6">
        <f t="shared" si="8"/>
        <v>1.0451180679737281E-2</v>
      </c>
      <c r="O56" s="6">
        <f t="shared" si="2"/>
        <v>5.3870031922159962E-3</v>
      </c>
      <c r="P56" s="6"/>
      <c r="Q56" s="6">
        <f t="shared" si="3"/>
        <v>7.1353552551786034E-3</v>
      </c>
      <c r="R56" s="6">
        <f t="shared" si="4"/>
        <v>1.1620614661695866E-2</v>
      </c>
      <c r="S56" s="6">
        <f t="shared" si="5"/>
        <v>8.8847409935393744E-3</v>
      </c>
      <c r="T56" s="6">
        <f t="shared" si="6"/>
        <v>0</v>
      </c>
      <c r="U56" s="6"/>
      <c r="AC56" s="38"/>
    </row>
    <row r="57" spans="1:29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0"/>
        <v>2.0925300885044074E-4</v>
      </c>
      <c r="J57" s="6">
        <f t="shared" si="8"/>
        <v>2.0482069684558096E-2</v>
      </c>
      <c r="K57" s="6">
        <f t="shared" si="8"/>
        <v>1.1450857122828546E-2</v>
      </c>
      <c r="L57" s="6">
        <f t="shared" si="8"/>
        <v>1.7691845912209535E-2</v>
      </c>
      <c r="M57" s="6">
        <f t="shared" si="8"/>
        <v>9.581644883623272E-3</v>
      </c>
      <c r="N57" s="6">
        <f t="shared" si="8"/>
        <v>1.8682956430735833E-2</v>
      </c>
      <c r="O57" s="6">
        <f t="shared" si="2"/>
        <v>-1.2617514969468103E-2</v>
      </c>
      <c r="P57" s="6"/>
      <c r="Q57" s="6">
        <f t="shared" si="3"/>
        <v>1.5401836834377028E-2</v>
      </c>
      <c r="R57" s="6">
        <f t="shared" si="4"/>
        <v>9.581644883623272E-3</v>
      </c>
      <c r="S57" s="6">
        <f t="shared" si="5"/>
        <v>1.4466808678214396E-2</v>
      </c>
      <c r="T57" s="6">
        <f t="shared" si="6"/>
        <v>0</v>
      </c>
      <c r="U57" s="6"/>
      <c r="AC57" s="38"/>
    </row>
    <row r="58" spans="1:29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0"/>
        <v>2.0963268503315646E-4</v>
      </c>
      <c r="J58" s="6">
        <f t="shared" si="8"/>
        <v>-5.1946810275440517E-3</v>
      </c>
      <c r="K58" s="6">
        <f t="shared" si="8"/>
        <v>-6.1495523287532295E-3</v>
      </c>
      <c r="L58" s="6">
        <f t="shared" si="8"/>
        <v>1.1110587455196269E-2</v>
      </c>
      <c r="M58" s="6">
        <f t="shared" si="8"/>
        <v>9.4907076045383631E-3</v>
      </c>
      <c r="N58" s="6">
        <f t="shared" si="8"/>
        <v>9.3498696374369732E-3</v>
      </c>
      <c r="O58" s="6">
        <f t="shared" si="2"/>
        <v>1.8127918534072056E-3</v>
      </c>
      <c r="P58" s="6"/>
      <c r="Q58" s="6">
        <f t="shared" si="3"/>
        <v>7.4733246954884567E-3</v>
      </c>
      <c r="R58" s="6">
        <f t="shared" si="4"/>
        <v>9.4907076045383631E-3</v>
      </c>
      <c r="S58" s="6">
        <f t="shared" si="5"/>
        <v>7.0226155633604584E-3</v>
      </c>
      <c r="T58" s="6">
        <f t="shared" si="6"/>
        <v>0</v>
      </c>
      <c r="U58" s="6"/>
      <c r="AC58" s="38"/>
    </row>
    <row r="59" spans="1:29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0"/>
        <v>2.0621430676981412E-4</v>
      </c>
      <c r="J59" s="6">
        <f t="shared" si="8"/>
        <v>1.44996022601437E-2</v>
      </c>
      <c r="K59" s="6">
        <f t="shared" si="8"/>
        <v>4.0454488376433064E-3</v>
      </c>
      <c r="L59" s="6">
        <f t="shared" si="8"/>
        <v>7.5241008178584595E-3</v>
      </c>
      <c r="M59" s="6">
        <f t="shared" si="8"/>
        <v>-8.2201612246451568E-3</v>
      </c>
      <c r="N59" s="6">
        <f t="shared" si="8"/>
        <v>1.7514263468030517E-3</v>
      </c>
      <c r="O59" s="6">
        <f t="shared" si="2"/>
        <v>-1.6440928180425498E-2</v>
      </c>
      <c r="P59" s="6"/>
      <c r="Q59" s="6">
        <f t="shared" si="3"/>
        <v>3.3724902743584089E-3</v>
      </c>
      <c r="R59" s="6">
        <f t="shared" si="4"/>
        <v>-8.2201612246451568E-3</v>
      </c>
      <c r="S59" s="6">
        <f t="shared" si="5"/>
        <v>1.5953579360402717E-3</v>
      </c>
      <c r="T59" s="6">
        <f t="shared" si="6"/>
        <v>0</v>
      </c>
      <c r="U59" s="6"/>
      <c r="AC59" s="38"/>
    </row>
    <row r="60" spans="1:29" x14ac:dyDescent="0.2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0"/>
        <v>2.0773394514983501E-4</v>
      </c>
      <c r="J60" s="6">
        <f t="shared" si="8"/>
        <v>1.4347282613426004E-2</v>
      </c>
      <c r="K60" s="6">
        <f t="shared" si="8"/>
        <v>3.6793121473435051E-3</v>
      </c>
      <c r="L60" s="6">
        <f t="shared" si="8"/>
        <v>-4.8618261899616047E-4</v>
      </c>
      <c r="M60" s="6">
        <f t="shared" si="8"/>
        <v>5.6981618175608508E-3</v>
      </c>
      <c r="N60" s="6">
        <f t="shared" si="8"/>
        <v>2.8361156932399829E-3</v>
      </c>
      <c r="O60" s="6">
        <f t="shared" si="2"/>
        <v>7.3421989327175866E-3</v>
      </c>
      <c r="P60" s="6"/>
      <c r="Q60" s="6">
        <f t="shared" si="3"/>
        <v>4.458493584148215E-3</v>
      </c>
      <c r="R60" s="6">
        <f t="shared" si="4"/>
        <v>5.6981618175608508E-3</v>
      </c>
      <c r="S60" s="6">
        <f t="shared" si="5"/>
        <v>5.4051804818547426E-3</v>
      </c>
      <c r="T60" s="6">
        <f t="shared" si="6"/>
        <v>0</v>
      </c>
      <c r="U60" s="6"/>
      <c r="AC60" s="38"/>
    </row>
    <row r="61" spans="1:29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0"/>
        <v>2.0773394514983501E-4</v>
      </c>
      <c r="J61" s="6">
        <f t="shared" si="8"/>
        <v>5.8675683603629037E-3</v>
      </c>
      <c r="K61" s="6">
        <f t="shared" si="8"/>
        <v>-1.5752086562333767E-3</v>
      </c>
      <c r="L61" s="6">
        <f t="shared" si="8"/>
        <v>4.9183358399554396E-3</v>
      </c>
      <c r="M61" s="6">
        <f t="shared" si="8"/>
        <v>-1.2067567354175589E-2</v>
      </c>
      <c r="N61" s="6">
        <f t="shared" si="8"/>
        <v>1.0044332873557552E-3</v>
      </c>
      <c r="O61" s="6">
        <f t="shared" si="2"/>
        <v>0</v>
      </c>
      <c r="P61" s="6"/>
      <c r="Q61" s="6">
        <f t="shared" si="3"/>
        <v>-8.0082872350029956E-4</v>
      </c>
      <c r="R61" s="6">
        <f t="shared" si="4"/>
        <v>-1.2067567354175589E-2</v>
      </c>
      <c r="S61" s="6">
        <f t="shared" si="5"/>
        <v>-2.8143781658588928E-3</v>
      </c>
      <c r="T61" s="6">
        <f t="shared" si="6"/>
        <v>1.7813061985484512E-5</v>
      </c>
      <c r="U61" s="6"/>
      <c r="AC61" s="38"/>
    </row>
    <row r="62" spans="1:29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0"/>
        <v>2.0811376493412581E-4</v>
      </c>
      <c r="J62" s="6">
        <f t="shared" si="8"/>
        <v>-2.6278835003809412E-3</v>
      </c>
      <c r="K62" s="6">
        <f t="shared" si="8"/>
        <v>-7.5604337307585206E-3</v>
      </c>
      <c r="L62" s="6">
        <f t="shared" si="8"/>
        <v>-2.9757978020443572E-3</v>
      </c>
      <c r="M62" s="6">
        <f t="shared" si="8"/>
        <v>-1.2787371052778911E-3</v>
      </c>
      <c r="N62" s="6">
        <f t="shared" si="8"/>
        <v>-8.1167621824379983E-3</v>
      </c>
      <c r="O62" s="6">
        <f t="shared" si="2"/>
        <v>1.8267258936371892E-3</v>
      </c>
      <c r="P62" s="6"/>
      <c r="Q62" s="6">
        <f t="shared" si="3"/>
        <v>-2.3209040884009467E-3</v>
      </c>
      <c r="R62" s="6">
        <f t="shared" si="4"/>
        <v>-1.2787371052778911E-3</v>
      </c>
      <c r="S62" s="6">
        <f t="shared" si="5"/>
        <v>-2.123566850111292E-3</v>
      </c>
      <c r="T62" s="6">
        <f t="shared" si="6"/>
        <v>1.2459071640421104E-5</v>
      </c>
      <c r="U62" s="6"/>
      <c r="AC62" s="38"/>
    </row>
    <row r="63" spans="1:29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0"/>
        <v>2.1001232533235381E-4</v>
      </c>
      <c r="J63" s="6">
        <f t="shared" si="8"/>
        <v>2.2954556969230551E-2</v>
      </c>
      <c r="K63" s="6">
        <f t="shared" si="8"/>
        <v>1.0583701900695479E-3</v>
      </c>
      <c r="L63" s="6">
        <f t="shared" si="8"/>
        <v>1.4722279452399911E-2</v>
      </c>
      <c r="M63" s="6">
        <f t="shared" si="8"/>
        <v>6.3967350467703291E-4</v>
      </c>
      <c r="N63" s="6">
        <f t="shared" si="8"/>
        <v>1.5495728650985885E-2</v>
      </c>
      <c r="O63" s="6">
        <f t="shared" si="2"/>
        <v>9.0813440748678219E-3</v>
      </c>
      <c r="P63" s="6"/>
      <c r="Q63" s="6">
        <f t="shared" si="3"/>
        <v>1.1384658011959864E-2</v>
      </c>
      <c r="R63" s="6">
        <f t="shared" si="4"/>
        <v>6.3967350467703291E-4</v>
      </c>
      <c r="S63" s="6">
        <f t="shared" si="5"/>
        <v>9.8025818178982156E-3</v>
      </c>
      <c r="T63" s="6">
        <f t="shared" si="6"/>
        <v>0</v>
      </c>
      <c r="U63" s="6"/>
      <c r="AC63" s="38"/>
    </row>
    <row r="64" spans="1:29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0"/>
        <v>2.0963268503315646E-4</v>
      </c>
      <c r="J64" s="6">
        <f t="shared" si="8"/>
        <v>-8.6207243473615386E-3</v>
      </c>
      <c r="K64" s="6">
        <f t="shared" si="8"/>
        <v>3.6955712633663846E-3</v>
      </c>
      <c r="L64" s="6">
        <f t="shared" si="8"/>
        <v>-4.4488788474790633E-3</v>
      </c>
      <c r="M64" s="6">
        <f t="shared" si="8"/>
        <v>-3.8437221263010121E-3</v>
      </c>
      <c r="N64" s="6">
        <f t="shared" si="8"/>
        <v>-8.3609108519786131E-4</v>
      </c>
      <c r="O64" s="6">
        <f t="shared" si="2"/>
        <v>-1.8093407207971416E-3</v>
      </c>
      <c r="P64" s="6"/>
      <c r="Q64" s="6">
        <f t="shared" si="3"/>
        <v>-5.0254535654663448E-3</v>
      </c>
      <c r="R64" s="6">
        <f t="shared" si="4"/>
        <v>-3.8437221263010121E-3</v>
      </c>
      <c r="S64" s="6">
        <f t="shared" si="5"/>
        <v>-4.9959374184038313E-3</v>
      </c>
      <c r="T64" s="6">
        <f t="shared" si="6"/>
        <v>4.0987032738437184E-5</v>
      </c>
      <c r="U64" s="6"/>
      <c r="AC64" s="38"/>
    </row>
    <row r="65" spans="1:29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0"/>
        <v>2.0925300885044074E-4</v>
      </c>
      <c r="J65" s="6">
        <f t="shared" si="8"/>
        <v>1.4184635374476782E-2</v>
      </c>
      <c r="K65" s="6">
        <f t="shared" si="8"/>
        <v>2.981612142296002E-3</v>
      </c>
      <c r="L65" s="6">
        <f t="shared" si="8"/>
        <v>1.8082265985749042E-2</v>
      </c>
      <c r="M65" s="6">
        <f t="shared" si="8"/>
        <v>3.2040486216239152E-3</v>
      </c>
      <c r="N65" s="6">
        <f t="shared" si="8"/>
        <v>1.8895282757298078E-2</v>
      </c>
      <c r="O65" s="6">
        <f t="shared" si="2"/>
        <v>-1.8127918534071839E-3</v>
      </c>
      <c r="P65" s="6"/>
      <c r="Q65" s="6">
        <f t="shared" si="3"/>
        <v>1.2180971372904165E-2</v>
      </c>
      <c r="R65" s="6">
        <f t="shared" si="4"/>
        <v>3.2040486216239152E-3</v>
      </c>
      <c r="S65" s="6">
        <f t="shared" si="5"/>
        <v>1.0333874112097146E-2</v>
      </c>
      <c r="T65" s="6">
        <f t="shared" si="6"/>
        <v>0</v>
      </c>
      <c r="U65" s="6"/>
      <c r="AC65" s="38"/>
    </row>
    <row r="66" spans="1:29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0"/>
        <v>2.043139499885438E-4</v>
      </c>
      <c r="J66" s="6">
        <f t="shared" si="8"/>
        <v>3.0363308776654089E-3</v>
      </c>
      <c r="K66" s="6">
        <f t="shared" si="8"/>
        <v>1.9246372583412658E-3</v>
      </c>
      <c r="L66" s="6">
        <f t="shared" si="8"/>
        <v>8.7197537313942614E-3</v>
      </c>
      <c r="M66" s="6">
        <f t="shared" si="8"/>
        <v>8.2829440398884853E-3</v>
      </c>
      <c r="N66" s="6">
        <f t="shared" si="8"/>
        <v>1.5958076771483444E-3</v>
      </c>
      <c r="O66" s="6">
        <f t="shared" si="2"/>
        <v>-2.3886307105055279E-2</v>
      </c>
      <c r="P66" s="6"/>
      <c r="Q66" s="6">
        <f t="shared" si="3"/>
        <v>7.49632095917422E-3</v>
      </c>
      <c r="R66" s="6">
        <f t="shared" si="4"/>
        <v>8.2829440398884853E-3</v>
      </c>
      <c r="S66" s="6">
        <f t="shared" si="5"/>
        <v>7.3528950548051612E-3</v>
      </c>
      <c r="T66" s="6">
        <f t="shared" si="6"/>
        <v>0</v>
      </c>
      <c r="U66" s="6"/>
      <c r="AC66" s="38"/>
    </row>
    <row r="67" spans="1:29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si="0"/>
        <v>2.0545427193918719E-4</v>
      </c>
      <c r="J67" s="6">
        <f t="shared" si="8"/>
        <v>9.0015200429287429E-3</v>
      </c>
      <c r="K67" s="6">
        <f t="shared" si="8"/>
        <v>-1.0493722296692307E-3</v>
      </c>
      <c r="L67" s="6">
        <f t="shared" si="8"/>
        <v>1.1355018101563337E-2</v>
      </c>
      <c r="M67" s="6">
        <f t="shared" si="8"/>
        <v>7.5853598266493183E-3</v>
      </c>
      <c r="N67" s="6">
        <f t="shared" si="8"/>
        <v>1.1896413835666805E-3</v>
      </c>
      <c r="O67" s="6">
        <f t="shared" si="2"/>
        <v>5.565706822906585E-3</v>
      </c>
      <c r="P67" s="6"/>
      <c r="Q67" s="6">
        <f t="shared" si="3"/>
        <v>9.6022334731668026E-3</v>
      </c>
      <c r="R67" s="6">
        <f t="shared" si="4"/>
        <v>7.5853598266493183E-3</v>
      </c>
      <c r="S67" s="6">
        <f t="shared" si="5"/>
        <v>9.0989913976314007E-3</v>
      </c>
      <c r="T67" s="6">
        <f t="shared" si="6"/>
        <v>0</v>
      </c>
      <c r="U67" s="6"/>
      <c r="AC67" s="38"/>
    </row>
    <row r="68" spans="1:29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ref="H68:H131" si="9">+(1+G68)^(1/250)-1</f>
        <v>2.0393377072314145E-4</v>
      </c>
      <c r="J68" s="6">
        <f t="shared" ref="J68:N99" si="10">LN(B68/B67)</f>
        <v>-1.0544870529251719E-4</v>
      </c>
      <c r="K68" s="6">
        <f t="shared" si="10"/>
        <v>1.9229550455904989E-3</v>
      </c>
      <c r="L68" s="6">
        <f t="shared" si="10"/>
        <v>9.0052481102475771E-3</v>
      </c>
      <c r="M68" s="6">
        <f t="shared" si="10"/>
        <v>1.2586844676198644E-3</v>
      </c>
      <c r="N68" s="6">
        <f t="shared" si="10"/>
        <v>1.2812755985166719E-3</v>
      </c>
      <c r="O68" s="6">
        <f t="shared" ref="O68:O131" si="11">+LN(H68/H67)</f>
        <v>-7.4282003826470254E-3</v>
      </c>
      <c r="P68" s="6"/>
      <c r="Q68" s="6">
        <f t="shared" ref="Q68:Q131" si="12">+SUMPRODUCT($W$16:$Z$16,J68:M68)</f>
        <v>4.5972836527201182E-3</v>
      </c>
      <c r="R68" s="6">
        <f t="shared" ref="R68:R131" si="13">+SUMPRODUCT($W$17:$Z$17,J68:M68)</f>
        <v>1.2586844676198644E-3</v>
      </c>
      <c r="S68" s="6">
        <f t="shared" ref="S68:S131" si="14">+SUMPRODUCT($W$18:$Z$18,J68:M68)</f>
        <v>3.5390116856243801E-3</v>
      </c>
      <c r="T68" s="6">
        <f t="shared" ref="T68:T131" si="15">+MIN(S68-AVERAGE($S$3:$S$254),0)^2</f>
        <v>0</v>
      </c>
      <c r="U68" s="6"/>
      <c r="AC68" s="38"/>
    </row>
    <row r="69" spans="1:29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9"/>
        <v>2.043139499885438E-4</v>
      </c>
      <c r="J69" s="6">
        <f t="shared" si="10"/>
        <v>9.2354873918627962E-3</v>
      </c>
      <c r="K69" s="6">
        <f t="shared" si="10"/>
        <v>2.4420582166783792E-3</v>
      </c>
      <c r="L69" s="6">
        <f t="shared" si="10"/>
        <v>3.0707044771690309E-3</v>
      </c>
      <c r="M69" s="6">
        <f t="shared" si="10"/>
        <v>1.250014351434138E-2</v>
      </c>
      <c r="N69" s="6">
        <f t="shared" si="10"/>
        <v>7.3631338909269815E-3</v>
      </c>
      <c r="O69" s="6">
        <f t="shared" si="11"/>
        <v>1.86249355974044E-3</v>
      </c>
      <c r="P69" s="6"/>
      <c r="Q69" s="6">
        <f t="shared" si="12"/>
        <v>7.5075009992189795E-3</v>
      </c>
      <c r="R69" s="6">
        <f t="shared" si="13"/>
        <v>1.250014351434138E-2</v>
      </c>
      <c r="S69" s="6">
        <f t="shared" si="14"/>
        <v>8.7098723893561953E-3</v>
      </c>
      <c r="T69" s="6">
        <f t="shared" si="15"/>
        <v>0</v>
      </c>
      <c r="U69" s="6"/>
      <c r="AC69" s="38"/>
    </row>
    <row r="70" spans="1:29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9"/>
        <v>2.0469409327517063E-4</v>
      </c>
      <c r="J70" s="6">
        <f t="shared" si="10"/>
        <v>-4.2398033377747738E-3</v>
      </c>
      <c r="K70" s="6">
        <f t="shared" si="10"/>
        <v>1.0915721899237774E-2</v>
      </c>
      <c r="L70" s="6">
        <f t="shared" si="10"/>
        <v>-2.089635023942204E-3</v>
      </c>
      <c r="M70" s="6">
        <f t="shared" si="10"/>
        <v>5.5745681417839043E-3</v>
      </c>
      <c r="N70" s="6">
        <f t="shared" si="10"/>
        <v>-2.0229887908321687E-3</v>
      </c>
      <c r="O70" s="6">
        <f t="shared" si="11"/>
        <v>1.8588553567499826E-3</v>
      </c>
      <c r="P70" s="6"/>
      <c r="Q70" s="6">
        <f t="shared" si="12"/>
        <v>1.6620514215626376E-4</v>
      </c>
      <c r="R70" s="6">
        <f t="shared" si="13"/>
        <v>5.5745681417839043E-3</v>
      </c>
      <c r="S70" s="6">
        <f t="shared" si="14"/>
        <v>1.070086270717004E-3</v>
      </c>
      <c r="T70" s="6">
        <f t="shared" si="15"/>
        <v>1.1295507331792738E-7</v>
      </c>
      <c r="U70" s="6"/>
      <c r="AC70" s="38"/>
    </row>
    <row r="71" spans="1:29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9"/>
        <v>2.043139499885438E-4</v>
      </c>
      <c r="J71" s="6">
        <f t="shared" si="10"/>
        <v>3.5083046042034536E-3</v>
      </c>
      <c r="K71" s="6">
        <f t="shared" si="10"/>
        <v>6.698173115196048E-3</v>
      </c>
      <c r="L71" s="6">
        <f t="shared" si="10"/>
        <v>2.3505409404632072E-3</v>
      </c>
      <c r="M71" s="6">
        <f t="shared" si="10"/>
        <v>-1.2361893781621346E-3</v>
      </c>
      <c r="N71" s="6">
        <f t="shared" si="10"/>
        <v>4.0528664649777243E-3</v>
      </c>
      <c r="O71" s="6">
        <f t="shared" si="11"/>
        <v>-1.8588553567499557E-3</v>
      </c>
      <c r="P71" s="6"/>
      <c r="Q71" s="6">
        <f t="shared" si="12"/>
        <v>1.32341465712586E-3</v>
      </c>
      <c r="R71" s="6">
        <f t="shared" si="13"/>
        <v>-1.2361893781621346E-3</v>
      </c>
      <c r="S71" s="6">
        <f t="shared" si="14"/>
        <v>9.2237948672521252E-4</v>
      </c>
      <c r="T71" s="6">
        <f t="shared" si="15"/>
        <v>2.3405729164014336E-7</v>
      </c>
      <c r="U71" s="6"/>
      <c r="AC71" s="38"/>
    </row>
    <row r="72" spans="1:29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9"/>
        <v>2.0507420058968329E-4</v>
      </c>
      <c r="J72" s="6">
        <f t="shared" si="10"/>
        <v>-7.0289607553052254E-3</v>
      </c>
      <c r="K72" s="6">
        <f t="shared" si="10"/>
        <v>2.564368058518235E-3</v>
      </c>
      <c r="L72" s="6">
        <f t="shared" si="10"/>
        <v>1.3685641523619864E-3</v>
      </c>
      <c r="M72" s="6">
        <f t="shared" si="10"/>
        <v>2.4706584385659168E-3</v>
      </c>
      <c r="N72" s="6">
        <f t="shared" si="10"/>
        <v>5.9675559803246874E-4</v>
      </c>
      <c r="O72" s="6">
        <f t="shared" si="11"/>
        <v>3.7140863701174238E-3</v>
      </c>
      <c r="P72" s="6"/>
      <c r="Q72" s="6">
        <f t="shared" si="12"/>
        <v>1.6768504614934736E-4</v>
      </c>
      <c r="R72" s="6">
        <f t="shared" si="13"/>
        <v>2.4706584385659168E-3</v>
      </c>
      <c r="S72" s="6">
        <f t="shared" si="14"/>
        <v>1.8439622691682374E-4</v>
      </c>
      <c r="T72" s="6">
        <f t="shared" si="15"/>
        <v>1.4927413322928224E-6</v>
      </c>
      <c r="U72" s="6"/>
      <c r="AC72" s="38"/>
    </row>
    <row r="73" spans="1:29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9"/>
        <v>2.0507420058968329E-4</v>
      </c>
      <c r="J73" s="6">
        <f t="shared" si="10"/>
        <v>-9.4805949388913479E-4</v>
      </c>
      <c r="K73" s="6">
        <f t="shared" si="10"/>
        <v>-1.8798349524674102E-3</v>
      </c>
      <c r="L73" s="6">
        <f t="shared" si="10"/>
        <v>-2.2819464710573719E-3</v>
      </c>
      <c r="M73" s="6">
        <f t="shared" si="10"/>
        <v>0</v>
      </c>
      <c r="N73" s="6">
        <f t="shared" si="10"/>
        <v>-1.9561422168003027E-3</v>
      </c>
      <c r="O73" s="6">
        <f t="shared" si="11"/>
        <v>0</v>
      </c>
      <c r="P73" s="6"/>
      <c r="Q73" s="6">
        <f t="shared" si="12"/>
        <v>-1.2380271626167083E-3</v>
      </c>
      <c r="R73" s="6">
        <f t="shared" si="13"/>
        <v>0</v>
      </c>
      <c r="S73" s="6">
        <f t="shared" si="14"/>
        <v>-9.4818251688017473E-4</v>
      </c>
      <c r="T73" s="6">
        <f t="shared" si="15"/>
        <v>5.5429953899575557E-6</v>
      </c>
      <c r="U73" s="6"/>
      <c r="AC73" s="38"/>
    </row>
    <row r="74" spans="1:29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9"/>
        <v>2.0545427193918719E-4</v>
      </c>
      <c r="J74" s="6">
        <f t="shared" si="10"/>
        <v>3.2089405359202782E-3</v>
      </c>
      <c r="K74" s="6">
        <f t="shared" si="10"/>
        <v>2.0506000205027385E-3</v>
      </c>
      <c r="L74" s="6">
        <f t="shared" si="10"/>
        <v>2.2819464710573632E-3</v>
      </c>
      <c r="M74" s="6">
        <f t="shared" si="10"/>
        <v>-1.8524051289652865E-3</v>
      </c>
      <c r="N74" s="6">
        <f t="shared" si="10"/>
        <v>9.7964714182290037E-4</v>
      </c>
      <c r="O74" s="6">
        <f t="shared" si="11"/>
        <v>1.8516204527893802E-3</v>
      </c>
      <c r="P74" s="6"/>
      <c r="Q74" s="6">
        <f t="shared" si="12"/>
        <v>1.0211472244066248E-3</v>
      </c>
      <c r="R74" s="6">
        <f t="shared" si="13"/>
        <v>-1.8524051289652865E-3</v>
      </c>
      <c r="S74" s="6">
        <f t="shared" si="14"/>
        <v>5.4325586297747743E-4</v>
      </c>
      <c r="T74" s="6">
        <f t="shared" si="15"/>
        <v>7.4462799759414857E-7</v>
      </c>
      <c r="U74" s="6"/>
      <c r="AC74" s="38"/>
    </row>
    <row r="75" spans="1:29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9"/>
        <v>2.043139499885438E-4</v>
      </c>
      <c r="J75" s="6">
        <f t="shared" si="10"/>
        <v>-5.4242788854046205E-3</v>
      </c>
      <c r="K75" s="6">
        <f t="shared" si="10"/>
        <v>-5.9926490699218782E-3</v>
      </c>
      <c r="L75" s="6">
        <f t="shared" si="10"/>
        <v>5.0673693523613879E-3</v>
      </c>
      <c r="M75" s="6">
        <f t="shared" si="10"/>
        <v>7.3891849715765874E-3</v>
      </c>
      <c r="N75" s="6">
        <f t="shared" si="10"/>
        <v>-9.4668376742538802E-4</v>
      </c>
      <c r="O75" s="6">
        <f t="shared" si="11"/>
        <v>-5.5657068229066041E-3</v>
      </c>
      <c r="P75" s="6"/>
      <c r="Q75" s="6">
        <f t="shared" si="12"/>
        <v>3.8951241960399649E-3</v>
      </c>
      <c r="R75" s="6">
        <f t="shared" si="13"/>
        <v>7.3891849715765874E-3</v>
      </c>
      <c r="S75" s="6">
        <f t="shared" si="14"/>
        <v>4.0041480692622217E-3</v>
      </c>
      <c r="T75" s="6">
        <f t="shared" si="15"/>
        <v>0</v>
      </c>
      <c r="U75" s="6"/>
      <c r="AC75" s="38"/>
    </row>
    <row r="76" spans="1:29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9"/>
        <v>2.0317330422892077E-4</v>
      </c>
      <c r="J76" s="6">
        <f t="shared" si="10"/>
        <v>3.0580089148523034E-3</v>
      </c>
      <c r="K76" s="6">
        <f t="shared" si="10"/>
        <v>1.1530896635000211E-2</v>
      </c>
      <c r="L76" s="6">
        <f t="shared" si="10"/>
        <v>1.1340267252648781E-2</v>
      </c>
      <c r="M76" s="6">
        <f t="shared" si="10"/>
        <v>1.6428683176453563E-2</v>
      </c>
      <c r="N76" s="6">
        <f t="shared" si="10"/>
        <v>3.7769911916856066E-3</v>
      </c>
      <c r="O76" s="6">
        <f t="shared" si="11"/>
        <v>-5.5984511272670423E-3</v>
      </c>
      <c r="P76" s="6"/>
      <c r="Q76" s="6">
        <f t="shared" si="12"/>
        <v>1.1545330657310445E-2</v>
      </c>
      <c r="R76" s="6">
        <f t="shared" si="13"/>
        <v>1.6428683176453563E-2</v>
      </c>
      <c r="S76" s="6">
        <f t="shared" si="14"/>
        <v>1.2034453655022382E-2</v>
      </c>
      <c r="T76" s="6">
        <f t="shared" si="15"/>
        <v>0</v>
      </c>
      <c r="U76" s="6"/>
      <c r="AC76" s="38"/>
    </row>
    <row r="77" spans="1:29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9"/>
        <v>1.9974942225231551E-4</v>
      </c>
      <c r="J77" s="6">
        <f t="shared" si="10"/>
        <v>6.7683969358011721E-3</v>
      </c>
      <c r="K77" s="6">
        <f t="shared" si="10"/>
        <v>3.4165183963682714E-3</v>
      </c>
      <c r="L77" s="6">
        <f t="shared" si="10"/>
        <v>4.857594182652576E-3</v>
      </c>
      <c r="M77" s="6">
        <f t="shared" si="10"/>
        <v>1.1401293855996619E-2</v>
      </c>
      <c r="N77" s="6">
        <f t="shared" si="10"/>
        <v>5.8565417006152948E-3</v>
      </c>
      <c r="O77" s="6">
        <f t="shared" si="11"/>
        <v>-1.6995637959121939E-2</v>
      </c>
      <c r="P77" s="6"/>
      <c r="Q77" s="6">
        <f t="shared" si="12"/>
        <v>7.4901523845112821E-3</v>
      </c>
      <c r="R77" s="6">
        <f t="shared" si="13"/>
        <v>1.1401293855996619E-2</v>
      </c>
      <c r="S77" s="6">
        <f t="shared" si="14"/>
        <v>8.289867284730584E-3</v>
      </c>
      <c r="T77" s="6">
        <f t="shared" si="15"/>
        <v>0</v>
      </c>
      <c r="U77" s="6"/>
      <c r="AC77" s="38"/>
    </row>
    <row r="78" spans="1:29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9"/>
        <v>2.0127150788695758E-4</v>
      </c>
      <c r="J78" s="6">
        <f t="shared" si="10"/>
        <v>-9.5097229376474839E-3</v>
      </c>
      <c r="K78" s="6">
        <f t="shared" si="10"/>
        <v>-1.1944749472458554E-3</v>
      </c>
      <c r="L78" s="6">
        <f t="shared" si="10"/>
        <v>7.3054908777762974E-3</v>
      </c>
      <c r="M78" s="6">
        <f t="shared" si="10"/>
        <v>-5.9844807698541955E-3</v>
      </c>
      <c r="N78" s="6">
        <f t="shared" si="10"/>
        <v>-5.4231665551195962E-3</v>
      </c>
      <c r="O78" s="6">
        <f t="shared" si="11"/>
        <v>7.5910897879737701E-3</v>
      </c>
      <c r="P78" s="6"/>
      <c r="Q78" s="6">
        <f t="shared" si="12"/>
        <v>-4.8024530042513835E-4</v>
      </c>
      <c r="R78" s="6">
        <f t="shared" si="13"/>
        <v>-5.9844807698541955E-3</v>
      </c>
      <c r="S78" s="6">
        <f t="shared" si="14"/>
        <v>-2.3052657933244946E-3</v>
      </c>
      <c r="T78" s="6">
        <f t="shared" si="15"/>
        <v>1.3774786571252883E-5</v>
      </c>
      <c r="U78" s="6"/>
      <c r="AC78" s="38"/>
    </row>
    <row r="79" spans="1:29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9"/>
        <v>1.970843837875158E-4</v>
      </c>
      <c r="J79" s="6">
        <f t="shared" si="10"/>
        <v>2.084449839920156E-2</v>
      </c>
      <c r="K79" s="6">
        <f t="shared" si="10"/>
        <v>1.5354718166455639E-3</v>
      </c>
      <c r="L79" s="6">
        <f t="shared" si="10"/>
        <v>-1.266031176191559E-4</v>
      </c>
      <c r="M79" s="6">
        <f t="shared" si="10"/>
        <v>3.306087505214772E-2</v>
      </c>
      <c r="N79" s="6">
        <f t="shared" si="10"/>
        <v>-5.691170958779145E-4</v>
      </c>
      <c r="O79" s="6">
        <f t="shared" si="11"/>
        <v>-2.1022800952401315E-2</v>
      </c>
      <c r="P79" s="6"/>
      <c r="Q79" s="6">
        <f t="shared" si="12"/>
        <v>1.5352021252262333E-2</v>
      </c>
      <c r="R79" s="6">
        <f t="shared" si="13"/>
        <v>3.306087505214772E-2</v>
      </c>
      <c r="S79" s="6">
        <f t="shared" si="14"/>
        <v>1.9581163973832909E-2</v>
      </c>
      <c r="T79" s="6">
        <f t="shared" si="15"/>
        <v>0</v>
      </c>
      <c r="U79" s="6"/>
      <c r="AC79" s="38"/>
    </row>
    <row r="80" spans="1:29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9"/>
        <v>1.9898816309771306E-4</v>
      </c>
      <c r="J80" s="6">
        <f t="shared" si="10"/>
        <v>-5.7032520050787593E-3</v>
      </c>
      <c r="K80" s="6">
        <f t="shared" si="10"/>
        <v>-1.0233916476147672E-3</v>
      </c>
      <c r="L80" s="6">
        <f t="shared" si="10"/>
        <v>-1.0563861768930536E-2</v>
      </c>
      <c r="M80" s="6">
        <f t="shared" si="10"/>
        <v>-1.6393661333646715E-2</v>
      </c>
      <c r="N80" s="6">
        <f t="shared" si="10"/>
        <v>-3.9137791113844191E-3</v>
      </c>
      <c r="O80" s="6">
        <f t="shared" si="11"/>
        <v>9.6133599104239326E-3</v>
      </c>
      <c r="P80" s="6"/>
      <c r="Q80" s="6">
        <f t="shared" si="12"/>
        <v>-1.1671602207538948E-2</v>
      </c>
      <c r="R80" s="6">
        <f t="shared" si="13"/>
        <v>-1.6393661333646715E-2</v>
      </c>
      <c r="S80" s="6">
        <f t="shared" si="14"/>
        <v>-1.2277484909399942E-2</v>
      </c>
      <c r="T80" s="6">
        <f t="shared" si="15"/>
        <v>1.8724252569023511E-4</v>
      </c>
      <c r="U80" s="6"/>
      <c r="AC80" s="38"/>
    </row>
    <row r="81" spans="1:29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9"/>
        <v>1.9746521183972021E-4</v>
      </c>
      <c r="J81" s="6">
        <f t="shared" si="10"/>
        <v>1.0088207138443817E-2</v>
      </c>
      <c r="K81" s="6">
        <f t="shared" si="10"/>
        <v>2.3863212857141401E-3</v>
      </c>
      <c r="L81" s="6">
        <f t="shared" si="10"/>
        <v>3.0661278355592595E-3</v>
      </c>
      <c r="M81" s="6">
        <f t="shared" si="10"/>
        <v>8.8156554713472324E-3</v>
      </c>
      <c r="N81" s="6">
        <f t="shared" si="10"/>
        <v>7.9366104133129379E-3</v>
      </c>
      <c r="O81" s="6">
        <f t="shared" si="11"/>
        <v>-7.6829147917782045E-3</v>
      </c>
      <c r="P81" s="6"/>
      <c r="Q81" s="6">
        <f t="shared" si="12"/>
        <v>6.3867811484324341E-3</v>
      </c>
      <c r="R81" s="6">
        <f t="shared" si="13"/>
        <v>8.8156554713472324E-3</v>
      </c>
      <c r="S81" s="6">
        <f t="shared" si="14"/>
        <v>7.1645305522472849E-3</v>
      </c>
      <c r="T81" s="6">
        <f t="shared" si="15"/>
        <v>0</v>
      </c>
      <c r="U81" s="6"/>
      <c r="AC81" s="38"/>
    </row>
    <row r="82" spans="1:29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9"/>
        <v>1.9784600378991435E-4</v>
      </c>
      <c r="J82" s="6">
        <f t="shared" si="10"/>
        <v>7.3850207302899578E-3</v>
      </c>
      <c r="K82" s="6">
        <f t="shared" si="10"/>
        <v>-2.2156572655028478E-3</v>
      </c>
      <c r="L82" s="6">
        <f t="shared" si="10"/>
        <v>1.0973473354382132E-2</v>
      </c>
      <c r="M82" s="6">
        <f t="shared" si="10"/>
        <v>-9.9971434933014119E-3</v>
      </c>
      <c r="N82" s="6">
        <f t="shared" si="10"/>
        <v>4.0870746210065929E-3</v>
      </c>
      <c r="O82" s="6">
        <f t="shared" si="11"/>
        <v>1.9265432040200135E-3</v>
      </c>
      <c r="P82" s="6"/>
      <c r="Q82" s="6">
        <f t="shared" si="12"/>
        <v>3.014963954861837E-3</v>
      </c>
      <c r="R82" s="6">
        <f t="shared" si="13"/>
        <v>-9.9971434933014119E-3</v>
      </c>
      <c r="S82" s="6">
        <f t="shared" si="14"/>
        <v>4.5330147920907317E-4</v>
      </c>
      <c r="T82" s="6">
        <f t="shared" si="15"/>
        <v>9.0796635712491382E-7</v>
      </c>
      <c r="U82" s="6"/>
      <c r="AC82" s="38"/>
    </row>
    <row r="83" spans="1:29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9"/>
        <v>1.970843837875158E-4</v>
      </c>
      <c r="J83" s="6">
        <f t="shared" si="10"/>
        <v>-1.301155524149791E-2</v>
      </c>
      <c r="K83" s="6">
        <f t="shared" si="10"/>
        <v>7.3098102582420726E-3</v>
      </c>
      <c r="L83" s="6">
        <f t="shared" si="10"/>
        <v>3.6521773139312004E-3</v>
      </c>
      <c r="M83" s="6">
        <f t="shared" si="10"/>
        <v>-1.7889443279638567E-2</v>
      </c>
      <c r="N83" s="6">
        <f t="shared" si="10"/>
        <v>3.9168516750811289E-3</v>
      </c>
      <c r="O83" s="6">
        <f t="shared" si="11"/>
        <v>-3.8569883226658797E-3</v>
      </c>
      <c r="P83" s="6"/>
      <c r="Q83" s="6">
        <f t="shared" si="12"/>
        <v>-6.9702868819916334E-3</v>
      </c>
      <c r="R83" s="6">
        <f t="shared" si="13"/>
        <v>-1.7889443279638567E-2</v>
      </c>
      <c r="S83" s="6">
        <f t="shared" si="14"/>
        <v>-9.7486051209122043E-3</v>
      </c>
      <c r="T83" s="6">
        <f t="shared" si="15"/>
        <v>1.2442910093847008E-4</v>
      </c>
      <c r="U83" s="6"/>
      <c r="AC83" s="38"/>
    </row>
    <row r="84" spans="1:29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9"/>
        <v>2.0012999773522111E-4</v>
      </c>
      <c r="J84" s="6">
        <f t="shared" si="10"/>
        <v>7.8889519649972505E-3</v>
      </c>
      <c r="K84" s="6">
        <f t="shared" si="10"/>
        <v>6.4156731620670822E-3</v>
      </c>
      <c r="L84" s="6">
        <f t="shared" si="10"/>
        <v>8.8855459657744724E-3</v>
      </c>
      <c r="M84" s="6">
        <f t="shared" si="10"/>
        <v>-1.2715943603931842E-2</v>
      </c>
      <c r="N84" s="6">
        <f t="shared" si="10"/>
        <v>4.5887580600857377E-3</v>
      </c>
      <c r="O84" s="6">
        <f t="shared" si="11"/>
        <v>1.5335162949086231E-2</v>
      </c>
      <c r="P84" s="6"/>
      <c r="Q84" s="6">
        <f t="shared" si="12"/>
        <v>1.1967345560216849E-3</v>
      </c>
      <c r="R84" s="6">
        <f t="shared" si="13"/>
        <v>-1.2715943603931842E-2</v>
      </c>
      <c r="S84" s="6">
        <f t="shared" si="14"/>
        <v>-1.3834453278306338E-3</v>
      </c>
      <c r="T84" s="6">
        <f t="shared" si="15"/>
        <v>7.7819769200459104E-6</v>
      </c>
      <c r="U84" s="6"/>
      <c r="AC84" s="38"/>
    </row>
    <row r="85" spans="1:29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9"/>
        <v>2.0051053716385603E-4</v>
      </c>
      <c r="J85" s="6">
        <f t="shared" si="10"/>
        <v>1.6553655693470191E-2</v>
      </c>
      <c r="K85" s="6">
        <f t="shared" si="10"/>
        <v>8.5463889760277086E-3</v>
      </c>
      <c r="L85" s="6">
        <f t="shared" si="10"/>
        <v>3.3584282184013106E-3</v>
      </c>
      <c r="M85" s="6">
        <f t="shared" si="10"/>
        <v>2.4346320782964847E-3</v>
      </c>
      <c r="N85" s="6">
        <f t="shared" si="10"/>
        <v>1.3558420429298217E-2</v>
      </c>
      <c r="O85" s="6">
        <f t="shared" si="11"/>
        <v>1.8996557258902202E-3</v>
      </c>
      <c r="P85" s="6"/>
      <c r="Q85" s="6">
        <f t="shared" si="12"/>
        <v>5.5259495026416198E-3</v>
      </c>
      <c r="R85" s="6">
        <f t="shared" si="13"/>
        <v>2.4346320782964847E-3</v>
      </c>
      <c r="S85" s="6">
        <f t="shared" si="14"/>
        <v>5.6089619542267887E-3</v>
      </c>
      <c r="T85" s="6">
        <f t="shared" si="15"/>
        <v>0</v>
      </c>
      <c r="U85" s="6"/>
      <c r="AC85" s="38"/>
    </row>
    <row r="86" spans="1:29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9"/>
        <v>2.0051053716385603E-4</v>
      </c>
      <c r="J86" s="6">
        <f t="shared" si="10"/>
        <v>7.5742185089877612E-4</v>
      </c>
      <c r="K86" s="6">
        <f t="shared" si="10"/>
        <v>-1.4962062138094838E-2</v>
      </c>
      <c r="L86" s="6">
        <f t="shared" si="10"/>
        <v>1.8028547888701854E-2</v>
      </c>
      <c r="M86" s="6">
        <f t="shared" si="10"/>
        <v>1.208465691282283E-2</v>
      </c>
      <c r="N86" s="6">
        <f t="shared" si="10"/>
        <v>2.6435733742609306E-3</v>
      </c>
      <c r="O86" s="6">
        <f t="shared" si="11"/>
        <v>0</v>
      </c>
      <c r="P86" s="6"/>
      <c r="Q86" s="6">
        <f t="shared" si="12"/>
        <v>1.2707682893020591E-2</v>
      </c>
      <c r="R86" s="6">
        <f t="shared" si="13"/>
        <v>1.208465691282283E-2</v>
      </c>
      <c r="S86" s="6">
        <f t="shared" si="14"/>
        <v>1.1700869559622545E-2</v>
      </c>
      <c r="T86" s="6">
        <f t="shared" si="15"/>
        <v>0</v>
      </c>
      <c r="U86" s="6"/>
      <c r="AC86" s="38"/>
    </row>
    <row r="87" spans="1:29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9"/>
        <v>1.9289289052348835E-4</v>
      </c>
      <c r="J87" s="6">
        <f t="shared" si="10"/>
        <v>-2.7295073142777661E-3</v>
      </c>
      <c r="K87" s="6">
        <f t="shared" si="10"/>
        <v>-7.4804742784532674E-3</v>
      </c>
      <c r="L87" s="6">
        <f t="shared" si="10"/>
        <v>7.5329194945627474E-3</v>
      </c>
      <c r="M87" s="6">
        <f t="shared" si="10"/>
        <v>-7.8383887172057826E-3</v>
      </c>
      <c r="N87" s="6">
        <f t="shared" si="10"/>
        <v>-7.6281368101049259E-5</v>
      </c>
      <c r="O87" s="6">
        <f t="shared" si="11"/>
        <v>-3.8731736328505399E-2</v>
      </c>
      <c r="P87" s="6"/>
      <c r="Q87" s="6">
        <f t="shared" si="12"/>
        <v>2.6015864589360978E-4</v>
      </c>
      <c r="R87" s="6">
        <f t="shared" si="13"/>
        <v>-7.8383887172057826E-3</v>
      </c>
      <c r="S87" s="6">
        <f t="shared" si="14"/>
        <v>-1.7333658615313829E-3</v>
      </c>
      <c r="T87" s="6">
        <f t="shared" si="15"/>
        <v>9.8567115841184013E-6</v>
      </c>
      <c r="U87" s="6"/>
      <c r="AC87" s="38"/>
    </row>
    <row r="88" spans="1:29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9"/>
        <v>1.9136762610516556E-4</v>
      </c>
      <c r="J88" s="6">
        <f t="shared" si="10"/>
        <v>-8.53965400802611E-3</v>
      </c>
      <c r="K88" s="6">
        <f t="shared" si="10"/>
        <v>7.1417585896560408E-3</v>
      </c>
      <c r="L88" s="6">
        <f t="shared" si="10"/>
        <v>6.0338573294274594E-3</v>
      </c>
      <c r="M88" s="6">
        <f t="shared" si="10"/>
        <v>-3.6386626067303612E-3</v>
      </c>
      <c r="N88" s="6">
        <f t="shared" si="10"/>
        <v>4.5180974872495441E-3</v>
      </c>
      <c r="O88" s="6">
        <f t="shared" si="11"/>
        <v>-7.938741363990285E-3</v>
      </c>
      <c r="P88" s="6"/>
      <c r="Q88" s="6">
        <f t="shared" si="12"/>
        <v>-7.3028193631672483E-5</v>
      </c>
      <c r="R88" s="6">
        <f t="shared" si="13"/>
        <v>-3.6386626067303612E-3</v>
      </c>
      <c r="S88" s="6">
        <f t="shared" si="14"/>
        <v>-1.4197297845162749E-3</v>
      </c>
      <c r="T88" s="6">
        <f t="shared" si="15"/>
        <v>7.9857331372254351E-6</v>
      </c>
      <c r="U88" s="6"/>
      <c r="AC88" s="38"/>
    </row>
    <row r="89" spans="1:29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9"/>
        <v>1.9327411614988854E-4</v>
      </c>
      <c r="J89" s="6">
        <f t="shared" si="10"/>
        <v>5.3458637702141027E-3</v>
      </c>
      <c r="K89" s="6">
        <f t="shared" si="10"/>
        <v>-3.2244751257021888E-3</v>
      </c>
      <c r="L89" s="6">
        <f t="shared" si="10"/>
        <v>1.3266549902395489E-2</v>
      </c>
      <c r="M89" s="6">
        <f t="shared" si="10"/>
        <v>9.0718253225267661E-3</v>
      </c>
      <c r="N89" s="6">
        <f t="shared" si="10"/>
        <v>5.8492552349014293E-3</v>
      </c>
      <c r="O89" s="6">
        <f t="shared" si="11"/>
        <v>9.9131500713952395E-3</v>
      </c>
      <c r="P89" s="6"/>
      <c r="Q89" s="6">
        <f t="shared" si="12"/>
        <v>1.0316329317765691E-2</v>
      </c>
      <c r="R89" s="6">
        <f t="shared" si="13"/>
        <v>9.0718253225267661E-3</v>
      </c>
      <c r="S89" s="6">
        <f t="shared" si="14"/>
        <v>9.6778210539280578E-3</v>
      </c>
      <c r="T89" s="6">
        <f t="shared" si="15"/>
        <v>0</v>
      </c>
      <c r="U89" s="6"/>
      <c r="AC89" s="38"/>
    </row>
    <row r="90" spans="1:29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9"/>
        <v>1.9327411614988854E-4</v>
      </c>
      <c r="J90" s="6">
        <f t="shared" si="10"/>
        <v>-1.0771711802952852E-2</v>
      </c>
      <c r="K90" s="6">
        <f t="shared" si="10"/>
        <v>-2.0955763699396959E-2</v>
      </c>
      <c r="L90" s="6">
        <f t="shared" si="10"/>
        <v>-1.1343350930772851E-2</v>
      </c>
      <c r="M90" s="6">
        <f t="shared" si="10"/>
        <v>-1.2723712230209391E-2</v>
      </c>
      <c r="N90" s="6">
        <f t="shared" si="10"/>
        <v>-1.4793144174519959E-2</v>
      </c>
      <c r="O90" s="6">
        <f t="shared" si="11"/>
        <v>0</v>
      </c>
      <c r="P90" s="6"/>
      <c r="Q90" s="6">
        <f t="shared" si="12"/>
        <v>-1.1714868854458861E-2</v>
      </c>
      <c r="R90" s="6">
        <f t="shared" si="13"/>
        <v>-1.2723712230209391E-2</v>
      </c>
      <c r="S90" s="6">
        <f t="shared" si="14"/>
        <v>-1.188895430156402E-2</v>
      </c>
      <c r="T90" s="6">
        <f t="shared" si="15"/>
        <v>1.7676044096753488E-4</v>
      </c>
      <c r="U90" s="6"/>
      <c r="AC90" s="38"/>
    </row>
    <row r="91" spans="1:29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9"/>
        <v>1.9251162871269933E-4</v>
      </c>
      <c r="J91" s="6">
        <f t="shared" si="10"/>
        <v>-7.7033791279105483E-4</v>
      </c>
      <c r="K91" s="6">
        <f t="shared" si="10"/>
        <v>6.5744708171604086E-3</v>
      </c>
      <c r="L91" s="6">
        <f t="shared" si="10"/>
        <v>5.6878079343058051E-3</v>
      </c>
      <c r="M91" s="6">
        <f t="shared" si="10"/>
        <v>5.4729367751170889E-3</v>
      </c>
      <c r="N91" s="6">
        <f t="shared" si="10"/>
        <v>1.024879009249407E-2</v>
      </c>
      <c r="O91" s="6">
        <f t="shared" si="11"/>
        <v>-3.9529113773502057E-3</v>
      </c>
      <c r="P91" s="6"/>
      <c r="Q91" s="6">
        <f t="shared" si="12"/>
        <v>4.395346928241577E-3</v>
      </c>
      <c r="R91" s="6">
        <f t="shared" si="13"/>
        <v>5.4729367751170889E-3</v>
      </c>
      <c r="S91" s="6">
        <f t="shared" si="14"/>
        <v>4.2821431480410321E-3</v>
      </c>
      <c r="T91" s="6">
        <f t="shared" si="15"/>
        <v>0</v>
      </c>
      <c r="U91" s="6"/>
      <c r="AC91" s="38"/>
    </row>
    <row r="92" spans="1:29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9"/>
        <v>1.9060477665200359E-4</v>
      </c>
      <c r="J92" s="6">
        <f t="shared" si="10"/>
        <v>-5.5629055748559423E-3</v>
      </c>
      <c r="K92" s="6">
        <f t="shared" si="10"/>
        <v>5.6744066112261139E-3</v>
      </c>
      <c r="L92" s="6">
        <f t="shared" si="10"/>
        <v>-5.9719768106862266E-4</v>
      </c>
      <c r="M92" s="6">
        <f t="shared" si="10"/>
        <v>3.6318010530331695E-3</v>
      </c>
      <c r="N92" s="6">
        <f t="shared" si="10"/>
        <v>1.6587067997896167E-3</v>
      </c>
      <c r="O92" s="6">
        <f t="shared" si="11"/>
        <v>-9.9545087610752991E-3</v>
      </c>
      <c r="P92" s="6"/>
      <c r="Q92" s="6">
        <f t="shared" si="12"/>
        <v>-6.5136554108786342E-5</v>
      </c>
      <c r="R92" s="6">
        <f t="shared" si="13"/>
        <v>3.6318010530331695E-3</v>
      </c>
      <c r="S92" s="6">
        <f t="shared" si="14"/>
        <v>3.795666934250032E-4</v>
      </c>
      <c r="T92" s="6">
        <f t="shared" si="15"/>
        <v>1.053922902631278E-6</v>
      </c>
      <c r="U92" s="6"/>
      <c r="AC92" s="38"/>
    </row>
    <row r="93" spans="1:29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9"/>
        <v>1.8907864298212118E-4</v>
      </c>
      <c r="J93" s="6">
        <f t="shared" si="10"/>
        <v>-2.8449113917028523E-3</v>
      </c>
      <c r="K93" s="6">
        <f t="shared" si="10"/>
        <v>4.1068114348282283E-3</v>
      </c>
      <c r="L93" s="6">
        <f t="shared" si="10"/>
        <v>5.8965836558493075E-3</v>
      </c>
      <c r="M93" s="6">
        <f t="shared" si="10"/>
        <v>1.2077595132303129E-3</v>
      </c>
      <c r="N93" s="6">
        <f t="shared" si="10"/>
        <v>4.2227363999498384E-3</v>
      </c>
      <c r="O93" s="6">
        <f t="shared" si="11"/>
        <v>-8.0390230909918731E-3</v>
      </c>
      <c r="P93" s="6"/>
      <c r="Q93" s="6">
        <f t="shared" si="12"/>
        <v>2.6200078545804365E-3</v>
      </c>
      <c r="R93" s="6">
        <f t="shared" si="13"/>
        <v>1.2077595132303129E-3</v>
      </c>
      <c r="S93" s="6">
        <f t="shared" si="14"/>
        <v>1.9395375188459491E-3</v>
      </c>
      <c r="T93" s="6">
        <f t="shared" si="15"/>
        <v>0</v>
      </c>
      <c r="U93" s="6"/>
      <c r="AC93" s="38"/>
    </row>
    <row r="94" spans="1:29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9"/>
        <v>1.8831535865504456E-4</v>
      </c>
      <c r="J94" s="6">
        <f t="shared" si="10"/>
        <v>5.1779897604456546E-4</v>
      </c>
      <c r="K94" s="6">
        <f t="shared" si="10"/>
        <v>2.5581149129798759E-3</v>
      </c>
      <c r="L94" s="6">
        <f t="shared" si="10"/>
        <v>5.9800808714544585E-3</v>
      </c>
      <c r="M94" s="6">
        <f t="shared" si="10"/>
        <v>6.0333319054379066E-4</v>
      </c>
      <c r="N94" s="6">
        <f t="shared" si="10"/>
        <v>1.429419277681746E-3</v>
      </c>
      <c r="O94" s="6">
        <f t="shared" si="11"/>
        <v>-4.0450317944709362E-3</v>
      </c>
      <c r="P94" s="6"/>
      <c r="Q94" s="6">
        <f t="shared" si="12"/>
        <v>3.0830111575354999E-3</v>
      </c>
      <c r="R94" s="6">
        <f t="shared" si="13"/>
        <v>6.0333319054379066E-4</v>
      </c>
      <c r="S94" s="6">
        <f t="shared" si="14"/>
        <v>2.3632527980140456E-3</v>
      </c>
      <c r="T94" s="6">
        <f t="shared" si="15"/>
        <v>0</v>
      </c>
      <c r="U94" s="6"/>
      <c r="AC94" s="38"/>
    </row>
    <row r="95" spans="1:29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9"/>
        <v>1.8831535865504456E-4</v>
      </c>
      <c r="J95" s="6">
        <f t="shared" si="10"/>
        <v>2.2237825955231019E-3</v>
      </c>
      <c r="K95" s="6">
        <f t="shared" si="10"/>
        <v>6.811858639393253E-4</v>
      </c>
      <c r="L95" s="6">
        <f t="shared" si="10"/>
        <v>5.2989165247204857E-3</v>
      </c>
      <c r="M95" s="6">
        <f t="shared" si="10"/>
        <v>9.6039637827291333E-3</v>
      </c>
      <c r="N95" s="6">
        <f t="shared" si="10"/>
        <v>3.7010203319937546E-4</v>
      </c>
      <c r="O95" s="6">
        <f t="shared" si="11"/>
        <v>0</v>
      </c>
      <c r="P95" s="6"/>
      <c r="Q95" s="6">
        <f t="shared" si="12"/>
        <v>6.2139009686934506E-3</v>
      </c>
      <c r="R95" s="6">
        <f t="shared" si="13"/>
        <v>9.6039637827291333E-3</v>
      </c>
      <c r="S95" s="6">
        <f t="shared" si="14"/>
        <v>6.6730601712573362E-3</v>
      </c>
      <c r="T95" s="6">
        <f t="shared" si="15"/>
        <v>0</v>
      </c>
      <c r="U95" s="6"/>
      <c r="AC95" s="38"/>
    </row>
    <row r="96" spans="1:29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9"/>
        <v>1.8869701894863589E-4</v>
      </c>
      <c r="J96" s="6">
        <f t="shared" si="10"/>
        <v>-5.4389057902563941E-3</v>
      </c>
      <c r="K96" s="6">
        <f t="shared" si="10"/>
        <v>3.0590814664282501E-3</v>
      </c>
      <c r="L96" s="6">
        <f t="shared" si="10"/>
        <v>-1.1751806513597941E-3</v>
      </c>
      <c r="M96" s="6">
        <f t="shared" si="10"/>
        <v>2.3866948027653455E-3</v>
      </c>
      <c r="N96" s="6">
        <f t="shared" si="10"/>
        <v>-2.8304729998547477E-3</v>
      </c>
      <c r="O96" s="6">
        <f t="shared" si="11"/>
        <v>2.0246572613530339E-3</v>
      </c>
      <c r="P96" s="6"/>
      <c r="Q96" s="6">
        <f t="shared" si="12"/>
        <v>-7.4239380479156352E-4</v>
      </c>
      <c r="R96" s="6">
        <f t="shared" si="13"/>
        <v>2.3866948027653455E-3</v>
      </c>
      <c r="S96" s="6">
        <f t="shared" si="14"/>
        <v>-3.7096445250872439E-4</v>
      </c>
      <c r="T96" s="6">
        <f t="shared" si="15"/>
        <v>3.1582216691950804E-6</v>
      </c>
      <c r="U96" s="6"/>
      <c r="AC96" s="38"/>
    </row>
    <row r="97" spans="1:29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9"/>
        <v>1.8717016014413446E-4</v>
      </c>
      <c r="J97" s="6">
        <f t="shared" si="10"/>
        <v>-3.6442669115568614E-2</v>
      </c>
      <c r="K97" s="6">
        <f t="shared" si="10"/>
        <v>1.4989765411567772E-2</v>
      </c>
      <c r="L97" s="6">
        <f t="shared" si="10"/>
        <v>1.1573020195509662E-2</v>
      </c>
      <c r="M97" s="6">
        <f t="shared" si="10"/>
        <v>2.7624383831125431E-2</v>
      </c>
      <c r="N97" s="6">
        <f t="shared" si="10"/>
        <v>-5.6766608929654707E-3</v>
      </c>
      <c r="O97" s="6">
        <f t="shared" si="11"/>
        <v>-8.1245040168903531E-3</v>
      </c>
      <c r="P97" s="6"/>
      <c r="Q97" s="6">
        <f t="shared" si="12"/>
        <v>8.0920861969751706E-3</v>
      </c>
      <c r="R97" s="6">
        <f t="shared" si="13"/>
        <v>2.7624383831125431E-2</v>
      </c>
      <c r="S97" s="6">
        <f t="shared" si="14"/>
        <v>9.3373299130813867E-3</v>
      </c>
      <c r="T97" s="6">
        <f t="shared" si="15"/>
        <v>0</v>
      </c>
      <c r="U97" s="6"/>
      <c r="AC97" s="38"/>
    </row>
    <row r="98" spans="1:29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9"/>
        <v>1.8831535865504456E-4</v>
      </c>
      <c r="J98" s="6">
        <f t="shared" si="10"/>
        <v>-7.5158087877084971E-3</v>
      </c>
      <c r="K98" s="6">
        <f t="shared" si="10"/>
        <v>2.3375916662677874E-3</v>
      </c>
      <c r="L98" s="6">
        <f t="shared" si="10"/>
        <v>-4.3679752008790812E-3</v>
      </c>
      <c r="M98" s="6">
        <f t="shared" si="10"/>
        <v>-1.1600607305661888E-3</v>
      </c>
      <c r="N98" s="6">
        <f t="shared" si="10"/>
        <v>-8.0486143089745707E-3</v>
      </c>
      <c r="O98" s="6">
        <f t="shared" si="11"/>
        <v>6.0998467555371874E-3</v>
      </c>
      <c r="P98" s="6"/>
      <c r="Q98" s="6">
        <f t="shared" si="12"/>
        <v>-3.8476673546012589E-3</v>
      </c>
      <c r="R98" s="6">
        <f t="shared" si="13"/>
        <v>-1.1600607305661888E-3</v>
      </c>
      <c r="S98" s="6">
        <f t="shared" si="14"/>
        <v>-3.4980581709425891E-3</v>
      </c>
      <c r="T98" s="6">
        <f t="shared" si="15"/>
        <v>2.4051494814161393E-5</v>
      </c>
      <c r="U98" s="6"/>
      <c r="AC98" s="38"/>
    </row>
    <row r="99" spans="1:29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9"/>
        <v>1.8717016014413446E-4</v>
      </c>
      <c r="J99" s="6">
        <f t="shared" si="10"/>
        <v>-1.2781428001649012E-2</v>
      </c>
      <c r="K99" s="6">
        <f t="shared" si="10"/>
        <v>-3.3411282708156569E-3</v>
      </c>
      <c r="L99" s="6">
        <f t="shared" si="10"/>
        <v>6.6141593258210608E-3</v>
      </c>
      <c r="M99" s="6">
        <f t="shared" si="10"/>
        <v>-4.6539918884881352E-3</v>
      </c>
      <c r="N99" s="6">
        <f t="shared" si="10"/>
        <v>-3.434296699869414E-3</v>
      </c>
      <c r="O99" s="6">
        <f t="shared" si="11"/>
        <v>-6.0998467555372334E-3</v>
      </c>
      <c r="P99" s="6"/>
      <c r="Q99" s="6">
        <f t="shared" si="12"/>
        <v>-9.5611784243369163E-4</v>
      </c>
      <c r="R99" s="6">
        <f t="shared" si="13"/>
        <v>-4.6539918884881352E-3</v>
      </c>
      <c r="S99" s="6">
        <f t="shared" si="14"/>
        <v>-2.5798704906717196E-3</v>
      </c>
      <c r="T99" s="6">
        <f t="shared" si="15"/>
        <v>1.5888552004532539E-5</v>
      </c>
      <c r="U99" s="6"/>
      <c r="AC99" s="38"/>
    </row>
    <row r="100" spans="1:29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9"/>
        <v>1.8717016014413446E-4</v>
      </c>
      <c r="J100" s="6">
        <f t="shared" ref="J100:N130" si="16">LN(B100/B99)</f>
        <v>-4.0210117830922973E-3</v>
      </c>
      <c r="K100" s="6">
        <f t="shared" si="16"/>
        <v>-1.5071191150336566E-3</v>
      </c>
      <c r="L100" s="6">
        <f t="shared" si="16"/>
        <v>5.0046366419241994E-3</v>
      </c>
      <c r="M100" s="6">
        <f t="shared" si="16"/>
        <v>1.8487103983690103E-2</v>
      </c>
      <c r="N100" s="6">
        <f t="shared" si="16"/>
        <v>1.8240092336748459E-3</v>
      </c>
      <c r="O100" s="6">
        <f t="shared" si="11"/>
        <v>0</v>
      </c>
      <c r="P100" s="6"/>
      <c r="Q100" s="6">
        <f t="shared" si="12"/>
        <v>7.9842561238651182E-3</v>
      </c>
      <c r="R100" s="6">
        <f t="shared" si="13"/>
        <v>1.8487103983690103E-2</v>
      </c>
      <c r="S100" s="6">
        <f t="shared" si="14"/>
        <v>9.4457578474061339E-3</v>
      </c>
      <c r="T100" s="6">
        <f t="shared" si="15"/>
        <v>0</v>
      </c>
      <c r="U100" s="6"/>
      <c r="AC100" s="38"/>
    </row>
    <row r="101" spans="1:29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9"/>
        <v>1.8755192925978825E-4</v>
      </c>
      <c r="J101" s="6">
        <f t="shared" si="16"/>
        <v>2.3887222589555022E-2</v>
      </c>
      <c r="K101" s="6">
        <f t="shared" si="16"/>
        <v>7.3468937372898847E-3</v>
      </c>
      <c r="L101" s="6">
        <f t="shared" si="16"/>
        <v>-1.4521496056958624E-3</v>
      </c>
      <c r="M101" s="6">
        <f t="shared" si="16"/>
        <v>-8.62337357891769E-3</v>
      </c>
      <c r="N101" s="6">
        <f t="shared" si="16"/>
        <v>1.4015987132365047E-2</v>
      </c>
      <c r="O101" s="6">
        <f t="shared" si="11"/>
        <v>2.0376127190629861E-3</v>
      </c>
      <c r="P101" s="6"/>
      <c r="Q101" s="6">
        <f t="shared" si="12"/>
        <v>8.3611215455604675E-4</v>
      </c>
      <c r="R101" s="6">
        <f t="shared" si="13"/>
        <v>-8.62337357891769E-3</v>
      </c>
      <c r="S101" s="6">
        <f t="shared" si="14"/>
        <v>3.5326303714999611E-4</v>
      </c>
      <c r="T101" s="6">
        <f t="shared" si="15"/>
        <v>1.1086218451376842E-6</v>
      </c>
      <c r="U101" s="6"/>
      <c r="AC101" s="38"/>
    </row>
    <row r="102" spans="1:29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9"/>
        <v>1.8793366209446383E-4</v>
      </c>
      <c r="J102" s="6">
        <f t="shared" si="16"/>
        <v>-2.2659828390601978E-3</v>
      </c>
      <c r="K102" s="6">
        <f t="shared" si="16"/>
        <v>-1.8316735365529078E-3</v>
      </c>
      <c r="L102" s="6">
        <f t="shared" si="16"/>
        <v>-7.9374988566027482E-3</v>
      </c>
      <c r="M102" s="6">
        <f t="shared" si="16"/>
        <v>-5.4130016942953952E-3</v>
      </c>
      <c r="N102" s="6">
        <f t="shared" si="16"/>
        <v>-1.4789856520085827E-3</v>
      </c>
      <c r="O102" s="6">
        <f t="shared" si="11"/>
        <v>2.0332762427048251E-3</v>
      </c>
      <c r="P102" s="6"/>
      <c r="Q102" s="6">
        <f t="shared" si="12"/>
        <v>-5.9913850730428471E-3</v>
      </c>
      <c r="R102" s="6">
        <f t="shared" si="13"/>
        <v>-5.4130016942953952E-3</v>
      </c>
      <c r="S102" s="6">
        <f t="shared" si="14"/>
        <v>-5.6018618364457717E-3</v>
      </c>
      <c r="T102" s="6">
        <f t="shared" si="15"/>
        <v>4.9112568610787361E-5</v>
      </c>
      <c r="U102" s="6"/>
      <c r="AC102" s="38"/>
    </row>
    <row r="103" spans="1:29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9"/>
        <v>1.8946023076238383E-4</v>
      </c>
      <c r="J103" s="6">
        <f t="shared" si="16"/>
        <v>5.655471783241264E-3</v>
      </c>
      <c r="K103" s="6">
        <f t="shared" si="16"/>
        <v>3.3277857054118689E-3</v>
      </c>
      <c r="L103" s="6">
        <f t="shared" si="16"/>
        <v>2.1072476150256008E-3</v>
      </c>
      <c r="M103" s="6">
        <f t="shared" si="16"/>
        <v>-4.7308269784354078E-3</v>
      </c>
      <c r="N103" s="6">
        <f t="shared" si="16"/>
        <v>5.6499398196109933E-3</v>
      </c>
      <c r="O103" s="6">
        <f t="shared" si="11"/>
        <v>8.0900990870679586E-3</v>
      </c>
      <c r="P103" s="6"/>
      <c r="Q103" s="6">
        <f t="shared" si="12"/>
        <v>4.0191080739984978E-4</v>
      </c>
      <c r="R103" s="6">
        <f t="shared" si="13"/>
        <v>-4.7308269784354078E-3</v>
      </c>
      <c r="S103" s="6">
        <f t="shared" si="14"/>
        <v>-3.5755480264217099E-4</v>
      </c>
      <c r="T103" s="6">
        <f t="shared" si="15"/>
        <v>3.1107398746290682E-6</v>
      </c>
      <c r="U103" s="6"/>
      <c r="AC103" s="38"/>
    </row>
    <row r="104" spans="1:29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9"/>
        <v>1.8907864298212118E-4</v>
      </c>
      <c r="J104" s="6">
        <f t="shared" si="16"/>
        <v>-3.2278053849822972E-3</v>
      </c>
      <c r="K104" s="6">
        <f t="shared" si="16"/>
        <v>-6.4994939061170766E-3</v>
      </c>
      <c r="L104" s="6">
        <f t="shared" si="16"/>
        <v>-4.2189451011928857E-3</v>
      </c>
      <c r="M104" s="6">
        <f t="shared" si="16"/>
        <v>-3.8675610583800438E-2</v>
      </c>
      <c r="N104" s="6">
        <f t="shared" si="16"/>
        <v>-6.7128903604016395E-4</v>
      </c>
      <c r="O104" s="6">
        <f t="shared" si="11"/>
        <v>-2.0161094988275217E-3</v>
      </c>
      <c r="P104" s="6"/>
      <c r="Q104" s="6">
        <f t="shared" si="12"/>
        <v>-1.5996735686896794E-2</v>
      </c>
      <c r="R104" s="6">
        <f t="shared" si="13"/>
        <v>-3.8675610583800438E-2</v>
      </c>
      <c r="S104" s="6">
        <f t="shared" si="14"/>
        <v>-2.007350589599214E-2</v>
      </c>
      <c r="T104" s="6">
        <f t="shared" si="15"/>
        <v>4.6137665556312505E-4</v>
      </c>
      <c r="U104" s="6"/>
      <c r="AC104" s="38"/>
    </row>
    <row r="105" spans="1:29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9"/>
        <v>1.8831535865504456E-4</v>
      </c>
      <c r="J105" s="6">
        <f t="shared" si="16"/>
        <v>1.776525989713901E-3</v>
      </c>
      <c r="K105" s="6">
        <f t="shared" si="16"/>
        <v>9.6506195124218454E-3</v>
      </c>
      <c r="L105" s="6">
        <f t="shared" si="16"/>
        <v>-7.3671383000021009E-3</v>
      </c>
      <c r="M105" s="6">
        <f t="shared" si="16"/>
        <v>1.5286157688589852E-2</v>
      </c>
      <c r="N105" s="6">
        <f t="shared" si="16"/>
        <v>7.5072645194105983E-4</v>
      </c>
      <c r="O105" s="6">
        <f t="shared" si="11"/>
        <v>-4.0450317944709362E-3</v>
      </c>
      <c r="P105" s="6"/>
      <c r="Q105" s="6">
        <f t="shared" si="12"/>
        <v>2.2232407243876406E-3</v>
      </c>
      <c r="R105" s="6">
        <f t="shared" si="13"/>
        <v>1.5286157688589852E-2</v>
      </c>
      <c r="S105" s="6">
        <f t="shared" si="14"/>
        <v>5.0686501199740108E-3</v>
      </c>
      <c r="T105" s="6">
        <f t="shared" si="15"/>
        <v>0</v>
      </c>
      <c r="U105" s="6"/>
      <c r="AC105" s="38"/>
    </row>
    <row r="106" spans="1:29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9"/>
        <v>1.8831535865504456E-4</v>
      </c>
      <c r="J106" s="6">
        <f t="shared" si="16"/>
        <v>-1.2393598825964395E-2</v>
      </c>
      <c r="K106" s="6">
        <f t="shared" si="16"/>
        <v>-6.6456043485522889E-3</v>
      </c>
      <c r="L106" s="6">
        <f t="shared" si="16"/>
        <v>-6.2900128628262742E-3</v>
      </c>
      <c r="M106" s="6">
        <f t="shared" si="16"/>
        <v>-2.4301095699120847E-3</v>
      </c>
      <c r="N106" s="6">
        <f t="shared" si="16"/>
        <v>-3.7382986232446964E-3</v>
      </c>
      <c r="O106" s="6">
        <f t="shared" si="11"/>
        <v>0</v>
      </c>
      <c r="P106" s="6"/>
      <c r="Q106" s="6">
        <f t="shared" si="12"/>
        <v>-6.1006921935836478E-3</v>
      </c>
      <c r="R106" s="6">
        <f t="shared" si="13"/>
        <v>-2.4301095699120847E-3</v>
      </c>
      <c r="S106" s="6">
        <f t="shared" si="14"/>
        <v>-5.7281332424120816E-3</v>
      </c>
      <c r="T106" s="6">
        <f t="shared" si="15"/>
        <v>5.0898342196920552E-5</v>
      </c>
      <c r="U106" s="6"/>
      <c r="AC106" s="38"/>
    </row>
    <row r="107" spans="1:29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9"/>
        <v>1.8831535865504456E-4</v>
      </c>
      <c r="J107" s="6">
        <f t="shared" si="16"/>
        <v>-5.186893307744119E-3</v>
      </c>
      <c r="K107" s="6">
        <f t="shared" si="16"/>
        <v>0</v>
      </c>
      <c r="L107" s="6">
        <f t="shared" si="16"/>
        <v>-5.371937640172391E-3</v>
      </c>
      <c r="M107" s="6">
        <f t="shared" si="16"/>
        <v>-1.8264811991713004E-3</v>
      </c>
      <c r="N107" s="6">
        <f t="shared" si="16"/>
        <v>-5.6327271267556144E-3</v>
      </c>
      <c r="O107" s="6">
        <f t="shared" si="11"/>
        <v>0</v>
      </c>
      <c r="P107" s="6"/>
      <c r="Q107" s="6">
        <f t="shared" si="12"/>
        <v>-4.1059222954170039E-3</v>
      </c>
      <c r="R107" s="6">
        <f t="shared" si="13"/>
        <v>-1.8264811991713004E-3</v>
      </c>
      <c r="S107" s="6">
        <f t="shared" si="14"/>
        <v>-3.6726816246250397E-3</v>
      </c>
      <c r="T107" s="6">
        <f t="shared" si="15"/>
        <v>2.5794776141393875E-5</v>
      </c>
      <c r="U107" s="6"/>
      <c r="AC107" s="38"/>
    </row>
    <row r="108" spans="1:29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9"/>
        <v>1.8564272073429144E-4</v>
      </c>
      <c r="J108" s="6">
        <f t="shared" si="16"/>
        <v>3.205143040647615E-2</v>
      </c>
      <c r="K108" s="6">
        <f t="shared" si="16"/>
        <v>2.8297562882526783E-3</v>
      </c>
      <c r="L108" s="6">
        <f t="shared" si="16"/>
        <v>1.9731308295413211E-3</v>
      </c>
      <c r="M108" s="6">
        <f t="shared" si="16"/>
        <v>-6.0961109656987951E-4</v>
      </c>
      <c r="N108" s="6">
        <f t="shared" si="16"/>
        <v>8.7667247395320728E-3</v>
      </c>
      <c r="O108" s="6">
        <f t="shared" si="11"/>
        <v>-1.4294026918207711E-2</v>
      </c>
      <c r="P108" s="6"/>
      <c r="Q108" s="6">
        <f t="shared" si="12"/>
        <v>6.7483387090817347E-3</v>
      </c>
      <c r="R108" s="6">
        <f t="shared" si="13"/>
        <v>-6.0961109656987951E-4</v>
      </c>
      <c r="S108" s="6">
        <f t="shared" si="14"/>
        <v>6.8601128400547174E-3</v>
      </c>
      <c r="T108" s="6">
        <f t="shared" si="15"/>
        <v>0</v>
      </c>
      <c r="U108" s="6"/>
      <c r="AC108" s="38"/>
    </row>
    <row r="109" spans="1:29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9"/>
        <v>1.8182157915558328E-4</v>
      </c>
      <c r="J109" s="6">
        <f t="shared" si="16"/>
        <v>1.5413605907075779E-2</v>
      </c>
      <c r="K109" s="6">
        <f t="shared" si="16"/>
        <v>-5.5003761178523645E-3</v>
      </c>
      <c r="L109" s="6">
        <f t="shared" si="16"/>
        <v>1.7114591700558776E-2</v>
      </c>
      <c r="M109" s="6">
        <f t="shared" si="16"/>
        <v>1.6329333065123283E-2</v>
      </c>
      <c r="N109" s="6">
        <f t="shared" si="16"/>
        <v>1.2238283870230153E-2</v>
      </c>
      <c r="O109" s="6">
        <f t="shared" si="11"/>
        <v>-2.0798098310837867E-2</v>
      </c>
      <c r="P109" s="6"/>
      <c r="Q109" s="6">
        <f t="shared" si="12"/>
        <v>1.6521154749565455E-2</v>
      </c>
      <c r="R109" s="6">
        <f t="shared" si="13"/>
        <v>1.6329333065123283E-2</v>
      </c>
      <c r="S109" s="6">
        <f t="shared" si="14"/>
        <v>1.6361416344418126E-2</v>
      </c>
      <c r="T109" s="6">
        <f t="shared" si="15"/>
        <v>0</v>
      </c>
      <c r="U109" s="6"/>
      <c r="AC109" s="38"/>
    </row>
    <row r="110" spans="1:29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9"/>
        <v>1.8182157915558328E-4</v>
      </c>
      <c r="J110" s="6">
        <f t="shared" si="16"/>
        <v>1.2089939794405298E-2</v>
      </c>
      <c r="K110" s="6">
        <f t="shared" si="16"/>
        <v>-4.3551865509223759E-3</v>
      </c>
      <c r="L110" s="6">
        <f t="shared" si="16"/>
        <v>-1.1749870658817193E-3</v>
      </c>
      <c r="M110" s="6">
        <f t="shared" si="16"/>
        <v>7.7681556093607577E-3</v>
      </c>
      <c r="N110" s="6">
        <f t="shared" si="16"/>
        <v>2.1918970535104105E-3</v>
      </c>
      <c r="O110" s="6">
        <f t="shared" si="11"/>
        <v>0</v>
      </c>
      <c r="P110" s="6"/>
      <c r="Q110" s="6">
        <f t="shared" si="12"/>
        <v>4.4318630475850707E-3</v>
      </c>
      <c r="R110" s="6">
        <f t="shared" si="13"/>
        <v>7.7681556093607577E-3</v>
      </c>
      <c r="S110" s="6">
        <f t="shared" si="14"/>
        <v>5.6700058847885225E-3</v>
      </c>
      <c r="T110" s="6">
        <f t="shared" si="15"/>
        <v>0</v>
      </c>
      <c r="U110" s="6"/>
      <c r="AC110" s="38"/>
    </row>
    <row r="111" spans="1:29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9"/>
        <v>1.8373260432147376E-4</v>
      </c>
      <c r="J111" s="6">
        <f t="shared" si="16"/>
        <v>6.6312354047433934E-3</v>
      </c>
      <c r="K111" s="6">
        <f t="shared" si="16"/>
        <v>4.6892664291325829E-3</v>
      </c>
      <c r="L111" s="6">
        <f t="shared" si="16"/>
        <v>-6.605698786174531E-3</v>
      </c>
      <c r="M111" s="6">
        <f t="shared" si="16"/>
        <v>2.2949014004003898E-2</v>
      </c>
      <c r="N111" s="6">
        <f t="shared" si="16"/>
        <v>2.917131506229948E-3</v>
      </c>
      <c r="O111" s="6">
        <f t="shared" si="11"/>
        <v>1.0455591327247448E-2</v>
      </c>
      <c r="P111" s="6"/>
      <c r="Q111" s="6">
        <f t="shared" si="12"/>
        <v>6.1530120217137075E-3</v>
      </c>
      <c r="R111" s="6">
        <f t="shared" si="13"/>
        <v>2.2949014004003898E-2</v>
      </c>
      <c r="S111" s="6">
        <f t="shared" si="14"/>
        <v>9.8626190954455868E-3</v>
      </c>
      <c r="T111" s="6">
        <f t="shared" si="15"/>
        <v>0</v>
      </c>
      <c r="U111" s="6"/>
      <c r="AC111" s="38"/>
    </row>
    <row r="112" spans="1:29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9"/>
        <v>1.8755192925978825E-4</v>
      </c>
      <c r="J112" s="6">
        <f t="shared" si="16"/>
        <v>-3.4900447377881711E-3</v>
      </c>
      <c r="K112" s="6">
        <f t="shared" si="16"/>
        <v>-1.5830462198802939E-2</v>
      </c>
      <c r="L112" s="6">
        <f t="shared" si="16"/>
        <v>8.8957289910188905E-3</v>
      </c>
      <c r="M112" s="6">
        <f t="shared" si="16"/>
        <v>-3.011736741564745E-2</v>
      </c>
      <c r="N112" s="6">
        <f t="shared" si="16"/>
        <v>8.1165916827587409E-4</v>
      </c>
      <c r="O112" s="6">
        <f t="shared" si="11"/>
        <v>2.0574299865323647E-2</v>
      </c>
      <c r="P112" s="6"/>
      <c r="Q112" s="6">
        <f t="shared" si="12"/>
        <v>-6.9867925877787011E-3</v>
      </c>
      <c r="R112" s="6">
        <f t="shared" si="13"/>
        <v>-3.011736741564745E-2</v>
      </c>
      <c r="S112" s="6">
        <f t="shared" si="14"/>
        <v>-1.1831844557870693E-2</v>
      </c>
      <c r="T112" s="6">
        <f t="shared" si="15"/>
        <v>1.7524513973206113E-4</v>
      </c>
      <c r="U112" s="6"/>
      <c r="AC112" s="38"/>
    </row>
    <row r="113" spans="1:29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9"/>
        <v>1.8755192925978825E-4</v>
      </c>
      <c r="J113" s="6">
        <f t="shared" si="16"/>
        <v>-1.6980138057580752E-3</v>
      </c>
      <c r="K113" s="6">
        <f t="shared" si="16"/>
        <v>4.2347552165082781E-3</v>
      </c>
      <c r="L113" s="6">
        <f t="shared" si="16"/>
        <v>1.4209382167514918E-2</v>
      </c>
      <c r="M113" s="6">
        <f t="shared" si="16"/>
        <v>2.9535485641168389E-2</v>
      </c>
      <c r="N113" s="6">
        <f t="shared" si="16"/>
        <v>5.2465060919916033E-3</v>
      </c>
      <c r="O113" s="6">
        <f t="shared" si="11"/>
        <v>0</v>
      </c>
      <c r="P113" s="6"/>
      <c r="Q113" s="6">
        <f t="shared" si="12"/>
        <v>1.6531453513034717E-2</v>
      </c>
      <c r="R113" s="6">
        <f t="shared" si="13"/>
        <v>2.9535485641168389E-2</v>
      </c>
      <c r="S113" s="6">
        <f t="shared" si="14"/>
        <v>1.8109718247863706E-2</v>
      </c>
      <c r="T113" s="6">
        <f t="shared" si="15"/>
        <v>0</v>
      </c>
      <c r="U113" s="6"/>
      <c r="AC113" s="38"/>
    </row>
    <row r="114" spans="1:29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9"/>
        <v>1.8907864298212118E-4</v>
      </c>
      <c r="J114" s="6">
        <f t="shared" si="16"/>
        <v>-9.053703332614238E-3</v>
      </c>
      <c r="K114" s="6">
        <f t="shared" si="16"/>
        <v>3.5433502166368901E-3</v>
      </c>
      <c r="L114" s="6">
        <f t="shared" si="16"/>
        <v>-3.8235737207052796E-3</v>
      </c>
      <c r="M114" s="6">
        <f t="shared" si="16"/>
        <v>6.382391439619532E-3</v>
      </c>
      <c r="N114" s="6">
        <f t="shared" si="16"/>
        <v>-6.52009756234213E-4</v>
      </c>
      <c r="O114" s="6">
        <f t="shared" si="11"/>
        <v>8.1072658309452785E-3</v>
      </c>
      <c r="P114" s="6"/>
      <c r="Q114" s="6">
        <f t="shared" si="12"/>
        <v>-1.2659407129283137E-3</v>
      </c>
      <c r="R114" s="6">
        <f t="shared" si="13"/>
        <v>6.382391439619532E-3</v>
      </c>
      <c r="S114" s="6">
        <f t="shared" si="14"/>
        <v>-1.1401556272811614E-4</v>
      </c>
      <c r="T114" s="6">
        <f t="shared" si="15"/>
        <v>2.3109768111593657E-6</v>
      </c>
      <c r="U114" s="6"/>
      <c r="AC114" s="38"/>
    </row>
    <row r="115" spans="1:29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9"/>
        <v>1.8869701894863589E-4</v>
      </c>
      <c r="J115" s="6">
        <f t="shared" si="16"/>
        <v>-3.5923582258243084E-3</v>
      </c>
      <c r="K115" s="6">
        <f t="shared" si="16"/>
        <v>6.045418986824742E-3</v>
      </c>
      <c r="L115" s="6">
        <f t="shared" si="16"/>
        <v>2.608569026138582E-3</v>
      </c>
      <c r="M115" s="6">
        <f t="shared" si="16"/>
        <v>-2.3161320398991719E-3</v>
      </c>
      <c r="N115" s="6">
        <f t="shared" si="16"/>
        <v>7.5283737614565433E-3</v>
      </c>
      <c r="O115" s="6">
        <f t="shared" si="11"/>
        <v>-2.020374533117761E-3</v>
      </c>
      <c r="P115" s="6"/>
      <c r="Q115" s="6">
        <f t="shared" si="12"/>
        <v>-2.7082307297231201E-4</v>
      </c>
      <c r="R115" s="6">
        <f t="shared" si="13"/>
        <v>-2.3161320398991719E-3</v>
      </c>
      <c r="S115" s="6">
        <f t="shared" si="14"/>
        <v>-9.34138948945716E-4</v>
      </c>
      <c r="T115" s="6">
        <f t="shared" si="15"/>
        <v>5.4770654757235176E-6</v>
      </c>
      <c r="U115" s="6"/>
      <c r="AC115" s="38"/>
    </row>
    <row r="116" spans="1:29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9"/>
        <v>1.8793366209446383E-4</v>
      </c>
      <c r="J116" s="6">
        <f t="shared" si="16"/>
        <v>-1.9433375980611085E-2</v>
      </c>
      <c r="K116" s="6">
        <f t="shared" si="16"/>
        <v>2.842073474480988E-3</v>
      </c>
      <c r="L116" s="6">
        <f t="shared" si="16"/>
        <v>2.0287319345977977E-2</v>
      </c>
      <c r="M116" s="6">
        <f t="shared" si="16"/>
        <v>1.610156507641821E-2</v>
      </c>
      <c r="N116" s="6">
        <f t="shared" si="16"/>
        <v>-6.0083834993726029E-4</v>
      </c>
      <c r="O116" s="6">
        <f t="shared" si="11"/>
        <v>-4.0536150551227449E-3</v>
      </c>
      <c r="P116" s="6"/>
      <c r="Q116" s="6">
        <f t="shared" si="12"/>
        <v>1.1343504598070044E-2</v>
      </c>
      <c r="R116" s="6">
        <f t="shared" si="13"/>
        <v>1.610156507641821E-2</v>
      </c>
      <c r="S116" s="6">
        <f t="shared" si="14"/>
        <v>1.0263981188223758E-2</v>
      </c>
      <c r="T116" s="6">
        <f t="shared" si="15"/>
        <v>0</v>
      </c>
      <c r="U116" s="6"/>
      <c r="AC116" s="38"/>
    </row>
    <row r="117" spans="1:29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9"/>
        <v>1.8869701894863589E-4</v>
      </c>
      <c r="J117" s="6">
        <f t="shared" si="16"/>
        <v>-1.9547375416428876E-2</v>
      </c>
      <c r="K117" s="6">
        <f t="shared" si="16"/>
        <v>-6.8682608284900979E-3</v>
      </c>
      <c r="L117" s="6">
        <f t="shared" si="16"/>
        <v>-1.0894867940747696E-2</v>
      </c>
      <c r="M117" s="6">
        <f t="shared" si="16"/>
        <v>9.08571462661973E-3</v>
      </c>
      <c r="N117" s="6">
        <f t="shared" si="16"/>
        <v>-1.6236787963987382E-2</v>
      </c>
      <c r="O117" s="6">
        <f t="shared" si="11"/>
        <v>4.053615055122829E-3</v>
      </c>
      <c r="P117" s="6"/>
      <c r="Q117" s="6">
        <f t="shared" si="12"/>
        <v>-5.5884846030571271E-3</v>
      </c>
      <c r="R117" s="6">
        <f t="shared" si="13"/>
        <v>9.08571462661973E-3</v>
      </c>
      <c r="S117" s="6">
        <f t="shared" si="14"/>
        <v>-3.3311493718391283E-3</v>
      </c>
      <c r="T117" s="6">
        <f t="shared" si="15"/>
        <v>2.2442234301631444E-5</v>
      </c>
      <c r="U117" s="6"/>
      <c r="AC117" s="38"/>
    </row>
    <row r="118" spans="1:29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9"/>
        <v>1.8602463504269195E-4</v>
      </c>
      <c r="J118" s="6">
        <f t="shared" si="16"/>
        <v>1.3252435087594459E-2</v>
      </c>
      <c r="K118" s="6">
        <f t="shared" si="16"/>
        <v>2.4737724565590001E-2</v>
      </c>
      <c r="L118" s="6">
        <f t="shared" si="16"/>
        <v>-3.6197520984293389E-3</v>
      </c>
      <c r="M118" s="6">
        <f t="shared" si="16"/>
        <v>1.9592162762490182E-2</v>
      </c>
      <c r="N118" s="6">
        <f t="shared" si="16"/>
        <v>1.2416277903485802E-2</v>
      </c>
      <c r="O118" s="6">
        <f t="shared" si="11"/>
        <v>-1.4263543006221244E-2</v>
      </c>
      <c r="P118" s="6"/>
      <c r="Q118" s="6">
        <f t="shared" si="12"/>
        <v>7.6220127598441512E-3</v>
      </c>
      <c r="R118" s="6">
        <f t="shared" si="13"/>
        <v>1.9592162762490182E-2</v>
      </c>
      <c r="S118" s="6">
        <f t="shared" si="14"/>
        <v>1.066226142417777E-2</v>
      </c>
      <c r="T118" s="6">
        <f t="shared" si="15"/>
        <v>0</v>
      </c>
      <c r="U118" s="6"/>
      <c r="AC118" s="38"/>
    </row>
    <row r="119" spans="1:29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9"/>
        <v>1.8678835474061906E-4</v>
      </c>
      <c r="J119" s="6">
        <f t="shared" si="16"/>
        <v>-5.4198470459970276E-3</v>
      </c>
      <c r="K119" s="6">
        <f t="shared" si="16"/>
        <v>-7.2416284624734579E-3</v>
      </c>
      <c r="L119" s="6">
        <f t="shared" si="16"/>
        <v>5.7395664242008678E-3</v>
      </c>
      <c r="M119" s="6">
        <f t="shared" si="16"/>
        <v>-1.1709175802896356E-2</v>
      </c>
      <c r="N119" s="6">
        <f t="shared" si="16"/>
        <v>1.0627786351803241E-2</v>
      </c>
      <c r="O119" s="6">
        <f t="shared" si="11"/>
        <v>4.0970716534691276E-3</v>
      </c>
      <c r="P119" s="6"/>
      <c r="Q119" s="6">
        <f t="shared" si="12"/>
        <v>-2.4237102647811587E-3</v>
      </c>
      <c r="R119" s="6">
        <f t="shared" si="13"/>
        <v>-1.1709175802896356E-2</v>
      </c>
      <c r="S119" s="6">
        <f t="shared" si="14"/>
        <v>-4.6721421847717983E-3</v>
      </c>
      <c r="T119" s="6">
        <f t="shared" si="15"/>
        <v>3.6945929659375672E-5</v>
      </c>
      <c r="U119" s="6"/>
      <c r="AC119" s="38"/>
    </row>
    <row r="120" spans="1:29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9"/>
        <v>1.8602463504269195E-4</v>
      </c>
      <c r="J120" s="6">
        <f t="shared" si="16"/>
        <v>9.7984505156412712E-3</v>
      </c>
      <c r="K120" s="6">
        <f t="shared" si="16"/>
        <v>-8.2933112377348989E-3</v>
      </c>
      <c r="L120" s="6">
        <f t="shared" si="16"/>
        <v>-1.3171600244696804E-3</v>
      </c>
      <c r="M120" s="6">
        <f t="shared" si="16"/>
        <v>-5.6243984313423317E-3</v>
      </c>
      <c r="N120" s="6">
        <f t="shared" si="16"/>
        <v>-3.191464135615035E-3</v>
      </c>
      <c r="O120" s="6">
        <f t="shared" si="11"/>
        <v>-4.0970716534690834E-3</v>
      </c>
      <c r="P120" s="6"/>
      <c r="Q120" s="6">
        <f t="shared" si="12"/>
        <v>-7.1666681276645995E-4</v>
      </c>
      <c r="R120" s="6">
        <f t="shared" si="13"/>
        <v>-5.6243984313423317E-3</v>
      </c>
      <c r="S120" s="6">
        <f t="shared" si="14"/>
        <v>-1.0868464534784473E-3</v>
      </c>
      <c r="T120" s="6">
        <f t="shared" si="15"/>
        <v>6.2151518088641116E-6</v>
      </c>
      <c r="U120" s="6"/>
      <c r="AC120" s="38"/>
    </row>
    <row r="121" spans="1:29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9"/>
        <v>1.8755192925978825E-4</v>
      </c>
      <c r="J121" s="6">
        <f t="shared" si="16"/>
        <v>8.5946741458582179E-3</v>
      </c>
      <c r="K121" s="6">
        <f t="shared" si="16"/>
        <v>-1.6669342296507035E-3</v>
      </c>
      <c r="L121" s="6">
        <f t="shared" si="16"/>
        <v>3.4324844651034197E-3</v>
      </c>
      <c r="M121" s="6">
        <f t="shared" si="16"/>
        <v>-6.7910685184317367E-3</v>
      </c>
      <c r="N121" s="6">
        <f t="shared" si="16"/>
        <v>2.3077617284261594E-3</v>
      </c>
      <c r="O121" s="6">
        <f t="shared" si="11"/>
        <v>8.1766517083937465E-3</v>
      </c>
      <c r="P121" s="6"/>
      <c r="Q121" s="6">
        <f t="shared" si="12"/>
        <v>8.5593246041940681E-4</v>
      </c>
      <c r="R121" s="6">
        <f t="shared" si="13"/>
        <v>-6.7910685184317367E-3</v>
      </c>
      <c r="S121" s="6">
        <f t="shared" si="14"/>
        <v>-2.9470091645297444E-4</v>
      </c>
      <c r="T121" s="6">
        <f t="shared" si="15"/>
        <v>2.8929760459179791E-6</v>
      </c>
      <c r="U121" s="6"/>
      <c r="AC121" s="38"/>
    </row>
    <row r="122" spans="1:29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9"/>
        <v>1.8487878316397754E-4</v>
      </c>
      <c r="J122" s="6">
        <f t="shared" si="16"/>
        <v>5.8094509155742779E-4</v>
      </c>
      <c r="K122" s="6">
        <f t="shared" si="16"/>
        <v>8.3381444850086286E-4</v>
      </c>
      <c r="L122" s="6">
        <f t="shared" si="16"/>
        <v>1.8827811992427708E-3</v>
      </c>
      <c r="M122" s="6">
        <f t="shared" si="16"/>
        <v>-1.6027947235816124E-2</v>
      </c>
      <c r="N122" s="6">
        <f t="shared" si="16"/>
        <v>8.2076669213310503E-3</v>
      </c>
      <c r="O122" s="6">
        <f t="shared" si="11"/>
        <v>-1.4355378934220285E-2</v>
      </c>
      <c r="P122" s="6"/>
      <c r="Q122" s="6">
        <f t="shared" si="12"/>
        <v>-4.5820155289173891E-3</v>
      </c>
      <c r="R122" s="6">
        <f t="shared" si="13"/>
        <v>-1.6027947235816124E-2</v>
      </c>
      <c r="S122" s="6">
        <f t="shared" si="14"/>
        <v>-6.7260352950178669E-3</v>
      </c>
      <c r="T122" s="6">
        <f t="shared" si="15"/>
        <v>6.6132830716953217E-5</v>
      </c>
      <c r="U122" s="6"/>
      <c r="AC122" s="38"/>
    </row>
    <row r="123" spans="1:29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9"/>
        <v>1.8296830335384762E-4</v>
      </c>
      <c r="J123" s="6">
        <f t="shared" si="16"/>
        <v>-5.7713210785359176E-3</v>
      </c>
      <c r="K123" s="6">
        <f t="shared" si="16"/>
        <v>-2.670619829599635E-3</v>
      </c>
      <c r="L123" s="6">
        <f t="shared" si="16"/>
        <v>-3.5975477957779409E-3</v>
      </c>
      <c r="M123" s="6">
        <f t="shared" si="16"/>
        <v>-2.9870396236716779E-2</v>
      </c>
      <c r="N123" s="6">
        <f t="shared" si="16"/>
        <v>5.7040100736248747E-4</v>
      </c>
      <c r="O123" s="6">
        <f t="shared" si="11"/>
        <v>-1.0387452060302784E-2</v>
      </c>
      <c r="P123" s="6"/>
      <c r="Q123" s="6">
        <f t="shared" si="12"/>
        <v>-1.3130424241780868E-2</v>
      </c>
      <c r="R123" s="6">
        <f t="shared" si="13"/>
        <v>-2.9870396236716779E-2</v>
      </c>
      <c r="S123" s="6">
        <f t="shared" si="14"/>
        <v>-1.6274400596543698E-2</v>
      </c>
      <c r="T123" s="6">
        <f t="shared" si="15"/>
        <v>3.1260272393190714E-4</v>
      </c>
      <c r="U123" s="6"/>
      <c r="AC123" s="38"/>
    </row>
    <row r="124" spans="1:29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9"/>
        <v>1.8793366209446383E-4</v>
      </c>
      <c r="J124" s="6">
        <f t="shared" si="16"/>
        <v>4.0856395568765842E-3</v>
      </c>
      <c r="K124" s="6">
        <f t="shared" si="16"/>
        <v>-4.5230317841640829E-3</v>
      </c>
      <c r="L124" s="6">
        <f t="shared" si="16"/>
        <v>1.200619285424928E-3</v>
      </c>
      <c r="M124" s="6">
        <f t="shared" si="16"/>
        <v>1.1883725529783697E-3</v>
      </c>
      <c r="N124" s="6">
        <f t="shared" si="16"/>
        <v>5.7259755908601927E-3</v>
      </c>
      <c r="O124" s="6">
        <f t="shared" si="11"/>
        <v>2.6776107237227904E-2</v>
      </c>
      <c r="P124" s="6"/>
      <c r="Q124" s="6">
        <f t="shared" si="12"/>
        <v>1.740411461366909E-3</v>
      </c>
      <c r="R124" s="6">
        <f t="shared" si="13"/>
        <v>1.1883725529783697E-3</v>
      </c>
      <c r="S124" s="6">
        <f t="shared" si="14"/>
        <v>1.7680016570577361E-3</v>
      </c>
      <c r="T124" s="6">
        <f t="shared" si="15"/>
        <v>0</v>
      </c>
      <c r="U124" s="6"/>
      <c r="AC124" s="38"/>
    </row>
    <row r="125" spans="1:29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9"/>
        <v>1.9022329759033063E-4</v>
      </c>
      <c r="J125" s="6">
        <f t="shared" si="16"/>
        <v>-9.0426439389799818E-3</v>
      </c>
      <c r="K125" s="6">
        <f t="shared" si="16"/>
        <v>2.3477669245357624E-3</v>
      </c>
      <c r="L125" s="6">
        <f t="shared" si="16"/>
        <v>4.4469325058092328E-3</v>
      </c>
      <c r="M125" s="6">
        <f t="shared" si="16"/>
        <v>1.0632216336701443E-2</v>
      </c>
      <c r="N125" s="6">
        <f t="shared" si="16"/>
        <v>-9.4940022755554091E-4</v>
      </c>
      <c r="O125" s="6">
        <f t="shared" si="11"/>
        <v>1.2109593209557942E-2</v>
      </c>
      <c r="P125" s="6"/>
      <c r="Q125" s="6">
        <f t="shared" si="12"/>
        <v>4.0508974836156557E-3</v>
      </c>
      <c r="R125" s="6">
        <f t="shared" si="13"/>
        <v>1.0632216336701443E-2</v>
      </c>
      <c r="S125" s="6">
        <f t="shared" si="14"/>
        <v>4.5936416047036863E-3</v>
      </c>
      <c r="T125" s="6">
        <f t="shared" si="15"/>
        <v>0</v>
      </c>
      <c r="U125" s="6"/>
      <c r="AC125" s="38"/>
    </row>
    <row r="126" spans="1:29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9"/>
        <v>1.8831535865504456E-4</v>
      </c>
      <c r="J126" s="6">
        <f t="shared" si="16"/>
        <v>-1.133841763443315E-2</v>
      </c>
      <c r="K126" s="6">
        <f t="shared" si="16"/>
        <v>-5.8799302773867674E-3</v>
      </c>
      <c r="L126" s="6">
        <f t="shared" si="16"/>
        <v>-8.7416423305419957E-3</v>
      </c>
      <c r="M126" s="6">
        <f t="shared" si="16"/>
        <v>-7.075609674194675E-3</v>
      </c>
      <c r="N126" s="6">
        <f t="shared" si="16"/>
        <v>-1.3768624761212093E-2</v>
      </c>
      <c r="O126" s="6">
        <f t="shared" si="11"/>
        <v>-1.0080635415788465E-2</v>
      </c>
      <c r="P126" s="6"/>
      <c r="Q126" s="6">
        <f t="shared" si="12"/>
        <v>-8.6528196648794631E-3</v>
      </c>
      <c r="R126" s="6">
        <f t="shared" si="13"/>
        <v>-7.075609674194675E-3</v>
      </c>
      <c r="S126" s="6">
        <f t="shared" si="14"/>
        <v>-8.4857500077463784E-3</v>
      </c>
      <c r="T126" s="6">
        <f t="shared" si="15"/>
        <v>9.7850163858034637E-5</v>
      </c>
      <c r="U126" s="6"/>
      <c r="AC126" s="38"/>
    </row>
    <row r="127" spans="1:29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9"/>
        <v>1.8869701894863589E-4</v>
      </c>
      <c r="J127" s="6">
        <f t="shared" si="16"/>
        <v>-4.8213974030586366E-3</v>
      </c>
      <c r="K127" s="6">
        <f t="shared" si="16"/>
        <v>-1.0114192349661964E-3</v>
      </c>
      <c r="L127" s="6">
        <f t="shared" si="16"/>
        <v>1.0105957663276266E-2</v>
      </c>
      <c r="M127" s="6">
        <f t="shared" si="16"/>
        <v>5.9145856733030231E-4</v>
      </c>
      <c r="N127" s="6">
        <f t="shared" si="16"/>
        <v>9.5341290968955009E-3</v>
      </c>
      <c r="O127" s="6">
        <f t="shared" si="11"/>
        <v>2.0246572613530339E-3</v>
      </c>
      <c r="P127" s="6"/>
      <c r="Q127" s="6">
        <f t="shared" si="12"/>
        <v>3.9872167977853725E-3</v>
      </c>
      <c r="R127" s="6">
        <f t="shared" si="13"/>
        <v>5.9145856733030231E-4</v>
      </c>
      <c r="S127" s="6">
        <f t="shared" si="14"/>
        <v>2.6310747161507287E-3</v>
      </c>
      <c r="T127" s="6">
        <f t="shared" si="15"/>
        <v>0</v>
      </c>
      <c r="U127" s="6"/>
      <c r="AC127" s="38"/>
    </row>
    <row r="128" spans="1:29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9"/>
        <v>1.8869701894863589E-4</v>
      </c>
      <c r="J128" s="6">
        <f t="shared" si="16"/>
        <v>-1.5759825619922172E-3</v>
      </c>
      <c r="K128" s="6">
        <f t="shared" si="16"/>
        <v>1.8535876226185115E-3</v>
      </c>
      <c r="L128" s="6">
        <f t="shared" si="16"/>
        <v>2.1580013672744289E-2</v>
      </c>
      <c r="M128" s="6">
        <f t="shared" si="16"/>
        <v>1.0588436740846002E-2</v>
      </c>
      <c r="N128" s="6">
        <f t="shared" si="16"/>
        <v>5.8043999917945753E-3</v>
      </c>
      <c r="O128" s="6">
        <f t="shared" si="11"/>
        <v>0</v>
      </c>
      <c r="P128" s="6"/>
      <c r="Q128" s="6">
        <f t="shared" si="12"/>
        <v>1.3396652117563707E-2</v>
      </c>
      <c r="R128" s="6">
        <f t="shared" si="13"/>
        <v>1.0588436740846002E-2</v>
      </c>
      <c r="S128" s="6">
        <f t="shared" si="14"/>
        <v>1.173502861229412E-2</v>
      </c>
      <c r="T128" s="6">
        <f t="shared" si="15"/>
        <v>0</v>
      </c>
      <c r="U128" s="6"/>
      <c r="AC128" s="38"/>
    </row>
    <row r="129" spans="1:29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9"/>
        <v>1.8984178229608517E-4</v>
      </c>
      <c r="J129" s="6">
        <f t="shared" si="16"/>
        <v>-8.4661574423176515E-3</v>
      </c>
      <c r="K129" s="6">
        <f t="shared" si="16"/>
        <v>-1.6839405150777205E-4</v>
      </c>
      <c r="L129" s="6">
        <f t="shared" si="16"/>
        <v>-4.6810314347300336E-3</v>
      </c>
      <c r="M129" s="6">
        <f t="shared" si="16"/>
        <v>-7.0465265167247411E-3</v>
      </c>
      <c r="N129" s="6">
        <f t="shared" si="16"/>
        <v>-4.8150123419915631E-3</v>
      </c>
      <c r="O129" s="6">
        <f t="shared" si="11"/>
        <v>6.0483460799302426E-3</v>
      </c>
      <c r="P129" s="6"/>
      <c r="Q129" s="6">
        <f t="shared" si="12"/>
        <v>-6.2162061897718729E-3</v>
      </c>
      <c r="R129" s="6">
        <f t="shared" si="13"/>
        <v>-7.0465265167247411E-3</v>
      </c>
      <c r="S129" s="6">
        <f t="shared" si="14"/>
        <v>-6.5405360621637581E-3</v>
      </c>
      <c r="T129" s="6">
        <f t="shared" si="15"/>
        <v>6.3150203449508099E-5</v>
      </c>
      <c r="U129" s="6"/>
      <c r="AC129" s="38"/>
    </row>
    <row r="130" spans="1:29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9"/>
        <v>1.9022329759033063E-4</v>
      </c>
      <c r="J130" s="6">
        <f t="shared" si="16"/>
        <v>-4.1223013161664603E-3</v>
      </c>
      <c r="K130" s="6">
        <f t="shared" si="16"/>
        <v>2.181787938436186E-2</v>
      </c>
      <c r="L130" s="6">
        <f t="shared" si="16"/>
        <v>3.9023496044056838E-3</v>
      </c>
      <c r="M130" s="6">
        <f t="shared" si="16"/>
        <v>-3.5419102241213379E-3</v>
      </c>
      <c r="N130" s="6">
        <f t="shared" si="16"/>
        <v>-6.0234144772223523E-3</v>
      </c>
      <c r="O130" s="6">
        <f t="shared" si="11"/>
        <v>2.0076320745050212E-3</v>
      </c>
      <c r="P130" s="6"/>
      <c r="Q130" s="6">
        <f t="shared" si="12"/>
        <v>-1.9584133671974192E-4</v>
      </c>
      <c r="R130" s="6">
        <f t="shared" si="13"/>
        <v>-3.5419102241213379E-3</v>
      </c>
      <c r="S130" s="6">
        <f t="shared" si="14"/>
        <v>-1.1556234865505118E-3</v>
      </c>
      <c r="T130" s="6">
        <f t="shared" si="15"/>
        <v>6.5628072123249824E-6</v>
      </c>
      <c r="U130" s="6"/>
      <c r="AC130" s="38"/>
    </row>
    <row r="131" spans="1:29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si="9"/>
        <v>1.9479865694971288E-4</v>
      </c>
      <c r="J131" s="6">
        <f t="shared" ref="J131:N162" si="17">LN(B131/B130)</f>
        <v>4.1772619153831059E-3</v>
      </c>
      <c r="K131" s="6">
        <f t="shared" si="17"/>
        <v>8.8568526987604264E-3</v>
      </c>
      <c r="L131" s="6">
        <f t="shared" si="17"/>
        <v>6.4887245296995355E-3</v>
      </c>
      <c r="M131" s="6">
        <f t="shared" si="17"/>
        <v>5.3082933634442889E-3</v>
      </c>
      <c r="N131" s="6">
        <f t="shared" si="17"/>
        <v>1.2633935945864823E-3</v>
      </c>
      <c r="O131" s="6">
        <f t="shared" si="11"/>
        <v>2.3767864106321954E-2</v>
      </c>
      <c r="P131" s="6"/>
      <c r="Q131" s="6">
        <f t="shared" si="12"/>
        <v>5.6429472002317797E-3</v>
      </c>
      <c r="R131" s="6">
        <f t="shared" si="13"/>
        <v>5.3082933634442889E-3</v>
      </c>
      <c r="S131" s="6">
        <f t="shared" si="14"/>
        <v>5.4754703392946181E-3</v>
      </c>
      <c r="T131" s="6">
        <f t="shared" si="15"/>
        <v>0</v>
      </c>
      <c r="U131" s="6"/>
      <c r="AC131" s="38"/>
    </row>
    <row r="132" spans="1:29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ref="H132:H195" si="18">+(1+G132)^(1/250)-1</f>
        <v>1.9289289052348835E-4</v>
      </c>
      <c r="J132" s="6">
        <f t="shared" si="17"/>
        <v>1.118116096025438E-2</v>
      </c>
      <c r="K132" s="6">
        <f t="shared" si="17"/>
        <v>-1.4707357985398316E-3</v>
      </c>
      <c r="L132" s="6">
        <f t="shared" si="17"/>
        <v>1.1924178761792791E-2</v>
      </c>
      <c r="M132" s="6">
        <f t="shared" si="17"/>
        <v>-2.4413339458236528E-2</v>
      </c>
      <c r="N132" s="6">
        <f t="shared" si="17"/>
        <v>2.0902891694828028E-2</v>
      </c>
      <c r="O132" s="6">
        <f t="shared" ref="O132:O195" si="19">+LN(H132/H131)</f>
        <v>-9.8314332056269067E-3</v>
      </c>
      <c r="P132" s="6"/>
      <c r="Q132" s="6">
        <f t="shared" ref="Q132:Q195" si="20">+SUMPRODUCT($W$16:$Z$16,J132:M132)</f>
        <v>-8.3373707331232515E-4</v>
      </c>
      <c r="R132" s="6">
        <f t="shared" ref="R132:R195" si="21">+SUMPRODUCT($W$17:$Z$17,J132:M132)</f>
        <v>-2.4413339458236528E-2</v>
      </c>
      <c r="S132" s="6">
        <f t="shared" ref="S132:S195" si="22">+SUMPRODUCT($W$18:$Z$18,J132:M132)</f>
        <v>-5.1787283370247836E-3</v>
      </c>
      <c r="T132" s="6">
        <f t="shared" ref="T132:T195" si="23">+MIN(S132-AVERAGE($S$3:$S$254),0)^2</f>
        <v>4.3360940973600936E-5</v>
      </c>
      <c r="U132" s="6"/>
      <c r="AC132" s="38"/>
    </row>
    <row r="133" spans="1:29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18"/>
        <v>1.9251162871269933E-4</v>
      </c>
      <c r="J133" s="6">
        <f t="shared" si="17"/>
        <v>-1.0084818339197638E-2</v>
      </c>
      <c r="K133" s="6">
        <f t="shared" si="17"/>
        <v>8.1738858055153973E-4</v>
      </c>
      <c r="L133" s="6">
        <f t="shared" si="17"/>
        <v>5.0128845481506338E-3</v>
      </c>
      <c r="M133" s="6">
        <f t="shared" si="17"/>
        <v>1.2578760442407045E-2</v>
      </c>
      <c r="N133" s="6">
        <f t="shared" si="17"/>
        <v>3.4788317372660206E-4</v>
      </c>
      <c r="O133" s="6">
        <f t="shared" si="19"/>
        <v>-1.9785026699455054E-3</v>
      </c>
      <c r="P133" s="6"/>
      <c r="Q133" s="6">
        <f t="shared" si="20"/>
        <v>4.7929912586060722E-3</v>
      </c>
      <c r="R133" s="6">
        <f t="shared" si="21"/>
        <v>1.2578760442407045E-2</v>
      </c>
      <c r="S133" s="6">
        <f t="shared" si="22"/>
        <v>5.4732009718914745E-3</v>
      </c>
      <c r="T133" s="6">
        <f t="shared" si="23"/>
        <v>0</v>
      </c>
      <c r="U133" s="6"/>
      <c r="AC133" s="38"/>
    </row>
    <row r="134" spans="1:29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18"/>
        <v>1.9441757599203413E-4</v>
      </c>
      <c r="J134" s="6">
        <f t="shared" si="17"/>
        <v>-7.479106127821062E-3</v>
      </c>
      <c r="K134" s="6">
        <f t="shared" si="17"/>
        <v>-8.0388122707836501E-3</v>
      </c>
      <c r="L134" s="6">
        <f t="shared" si="17"/>
        <v>-3.4300521667624483E-3</v>
      </c>
      <c r="M134" s="6">
        <f t="shared" si="17"/>
        <v>-1.1976066753339242E-2</v>
      </c>
      <c r="N134" s="6">
        <f t="shared" si="17"/>
        <v>-3.7939352461026604E-3</v>
      </c>
      <c r="O134" s="6">
        <f t="shared" si="19"/>
        <v>9.8517386206897241E-3</v>
      </c>
      <c r="P134" s="6"/>
      <c r="Q134" s="6">
        <f t="shared" si="20"/>
        <v>-7.1611142638943444E-3</v>
      </c>
      <c r="R134" s="6">
        <f t="shared" si="21"/>
        <v>-1.1976066753339242E-2</v>
      </c>
      <c r="S134" s="6">
        <f t="shared" si="22"/>
        <v>-8.2394041843517063E-3</v>
      </c>
      <c r="T134" s="6">
        <f t="shared" si="23"/>
        <v>9.3037181711687944E-5</v>
      </c>
      <c r="U134" s="6"/>
      <c r="AC134" s="38"/>
    </row>
    <row r="135" spans="1:29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18"/>
        <v>1.9441757599203413E-4</v>
      </c>
      <c r="J135" s="6">
        <f t="shared" si="17"/>
        <v>8.0816092470088127E-3</v>
      </c>
      <c r="K135" s="6">
        <f t="shared" si="17"/>
        <v>-6.1132169466150627E-3</v>
      </c>
      <c r="L135" s="6">
        <f t="shared" si="17"/>
        <v>4.9073938927271261E-4</v>
      </c>
      <c r="M135" s="6">
        <f t="shared" si="17"/>
        <v>1.3760308076745754E-2</v>
      </c>
      <c r="N135" s="6">
        <f t="shared" si="17"/>
        <v>1.7048185442892359E-3</v>
      </c>
      <c r="O135" s="6">
        <f t="shared" si="19"/>
        <v>0</v>
      </c>
      <c r="P135" s="6"/>
      <c r="Q135" s="6">
        <f t="shared" si="20"/>
        <v>6.5299037436794254E-3</v>
      </c>
      <c r="R135" s="6">
        <f t="shared" si="21"/>
        <v>1.3760308076745754E-2</v>
      </c>
      <c r="S135" s="6">
        <f t="shared" si="22"/>
        <v>8.1960334490420676E-3</v>
      </c>
      <c r="T135" s="6">
        <f t="shared" si="23"/>
        <v>0</v>
      </c>
      <c r="U135" s="6"/>
      <c r="AC135" s="38"/>
    </row>
    <row r="136" spans="1:29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18"/>
        <v>1.9403645887727805E-4</v>
      </c>
      <c r="J136" s="6">
        <f t="shared" si="17"/>
        <v>-6.647496052951337E-3</v>
      </c>
      <c r="K136" s="6">
        <f t="shared" si="17"/>
        <v>9.9389517455469021E-4</v>
      </c>
      <c r="L136" s="6">
        <f t="shared" si="17"/>
        <v>5.0566859458387667E-3</v>
      </c>
      <c r="M136" s="6">
        <f t="shared" si="17"/>
        <v>7.6945269621530249E-3</v>
      </c>
      <c r="N136" s="6">
        <f t="shared" si="17"/>
        <v>-1.659450476103029E-3</v>
      </c>
      <c r="O136" s="6">
        <f t="shared" si="19"/>
        <v>-1.9622256577658012E-3</v>
      </c>
      <c r="P136" s="6"/>
      <c r="Q136" s="6">
        <f t="shared" si="20"/>
        <v>3.7655227052556407E-3</v>
      </c>
      <c r="R136" s="6">
        <f t="shared" si="21"/>
        <v>7.6945269621530249E-3</v>
      </c>
      <c r="S136" s="6">
        <f t="shared" si="22"/>
        <v>3.9085613056583446E-3</v>
      </c>
      <c r="T136" s="6">
        <f t="shared" si="23"/>
        <v>0</v>
      </c>
      <c r="U136" s="6"/>
      <c r="AC136" s="38"/>
    </row>
    <row r="137" spans="1:29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18"/>
        <v>1.9441757599203413E-4</v>
      </c>
      <c r="J137" s="6">
        <f t="shared" si="17"/>
        <v>-3.6999302544279294E-3</v>
      </c>
      <c r="K137" s="6">
        <f t="shared" si="17"/>
        <v>-6.311315966027564E-3</v>
      </c>
      <c r="L137" s="6">
        <f t="shared" si="17"/>
        <v>9.0702909341080495E-3</v>
      </c>
      <c r="M137" s="6">
        <f t="shared" si="17"/>
        <v>-1.7703701935084114E-3</v>
      </c>
      <c r="N137" s="6">
        <f t="shared" si="17"/>
        <v>5.2154203933401618E-3</v>
      </c>
      <c r="O137" s="6">
        <f t="shared" si="19"/>
        <v>1.9622256577658281E-3</v>
      </c>
      <c r="P137" s="6"/>
      <c r="Q137" s="6">
        <f t="shared" si="20"/>
        <v>2.8978380231986737E-3</v>
      </c>
      <c r="R137" s="6">
        <f t="shared" si="21"/>
        <v>-1.7703701935084114E-3</v>
      </c>
      <c r="S137" s="6">
        <f t="shared" si="22"/>
        <v>1.406173315634124E-3</v>
      </c>
      <c r="T137" s="6">
        <f t="shared" si="23"/>
        <v>7.2302641745458836E-19</v>
      </c>
      <c r="U137" s="6"/>
      <c r="AC137" s="38"/>
    </row>
    <row r="138" spans="1:29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18"/>
        <v>1.9594168295089531E-4</v>
      </c>
      <c r="J138" s="6">
        <f t="shared" si="17"/>
        <v>-6.0485955778969338E-3</v>
      </c>
      <c r="K138" s="6">
        <f t="shared" si="17"/>
        <v>-8.1974383416661724E-3</v>
      </c>
      <c r="L138" s="6">
        <f t="shared" si="17"/>
        <v>-4.1470699285579005E-3</v>
      </c>
      <c r="M138" s="6">
        <f t="shared" si="17"/>
        <v>2.9490604228386468E-3</v>
      </c>
      <c r="N138" s="6">
        <f t="shared" si="17"/>
        <v>7.9759250577916968E-3</v>
      </c>
      <c r="O138" s="6">
        <f t="shared" si="19"/>
        <v>7.8087795719660449E-3</v>
      </c>
      <c r="P138" s="6"/>
      <c r="Q138" s="6">
        <f t="shared" si="20"/>
        <v>-2.0415987907557494E-3</v>
      </c>
      <c r="R138" s="6">
        <f t="shared" si="21"/>
        <v>2.9490604228386468E-3</v>
      </c>
      <c r="S138" s="6">
        <f t="shared" si="22"/>
        <v>-1.2341217338552564E-3</v>
      </c>
      <c r="T138" s="6">
        <f t="shared" si="23"/>
        <v>6.9711624384953124E-6</v>
      </c>
      <c r="U138" s="6"/>
      <c r="AC138" s="38"/>
    </row>
    <row r="139" spans="1:29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18"/>
        <v>1.9517970175764177E-4</v>
      </c>
      <c r="J139" s="6">
        <f t="shared" si="17"/>
        <v>-2.5708994582135079E-2</v>
      </c>
      <c r="K139" s="6">
        <f t="shared" si="17"/>
        <v>4.6925289520041878E-3</v>
      </c>
      <c r="L139" s="6">
        <f t="shared" si="17"/>
        <v>7.4737850456217817E-3</v>
      </c>
      <c r="M139" s="6">
        <f t="shared" si="17"/>
        <v>-1.0657458514889893E-2</v>
      </c>
      <c r="N139" s="6">
        <f t="shared" si="17"/>
        <v>-1.1939974324694175E-3</v>
      </c>
      <c r="O139" s="6">
        <f t="shared" si="19"/>
        <v>-3.8963973184373184E-3</v>
      </c>
      <c r="P139" s="6"/>
      <c r="Q139" s="6">
        <f t="shared" si="20"/>
        <v>-5.0795543687797836E-3</v>
      </c>
      <c r="R139" s="6">
        <f t="shared" si="21"/>
        <v>-1.0657458514889893E-2</v>
      </c>
      <c r="S139" s="6">
        <f t="shared" si="22"/>
        <v>-7.6944057291837217E-3</v>
      </c>
      <c r="T139" s="6">
        <f t="shared" si="23"/>
        <v>8.282055442759789E-5</v>
      </c>
      <c r="U139" s="6"/>
      <c r="AC139" s="38"/>
    </row>
    <row r="140" spans="1:29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18"/>
        <v>1.9632261934998674E-4</v>
      </c>
      <c r="J140" s="6">
        <f t="shared" si="17"/>
        <v>-2.8853134850884594E-2</v>
      </c>
      <c r="K140" s="6">
        <f t="shared" si="17"/>
        <v>-4.8605552480539922E-3</v>
      </c>
      <c r="L140" s="6">
        <f t="shared" si="17"/>
        <v>9.9673658093087422E-3</v>
      </c>
      <c r="M140" s="6">
        <f t="shared" si="17"/>
        <v>2.1784911671504949E-2</v>
      </c>
      <c r="N140" s="6">
        <f t="shared" si="17"/>
        <v>-1.0245348981574391E-2</v>
      </c>
      <c r="O140" s="6">
        <f t="shared" si="19"/>
        <v>5.8386414462251674E-3</v>
      </c>
      <c r="P140" s="6"/>
      <c r="Q140" s="6">
        <f t="shared" si="20"/>
        <v>6.7502746215673875E-3</v>
      </c>
      <c r="R140" s="6">
        <f t="shared" si="21"/>
        <v>2.1784911671504949E-2</v>
      </c>
      <c r="S140" s="6">
        <f t="shared" si="22"/>
        <v>7.5859988146406033E-3</v>
      </c>
      <c r="T140" s="6">
        <f t="shared" si="23"/>
        <v>0</v>
      </c>
      <c r="U140" s="6"/>
      <c r="AC140" s="38"/>
    </row>
    <row r="141" spans="1:29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18"/>
        <v>1.9632261934998674E-4</v>
      </c>
      <c r="J141" s="6">
        <f t="shared" si="17"/>
        <v>-5.8956789518436912E-3</v>
      </c>
      <c r="K141" s="6">
        <f t="shared" si="17"/>
        <v>5.0397715508103207E-4</v>
      </c>
      <c r="L141" s="6">
        <f t="shared" si="17"/>
        <v>5.1841067662975826E-3</v>
      </c>
      <c r="M141" s="6">
        <f t="shared" si="17"/>
        <v>5.8222055801986279E-4</v>
      </c>
      <c r="N141" s="6">
        <f t="shared" si="17"/>
        <v>5.1279595372516517E-3</v>
      </c>
      <c r="O141" s="6">
        <f t="shared" si="19"/>
        <v>0</v>
      </c>
      <c r="P141" s="6"/>
      <c r="Q141" s="6">
        <f t="shared" si="20"/>
        <v>1.4967743990468556E-3</v>
      </c>
      <c r="R141" s="6">
        <f t="shared" si="21"/>
        <v>5.8222055801986279E-4</v>
      </c>
      <c r="S141" s="6">
        <f t="shared" si="22"/>
        <v>7.8873671287573712E-4</v>
      </c>
      <c r="T141" s="6">
        <f t="shared" si="23"/>
        <v>3.8122900845108367E-7</v>
      </c>
      <c r="U141" s="6"/>
      <c r="AC141" s="38"/>
    </row>
    <row r="142" spans="1:29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18"/>
        <v>1.9517970175764177E-4</v>
      </c>
      <c r="J142" s="6">
        <f t="shared" si="17"/>
        <v>-7.0975441095678829E-4</v>
      </c>
      <c r="K142" s="6">
        <f t="shared" si="17"/>
        <v>-1.848914347035491E-3</v>
      </c>
      <c r="L142" s="6">
        <f t="shared" si="17"/>
        <v>-8.7971014039722271E-3</v>
      </c>
      <c r="M142" s="6">
        <f t="shared" si="17"/>
        <v>-7.5957392761439417E-3</v>
      </c>
      <c r="N142" s="6">
        <f t="shared" si="17"/>
        <v>1.0251382881397443E-2</v>
      </c>
      <c r="O142" s="6">
        <f t="shared" si="19"/>
        <v>-5.8386414462252264E-3</v>
      </c>
      <c r="P142" s="6"/>
      <c r="Q142" s="6">
        <f t="shared" si="20"/>
        <v>-6.8548645882167344E-3</v>
      </c>
      <c r="R142" s="6">
        <f t="shared" si="21"/>
        <v>-7.5957392761439417E-3</v>
      </c>
      <c r="S142" s="6">
        <f t="shared" si="22"/>
        <v>-6.5871987697765358E-3</v>
      </c>
      <c r="T142" s="6">
        <f t="shared" si="23"/>
        <v>6.3894010889505127E-5</v>
      </c>
      <c r="U142" s="6"/>
      <c r="AC142" s="38"/>
    </row>
    <row r="143" spans="1:29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18"/>
        <v>1.9556071042226009E-4</v>
      </c>
      <c r="J143" s="6">
        <f t="shared" si="17"/>
        <v>1.0184574634208254E-2</v>
      </c>
      <c r="K143" s="6">
        <f t="shared" si="17"/>
        <v>1.3449371919544843E-3</v>
      </c>
      <c r="L143" s="6">
        <f t="shared" si="17"/>
        <v>1.8612639482236896E-3</v>
      </c>
      <c r="M143" s="6">
        <f t="shared" si="17"/>
        <v>8.7592244143747111E-3</v>
      </c>
      <c r="N143" s="6">
        <f t="shared" si="17"/>
        <v>-6.5499380656454595E-3</v>
      </c>
      <c r="O143" s="6">
        <f t="shared" si="19"/>
        <v>1.950188787733562E-3</v>
      </c>
      <c r="P143" s="6"/>
      <c r="Q143" s="6">
        <f t="shared" si="20"/>
        <v>5.8260784609180851E-3</v>
      </c>
      <c r="R143" s="6">
        <f t="shared" si="21"/>
        <v>8.7592244143747111E-3</v>
      </c>
      <c r="S143" s="6">
        <f t="shared" si="22"/>
        <v>6.7583447784387357E-3</v>
      </c>
      <c r="T143" s="6">
        <f t="shared" si="23"/>
        <v>0</v>
      </c>
      <c r="U143" s="6"/>
      <c r="AC143" s="38"/>
    </row>
    <row r="144" spans="1:29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18"/>
        <v>1.9289289052348835E-4</v>
      </c>
      <c r="J144" s="6">
        <f t="shared" si="17"/>
        <v>1.1762232376596935E-2</v>
      </c>
      <c r="K144" s="6">
        <f t="shared" si="17"/>
        <v>1.2024245731310248E-2</v>
      </c>
      <c r="L144" s="6">
        <f t="shared" si="17"/>
        <v>3.7176867835657829E-4</v>
      </c>
      <c r="M144" s="6">
        <f t="shared" si="17"/>
        <v>7.5296267385311973E-3</v>
      </c>
      <c r="N144" s="6">
        <f t="shared" si="17"/>
        <v>-1.1228682551799477E-3</v>
      </c>
      <c r="O144" s="6">
        <f t="shared" si="19"/>
        <v>-1.3735806992006525E-2</v>
      </c>
      <c r="P144" s="6"/>
      <c r="Q144" s="6">
        <f t="shared" si="20"/>
        <v>5.0052202792779093E-3</v>
      </c>
      <c r="R144" s="6">
        <f t="shared" si="21"/>
        <v>7.5296267385311973E-3</v>
      </c>
      <c r="S144" s="6">
        <f t="shared" si="22"/>
        <v>6.033944648351686E-3</v>
      </c>
      <c r="T144" s="6">
        <f t="shared" si="23"/>
        <v>0</v>
      </c>
      <c r="U144" s="6"/>
      <c r="AC144" s="38"/>
    </row>
    <row r="145" spans="1:29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18"/>
        <v>1.9441757599203413E-4</v>
      </c>
      <c r="J145" s="6">
        <f t="shared" si="17"/>
        <v>2.7746091448219968E-3</v>
      </c>
      <c r="K145" s="6">
        <f t="shared" si="17"/>
        <v>4.3067844327523246E-3</v>
      </c>
      <c r="L145" s="6">
        <f t="shared" si="17"/>
        <v>8.1983530120362299E-3</v>
      </c>
      <c r="M145" s="6">
        <f t="shared" si="17"/>
        <v>-7.5296267385311115E-3</v>
      </c>
      <c r="N145" s="6">
        <f t="shared" si="17"/>
        <v>1.1139497364012345E-2</v>
      </c>
      <c r="O145" s="6">
        <f t="shared" si="19"/>
        <v>7.8732359507442031E-3</v>
      </c>
      <c r="P145" s="6"/>
      <c r="Q145" s="6">
        <f t="shared" si="20"/>
        <v>1.714199946329556E-3</v>
      </c>
      <c r="R145" s="6">
        <f t="shared" si="21"/>
        <v>-7.5296267385311115E-3</v>
      </c>
      <c r="S145" s="6">
        <f t="shared" si="22"/>
        <v>-2.3345173747845024E-4</v>
      </c>
      <c r="T145" s="6">
        <f t="shared" si="23"/>
        <v>2.6883731031729844E-6</v>
      </c>
      <c r="U145" s="6"/>
      <c r="AC145" s="38"/>
    </row>
    <row r="146" spans="1:29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18"/>
        <v>1.9289289052348835E-4</v>
      </c>
      <c r="J146" s="6">
        <f t="shared" si="17"/>
        <v>-1.2196574219039144E-2</v>
      </c>
      <c r="K146" s="6">
        <f t="shared" si="17"/>
        <v>1.0195775101912073E-2</v>
      </c>
      <c r="L146" s="6">
        <f t="shared" si="17"/>
        <v>8.079352123651724E-3</v>
      </c>
      <c r="M146" s="6">
        <f t="shared" si="17"/>
        <v>-5.8160336375158385E-4</v>
      </c>
      <c r="N146" s="6">
        <f t="shared" si="17"/>
        <v>-1.926391571868686E-3</v>
      </c>
      <c r="O146" s="6">
        <f t="shared" si="19"/>
        <v>-7.8732359507443037E-3</v>
      </c>
      <c r="P146" s="6"/>
      <c r="Q146" s="6">
        <f t="shared" si="20"/>
        <v>1.2483842483247353E-3</v>
      </c>
      <c r="R146" s="6">
        <f t="shared" si="21"/>
        <v>-5.8160336375158385E-4</v>
      </c>
      <c r="S146" s="6">
        <f t="shared" si="22"/>
        <v>-5.5385565079562867E-5</v>
      </c>
      <c r="T146" s="6">
        <f t="shared" si="23"/>
        <v>2.1361568473488652E-6</v>
      </c>
      <c r="U146" s="6"/>
      <c r="AC146" s="38"/>
    </row>
    <row r="147" spans="1:29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18"/>
        <v>1.9327411614988854E-4</v>
      </c>
      <c r="J147" s="6">
        <f t="shared" si="17"/>
        <v>1.0868104262170121E-2</v>
      </c>
      <c r="K147" s="6">
        <f t="shared" si="17"/>
        <v>-2.2289265661106588E-3</v>
      </c>
      <c r="L147" s="6">
        <f t="shared" si="17"/>
        <v>-1.7978656730612674E-2</v>
      </c>
      <c r="M147" s="6">
        <f t="shared" si="17"/>
        <v>-1.0526393935028697E-2</v>
      </c>
      <c r="N147" s="6">
        <f t="shared" si="17"/>
        <v>-2.8752059156686048E-3</v>
      </c>
      <c r="O147" s="6">
        <f t="shared" si="19"/>
        <v>1.9744087074048946E-3</v>
      </c>
      <c r="P147" s="6"/>
      <c r="Q147" s="6">
        <f t="shared" si="20"/>
        <v>-9.9511428587036217E-3</v>
      </c>
      <c r="R147" s="6">
        <f t="shared" si="21"/>
        <v>-1.0526393935028697E-2</v>
      </c>
      <c r="S147" s="6">
        <f t="shared" si="22"/>
        <v>-8.6380257672317353E-3</v>
      </c>
      <c r="T147" s="6">
        <f t="shared" si="23"/>
        <v>1.0088595229760193E-4</v>
      </c>
      <c r="U147" s="6"/>
      <c r="AC147" s="38"/>
    </row>
    <row r="148" spans="1:29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18"/>
        <v>1.9251162871269933E-4</v>
      </c>
      <c r="J148" s="6">
        <f t="shared" si="17"/>
        <v>-2.1990199647653258E-3</v>
      </c>
      <c r="K148" s="6">
        <f t="shared" si="17"/>
        <v>-1.0300751202101817E-2</v>
      </c>
      <c r="L148" s="6">
        <f t="shared" si="17"/>
        <v>1.2319503083121451E-2</v>
      </c>
      <c r="M148" s="6">
        <f t="shared" si="17"/>
        <v>2.3487728844055851E-3</v>
      </c>
      <c r="N148" s="6">
        <f t="shared" si="17"/>
        <v>-6.5039961169264899E-3</v>
      </c>
      <c r="O148" s="6">
        <f t="shared" si="19"/>
        <v>-3.9529113773502057E-3</v>
      </c>
      <c r="P148" s="6"/>
      <c r="Q148" s="6">
        <f t="shared" si="20"/>
        <v>6.1194368045373706E-3</v>
      </c>
      <c r="R148" s="6">
        <f t="shared" si="21"/>
        <v>2.3487728844055851E-3</v>
      </c>
      <c r="S148" s="6">
        <f t="shared" si="22"/>
        <v>4.6929459957695159E-3</v>
      </c>
      <c r="T148" s="6">
        <f t="shared" si="23"/>
        <v>0</v>
      </c>
      <c r="U148" s="6"/>
      <c r="AC148" s="38"/>
    </row>
    <row r="149" spans="1:29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18"/>
        <v>1.9213033071063812E-4</v>
      </c>
      <c r="J149" s="6">
        <f t="shared" si="17"/>
        <v>6.3521899768463532E-3</v>
      </c>
      <c r="K149" s="6">
        <f t="shared" si="17"/>
        <v>4.1663069910752798E-3</v>
      </c>
      <c r="L149" s="6">
        <f t="shared" si="17"/>
        <v>1.2325227911982373E-2</v>
      </c>
      <c r="M149" s="6">
        <f t="shared" si="17"/>
        <v>1.455631158926427E-2</v>
      </c>
      <c r="N149" s="6">
        <f t="shared" si="17"/>
        <v>6.2981688751588584E-3</v>
      </c>
      <c r="O149" s="6">
        <f t="shared" si="19"/>
        <v>-1.9826132725194968E-3</v>
      </c>
      <c r="P149" s="6"/>
      <c r="Q149" s="6">
        <f t="shared" si="20"/>
        <v>1.1973577196072956E-2</v>
      </c>
      <c r="R149" s="6">
        <f t="shared" si="21"/>
        <v>1.455631158926427E-2</v>
      </c>
      <c r="S149" s="6">
        <f t="shared" si="22"/>
        <v>1.2139924831688229E-2</v>
      </c>
      <c r="T149" s="6">
        <f t="shared" si="23"/>
        <v>0</v>
      </c>
      <c r="U149" s="6"/>
      <c r="AC149" s="38"/>
    </row>
    <row r="150" spans="1:29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18"/>
        <v>1.9327411614988854E-4</v>
      </c>
      <c r="J150" s="6">
        <f t="shared" si="17"/>
        <v>1.3493637966671364E-2</v>
      </c>
      <c r="K150" s="6">
        <f t="shared" si="17"/>
        <v>1.6616478726241028E-3</v>
      </c>
      <c r="L150" s="6">
        <f t="shared" si="17"/>
        <v>5.8480844115032697E-3</v>
      </c>
      <c r="M150" s="6">
        <f t="shared" si="17"/>
        <v>-7.5427928711403599E-3</v>
      </c>
      <c r="N150" s="6">
        <f t="shared" si="17"/>
        <v>5.6332831318901015E-3</v>
      </c>
      <c r="O150" s="6">
        <f t="shared" si="19"/>
        <v>5.9355246498698326E-3</v>
      </c>
      <c r="P150" s="6"/>
      <c r="Q150" s="6">
        <f t="shared" si="20"/>
        <v>2.6400162065576562E-3</v>
      </c>
      <c r="R150" s="6">
        <f t="shared" si="21"/>
        <v>-7.5427928711403599E-3</v>
      </c>
      <c r="S150" s="6">
        <f t="shared" si="22"/>
        <v>1.1498960313078431E-3</v>
      </c>
      <c r="T150" s="6">
        <f t="shared" si="23"/>
        <v>6.567848229244718E-8</v>
      </c>
      <c r="U150" s="6"/>
      <c r="AC150" s="38"/>
    </row>
    <row r="151" spans="1:29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18"/>
        <v>1.9517970175764177E-4</v>
      </c>
      <c r="J151" s="6">
        <f t="shared" si="17"/>
        <v>1.4602145308817756E-2</v>
      </c>
      <c r="K151" s="6">
        <f t="shared" si="17"/>
        <v>8.5965451914703454E-3</v>
      </c>
      <c r="L151" s="6">
        <f t="shared" si="17"/>
        <v>1.3021806957661381E-2</v>
      </c>
      <c r="M151" s="6">
        <f t="shared" si="17"/>
        <v>2.3269110502146303E-3</v>
      </c>
      <c r="N151" s="6">
        <f t="shared" si="17"/>
        <v>8.8646978273410684E-3</v>
      </c>
      <c r="O151" s="6">
        <f t="shared" si="19"/>
        <v>9.8112094968681833E-3</v>
      </c>
      <c r="P151" s="6"/>
      <c r="Q151" s="6">
        <f t="shared" si="20"/>
        <v>9.6061362202355966E-3</v>
      </c>
      <c r="R151" s="6">
        <f t="shared" si="21"/>
        <v>2.3269110502146303E-3</v>
      </c>
      <c r="S151" s="6">
        <f t="shared" si="22"/>
        <v>8.3513013408148592E-3</v>
      </c>
      <c r="T151" s="6">
        <f t="shared" si="23"/>
        <v>0</v>
      </c>
      <c r="U151" s="6"/>
      <c r="AC151" s="38"/>
    </row>
    <row r="152" spans="1:29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18"/>
        <v>1.9556071042226009E-4</v>
      </c>
      <c r="J152" s="6">
        <f t="shared" si="17"/>
        <v>-4.1715613983300662E-2</v>
      </c>
      <c r="K152" s="6">
        <f t="shared" si="17"/>
        <v>-4.6196894266072042E-3</v>
      </c>
      <c r="L152" s="6">
        <f t="shared" si="17"/>
        <v>1.3809332358761774E-2</v>
      </c>
      <c r="M152" s="6">
        <f t="shared" si="17"/>
        <v>-2.9095910236789767E-3</v>
      </c>
      <c r="N152" s="6">
        <f t="shared" si="17"/>
        <v>3.2313725131378058E-3</v>
      </c>
      <c r="O152" s="6">
        <f t="shared" si="19"/>
        <v>1.950188787733562E-3</v>
      </c>
      <c r="P152" s="6"/>
      <c r="Q152" s="6">
        <f t="shared" si="20"/>
        <v>-2.4667842513876469E-3</v>
      </c>
      <c r="R152" s="6">
        <f t="shared" si="21"/>
        <v>-2.9095910236789767E-3</v>
      </c>
      <c r="S152" s="6">
        <f t="shared" si="22"/>
        <v>-5.2532705860461066E-3</v>
      </c>
      <c r="T152" s="6">
        <f t="shared" si="23"/>
        <v>4.4348204404804914E-5</v>
      </c>
      <c r="U152" s="6"/>
      <c r="AC152" s="38"/>
    </row>
    <row r="153" spans="1:29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18"/>
        <v>1.9670351962641774E-4</v>
      </c>
      <c r="J153" s="6">
        <f t="shared" si="17"/>
        <v>5.2960884338796171E-3</v>
      </c>
      <c r="K153" s="6">
        <f t="shared" si="17"/>
        <v>3.3072101581254086E-4</v>
      </c>
      <c r="L153" s="6">
        <f t="shared" si="17"/>
        <v>-1.2333324609694349E-2</v>
      </c>
      <c r="M153" s="6">
        <f t="shared" si="17"/>
        <v>-1.0544773183150766E-2</v>
      </c>
      <c r="N153" s="6">
        <f t="shared" si="17"/>
        <v>-1.4032464064151588E-3</v>
      </c>
      <c r="O153" s="6">
        <f t="shared" si="19"/>
        <v>5.8267481452814176E-3</v>
      </c>
      <c r="P153" s="6"/>
      <c r="Q153" s="6">
        <f t="shared" si="20"/>
        <v>-8.3877910255512993E-3</v>
      </c>
      <c r="R153" s="6">
        <f t="shared" si="21"/>
        <v>-1.0544773183150766E-2</v>
      </c>
      <c r="S153" s="6">
        <f t="shared" si="22"/>
        <v>-7.907499564894312E-3</v>
      </c>
      <c r="T153" s="6">
        <f t="shared" si="23"/>
        <v>8.6744518364502521E-5</v>
      </c>
      <c r="U153" s="6"/>
      <c r="AC153" s="38"/>
    </row>
    <row r="154" spans="1:29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18"/>
        <v>1.970843837875158E-4</v>
      </c>
      <c r="J154" s="6">
        <f t="shared" si="17"/>
        <v>-8.3350523254073824E-3</v>
      </c>
      <c r="K154" s="6">
        <f t="shared" si="17"/>
        <v>-1.4890065620656438E-3</v>
      </c>
      <c r="L154" s="6">
        <f t="shared" si="17"/>
        <v>-9.1968412694247506E-3</v>
      </c>
      <c r="M154" s="6">
        <f t="shared" si="17"/>
        <v>8.2110739967389546E-3</v>
      </c>
      <c r="N154" s="6">
        <f t="shared" si="17"/>
        <v>-3.0595955699421543E-3</v>
      </c>
      <c r="O154" s="6">
        <f t="shared" si="19"/>
        <v>1.9343625162409541E-3</v>
      </c>
      <c r="P154" s="6"/>
      <c r="Q154" s="6">
        <f t="shared" si="20"/>
        <v>-2.9896230471424937E-3</v>
      </c>
      <c r="R154" s="6">
        <f t="shared" si="21"/>
        <v>8.2110739967389546E-3</v>
      </c>
      <c r="S154" s="6">
        <f t="shared" si="22"/>
        <v>-8.9864253621446634E-4</v>
      </c>
      <c r="T154" s="6">
        <f t="shared" si="23"/>
        <v>5.3121800305473607E-6</v>
      </c>
      <c r="U154" s="6"/>
      <c r="AC154" s="38"/>
    </row>
    <row r="155" spans="1:29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18"/>
        <v>1.9746521183972021E-4</v>
      </c>
      <c r="J155" s="6">
        <f t="shared" si="17"/>
        <v>-6.6948293563426041E-3</v>
      </c>
      <c r="K155" s="6">
        <f t="shared" si="17"/>
        <v>2.3152310191375206E-3</v>
      </c>
      <c r="L155" s="6">
        <f t="shared" si="17"/>
        <v>4.6600093568763086E-3</v>
      </c>
      <c r="M155" s="6">
        <f t="shared" si="17"/>
        <v>3.4985997178958793E-3</v>
      </c>
      <c r="N155" s="6">
        <f t="shared" si="17"/>
        <v>-2.8037482252575453E-3</v>
      </c>
      <c r="O155" s="6">
        <f t="shared" si="19"/>
        <v>1.9304451186456823E-3</v>
      </c>
      <c r="P155" s="6"/>
      <c r="Q155" s="6">
        <f t="shared" si="20"/>
        <v>2.1154760609215298E-3</v>
      </c>
      <c r="R155" s="6">
        <f t="shared" si="21"/>
        <v>3.4985997178958793E-3</v>
      </c>
      <c r="S155" s="6">
        <f t="shared" si="22"/>
        <v>1.8160770985522492E-3</v>
      </c>
      <c r="T155" s="6">
        <f t="shared" si="23"/>
        <v>0</v>
      </c>
      <c r="U155" s="6"/>
      <c r="AC155" s="38"/>
    </row>
    <row r="156" spans="1:29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18"/>
        <v>1.9746521183972021E-4</v>
      </c>
      <c r="J156" s="6">
        <f t="shared" si="17"/>
        <v>2.0990652674622658E-2</v>
      </c>
      <c r="K156" s="6">
        <f t="shared" si="17"/>
        <v>8.0612064628980545E-3</v>
      </c>
      <c r="L156" s="6">
        <f t="shared" si="17"/>
        <v>1.9178381247547345E-2</v>
      </c>
      <c r="M156" s="6">
        <f t="shared" si="17"/>
        <v>2.130803414272742E-2</v>
      </c>
      <c r="N156" s="6">
        <f t="shared" si="17"/>
        <v>8.5935659407079552E-3</v>
      </c>
      <c r="O156" s="6">
        <f t="shared" si="19"/>
        <v>0</v>
      </c>
      <c r="P156" s="6"/>
      <c r="Q156" s="6">
        <f t="shared" si="20"/>
        <v>2.0259629981212016E-2</v>
      </c>
      <c r="R156" s="6">
        <f t="shared" si="21"/>
        <v>2.130803414272742E-2</v>
      </c>
      <c r="S156" s="6">
        <f t="shared" si="22"/>
        <v>2.0516100948179822E-2</v>
      </c>
      <c r="T156" s="6">
        <f t="shared" si="23"/>
        <v>0</v>
      </c>
      <c r="U156" s="6"/>
      <c r="AC156" s="38"/>
    </row>
    <row r="157" spans="1:29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18"/>
        <v>1.9556071042226009E-4</v>
      </c>
      <c r="J157" s="6">
        <f t="shared" si="17"/>
        <v>-1.0615167680639992E-2</v>
      </c>
      <c r="K157" s="6">
        <f t="shared" si="17"/>
        <v>2.4548076667502516E-3</v>
      </c>
      <c r="L157" s="6">
        <f t="shared" si="17"/>
        <v>3.9017948330012063E-3</v>
      </c>
      <c r="M157" s="6">
        <f t="shared" si="17"/>
        <v>2.8449078782690519E-3</v>
      </c>
      <c r="N157" s="6">
        <f t="shared" si="17"/>
        <v>1.1158887706710923E-3</v>
      </c>
      <c r="O157" s="6">
        <f t="shared" si="19"/>
        <v>-9.6915557801681984E-3</v>
      </c>
      <c r="P157" s="6"/>
      <c r="Q157" s="6">
        <f t="shared" si="20"/>
        <v>7.9725617129435553E-4</v>
      </c>
      <c r="R157" s="6">
        <f t="shared" si="21"/>
        <v>2.8449078782690519E-3</v>
      </c>
      <c r="S157" s="6">
        <f t="shared" si="22"/>
        <v>4.6818337346712707E-4</v>
      </c>
      <c r="T157" s="6">
        <f t="shared" si="23"/>
        <v>8.798267267708761E-7</v>
      </c>
      <c r="U157" s="6"/>
      <c r="AC157" s="38"/>
    </row>
    <row r="158" spans="1:29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18"/>
        <v>1.9556071042226009E-4</v>
      </c>
      <c r="J158" s="6">
        <f t="shared" si="17"/>
        <v>-8.4917741718009161E-3</v>
      </c>
      <c r="K158" s="6">
        <f t="shared" si="17"/>
        <v>-8.2061974569752581E-3</v>
      </c>
      <c r="L158" s="6">
        <f t="shared" si="17"/>
        <v>-6.8129855912890617E-3</v>
      </c>
      <c r="M158" s="6">
        <f t="shared" si="17"/>
        <v>-5.697991304405129E-3</v>
      </c>
      <c r="N158" s="6">
        <f t="shared" si="17"/>
        <v>-2.0155996658250933E-3</v>
      </c>
      <c r="O158" s="6">
        <f t="shared" si="19"/>
        <v>0</v>
      </c>
      <c r="P158" s="6"/>
      <c r="Q158" s="6">
        <f t="shared" si="20"/>
        <v>-6.742394906951301E-3</v>
      </c>
      <c r="R158" s="6">
        <f t="shared" si="21"/>
        <v>-5.697991304405129E-3</v>
      </c>
      <c r="S158" s="6">
        <f t="shared" si="22"/>
        <v>-6.6360653652946921E-3</v>
      </c>
      <c r="T158" s="6">
        <f t="shared" si="23"/>
        <v>6.4677616677813921E-5</v>
      </c>
      <c r="U158" s="6"/>
      <c r="AC158" s="38"/>
    </row>
    <row r="159" spans="1:29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18"/>
        <v>1.9441757599203413E-4</v>
      </c>
      <c r="J159" s="6">
        <f t="shared" si="17"/>
        <v>-7.0234473180625914E-3</v>
      </c>
      <c r="K159" s="6">
        <f t="shared" si="17"/>
        <v>-8.7726750393700287E-3</v>
      </c>
      <c r="L159" s="6">
        <f t="shared" si="17"/>
        <v>-4.0223368324664339E-4</v>
      </c>
      <c r="M159" s="6">
        <f t="shared" si="17"/>
        <v>1.1421632595400733E-3</v>
      </c>
      <c r="N159" s="6">
        <f t="shared" si="17"/>
        <v>-7.2653957344673645E-3</v>
      </c>
      <c r="O159" s="6">
        <f t="shared" si="19"/>
        <v>-5.8625710412623351E-3</v>
      </c>
      <c r="P159" s="6"/>
      <c r="Q159" s="6">
        <f t="shared" si="20"/>
        <v>-1.1145589485677132E-3</v>
      </c>
      <c r="R159" s="6">
        <f t="shared" si="21"/>
        <v>1.1421632595400733E-3</v>
      </c>
      <c r="S159" s="6">
        <f t="shared" si="22"/>
        <v>-1.0390207719916875E-3</v>
      </c>
      <c r="T159" s="6">
        <f t="shared" si="23"/>
        <v>5.9789782845049657E-6</v>
      </c>
      <c r="U159" s="6"/>
      <c r="AC159" s="38"/>
    </row>
    <row r="160" spans="1:29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18"/>
        <v>1.9517970175764177E-4</v>
      </c>
      <c r="J160" s="6">
        <f t="shared" si="17"/>
        <v>4.7859728642550272E-3</v>
      </c>
      <c r="K160" s="6">
        <f t="shared" si="17"/>
        <v>-5.3342326889105063E-3</v>
      </c>
      <c r="L160" s="6">
        <f t="shared" si="17"/>
        <v>-2.8200016753762752E-3</v>
      </c>
      <c r="M160" s="6">
        <f t="shared" si="17"/>
        <v>5.12394513644681E-3</v>
      </c>
      <c r="N160" s="6">
        <f t="shared" si="17"/>
        <v>1.0904938060488179E-3</v>
      </c>
      <c r="O160" s="6">
        <f t="shared" si="19"/>
        <v>3.91238225352871E-3</v>
      </c>
      <c r="P160" s="6"/>
      <c r="Q160" s="6">
        <f t="shared" si="20"/>
        <v>1.3727478444927024E-3</v>
      </c>
      <c r="R160" s="6">
        <f t="shared" si="21"/>
        <v>5.12394513644681E-3</v>
      </c>
      <c r="S160" s="6">
        <f t="shared" si="22"/>
        <v>2.4153196748404374E-3</v>
      </c>
      <c r="T160" s="6">
        <f t="shared" si="23"/>
        <v>0</v>
      </c>
      <c r="U160" s="6"/>
      <c r="AC160" s="38"/>
    </row>
    <row r="161" spans="1:29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18"/>
        <v>1.9517970175764177E-4</v>
      </c>
      <c r="J161" s="6">
        <f t="shared" si="17"/>
        <v>-4.9043056684808586E-3</v>
      </c>
      <c r="K161" s="6">
        <f t="shared" si="17"/>
        <v>-8.8979314726668046E-3</v>
      </c>
      <c r="L161" s="6">
        <f t="shared" si="17"/>
        <v>-7.637567148412871E-3</v>
      </c>
      <c r="M161" s="6">
        <f t="shared" si="17"/>
        <v>-2.2740551851044106E-3</v>
      </c>
      <c r="N161" s="6">
        <f t="shared" si="17"/>
        <v>-1.2410983057457463E-2</v>
      </c>
      <c r="O161" s="6">
        <f t="shared" si="19"/>
        <v>0</v>
      </c>
      <c r="P161" s="6"/>
      <c r="Q161" s="6">
        <f t="shared" si="20"/>
        <v>-5.2597203268845445E-3</v>
      </c>
      <c r="R161" s="6">
        <f t="shared" si="21"/>
        <v>-2.2740551851044106E-3</v>
      </c>
      <c r="S161" s="6">
        <f t="shared" si="22"/>
        <v>-4.5882307708226258E-3</v>
      </c>
      <c r="T161" s="6">
        <f t="shared" si="23"/>
        <v>3.593289054592879E-5</v>
      </c>
      <c r="U161" s="6"/>
      <c r="AC161" s="38"/>
    </row>
    <row r="162" spans="1:29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18"/>
        <v>1.9479865694971288E-4</v>
      </c>
      <c r="J162" s="6">
        <f t="shared" si="17"/>
        <v>4.4916084303433098E-3</v>
      </c>
      <c r="K162" s="6">
        <f t="shared" si="17"/>
        <v>3.5350412795235415E-3</v>
      </c>
      <c r="L162" s="6">
        <f t="shared" si="17"/>
        <v>9.1580546261534317E-3</v>
      </c>
      <c r="M162" s="6">
        <f t="shared" si="17"/>
        <v>-8.5739149328683574E-3</v>
      </c>
      <c r="N162" s="6">
        <f t="shared" si="17"/>
        <v>1.1038072569656417E-2</v>
      </c>
      <c r="O162" s="6">
        <f t="shared" si="19"/>
        <v>-1.9541849986461348E-3</v>
      </c>
      <c r="P162" s="6"/>
      <c r="Q162" s="6">
        <f t="shared" si="20"/>
        <v>2.1208462341008611E-3</v>
      </c>
      <c r="R162" s="6">
        <f t="shared" si="21"/>
        <v>-8.5739149328683574E-3</v>
      </c>
      <c r="S162" s="6">
        <f t="shared" si="22"/>
        <v>-5.7267411442941084E-5</v>
      </c>
      <c r="T162" s="6">
        <f t="shared" si="23"/>
        <v>2.1416612504239735E-6</v>
      </c>
      <c r="U162" s="6"/>
      <c r="AC162" s="38"/>
    </row>
    <row r="163" spans="1:29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18"/>
        <v>1.9632261934998674E-4</v>
      </c>
      <c r="J163" s="6">
        <f t="shared" ref="J163:N194" si="24">LN(B163/B162)</f>
        <v>-6.685740856598745E-3</v>
      </c>
      <c r="K163" s="6">
        <f t="shared" si="24"/>
        <v>-4.0410882798711488E-3</v>
      </c>
      <c r="L163" s="6">
        <f t="shared" si="24"/>
        <v>5.202946011474462E-3</v>
      </c>
      <c r="M163" s="6">
        <f t="shared" si="24"/>
        <v>-9.8068295948848475E-3</v>
      </c>
      <c r="N163" s="6">
        <f t="shared" si="24"/>
        <v>-3.747574930495873E-4</v>
      </c>
      <c r="O163" s="6">
        <f t="shared" si="19"/>
        <v>7.7928264448712302E-3</v>
      </c>
      <c r="P163" s="6"/>
      <c r="Q163" s="6">
        <f t="shared" si="20"/>
        <v>-2.2509497738294961E-3</v>
      </c>
      <c r="R163" s="6">
        <f t="shared" si="21"/>
        <v>-9.8068295948848475E-3</v>
      </c>
      <c r="S163" s="6">
        <f t="shared" si="22"/>
        <v>-4.2131291322646805E-3</v>
      </c>
      <c r="T163" s="6">
        <f t="shared" si="23"/>
        <v>3.1576569557255861E-5</v>
      </c>
      <c r="U163" s="6"/>
      <c r="AC163" s="38"/>
    </row>
    <row r="164" spans="1:29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18"/>
        <v>1.9632261934998674E-4</v>
      </c>
      <c r="J164" s="6">
        <f t="shared" si="24"/>
        <v>7.2163751807764352E-3</v>
      </c>
      <c r="K164" s="6">
        <f t="shared" si="24"/>
        <v>7.5637276739742845E-3</v>
      </c>
      <c r="L164" s="6">
        <f t="shared" si="24"/>
        <v>-6.7235150953914692E-3</v>
      </c>
      <c r="M164" s="6">
        <f t="shared" si="24"/>
        <v>-4.2513463190354973E-3</v>
      </c>
      <c r="N164" s="6">
        <f t="shared" si="24"/>
        <v>1.4444457627020377E-3</v>
      </c>
      <c r="O164" s="6">
        <f t="shared" si="19"/>
        <v>0</v>
      </c>
      <c r="P164" s="6"/>
      <c r="Q164" s="6">
        <f t="shared" si="20"/>
        <v>-3.2363572979015251E-3</v>
      </c>
      <c r="R164" s="6">
        <f t="shared" si="21"/>
        <v>-4.2513463190354973E-3</v>
      </c>
      <c r="S164" s="6">
        <f t="shared" si="22"/>
        <v>-2.7229862243316506E-3</v>
      </c>
      <c r="T164" s="6">
        <f t="shared" si="23"/>
        <v>1.7049965528619095E-5</v>
      </c>
      <c r="U164" s="6"/>
      <c r="AC164" s="38"/>
    </row>
    <row r="165" spans="1:29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18"/>
        <v>1.9746521183972021E-4</v>
      </c>
      <c r="J165" s="6">
        <f t="shared" si="24"/>
        <v>-1.120175412492392E-2</v>
      </c>
      <c r="K165" s="6">
        <f t="shared" si="24"/>
        <v>-1.348640955626019E-2</v>
      </c>
      <c r="L165" s="6">
        <f t="shared" si="24"/>
        <v>-8.557882737226321E-3</v>
      </c>
      <c r="M165" s="6">
        <f t="shared" si="24"/>
        <v>-1.0110097057956752E-2</v>
      </c>
      <c r="N165" s="6">
        <f t="shared" si="24"/>
        <v>-9.5019783338873547E-3</v>
      </c>
      <c r="O165" s="6">
        <f t="shared" si="19"/>
        <v>5.8031031216765087E-3</v>
      </c>
      <c r="P165" s="6"/>
      <c r="Q165" s="6">
        <f t="shared" si="20"/>
        <v>-9.5954418665038614E-3</v>
      </c>
      <c r="R165" s="6">
        <f t="shared" si="21"/>
        <v>-1.0110097057956752E-2</v>
      </c>
      <c r="S165" s="6">
        <f t="shared" si="22"/>
        <v>-9.8255051433428237E-3</v>
      </c>
      <c r="T165" s="6">
        <f t="shared" si="23"/>
        <v>1.2615062010665556E-4</v>
      </c>
      <c r="U165" s="6"/>
      <c r="AC165" s="38"/>
    </row>
    <row r="166" spans="1:29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18"/>
        <v>1.970843837875158E-4</v>
      </c>
      <c r="J166" s="6">
        <f t="shared" si="24"/>
        <v>4.236087617690229E-2</v>
      </c>
      <c r="K166" s="6">
        <f t="shared" si="24"/>
        <v>2.2039331166826617E-3</v>
      </c>
      <c r="L166" s="6">
        <f t="shared" si="24"/>
        <v>-2.0473527315899678E-4</v>
      </c>
      <c r="M166" s="6">
        <f t="shared" si="24"/>
        <v>-1.8703414262897906E-2</v>
      </c>
      <c r="N166" s="6">
        <f t="shared" si="24"/>
        <v>7.4172372058720279E-3</v>
      </c>
      <c r="O166" s="6">
        <f t="shared" si="19"/>
        <v>-1.9304451186457814E-3</v>
      </c>
      <c r="P166" s="6"/>
      <c r="Q166" s="6">
        <f t="shared" si="20"/>
        <v>1.3986433252985517E-3</v>
      </c>
      <c r="R166" s="6">
        <f t="shared" si="21"/>
        <v>-1.8703414262897906E-2</v>
      </c>
      <c r="S166" s="6">
        <f t="shared" si="22"/>
        <v>-2.0118397456890015E-4</v>
      </c>
      <c r="T166" s="6">
        <f t="shared" si="23"/>
        <v>2.5836001918722039E-6</v>
      </c>
      <c r="U166" s="6"/>
      <c r="AC166" s="38"/>
    </row>
    <row r="167" spans="1:29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18"/>
        <v>1.9632261934998674E-4</v>
      </c>
      <c r="J167" s="6">
        <f t="shared" si="24"/>
        <v>8.5896815167550832E-3</v>
      </c>
      <c r="K167" s="6">
        <f t="shared" si="24"/>
        <v>-1.3125590939175541E-2</v>
      </c>
      <c r="L167" s="6">
        <f t="shared" si="24"/>
        <v>-6.6864291458487934E-2</v>
      </c>
      <c r="M167" s="6">
        <f t="shared" si="24"/>
        <v>-6.7217247231749887E-3</v>
      </c>
      <c r="N167" s="6">
        <f t="shared" si="24"/>
        <v>-1.4657607029448559E-2</v>
      </c>
      <c r="O167" s="6">
        <f t="shared" si="19"/>
        <v>-3.8726580030308149E-3</v>
      </c>
      <c r="P167" s="6"/>
      <c r="Q167" s="6">
        <f t="shared" si="20"/>
        <v>-3.1751665493877583E-2</v>
      </c>
      <c r="R167" s="6">
        <f t="shared" si="21"/>
        <v>-6.7217247231749887E-3</v>
      </c>
      <c r="S167" s="6">
        <f t="shared" si="22"/>
        <v>-2.3472500345368515E-2</v>
      </c>
      <c r="T167" s="6">
        <f t="shared" si="23"/>
        <v>6.1894844543981733E-4</v>
      </c>
      <c r="U167" s="6"/>
      <c r="AC167" s="38"/>
    </row>
    <row r="168" spans="1:29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18"/>
        <v>1.9517970175764177E-4</v>
      </c>
      <c r="J168" s="6">
        <f t="shared" si="24"/>
        <v>-2.2106106529132866E-2</v>
      </c>
      <c r="K168" s="6">
        <f t="shared" si="24"/>
        <v>-2.4050333635455131E-3</v>
      </c>
      <c r="L168" s="6">
        <f t="shared" si="24"/>
        <v>5.4697060967347623E-4</v>
      </c>
      <c r="M168" s="6">
        <f t="shared" si="24"/>
        <v>-4.3010263731349009E-3</v>
      </c>
      <c r="N168" s="6">
        <f t="shared" si="24"/>
        <v>-1.2094130563305876E-2</v>
      </c>
      <c r="O168" s="6">
        <f t="shared" si="19"/>
        <v>-5.8386414462252264E-3</v>
      </c>
      <c r="P168" s="6"/>
      <c r="Q168" s="6">
        <f t="shared" si="20"/>
        <v>-5.408262532863823E-3</v>
      </c>
      <c r="R168" s="6">
        <f t="shared" si="21"/>
        <v>-4.3010263731349009E-3</v>
      </c>
      <c r="S168" s="6">
        <f t="shared" si="22"/>
        <v>-6.3024239026598823E-3</v>
      </c>
      <c r="T168" s="6">
        <f t="shared" si="23"/>
        <v>5.9422484183279273E-5</v>
      </c>
      <c r="U168" s="6"/>
      <c r="AC168" s="38"/>
    </row>
    <row r="169" spans="1:29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18"/>
        <v>1.970843837875158E-4</v>
      </c>
      <c r="J169" s="6">
        <f t="shared" si="24"/>
        <v>-1.9353292388622649E-2</v>
      </c>
      <c r="K169" s="6">
        <f t="shared" si="24"/>
        <v>-1.3769359849297128E-3</v>
      </c>
      <c r="L169" s="6">
        <f t="shared" si="24"/>
        <v>-1.1493392825475091E-2</v>
      </c>
      <c r="M169" s="6">
        <f t="shared" si="24"/>
        <v>-9.2793792839827582E-3</v>
      </c>
      <c r="N169" s="6">
        <f t="shared" si="24"/>
        <v>-2.0586901863485071E-3</v>
      </c>
      <c r="O169" s="6">
        <f t="shared" si="19"/>
        <v>9.7112994492560816E-3</v>
      </c>
      <c r="P169" s="6"/>
      <c r="Q169" s="6">
        <f t="shared" si="20"/>
        <v>-1.2206787209889861E-2</v>
      </c>
      <c r="R169" s="6">
        <f t="shared" si="21"/>
        <v>-9.2793792839827582E-3</v>
      </c>
      <c r="S169" s="6">
        <f t="shared" si="22"/>
        <v>-1.2033784506767127E-2</v>
      </c>
      <c r="T169" s="6">
        <f t="shared" si="23"/>
        <v>1.8063248912417567E-4</v>
      </c>
      <c r="U169" s="6"/>
      <c r="AC169" s="38"/>
    </row>
    <row r="170" spans="1:29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18"/>
        <v>1.9784600378991435E-4</v>
      </c>
      <c r="J170" s="6">
        <f t="shared" si="24"/>
        <v>-8.1807529156866562E-3</v>
      </c>
      <c r="K170" s="6">
        <f t="shared" si="24"/>
        <v>7.7206836858722564E-3</v>
      </c>
      <c r="L170" s="6">
        <f t="shared" si="24"/>
        <v>-3.9902601949420831E-3</v>
      </c>
      <c r="M170" s="6">
        <f t="shared" si="24"/>
        <v>1.8628149729069926E-3</v>
      </c>
      <c r="N170" s="6">
        <f t="shared" si="24"/>
        <v>-5.797336366096615E-3</v>
      </c>
      <c r="O170" s="6">
        <f t="shared" si="19"/>
        <v>3.8569883226659335E-3</v>
      </c>
      <c r="P170" s="6"/>
      <c r="Q170" s="6">
        <f t="shared" si="20"/>
        <v>-2.7480697702392705E-3</v>
      </c>
      <c r="R170" s="6">
        <f t="shared" si="21"/>
        <v>1.8628149729069926E-3</v>
      </c>
      <c r="S170" s="6">
        <f t="shared" si="22"/>
        <v>-2.0896794936671008E-3</v>
      </c>
      <c r="T170" s="6">
        <f t="shared" si="23"/>
        <v>1.2220992809414403E-5</v>
      </c>
      <c r="U170" s="6"/>
      <c r="AC170" s="38"/>
    </row>
    <row r="171" spans="1:29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18"/>
        <v>1.9632261934998674E-4</v>
      </c>
      <c r="J171" s="6">
        <f t="shared" si="24"/>
        <v>-5.7307029681765223E-3</v>
      </c>
      <c r="K171" s="6">
        <f t="shared" si="24"/>
        <v>6.8132245978021052E-3</v>
      </c>
      <c r="L171" s="6">
        <f t="shared" si="24"/>
        <v>6.4760434973849422E-3</v>
      </c>
      <c r="M171" s="6">
        <f t="shared" si="24"/>
        <v>1.2943127412559438E-2</v>
      </c>
      <c r="N171" s="6">
        <f t="shared" si="24"/>
        <v>-2.2106328639260849E-3</v>
      </c>
      <c r="O171" s="6">
        <f t="shared" si="19"/>
        <v>-7.7296463256966716E-3</v>
      </c>
      <c r="P171" s="6"/>
      <c r="Q171" s="6">
        <f t="shared" si="20"/>
        <v>6.4197709950124119E-3</v>
      </c>
      <c r="R171" s="6">
        <f t="shared" si="21"/>
        <v>1.2943127412559438E-2</v>
      </c>
      <c r="S171" s="6">
        <f t="shared" si="22"/>
        <v>7.0183332644873963E-3</v>
      </c>
      <c r="T171" s="6">
        <f t="shared" si="23"/>
        <v>0</v>
      </c>
      <c r="U171" s="6"/>
      <c r="AC171" s="38"/>
    </row>
    <row r="172" spans="1:29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18"/>
        <v>2.0241269373766357E-4</v>
      </c>
      <c r="J172" s="6">
        <f t="shared" si="24"/>
        <v>-1.2287828139873455E-2</v>
      </c>
      <c r="K172" s="6">
        <f t="shared" si="24"/>
        <v>2.1162958107073866E-2</v>
      </c>
      <c r="L172" s="6">
        <f t="shared" si="24"/>
        <v>2.4793566191605932E-2</v>
      </c>
      <c r="M172" s="6">
        <f t="shared" si="24"/>
        <v>1.0962394432582713E-2</v>
      </c>
      <c r="N172" s="6">
        <f t="shared" si="24"/>
        <v>-8.7971023365461913E-3</v>
      </c>
      <c r="O172" s="6">
        <f t="shared" si="19"/>
        <v>3.0549328421036113E-2</v>
      </c>
      <c r="P172" s="6"/>
      <c r="Q172" s="6">
        <f t="shared" si="20"/>
        <v>1.2998195085247818E-2</v>
      </c>
      <c r="R172" s="6">
        <f t="shared" si="21"/>
        <v>1.0962394432582713E-2</v>
      </c>
      <c r="S172" s="6">
        <f t="shared" si="22"/>
        <v>1.0837688300914049E-2</v>
      </c>
      <c r="T172" s="6">
        <f t="shared" si="23"/>
        <v>0</v>
      </c>
      <c r="U172" s="6"/>
      <c r="AC172" s="38"/>
    </row>
    <row r="173" spans="1:29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18"/>
        <v>2.0165193919474689E-4</v>
      </c>
      <c r="J173" s="6">
        <f t="shared" si="24"/>
        <v>5.07788929321121E-3</v>
      </c>
      <c r="K173" s="6">
        <f t="shared" si="24"/>
        <v>6.2956618817539729E-3</v>
      </c>
      <c r="L173" s="6">
        <f t="shared" si="24"/>
        <v>1.9243130694284457E-2</v>
      </c>
      <c r="M173" s="6">
        <f t="shared" si="24"/>
        <v>-1.2187931160931781E-2</v>
      </c>
      <c r="N173" s="6">
        <f t="shared" si="24"/>
        <v>8.6933277348877659E-3</v>
      </c>
      <c r="O173" s="6">
        <f t="shared" si="19"/>
        <v>-3.7655136322931222E-3</v>
      </c>
      <c r="P173" s="6"/>
      <c r="Q173" s="6">
        <f t="shared" si="20"/>
        <v>5.6578222734599698E-3</v>
      </c>
      <c r="R173" s="6">
        <f t="shared" si="21"/>
        <v>-1.2187931160931781E-2</v>
      </c>
      <c r="S173" s="6">
        <f t="shared" si="22"/>
        <v>1.7097035340701856E-3</v>
      </c>
      <c r="T173" s="6">
        <f t="shared" si="23"/>
        <v>0</v>
      </c>
      <c r="U173" s="6"/>
      <c r="AC173" s="38"/>
    </row>
    <row r="174" spans="1:29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18"/>
        <v>2.0012999773522111E-4</v>
      </c>
      <c r="J174" s="6">
        <f t="shared" si="24"/>
        <v>6.3713730744178647E-3</v>
      </c>
      <c r="K174" s="6">
        <f t="shared" si="24"/>
        <v>1.4852540987510795E-3</v>
      </c>
      <c r="L174" s="6">
        <f t="shared" si="24"/>
        <v>1.4310268539026554E-2</v>
      </c>
      <c r="M174" s="6">
        <f t="shared" si="24"/>
        <v>1.1582000481511069E-2</v>
      </c>
      <c r="N174" s="6">
        <f t="shared" si="24"/>
        <v>1.1893624576650831E-2</v>
      </c>
      <c r="O174" s="6">
        <f t="shared" si="19"/>
        <v>-7.5759938366260346E-3</v>
      </c>
      <c r="P174" s="6"/>
      <c r="Q174" s="6">
        <f t="shared" si="20"/>
        <v>1.1865824901909329E-2</v>
      </c>
      <c r="R174" s="6">
        <f t="shared" si="21"/>
        <v>1.1582000481511069E-2</v>
      </c>
      <c r="S174" s="6">
        <f t="shared" si="22"/>
        <v>1.1407950087110739E-2</v>
      </c>
      <c r="T174" s="6">
        <f t="shared" si="23"/>
        <v>0</v>
      </c>
      <c r="U174" s="6"/>
      <c r="AC174" s="38"/>
    </row>
    <row r="175" spans="1:29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18"/>
        <v>2.0127150788695758E-4</v>
      </c>
      <c r="J175" s="6">
        <f t="shared" si="24"/>
        <v>1.2622341953280228E-2</v>
      </c>
      <c r="K175" s="6">
        <f t="shared" si="24"/>
        <v>1.4895089026447495E-2</v>
      </c>
      <c r="L175" s="6">
        <f t="shared" si="24"/>
        <v>4.8803897357337367E-3</v>
      </c>
      <c r="M175" s="6">
        <f t="shared" si="24"/>
        <v>1.8613569807513386E-2</v>
      </c>
      <c r="N175" s="6">
        <f t="shared" si="24"/>
        <v>2.1297196541228134E-4</v>
      </c>
      <c r="O175" s="6">
        <f t="shared" si="19"/>
        <v>5.6876380033150228E-3</v>
      </c>
      <c r="P175" s="6"/>
      <c r="Q175" s="6">
        <f t="shared" si="20"/>
        <v>1.1109028470256506E-2</v>
      </c>
      <c r="R175" s="6">
        <f t="shared" si="21"/>
        <v>1.8613569807513386E-2</v>
      </c>
      <c r="S175" s="6">
        <f t="shared" si="22"/>
        <v>1.2863876116807173E-2</v>
      </c>
      <c r="T175" s="6">
        <f t="shared" si="23"/>
        <v>0</v>
      </c>
      <c r="U175" s="6"/>
      <c r="AC175" s="38"/>
    </row>
    <row r="176" spans="1:29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18"/>
        <v>2.0203233447624314E-4</v>
      </c>
      <c r="J176" s="6">
        <f t="shared" si="24"/>
        <v>5.1340934294748482E-3</v>
      </c>
      <c r="K176" s="6">
        <f t="shared" si="24"/>
        <v>3.082230575187468E-3</v>
      </c>
      <c r="L176" s="6">
        <f t="shared" si="24"/>
        <v>1.500784386497234E-3</v>
      </c>
      <c r="M176" s="6">
        <f t="shared" si="24"/>
        <v>-1.377680211997016E-2</v>
      </c>
      <c r="N176" s="6">
        <f t="shared" si="24"/>
        <v>-4.5869419014574458E-3</v>
      </c>
      <c r="O176" s="6">
        <f t="shared" si="19"/>
        <v>3.7729741793627114E-3</v>
      </c>
      <c r="P176" s="6"/>
      <c r="Q176" s="6">
        <f t="shared" si="20"/>
        <v>-3.1190345182653184E-3</v>
      </c>
      <c r="R176" s="6">
        <f t="shared" si="21"/>
        <v>-1.377680211997016E-2</v>
      </c>
      <c r="S176" s="6">
        <f t="shared" si="22"/>
        <v>-4.8774602592387209E-3</v>
      </c>
      <c r="T176" s="6">
        <f t="shared" si="23"/>
        <v>3.9484061589337935E-5</v>
      </c>
      <c r="U176" s="6"/>
      <c r="AC176" s="38"/>
    </row>
    <row r="177" spans="1:29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18"/>
        <v>2.0127150788695758E-4</v>
      </c>
      <c r="J177" s="6">
        <f t="shared" si="24"/>
        <v>-3.4788581331064421E-3</v>
      </c>
      <c r="K177" s="6">
        <f t="shared" si="24"/>
        <v>0</v>
      </c>
      <c r="L177" s="6">
        <f t="shared" si="24"/>
        <v>6.2045885918183598E-4</v>
      </c>
      <c r="M177" s="6">
        <f t="shared" si="24"/>
        <v>1.020115925682203E-2</v>
      </c>
      <c r="N177" s="6">
        <f t="shared" si="24"/>
        <v>1.0157373516560254E-2</v>
      </c>
      <c r="O177" s="6">
        <f t="shared" si="19"/>
        <v>-3.7729741793627526E-3</v>
      </c>
      <c r="P177" s="6"/>
      <c r="Q177" s="6">
        <f t="shared" si="20"/>
        <v>3.174219385139748E-3</v>
      </c>
      <c r="R177" s="6">
        <f t="shared" si="21"/>
        <v>1.020115925682203E-2</v>
      </c>
      <c r="S177" s="6">
        <f t="shared" si="22"/>
        <v>4.2524407185034613E-3</v>
      </c>
      <c r="T177" s="6">
        <f t="shared" si="23"/>
        <v>0</v>
      </c>
      <c r="U177" s="6"/>
      <c r="AC177" s="38"/>
    </row>
    <row r="178" spans="1:29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18"/>
        <v>2.0203233447624314E-4</v>
      </c>
      <c r="J178" s="6">
        <f t="shared" si="24"/>
        <v>2.4505258851654717E-2</v>
      </c>
      <c r="K178" s="6">
        <f t="shared" si="24"/>
        <v>4.8472846158211921E-3</v>
      </c>
      <c r="L178" s="6">
        <f t="shared" si="24"/>
        <v>-1.0859387138235847E-3</v>
      </c>
      <c r="M178" s="6">
        <f t="shared" si="24"/>
        <v>1.5990897700798735E-2</v>
      </c>
      <c r="N178" s="6">
        <f t="shared" si="24"/>
        <v>3.1734156874775382E-3</v>
      </c>
      <c r="O178" s="6">
        <f t="shared" si="19"/>
        <v>3.7729741793627114E-3</v>
      </c>
      <c r="P178" s="6"/>
      <c r="Q178" s="6">
        <f t="shared" si="20"/>
        <v>9.6696815936590415E-3</v>
      </c>
      <c r="R178" s="6">
        <f t="shared" si="21"/>
        <v>1.5990897700798735E-2</v>
      </c>
      <c r="S178" s="6">
        <f t="shared" si="22"/>
        <v>1.2060392030645737E-2</v>
      </c>
      <c r="T178" s="6">
        <f t="shared" si="23"/>
        <v>0</v>
      </c>
      <c r="U178" s="6"/>
      <c r="AC178" s="38"/>
    </row>
    <row r="179" spans="1:29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18"/>
        <v>2.0165193919474689E-4</v>
      </c>
      <c r="J179" s="6">
        <f t="shared" si="24"/>
        <v>-1.8439790545778333E-2</v>
      </c>
      <c r="K179" s="6">
        <f t="shared" si="24"/>
        <v>-4.3615431401830369E-3</v>
      </c>
      <c r="L179" s="6">
        <f t="shared" si="24"/>
        <v>-7.9996022089060346E-3</v>
      </c>
      <c r="M179" s="6">
        <f t="shared" si="24"/>
        <v>-7.6674124514332052E-3</v>
      </c>
      <c r="N179" s="6">
        <f t="shared" si="24"/>
        <v>-1.5855554753445709E-2</v>
      </c>
      <c r="O179" s="6">
        <f t="shared" si="19"/>
        <v>-1.8846183460518033E-3</v>
      </c>
      <c r="P179" s="6"/>
      <c r="Q179" s="6">
        <f t="shared" si="20"/>
        <v>-9.8530188220604595E-3</v>
      </c>
      <c r="R179" s="6">
        <f t="shared" si="21"/>
        <v>-7.6674124514332052E-3</v>
      </c>
      <c r="S179" s="6">
        <f t="shared" si="22"/>
        <v>-9.9512383341314216E-3</v>
      </c>
      <c r="T179" s="6">
        <f t="shared" si="23"/>
        <v>1.289908186968632E-4</v>
      </c>
      <c r="U179" s="6"/>
      <c r="AC179" s="38"/>
    </row>
    <row r="180" spans="1:29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18"/>
        <v>2.0127150788695758E-4</v>
      </c>
      <c r="J180" s="6">
        <f t="shared" si="24"/>
        <v>-6.0654683058762593E-3</v>
      </c>
      <c r="K180" s="6">
        <f t="shared" si="24"/>
        <v>2.5869042305606007E-3</v>
      </c>
      <c r="L180" s="6">
        <f t="shared" si="24"/>
        <v>6.2565312240965142E-4</v>
      </c>
      <c r="M180" s="6">
        <f t="shared" si="24"/>
        <v>1.7746003431574375E-3</v>
      </c>
      <c r="N180" s="6">
        <f t="shared" si="24"/>
        <v>-3.4413923648739225E-3</v>
      </c>
      <c r="O180" s="6">
        <f t="shared" si="19"/>
        <v>-1.8883558333109205E-3</v>
      </c>
      <c r="P180" s="6"/>
      <c r="Q180" s="6">
        <f t="shared" si="20"/>
        <v>-2.3717059005747476E-4</v>
      </c>
      <c r="R180" s="6">
        <f t="shared" si="21"/>
        <v>1.7746003431574375E-3</v>
      </c>
      <c r="S180" s="6">
        <f t="shared" si="22"/>
        <v>-1.8982088952154274E-4</v>
      </c>
      <c r="T180" s="6">
        <f t="shared" si="23"/>
        <v>2.5472002170695827E-6</v>
      </c>
      <c r="U180" s="6"/>
      <c r="AC180" s="38"/>
    </row>
    <row r="181" spans="1:29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18"/>
        <v>2.0051053716385603E-4</v>
      </c>
      <c r="J181" s="6">
        <f t="shared" si="24"/>
        <v>2.1792612899963495E-2</v>
      </c>
      <c r="K181" s="6">
        <f t="shared" si="24"/>
        <v>9.683988994642935E-4</v>
      </c>
      <c r="L181" s="6">
        <f t="shared" si="24"/>
        <v>-1.0429762752333207E-3</v>
      </c>
      <c r="M181" s="6">
        <f t="shared" si="24"/>
        <v>-5.9277432873759113E-3</v>
      </c>
      <c r="N181" s="6">
        <f t="shared" si="24"/>
        <v>9.0870134013374317E-3</v>
      </c>
      <c r="O181" s="6">
        <f t="shared" si="19"/>
        <v>-3.7879822774249021E-3</v>
      </c>
      <c r="P181" s="6"/>
      <c r="Q181" s="6">
        <f t="shared" si="20"/>
        <v>1.5670797038191092E-3</v>
      </c>
      <c r="R181" s="6">
        <f t="shared" si="21"/>
        <v>-5.9277432873759113E-3</v>
      </c>
      <c r="S181" s="6">
        <f t="shared" si="22"/>
        <v>1.3077869686993768E-3</v>
      </c>
      <c r="T181" s="6">
        <f t="shared" si="23"/>
        <v>9.6800405815982681E-9</v>
      </c>
      <c r="U181" s="6"/>
      <c r="AC181" s="38"/>
    </row>
    <row r="182" spans="1:29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18"/>
        <v>2.0165193919474689E-4</v>
      </c>
      <c r="J182" s="6">
        <f t="shared" si="24"/>
        <v>5.8095544508652106E-2</v>
      </c>
      <c r="K182" s="6">
        <f t="shared" si="24"/>
        <v>2.8994529241732746E-3</v>
      </c>
      <c r="L182" s="6">
        <f t="shared" si="24"/>
        <v>-6.0183515082071516E-3</v>
      </c>
      <c r="M182" s="6">
        <f t="shared" si="24"/>
        <v>1.7820997373106853E-3</v>
      </c>
      <c r="N182" s="6">
        <f t="shared" si="24"/>
        <v>1.247858860899914E-2</v>
      </c>
      <c r="O182" s="6">
        <f t="shared" si="19"/>
        <v>5.6763381107358766E-3</v>
      </c>
      <c r="P182" s="6"/>
      <c r="Q182" s="6">
        <f t="shared" si="20"/>
        <v>8.780591632080675E-3</v>
      </c>
      <c r="R182" s="6">
        <f t="shared" si="21"/>
        <v>1.7820997373106853E-3</v>
      </c>
      <c r="S182" s="6">
        <f t="shared" si="22"/>
        <v>1.0610252547651017E-2</v>
      </c>
      <c r="T182" s="6">
        <f t="shared" si="23"/>
        <v>0</v>
      </c>
      <c r="U182" s="6"/>
      <c r="AC182" s="38"/>
    </row>
    <row r="183" spans="1:29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18"/>
        <v>2.0317330422892077E-4</v>
      </c>
      <c r="J183" s="6">
        <f t="shared" si="24"/>
        <v>-9.1483674173388676E-3</v>
      </c>
      <c r="K183" s="6">
        <f t="shared" si="24"/>
        <v>2.8910542328630683E-3</v>
      </c>
      <c r="L183" s="6">
        <f t="shared" si="24"/>
        <v>7.7907210062601899E-3</v>
      </c>
      <c r="M183" s="6">
        <f t="shared" si="24"/>
        <v>8.2741716697485573E-3</v>
      </c>
      <c r="N183" s="6">
        <f t="shared" si="24"/>
        <v>1.0273136069376812E-2</v>
      </c>
      <c r="O183" s="6">
        <f t="shared" si="19"/>
        <v>7.5161923378373003E-3</v>
      </c>
      <c r="P183" s="6"/>
      <c r="Q183" s="6">
        <f t="shared" si="20"/>
        <v>4.7642934321786628E-3</v>
      </c>
      <c r="R183" s="6">
        <f t="shared" si="21"/>
        <v>8.2741716697485573E-3</v>
      </c>
      <c r="S183" s="6">
        <f t="shared" si="22"/>
        <v>4.5777776179351309E-3</v>
      </c>
      <c r="T183" s="6">
        <f t="shared" si="23"/>
        <v>0</v>
      </c>
      <c r="U183" s="6"/>
      <c r="AC183" s="38"/>
    </row>
    <row r="184" spans="1:29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18"/>
        <v>2.0317330422892077E-4</v>
      </c>
      <c r="J184" s="6">
        <f t="shared" si="24"/>
        <v>3.7898712813242458E-3</v>
      </c>
      <c r="K184" s="6">
        <f t="shared" si="24"/>
        <v>4.3210584019733201E-3</v>
      </c>
      <c r="L184" s="6">
        <f t="shared" si="24"/>
        <v>-1.3029561227812455E-3</v>
      </c>
      <c r="M184" s="6">
        <f t="shared" si="24"/>
        <v>5.283244107095986E-3</v>
      </c>
      <c r="N184" s="6">
        <f t="shared" si="24"/>
        <v>1.3425358193505205E-3</v>
      </c>
      <c r="O184" s="6">
        <f t="shared" si="19"/>
        <v>0</v>
      </c>
      <c r="P184" s="6"/>
      <c r="Q184" s="6">
        <f t="shared" si="20"/>
        <v>1.9444124536094434E-3</v>
      </c>
      <c r="R184" s="6">
        <f t="shared" si="21"/>
        <v>5.283244107095986E-3</v>
      </c>
      <c r="S184" s="6">
        <f t="shared" si="22"/>
        <v>2.8066758993997624E-3</v>
      </c>
      <c r="T184" s="6">
        <f t="shared" si="23"/>
        <v>0</v>
      </c>
      <c r="U184" s="6"/>
      <c r="AC184" s="38"/>
    </row>
    <row r="185" spans="1:29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18"/>
        <v>2.0279301698633567E-4</v>
      </c>
      <c r="J185" s="6">
        <f t="shared" si="24"/>
        <v>1.8624377821563668E-3</v>
      </c>
      <c r="K185" s="6">
        <f t="shared" si="24"/>
        <v>3.666217842342803E-3</v>
      </c>
      <c r="L185" s="6">
        <f t="shared" si="24"/>
        <v>2.0134915133947339E-2</v>
      </c>
      <c r="M185" s="6">
        <f t="shared" si="24"/>
        <v>1.7549955781686565E-3</v>
      </c>
      <c r="N185" s="6">
        <f t="shared" si="24"/>
        <v>-5.7829262956225704E-6</v>
      </c>
      <c r="O185" s="6">
        <f t="shared" si="19"/>
        <v>-1.8734921294941596E-3</v>
      </c>
      <c r="P185" s="6"/>
      <c r="Q185" s="6">
        <f t="shared" si="20"/>
        <v>1.0306946428237283E-2</v>
      </c>
      <c r="R185" s="6">
        <f t="shared" si="21"/>
        <v>1.7549955781686565E-3</v>
      </c>
      <c r="S185" s="6">
        <f t="shared" si="22"/>
        <v>7.8429683452229584E-3</v>
      </c>
      <c r="T185" s="6">
        <f t="shared" si="23"/>
        <v>0</v>
      </c>
      <c r="U185" s="6"/>
      <c r="AC185" s="38"/>
    </row>
    <row r="186" spans="1:29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18"/>
        <v>2.0469409327517063E-4</v>
      </c>
      <c r="J186" s="6">
        <f t="shared" si="24"/>
        <v>9.9644209184128335E-3</v>
      </c>
      <c r="K186" s="6">
        <f t="shared" si="24"/>
        <v>4.7729304993157585E-4</v>
      </c>
      <c r="L186" s="6">
        <f t="shared" si="24"/>
        <v>9.4112742907778765E-3</v>
      </c>
      <c r="M186" s="6">
        <f t="shared" si="24"/>
        <v>4.0827757174903999E-3</v>
      </c>
      <c r="N186" s="6">
        <f t="shared" si="24"/>
        <v>5.0780025958913483E-3</v>
      </c>
      <c r="O186" s="6">
        <f t="shared" si="19"/>
        <v>9.3307986135110887E-3</v>
      </c>
      <c r="P186" s="6"/>
      <c r="Q186" s="6">
        <f t="shared" si="20"/>
        <v>7.665322191569535E-3</v>
      </c>
      <c r="R186" s="6">
        <f t="shared" si="21"/>
        <v>4.0827757174903999E-3</v>
      </c>
      <c r="S186" s="6">
        <f t="shared" si="22"/>
        <v>7.024070718026687E-3</v>
      </c>
      <c r="T186" s="6">
        <f t="shared" si="23"/>
        <v>0</v>
      </c>
      <c r="U186" s="6"/>
      <c r="AC186" s="38"/>
    </row>
    <row r="187" spans="1:29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18"/>
        <v>2.0317330422892077E-4</v>
      </c>
      <c r="J187" s="6">
        <f t="shared" si="24"/>
        <v>-6.9140777525400921E-3</v>
      </c>
      <c r="K187" s="6">
        <f t="shared" si="24"/>
        <v>6.0250352963449492E-3</v>
      </c>
      <c r="L187" s="6">
        <f t="shared" si="24"/>
        <v>6.4097849393042125E-3</v>
      </c>
      <c r="M187" s="6">
        <f t="shared" si="24"/>
        <v>-5.8223411107649701E-4</v>
      </c>
      <c r="N187" s="6">
        <f t="shared" si="24"/>
        <v>1.6480214063461682E-3</v>
      </c>
      <c r="O187" s="6">
        <f t="shared" si="19"/>
        <v>-7.4573064840169363E-3</v>
      </c>
      <c r="P187" s="6"/>
      <c r="Q187" s="6">
        <f t="shared" si="20"/>
        <v>1.4693270284983578E-3</v>
      </c>
      <c r="R187" s="6">
        <f t="shared" si="21"/>
        <v>-5.8223411107649701E-4</v>
      </c>
      <c r="S187" s="6">
        <f t="shared" si="22"/>
        <v>4.5495936495285223E-4</v>
      </c>
      <c r="T187" s="6">
        <f t="shared" si="23"/>
        <v>9.0480959762410561E-7</v>
      </c>
      <c r="U187" s="6"/>
      <c r="AC187" s="38"/>
    </row>
    <row r="188" spans="1:29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18"/>
        <v>2.0127150788695758E-4</v>
      </c>
      <c r="J188" s="6">
        <f t="shared" si="24"/>
        <v>1.7491613013872163E-2</v>
      </c>
      <c r="K188" s="6">
        <f t="shared" si="24"/>
        <v>5.0457831514656758E-3</v>
      </c>
      <c r="L188" s="6">
        <f t="shared" si="24"/>
        <v>-2.0125493872400897E-4</v>
      </c>
      <c r="M188" s="6">
        <f t="shared" si="24"/>
        <v>5.2280020464313707E-3</v>
      </c>
      <c r="N188" s="6">
        <f t="shared" si="24"/>
        <v>-2.4128455417182781E-4</v>
      </c>
      <c r="O188" s="6">
        <f t="shared" si="19"/>
        <v>-9.4045481711482436E-3</v>
      </c>
      <c r="P188" s="6"/>
      <c r="Q188" s="6">
        <f t="shared" si="20"/>
        <v>5.0204393806284192E-3</v>
      </c>
      <c r="R188" s="6">
        <f t="shared" si="21"/>
        <v>5.2280020464313707E-3</v>
      </c>
      <c r="S188" s="6">
        <f t="shared" si="22"/>
        <v>5.9192291262739564E-3</v>
      </c>
      <c r="T188" s="6">
        <f t="shared" si="23"/>
        <v>0</v>
      </c>
      <c r="U188" s="6"/>
      <c r="AC188" s="38"/>
    </row>
    <row r="189" spans="1:29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18"/>
        <v>1.9974942225231551E-4</v>
      </c>
      <c r="J189" s="6">
        <f t="shared" si="24"/>
        <v>6.1545058292852206E-3</v>
      </c>
      <c r="K189" s="6">
        <f t="shared" si="24"/>
        <v>-7.578230471947678E-3</v>
      </c>
      <c r="L189" s="6">
        <f t="shared" si="24"/>
        <v>1.3891880096165623E-2</v>
      </c>
      <c r="M189" s="6">
        <f t="shared" si="24"/>
        <v>2.3147859350525577E-3</v>
      </c>
      <c r="N189" s="6">
        <f t="shared" si="24"/>
        <v>4.8261000617198218E-3</v>
      </c>
      <c r="O189" s="6">
        <f t="shared" si="19"/>
        <v>-7.5910897879736695E-3</v>
      </c>
      <c r="P189" s="6"/>
      <c r="Q189" s="6">
        <f t="shared" si="20"/>
        <v>8.4127816038800408E-3</v>
      </c>
      <c r="R189" s="6">
        <f t="shared" si="21"/>
        <v>2.3147859350525577E-3</v>
      </c>
      <c r="S189" s="6">
        <f t="shared" si="22"/>
        <v>6.8918684653575916E-3</v>
      </c>
      <c r="T189" s="6">
        <f t="shared" si="23"/>
        <v>0</v>
      </c>
      <c r="U189" s="6"/>
      <c r="AC189" s="38"/>
    </row>
    <row r="190" spans="1:29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18"/>
        <v>1.9974942225231551E-4</v>
      </c>
      <c r="J190" s="6">
        <f t="shared" si="24"/>
        <v>1.2143861705092206E-2</v>
      </c>
      <c r="K190" s="6">
        <f t="shared" si="24"/>
        <v>4.7533860586955039E-4</v>
      </c>
      <c r="L190" s="6">
        <f t="shared" si="24"/>
        <v>2.9731023414911141E-3</v>
      </c>
      <c r="M190" s="6">
        <f t="shared" si="24"/>
        <v>1.732579879352201E-3</v>
      </c>
      <c r="N190" s="6">
        <f t="shared" si="24"/>
        <v>1.1647879688045933E-2</v>
      </c>
      <c r="O190" s="6">
        <f t="shared" si="19"/>
        <v>0</v>
      </c>
      <c r="P190" s="6"/>
      <c r="Q190" s="6">
        <f t="shared" si="20"/>
        <v>4.2717270258639259E-3</v>
      </c>
      <c r="R190" s="6">
        <f t="shared" si="21"/>
        <v>1.732579879352201E-3</v>
      </c>
      <c r="S190" s="6">
        <f t="shared" si="22"/>
        <v>4.2468257522370566E-3</v>
      </c>
      <c r="T190" s="6">
        <f t="shared" si="23"/>
        <v>0</v>
      </c>
      <c r="U190" s="6"/>
      <c r="AC190" s="38"/>
    </row>
    <row r="191" spans="1:29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18"/>
        <v>2.0012999773522111E-4</v>
      </c>
      <c r="J191" s="6">
        <f t="shared" si="24"/>
        <v>6.3229391275216771E-4</v>
      </c>
      <c r="K191" s="6">
        <f t="shared" si="24"/>
        <v>3.0051413878821489E-3</v>
      </c>
      <c r="L191" s="6">
        <f t="shared" si="24"/>
        <v>1.7796277524522572E-3</v>
      </c>
      <c r="M191" s="6">
        <f t="shared" si="24"/>
        <v>-1.732579879352136E-3</v>
      </c>
      <c r="N191" s="6">
        <f t="shared" si="24"/>
        <v>-2.08387430730016E-3</v>
      </c>
      <c r="O191" s="6">
        <f t="shared" si="19"/>
        <v>1.9034517846586623E-3</v>
      </c>
      <c r="P191" s="6"/>
      <c r="Q191" s="6">
        <f t="shared" si="20"/>
        <v>3.4369327068218874E-4</v>
      </c>
      <c r="R191" s="6">
        <f t="shared" si="21"/>
        <v>-1.732579879352136E-3</v>
      </c>
      <c r="S191" s="6">
        <f t="shared" si="22"/>
        <v>-8.6363351387619197E-5</v>
      </c>
      <c r="T191" s="6">
        <f t="shared" si="23"/>
        <v>2.2276682406416125E-6</v>
      </c>
      <c r="U191" s="6"/>
      <c r="AC191" s="38"/>
    </row>
    <row r="192" spans="1:29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18"/>
        <v>2.0012999773522111E-4</v>
      </c>
      <c r="J192" s="6">
        <f t="shared" si="24"/>
        <v>1.5802948487189222E-4</v>
      </c>
      <c r="K192" s="6">
        <f t="shared" si="24"/>
        <v>-4.5904615610439566E-3</v>
      </c>
      <c r="L192" s="6">
        <f t="shared" si="24"/>
        <v>1.1393284747523526E-2</v>
      </c>
      <c r="M192" s="6">
        <f t="shared" si="24"/>
        <v>5.7637472026845571E-3</v>
      </c>
      <c r="N192" s="6">
        <f t="shared" si="24"/>
        <v>1.1641104408194052E-3</v>
      </c>
      <c r="O192" s="6">
        <f t="shared" si="19"/>
        <v>0</v>
      </c>
      <c r="P192" s="6"/>
      <c r="Q192" s="6">
        <f t="shared" si="20"/>
        <v>7.319794057533734E-3</v>
      </c>
      <c r="R192" s="6">
        <f t="shared" si="21"/>
        <v>5.7637472026845571E-3</v>
      </c>
      <c r="S192" s="6">
        <f t="shared" si="22"/>
        <v>6.4662108938163491E-3</v>
      </c>
      <c r="T192" s="6">
        <f t="shared" si="23"/>
        <v>0</v>
      </c>
      <c r="U192" s="6"/>
      <c r="AC192" s="38"/>
    </row>
    <row r="193" spans="1:29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18"/>
        <v>1.9974942225231551E-4</v>
      </c>
      <c r="J193" s="6">
        <f t="shared" si="24"/>
        <v>6.1431644627328542E-3</v>
      </c>
      <c r="K193" s="6">
        <f t="shared" si="24"/>
        <v>-7.3248867997968373E-3</v>
      </c>
      <c r="L193" s="6">
        <f t="shared" si="24"/>
        <v>-4.6015528245516947E-2</v>
      </c>
      <c r="M193" s="6">
        <f t="shared" si="24"/>
        <v>6.8728485226429662E-3</v>
      </c>
      <c r="N193" s="6">
        <f t="shared" si="24"/>
        <v>9.159960683443537E-4</v>
      </c>
      <c r="O193" s="6">
        <f t="shared" si="19"/>
        <v>-1.9034517846585846E-3</v>
      </c>
      <c r="P193" s="6"/>
      <c r="Q193" s="6">
        <f t="shared" si="20"/>
        <v>-1.7814763191262017E-2</v>
      </c>
      <c r="R193" s="6">
        <f t="shared" si="21"/>
        <v>6.8728485226429662E-3</v>
      </c>
      <c r="S193" s="6">
        <f t="shared" si="22"/>
        <v>-1.0747031228595372E-2</v>
      </c>
      <c r="T193" s="6">
        <f t="shared" si="23"/>
        <v>1.4770040136185422E-4</v>
      </c>
      <c r="U193" s="6"/>
      <c r="AC193" s="38"/>
    </row>
    <row r="194" spans="1:29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18"/>
        <v>2.0165193919474689E-4</v>
      </c>
      <c r="J194" s="6">
        <f t="shared" si="24"/>
        <v>6.8338906269820778E-3</v>
      </c>
      <c r="K194" s="6">
        <f t="shared" si="24"/>
        <v>5.4192175886679812E-3</v>
      </c>
      <c r="L194" s="6">
        <f t="shared" si="24"/>
        <v>1.9944982273812171E-2</v>
      </c>
      <c r="M194" s="6">
        <f t="shared" si="24"/>
        <v>-1.4372182648414963E-2</v>
      </c>
      <c r="N194" s="6">
        <f t="shared" si="24"/>
        <v>2.498698327390512E-3</v>
      </c>
      <c r="O194" s="6">
        <f t="shared" si="19"/>
        <v>9.4794456212845372E-3</v>
      </c>
      <c r="P194" s="6"/>
      <c r="Q194" s="6">
        <f t="shared" si="20"/>
        <v>5.5562935571808443E-3</v>
      </c>
      <c r="R194" s="6">
        <f t="shared" si="21"/>
        <v>-1.4372182648414963E-2</v>
      </c>
      <c r="S194" s="6">
        <f t="shared" si="22"/>
        <v>1.2775062270807755E-3</v>
      </c>
      <c r="T194" s="6">
        <f t="shared" si="23"/>
        <v>1.6555438491239702E-8</v>
      </c>
      <c r="U194" s="6"/>
      <c r="AC194" s="38"/>
    </row>
    <row r="195" spans="1:29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si="18"/>
        <v>2.0127150788695758E-4</v>
      </c>
      <c r="J195" s="6">
        <f t="shared" ref="J195:N226" si="25">LN(B195/B194)</f>
        <v>-7.5669526869904195E-3</v>
      </c>
      <c r="K195" s="6">
        <f t="shared" si="25"/>
        <v>1.4295762641888972E-3</v>
      </c>
      <c r="L195" s="6">
        <f t="shared" si="25"/>
        <v>-6.0830483624738684E-3</v>
      </c>
      <c r="M195" s="6">
        <f t="shared" si="25"/>
        <v>1.3229934834084765E-2</v>
      </c>
      <c r="N195" s="6">
        <f t="shared" si="25"/>
        <v>-2.7097176835470336E-3</v>
      </c>
      <c r="O195" s="6">
        <f t="shared" si="19"/>
        <v>-1.8883558333109205E-3</v>
      </c>
      <c r="P195" s="6"/>
      <c r="Q195" s="6">
        <f t="shared" si="20"/>
        <v>3.4334284752047476E-4</v>
      </c>
      <c r="R195" s="6">
        <f t="shared" si="21"/>
        <v>1.3229934834084765E-2</v>
      </c>
      <c r="S195" s="6">
        <f t="shared" si="22"/>
        <v>2.6273945021405699E-3</v>
      </c>
      <c r="T195" s="6">
        <f t="shared" si="23"/>
        <v>0</v>
      </c>
      <c r="U195" s="6"/>
      <c r="AC195" s="38"/>
    </row>
    <row r="196" spans="1:29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ref="H196:H254" si="26">+(1+G196)^(1/250)-1</f>
        <v>2.0127150788695758E-4</v>
      </c>
      <c r="J196" s="6">
        <f t="shared" si="25"/>
        <v>-2.128302424671985E-2</v>
      </c>
      <c r="K196" s="6">
        <f t="shared" si="25"/>
        <v>-1.454975939193497E-2</v>
      </c>
      <c r="L196" s="6">
        <f t="shared" si="25"/>
        <v>-7.0339066105817626E-3</v>
      </c>
      <c r="M196" s="6">
        <f t="shared" si="25"/>
        <v>-1.7157346722541096E-3</v>
      </c>
      <c r="N196" s="6">
        <f t="shared" si="25"/>
        <v>-7.4081767856449404E-3</v>
      </c>
      <c r="O196" s="6">
        <f t="shared" ref="O196:O254" si="27">+LN(H196/H195)</f>
        <v>0</v>
      </c>
      <c r="P196" s="6"/>
      <c r="Q196" s="6">
        <f t="shared" ref="Q196:Q254" si="28">+SUMPRODUCT($W$16:$Z$16,J196:M196)</f>
        <v>-7.8742676455472293E-3</v>
      </c>
      <c r="R196" s="6">
        <f t="shared" ref="R196:R254" si="29">+SUMPRODUCT($W$17:$Z$17,J196:M196)</f>
        <v>-1.7157346722541096E-3</v>
      </c>
      <c r="S196" s="6">
        <f t="shared" ref="S196:S254" si="30">+SUMPRODUCT($W$18:$Z$18,J196:M196)</f>
        <v>-7.4551834531669005E-3</v>
      </c>
      <c r="T196" s="6">
        <f t="shared" ref="T196:T254" si="31">+MIN(S196-AVERAGE($S$3:$S$254),0)^2</f>
        <v>7.8523658853769943E-5</v>
      </c>
      <c r="U196" s="6"/>
      <c r="AC196" s="38"/>
    </row>
    <row r="197" spans="1:29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26"/>
        <v>1.9898816309771306E-4</v>
      </c>
      <c r="J197" s="6">
        <f t="shared" si="25"/>
        <v>1.6452046082168593E-2</v>
      </c>
      <c r="K197" s="6">
        <f t="shared" si="25"/>
        <v>-1.4505435120728959E-3</v>
      </c>
      <c r="L197" s="6">
        <f t="shared" si="25"/>
        <v>1.9063546062445577E-2</v>
      </c>
      <c r="M197" s="6">
        <f t="shared" si="25"/>
        <v>1.7157346722542091E-3</v>
      </c>
      <c r="N197" s="6">
        <f t="shared" si="25"/>
        <v>6.9765789150719763E-3</v>
      </c>
      <c r="O197" s="6">
        <f t="shared" si="27"/>
        <v>-1.1409441041977197E-2</v>
      </c>
      <c r="P197" s="6"/>
      <c r="Q197" s="6">
        <f t="shared" si="28"/>
        <v>1.2547245261363745E-2</v>
      </c>
      <c r="R197" s="6">
        <f t="shared" si="29"/>
        <v>1.7157346722542091E-3</v>
      </c>
      <c r="S197" s="6">
        <f t="shared" si="30"/>
        <v>1.0414780730700434E-2</v>
      </c>
      <c r="T197" s="6">
        <f t="shared" si="31"/>
        <v>0</v>
      </c>
      <c r="U197" s="6"/>
      <c r="AC197" s="38"/>
    </row>
    <row r="198" spans="1:29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26"/>
        <v>2.0012999773522111E-4</v>
      </c>
      <c r="J198" s="6">
        <f t="shared" si="25"/>
        <v>5.2749355993220789E-5</v>
      </c>
      <c r="K198" s="6">
        <f t="shared" si="25"/>
        <v>-2.907479760967422E-3</v>
      </c>
      <c r="L198" s="6">
        <f t="shared" si="25"/>
        <v>-6.0468730383955328E-3</v>
      </c>
      <c r="M198" s="6">
        <f t="shared" si="25"/>
        <v>-1.3229934834084642E-2</v>
      </c>
      <c r="N198" s="6">
        <f t="shared" si="25"/>
        <v>2.4880404548013993E-4</v>
      </c>
      <c r="O198" s="6">
        <f t="shared" si="27"/>
        <v>5.7218030386620624E-3</v>
      </c>
      <c r="P198" s="6"/>
      <c r="Q198" s="6">
        <f t="shared" si="28"/>
        <v>-7.3908711236580684E-3</v>
      </c>
      <c r="R198" s="6">
        <f t="shared" si="29"/>
        <v>-1.3229934834084642E-2</v>
      </c>
      <c r="S198" s="6">
        <f t="shared" si="30"/>
        <v>-8.1522706003163883E-3</v>
      </c>
      <c r="T198" s="6">
        <f t="shared" si="31"/>
        <v>9.1363866349645356E-5</v>
      </c>
      <c r="U198" s="6"/>
      <c r="AC198" s="38"/>
    </row>
    <row r="199" spans="1:29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26"/>
        <v>2.0051053716385603E-4</v>
      </c>
      <c r="J199" s="6">
        <f t="shared" si="25"/>
        <v>1.5777000232845243E-3</v>
      </c>
      <c r="K199" s="6">
        <f t="shared" si="25"/>
        <v>-1.9429887302046369E-3</v>
      </c>
      <c r="L199" s="6">
        <f t="shared" si="25"/>
        <v>-6.99180300416376E-3</v>
      </c>
      <c r="M199" s="6">
        <f t="shared" si="25"/>
        <v>-8.7235267318123977E-3</v>
      </c>
      <c r="N199" s="6">
        <f t="shared" si="25"/>
        <v>-7.3943469365055463E-3</v>
      </c>
      <c r="O199" s="6">
        <f t="shared" si="27"/>
        <v>1.8996557258902202E-3</v>
      </c>
      <c r="P199" s="6"/>
      <c r="Q199" s="6">
        <f t="shared" si="28"/>
        <v>-5.9771248534301585E-3</v>
      </c>
      <c r="R199" s="6">
        <f t="shared" si="29"/>
        <v>-8.7235267318123977E-3</v>
      </c>
      <c r="S199" s="6">
        <f t="shared" si="30"/>
        <v>-6.0542297460382385E-3</v>
      </c>
      <c r="T199" s="6">
        <f t="shared" si="31"/>
        <v>5.5657626529915777E-5</v>
      </c>
      <c r="U199" s="6"/>
      <c r="AC199" s="38"/>
    </row>
    <row r="200" spans="1:29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26"/>
        <v>2.0089104054554774E-4</v>
      </c>
      <c r="J200" s="6">
        <f t="shared" si="25"/>
        <v>5.2413568168104213E-3</v>
      </c>
      <c r="K200" s="6">
        <f t="shared" si="25"/>
        <v>4.3664643547632167E-3</v>
      </c>
      <c r="L200" s="6">
        <f t="shared" si="25"/>
        <v>6.1393658971166812E-3</v>
      </c>
      <c r="M200" s="6">
        <f t="shared" si="25"/>
        <v>2.8787286268958209E-2</v>
      </c>
      <c r="N200" s="6">
        <f t="shared" si="25"/>
        <v>-5.9929167225422977E-3</v>
      </c>
      <c r="O200" s="6">
        <f t="shared" si="27"/>
        <v>1.8958744399290306E-3</v>
      </c>
      <c r="P200" s="6"/>
      <c r="Q200" s="6">
        <f t="shared" si="28"/>
        <v>1.3834262709941843E-2</v>
      </c>
      <c r="R200" s="6">
        <f t="shared" si="29"/>
        <v>2.8787286268958209E-2</v>
      </c>
      <c r="S200" s="6">
        <f t="shared" si="30"/>
        <v>1.6504226917127583E-2</v>
      </c>
      <c r="T200" s="6">
        <f t="shared" si="31"/>
        <v>0</v>
      </c>
      <c r="U200" s="6"/>
      <c r="AC200" s="38"/>
    </row>
    <row r="201" spans="1:29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26"/>
        <v>2.0051053716385603E-4</v>
      </c>
      <c r="J201" s="6">
        <f t="shared" si="25"/>
        <v>5.0060225548219234E-3</v>
      </c>
      <c r="K201" s="6">
        <f t="shared" si="25"/>
        <v>1.537262663889283E-2</v>
      </c>
      <c r="L201" s="6">
        <f t="shared" si="25"/>
        <v>1.6419907185533298E-2</v>
      </c>
      <c r="M201" s="6">
        <f t="shared" si="25"/>
        <v>3.3485178750257492E-2</v>
      </c>
      <c r="N201" s="6">
        <f t="shared" si="25"/>
        <v>7.9958649115222311E-3</v>
      </c>
      <c r="O201" s="6">
        <f t="shared" si="27"/>
        <v>-1.8958744399290869E-3</v>
      </c>
      <c r="P201" s="6"/>
      <c r="Q201" s="6">
        <f t="shared" si="28"/>
        <v>2.0193252436246183E-2</v>
      </c>
      <c r="R201" s="6">
        <f t="shared" si="29"/>
        <v>3.3485178750257492E-2</v>
      </c>
      <c r="S201" s="6">
        <f t="shared" si="30"/>
        <v>2.2056973743022831E-2</v>
      </c>
      <c r="T201" s="6">
        <f t="shared" si="31"/>
        <v>0</v>
      </c>
      <c r="U201" s="6"/>
      <c r="AC201" s="38"/>
    </row>
    <row r="202" spans="1:29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26"/>
        <v>2.0127150788695758E-4</v>
      </c>
      <c r="J202" s="6">
        <f t="shared" si="25"/>
        <v>9.2161623911649945E-3</v>
      </c>
      <c r="K202" s="6">
        <f t="shared" si="25"/>
        <v>0</v>
      </c>
      <c r="L202" s="6">
        <f t="shared" si="25"/>
        <v>-4.0053977401266682E-3</v>
      </c>
      <c r="M202" s="6">
        <f t="shared" si="25"/>
        <v>-1.1592695309031092E-2</v>
      </c>
      <c r="N202" s="6">
        <f t="shared" si="25"/>
        <v>1.1154342969859781E-3</v>
      </c>
      <c r="O202" s="6">
        <f t="shared" si="27"/>
        <v>3.7879822774248887E-3</v>
      </c>
      <c r="P202" s="6"/>
      <c r="Q202" s="6">
        <f t="shared" si="28"/>
        <v>-4.1467378239734495E-3</v>
      </c>
      <c r="R202" s="6">
        <f t="shared" si="29"/>
        <v>-1.1592695309031092E-2</v>
      </c>
      <c r="S202" s="6">
        <f t="shared" si="30"/>
        <v>-4.8558245467150776E-3</v>
      </c>
      <c r="T202" s="6">
        <f t="shared" si="31"/>
        <v>3.921262787734051E-5</v>
      </c>
      <c r="U202" s="6"/>
      <c r="AC202" s="38"/>
    </row>
    <row r="203" spans="1:29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26"/>
        <v>2.0279301698633567E-4</v>
      </c>
      <c r="J203" s="6">
        <f t="shared" si="25"/>
        <v>1.6479275844381797E-3</v>
      </c>
      <c r="K203" s="6">
        <f t="shared" si="25"/>
        <v>1.5922092232906072E-2</v>
      </c>
      <c r="L203" s="6">
        <f t="shared" si="25"/>
        <v>-1.3267754604042227E-2</v>
      </c>
      <c r="M203" s="6">
        <f t="shared" si="25"/>
        <v>1.8702397437831947E-2</v>
      </c>
      <c r="N203" s="6">
        <f t="shared" si="25"/>
        <v>1.5016920495655548E-3</v>
      </c>
      <c r="O203" s="6">
        <f t="shared" si="27"/>
        <v>7.5310560416541605E-3</v>
      </c>
      <c r="P203" s="6"/>
      <c r="Q203" s="6">
        <f t="shared" si="28"/>
        <v>6.4626181025234306E-4</v>
      </c>
      <c r="R203" s="6">
        <f t="shared" si="29"/>
        <v>1.8702397437831947E-2</v>
      </c>
      <c r="S203" s="6">
        <f t="shared" si="30"/>
        <v>4.6996307586698897E-3</v>
      </c>
      <c r="T203" s="6">
        <f t="shared" si="31"/>
        <v>0</v>
      </c>
      <c r="U203" s="6"/>
      <c r="AC203" s="38"/>
    </row>
    <row r="204" spans="1:29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26"/>
        <v>2.0317330422892077E-4</v>
      </c>
      <c r="J204" s="6">
        <f t="shared" si="25"/>
        <v>7.7904722351031866E-3</v>
      </c>
      <c r="K204" s="6">
        <f t="shared" si="25"/>
        <v>-3.1287359214828865E-4</v>
      </c>
      <c r="L204" s="6">
        <f t="shared" si="25"/>
        <v>-9.5859227382981537E-3</v>
      </c>
      <c r="M204" s="6">
        <f t="shared" si="25"/>
        <v>-2.7285349047250127E-3</v>
      </c>
      <c r="N204" s="6">
        <f t="shared" si="25"/>
        <v>1.1778026448059028E-2</v>
      </c>
      <c r="O204" s="6">
        <f t="shared" si="27"/>
        <v>1.8734921294942879E-3</v>
      </c>
      <c r="P204" s="6"/>
      <c r="Q204" s="6">
        <f t="shared" si="28"/>
        <v>-3.928004913288337E-3</v>
      </c>
      <c r="R204" s="6">
        <f t="shared" si="29"/>
        <v>-2.7285349047250127E-3</v>
      </c>
      <c r="S204" s="6">
        <f t="shared" si="30"/>
        <v>-2.8565704973307925E-3</v>
      </c>
      <c r="T204" s="6">
        <f t="shared" si="31"/>
        <v>1.8170992064275378E-5</v>
      </c>
      <c r="U204" s="6"/>
      <c r="AC204" s="38"/>
    </row>
    <row r="205" spans="1:29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26"/>
        <v>2.0317330422892077E-4</v>
      </c>
      <c r="J205" s="6">
        <f t="shared" si="25"/>
        <v>-7.121864915451831E-3</v>
      </c>
      <c r="K205" s="6">
        <f t="shared" si="25"/>
        <v>3.5918669636785371E-3</v>
      </c>
      <c r="L205" s="6">
        <f t="shared" si="25"/>
        <v>-1.7757906147097171E-3</v>
      </c>
      <c r="M205" s="6">
        <f t="shared" si="25"/>
        <v>-1.0934242170624129E-3</v>
      </c>
      <c r="N205" s="6">
        <f t="shared" si="25"/>
        <v>-1.9986943175659869E-4</v>
      </c>
      <c r="O205" s="6">
        <f t="shared" si="27"/>
        <v>0</v>
      </c>
      <c r="P205" s="6"/>
      <c r="Q205" s="6">
        <f t="shared" si="28"/>
        <v>-2.5469861461701964E-3</v>
      </c>
      <c r="R205" s="6">
        <f t="shared" si="29"/>
        <v>-1.0934242170624129E-3</v>
      </c>
      <c r="S205" s="6">
        <f t="shared" si="30"/>
        <v>-2.5298586456175558E-3</v>
      </c>
      <c r="T205" s="6">
        <f t="shared" si="31"/>
        <v>1.5492354293686999E-5</v>
      </c>
      <c r="U205" s="6"/>
      <c r="AC205" s="38"/>
    </row>
    <row r="206" spans="1:29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26"/>
        <v>2.0317330422892077E-4</v>
      </c>
      <c r="J206" s="6">
        <f t="shared" si="25"/>
        <v>1.2315935510636394E-2</v>
      </c>
      <c r="K206" s="6">
        <f t="shared" si="25"/>
        <v>-3.748245865629597E-3</v>
      </c>
      <c r="L206" s="6">
        <f t="shared" si="25"/>
        <v>1.5320518573155651E-2</v>
      </c>
      <c r="M206" s="6">
        <f t="shared" si="25"/>
        <v>-9.8955551720559757E-3</v>
      </c>
      <c r="N206" s="6">
        <f t="shared" si="25"/>
        <v>-1.1158931807150971E-3</v>
      </c>
      <c r="O206" s="6">
        <f t="shared" si="27"/>
        <v>0</v>
      </c>
      <c r="P206" s="6"/>
      <c r="Q206" s="6">
        <f t="shared" si="28"/>
        <v>5.9979248995054059E-3</v>
      </c>
      <c r="R206" s="6">
        <f t="shared" si="29"/>
        <v>-9.8955551720559757E-3</v>
      </c>
      <c r="S206" s="6">
        <f t="shared" si="30"/>
        <v>2.9296886160030114E-3</v>
      </c>
      <c r="T206" s="6">
        <f t="shared" si="31"/>
        <v>0</v>
      </c>
      <c r="U206" s="6"/>
      <c r="AC206" s="38"/>
    </row>
    <row r="207" spans="1:29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26"/>
        <v>2.0355355547230225E-4</v>
      </c>
      <c r="J207" s="6">
        <f t="shared" si="25"/>
        <v>-1.9333515601065478E-2</v>
      </c>
      <c r="K207" s="6">
        <f t="shared" si="25"/>
        <v>-5.0196004719991047E-3</v>
      </c>
      <c r="L207" s="6">
        <f t="shared" si="25"/>
        <v>-1.7018402117130581E-3</v>
      </c>
      <c r="M207" s="6">
        <f t="shared" si="25"/>
        <v>-1.3348415321843266E-2</v>
      </c>
      <c r="N207" s="6">
        <f t="shared" si="25"/>
        <v>2.5775665246065955E-3</v>
      </c>
      <c r="O207" s="6">
        <f t="shared" si="27"/>
        <v>1.8698118656184917E-3</v>
      </c>
      <c r="P207" s="6"/>
      <c r="Q207" s="6">
        <f t="shared" si="28"/>
        <v>-9.0708899573812094E-3</v>
      </c>
      <c r="R207" s="6">
        <f t="shared" si="29"/>
        <v>-1.3348415321843266E-2</v>
      </c>
      <c r="S207" s="6">
        <f t="shared" si="30"/>
        <v>-1.0702458252424808E-2</v>
      </c>
      <c r="T207" s="6">
        <f t="shared" si="31"/>
        <v>1.4661897904316541E-4</v>
      </c>
      <c r="U207" s="6"/>
      <c r="AC207" s="38"/>
    </row>
    <row r="208" spans="1:29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26"/>
        <v>2.0241269373766357E-4</v>
      </c>
      <c r="J208" s="6">
        <f t="shared" si="25"/>
        <v>7.0131414104475584E-2</v>
      </c>
      <c r="K208" s="6">
        <f t="shared" si="25"/>
        <v>-6.2929080548693986E-4</v>
      </c>
      <c r="L208" s="6">
        <f t="shared" si="25"/>
        <v>-2.6653349995766375E-2</v>
      </c>
      <c r="M208" s="6">
        <f t="shared" si="25"/>
        <v>0</v>
      </c>
      <c r="N208" s="6">
        <f t="shared" si="25"/>
        <v>2.7067548434573357E-3</v>
      </c>
      <c r="O208" s="6">
        <f t="shared" si="27"/>
        <v>-5.6204905711627999E-3</v>
      </c>
      <c r="P208" s="6"/>
      <c r="Q208" s="6">
        <f t="shared" si="28"/>
        <v>8.529852526261289E-4</v>
      </c>
      <c r="R208" s="6">
        <f t="shared" si="29"/>
        <v>0</v>
      </c>
      <c r="S208" s="6">
        <f t="shared" si="30"/>
        <v>5.4032695410369033E-3</v>
      </c>
      <c r="T208" s="6">
        <f t="shared" si="31"/>
        <v>0</v>
      </c>
      <c r="U208" s="6"/>
      <c r="AC208" s="38"/>
    </row>
    <row r="209" spans="1:29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26"/>
        <v>2.0203233447624314E-4</v>
      </c>
      <c r="J209" s="6">
        <f t="shared" si="25"/>
        <v>2.8177683832117249E-2</v>
      </c>
      <c r="K209" s="6">
        <f t="shared" si="25"/>
        <v>-1.0598781521427382E-2</v>
      </c>
      <c r="L209" s="6">
        <f t="shared" si="25"/>
        <v>-1.4667664855327797E-2</v>
      </c>
      <c r="M209" s="6">
        <f t="shared" si="25"/>
        <v>-1.4096584264906203E-2</v>
      </c>
      <c r="N209" s="6">
        <f t="shared" si="25"/>
        <v>8.4677271718827819E-3</v>
      </c>
      <c r="O209" s="6">
        <f t="shared" si="27"/>
        <v>-1.8808952862412942E-3</v>
      </c>
      <c r="P209" s="6"/>
      <c r="Q209" s="6">
        <f t="shared" si="28"/>
        <v>-6.3897718111029234E-3</v>
      </c>
      <c r="R209" s="6">
        <f t="shared" si="29"/>
        <v>-1.4096584264906203E-2</v>
      </c>
      <c r="S209" s="6">
        <f t="shared" si="30"/>
        <v>-5.7211187200301395E-3</v>
      </c>
      <c r="T209" s="6">
        <f t="shared" si="31"/>
        <v>5.0798303882453655E-5</v>
      </c>
      <c r="U209" s="6"/>
      <c r="AC209" s="38"/>
    </row>
    <row r="210" spans="1:29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26"/>
        <v>2.0051053716385603E-4</v>
      </c>
      <c r="J210" s="6">
        <f t="shared" si="25"/>
        <v>5.4761020107099078E-3</v>
      </c>
      <c r="K210" s="6">
        <f t="shared" si="25"/>
        <v>1.7478507559406556E-3</v>
      </c>
      <c r="L210" s="6">
        <f t="shared" si="25"/>
        <v>1.1059628683795456E-2</v>
      </c>
      <c r="M210" s="6">
        <f t="shared" si="25"/>
        <v>3.4012621492683047E-3</v>
      </c>
      <c r="N210" s="6">
        <f t="shared" si="25"/>
        <v>2.341828672305396E-3</v>
      </c>
      <c r="O210" s="6">
        <f t="shared" si="27"/>
        <v>-7.5609564567877055E-3</v>
      </c>
      <c r="P210" s="6"/>
      <c r="Q210" s="6">
        <f t="shared" si="28"/>
        <v>7.3474282749765854E-3</v>
      </c>
      <c r="R210" s="6">
        <f t="shared" si="29"/>
        <v>3.4012621492683047E-3</v>
      </c>
      <c r="S210" s="6">
        <f t="shared" si="30"/>
        <v>6.3442023801538565E-3</v>
      </c>
      <c r="T210" s="6">
        <f t="shared" si="31"/>
        <v>0</v>
      </c>
      <c r="U210" s="6"/>
      <c r="AC210" s="38"/>
    </row>
    <row r="211" spans="1:29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26"/>
        <v>1.9936881070892198E-4</v>
      </c>
      <c r="J211" s="6">
        <f t="shared" si="25"/>
        <v>-8.2019263390725322E-3</v>
      </c>
      <c r="K211" s="6">
        <f t="shared" si="25"/>
        <v>7.1958738958610062E-4</v>
      </c>
      <c r="L211" s="6">
        <f t="shared" si="25"/>
        <v>6.1937429460877716E-4</v>
      </c>
      <c r="M211" s="6">
        <f t="shared" si="25"/>
        <v>-1.6992713126116508E-3</v>
      </c>
      <c r="N211" s="6">
        <f t="shared" si="25"/>
        <v>-3.9391312700216223E-4</v>
      </c>
      <c r="O211" s="6">
        <f t="shared" si="27"/>
        <v>-5.7103702078565256E-3</v>
      </c>
      <c r="P211" s="6"/>
      <c r="Q211" s="6">
        <f t="shared" si="28"/>
        <v>-1.8492326562906392E-3</v>
      </c>
      <c r="R211" s="6">
        <f t="shared" si="29"/>
        <v>-1.6992713126116508E-3</v>
      </c>
      <c r="S211" s="6">
        <f t="shared" si="30"/>
        <v>-2.2461338247964347E-3</v>
      </c>
      <c r="T211" s="6">
        <f t="shared" si="31"/>
        <v>1.3339353659224423E-5</v>
      </c>
      <c r="U211" s="6"/>
      <c r="AC211" s="38"/>
    </row>
    <row r="212" spans="1:29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26"/>
        <v>1.9822675964520364E-4</v>
      </c>
      <c r="J212" s="6">
        <f t="shared" si="25"/>
        <v>1.948047725735666E-2</v>
      </c>
      <c r="K212" s="6">
        <f t="shared" si="25"/>
        <v>1.1184790032108326E-3</v>
      </c>
      <c r="L212" s="6">
        <f t="shared" si="25"/>
        <v>6.1735082056717516E-3</v>
      </c>
      <c r="M212" s="6">
        <f t="shared" si="25"/>
        <v>1.6992713126115697E-3</v>
      </c>
      <c r="N212" s="6">
        <f t="shared" si="25"/>
        <v>7.6351859201040807E-3</v>
      </c>
      <c r="O212" s="6">
        <f t="shared" si="27"/>
        <v>-5.7448034624890849E-3</v>
      </c>
      <c r="P212" s="6"/>
      <c r="Q212" s="6">
        <f t="shared" si="28"/>
        <v>7.1292500086807126E-3</v>
      </c>
      <c r="R212" s="6">
        <f t="shared" si="29"/>
        <v>1.6992713126115697E-3</v>
      </c>
      <c r="S212" s="6">
        <f t="shared" si="30"/>
        <v>6.7732635119238547E-3</v>
      </c>
      <c r="T212" s="6">
        <f t="shared" si="31"/>
        <v>0</v>
      </c>
      <c r="U212" s="6"/>
      <c r="AC212" s="38"/>
    </row>
    <row r="213" spans="1:29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26"/>
        <v>1.9822675964520364E-4</v>
      </c>
      <c r="J213" s="6">
        <f t="shared" si="25"/>
        <v>-1.1045270681009117E-2</v>
      </c>
      <c r="K213" s="6">
        <f t="shared" si="25"/>
        <v>1.5971257518978638E-4</v>
      </c>
      <c r="L213" s="6">
        <f t="shared" si="25"/>
        <v>1.030672096955205E-2</v>
      </c>
      <c r="M213" s="6">
        <f t="shared" si="25"/>
        <v>2.1277351283956945E-2</v>
      </c>
      <c r="N213" s="6">
        <f t="shared" si="25"/>
        <v>2.5181897678469146E-3</v>
      </c>
      <c r="O213" s="6">
        <f t="shared" si="27"/>
        <v>0</v>
      </c>
      <c r="P213" s="6"/>
      <c r="Q213" s="6">
        <f t="shared" si="28"/>
        <v>1.0089684058280046E-2</v>
      </c>
      <c r="R213" s="6">
        <f t="shared" si="29"/>
        <v>2.1277351283956945E-2</v>
      </c>
      <c r="S213" s="6">
        <f t="shared" si="30"/>
        <v>1.1075734559102575E-2</v>
      </c>
      <c r="T213" s="6">
        <f t="shared" si="31"/>
        <v>0</v>
      </c>
      <c r="U213" s="6"/>
      <c r="AC213" s="38"/>
    </row>
    <row r="214" spans="1:29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26"/>
        <v>2.0165193919474689E-4</v>
      </c>
      <c r="J214" s="6">
        <f t="shared" si="25"/>
        <v>-2.1747631659808291E-2</v>
      </c>
      <c r="K214" s="6">
        <f t="shared" si="25"/>
        <v>-7.2110078735026766E-3</v>
      </c>
      <c r="L214" s="6">
        <f t="shared" si="25"/>
        <v>8.4414315435738397E-3</v>
      </c>
      <c r="M214" s="6">
        <f t="shared" si="25"/>
        <v>3.3186565462668526E-3</v>
      </c>
      <c r="N214" s="6">
        <f t="shared" si="25"/>
        <v>-2.5291522760688338E-3</v>
      </c>
      <c r="O214" s="6">
        <f t="shared" si="27"/>
        <v>1.7131511781081622E-2</v>
      </c>
      <c r="P214" s="6"/>
      <c r="Q214" s="6">
        <f t="shared" si="28"/>
        <v>9.6968092913597486E-4</v>
      </c>
      <c r="R214" s="6">
        <f t="shared" si="29"/>
        <v>3.3186565462668526E-3</v>
      </c>
      <c r="S214" s="6">
        <f t="shared" si="30"/>
        <v>-8.5585214334295322E-5</v>
      </c>
      <c r="T214" s="6">
        <f t="shared" si="31"/>
        <v>2.2253460486474629E-6</v>
      </c>
      <c r="U214" s="6"/>
      <c r="AC214" s="38"/>
    </row>
    <row r="215" spans="1:29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26"/>
        <v>2.0127150788695758E-4</v>
      </c>
      <c r="J215" s="6">
        <f t="shared" si="25"/>
        <v>-1.0499345697948081E-2</v>
      </c>
      <c r="K215" s="6">
        <f t="shared" si="25"/>
        <v>9.443847698832648E-3</v>
      </c>
      <c r="L215" s="6">
        <f t="shared" si="25"/>
        <v>-1.2001025271443897E-2</v>
      </c>
      <c r="M215" s="6">
        <f t="shared" si="25"/>
        <v>1.588635415691966E-2</v>
      </c>
      <c r="N215" s="6">
        <f t="shared" si="25"/>
        <v>-1.5633874377691908E-3</v>
      </c>
      <c r="O215" s="6">
        <f t="shared" si="27"/>
        <v>-1.8883558333109205E-3</v>
      </c>
      <c r="P215" s="6"/>
      <c r="Q215" s="6">
        <f t="shared" si="28"/>
        <v>-2.0342613642768655E-3</v>
      </c>
      <c r="R215" s="6">
        <f t="shared" si="29"/>
        <v>1.588635415691966E-2</v>
      </c>
      <c r="S215" s="6">
        <f t="shared" si="30"/>
        <v>1.3344775421725262E-3</v>
      </c>
      <c r="T215" s="6">
        <f t="shared" si="31"/>
        <v>5.1404058601888224E-9</v>
      </c>
      <c r="U215" s="6"/>
      <c r="AC215" s="38"/>
    </row>
    <row r="216" spans="1:29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26"/>
        <v>2.0165193919474689E-4</v>
      </c>
      <c r="J216" s="6">
        <f t="shared" si="25"/>
        <v>3.1277001097442104E-3</v>
      </c>
      <c r="K216" s="6">
        <f t="shared" si="25"/>
        <v>1.8936986764933515E-2</v>
      </c>
      <c r="L216" s="6">
        <f t="shared" si="25"/>
        <v>1.305751761044515E-2</v>
      </c>
      <c r="M216" s="6">
        <f t="shared" si="25"/>
        <v>1.3495526138129172E-2</v>
      </c>
      <c r="N216" s="6">
        <f t="shared" si="25"/>
        <v>-3.0698792218004059E-3</v>
      </c>
      <c r="O216" s="6">
        <f t="shared" si="27"/>
        <v>1.8883558333109866E-3</v>
      </c>
      <c r="P216" s="6"/>
      <c r="Q216" s="6">
        <f t="shared" si="28"/>
        <v>1.1337088931069723E-2</v>
      </c>
      <c r="R216" s="6">
        <f t="shared" si="29"/>
        <v>1.3495526138129172E-2</v>
      </c>
      <c r="S216" s="6">
        <f t="shared" si="30"/>
        <v>1.1262752589937666E-2</v>
      </c>
      <c r="T216" s="6">
        <f t="shared" si="31"/>
        <v>0</v>
      </c>
      <c r="U216" s="6"/>
      <c r="AC216" s="38"/>
    </row>
    <row r="217" spans="1:29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26"/>
        <v>2.0012999773522111E-4</v>
      </c>
      <c r="J217" s="6">
        <f t="shared" si="25"/>
        <v>4.4582669163491413E-3</v>
      </c>
      <c r="K217" s="6">
        <f t="shared" si="25"/>
        <v>-2.0342859528205111E-3</v>
      </c>
      <c r="L217" s="6">
        <f t="shared" si="25"/>
        <v>-4.0810762745116238E-3</v>
      </c>
      <c r="M217" s="6">
        <f t="shared" si="25"/>
        <v>2.1425562712271934E-3</v>
      </c>
      <c r="N217" s="6">
        <f t="shared" si="25"/>
        <v>3.9259309005764296E-3</v>
      </c>
      <c r="O217" s="6">
        <f t="shared" si="27"/>
        <v>-7.5759938366260346E-3</v>
      </c>
      <c r="P217" s="6"/>
      <c r="Q217" s="6">
        <f t="shared" si="28"/>
        <v>-3.0967618252215651E-4</v>
      </c>
      <c r="R217" s="6">
        <f t="shared" si="29"/>
        <v>2.1425562712271934E-3</v>
      </c>
      <c r="S217" s="6">
        <f t="shared" si="30"/>
        <v>5.5049482880241613E-4</v>
      </c>
      <c r="T217" s="6">
        <f t="shared" si="31"/>
        <v>7.3218712801058966E-7</v>
      </c>
      <c r="U217" s="6"/>
      <c r="AC217" s="38"/>
    </row>
    <row r="218" spans="1:29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26"/>
        <v>1.9784600378991435E-4</v>
      </c>
      <c r="J218" s="6">
        <f t="shared" si="25"/>
        <v>1.9796003669469535E-2</v>
      </c>
      <c r="K218" s="6">
        <f t="shared" si="25"/>
        <v>3.2841220395962312E-3</v>
      </c>
      <c r="L218" s="6">
        <f t="shared" si="25"/>
        <v>-3.2364976607338002E-3</v>
      </c>
      <c r="M218" s="6">
        <f t="shared" si="25"/>
        <v>3.738273476931629E-3</v>
      </c>
      <c r="N218" s="6">
        <f t="shared" si="25"/>
        <v>1.5711783413408377E-3</v>
      </c>
      <c r="O218" s="6">
        <f t="shared" si="27"/>
        <v>-1.1478174626420291E-2</v>
      </c>
      <c r="P218" s="6"/>
      <c r="Q218" s="6">
        <f t="shared" si="28"/>
        <v>3.5287844338486307E-3</v>
      </c>
      <c r="R218" s="6">
        <f t="shared" si="29"/>
        <v>3.738273476931629E-3</v>
      </c>
      <c r="S218" s="6">
        <f t="shared" si="30"/>
        <v>4.6872046903352E-3</v>
      </c>
      <c r="T218" s="6">
        <f t="shared" si="31"/>
        <v>0</v>
      </c>
      <c r="U218" s="6"/>
      <c r="AC218" s="38"/>
    </row>
    <row r="219" spans="1:29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26"/>
        <v>1.9784600378991435E-4</v>
      </c>
      <c r="J219" s="6">
        <f t="shared" si="25"/>
        <v>3.9780687953256729E-3</v>
      </c>
      <c r="K219" s="6">
        <f t="shared" si="25"/>
        <v>-2.1882315189594016E-3</v>
      </c>
      <c r="L219" s="6">
        <f t="shared" si="25"/>
        <v>8.7746980951394233E-3</v>
      </c>
      <c r="M219" s="6">
        <f t="shared" si="25"/>
        <v>-5.3329250387106324E-4</v>
      </c>
      <c r="N219" s="6">
        <f t="shared" si="25"/>
        <v>9.068706560974762E-4</v>
      </c>
      <c r="O219" s="6">
        <f t="shared" si="27"/>
        <v>0</v>
      </c>
      <c r="P219" s="6"/>
      <c r="Q219" s="6">
        <f t="shared" si="28"/>
        <v>4.6380737241741759E-3</v>
      </c>
      <c r="R219" s="6">
        <f t="shared" si="29"/>
        <v>-5.3329250387106324E-4</v>
      </c>
      <c r="S219" s="6">
        <f t="shared" si="30"/>
        <v>3.4469721198521004E-3</v>
      </c>
      <c r="T219" s="6">
        <f t="shared" si="31"/>
        <v>0</v>
      </c>
      <c r="U219" s="6"/>
      <c r="AC219" s="38"/>
    </row>
    <row r="220" spans="1:29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26"/>
        <v>1.9936881070892198E-4</v>
      </c>
      <c r="J220" s="6">
        <f t="shared" si="25"/>
        <v>-1.6387734624486144E-2</v>
      </c>
      <c r="K220" s="6">
        <f t="shared" si="25"/>
        <v>-4.0764872369371159E-3</v>
      </c>
      <c r="L220" s="6">
        <f t="shared" si="25"/>
        <v>1.5395245178859948E-2</v>
      </c>
      <c r="M220" s="6">
        <f t="shared" si="25"/>
        <v>1.901802869604308E-2</v>
      </c>
      <c r="N220" s="6">
        <f t="shared" si="25"/>
        <v>-4.0919885121458088E-3</v>
      </c>
      <c r="O220" s="6">
        <f t="shared" si="27"/>
        <v>7.6674601444540157E-3</v>
      </c>
      <c r="P220" s="6"/>
      <c r="Q220" s="6">
        <f t="shared" si="28"/>
        <v>1.0659718954943709E-2</v>
      </c>
      <c r="R220" s="6">
        <f t="shared" si="29"/>
        <v>1.901802869604308E-2</v>
      </c>
      <c r="S220" s="6">
        <f t="shared" si="30"/>
        <v>1.061223116570356E-2</v>
      </c>
      <c r="T220" s="6">
        <f t="shared" si="31"/>
        <v>0</v>
      </c>
      <c r="U220" s="6"/>
      <c r="AC220" s="38"/>
    </row>
    <row r="221" spans="1:29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26"/>
        <v>1.9860747941202739E-4</v>
      </c>
      <c r="J221" s="6">
        <f t="shared" si="25"/>
        <v>2.8689111628198698E-2</v>
      </c>
      <c r="K221" s="6">
        <f t="shared" si="25"/>
        <v>-5.8300487686362692E-3</v>
      </c>
      <c r="L221" s="6">
        <f t="shared" si="25"/>
        <v>1.5648710168294964E-2</v>
      </c>
      <c r="M221" s="6">
        <f t="shared" si="25"/>
        <v>-6.8259836239331134E-3</v>
      </c>
      <c r="N221" s="6">
        <f t="shared" si="25"/>
        <v>2.6720159429360979E-3</v>
      </c>
      <c r="O221" s="6">
        <f t="shared" si="27"/>
        <v>-3.8260180041707849E-3</v>
      </c>
      <c r="P221" s="6"/>
      <c r="Q221" s="6">
        <f t="shared" si="28"/>
        <v>1.0303724513212488E-2</v>
      </c>
      <c r="R221" s="6">
        <f t="shared" si="29"/>
        <v>-6.8259836239331134E-3</v>
      </c>
      <c r="S221" s="6">
        <f t="shared" si="30"/>
        <v>7.778131827283841E-3</v>
      </c>
      <c r="T221" s="6">
        <f t="shared" si="31"/>
        <v>0</v>
      </c>
      <c r="U221" s="6"/>
      <c r="AC221" s="38"/>
    </row>
    <row r="222" spans="1:29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26"/>
        <v>1.9860747941202739E-4</v>
      </c>
      <c r="J222" s="6">
        <f t="shared" si="25"/>
        <v>1.6109449297697549E-2</v>
      </c>
      <c r="K222" s="6">
        <f t="shared" si="25"/>
        <v>-2.0564271894918324E-3</v>
      </c>
      <c r="L222" s="6">
        <f t="shared" si="25"/>
        <v>1.6317826996333985E-2</v>
      </c>
      <c r="M222" s="6">
        <f t="shared" si="25"/>
        <v>-8.4656033871456007E-3</v>
      </c>
      <c r="N222" s="6">
        <f t="shared" si="25"/>
        <v>6.1762197767835335E-3</v>
      </c>
      <c r="O222" s="6">
        <f t="shared" si="27"/>
        <v>0</v>
      </c>
      <c r="P222" s="6"/>
      <c r="Q222" s="6">
        <f t="shared" si="28"/>
        <v>7.672760322897011E-3</v>
      </c>
      <c r="R222" s="6">
        <f t="shared" si="29"/>
        <v>-8.4656033871456007E-3</v>
      </c>
      <c r="S222" s="6">
        <f t="shared" si="30"/>
        <v>4.6958655982969871E-3</v>
      </c>
      <c r="T222" s="6">
        <f t="shared" si="31"/>
        <v>0</v>
      </c>
      <c r="U222" s="6"/>
      <c r="AC222" s="38"/>
    </row>
    <row r="223" spans="1:29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26"/>
        <v>1.9898816309771306E-4</v>
      </c>
      <c r="J223" s="6">
        <f t="shared" si="25"/>
        <v>5.7942259479230023E-3</v>
      </c>
      <c r="K223" s="6">
        <f t="shared" si="25"/>
        <v>2.8463016418229037E-3</v>
      </c>
      <c r="L223" s="6">
        <f t="shared" si="25"/>
        <v>-6.7059033946733737E-4</v>
      </c>
      <c r="M223" s="6">
        <f t="shared" si="25"/>
        <v>-7.466713020734231E-3</v>
      </c>
      <c r="N223" s="6">
        <f t="shared" si="25"/>
        <v>5.0715161981972666E-3</v>
      </c>
      <c r="O223" s="6">
        <f t="shared" si="27"/>
        <v>1.9149294474749643E-3</v>
      </c>
      <c r="P223" s="6"/>
      <c r="Q223" s="6">
        <f t="shared" si="28"/>
        <v>-1.8113614088010317E-3</v>
      </c>
      <c r="R223" s="6">
        <f t="shared" si="29"/>
        <v>-7.466713020734231E-3</v>
      </c>
      <c r="S223" s="6">
        <f t="shared" si="30"/>
        <v>-2.5210996386634578E-3</v>
      </c>
      <c r="T223" s="6">
        <f t="shared" si="31"/>
        <v>1.542347953635378E-5</v>
      </c>
      <c r="U223" s="6"/>
      <c r="AC223" s="38"/>
    </row>
    <row r="224" spans="1:29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26"/>
        <v>1.9898816309771306E-4</v>
      </c>
      <c r="J224" s="6">
        <f t="shared" si="25"/>
        <v>2.1389960415288217E-2</v>
      </c>
      <c r="K224" s="6">
        <f t="shared" si="25"/>
        <v>6.7668210053826762E-3</v>
      </c>
      <c r="L224" s="6">
        <f t="shared" si="25"/>
        <v>-1.3339105875401823E-2</v>
      </c>
      <c r="M224" s="6">
        <f t="shared" si="25"/>
        <v>4.8064098657813409E-3</v>
      </c>
      <c r="N224" s="6">
        <f t="shared" si="25"/>
        <v>5.4339884131971751E-3</v>
      </c>
      <c r="O224" s="6">
        <f t="shared" si="27"/>
        <v>0</v>
      </c>
      <c r="P224" s="6"/>
      <c r="Q224" s="6">
        <f t="shared" si="28"/>
        <v>-4.8921851397274634E-4</v>
      </c>
      <c r="R224" s="6">
        <f t="shared" si="29"/>
        <v>4.8064098657813409E-3</v>
      </c>
      <c r="S224" s="6">
        <f t="shared" si="30"/>
        <v>2.1817252019528405E-3</v>
      </c>
      <c r="T224" s="6">
        <f t="shared" si="31"/>
        <v>0</v>
      </c>
      <c r="U224" s="6"/>
      <c r="AC224" s="38"/>
    </row>
    <row r="225" spans="1:29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26"/>
        <v>1.9898816309771306E-4</v>
      </c>
      <c r="J225" s="6">
        <f t="shared" si="25"/>
        <v>6.5176077697273217E-3</v>
      </c>
      <c r="K225" s="6">
        <f t="shared" si="25"/>
        <v>-1.2626414888283227E-2</v>
      </c>
      <c r="L225" s="6">
        <f t="shared" si="25"/>
        <v>1.8538643632364745E-3</v>
      </c>
      <c r="M225" s="6">
        <f t="shared" si="25"/>
        <v>2.1287652308458159E-3</v>
      </c>
      <c r="N225" s="6">
        <f t="shared" si="25"/>
        <v>1.0161544279964853E-3</v>
      </c>
      <c r="O225" s="6">
        <f t="shared" si="27"/>
        <v>0</v>
      </c>
      <c r="P225" s="6"/>
      <c r="Q225" s="6">
        <f t="shared" si="28"/>
        <v>2.828789323767132E-3</v>
      </c>
      <c r="R225" s="6">
        <f t="shared" si="29"/>
        <v>2.1287652308458159E-3</v>
      </c>
      <c r="S225" s="6">
        <f t="shared" si="30"/>
        <v>2.8983821501399861E-3</v>
      </c>
      <c r="T225" s="6">
        <f t="shared" si="31"/>
        <v>0</v>
      </c>
      <c r="U225" s="6"/>
      <c r="AC225" s="38"/>
    </row>
    <row r="226" spans="1:29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26"/>
        <v>1.9898816309771306E-4</v>
      </c>
      <c r="J226" s="6">
        <f t="shared" si="25"/>
        <v>3.7677515857849927E-3</v>
      </c>
      <c r="K226" s="6">
        <f t="shared" si="25"/>
        <v>-4.2976588916777241E-3</v>
      </c>
      <c r="L226" s="6">
        <f t="shared" si="25"/>
        <v>1.1918779573079451E-2</v>
      </c>
      <c r="M226" s="6">
        <f t="shared" si="25"/>
        <v>-5.3176661708070883E-4</v>
      </c>
      <c r="N226" s="6">
        <f t="shared" si="25"/>
        <v>7.4081850375864739E-4</v>
      </c>
      <c r="O226" s="6">
        <f t="shared" si="27"/>
        <v>0</v>
      </c>
      <c r="P226" s="6"/>
      <c r="Q226" s="6">
        <f t="shared" si="28"/>
        <v>6.0583794979160496E-3</v>
      </c>
      <c r="R226" s="6">
        <f t="shared" si="29"/>
        <v>-5.3176661708070883E-4</v>
      </c>
      <c r="S226" s="6">
        <f t="shared" si="30"/>
        <v>4.4381632056561555E-3</v>
      </c>
      <c r="T226" s="6">
        <f t="shared" si="31"/>
        <v>0</v>
      </c>
      <c r="U226" s="6"/>
      <c r="AC226" s="38"/>
    </row>
    <row r="227" spans="1:29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26"/>
        <v>2.0012999773522111E-4</v>
      </c>
      <c r="J227" s="6">
        <f t="shared" ref="J227:N254" si="32">LN(B227/B226)</f>
        <v>1.8628964806476703E-2</v>
      </c>
      <c r="K227" s="6">
        <f t="shared" si="32"/>
        <v>2.2307689124128954E-3</v>
      </c>
      <c r="L227" s="6">
        <f t="shared" si="32"/>
        <v>8.1841949890559102E-4</v>
      </c>
      <c r="M227" s="6">
        <f t="shared" si="32"/>
        <v>1.1701116052050159E-2</v>
      </c>
      <c r="N227" s="6">
        <f t="shared" si="32"/>
        <v>1.0156283642139425E-2</v>
      </c>
      <c r="O227" s="6">
        <f t="shared" si="27"/>
        <v>5.7218030386620624E-3</v>
      </c>
      <c r="P227" s="6"/>
      <c r="Q227" s="6">
        <f t="shared" si="28"/>
        <v>7.9559513963637137E-3</v>
      </c>
      <c r="R227" s="6">
        <f t="shared" si="29"/>
        <v>1.1701116052050159E-2</v>
      </c>
      <c r="S227" s="6">
        <f t="shared" si="30"/>
        <v>9.4957806731406271E-3</v>
      </c>
      <c r="T227" s="6">
        <f t="shared" si="31"/>
        <v>0</v>
      </c>
      <c r="U227" s="6"/>
      <c r="AC227" s="38"/>
    </row>
    <row r="228" spans="1:29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26"/>
        <v>1.9898816309771306E-4</v>
      </c>
      <c r="J228" s="6">
        <f t="shared" si="32"/>
        <v>-2.3494672238777499E-2</v>
      </c>
      <c r="K228" s="6">
        <f t="shared" si="32"/>
        <v>4.2880396046633875E-3</v>
      </c>
      <c r="L228" s="6">
        <f t="shared" si="32"/>
        <v>-1.6857607845247413E-3</v>
      </c>
      <c r="M228" s="6">
        <f t="shared" si="32"/>
        <v>6.3830534173032645E-3</v>
      </c>
      <c r="N228" s="6">
        <f t="shared" si="32"/>
        <v>-8.8016292301766504E-3</v>
      </c>
      <c r="O228" s="6">
        <f t="shared" si="27"/>
        <v>-5.7218030386620858E-3</v>
      </c>
      <c r="P228" s="6"/>
      <c r="Q228" s="6">
        <f t="shared" si="28"/>
        <v>-2.9965851727684015E-3</v>
      </c>
      <c r="R228" s="6">
        <f t="shared" si="29"/>
        <v>6.3830534173032645E-3</v>
      </c>
      <c r="S228" s="6">
        <f t="shared" si="30"/>
        <v>-2.3302819464394993E-3</v>
      </c>
      <c r="T228" s="6">
        <f t="shared" si="31"/>
        <v>1.3961104279765958E-5</v>
      </c>
      <c r="U228" s="6"/>
      <c r="AC228" s="38"/>
    </row>
    <row r="229" spans="1:29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26"/>
        <v>1.9860747941202739E-4</v>
      </c>
      <c r="J229" s="6">
        <f t="shared" si="32"/>
        <v>1.2966442042243119E-2</v>
      </c>
      <c r="K229" s="6">
        <f t="shared" si="32"/>
        <v>9.4638404252588466E-3</v>
      </c>
      <c r="L229" s="6">
        <f t="shared" si="32"/>
        <v>-1.2173069187035165E-2</v>
      </c>
      <c r="M229" s="6">
        <f t="shared" si="32"/>
        <v>-2.6547400778527642E-3</v>
      </c>
      <c r="N229" s="6">
        <f t="shared" si="32"/>
        <v>5.5018536287759819E-3</v>
      </c>
      <c r="O229" s="6">
        <f t="shared" si="27"/>
        <v>-1.9149294474749528E-3</v>
      </c>
      <c r="P229" s="6"/>
      <c r="Q229" s="6">
        <f t="shared" si="28"/>
        <v>-4.1272338916125712E-3</v>
      </c>
      <c r="R229" s="6">
        <f t="shared" si="29"/>
        <v>-2.6547400778527642E-3</v>
      </c>
      <c r="S229" s="6">
        <f t="shared" si="30"/>
        <v>-2.6092206163392303E-3</v>
      </c>
      <c r="T229" s="6">
        <f t="shared" si="31"/>
        <v>1.6123395257585184E-5</v>
      </c>
      <c r="U229" s="6"/>
      <c r="AC229" s="38"/>
    </row>
    <row r="230" spans="1:29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26"/>
        <v>1.9898816309771306E-4</v>
      </c>
      <c r="J230" s="6">
        <f t="shared" si="32"/>
        <v>1.6604708169325119E-2</v>
      </c>
      <c r="K230" s="6">
        <f t="shared" si="32"/>
        <v>-4.563000564764429E-3</v>
      </c>
      <c r="L230" s="6">
        <f t="shared" si="32"/>
        <v>2.4628348767179134E-2</v>
      </c>
      <c r="M230" s="6">
        <f t="shared" si="32"/>
        <v>-1.2302856764034255E-2</v>
      </c>
      <c r="N230" s="6">
        <f t="shared" si="32"/>
        <v>2.822195662042845E-3</v>
      </c>
      <c r="O230" s="6">
        <f t="shared" si="27"/>
        <v>1.9149294474749643E-3</v>
      </c>
      <c r="P230" s="6"/>
      <c r="Q230" s="6">
        <f t="shared" si="28"/>
        <v>1.0291333046241986E-2</v>
      </c>
      <c r="R230" s="6">
        <f t="shared" si="29"/>
        <v>-1.2302856764034255E-2</v>
      </c>
      <c r="S230" s="6">
        <f t="shared" si="30"/>
        <v>5.7450577842224357E-3</v>
      </c>
      <c r="T230" s="6">
        <f t="shared" si="31"/>
        <v>0</v>
      </c>
      <c r="U230" s="6"/>
      <c r="AC230" s="38"/>
    </row>
    <row r="231" spans="1:29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26"/>
        <v>1.9784600378991435E-4</v>
      </c>
      <c r="J231" s="6">
        <f t="shared" si="32"/>
        <v>1.7902506232981147E-3</v>
      </c>
      <c r="K231" s="6">
        <f t="shared" si="32"/>
        <v>1.3471334993176645E-2</v>
      </c>
      <c r="L231" s="6">
        <f t="shared" si="32"/>
        <v>1.6853100357796223E-2</v>
      </c>
      <c r="M231" s="6">
        <f t="shared" si="32"/>
        <v>1.4427180508327499E-2</v>
      </c>
      <c r="N231" s="6">
        <f t="shared" si="32"/>
        <v>6.3690536600414091E-3</v>
      </c>
      <c r="O231" s="6">
        <f t="shared" si="27"/>
        <v>-5.7563715877582003E-3</v>
      </c>
      <c r="P231" s="6"/>
      <c r="Q231" s="6">
        <f t="shared" si="28"/>
        <v>1.3170239121630194E-2</v>
      </c>
      <c r="R231" s="6">
        <f t="shared" si="29"/>
        <v>1.4427180508327499E-2</v>
      </c>
      <c r="S231" s="6">
        <f t="shared" si="30"/>
        <v>1.2667573248598431E-2</v>
      </c>
      <c r="T231" s="6">
        <f t="shared" si="31"/>
        <v>0</v>
      </c>
      <c r="U231" s="6"/>
      <c r="AC231" s="38"/>
    </row>
    <row r="232" spans="1:29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26"/>
        <v>1.9670351962641774E-4</v>
      </c>
      <c r="J232" s="6">
        <f t="shared" si="32"/>
        <v>-2.5621428783056767E-2</v>
      </c>
      <c r="K232" s="6">
        <f t="shared" si="32"/>
        <v>1.4519903364922418E-2</v>
      </c>
      <c r="L232" s="6">
        <f t="shared" si="32"/>
        <v>1.5099360369527649E-2</v>
      </c>
      <c r="M232" s="6">
        <f t="shared" si="32"/>
        <v>1.631185864869468E-2</v>
      </c>
      <c r="N232" s="6">
        <f t="shared" si="32"/>
        <v>-1.4025410555021933E-2</v>
      </c>
      <c r="O232" s="6">
        <f t="shared" si="27"/>
        <v>-5.7913508389068353E-3</v>
      </c>
      <c r="P232" s="6"/>
      <c r="Q232" s="6">
        <f t="shared" si="28"/>
        <v>7.8414356352753123E-3</v>
      </c>
      <c r="R232" s="6">
        <f t="shared" si="29"/>
        <v>1.631185864869468E-2</v>
      </c>
      <c r="S232" s="6">
        <f t="shared" si="30"/>
        <v>7.4203526475892538E-3</v>
      </c>
      <c r="T232" s="6">
        <f t="shared" si="31"/>
        <v>0</v>
      </c>
      <c r="U232" s="6"/>
      <c r="AC232" s="38"/>
    </row>
    <row r="233" spans="1:29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26"/>
        <v>1.9670351962641774E-4</v>
      </c>
      <c r="J233" s="6">
        <f t="shared" si="32"/>
        <v>-2.074860964039351E-2</v>
      </c>
      <c r="K233" s="6">
        <f t="shared" si="32"/>
        <v>-3.067024540397419E-4</v>
      </c>
      <c r="L233" s="6">
        <f t="shared" si="32"/>
        <v>-3.2285803587666854E-2</v>
      </c>
      <c r="M233" s="6">
        <f t="shared" si="32"/>
        <v>-5.2205691605959625E-4</v>
      </c>
      <c r="N233" s="6">
        <f t="shared" si="32"/>
        <v>-7.8470804696827295E-3</v>
      </c>
      <c r="O233" s="6">
        <f t="shared" si="27"/>
        <v>0</v>
      </c>
      <c r="P233" s="6"/>
      <c r="Q233" s="6">
        <f t="shared" si="28"/>
        <v>-1.9080559938207172E-2</v>
      </c>
      <c r="R233" s="6">
        <f t="shared" si="29"/>
        <v>-5.2205691605959625E-4</v>
      </c>
      <c r="S233" s="6">
        <f t="shared" si="30"/>
        <v>-1.5093130706085726E-2</v>
      </c>
      <c r="T233" s="6">
        <f t="shared" si="31"/>
        <v>2.7222706126017477E-4</v>
      </c>
      <c r="U233" s="6"/>
      <c r="AC233" s="38"/>
    </row>
    <row r="234" spans="1:29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26"/>
        <v>1.9441757599203413E-4</v>
      </c>
      <c r="J234" s="6">
        <f t="shared" si="32"/>
        <v>5.7973336916425204E-4</v>
      </c>
      <c r="K234" s="6">
        <f t="shared" si="32"/>
        <v>1.5327868988235308E-3</v>
      </c>
      <c r="L234" s="6">
        <f t="shared" si="32"/>
        <v>-9.5291127080258486E-4</v>
      </c>
      <c r="M234" s="6">
        <f t="shared" si="32"/>
        <v>-1.5677557021459298E-3</v>
      </c>
      <c r="N234" s="6">
        <f t="shared" si="32"/>
        <v>-7.1659074070294041E-3</v>
      </c>
      <c r="O234" s="6">
        <f t="shared" si="27"/>
        <v>-1.1689319186543775E-2</v>
      </c>
      <c r="P234" s="6"/>
      <c r="Q234" s="6">
        <f t="shared" si="28"/>
        <v>-8.7738965332764514E-4</v>
      </c>
      <c r="R234" s="6">
        <f t="shared" si="29"/>
        <v>-1.5677557021459298E-3</v>
      </c>
      <c r="S234" s="6">
        <f t="shared" si="30"/>
        <v>-9.2435025178766873E-4</v>
      </c>
      <c r="T234" s="6">
        <f t="shared" si="31"/>
        <v>5.4313440616422522E-6</v>
      </c>
      <c r="U234" s="6"/>
      <c r="AC234" s="38"/>
    </row>
    <row r="235" spans="1:29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26"/>
        <v>1.9479865694971288E-4</v>
      </c>
      <c r="J235" s="6">
        <f t="shared" si="32"/>
        <v>-1.5614861566389346E-3</v>
      </c>
      <c r="K235" s="6">
        <f t="shared" si="32"/>
        <v>-7.9964136377382936E-3</v>
      </c>
      <c r="L235" s="6">
        <f t="shared" si="32"/>
        <v>2.3806134291241197E-3</v>
      </c>
      <c r="M235" s="6">
        <f t="shared" si="32"/>
        <v>-3.0265224779422156E-2</v>
      </c>
      <c r="N235" s="6">
        <f t="shared" si="32"/>
        <v>1.0734189165974961E-2</v>
      </c>
      <c r="O235" s="6">
        <f t="shared" si="27"/>
        <v>1.9581972548826181E-3</v>
      </c>
      <c r="P235" s="6"/>
      <c r="Q235" s="6">
        <f t="shared" si="28"/>
        <v>-9.6986764983629809E-3</v>
      </c>
      <c r="R235" s="6">
        <f t="shared" si="29"/>
        <v>-3.0265224779422156E-2</v>
      </c>
      <c r="S235" s="6">
        <f t="shared" si="30"/>
        <v>-1.3644421848366501E-2</v>
      </c>
      <c r="T235" s="6">
        <f t="shared" si="31"/>
        <v>2.2652044038597087E-4</v>
      </c>
      <c r="U235" s="6"/>
      <c r="AC235" s="38"/>
    </row>
    <row r="236" spans="1:29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26"/>
        <v>1.9594168295089531E-4</v>
      </c>
      <c r="J236" s="6">
        <f t="shared" si="32"/>
        <v>4.6772962161707281E-3</v>
      </c>
      <c r="K236" s="6">
        <f t="shared" si="32"/>
        <v>2.9291935822486634E-3</v>
      </c>
      <c r="L236" s="6">
        <f t="shared" si="32"/>
        <v>2.3776420016967354E-4</v>
      </c>
      <c r="M236" s="6">
        <f t="shared" si="32"/>
        <v>-1.8498896320453713E-2</v>
      </c>
      <c r="N236" s="6">
        <f t="shared" si="32"/>
        <v>-1.5593317997995005E-3</v>
      </c>
      <c r="O236" s="6">
        <f t="shared" si="27"/>
        <v>5.8505823170835261E-3</v>
      </c>
      <c r="P236" s="6"/>
      <c r="Q236" s="6">
        <f t="shared" si="28"/>
        <v>-5.4311457820506301E-3</v>
      </c>
      <c r="R236" s="6">
        <f t="shared" si="29"/>
        <v>-1.8498896320453713E-2</v>
      </c>
      <c r="S236" s="6">
        <f t="shared" si="30"/>
        <v>-7.5865007219361605E-3</v>
      </c>
      <c r="T236" s="6">
        <f t="shared" si="31"/>
        <v>8.0868201639105504E-5</v>
      </c>
      <c r="U236" s="6"/>
      <c r="AC236" s="38"/>
    </row>
    <row r="237" spans="1:29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26"/>
        <v>1.9556071042226009E-4</v>
      </c>
      <c r="J237" s="6">
        <f t="shared" si="32"/>
        <v>-2.9175802186708118E-2</v>
      </c>
      <c r="K237" s="6">
        <f t="shared" si="32"/>
        <v>1.3000091618175304E-2</v>
      </c>
      <c r="L237" s="6">
        <f t="shared" si="32"/>
        <v>-8.307151793191617E-3</v>
      </c>
      <c r="M237" s="6">
        <f t="shared" si="32"/>
        <v>5.0853933718081321E-2</v>
      </c>
      <c r="N237" s="6">
        <f t="shared" si="32"/>
        <v>-2.3421178443889513E-2</v>
      </c>
      <c r="O237" s="6">
        <f t="shared" si="27"/>
        <v>-1.9462085307038084E-3</v>
      </c>
      <c r="P237" s="6"/>
      <c r="Q237" s="6">
        <f t="shared" si="28"/>
        <v>8.3005595282027653E-3</v>
      </c>
      <c r="R237" s="6">
        <f t="shared" si="29"/>
        <v>5.0853933718081321E-2</v>
      </c>
      <c r="S237" s="6">
        <f t="shared" si="30"/>
        <v>1.506801403185349E-2</v>
      </c>
      <c r="T237" s="6">
        <f t="shared" si="31"/>
        <v>0</v>
      </c>
      <c r="U237" s="6"/>
      <c r="AC237" s="38"/>
    </row>
    <row r="238" spans="1:29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26"/>
        <v>1.9174899651042132E-4</v>
      </c>
      <c r="J238" s="6">
        <f t="shared" si="32"/>
        <v>-4.8161042901711899E-3</v>
      </c>
      <c r="K238" s="6">
        <f t="shared" si="32"/>
        <v>3.943013964285107E-3</v>
      </c>
      <c r="L238" s="6">
        <f t="shared" si="32"/>
        <v>3.8346355812063522E-4</v>
      </c>
      <c r="M238" s="6">
        <f t="shared" si="32"/>
        <v>1.564589587366755E-3</v>
      </c>
      <c r="N238" s="6">
        <f t="shared" si="32"/>
        <v>-5.1559504042484414E-3</v>
      </c>
      <c r="O238" s="6">
        <f t="shared" si="27"/>
        <v>-1.9683663551158869E-2</v>
      </c>
      <c r="P238" s="6"/>
      <c r="Q238" s="6">
        <f t="shared" si="28"/>
        <v>-1.8691565858350962E-4</v>
      </c>
      <c r="R238" s="6">
        <f t="shared" si="29"/>
        <v>1.564589587366755E-3</v>
      </c>
      <c r="S238" s="6">
        <f t="shared" si="30"/>
        <v>-1.1205611942686805E-4</v>
      </c>
      <c r="T238" s="6">
        <f t="shared" si="31"/>
        <v>2.3050231994164725E-6</v>
      </c>
      <c r="U238" s="6"/>
      <c r="AC238" s="38"/>
    </row>
    <row r="239" spans="1:29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26"/>
        <v>1.9022329759033063E-4</v>
      </c>
      <c r="J239" s="6">
        <f t="shared" si="32"/>
        <v>2.1586660116600692E-3</v>
      </c>
      <c r="K239" s="6">
        <f t="shared" si="32"/>
        <v>1.4723868428621712E-2</v>
      </c>
      <c r="L239" s="6">
        <f t="shared" si="32"/>
        <v>1.6963686226937915E-2</v>
      </c>
      <c r="M239" s="6">
        <f t="shared" si="32"/>
        <v>-9.4242056297434203E-3</v>
      </c>
      <c r="N239" s="6">
        <f t="shared" si="32"/>
        <v>1.1029442312488889E-2</v>
      </c>
      <c r="O239" s="6">
        <f t="shared" si="27"/>
        <v>-7.9885743415427004E-3</v>
      </c>
      <c r="P239" s="6"/>
      <c r="Q239" s="6">
        <f t="shared" si="28"/>
        <v>5.0089159927437675E-3</v>
      </c>
      <c r="R239" s="6">
        <f t="shared" si="29"/>
        <v>-9.4242056297434203E-3</v>
      </c>
      <c r="S239" s="6">
        <f t="shared" si="30"/>
        <v>1.6703904258090303E-3</v>
      </c>
      <c r="T239" s="6">
        <f t="shared" si="31"/>
        <v>0</v>
      </c>
      <c r="U239" s="6"/>
      <c r="AC239" s="38"/>
    </row>
    <row r="240" spans="1:29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26"/>
        <v>1.8946023076238383E-4</v>
      </c>
      <c r="J240" s="6">
        <f t="shared" si="32"/>
        <v>1.2838228252665619E-3</v>
      </c>
      <c r="K240" s="6">
        <f t="shared" si="32"/>
        <v>-3.2865430207580882E-3</v>
      </c>
      <c r="L240" s="6">
        <f t="shared" si="32"/>
        <v>-6.5707247389028478E-3</v>
      </c>
      <c r="M240" s="6">
        <f t="shared" si="32"/>
        <v>-5.8032344347412621E-3</v>
      </c>
      <c r="N240" s="6">
        <f t="shared" si="32"/>
        <v>8.129903108684501E-4</v>
      </c>
      <c r="O240" s="6">
        <f t="shared" si="27"/>
        <v>-4.0194941224900244E-3</v>
      </c>
      <c r="P240" s="6"/>
      <c r="Q240" s="6">
        <f t="shared" si="28"/>
        <v>-4.8230454237441697E-3</v>
      </c>
      <c r="R240" s="6">
        <f t="shared" si="29"/>
        <v>-5.8032344347412621E-3</v>
      </c>
      <c r="S240" s="6">
        <f t="shared" si="30"/>
        <v>-4.6170321556816005E-3</v>
      </c>
      <c r="T240" s="6">
        <f t="shared" si="31"/>
        <v>3.6279014392867279E-5</v>
      </c>
      <c r="U240" s="6"/>
      <c r="AC240" s="38"/>
    </row>
    <row r="241" spans="1:29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26"/>
        <v>1.8946023076238383E-4</v>
      </c>
      <c r="J241" s="6">
        <f t="shared" si="32"/>
        <v>2.562716177992965E-3</v>
      </c>
      <c r="K241" s="6">
        <f t="shared" si="32"/>
        <v>1.2638603848310002E-2</v>
      </c>
      <c r="L241" s="6">
        <f t="shared" si="32"/>
        <v>2.0374359451747755E-2</v>
      </c>
      <c r="M241" s="6">
        <f t="shared" si="32"/>
        <v>4.2238711161852434E-3</v>
      </c>
      <c r="N241" s="6">
        <f t="shared" si="32"/>
        <v>-4.9724964337360253E-3</v>
      </c>
      <c r="O241" s="6">
        <f t="shared" si="27"/>
        <v>0</v>
      </c>
      <c r="P241" s="6"/>
      <c r="Q241" s="6">
        <f t="shared" si="28"/>
        <v>1.1407438153400395E-2</v>
      </c>
      <c r="R241" s="6">
        <f t="shared" si="29"/>
        <v>4.2238711161852434E-3</v>
      </c>
      <c r="S241" s="6">
        <f t="shared" si="30"/>
        <v>9.2308545579694035E-3</v>
      </c>
      <c r="T241" s="6">
        <f t="shared" si="31"/>
        <v>0</v>
      </c>
      <c r="U241" s="6"/>
      <c r="AC241" s="38"/>
    </row>
    <row r="242" spans="1:29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26"/>
        <v>1.8946023076238383E-4</v>
      </c>
      <c r="J242" s="6">
        <f t="shared" si="32"/>
        <v>1.4879566390620118E-2</v>
      </c>
      <c r="K242" s="6">
        <f t="shared" si="32"/>
        <v>-1.3986271941776691E-2</v>
      </c>
      <c r="L242" s="6">
        <f t="shared" si="32"/>
        <v>-1.1168596535331227E-2</v>
      </c>
      <c r="M242" s="6">
        <f t="shared" si="32"/>
        <v>1.4125267552011362E-2</v>
      </c>
      <c r="N242" s="6">
        <f t="shared" si="32"/>
        <v>1.567000529191805E-2</v>
      </c>
      <c r="O242" s="6">
        <f t="shared" si="27"/>
        <v>0</v>
      </c>
      <c r="P242" s="6"/>
      <c r="Q242" s="6">
        <f t="shared" si="28"/>
        <v>2.5264681837728182E-3</v>
      </c>
      <c r="R242" s="6">
        <f t="shared" si="29"/>
        <v>1.4125267552011362E-2</v>
      </c>
      <c r="S242" s="6">
        <f t="shared" si="30"/>
        <v>5.8812819563437129E-3</v>
      </c>
      <c r="T242" s="6">
        <f t="shared" si="31"/>
        <v>0</v>
      </c>
      <c r="U242" s="6"/>
      <c r="AC242" s="38"/>
    </row>
    <row r="243" spans="1:29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26"/>
        <v>1.8984178229608517E-4</v>
      </c>
      <c r="J243" s="6">
        <f t="shared" si="32"/>
        <v>-1.6892595276606047E-2</v>
      </c>
      <c r="K243" s="6">
        <f t="shared" si="32"/>
        <v>1.8114838733001931E-2</v>
      </c>
      <c r="L243" s="6">
        <f t="shared" si="32"/>
        <v>-2.300698438939985E-2</v>
      </c>
      <c r="M243" s="6">
        <f t="shared" si="32"/>
        <v>1.1363707289245462E-2</v>
      </c>
      <c r="N243" s="6">
        <f t="shared" si="32"/>
        <v>-1.3788191433053192E-2</v>
      </c>
      <c r="O243" s="6">
        <f t="shared" si="27"/>
        <v>2.0118620479849911E-3</v>
      </c>
      <c r="P243" s="6"/>
      <c r="Q243" s="6">
        <f t="shared" si="28"/>
        <v>-9.9191171797789763E-3</v>
      </c>
      <c r="R243" s="6">
        <f t="shared" si="29"/>
        <v>1.1363707289245462E-2</v>
      </c>
      <c r="S243" s="6">
        <f t="shared" si="30"/>
        <v>-5.6802017196643162E-3</v>
      </c>
      <c r="T243" s="6">
        <f t="shared" si="31"/>
        <v>5.0216723192127143E-5</v>
      </c>
      <c r="U243" s="6"/>
      <c r="AC243" s="38"/>
    </row>
    <row r="244" spans="1:29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26"/>
        <v>1.9022329759033063E-4</v>
      </c>
      <c r="J244" s="6">
        <f t="shared" si="32"/>
        <v>6.8458769114516189E-3</v>
      </c>
      <c r="K244" s="6">
        <f t="shared" si="32"/>
        <v>1.9958459712746134E-2</v>
      </c>
      <c r="L244" s="6">
        <f t="shared" si="32"/>
        <v>-4.3337697237488322E-2</v>
      </c>
      <c r="M244" s="6">
        <f t="shared" si="32"/>
        <v>-5.1492389779095047E-3</v>
      </c>
      <c r="N244" s="6">
        <f t="shared" si="32"/>
        <v>-1.8552885294602865E-2</v>
      </c>
      <c r="O244" s="6">
        <f t="shared" si="27"/>
        <v>2.0076320745050212E-3</v>
      </c>
      <c r="P244" s="6"/>
      <c r="Q244" s="6">
        <f t="shared" si="28"/>
        <v>-2.061377543672066E-2</v>
      </c>
      <c r="R244" s="6">
        <f t="shared" si="29"/>
        <v>-5.1492389779095047E-3</v>
      </c>
      <c r="S244" s="6">
        <f t="shared" si="30"/>
        <v>-1.5269766192061787E-2</v>
      </c>
      <c r="T244" s="6">
        <f t="shared" si="31"/>
        <v>2.7808698682375697E-4</v>
      </c>
      <c r="U244" s="6"/>
      <c r="AC244" s="38"/>
    </row>
    <row r="245" spans="1:29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26"/>
        <v>1.9060477665200359E-4</v>
      </c>
      <c r="J245" s="6">
        <f t="shared" si="32"/>
        <v>-4.936563304839342E-2</v>
      </c>
      <c r="K245" s="6">
        <f t="shared" si="32"/>
        <v>-1.7900558015048668E-2</v>
      </c>
      <c r="L245" s="6">
        <f t="shared" si="32"/>
        <v>-2.1521514209848672E-2</v>
      </c>
      <c r="M245" s="6">
        <f t="shared" si="32"/>
        <v>-2.4034646374763047E-2</v>
      </c>
      <c r="N245" s="6">
        <f t="shared" si="32"/>
        <v>-3.0427045496882188E-2</v>
      </c>
      <c r="O245" s="6">
        <f t="shared" si="27"/>
        <v>2.0034194696742034E-3</v>
      </c>
      <c r="P245" s="6"/>
      <c r="Q245" s="6">
        <f t="shared" si="28"/>
        <v>-2.7644895728941014E-2</v>
      </c>
      <c r="R245" s="6">
        <f t="shared" si="29"/>
        <v>-2.4034646374763047E-2</v>
      </c>
      <c r="S245" s="6">
        <f t="shared" si="30"/>
        <v>-2.8321521326939332E-2</v>
      </c>
      <c r="T245" s="6">
        <f t="shared" si="31"/>
        <v>8.8373587931757955E-4</v>
      </c>
      <c r="U245" s="6"/>
      <c r="AC245" s="38"/>
    </row>
    <row r="246" spans="1:29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26"/>
        <v>1.8946023076238383E-4</v>
      </c>
      <c r="J246" s="6">
        <f t="shared" si="32"/>
        <v>-9.7960810695936606E-3</v>
      </c>
      <c r="K246" s="6">
        <f t="shared" si="32"/>
        <v>-7.3441060418495512E-4</v>
      </c>
      <c r="L246" s="6">
        <f t="shared" si="32"/>
        <v>2.7529327489063685E-2</v>
      </c>
      <c r="M246" s="6">
        <f t="shared" si="32"/>
        <v>1.4698479459715275E-2</v>
      </c>
      <c r="N246" s="6">
        <f t="shared" si="32"/>
        <v>1.0300905557719547E-2</v>
      </c>
      <c r="O246" s="6">
        <f t="shared" si="27"/>
        <v>-6.0229135921643839E-3</v>
      </c>
      <c r="P246" s="6"/>
      <c r="Q246" s="6">
        <f t="shared" si="28"/>
        <v>1.6035292564615305E-2</v>
      </c>
      <c r="R246" s="6">
        <f t="shared" si="29"/>
        <v>1.4698479459715275E-2</v>
      </c>
      <c r="S246" s="6">
        <f t="shared" si="30"/>
        <v>1.3943124221604731E-2</v>
      </c>
      <c r="T246" s="6">
        <f t="shared" si="31"/>
        <v>0</v>
      </c>
      <c r="U246" s="6"/>
      <c r="AC246" s="38"/>
    </row>
    <row r="247" spans="1:29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26"/>
        <v>1.8831535865504456E-4</v>
      </c>
      <c r="J247" s="6">
        <f t="shared" si="32"/>
        <v>1.2420806909965328E-2</v>
      </c>
      <c r="K247" s="6">
        <f t="shared" si="32"/>
        <v>6.0068453122636119E-3</v>
      </c>
      <c r="L247" s="6">
        <f t="shared" si="32"/>
        <v>2.9943605302915484E-4</v>
      </c>
      <c r="M247" s="6">
        <f t="shared" si="32"/>
        <v>3.1216986037119246E-3</v>
      </c>
      <c r="N247" s="6">
        <f t="shared" si="32"/>
        <v>-7.7647563892511828E-3</v>
      </c>
      <c r="O247" s="6">
        <f t="shared" si="27"/>
        <v>-6.0611412932984471E-3</v>
      </c>
      <c r="P247" s="6"/>
      <c r="Q247" s="6">
        <f t="shared" si="28"/>
        <v>3.5652314630298726E-3</v>
      </c>
      <c r="R247" s="6">
        <f t="shared" si="29"/>
        <v>3.1216986037119246E-3</v>
      </c>
      <c r="S247" s="6">
        <f t="shared" si="30"/>
        <v>4.0786037446709326E-3</v>
      </c>
      <c r="T247" s="6">
        <f t="shared" si="31"/>
        <v>0</v>
      </c>
      <c r="U247" s="6"/>
      <c r="AC247" s="38"/>
    </row>
    <row r="248" spans="1:29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26"/>
        <v>1.8869701894863589E-4</v>
      </c>
      <c r="J248" s="6">
        <f t="shared" si="32"/>
        <v>1.6496471649674511E-2</v>
      </c>
      <c r="K248" s="6">
        <f t="shared" si="32"/>
        <v>3.9362102876051566E-3</v>
      </c>
      <c r="L248" s="6">
        <f t="shared" si="32"/>
        <v>1.8098719175530638E-2</v>
      </c>
      <c r="M248" s="6">
        <f t="shared" si="32"/>
        <v>7.7620053354891094E-3</v>
      </c>
      <c r="N248" s="6">
        <f t="shared" si="32"/>
        <v>2.2781128575607587E-2</v>
      </c>
      <c r="O248" s="6">
        <f t="shared" si="27"/>
        <v>2.0246572613530339E-3</v>
      </c>
      <c r="P248" s="6"/>
      <c r="Q248" s="6">
        <f t="shared" si="28"/>
        <v>1.4207264833236404E-2</v>
      </c>
      <c r="R248" s="6">
        <f t="shared" si="29"/>
        <v>7.7620053354891094E-3</v>
      </c>
      <c r="S248" s="6">
        <f t="shared" si="30"/>
        <v>1.2932301136284526E-2</v>
      </c>
      <c r="T248" s="6">
        <f t="shared" si="31"/>
        <v>0</v>
      </c>
      <c r="U248" s="6"/>
      <c r="AC248" s="38"/>
    </row>
    <row r="249" spans="1:29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26"/>
        <v>1.8717016014413446E-4</v>
      </c>
      <c r="J249" s="6">
        <f t="shared" si="32"/>
        <v>1.3642429865120695E-2</v>
      </c>
      <c r="K249" s="6">
        <f t="shared" si="32"/>
        <v>-7.2779275329949461E-4</v>
      </c>
      <c r="L249" s="6">
        <f t="shared" si="32"/>
        <v>8.4907795310884548E-3</v>
      </c>
      <c r="M249" s="6">
        <f t="shared" si="32"/>
        <v>4.6284474501869788E-3</v>
      </c>
      <c r="N249" s="6">
        <f t="shared" si="32"/>
        <v>4.660780212150723E-3</v>
      </c>
      <c r="O249" s="6">
        <f t="shared" si="27"/>
        <v>-8.1245040168903531E-3</v>
      </c>
      <c r="P249" s="6"/>
      <c r="Q249" s="6">
        <f t="shared" si="28"/>
        <v>8.1211035641951188E-3</v>
      </c>
      <c r="R249" s="6">
        <f t="shared" si="29"/>
        <v>4.6284474501869788E-3</v>
      </c>
      <c r="S249" s="6">
        <f t="shared" si="30"/>
        <v>7.7168449125451059E-3</v>
      </c>
      <c r="T249" s="6">
        <f t="shared" si="31"/>
        <v>0</v>
      </c>
      <c r="U249" s="6"/>
      <c r="AC249" s="38"/>
    </row>
    <row r="250" spans="1:29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26"/>
        <v>1.8717016014413446E-4</v>
      </c>
      <c r="J250" s="6">
        <f t="shared" si="32"/>
        <v>7.1046339891622338E-3</v>
      </c>
      <c r="K250" s="6">
        <f t="shared" si="32"/>
        <v>-7.4534799929999399E-3</v>
      </c>
      <c r="L250" s="6">
        <f t="shared" si="32"/>
        <v>1.8932455242062468E-3</v>
      </c>
      <c r="M250" s="6">
        <f t="shared" si="32"/>
        <v>-3.0832501301206196E-3</v>
      </c>
      <c r="N250" s="6">
        <f t="shared" si="32"/>
        <v>4.3036707511422095E-5</v>
      </c>
      <c r="O250" s="6">
        <f t="shared" si="27"/>
        <v>0</v>
      </c>
      <c r="P250" s="6"/>
      <c r="Q250" s="6">
        <f t="shared" si="28"/>
        <v>1.147953756630073E-3</v>
      </c>
      <c r="R250" s="6">
        <f t="shared" si="29"/>
        <v>-3.0832501301206196E-3</v>
      </c>
      <c r="S250" s="6">
        <f t="shared" si="30"/>
        <v>6.1215161187909276E-4</v>
      </c>
      <c r="T250" s="6">
        <f t="shared" si="31"/>
        <v>6.3047181636332174E-7</v>
      </c>
      <c r="U250" s="6"/>
      <c r="AC250" s="38"/>
    </row>
    <row r="251" spans="1:29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26"/>
        <v>1.8678835474061906E-4</v>
      </c>
      <c r="J251" s="6">
        <f t="shared" si="32"/>
        <v>1.7046925905757491E-2</v>
      </c>
      <c r="K251" s="6">
        <f t="shared" si="32"/>
        <v>4.2450624586943594E-3</v>
      </c>
      <c r="L251" s="6">
        <f t="shared" si="32"/>
        <v>8.4515026665683331E-3</v>
      </c>
      <c r="M251" s="6">
        <f t="shared" si="32"/>
        <v>4.6213175955976916E-3</v>
      </c>
      <c r="N251" s="6">
        <f t="shared" si="32"/>
        <v>1.6707226654933075E-2</v>
      </c>
      <c r="O251" s="6">
        <f t="shared" si="27"/>
        <v>-2.0419673358617789E-3</v>
      </c>
      <c r="P251" s="6"/>
      <c r="Q251" s="6">
        <f t="shared" si="28"/>
        <v>8.7424012801683264E-3</v>
      </c>
      <c r="R251" s="6">
        <f t="shared" si="29"/>
        <v>4.6213175955976916E-3</v>
      </c>
      <c r="S251" s="6">
        <f t="shared" si="30"/>
        <v>8.3991776761004923E-3</v>
      </c>
      <c r="T251" s="6">
        <f t="shared" si="31"/>
        <v>0</v>
      </c>
      <c r="U251" s="6"/>
      <c r="AC251" s="38"/>
    </row>
    <row r="252" spans="1:29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26"/>
        <v>1.8487878316397754E-4</v>
      </c>
      <c r="J252" s="6">
        <f t="shared" si="32"/>
        <v>2.0316357014954671E-3</v>
      </c>
      <c r="K252" s="6">
        <f t="shared" si="32"/>
        <v>1.751357702825767E-3</v>
      </c>
      <c r="L252" s="6">
        <f t="shared" si="32"/>
        <v>1.1000172910606301E-2</v>
      </c>
      <c r="M252" s="6">
        <f t="shared" si="32"/>
        <v>5.6193763609869146E-3</v>
      </c>
      <c r="N252" s="6">
        <f t="shared" si="32"/>
        <v>3.816476067632372E-3</v>
      </c>
      <c r="O252" s="6">
        <f t="shared" si="27"/>
        <v>-1.0275798879295729E-2</v>
      </c>
      <c r="P252" s="6"/>
      <c r="Q252" s="6">
        <f t="shared" si="28"/>
        <v>7.4405027205732728E-3</v>
      </c>
      <c r="R252" s="6">
        <f t="shared" si="29"/>
        <v>5.6193763609869146E-3</v>
      </c>
      <c r="S252" s="6">
        <f t="shared" si="30"/>
        <v>6.660624873436812E-3</v>
      </c>
      <c r="T252" s="6">
        <f t="shared" si="31"/>
        <v>0</v>
      </c>
      <c r="U252" s="6"/>
      <c r="AC252" s="38"/>
    </row>
    <row r="253" spans="1:29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26"/>
        <v>1.8067452749437329E-4</v>
      </c>
      <c r="J253" s="6">
        <f t="shared" si="32"/>
        <v>1.3439858184173351E-2</v>
      </c>
      <c r="K253" s="6">
        <f t="shared" si="32"/>
        <v>1.0201851494693278E-3</v>
      </c>
      <c r="L253" s="6">
        <f t="shared" si="32"/>
        <v>6.2116322685317679E-3</v>
      </c>
      <c r="M253" s="6">
        <f t="shared" si="32"/>
        <v>-2.7894319608277238E-2</v>
      </c>
      <c r="N253" s="6">
        <f t="shared" si="32"/>
        <v>1.6004444012785939E-2</v>
      </c>
      <c r="O253" s="6">
        <f t="shared" si="27"/>
        <v>-2.3003162241745385E-2</v>
      </c>
      <c r="P253" s="6"/>
      <c r="Q253" s="6">
        <f t="shared" si="28"/>
        <v>-4.2682140039660829E-3</v>
      </c>
      <c r="R253" s="6">
        <f t="shared" si="29"/>
        <v>-2.7894319608277238E-2</v>
      </c>
      <c r="S253" s="6">
        <f t="shared" si="30"/>
        <v>-8.2225864661647149E-3</v>
      </c>
      <c r="T253" s="6">
        <f t="shared" si="31"/>
        <v>9.2713031310441332E-5</v>
      </c>
      <c r="U253" s="6"/>
      <c r="AC253" s="38"/>
    </row>
    <row r="254" spans="1:29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26"/>
        <v>1.69569441239803E-4</v>
      </c>
      <c r="J254" s="6">
        <f t="shared" si="32"/>
        <v>5.9010397660438866E-3</v>
      </c>
      <c r="K254" s="6">
        <f t="shared" si="32"/>
        <v>7.6906421617582866E-3</v>
      </c>
      <c r="L254" s="6">
        <f t="shared" si="32"/>
        <v>1.1374431605290789E-2</v>
      </c>
      <c r="M254" s="6">
        <f t="shared" si="32"/>
        <v>1.3010852287492039E-2</v>
      </c>
      <c r="N254" s="6">
        <f t="shared" si="32"/>
        <v>0</v>
      </c>
      <c r="O254" s="6">
        <f t="shared" si="27"/>
        <v>-6.3434696187352618E-2</v>
      </c>
      <c r="P254" s="6"/>
      <c r="Q254" s="6">
        <f t="shared" si="28"/>
        <v>1.0910511863187641E-2</v>
      </c>
      <c r="R254" s="6">
        <f t="shared" si="29"/>
        <v>1.3010852287492039E-2</v>
      </c>
      <c r="S254" s="6">
        <f t="shared" si="30"/>
        <v>1.1021779162937239E-2</v>
      </c>
      <c r="T254" s="6">
        <f t="shared" si="31"/>
        <v>0</v>
      </c>
      <c r="U254" s="6"/>
      <c r="AC254" s="38"/>
    </row>
    <row r="255" spans="1:29" x14ac:dyDescent="0.2">
      <c r="AC255" s="38"/>
    </row>
    <row r="256" spans="1:29" x14ac:dyDescent="0.2">
      <c r="AC256" s="38"/>
    </row>
    <row r="257" spans="29:29" x14ac:dyDescent="0.2">
      <c r="AC257" s="38"/>
    </row>
    <row r="258" spans="29:29" x14ac:dyDescent="0.2">
      <c r="AC258" s="38"/>
    </row>
    <row r="259" spans="29:29" x14ac:dyDescent="0.2">
      <c r="AC259" s="38"/>
    </row>
    <row r="260" spans="29:29" x14ac:dyDescent="0.2">
      <c r="AC260" s="38"/>
    </row>
    <row r="261" spans="29:29" x14ac:dyDescent="0.2">
      <c r="AC261" s="38"/>
    </row>
    <row r="262" spans="29:29" x14ac:dyDescent="0.2">
      <c r="AC262" s="38"/>
    </row>
    <row r="263" spans="29:29" x14ac:dyDescent="0.2">
      <c r="AC263" s="38"/>
    </row>
    <row r="264" spans="29:29" x14ac:dyDescent="0.2">
      <c r="AC264" s="38"/>
    </row>
  </sheetData>
  <mergeCells count="7">
    <mergeCell ref="S1:T1"/>
    <mergeCell ref="V38:W38"/>
    <mergeCell ref="V31:W31"/>
    <mergeCell ref="V26:W26"/>
    <mergeCell ref="J1:O1"/>
    <mergeCell ref="Q1:Q2"/>
    <mergeCell ref="R1:R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A2B5-9AFE-7F40-B685-0892964F6DFC}">
  <dimension ref="A1:AF264"/>
  <sheetViews>
    <sheetView showGridLines="0" topLeftCell="K1" zoomScale="130" zoomScaleNormal="130" workbookViewId="0">
      <selection activeCell="Q1" sqref="Q1:V1048576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6" max="16" width="2.5" style="3" customWidth="1"/>
    <col min="22" max="22" width="14.33203125" bestFit="1" customWidth="1"/>
    <col min="23" max="23" width="2.5" style="3" customWidth="1"/>
    <col min="24" max="24" width="23.33203125" style="3" customWidth="1"/>
    <col min="25" max="25" width="12.83203125" style="3" bestFit="1" customWidth="1"/>
    <col min="26" max="26" width="11.33203125" style="3"/>
    <col min="27" max="27" width="11.6640625" style="3" bestFit="1" customWidth="1"/>
    <col min="28" max="28" width="13.6640625" style="3" bestFit="1" customWidth="1"/>
    <col min="29" max="29" width="11.33203125" style="3"/>
    <col min="30" max="30" width="13.6640625" style="3" bestFit="1" customWidth="1"/>
    <col min="31" max="31" width="16.5" bestFit="1" customWidth="1"/>
    <col min="32" max="32" width="8" style="20" bestFit="1" customWidth="1"/>
    <col min="33" max="16384" width="11.33203125" style="3"/>
  </cols>
  <sheetData>
    <row r="1" spans="1:32" ht="17" customHeight="1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90" t="s">
        <v>72</v>
      </c>
      <c r="K1" s="90"/>
      <c r="L1" s="90"/>
      <c r="M1" s="90"/>
      <c r="N1" s="90"/>
      <c r="O1" s="90"/>
      <c r="P1" s="6"/>
      <c r="Q1" s="91" t="s">
        <v>60</v>
      </c>
      <c r="R1" s="91" t="s">
        <v>70</v>
      </c>
      <c r="S1" s="93" t="s">
        <v>71</v>
      </c>
      <c r="T1" s="93"/>
      <c r="U1" s="93" t="s">
        <v>74</v>
      </c>
      <c r="V1" s="93"/>
      <c r="W1" s="56"/>
      <c r="X1" s="3" t="s">
        <v>35</v>
      </c>
      <c r="Z1" s="3" t="s">
        <v>43</v>
      </c>
      <c r="AE1" s="38"/>
      <c r="AF1" s="38"/>
    </row>
    <row r="2" spans="1:32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57" t="s">
        <v>1</v>
      </c>
      <c r="K2" s="57" t="s">
        <v>2</v>
      </c>
      <c r="L2" s="57" t="s">
        <v>3</v>
      </c>
      <c r="M2" s="57" t="s">
        <v>4</v>
      </c>
      <c r="N2" s="58" t="s">
        <v>15</v>
      </c>
      <c r="O2" s="48" t="s">
        <v>34</v>
      </c>
      <c r="P2" s="6"/>
      <c r="Q2" s="92"/>
      <c r="R2" s="92"/>
      <c r="S2" s="64" t="s">
        <v>5</v>
      </c>
      <c r="T2" s="64" t="s">
        <v>52</v>
      </c>
      <c r="U2" s="64" t="s">
        <v>5</v>
      </c>
      <c r="V2" s="64" t="s">
        <v>75</v>
      </c>
      <c r="W2" s="56"/>
      <c r="X2" s="3" t="s">
        <v>36</v>
      </c>
      <c r="Z2" s="3" t="s">
        <v>51</v>
      </c>
      <c r="AE2" s="38"/>
    </row>
    <row r="3" spans="1:32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>+LN(H3/H2)</f>
        <v>-1.8162558630952245E-3</v>
      </c>
      <c r="P3" s="6"/>
      <c r="Q3" s="6">
        <f>+SUMPRODUCT($Y$16:$AB$16,J3:M3)</f>
        <v>-9.8350837056143635E-3</v>
      </c>
      <c r="R3" s="6">
        <f>+SUMPRODUCT($Y$17:$AB$17,J3:M3)</f>
        <v>-6.4035322871765967E-3</v>
      </c>
      <c r="S3" s="6">
        <f>+SUMPRODUCT($Y$18:$AB$18,J3:M3)</f>
        <v>-9.3907464529960002E-3</v>
      </c>
      <c r="T3" s="6">
        <f>+MIN(S3-AVERAGE($S$3:$S$254),0)^2</f>
        <v>1.1657349485168579E-4</v>
      </c>
      <c r="U3" s="6">
        <f>+SUMPRODUCT($Y$19:$AB$19,J3:M3)</f>
        <v>-1.1203319916581501E-2</v>
      </c>
      <c r="V3" s="6">
        <f>+(U3-O3)-($Y$52*(N3-O3))</f>
        <v>-4.1205135554795947E-3</v>
      </c>
      <c r="W3" s="6"/>
      <c r="AE3" s="38"/>
    </row>
    <row r="4" spans="1:32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ref="H4:H67" si="0">+(1+G4)^(1/250)-1</f>
        <v>2.0849354880780879E-4</v>
      </c>
      <c r="J4" s="6">
        <f t="shared" ref="J4:N35" si="1">LN(B4/B3)</f>
        <v>2.8121205565770678E-3</v>
      </c>
      <c r="K4" s="6">
        <f t="shared" si="1"/>
        <v>5.5939921723177225E-3</v>
      </c>
      <c r="L4" s="6">
        <f t="shared" si="1"/>
        <v>2.2848847647558819E-3</v>
      </c>
      <c r="M4" s="6">
        <f t="shared" si="1"/>
        <v>2.8511962146941443E-3</v>
      </c>
      <c r="N4" s="6">
        <f t="shared" si="1"/>
        <v>-1.4874022775515319E-4</v>
      </c>
      <c r="O4" s="6">
        <f t="shared" ref="O4:O67" si="2">+LN(H4/H3)</f>
        <v>-1.8197328262530177E-3</v>
      </c>
      <c r="P4" s="6"/>
      <c r="Q4" s="6">
        <f>+SUMPRODUCT($Y$16:$AB$16,J4:M4)</f>
        <v>2.5809540020426194E-3</v>
      </c>
      <c r="R4" s="6">
        <f t="shared" ref="R4:R67" si="3">+SUMPRODUCT($Y$17:$AB$17,J4:M4)</f>
        <v>2.8511962146941443E-3</v>
      </c>
      <c r="S4" s="6">
        <f t="shared" ref="S4:S67" si="4">+SUMPRODUCT($Y$18:$AB$18,J4:M4)</f>
        <v>2.6617128520546257E-3</v>
      </c>
      <c r="T4" s="6">
        <f t="shared" ref="T4:T67" si="5">+MIN(S4-AVERAGE($S$3:$S$254),0)^2</f>
        <v>0</v>
      </c>
      <c r="U4" s="6">
        <f t="shared" ref="U4:U67" si="6">+SUMPRODUCT($Y$19:$AB$19,J4:M4)</f>
        <v>2.5622845321369575E-3</v>
      </c>
      <c r="V4" s="6">
        <f t="shared" ref="V4:V67" si="7">+(U4-O4)-($Y$52*(N4-O4))</f>
        <v>2.8971009220147659E-3</v>
      </c>
      <c r="W4" s="6"/>
      <c r="X4" s="7" t="s">
        <v>6</v>
      </c>
      <c r="Y4" s="50" t="s">
        <v>1</v>
      </c>
      <c r="Z4" s="50" t="s">
        <v>2</v>
      </c>
      <c r="AA4" s="50" t="s">
        <v>3</v>
      </c>
      <c r="AB4" s="50" t="s">
        <v>4</v>
      </c>
      <c r="AC4" s="50" t="s">
        <v>15</v>
      </c>
      <c r="AE4" s="38"/>
    </row>
    <row r="5" spans="1:32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0"/>
        <v>2.0925300885044074E-4</v>
      </c>
      <c r="J5" s="6">
        <f t="shared" si="1"/>
        <v>7.7070400094383651E-3</v>
      </c>
      <c r="K5" s="6">
        <f t="shared" si="1"/>
        <v>-8.568180711971048E-3</v>
      </c>
      <c r="L5" s="6">
        <f t="shared" si="1"/>
        <v>3.4177360836862881E-3</v>
      </c>
      <c r="M5" s="6">
        <f t="shared" si="1"/>
        <v>3.5523360724823969E-3</v>
      </c>
      <c r="N5" s="6">
        <f t="shared" si="1"/>
        <v>6.8556214812669266E-3</v>
      </c>
      <c r="O5" s="6">
        <f t="shared" si="2"/>
        <v>3.635988689348241E-3</v>
      </c>
      <c r="P5" s="6"/>
      <c r="Q5" s="6">
        <f>+SUMPRODUCT($Y$16:$AB$16,J5:M5)</f>
        <v>4.273332930691558E-3</v>
      </c>
      <c r="R5" s="6">
        <f t="shared" si="3"/>
        <v>3.5523360724823969E-3</v>
      </c>
      <c r="S5" s="6">
        <f t="shared" si="4"/>
        <v>4.3258538423877058E-3</v>
      </c>
      <c r="T5" s="6">
        <f t="shared" si="5"/>
        <v>0</v>
      </c>
      <c r="U5" s="6">
        <f t="shared" si="6"/>
        <v>4.9133864189671887E-3</v>
      </c>
      <c r="V5" s="6">
        <f t="shared" si="7"/>
        <v>-1.5837074937736801E-3</v>
      </c>
      <c r="W5" s="6"/>
      <c r="X5" s="55" t="s">
        <v>21</v>
      </c>
      <c r="Y5" s="8">
        <f>AVERAGE(J3:J254)</f>
        <v>1.0005667965467292E-3</v>
      </c>
      <c r="Z5" s="8">
        <f>AVERAGE(K3:K254)</f>
        <v>6.5844828632144513E-4</v>
      </c>
      <c r="AA5" s="8">
        <f>AVERAGE(L3:L254)</f>
        <v>1.5030786305094985E-3</v>
      </c>
      <c r="AB5" s="8">
        <f>AVERAGE(M3:M254)</f>
        <v>1.5168662454873357E-3</v>
      </c>
      <c r="AC5" s="8">
        <f>AVERAGE(N3:N254)</f>
        <v>9.1264845799794573E-4</v>
      </c>
    </row>
    <row r="6" spans="1:32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0"/>
        <v>2.1001232533235381E-4</v>
      </c>
      <c r="J6" s="6">
        <f t="shared" si="1"/>
        <v>7.8738144273404372E-3</v>
      </c>
      <c r="K6" s="6">
        <f t="shared" si="1"/>
        <v>-6.141625470814838E-3</v>
      </c>
      <c r="L6" s="6">
        <f t="shared" si="1"/>
        <v>-2.0956622133486116E-2</v>
      </c>
      <c r="M6" s="6">
        <f t="shared" si="1"/>
        <v>1.1283650762276005E-2</v>
      </c>
      <c r="N6" s="6">
        <f t="shared" si="1"/>
        <v>-2.7812820922299762E-3</v>
      </c>
      <c r="O6" s="6">
        <f t="shared" si="2"/>
        <v>3.6221325742041705E-3</v>
      </c>
      <c r="P6" s="6"/>
      <c r="Q6" s="6">
        <f t="shared" ref="Q6:Q67" si="8">+SUMPRODUCT($Y$16:$AB$16,J6:M6)</f>
        <v>-4.3248246938818449E-3</v>
      </c>
      <c r="R6" s="6">
        <f t="shared" si="3"/>
        <v>1.1283650762276005E-2</v>
      </c>
      <c r="S6" s="6">
        <f t="shared" si="4"/>
        <v>-7.4151477011548048E-5</v>
      </c>
      <c r="T6" s="6">
        <f t="shared" si="5"/>
        <v>2.1913640091909425E-6</v>
      </c>
      <c r="U6" s="6">
        <f t="shared" si="6"/>
        <v>-5.5711322840223069E-3</v>
      </c>
      <c r="V6" s="6">
        <f t="shared" si="7"/>
        <v>-3.502913090264236E-3</v>
      </c>
      <c r="W6" s="6"/>
      <c r="X6" s="55" t="s">
        <v>39</v>
      </c>
      <c r="Y6" s="8">
        <f>STDEV(J3:J254)</f>
        <v>1.4317007168692672E-2</v>
      </c>
      <c r="Z6" s="8">
        <f>STDEV(K3:K254)</f>
        <v>8.4145554622722402E-3</v>
      </c>
      <c r="AA6" s="8">
        <f>STDEV(L3:L254)</f>
        <v>1.1640822805611175E-2</v>
      </c>
      <c r="AB6" s="8">
        <f>STDEV(M3:M254)</f>
        <v>1.3397541042164431E-2</v>
      </c>
      <c r="AC6" s="8">
        <f>STDEV(N3:N254)</f>
        <v>7.8758266281572179E-3</v>
      </c>
      <c r="AE6" s="38"/>
    </row>
    <row r="7" spans="1:32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0"/>
        <v>2.0849354880780879E-4</v>
      </c>
      <c r="J7" s="6">
        <f t="shared" si="1"/>
        <v>2.1711540417555734E-2</v>
      </c>
      <c r="K7" s="6">
        <f t="shared" si="1"/>
        <v>3.4904214645253497E-3</v>
      </c>
      <c r="L7" s="6">
        <f t="shared" si="1"/>
        <v>6.740365503857486E-3</v>
      </c>
      <c r="M7" s="6">
        <f t="shared" si="1"/>
        <v>-7.0373473579131004E-3</v>
      </c>
      <c r="N7" s="6">
        <f t="shared" si="1"/>
        <v>1.0984339030271489E-2</v>
      </c>
      <c r="O7" s="6">
        <f t="shared" si="2"/>
        <v>-7.2581212635524379E-3</v>
      </c>
      <c r="P7" s="6"/>
      <c r="Q7" s="6">
        <f t="shared" si="8"/>
        <v>4.7794071065958878E-3</v>
      </c>
      <c r="R7" s="6">
        <f t="shared" si="3"/>
        <v>-7.0373473579131004E-3</v>
      </c>
      <c r="S7" s="6">
        <f t="shared" si="4"/>
        <v>3.3466173131593852E-3</v>
      </c>
      <c r="T7" s="6">
        <f t="shared" si="5"/>
        <v>0</v>
      </c>
      <c r="U7" s="6">
        <f t="shared" si="6"/>
        <v>9.5361442204330033E-3</v>
      </c>
      <c r="V7" s="6">
        <f t="shared" si="7"/>
        <v>5.8322472020680069E-4</v>
      </c>
      <c r="W7" s="6"/>
      <c r="AE7" s="38"/>
    </row>
    <row r="8" spans="1:32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0"/>
        <v>2.1001232533235381E-4</v>
      </c>
      <c r="J8" s="6">
        <f t="shared" si="1"/>
        <v>-2.6519108676923038E-2</v>
      </c>
      <c r="K8" s="6">
        <f t="shared" si="1"/>
        <v>-2.6582344086022547E-3</v>
      </c>
      <c r="L8" s="6">
        <f t="shared" si="1"/>
        <v>-9.5044774711671462E-4</v>
      </c>
      <c r="M8" s="6">
        <f t="shared" si="1"/>
        <v>-7.0654176800563693E-4</v>
      </c>
      <c r="N8" s="6">
        <f t="shared" si="1"/>
        <v>-1.3549420207499292E-2</v>
      </c>
      <c r="O8" s="6">
        <f t="shared" si="2"/>
        <v>7.2581212635524119E-3</v>
      </c>
      <c r="P8" s="6"/>
      <c r="Q8" s="6">
        <f t="shared" si="8"/>
        <v>-5.6873822385500863E-3</v>
      </c>
      <c r="R8" s="6">
        <f t="shared" si="3"/>
        <v>-7.0654176800563693E-4</v>
      </c>
      <c r="S8" s="6">
        <f t="shared" si="4"/>
        <v>-6.0157006774258564E-3</v>
      </c>
      <c r="T8" s="6">
        <f t="shared" si="5"/>
        <v>5.5084226190642242E-5</v>
      </c>
      <c r="U8" s="6">
        <f t="shared" si="6"/>
        <v>-9.688014359098638E-3</v>
      </c>
      <c r="V8" s="6">
        <f t="shared" si="7"/>
        <v>1.5443474343646915E-3</v>
      </c>
      <c r="W8" s="6"/>
      <c r="X8" s="7" t="s">
        <v>7</v>
      </c>
      <c r="Y8" s="50" t="s">
        <v>1</v>
      </c>
      <c r="Z8" s="50" t="s">
        <v>2</v>
      </c>
      <c r="AA8" s="50" t="s">
        <v>3</v>
      </c>
      <c r="AB8" s="50" t="s">
        <v>4</v>
      </c>
      <c r="AC8" s="50" t="s">
        <v>15</v>
      </c>
      <c r="AE8" s="38"/>
    </row>
    <row r="9" spans="1:32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0"/>
        <v>2.1190998881470691E-4</v>
      </c>
      <c r="J9" s="6">
        <f t="shared" si="1"/>
        <v>1.2564052740774025E-2</v>
      </c>
      <c r="K9" s="6">
        <f t="shared" si="1"/>
        <v>4.6472362667604817E-3</v>
      </c>
      <c r="L9" s="6">
        <f t="shared" si="1"/>
        <v>-1.2233201758554283E-3</v>
      </c>
      <c r="M9" s="6">
        <f t="shared" si="1"/>
        <v>-2.830866787178094E-3</v>
      </c>
      <c r="N9" s="6">
        <f t="shared" si="1"/>
        <v>6.6955233154781116E-3</v>
      </c>
      <c r="O9" s="6">
        <f t="shared" si="2"/>
        <v>8.9953823952637728E-3</v>
      </c>
      <c r="P9" s="6"/>
      <c r="Q9" s="6">
        <f t="shared" si="8"/>
        <v>8.1844057171207496E-4</v>
      </c>
      <c r="R9" s="6">
        <f t="shared" si="3"/>
        <v>-2.830866787178094E-3</v>
      </c>
      <c r="S9" s="6">
        <f t="shared" si="4"/>
        <v>8.298663468141313E-4</v>
      </c>
      <c r="T9" s="6">
        <f t="shared" si="5"/>
        <v>3.3213070238990843E-7</v>
      </c>
      <c r="U9" s="6">
        <f t="shared" si="6"/>
        <v>3.2370502904854005E-3</v>
      </c>
      <c r="V9" s="6">
        <f t="shared" si="7"/>
        <v>-3.7145776608685141E-3</v>
      </c>
      <c r="W9" s="6"/>
      <c r="X9" s="55" t="s">
        <v>21</v>
      </c>
      <c r="Y9" s="8">
        <f>((1+Y5)^250)-1</f>
        <v>0.28404678408841222</v>
      </c>
      <c r="Z9" s="8">
        <f>((1+Z5)^250)-1</f>
        <v>0.17887182553898695</v>
      </c>
      <c r="AA9" s="8">
        <f>((1+AA5)^250)-1</f>
        <v>0.45570094625533186</v>
      </c>
      <c r="AB9" s="8">
        <f>((1+AB5)^250)-1</f>
        <v>0.46071967373147737</v>
      </c>
      <c r="AC9" s="8">
        <f>((1+AC5)^250)-1</f>
        <v>0.25615825825352467</v>
      </c>
      <c r="AE9" s="54"/>
    </row>
    <row r="10" spans="1:32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0"/>
        <v>2.1190998881470691E-4</v>
      </c>
      <c r="J10" s="6">
        <f t="shared" si="1"/>
        <v>8.8072127836774459E-3</v>
      </c>
      <c r="K10" s="6">
        <f t="shared" si="1"/>
        <v>2.811071519673288E-3</v>
      </c>
      <c r="L10" s="6">
        <f t="shared" si="1"/>
        <v>3.4622835952314748E-3</v>
      </c>
      <c r="M10" s="6">
        <f t="shared" si="1"/>
        <v>7.0621975605345338E-3</v>
      </c>
      <c r="N10" s="6">
        <f t="shared" si="1"/>
        <v>6.2450565111568821E-3</v>
      </c>
      <c r="O10" s="6">
        <f t="shared" si="2"/>
        <v>0</v>
      </c>
      <c r="P10" s="6"/>
      <c r="Q10" s="6">
        <f t="shared" si="8"/>
        <v>5.7202376124573387E-3</v>
      </c>
      <c r="R10" s="6">
        <f t="shared" si="3"/>
        <v>7.0621975605345338E-3</v>
      </c>
      <c r="S10" s="6">
        <f t="shared" si="4"/>
        <v>6.2199032924928708E-3</v>
      </c>
      <c r="T10" s="6">
        <f t="shared" si="5"/>
        <v>0</v>
      </c>
      <c r="U10" s="6">
        <f t="shared" si="6"/>
        <v>5.9100944307894678E-3</v>
      </c>
      <c r="V10" s="6">
        <f t="shared" si="7"/>
        <v>3.6046658214120529E-4</v>
      </c>
      <c r="W10" s="6"/>
      <c r="X10" s="55" t="s">
        <v>39</v>
      </c>
      <c r="Y10" s="8">
        <f>Y6*SQRT(250)</f>
        <v>0.22637175965013689</v>
      </c>
      <c r="Z10" s="8">
        <f>Z6*SQRT(250)</f>
        <v>0.13304580379295658</v>
      </c>
      <c r="AA10" s="8">
        <f>AA6*SQRT(250)</f>
        <v>0.18405756952081409</v>
      </c>
      <c r="AB10" s="8">
        <f>AB6*SQRT(250)</f>
        <v>0.21183372369412781</v>
      </c>
      <c r="AC10" s="8">
        <f>AC6*SQRT(250)</f>
        <v>0.12452775300790411</v>
      </c>
      <c r="AE10" s="38"/>
    </row>
    <row r="11" spans="1:32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0"/>
        <v>2.0925300885044074E-4</v>
      </c>
      <c r="J11" s="6">
        <f t="shared" si="1"/>
        <v>2.1575762719950167E-2</v>
      </c>
      <c r="K11" s="6">
        <f t="shared" si="1"/>
        <v>-9.9121473034572902E-4</v>
      </c>
      <c r="L11" s="6">
        <f t="shared" si="1"/>
        <v>8.0993210507113115E-3</v>
      </c>
      <c r="M11" s="6">
        <f t="shared" si="1"/>
        <v>3.8652123786868747E-2</v>
      </c>
      <c r="N11" s="6">
        <f t="shared" si="1"/>
        <v>1.4404107984150809E-2</v>
      </c>
      <c r="O11" s="6">
        <f t="shared" si="2"/>
        <v>-1.2617514969468103E-2</v>
      </c>
      <c r="P11" s="6"/>
      <c r="Q11" s="6">
        <f t="shared" si="8"/>
        <v>2.1249772828098801E-2</v>
      </c>
      <c r="R11" s="6">
        <f t="shared" si="3"/>
        <v>3.8652123786868747E-2</v>
      </c>
      <c r="S11" s="6">
        <f t="shared" si="4"/>
        <v>2.5042236563552426E-2</v>
      </c>
      <c r="T11" s="6">
        <f t="shared" si="5"/>
        <v>0</v>
      </c>
      <c r="U11" s="6">
        <f t="shared" si="6"/>
        <v>1.7925808008002315E-2</v>
      </c>
      <c r="V11" s="6">
        <f t="shared" si="7"/>
        <v>6.5307378245304804E-3</v>
      </c>
      <c r="W11" s="6"/>
      <c r="AE11" s="38"/>
    </row>
    <row r="12" spans="1:32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0"/>
        <v>2.1001232533235381E-4</v>
      </c>
      <c r="J12" s="6">
        <f t="shared" si="1"/>
        <v>1.899078242547661E-2</v>
      </c>
      <c r="K12" s="6">
        <f t="shared" si="1"/>
        <v>-4.9597604879833524E-4</v>
      </c>
      <c r="L12" s="6">
        <f t="shared" si="1"/>
        <v>-4.0415125667635282E-3</v>
      </c>
      <c r="M12" s="6">
        <f t="shared" si="1"/>
        <v>-2.7118017809940271E-3</v>
      </c>
      <c r="N12" s="6">
        <f t="shared" si="1"/>
        <v>3.8258021699069606E-3</v>
      </c>
      <c r="O12" s="6">
        <f t="shared" si="2"/>
        <v>3.6221325742041705E-3</v>
      </c>
      <c r="P12" s="6"/>
      <c r="Q12" s="6">
        <f t="shared" si="8"/>
        <v>7.6354593416647749E-4</v>
      </c>
      <c r="R12" s="6">
        <f t="shared" si="3"/>
        <v>-2.7118017809940271E-3</v>
      </c>
      <c r="S12" s="6">
        <f t="shared" si="4"/>
        <v>1.2468609920760624E-3</v>
      </c>
      <c r="T12" s="6">
        <f t="shared" si="5"/>
        <v>2.5380687367788085E-8</v>
      </c>
      <c r="U12" s="6">
        <f t="shared" si="6"/>
        <v>4.092975164792647E-3</v>
      </c>
      <c r="V12" s="6">
        <f t="shared" si="7"/>
        <v>2.8985296171708732E-4</v>
      </c>
      <c r="W12" s="6"/>
      <c r="X12" s="3" t="s">
        <v>38</v>
      </c>
      <c r="Y12" s="9">
        <f>+AVERAGE($G$2:$G$254)</f>
        <v>5.1073122529644292E-2</v>
      </c>
      <c r="Z12" s="9"/>
      <c r="AA12" s="9"/>
      <c r="AB12" s="9"/>
      <c r="AC12" s="9"/>
      <c r="AE12" s="38"/>
    </row>
    <row r="13" spans="1:32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0"/>
        <v>2.0925300885044074E-4</v>
      </c>
      <c r="J13" s="6">
        <f t="shared" si="1"/>
        <v>1.1717517176788328E-3</v>
      </c>
      <c r="K13" s="6">
        <f t="shared" si="1"/>
        <v>-1.0640119950070189E-2</v>
      </c>
      <c r="L13" s="6">
        <f t="shared" si="1"/>
        <v>-1.2428386047596607E-2</v>
      </c>
      <c r="M13" s="6">
        <f t="shared" si="1"/>
        <v>4.0649860690958528E-3</v>
      </c>
      <c r="N13" s="6">
        <f t="shared" si="1"/>
        <v>-1.5982216816604765E-3</v>
      </c>
      <c r="O13" s="6">
        <f t="shared" si="2"/>
        <v>-3.6221325742042767E-3</v>
      </c>
      <c r="P13" s="6"/>
      <c r="Q13" s="6">
        <f t="shared" si="8"/>
        <v>-4.1365897546672597E-3</v>
      </c>
      <c r="R13" s="6">
        <f t="shared" si="3"/>
        <v>4.0649860690958528E-3</v>
      </c>
      <c r="S13" s="6">
        <f t="shared" si="4"/>
        <v>-1.9889772954951764E-3</v>
      </c>
      <c r="T13" s="6">
        <f t="shared" si="5"/>
        <v>1.1527053446110708E-5</v>
      </c>
      <c r="U13" s="6">
        <f t="shared" si="6"/>
        <v>-4.9519861177823423E-3</v>
      </c>
      <c r="V13" s="6">
        <f t="shared" si="7"/>
        <v>-3.1283884699438392E-3</v>
      </c>
      <c r="W13" s="6"/>
      <c r="X13" s="3" t="s">
        <v>40</v>
      </c>
      <c r="Y13" s="22">
        <f>+(Y9-$Y$12)/Y10</f>
        <v>1.0291639819332341</v>
      </c>
      <c r="Z13" s="22">
        <f t="shared" ref="Z13:AC13" si="9">+(Z9-$Y$12)/Z10</f>
        <v>0.96056169654339962</v>
      </c>
      <c r="AA13" s="22">
        <f t="shared" si="9"/>
        <v>2.1983764361287537</v>
      </c>
      <c r="AB13" s="22">
        <f t="shared" si="9"/>
        <v>1.9338117843471057</v>
      </c>
      <c r="AC13" s="22">
        <f t="shared" si="9"/>
        <v>1.6469030458685228</v>
      </c>
      <c r="AE13" s="38"/>
    </row>
    <row r="14" spans="1:32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0"/>
        <v>2.0887329677776734E-4</v>
      </c>
      <c r="J14" s="6">
        <f t="shared" si="1"/>
        <v>8.4277857631225358E-3</v>
      </c>
      <c r="K14" s="6">
        <f t="shared" si="1"/>
        <v>-8.7293459886518768E-3</v>
      </c>
      <c r="L14" s="6">
        <f t="shared" si="1"/>
        <v>3.3430239573994255E-3</v>
      </c>
      <c r="M14" s="6">
        <f t="shared" si="1"/>
        <v>-9.5109702559868468E-3</v>
      </c>
      <c r="N14" s="6">
        <f t="shared" si="1"/>
        <v>1.7975431036151848E-3</v>
      </c>
      <c r="O14" s="6">
        <f t="shared" si="2"/>
        <v>-1.8162558630952245E-3</v>
      </c>
      <c r="P14" s="6"/>
      <c r="Q14" s="6">
        <f t="shared" si="8"/>
        <v>-1.6152064572379004E-4</v>
      </c>
      <c r="R14" s="6">
        <f t="shared" si="3"/>
        <v>-9.5109702559868468E-3</v>
      </c>
      <c r="S14" s="6">
        <f t="shared" si="4"/>
        <v>-1.6384437558458857E-3</v>
      </c>
      <c r="T14" s="6">
        <f t="shared" si="5"/>
        <v>9.2696982896824879E-6</v>
      </c>
      <c r="U14" s="6">
        <f t="shared" si="6"/>
        <v>2.9014677982487497E-3</v>
      </c>
      <c r="V14" s="6">
        <f t="shared" si="7"/>
        <v>1.506345293631299E-3</v>
      </c>
      <c r="W14" s="6"/>
      <c r="AE14" s="38"/>
    </row>
    <row r="15" spans="1:32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0"/>
        <v>2.0887329677776734E-4</v>
      </c>
      <c r="J15" s="6">
        <f t="shared" si="1"/>
        <v>1.2659131987154749E-3</v>
      </c>
      <c r="K15" s="6">
        <f t="shared" si="1"/>
        <v>-8.2960032000802229E-3</v>
      </c>
      <c r="L15" s="6">
        <f t="shared" si="1"/>
        <v>-1.1095405596341172E-2</v>
      </c>
      <c r="M15" s="6">
        <f t="shared" si="1"/>
        <v>-1.1671910678181512E-2</v>
      </c>
      <c r="N15" s="6">
        <f t="shared" si="1"/>
        <v>-4.203010869610265E-3</v>
      </c>
      <c r="O15" s="6">
        <f t="shared" si="2"/>
        <v>0</v>
      </c>
      <c r="P15" s="6"/>
      <c r="Q15" s="6">
        <f t="shared" si="8"/>
        <v>-8.9645462520043483E-3</v>
      </c>
      <c r="R15" s="6">
        <f t="shared" si="3"/>
        <v>-1.1671910678181512E-2</v>
      </c>
      <c r="S15" s="6">
        <f t="shared" si="4"/>
        <v>-8.8564430587738975E-3</v>
      </c>
      <c r="T15" s="6">
        <f t="shared" si="5"/>
        <v>1.0532131230107084E-4</v>
      </c>
      <c r="U15" s="6">
        <f t="shared" si="6"/>
        <v>-6.9492177982723152E-3</v>
      </c>
      <c r="V15" s="6">
        <f t="shared" si="7"/>
        <v>-3.2142401998326896E-3</v>
      </c>
      <c r="W15" s="6"/>
      <c r="X15" s="10" t="s">
        <v>8</v>
      </c>
      <c r="Y15" s="50" t="s">
        <v>1</v>
      </c>
      <c r="Z15" s="50" t="s">
        <v>2</v>
      </c>
      <c r="AA15" s="50" t="s">
        <v>3</v>
      </c>
      <c r="AB15" s="50" t="s">
        <v>4</v>
      </c>
      <c r="AE15" s="38"/>
    </row>
    <row r="16" spans="1:32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0"/>
        <v>2.1115103099722532E-4</v>
      </c>
      <c r="J16" s="6">
        <f t="shared" si="1"/>
        <v>-3.6449647610985361E-2</v>
      </c>
      <c r="K16" s="6">
        <f t="shared" si="1"/>
        <v>-6.802636816685408E-4</v>
      </c>
      <c r="L16" s="6">
        <f t="shared" si="1"/>
        <v>-1.65396632304482E-3</v>
      </c>
      <c r="M16" s="6">
        <f t="shared" si="1"/>
        <v>8.9378657253624903E-3</v>
      </c>
      <c r="N16" s="6">
        <f t="shared" si="1"/>
        <v>-6.9959927442528732E-3</v>
      </c>
      <c r="O16" s="6">
        <f t="shared" si="2"/>
        <v>1.0845831522955813E-2</v>
      </c>
      <c r="P16" s="6"/>
      <c r="Q16" s="6">
        <f t="shared" si="8"/>
        <v>-4.5376899249915444E-3</v>
      </c>
      <c r="R16" s="6">
        <f t="shared" si="3"/>
        <v>8.9378657253624903E-3</v>
      </c>
      <c r="S16" s="6">
        <f t="shared" si="4"/>
        <v>-3.7615067524092317E-3</v>
      </c>
      <c r="T16" s="6">
        <f t="shared" si="5"/>
        <v>2.6704926073909263E-5</v>
      </c>
      <c r="U16" s="6">
        <f t="shared" si="6"/>
        <v>-1.1798702381171587E-2</v>
      </c>
      <c r="V16" s="6">
        <f t="shared" si="7"/>
        <v>-6.7895156753736419E-3</v>
      </c>
      <c r="W16" s="6"/>
      <c r="X16" s="11" t="s">
        <v>45</v>
      </c>
      <c r="Y16" s="51">
        <v>0.1885757003250691</v>
      </c>
      <c r="Z16" s="51">
        <v>0</v>
      </c>
      <c r="AA16" s="51">
        <v>0.46418537552982903</v>
      </c>
      <c r="AB16" s="51">
        <v>0.34723892414510182</v>
      </c>
      <c r="AC16" s="49">
        <f>SUM(Y16:AB16)</f>
        <v>0.99999999999999989</v>
      </c>
      <c r="AE16" s="38"/>
    </row>
    <row r="17" spans="1:31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0"/>
        <v>2.1190998881470691E-4</v>
      </c>
      <c r="J17" s="6">
        <f t="shared" si="1"/>
        <v>-2.9685687263803755E-2</v>
      </c>
      <c r="K17" s="6">
        <f t="shared" si="1"/>
        <v>-7.685086250950387E-3</v>
      </c>
      <c r="L17" s="6">
        <f t="shared" si="1"/>
        <v>-8.5911179492632866E-3</v>
      </c>
      <c r="M17" s="6">
        <f t="shared" si="1"/>
        <v>0</v>
      </c>
      <c r="N17" s="6">
        <f t="shared" si="1"/>
        <v>-3.2164682050081963E-3</v>
      </c>
      <c r="O17" s="6">
        <f t="shared" si="2"/>
        <v>3.5879393096075289E-3</v>
      </c>
      <c r="P17" s="6"/>
      <c r="Q17" s="6">
        <f t="shared" si="8"/>
        <v>-9.5858705769026106E-3</v>
      </c>
      <c r="R17" s="6">
        <f t="shared" si="3"/>
        <v>0</v>
      </c>
      <c r="S17" s="6">
        <f t="shared" si="4"/>
        <v>-8.857389227597854E-3</v>
      </c>
      <c r="T17" s="6">
        <f t="shared" si="5"/>
        <v>1.0534073353324674E-4</v>
      </c>
      <c r="U17" s="6">
        <f t="shared" si="6"/>
        <v>-1.4372008616563483E-2</v>
      </c>
      <c r="V17" s="6">
        <f t="shared" si="7"/>
        <v>-1.1913256536076989E-2</v>
      </c>
      <c r="W17" s="6"/>
      <c r="X17" s="11" t="s">
        <v>62</v>
      </c>
      <c r="Y17" s="51">
        <v>0</v>
      </c>
      <c r="Z17" s="51">
        <v>0</v>
      </c>
      <c r="AA17" s="51">
        <v>0</v>
      </c>
      <c r="AB17" s="51">
        <v>1</v>
      </c>
      <c r="AC17" s="49">
        <f>SUM(Y17:AB17)</f>
        <v>1</v>
      </c>
      <c r="AE17" s="38"/>
    </row>
    <row r="18" spans="1:31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0"/>
        <v>2.1039192975491616E-4</v>
      </c>
      <c r="J18" s="6">
        <f t="shared" si="1"/>
        <v>3.4855737123982338E-3</v>
      </c>
      <c r="K18" s="6">
        <f t="shared" si="1"/>
        <v>0</v>
      </c>
      <c r="L18" s="6">
        <f t="shared" si="1"/>
        <v>7.6518323838956222E-4</v>
      </c>
      <c r="M18" s="6">
        <f t="shared" si="1"/>
        <v>-1.4477988707991517E-2</v>
      </c>
      <c r="N18" s="6">
        <f t="shared" si="1"/>
        <v>1.4255841976643817E-3</v>
      </c>
      <c r="O18" s="6">
        <f t="shared" si="2"/>
        <v>-7.1894799994851729E-3</v>
      </c>
      <c r="P18" s="6"/>
      <c r="Q18" s="6">
        <f t="shared" si="8"/>
        <v>-4.0148398500367694E-3</v>
      </c>
      <c r="R18" s="6">
        <f t="shared" si="3"/>
        <v>-1.4477988707991517E-2</v>
      </c>
      <c r="S18" s="6">
        <f t="shared" si="4"/>
        <v>-5.7862922901187443E-3</v>
      </c>
      <c r="T18" s="6">
        <f t="shared" si="5"/>
        <v>5.1731573721583808E-5</v>
      </c>
      <c r="U18" s="6">
        <f t="shared" si="6"/>
        <v>-8.94764055903754E-4</v>
      </c>
      <c r="V18" s="6">
        <f t="shared" si="7"/>
        <v>-1.3610034403792855E-3</v>
      </c>
      <c r="W18" s="6"/>
      <c r="X18" s="11" t="s">
        <v>65</v>
      </c>
      <c r="Y18" s="51">
        <v>0.20242040583303048</v>
      </c>
      <c r="Z18" s="51">
        <v>1.9043341223979112E-3</v>
      </c>
      <c r="AA18" s="51">
        <v>0.32984826992021699</v>
      </c>
      <c r="AB18" s="51">
        <v>0.46582699012435475</v>
      </c>
      <c r="AC18" s="49">
        <f>SUM(Y18:AB18)</f>
        <v>1.0000000000000002</v>
      </c>
      <c r="AD18" s="14"/>
      <c r="AE18" s="38"/>
    </row>
    <row r="19" spans="1:31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0"/>
        <v>2.1115103099722532E-4</v>
      </c>
      <c r="J19" s="6">
        <f t="shared" si="1"/>
        <v>6.6007039975988667E-3</v>
      </c>
      <c r="K19" s="6">
        <f t="shared" si="1"/>
        <v>9.3849136242531647E-3</v>
      </c>
      <c r="L19" s="6">
        <f t="shared" si="1"/>
        <v>4.3706422775577902E-3</v>
      </c>
      <c r="M19" s="6">
        <f t="shared" si="1"/>
        <v>8.2988273439278445E-3</v>
      </c>
      <c r="N19" s="6">
        <f t="shared" si="1"/>
        <v>6.7010127829867268E-3</v>
      </c>
      <c r="O19" s="6">
        <f t="shared" si="2"/>
        <v>3.6015406898777364E-3</v>
      </c>
      <c r="P19" s="6"/>
      <c r="Q19" s="6">
        <f t="shared" si="8"/>
        <v>6.1551964844718567E-3</v>
      </c>
      <c r="R19" s="6">
        <f t="shared" si="3"/>
        <v>8.2988273439278445E-3</v>
      </c>
      <c r="S19" s="6">
        <f t="shared" si="4"/>
        <v>6.6614557501042861E-3</v>
      </c>
      <c r="T19" s="6">
        <f t="shared" si="5"/>
        <v>0</v>
      </c>
      <c r="U19" s="6">
        <f t="shared" si="6"/>
        <v>5.8048178287225657E-3</v>
      </c>
      <c r="V19" s="6">
        <f t="shared" si="7"/>
        <v>-5.5104808035792621E-4</v>
      </c>
      <c r="W19" s="6"/>
      <c r="X19" s="11" t="s">
        <v>73</v>
      </c>
      <c r="Y19" s="51">
        <v>0.34335287430270461</v>
      </c>
      <c r="Z19" s="51">
        <v>0</v>
      </c>
      <c r="AA19" s="51">
        <v>0.48647249328519165</v>
      </c>
      <c r="AB19" s="51">
        <v>0.17017463241210365</v>
      </c>
      <c r="AC19" s="49">
        <f>SUM(Y19:AB19)</f>
        <v>0.99999999999999989</v>
      </c>
      <c r="AE19" s="38"/>
    </row>
    <row r="20" spans="1:31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0"/>
        <v>2.1039192975491616E-4</v>
      </c>
      <c r="J20" s="6">
        <f t="shared" si="1"/>
        <v>-1.7207766577965616E-2</v>
      </c>
      <c r="K20" s="6">
        <f t="shared" si="1"/>
        <v>-9.8994165765982269E-3</v>
      </c>
      <c r="L20" s="6">
        <f t="shared" si="1"/>
        <v>1.2930049259339658E-2</v>
      </c>
      <c r="M20" s="6">
        <f t="shared" si="1"/>
        <v>-4.1408787728015178E-3</v>
      </c>
      <c r="N20" s="6">
        <f t="shared" si="1"/>
        <v>-5.7121558411206055E-3</v>
      </c>
      <c r="O20" s="6">
        <f t="shared" si="2"/>
        <v>-3.6015406898777602E-3</v>
      </c>
      <c r="P20" s="6"/>
      <c r="Q20" s="6">
        <f t="shared" si="8"/>
        <v>1.3190988475126951E-3</v>
      </c>
      <c r="R20" s="6">
        <f t="shared" si="3"/>
        <v>-4.1408787728015178E-3</v>
      </c>
      <c r="S20" s="6">
        <f t="shared" si="4"/>
        <v>-1.1660336079980995E-3</v>
      </c>
      <c r="T20" s="6">
        <f t="shared" si="5"/>
        <v>6.616252832326757E-6</v>
      </c>
      <c r="U20" s="6">
        <f t="shared" si="6"/>
        <v>-3.2289533640778121E-4</v>
      </c>
      <c r="V20" s="6">
        <f t="shared" si="7"/>
        <v>5.1542294414907344E-3</v>
      </c>
      <c r="W20" s="6"/>
      <c r="AE20" s="38"/>
    </row>
    <row r="21" spans="1:31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0"/>
        <v>2.1115103099722532E-4</v>
      </c>
      <c r="J21" s="6">
        <f t="shared" si="1"/>
        <v>-1.1925628607410014E-2</v>
      </c>
      <c r="K21" s="6">
        <f t="shared" si="1"/>
        <v>2.3984991177818894E-3</v>
      </c>
      <c r="L21" s="6">
        <f t="shared" si="1"/>
        <v>4.7822692080471709E-4</v>
      </c>
      <c r="M21" s="6">
        <f t="shared" si="1"/>
        <v>1.1004270746853787E-2</v>
      </c>
      <c r="N21" s="6">
        <f t="shared" si="1"/>
        <v>1.2408533465711885E-3</v>
      </c>
      <c r="O21" s="6">
        <f t="shared" si="2"/>
        <v>3.6015406898777364E-3</v>
      </c>
      <c r="P21" s="6"/>
      <c r="Q21" s="6">
        <f t="shared" si="8"/>
        <v>1.7942133115021147E-3</v>
      </c>
      <c r="R21" s="6">
        <f t="shared" si="3"/>
        <v>1.1004270746853787E-2</v>
      </c>
      <c r="S21" s="6">
        <f t="shared" si="4"/>
        <v>2.8744056041636939E-3</v>
      </c>
      <c r="T21" s="6">
        <f t="shared" si="5"/>
        <v>0</v>
      </c>
      <c r="U21" s="6">
        <f t="shared" si="6"/>
        <v>-1.9894068883917096E-3</v>
      </c>
      <c r="V21" s="6">
        <f t="shared" si="7"/>
        <v>-3.4931385033698846E-3</v>
      </c>
      <c r="W21" s="6"/>
      <c r="X21" s="7" t="s">
        <v>10</v>
      </c>
      <c r="Y21" s="15" t="str">
        <f>Y8</f>
        <v>Apple</v>
      </c>
      <c r="Z21" s="15" t="str">
        <f>Z8</f>
        <v>Coca-Cola</v>
      </c>
      <c r="AA21" s="15" t="str">
        <f>AA8</f>
        <v>JPMorgan</v>
      </c>
      <c r="AB21" s="15" t="str">
        <f>AB8</f>
        <v>AT&amp;T</v>
      </c>
      <c r="AE21" s="38"/>
    </row>
    <row r="22" spans="1:31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0"/>
        <v>2.1115103099722532E-4</v>
      </c>
      <c r="J22" s="6">
        <f t="shared" si="1"/>
        <v>8.744192273870471E-3</v>
      </c>
      <c r="K22" s="6">
        <f t="shared" si="1"/>
        <v>8.2446925036342867E-3</v>
      </c>
      <c r="L22" s="6">
        <f t="shared" si="1"/>
        <v>1.9211775011975799E-2</v>
      </c>
      <c r="M22" s="6">
        <f t="shared" si="1"/>
        <v>2.9651713697862989E-2</v>
      </c>
      <c r="N22" s="6">
        <f t="shared" si="1"/>
        <v>8.394550741111827E-3</v>
      </c>
      <c r="O22" s="6">
        <f t="shared" si="2"/>
        <v>0</v>
      </c>
      <c r="P22" s="6"/>
      <c r="Q22" s="6">
        <f t="shared" si="8"/>
        <v>2.0862996343855279E-2</v>
      </c>
      <c r="R22" s="6">
        <f t="shared" si="3"/>
        <v>2.9651713697862989E-2</v>
      </c>
      <c r="S22" s="6">
        <f t="shared" si="4"/>
        <v>2.193524289172355E-2</v>
      </c>
      <c r="T22" s="6">
        <f t="shared" si="5"/>
        <v>0</v>
      </c>
      <c r="U22" s="6">
        <f t="shared" si="6"/>
        <v>1.7394313120121713E-2</v>
      </c>
      <c r="V22" s="6">
        <f t="shared" si="7"/>
        <v>9.9345515492636378E-3</v>
      </c>
      <c r="W22" s="6"/>
      <c r="X22" s="16" t="str">
        <f>Y21</f>
        <v>Apple</v>
      </c>
      <c r="Y22" s="17">
        <f>VARP([1]Portafolio!$F$3:$F$254)</f>
        <v>2.0416329468796719E-4</v>
      </c>
      <c r="Z22" s="17">
        <f>Y23</f>
        <v>1.114837388610517E-5</v>
      </c>
      <c r="AA22" s="17">
        <f>Y24</f>
        <v>7.9387037462506825E-6</v>
      </c>
      <c r="AB22" s="17">
        <f>Y25</f>
        <v>-2.2006229590220094E-6</v>
      </c>
      <c r="AE22" s="38"/>
    </row>
    <row r="23" spans="1:31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0"/>
        <v>2.1115103099722532E-4</v>
      </c>
      <c r="J23" s="6">
        <f t="shared" si="1"/>
        <v>-4.1626265495737849E-3</v>
      </c>
      <c r="K23" s="6">
        <f t="shared" si="1"/>
        <v>-8.9348416448038568E-3</v>
      </c>
      <c r="L23" s="6">
        <f t="shared" si="1"/>
        <v>-2.9524998063902006E-3</v>
      </c>
      <c r="M23" s="6">
        <f t="shared" si="1"/>
        <v>1.1224978589028094E-2</v>
      </c>
      <c r="N23" s="6">
        <f t="shared" si="1"/>
        <v>-1.2234084667107637E-2</v>
      </c>
      <c r="O23" s="6">
        <f t="shared" si="2"/>
        <v>0</v>
      </c>
      <c r="P23" s="6"/>
      <c r="Q23" s="6">
        <f t="shared" si="8"/>
        <v>1.7422720406473332E-3</v>
      </c>
      <c r="R23" s="6">
        <f t="shared" si="3"/>
        <v>1.1224978589028094E-2</v>
      </c>
      <c r="S23" s="6">
        <f t="shared" si="4"/>
        <v>3.3954055579412052E-3</v>
      </c>
      <c r="T23" s="6">
        <f t="shared" si="5"/>
        <v>0</v>
      </c>
      <c r="U23" s="6">
        <f t="shared" si="6"/>
        <v>-9.5535312746200573E-4</v>
      </c>
      <c r="V23" s="6">
        <f t="shared" si="7"/>
        <v>9.9163846782738697E-3</v>
      </c>
      <c r="W23" s="6"/>
      <c r="X23" s="16" t="str">
        <f>Z21</f>
        <v>Coca-Cola</v>
      </c>
      <c r="Y23" s="18">
        <f>_xlfn.COVARIANCE.P($J$3:$J$254,K3:K254)</f>
        <v>1.114837388610517E-5</v>
      </c>
      <c r="Z23" s="17">
        <f>VARP([1]Portafolio!$G$3:$G$254)</f>
        <v>7.052377242278394E-5</v>
      </c>
      <c r="AA23" s="17">
        <f>Z24</f>
        <v>1.8170255662120506E-5</v>
      </c>
      <c r="AB23" s="17">
        <f>Z25</f>
        <v>3.9163359961956121E-5</v>
      </c>
      <c r="AE23" s="38"/>
    </row>
    <row r="24" spans="1:31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0"/>
        <v>2.1153052783073889E-4</v>
      </c>
      <c r="J24" s="6">
        <f t="shared" si="1"/>
        <v>1.6771885661529522E-2</v>
      </c>
      <c r="K24" s="6">
        <f t="shared" si="1"/>
        <v>6.1940863988089057E-3</v>
      </c>
      <c r="L24" s="6">
        <f t="shared" si="1"/>
        <v>2.081060219182381E-3</v>
      </c>
      <c r="M24" s="6">
        <f t="shared" si="1"/>
        <v>-9.2349221157867391E-3</v>
      </c>
      <c r="N24" s="6">
        <f t="shared" si="1"/>
        <v>7.2103643683838804E-4</v>
      </c>
      <c r="O24" s="6">
        <f t="shared" si="2"/>
        <v>1.795663555972895E-3</v>
      </c>
      <c r="P24" s="6"/>
      <c r="Q24" s="6">
        <f t="shared" si="8"/>
        <v>9.2204338368668181E-4</v>
      </c>
      <c r="R24" s="6">
        <f t="shared" si="3"/>
        <v>-9.2349221157867391E-3</v>
      </c>
      <c r="S24" s="6">
        <f t="shared" si="4"/>
        <v>-2.0867434805435514E-4</v>
      </c>
      <c r="T24" s="6">
        <f t="shared" si="5"/>
        <v>2.6077357231618076E-6</v>
      </c>
      <c r="U24" s="6">
        <f t="shared" si="6"/>
        <v>5.1995042264563456E-3</v>
      </c>
      <c r="V24" s="6">
        <f t="shared" si="7"/>
        <v>4.358800898082214E-3</v>
      </c>
      <c r="W24" s="6"/>
      <c r="X24" s="16" t="str">
        <f>AA21</f>
        <v>JPMorgan</v>
      </c>
      <c r="Y24" s="18">
        <f>_xlfn.COVARIANCE.P($J$3:$J$254,L3:L254)</f>
        <v>7.9387037462506825E-6</v>
      </c>
      <c r="Z24" s="18">
        <f>_xlfn.COVARIANCE.P($K$3:$K$254,L3:L254)</f>
        <v>1.8170255662120506E-5</v>
      </c>
      <c r="AA24" s="17">
        <f>VARP([1]Portafolio!$H$3:$H$254)</f>
        <v>1.3497102243452755E-4</v>
      </c>
      <c r="AB24" s="17">
        <f>AA25</f>
        <v>2.8925886198153199E-5</v>
      </c>
      <c r="AE24" s="38"/>
    </row>
    <row r="25" spans="1:31" x14ac:dyDescent="0.2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0"/>
        <v>2.1190998881470691E-4</v>
      </c>
      <c r="J25" s="6">
        <f t="shared" si="1"/>
        <v>6.1618290451625419E-3</v>
      </c>
      <c r="K25" s="6">
        <f t="shared" si="1"/>
        <v>-2.0603885067279927E-3</v>
      </c>
      <c r="L25" s="6">
        <f t="shared" si="1"/>
        <v>-1.2750275394505101E-3</v>
      </c>
      <c r="M25" s="6">
        <f t="shared" si="1"/>
        <v>7.9209277625121085E-3</v>
      </c>
      <c r="N25" s="6">
        <f t="shared" si="1"/>
        <v>-2.1534195529618974E-3</v>
      </c>
      <c r="O25" s="6">
        <f t="shared" si="2"/>
        <v>1.7922757536344568E-3</v>
      </c>
      <c r="P25" s="6"/>
      <c r="Q25" s="6">
        <f t="shared" si="8"/>
        <v>3.3205765247499423E-3</v>
      </c>
      <c r="R25" s="6">
        <f t="shared" si="3"/>
        <v>7.9209277625121085E-3</v>
      </c>
      <c r="S25" s="6">
        <f t="shared" si="4"/>
        <v>4.5125725784718714E-3</v>
      </c>
      <c r="T25" s="6">
        <f t="shared" si="5"/>
        <v>0</v>
      </c>
      <c r="U25" s="6">
        <f t="shared" si="6"/>
        <v>2.8433568578430006E-3</v>
      </c>
      <c r="V25" s="6">
        <f t="shared" si="7"/>
        <v>4.5573969424476885E-3</v>
      </c>
      <c r="W25" s="6"/>
      <c r="X25" s="16" t="str">
        <f>AB21</f>
        <v>AT&amp;T</v>
      </c>
      <c r="Y25" s="18">
        <f>_xlfn.COVARIANCE.P($J$3:$J$254,M5:M256)</f>
        <v>-2.2006229590220094E-6</v>
      </c>
      <c r="Z25" s="18">
        <f>_xlfn.COVARIANCE.P($K$3:$K$254,M3:M254)</f>
        <v>3.9163359961956121E-5</v>
      </c>
      <c r="AA25" s="18">
        <f>_xlfn.COVARIANCE.P($L$3:$L$254,M3:M254)</f>
        <v>2.8925886198153199E-5</v>
      </c>
      <c r="AB25" s="17">
        <f>VARP([1]Portafolio!$I$3:$I$254)</f>
        <v>1.7878182777816105E-4</v>
      </c>
      <c r="AC25" s="53"/>
      <c r="AE25" s="38"/>
    </row>
    <row r="26" spans="1:31" x14ac:dyDescent="0.2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0"/>
        <v>2.1228941395579071E-4</v>
      </c>
      <c r="J26" s="6">
        <f t="shared" si="1"/>
        <v>-2.0194689945887755E-2</v>
      </c>
      <c r="K26" s="6">
        <f t="shared" si="1"/>
        <v>4.4589357728930948E-3</v>
      </c>
      <c r="L26" s="6">
        <f t="shared" si="1"/>
        <v>-4.2389693184284203E-3</v>
      </c>
      <c r="M26" s="6">
        <f t="shared" si="1"/>
        <v>2.2107528152630732E-2</v>
      </c>
      <c r="N26" s="6">
        <f t="shared" si="1"/>
        <v>-9.4392046231101256E-3</v>
      </c>
      <c r="O26" s="6">
        <f t="shared" si="2"/>
        <v>1.7889004076430007E-3</v>
      </c>
      <c r="P26" s="6"/>
      <c r="Q26" s="6">
        <f t="shared" si="8"/>
        <v>1.9006989268995113E-3</v>
      </c>
      <c r="R26" s="6">
        <f t="shared" si="3"/>
        <v>2.2107528152630732E-2</v>
      </c>
      <c r="S26" s="6">
        <f t="shared" si="4"/>
        <v>4.820740571523997E-3</v>
      </c>
      <c r="T26" s="6">
        <f t="shared" si="5"/>
        <v>0</v>
      </c>
      <c r="U26" s="6">
        <f t="shared" si="6"/>
        <v>-5.2339063349536264E-3</v>
      </c>
      <c r="V26" s="6">
        <f t="shared" si="7"/>
        <v>2.9549739636138437E-3</v>
      </c>
      <c r="W26" s="6"/>
      <c r="Y26" s="13"/>
      <c r="Z26" s="53"/>
      <c r="AA26" s="53"/>
      <c r="AB26" s="53"/>
      <c r="AE26" s="38"/>
    </row>
    <row r="27" spans="1:31" ht="17" thickBot="1" x14ac:dyDescent="0.25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0"/>
        <v>2.1304815673750532E-4</v>
      </c>
      <c r="J27" s="6">
        <f t="shared" si="1"/>
        <v>-8.9290841663582452E-3</v>
      </c>
      <c r="K27" s="6">
        <f t="shared" si="1"/>
        <v>-1.5520182226064388E-2</v>
      </c>
      <c r="L27" s="6">
        <f t="shared" si="1"/>
        <v>-7.8527809774467452E-3</v>
      </c>
      <c r="M27" s="6">
        <f t="shared" si="1"/>
        <v>-1.5554405482686634E-2</v>
      </c>
      <c r="N27" s="6">
        <f t="shared" si="1"/>
        <v>-1.653687395146802E-2</v>
      </c>
      <c r="O27" s="6">
        <f t="shared" si="2"/>
        <v>3.567724268008604E-3</v>
      </c>
      <c r="P27" s="6"/>
      <c r="Q27" s="6">
        <f t="shared" si="8"/>
        <v>-1.0730049412426886E-2</v>
      </c>
      <c r="R27" s="6">
        <f t="shared" si="3"/>
        <v>-1.5554405482686634E-2</v>
      </c>
      <c r="S27" s="6">
        <f t="shared" si="4"/>
        <v>-1.1672872561917326E-2</v>
      </c>
      <c r="T27" s="6">
        <f t="shared" si="5"/>
        <v>1.7106146330957288E-4</v>
      </c>
      <c r="U27" s="6">
        <f t="shared" si="6"/>
        <v>-9.5329538901359236E-3</v>
      </c>
      <c r="V27" s="6">
        <f t="shared" si="7"/>
        <v>4.7651390631031788E-3</v>
      </c>
      <c r="W27" s="6"/>
      <c r="X27" s="88" t="s">
        <v>61</v>
      </c>
      <c r="Y27" s="88"/>
      <c r="AE27" s="38"/>
    </row>
    <row r="28" spans="1:31" ht="17" thickTop="1" x14ac:dyDescent="0.2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0"/>
        <v>2.1266880326109572E-4</v>
      </c>
      <c r="J28" s="6">
        <f t="shared" si="1"/>
        <v>4.932157084030179E-3</v>
      </c>
      <c r="K28" s="6">
        <f t="shared" si="1"/>
        <v>1.0421744338548341E-3</v>
      </c>
      <c r="L28" s="6">
        <f t="shared" si="1"/>
        <v>-9.6290710303040105E-3</v>
      </c>
      <c r="M28" s="6">
        <f t="shared" si="1"/>
        <v>-1.2488017087223817E-2</v>
      </c>
      <c r="N28" s="6">
        <f t="shared" si="1"/>
        <v>-2.2982509659402743E-3</v>
      </c>
      <c r="O28" s="6">
        <f t="shared" si="2"/>
        <v>-1.7821868164193909E-3</v>
      </c>
      <c r="P28" s="6"/>
      <c r="Q28" s="6">
        <f t="shared" si="8"/>
        <v>-7.8759145940440704E-3</v>
      </c>
      <c r="R28" s="6">
        <f t="shared" si="3"/>
        <v>-1.2488017087223817E-2</v>
      </c>
      <c r="S28" s="6">
        <f t="shared" si="4"/>
        <v>-7.9930339457301158E-3</v>
      </c>
      <c r="T28" s="6">
        <f t="shared" si="5"/>
        <v>8.8345113126555333E-5</v>
      </c>
      <c r="U28" s="6">
        <f t="shared" si="6"/>
        <v>-5.1159515981923746E-3</v>
      </c>
      <c r="V28" s="6">
        <f t="shared" si="7"/>
        <v>-2.8751678145952546E-3</v>
      </c>
      <c r="W28" s="6"/>
      <c r="X28" s="3" t="s">
        <v>21</v>
      </c>
      <c r="Y28" s="60">
        <f>+((1+AVERAGE(Q3:Q254))^252)-1</f>
        <v>0.42739487589953407</v>
      </c>
      <c r="Z28" s="3">
        <f>+Y28/Y29</f>
        <v>3.2571585235124521</v>
      </c>
      <c r="AA28" s="63"/>
      <c r="AE28" s="38"/>
    </row>
    <row r="29" spans="1:31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0"/>
        <v>2.1266880326109572E-4</v>
      </c>
      <c r="J29" s="6">
        <f t="shared" si="1"/>
        <v>7.3532671978666295E-3</v>
      </c>
      <c r="K29" s="6">
        <f t="shared" si="1"/>
        <v>-1.0471250468192831E-2</v>
      </c>
      <c r="L29" s="6">
        <f t="shared" si="1"/>
        <v>4.9286703199951359E-3</v>
      </c>
      <c r="M29" s="6">
        <f t="shared" si="1"/>
        <v>-3.9760898184737319E-3</v>
      </c>
      <c r="N29" s="6">
        <f t="shared" si="1"/>
        <v>4.0150212758186272E-3</v>
      </c>
      <c r="O29" s="6">
        <f t="shared" si="2"/>
        <v>0</v>
      </c>
      <c r="P29" s="6"/>
      <c r="Q29" s="6">
        <f t="shared" si="8"/>
        <v>2.293811043993611E-3</v>
      </c>
      <c r="R29" s="6">
        <f t="shared" si="3"/>
        <v>-3.9760898184737319E-3</v>
      </c>
      <c r="S29" s="6">
        <f t="shared" si="4"/>
        <v>1.2420539962739265E-3</v>
      </c>
      <c r="T29" s="6">
        <f t="shared" si="5"/>
        <v>2.693543009244342E-8</v>
      </c>
      <c r="U29" s="6">
        <f t="shared" si="6"/>
        <v>4.2457983437557828E-3</v>
      </c>
      <c r="V29" s="6">
        <f t="shared" si="7"/>
        <v>6.7787644498810192E-4</v>
      </c>
      <c r="W29" s="6"/>
      <c r="X29" s="3" t="s">
        <v>63</v>
      </c>
      <c r="Y29" s="63" cm="1">
        <f t="array" ref="Y29">SQRT(+MMULT(MMULT(Y16:AB16,Y22:AB25),TRANSPOSE(Y16:AB16)))*SQRT(252)</f>
        <v>0.13121709392229405</v>
      </c>
      <c r="AA29" s="63"/>
      <c r="AE29" s="38"/>
    </row>
    <row r="30" spans="1:31" x14ac:dyDescent="0.2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0"/>
        <v>2.1228941395579071E-4</v>
      </c>
      <c r="J30" s="6">
        <f t="shared" si="1"/>
        <v>-2.3676570379196956E-2</v>
      </c>
      <c r="K30" s="6">
        <f t="shared" si="1"/>
        <v>-8.2798817906721903E-3</v>
      </c>
      <c r="L30" s="6">
        <f t="shared" si="1"/>
        <v>-1.0433243353410393E-2</v>
      </c>
      <c r="M30" s="6">
        <f t="shared" si="1"/>
        <v>-2.6595130223768674E-3</v>
      </c>
      <c r="N30" s="6">
        <f t="shared" si="1"/>
        <v>-1.4844128717961364E-2</v>
      </c>
      <c r="O30" s="6">
        <f t="shared" si="2"/>
        <v>-1.7855374515891788E-3</v>
      </c>
      <c r="P30" s="6"/>
      <c r="Q30" s="6">
        <f t="shared" si="8"/>
        <v>-1.0231271265189778E-2</v>
      </c>
      <c r="R30" s="6">
        <f t="shared" si="3"/>
        <v>-2.6595130223768674E-3</v>
      </c>
      <c r="S30" s="6">
        <f t="shared" si="4"/>
        <v>-9.4886488625041156E-3</v>
      </c>
      <c r="T30" s="6">
        <f t="shared" si="5"/>
        <v>1.1869716882119738E-4</v>
      </c>
      <c r="U30" s="6">
        <f t="shared" si="6"/>
        <v>-1.3657486051490446E-2</v>
      </c>
      <c r="V30" s="6">
        <f t="shared" si="7"/>
        <v>-2.6751849962838685E-4</v>
      </c>
      <c r="W30" s="6"/>
      <c r="X30" s="3" t="s">
        <v>40</v>
      </c>
      <c r="Y30" s="61">
        <f>(+Y28-Y12)/Y29</f>
        <v>2.867932386863751</v>
      </c>
      <c r="AE30" s="38"/>
    </row>
    <row r="31" spans="1:31" x14ac:dyDescent="0.2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0"/>
        <v>2.1228941395579071E-4</v>
      </c>
      <c r="J31" s="6">
        <f t="shared" si="1"/>
        <v>-8.9372740582099996E-3</v>
      </c>
      <c r="K31" s="6">
        <f t="shared" si="1"/>
        <v>-1.0313022416799286E-2</v>
      </c>
      <c r="L31" s="6">
        <f t="shared" si="1"/>
        <v>5.8476760566381946E-3</v>
      </c>
      <c r="M31" s="6">
        <f t="shared" si="1"/>
        <v>-1.0036916003110012E-2</v>
      </c>
      <c r="N31" s="6">
        <f t="shared" si="1"/>
        <v>2.2929233000634007E-4</v>
      </c>
      <c r="O31" s="6">
        <f t="shared" si="2"/>
        <v>0</v>
      </c>
      <c r="P31" s="6"/>
      <c r="Q31" s="6">
        <f t="shared" si="8"/>
        <v>-2.4561549228513087E-3</v>
      </c>
      <c r="R31" s="6">
        <f t="shared" si="3"/>
        <v>-1.0036916003110012E-2</v>
      </c>
      <c r="S31" s="6">
        <f t="shared" si="4"/>
        <v>-4.5753466239209697E-3</v>
      </c>
      <c r="T31" s="6">
        <f t="shared" si="5"/>
        <v>3.5778590959583564E-5</v>
      </c>
      <c r="U31" s="6">
        <f t="shared" si="6"/>
        <v>-1.9319336765009074E-3</v>
      </c>
      <c r="V31" s="6">
        <f t="shared" si="7"/>
        <v>-2.1356927774492042E-3</v>
      </c>
      <c r="W31" s="6"/>
      <c r="AE31" s="38"/>
    </row>
    <row r="32" spans="1:31" ht="17" thickBot="1" x14ac:dyDescent="0.25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0"/>
        <v>2.1380675622961753E-4</v>
      </c>
      <c r="J32" s="6">
        <f t="shared" si="1"/>
        <v>1.5245124110350558E-3</v>
      </c>
      <c r="K32" s="6">
        <f t="shared" si="1"/>
        <v>-2.5052793506595878E-3</v>
      </c>
      <c r="L32" s="6">
        <f t="shared" si="1"/>
        <v>1.2339652914118577E-2</v>
      </c>
      <c r="M32" s="6">
        <f t="shared" si="1"/>
        <v>9.370913321953802E-3</v>
      </c>
      <c r="N32" s="6">
        <f t="shared" si="1"/>
        <v>5.8757768874731896E-3</v>
      </c>
      <c r="O32" s="6">
        <f t="shared" si="2"/>
        <v>7.1220949345627872E-3</v>
      </c>
      <c r="P32" s="6"/>
      <c r="Q32" s="6">
        <f t="shared" si="8"/>
        <v>9.2693182775853162E-3</v>
      </c>
      <c r="R32" s="6">
        <f t="shared" si="3"/>
        <v>9.370913321953802E-3</v>
      </c>
      <c r="S32" s="6">
        <f t="shared" si="4"/>
        <v>8.7392590446055424E-3</v>
      </c>
      <c r="T32" s="6">
        <f t="shared" si="5"/>
        <v>0</v>
      </c>
      <c r="U32" s="6">
        <f t="shared" si="6"/>
        <v>8.1210391675733511E-3</v>
      </c>
      <c r="V32" s="6">
        <f t="shared" si="7"/>
        <v>2.1064764595075925E-3</v>
      </c>
      <c r="W32" s="6"/>
      <c r="X32" s="88" t="s">
        <v>64</v>
      </c>
      <c r="Y32" s="88"/>
      <c r="AE32" s="38"/>
    </row>
    <row r="33" spans="1:31" ht="17" thickTop="1" x14ac:dyDescent="0.2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0"/>
        <v>2.1266880326109572E-4</v>
      </c>
      <c r="J33" s="6">
        <f t="shared" si="1"/>
        <v>3.0418117645047292E-3</v>
      </c>
      <c r="K33" s="6">
        <f t="shared" si="1"/>
        <v>3.0412831937692204E-3</v>
      </c>
      <c r="L33" s="6">
        <f t="shared" si="1"/>
        <v>-1.7566587699048578E-2</v>
      </c>
      <c r="M33" s="6">
        <f t="shared" si="1"/>
        <v>6.6600268115622394E-4</v>
      </c>
      <c r="N33" s="6">
        <f t="shared" si="1"/>
        <v>-2.7131686755154211E-3</v>
      </c>
      <c r="O33" s="6">
        <f t="shared" si="2"/>
        <v>-5.3365574829737777E-3</v>
      </c>
      <c r="P33" s="6"/>
      <c r="Q33" s="6">
        <f t="shared" si="8"/>
        <v>-7.3492792696295845E-3</v>
      </c>
      <c r="R33" s="6">
        <f t="shared" si="3"/>
        <v>6.6600268115622394E-4</v>
      </c>
      <c r="S33" s="6">
        <f t="shared" si="4"/>
        <v>-4.8625501453546816E-3</v>
      </c>
      <c r="T33" s="6">
        <f t="shared" si="5"/>
        <v>3.9296904491063689E-5</v>
      </c>
      <c r="U33" s="6">
        <f t="shared" si="6"/>
        <v>-7.3879101425874229E-3</v>
      </c>
      <c r="V33" s="6">
        <f t="shared" si="7"/>
        <v>-4.3826096398657047E-3</v>
      </c>
      <c r="W33" s="6"/>
      <c r="X33" s="3" t="s">
        <v>21</v>
      </c>
      <c r="Y33" s="60">
        <f>+((1+AVERAGE(R3:R254))^252)-1</f>
        <v>0.46515446741124955</v>
      </c>
      <c r="AE33" s="38"/>
    </row>
    <row r="34" spans="1:31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0"/>
        <v>2.1266880326109572E-4</v>
      </c>
      <c r="J34" s="6">
        <f t="shared" si="1"/>
        <v>1.4726612543542477E-2</v>
      </c>
      <c r="K34" s="6">
        <f t="shared" si="1"/>
        <v>-8.9718561804357604E-3</v>
      </c>
      <c r="L34" s="6">
        <f t="shared" si="1"/>
        <v>-8.6567488859623613E-3</v>
      </c>
      <c r="M34" s="6">
        <f t="shared" si="1"/>
        <v>-2.3578125464621125E-2</v>
      </c>
      <c r="N34" s="6">
        <f t="shared" si="1"/>
        <v>7.9286976922361474E-5</v>
      </c>
      <c r="O34" s="6">
        <f t="shared" si="2"/>
        <v>0</v>
      </c>
      <c r="P34" s="6"/>
      <c r="Q34" s="6">
        <f t="shared" si="8"/>
        <v>-9.4284978783766675E-3</v>
      </c>
      <c r="R34" s="6">
        <f t="shared" si="3"/>
        <v>-2.3578125464621125E-2</v>
      </c>
      <c r="S34" s="6">
        <f t="shared" si="4"/>
        <v>-1.0874859385383299E-2</v>
      </c>
      <c r="T34" s="6">
        <f t="shared" si="5"/>
        <v>1.5082378508882006E-4</v>
      </c>
      <c r="U34" s="6">
        <f t="shared" si="6"/>
        <v>-3.1672443026387019E-3</v>
      </c>
      <c r="V34" s="6">
        <f t="shared" si="7"/>
        <v>-3.2377021462750852E-3</v>
      </c>
      <c r="W34" s="6"/>
      <c r="X34" s="3" t="s">
        <v>63</v>
      </c>
      <c r="Y34" s="63" cm="1">
        <f t="array" ref="Y34">SQRT(+MMULT(MMULT(Y17:AB17,Y22:AB25),TRANSPOSE(Y17:AB17)))*SQRT(252)</f>
        <v>0.21225696831929122</v>
      </c>
      <c r="AE34" s="38"/>
    </row>
    <row r="35" spans="1:31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0"/>
        <v>2.1380675622961753E-4</v>
      </c>
      <c r="J35" s="6">
        <f t="shared" si="1"/>
        <v>-7.8002013931504684E-3</v>
      </c>
      <c r="K35" s="6">
        <f t="shared" si="1"/>
        <v>-1.0873561101627389E-2</v>
      </c>
      <c r="L35" s="6">
        <f t="shared" si="1"/>
        <v>-7.4001160534839551E-3</v>
      </c>
      <c r="M35" s="6">
        <f t="shared" si="1"/>
        <v>7.470418425544037E-3</v>
      </c>
      <c r="N35" s="6">
        <f t="shared" si="1"/>
        <v>-1.3839410161483797E-2</v>
      </c>
      <c r="O35" s="6">
        <f t="shared" si="2"/>
        <v>5.3365574829737977E-3</v>
      </c>
      <c r="P35" s="6"/>
      <c r="Q35" s="6">
        <f t="shared" si="8"/>
        <v>-2.3119340326410377E-3</v>
      </c>
      <c r="R35" s="6">
        <f t="shared" si="3"/>
        <v>7.470418425544037E-3</v>
      </c>
      <c r="S35" s="6">
        <f t="shared" si="4"/>
        <v>-5.6061977232850198E-4</v>
      </c>
      <c r="T35" s="6">
        <f t="shared" si="5"/>
        <v>3.8682783956243763E-6</v>
      </c>
      <c r="U35" s="6">
        <f t="shared" si="6"/>
        <v>-5.0068987660847244E-3</v>
      </c>
      <c r="V35" s="6">
        <f t="shared" si="7"/>
        <v>6.6971396005290652E-3</v>
      </c>
      <c r="W35" s="6"/>
      <c r="X35" s="3" t="s">
        <v>13</v>
      </c>
      <c r="Y35" s="61" cm="1">
        <f t="array" ref="Y35">+SLOPE((R3:R254-O3:O254),(N3:N254-O3:O254))</f>
        <v>0.62244961080506556</v>
      </c>
      <c r="AE35" s="38"/>
    </row>
    <row r="36" spans="1:31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0"/>
        <v>2.1380675622961753E-4</v>
      </c>
      <c r="J36" s="6">
        <f t="shared" ref="J36:N67" si="10">LN(B36/B35)</f>
        <v>7.2820978273525263E-3</v>
      </c>
      <c r="K36" s="6">
        <f t="shared" si="10"/>
        <v>2.9112300036451422E-3</v>
      </c>
      <c r="L36" s="6">
        <f t="shared" si="10"/>
        <v>4.4743812840926343E-3</v>
      </c>
      <c r="M36" s="6">
        <f t="shared" si="10"/>
        <v>-8.8346792935787202E-3</v>
      </c>
      <c r="N36" s="6">
        <f t="shared" si="10"/>
        <v>8.0770937870001339E-3</v>
      </c>
      <c r="O36" s="6">
        <f t="shared" si="2"/>
        <v>0</v>
      </c>
      <c r="P36" s="6"/>
      <c r="Q36" s="6">
        <f t="shared" si="8"/>
        <v>3.8242452117956231E-4</v>
      </c>
      <c r="R36" s="6">
        <f t="shared" si="3"/>
        <v>-8.8346792935787202E-3</v>
      </c>
      <c r="S36" s="6">
        <f t="shared" si="4"/>
        <v>-1.1599759863577634E-3</v>
      </c>
      <c r="T36" s="6">
        <f t="shared" si="5"/>
        <v>6.585126604156952E-6</v>
      </c>
      <c r="U36" s="6">
        <f t="shared" si="6"/>
        <v>3.1735543378925294E-3</v>
      </c>
      <c r="V36" s="6">
        <f t="shared" si="7"/>
        <v>-4.0041012263765125E-3</v>
      </c>
      <c r="W36" s="6"/>
      <c r="X36" s="3" t="s">
        <v>41</v>
      </c>
      <c r="Y36" s="61">
        <f>+(Y33-Y12)/Y35</f>
        <v>0.66524476470639871</v>
      </c>
      <c r="AE36" s="38"/>
    </row>
    <row r="37" spans="1:31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0"/>
        <v>2.1115103099722532E-4</v>
      </c>
      <c r="J37" s="6">
        <f t="shared" si="10"/>
        <v>7.1721957179410305E-3</v>
      </c>
      <c r="K37" s="6">
        <f t="shared" si="10"/>
        <v>-4.9535374384451825E-2</v>
      </c>
      <c r="L37" s="6">
        <f t="shared" si="10"/>
        <v>4.2075901542361687E-3</v>
      </c>
      <c r="M37" s="6">
        <f t="shared" si="10"/>
        <v>1.2211857867236135E-2</v>
      </c>
      <c r="N37" s="6">
        <f t="shared" si="10"/>
        <v>-1.3048673867472557E-3</v>
      </c>
      <c r="O37" s="6">
        <f t="shared" si="2"/>
        <v>-1.2498934651813405E-2</v>
      </c>
      <c r="P37" s="6"/>
      <c r="Q37" s="6">
        <f t="shared" si="8"/>
        <v>7.546036033830892E-3</v>
      </c>
      <c r="R37" s="6">
        <f t="shared" si="3"/>
        <v>1.2211857867236135E-2</v>
      </c>
      <c r="S37" s="6">
        <f t="shared" si="4"/>
        <v>8.4339461912626493E-3</v>
      </c>
      <c r="T37" s="6">
        <f t="shared" si="5"/>
        <v>0</v>
      </c>
      <c r="U37" s="6">
        <f t="shared" si="6"/>
        <v>6.5876193114958615E-3</v>
      </c>
      <c r="V37" s="6">
        <f t="shared" si="7"/>
        <v>9.139020690732861E-3</v>
      </c>
      <c r="W37" s="6"/>
      <c r="X37" s="3" t="s">
        <v>40</v>
      </c>
      <c r="Y37" s="61">
        <f>+(Y33-Y12)/Y34</f>
        <v>1.9508492378856379</v>
      </c>
      <c r="AE37" s="38"/>
    </row>
    <row r="38" spans="1:31" x14ac:dyDescent="0.2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0"/>
        <v>2.1001232533235381E-4</v>
      </c>
      <c r="J38" s="6">
        <f t="shared" si="10"/>
        <v>1.4642797262619538E-2</v>
      </c>
      <c r="K38" s="6">
        <f t="shared" si="10"/>
        <v>1.4405068586763934E-2</v>
      </c>
      <c r="L38" s="6">
        <f t="shared" si="10"/>
        <v>1.5278133083516892E-2</v>
      </c>
      <c r="M38" s="6">
        <f t="shared" si="10"/>
        <v>-7.0340122474886078E-3</v>
      </c>
      <c r="N38" s="6">
        <f t="shared" si="10"/>
        <v>1.1745628333713317E-2</v>
      </c>
      <c r="O38" s="6">
        <f t="shared" si="2"/>
        <v>-5.4074430856563748E-3</v>
      </c>
      <c r="P38" s="6"/>
      <c r="Q38" s="6">
        <f t="shared" si="8"/>
        <v>7.4106788460420632E-3</v>
      </c>
      <c r="R38" s="6">
        <f t="shared" si="3"/>
        <v>-7.0340122474886078E-3</v>
      </c>
      <c r="S38" s="6">
        <f t="shared" si="4"/>
        <v>4.7542660395389026E-3</v>
      </c>
      <c r="T38" s="6">
        <f t="shared" si="5"/>
        <v>0</v>
      </c>
      <c r="U38" s="6">
        <f t="shared" si="6"/>
        <v>1.126302757323502E-2</v>
      </c>
      <c r="V38" s="6">
        <f t="shared" si="7"/>
        <v>1.4275080581971217E-3</v>
      </c>
      <c r="W38" s="6"/>
      <c r="AE38" s="38"/>
    </row>
    <row r="39" spans="1:31" ht="17" thickBot="1" x14ac:dyDescent="0.25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0"/>
        <v>2.1153052783073889E-4</v>
      </c>
      <c r="J39" s="6">
        <f t="shared" si="10"/>
        <v>8.4155364965835446E-3</v>
      </c>
      <c r="K39" s="6">
        <f t="shared" si="10"/>
        <v>-4.9046695157092994E-3</v>
      </c>
      <c r="L39" s="6">
        <f t="shared" si="10"/>
        <v>-2.2767875931944174E-3</v>
      </c>
      <c r="M39" s="6">
        <f t="shared" si="10"/>
        <v>1.919178660718069E-2</v>
      </c>
      <c r="N39" s="6">
        <f t="shared" si="10"/>
        <v>6.2840320810455159E-3</v>
      </c>
      <c r="O39" s="6">
        <f t="shared" si="2"/>
        <v>7.2031066416294353E-3</v>
      </c>
      <c r="P39" s="6"/>
      <c r="Q39" s="6">
        <f t="shared" si="8"/>
        <v>7.1942495184056108E-3</v>
      </c>
      <c r="R39" s="6">
        <f t="shared" si="3"/>
        <v>1.919178660718069E-2</v>
      </c>
      <c r="S39" s="6">
        <f t="shared" si="4"/>
        <v>9.883193925164159E-3</v>
      </c>
      <c r="T39" s="6">
        <f t="shared" si="5"/>
        <v>0</v>
      </c>
      <c r="U39" s="6">
        <f t="shared" si="6"/>
        <v>5.047859338967702E-3</v>
      </c>
      <c r="V39" s="6">
        <f t="shared" si="7"/>
        <v>-1.3385178195436014E-3</v>
      </c>
      <c r="W39" s="6"/>
      <c r="X39" s="88" t="s">
        <v>69</v>
      </c>
      <c r="Y39" s="88"/>
      <c r="AE39" s="38"/>
    </row>
    <row r="40" spans="1:31" ht="17" thickTop="1" x14ac:dyDescent="0.2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0"/>
        <v>2.1153052783073889E-4</v>
      </c>
      <c r="J40" s="6">
        <f t="shared" si="10"/>
        <v>-3.3577377412587176E-3</v>
      </c>
      <c r="K40" s="6">
        <f t="shared" si="10"/>
        <v>2.1514155913894644E-2</v>
      </c>
      <c r="L40" s="6">
        <f t="shared" si="10"/>
        <v>6.0600170693245765E-3</v>
      </c>
      <c r="M40" s="6">
        <f t="shared" si="10"/>
        <v>1.5493841465178439E-2</v>
      </c>
      <c r="N40" s="6">
        <f t="shared" si="10"/>
        <v>5.1944583608864153E-3</v>
      </c>
      <c r="O40" s="6">
        <f t="shared" si="2"/>
        <v>0</v>
      </c>
      <c r="P40" s="6"/>
      <c r="Q40" s="6">
        <f t="shared" si="8"/>
        <v>7.5598483942191531E-3</v>
      </c>
      <c r="R40" s="6">
        <f t="shared" si="3"/>
        <v>1.5493841465178439E-2</v>
      </c>
      <c r="S40" s="6">
        <f t="shared" si="4"/>
        <v>8.5776311861466351E-3</v>
      </c>
      <c r="T40" s="6">
        <f t="shared" si="5"/>
        <v>0</v>
      </c>
      <c r="U40" s="6">
        <f t="shared" si="6"/>
        <v>4.431801484437445E-3</v>
      </c>
      <c r="V40" s="6">
        <f t="shared" si="7"/>
        <v>-1.8421931965274373E-4</v>
      </c>
      <c r="W40" s="6"/>
      <c r="X40" s="3" t="s">
        <v>21</v>
      </c>
      <c r="Y40" s="60">
        <f>+((1+AVERAGE(S3:S254))^252)-1</f>
        <v>0.42490761505963337</v>
      </c>
      <c r="AE40" s="38"/>
    </row>
    <row r="41" spans="1:31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0"/>
        <v>2.0925300885044074E-4</v>
      </c>
      <c r="J41" s="6">
        <f t="shared" si="10"/>
        <v>7.8729256654077838E-3</v>
      </c>
      <c r="K41" s="6">
        <f t="shared" si="10"/>
        <v>-5.9402085775266582E-3</v>
      </c>
      <c r="L41" s="6">
        <f t="shared" si="10"/>
        <v>3.4271245700145075E-3</v>
      </c>
      <c r="M41" s="6">
        <f t="shared" si="10"/>
        <v>-1.2781979492703863E-2</v>
      </c>
      <c r="N41" s="6">
        <f t="shared" si="10"/>
        <v>4.2838286545689866E-3</v>
      </c>
      <c r="O41" s="6">
        <f t="shared" si="2"/>
        <v>-1.0825239215833657E-2</v>
      </c>
      <c r="P41" s="6"/>
      <c r="Q41" s="6">
        <f t="shared" si="8"/>
        <v>-1.362937231010072E-3</v>
      </c>
      <c r="R41" s="6">
        <f t="shared" si="3"/>
        <v>-1.2781979492703863E-2</v>
      </c>
      <c r="S41" s="6">
        <f t="shared" si="4"/>
        <v>-3.2414312583003342E-3</v>
      </c>
      <c r="T41" s="6">
        <f t="shared" si="5"/>
        <v>2.1600236179462801E-5</v>
      </c>
      <c r="U41" s="6">
        <f t="shared" si="6"/>
        <v>2.1952248290932671E-3</v>
      </c>
      <c r="V41" s="6">
        <f t="shared" si="7"/>
        <v>-4.0610842417796236E-4</v>
      </c>
      <c r="W41" s="6"/>
      <c r="X41" s="3" t="s">
        <v>63</v>
      </c>
      <c r="Y41" s="63" cm="1">
        <f t="array" ref="Y41">SQRT(+MMULT(MMULT(Y18:AB18,Y22:AB25),TRANSPOSE(Y18:AB18)))*SQRT(252)</f>
        <v>0.13421261076256277</v>
      </c>
      <c r="AE41" s="38"/>
    </row>
    <row r="42" spans="1:31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0"/>
        <v>2.0963268503315646E-4</v>
      </c>
      <c r="J42" s="6">
        <f t="shared" si="10"/>
        <v>5.0484914715231101E-3</v>
      </c>
      <c r="K42" s="6">
        <f t="shared" si="10"/>
        <v>-1.6898605731409447E-2</v>
      </c>
      <c r="L42" s="6">
        <f t="shared" si="10"/>
        <v>-2.3292037153074849E-3</v>
      </c>
      <c r="M42" s="6">
        <f t="shared" si="10"/>
        <v>-2.1903648579655197E-2</v>
      </c>
      <c r="N42" s="6">
        <f t="shared" si="10"/>
        <v>-6.2659488852716012E-3</v>
      </c>
      <c r="O42" s="6">
        <f t="shared" si="2"/>
        <v>1.8127918534072056E-3</v>
      </c>
      <c r="P42" s="6"/>
      <c r="Q42" s="6">
        <f t="shared" si="8"/>
        <v>-7.7349588540997268E-3</v>
      </c>
      <c r="R42" s="6">
        <f t="shared" si="3"/>
        <v>-2.1903648579655197E-2</v>
      </c>
      <c r="S42" s="6">
        <f t="shared" si="4"/>
        <v>-9.9818574053932643E-3</v>
      </c>
      <c r="T42" s="6">
        <f t="shared" si="5"/>
        <v>1.2968726306976803E-4</v>
      </c>
      <c r="U42" s="6">
        <f t="shared" si="6"/>
        <v>-3.1271248266413329E-3</v>
      </c>
      <c r="V42" s="6">
        <f t="shared" si="7"/>
        <v>2.2392024368536956E-3</v>
      </c>
      <c r="W42" s="6"/>
      <c r="X42" s="3" t="s">
        <v>13</v>
      </c>
      <c r="Y42" s="61" cm="1">
        <f t="array" ref="Y42">+SLOPE((S3:S254-O3:O254),(N3:N254-O3:O254))</f>
        <v>0.78885678397437664</v>
      </c>
      <c r="AE42" s="38"/>
    </row>
    <row r="43" spans="1:31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0"/>
        <v>2.1153052783073889E-4</v>
      </c>
      <c r="J43" s="6">
        <f t="shared" si="10"/>
        <v>-1.0346128156285038E-2</v>
      </c>
      <c r="K43" s="6">
        <f t="shared" si="10"/>
        <v>1.5136608826072475E-3</v>
      </c>
      <c r="L43" s="6">
        <f t="shared" si="10"/>
        <v>1.490802752612275E-2</v>
      </c>
      <c r="M43" s="6">
        <f t="shared" si="10"/>
        <v>-6.2479325408984904E-3</v>
      </c>
      <c r="N43" s="6">
        <f t="shared" si="10"/>
        <v>-5.0314774496886677E-3</v>
      </c>
      <c r="O43" s="6">
        <f t="shared" si="2"/>
        <v>9.0124473624263561E-3</v>
      </c>
      <c r="P43" s="6"/>
      <c r="Q43" s="6">
        <f t="shared" si="8"/>
        <v>2.7995346192651849E-3</v>
      </c>
      <c r="R43" s="6">
        <f t="shared" si="3"/>
        <v>-6.2479325408984904E-3</v>
      </c>
      <c r="S43" s="6">
        <f t="shared" si="4"/>
        <v>-8.4453466739467346E-5</v>
      </c>
      <c r="T43" s="6">
        <f t="shared" si="5"/>
        <v>2.2219707393186982E-6</v>
      </c>
      <c r="U43" s="6">
        <f t="shared" si="6"/>
        <v>2.6367328567495707E-3</v>
      </c>
      <c r="V43" s="6">
        <f t="shared" si="7"/>
        <v>6.1043256832946863E-3</v>
      </c>
      <c r="W43" s="6"/>
      <c r="X43" s="3" t="s">
        <v>67</v>
      </c>
      <c r="Y43" s="3">
        <f>+SUM(T3:T254)/COUNTIF(T3:T254,"&gt;0")</f>
        <v>7.0234115807703751E-5</v>
      </c>
      <c r="AE43" s="38"/>
    </row>
    <row r="44" spans="1:31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0"/>
        <v>2.107714983077269E-4</v>
      </c>
      <c r="J44" s="6">
        <f t="shared" si="10"/>
        <v>-7.2710133536225421E-4</v>
      </c>
      <c r="K44" s="6">
        <f t="shared" si="10"/>
        <v>1.0158067162630343E-2</v>
      </c>
      <c r="L44" s="6">
        <f t="shared" si="10"/>
        <v>-1.0140315442376808E-3</v>
      </c>
      <c r="M44" s="6">
        <f t="shared" si="10"/>
        <v>3.47593227385585E-3</v>
      </c>
      <c r="N44" s="6">
        <f t="shared" si="10"/>
        <v>1.0538619453747615E-2</v>
      </c>
      <c r="O44" s="6">
        <f t="shared" si="2"/>
        <v>-3.5947274385814774E-3</v>
      </c>
      <c r="P44" s="6"/>
      <c r="Q44" s="6">
        <f t="shared" si="8"/>
        <v>5.991667264906524E-4</v>
      </c>
      <c r="R44" s="6">
        <f t="shared" si="3"/>
        <v>3.47593227385585E-3</v>
      </c>
      <c r="S44" s="6">
        <f t="shared" si="4"/>
        <v>1.1568707250246908E-3</v>
      </c>
      <c r="T44" s="6">
        <f t="shared" si="5"/>
        <v>6.2152205654070334E-8</v>
      </c>
      <c r="U44" s="6">
        <f t="shared" si="6"/>
        <v>-1.5143529000831543E-4</v>
      </c>
      <c r="V44" s="6">
        <f t="shared" si="7"/>
        <v>-9.1162123760297788E-3</v>
      </c>
      <c r="W44" s="6"/>
      <c r="X44" s="3" t="s">
        <v>68</v>
      </c>
      <c r="Y44" s="62">
        <f>+SQRT(Y43)*SQRT(250)</f>
        <v>0.13250859953952399</v>
      </c>
      <c r="AE44" s="38"/>
    </row>
    <row r="45" spans="1:31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0"/>
        <v>2.1115103099722532E-4</v>
      </c>
      <c r="J45" s="6">
        <f t="shared" si="10"/>
        <v>-8.8236168219693739E-3</v>
      </c>
      <c r="K45" s="6">
        <f t="shared" si="10"/>
        <v>1.1907236828734701E-2</v>
      </c>
      <c r="L45" s="6">
        <f t="shared" si="10"/>
        <v>-2.1668112665697982E-3</v>
      </c>
      <c r="M45" s="6">
        <f t="shared" si="10"/>
        <v>1.1728316519177792E-2</v>
      </c>
      <c r="N45" s="6">
        <f t="shared" si="10"/>
        <v>-9.8321334779938874E-5</v>
      </c>
      <c r="O45" s="6">
        <f t="shared" si="2"/>
        <v>1.799063882608539E-3</v>
      </c>
      <c r="P45" s="6"/>
      <c r="Q45" s="6">
        <f t="shared" si="8"/>
        <v>1.40280618707462E-3</v>
      </c>
      <c r="R45" s="6">
        <f t="shared" si="3"/>
        <v>1.1728316519177792E-2</v>
      </c>
      <c r="S45" s="6">
        <f t="shared" si="4"/>
        <v>2.9852426952108949E-3</v>
      </c>
      <c r="T45" s="6">
        <f t="shared" si="5"/>
        <v>0</v>
      </c>
      <c r="U45" s="6">
        <f t="shared" si="6"/>
        <v>-2.0878463244316508E-3</v>
      </c>
      <c r="V45" s="6">
        <f t="shared" si="7"/>
        <v>-2.2008114786746368E-3</v>
      </c>
      <c r="W45" s="6"/>
      <c r="X45" s="3" t="s">
        <v>66</v>
      </c>
      <c r="Y45" s="61">
        <f>+(Y40-Y12)/Y44</f>
        <v>2.8212092938049929</v>
      </c>
      <c r="AE45" s="38"/>
    </row>
    <row r="46" spans="1:31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0"/>
        <v>2.1342747439123677E-4</v>
      </c>
      <c r="J46" s="6">
        <f t="shared" si="10"/>
        <v>-7.4223370429170512E-3</v>
      </c>
      <c r="K46" s="6">
        <f t="shared" si="10"/>
        <v>-3.7001627652822851E-4</v>
      </c>
      <c r="L46" s="6">
        <f t="shared" si="10"/>
        <v>-1.1041381345434621E-2</v>
      </c>
      <c r="M46" s="6">
        <f t="shared" si="10"/>
        <v>-1.7993646801684915E-2</v>
      </c>
      <c r="N46" s="6">
        <f t="shared" si="10"/>
        <v>-1.349038622382619E-2</v>
      </c>
      <c r="O46" s="6">
        <f t="shared" si="2"/>
        <v>1.0723412416764824E-2</v>
      </c>
      <c r="P46" s="6"/>
      <c r="Q46" s="6">
        <f t="shared" si="8"/>
        <v>-1.2773014708979426E-2</v>
      </c>
      <c r="R46" s="6">
        <f t="shared" si="3"/>
        <v>-1.7993646801684915E-2</v>
      </c>
      <c r="S46" s="6">
        <f t="shared" si="4"/>
        <v>-1.3527043976388615E-2</v>
      </c>
      <c r="T46" s="6">
        <f t="shared" si="5"/>
        <v>2.2300100408648374E-4</v>
      </c>
      <c r="U46" s="6">
        <f t="shared" si="6"/>
        <v>-1.0981871300385145E-2</v>
      </c>
      <c r="V46" s="6">
        <f t="shared" si="7"/>
        <v>-1.8785292732158634E-4</v>
      </c>
      <c r="W46" s="6"/>
      <c r="X46" s="3" t="s">
        <v>41</v>
      </c>
      <c r="Y46" s="61">
        <f>+(Y40-Y12)/Y42</f>
        <v>0.47389399460641746</v>
      </c>
      <c r="AE46" s="38"/>
    </row>
    <row r="47" spans="1:31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0"/>
        <v>2.1304815673750532E-4</v>
      </c>
      <c r="J47" s="6">
        <f t="shared" si="10"/>
        <v>-2.1632256780532658E-3</v>
      </c>
      <c r="K47" s="6">
        <f t="shared" si="10"/>
        <v>5.5350153172178456E-3</v>
      </c>
      <c r="L47" s="6">
        <f t="shared" si="10"/>
        <v>-4.2583678361532767E-3</v>
      </c>
      <c r="M47" s="6">
        <f t="shared" si="10"/>
        <v>6.3577877182322051E-2</v>
      </c>
      <c r="N47" s="6">
        <f t="shared" si="10"/>
        <v>-8.5190096941524674E-3</v>
      </c>
      <c r="O47" s="6">
        <f t="shared" si="2"/>
        <v>-1.7788484315057955E-3</v>
      </c>
      <c r="P47" s="6"/>
      <c r="Q47" s="6">
        <f t="shared" si="8"/>
        <v>1.9692109801849905E-2</v>
      </c>
      <c r="R47" s="6">
        <f t="shared" si="3"/>
        <v>6.3577877182322051E-2</v>
      </c>
      <c r="S47" s="6">
        <f t="shared" si="4"/>
        <v>2.7784335401774513E-2</v>
      </c>
      <c r="T47" s="6">
        <f t="shared" si="5"/>
        <v>0</v>
      </c>
      <c r="U47" s="6">
        <f t="shared" si="6"/>
        <v>8.0050133061395704E-3</v>
      </c>
      <c r="V47" s="6">
        <f t="shared" si="7"/>
        <v>1.5773461124094303E-2</v>
      </c>
      <c r="W47" s="6"/>
      <c r="X47" s="3" t="s">
        <v>40</v>
      </c>
      <c r="Y47" s="61">
        <f>+(Y40-Y12)/Y41</f>
        <v>2.7853902133782675</v>
      </c>
      <c r="AE47" s="38"/>
    </row>
    <row r="48" spans="1:31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0"/>
        <v>2.1190998881470691E-4</v>
      </c>
      <c r="J48" s="6">
        <f t="shared" si="10"/>
        <v>-1.48134638605088E-2</v>
      </c>
      <c r="K48" s="6">
        <f t="shared" si="10"/>
        <v>4.0397446205238134E-3</v>
      </c>
      <c r="L48" s="6">
        <f t="shared" si="10"/>
        <v>-1.623677213768495E-2</v>
      </c>
      <c r="M48" s="6">
        <f t="shared" si="10"/>
        <v>7.8330630368045693E-3</v>
      </c>
      <c r="N48" s="6">
        <f t="shared" si="10"/>
        <v>-1.2665186185757991E-2</v>
      </c>
      <c r="O48" s="6">
        <f t="shared" si="2"/>
        <v>-5.3566246756515997E-3</v>
      </c>
      <c r="P48" s="6"/>
      <c r="Q48" s="6">
        <f t="shared" si="8"/>
        <v>-7.6103871121983181E-3</v>
      </c>
      <c r="R48" s="6">
        <f t="shared" si="3"/>
        <v>7.8330630368045693E-3</v>
      </c>
      <c r="S48" s="6">
        <f t="shared" si="4"/>
        <v>-4.6976733637256393E-3</v>
      </c>
      <c r="T48" s="6">
        <f t="shared" si="5"/>
        <v>3.7256954665450808E-5</v>
      </c>
      <c r="U48" s="6">
        <f t="shared" si="6"/>
        <v>-1.1651999796659011E-2</v>
      </c>
      <c r="V48" s="6">
        <f t="shared" si="7"/>
        <v>1.9932935726025159E-4</v>
      </c>
      <c r="W48" s="6"/>
      <c r="AE48" s="38"/>
    </row>
    <row r="49" spans="1:31" ht="17" thickBot="1" x14ac:dyDescent="0.25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0"/>
        <v>2.107714983077269E-4</v>
      </c>
      <c r="J49" s="6">
        <f t="shared" si="10"/>
        <v>6.9385280456884656E-4</v>
      </c>
      <c r="K49" s="6">
        <f t="shared" si="10"/>
        <v>-9.01984365197008E-3</v>
      </c>
      <c r="L49" s="6">
        <f t="shared" si="10"/>
        <v>-1.3735076896956099E-2</v>
      </c>
      <c r="M49" s="6">
        <f t="shared" si="10"/>
        <v>-2.8356670761467306E-2</v>
      </c>
      <c r="N49" s="6">
        <f t="shared" si="10"/>
        <v>-1.6869643388467898E-3</v>
      </c>
      <c r="O49" s="6">
        <f t="shared" si="2"/>
        <v>-5.3870031922159129E-3</v>
      </c>
      <c r="P49" s="6"/>
      <c r="Q49" s="6">
        <f t="shared" si="8"/>
        <v>-1.6091317896349336E-2</v>
      </c>
      <c r="R49" s="6">
        <f t="shared" si="3"/>
        <v>-2.8356670761467306E-2</v>
      </c>
      <c r="S49" s="6">
        <f t="shared" si="4"/>
        <v>-1.7616520772199652E-2</v>
      </c>
      <c r="T49" s="6">
        <f t="shared" si="5"/>
        <v>3.6186292270966558E-4</v>
      </c>
      <c r="U49" s="6">
        <f t="shared" si="6"/>
        <v>-1.1269086771998105E-2</v>
      </c>
      <c r="V49" s="6">
        <f t="shared" si="7"/>
        <v>-9.1700984480310027E-3</v>
      </c>
      <c r="W49" s="6"/>
      <c r="X49" s="88" t="s">
        <v>78</v>
      </c>
      <c r="Y49" s="88"/>
      <c r="AE49" s="38"/>
    </row>
    <row r="50" spans="1:31" ht="17" thickTop="1" x14ac:dyDescent="0.2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0"/>
        <v>2.1115103099722532E-4</v>
      </c>
      <c r="J50" s="6">
        <f t="shared" si="10"/>
        <v>2.5402110604923374E-3</v>
      </c>
      <c r="K50" s="6">
        <f t="shared" si="10"/>
        <v>2.8437891260977562E-2</v>
      </c>
      <c r="L50" s="6">
        <f t="shared" si="10"/>
        <v>1.2049500256252955E-3</v>
      </c>
      <c r="M50" s="6">
        <f t="shared" si="10"/>
        <v>3.8062243981015008E-2</v>
      </c>
      <c r="N50" s="6">
        <f t="shared" si="10"/>
        <v>7.2394913997594025E-3</v>
      </c>
      <c r="O50" s="6">
        <f t="shared" si="2"/>
        <v>1.799063882608539E-3</v>
      </c>
      <c r="P50" s="6"/>
      <c r="Q50" s="6">
        <f t="shared" si="8"/>
        <v>1.4255034910361413E-2</v>
      </c>
      <c r="R50" s="6">
        <f t="shared" si="3"/>
        <v>3.8062243981015008E-2</v>
      </c>
      <c r="S50" s="6">
        <f t="shared" si="4"/>
        <v>1.8696217032811616E-2</v>
      </c>
      <c r="T50" s="6">
        <f t="shared" si="5"/>
        <v>0</v>
      </c>
      <c r="U50" s="6">
        <f t="shared" si="6"/>
        <v>7.9355921904545913E-3</v>
      </c>
      <c r="V50" s="6">
        <f t="shared" si="7"/>
        <v>1.3019286522955066E-3</v>
      </c>
      <c r="W50" s="6"/>
      <c r="X50" s="3" t="s">
        <v>21</v>
      </c>
      <c r="Y50" s="60">
        <f>+((1+AVERAGE(U3:U254))^252)-1</f>
        <v>0.39886841338880963</v>
      </c>
      <c r="AE50" s="38"/>
    </row>
    <row r="51" spans="1:31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0"/>
        <v>2.107714983077269E-4</v>
      </c>
      <c r="J51" s="6">
        <f t="shared" si="10"/>
        <v>-1.3583577722310494E-2</v>
      </c>
      <c r="K51" s="6">
        <f t="shared" si="10"/>
        <v>8.5898919565569297E-3</v>
      </c>
      <c r="L51" s="6">
        <f t="shared" si="10"/>
        <v>-5.4694749611117069E-3</v>
      </c>
      <c r="M51" s="6">
        <f t="shared" si="10"/>
        <v>-2.2136321441816844E-2</v>
      </c>
      <c r="N51" s="6">
        <f t="shared" si="10"/>
        <v>-1.4443397939346892E-2</v>
      </c>
      <c r="O51" s="6">
        <f t="shared" si="2"/>
        <v>-1.7990638826084831E-3</v>
      </c>
      <c r="P51" s="6"/>
      <c r="Q51" s="6">
        <f t="shared" si="8"/>
        <v>-1.2786975412665973E-2</v>
      </c>
      <c r="R51" s="6">
        <f t="shared" si="3"/>
        <v>-2.2136321441816844E-2</v>
      </c>
      <c r="S51" s="6">
        <f t="shared" si="4"/>
        <v>-1.4849028133815419E-2</v>
      </c>
      <c r="T51" s="6">
        <f t="shared" si="5"/>
        <v>2.64231601806095E-4</v>
      </c>
      <c r="U51" s="6">
        <f t="shared" si="6"/>
        <v>-1.1091749939879783E-2</v>
      </c>
      <c r="V51" s="6">
        <f t="shared" si="7"/>
        <v>1.9436171344652409E-3</v>
      </c>
      <c r="W51" s="6"/>
      <c r="X51" s="3" t="s">
        <v>63</v>
      </c>
      <c r="Y51" s="63" cm="1">
        <f t="array" ref="Y51">SQRT(+MMULT(MMULT(Y19:AB19,Y22:AB25),TRANSPOSE(Y19:AB19)))*SQRT(252)</f>
        <v>0.13126235442590581</v>
      </c>
      <c r="AE51" s="38"/>
    </row>
    <row r="52" spans="1:31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0"/>
        <v>2.1153052783073889E-4</v>
      </c>
      <c r="J52" s="6">
        <f t="shared" si="10"/>
        <v>-2.4913184770041188E-2</v>
      </c>
      <c r="K52" s="6">
        <f t="shared" si="10"/>
        <v>-6.0768940601561034E-3</v>
      </c>
      <c r="L52" s="6">
        <f t="shared" si="10"/>
        <v>2.5609400579485304E-3</v>
      </c>
      <c r="M52" s="6">
        <f t="shared" si="10"/>
        <v>-4.6189215703234801E-3</v>
      </c>
      <c r="N52" s="6">
        <f t="shared" si="10"/>
        <v>-1.1903071819740901E-2</v>
      </c>
      <c r="O52" s="6">
        <f t="shared" si="2"/>
        <v>3.5947274385814149E-3</v>
      </c>
      <c r="P52" s="6"/>
      <c r="Q52" s="6">
        <f t="shared" si="8"/>
        <v>-5.1131396996198716E-3</v>
      </c>
      <c r="R52" s="6">
        <f t="shared" si="3"/>
        <v>-4.6189215703234801E-3</v>
      </c>
      <c r="S52" s="6">
        <f t="shared" si="4"/>
        <v>-6.3614060937025058E-3</v>
      </c>
      <c r="T52" s="6">
        <f t="shared" si="5"/>
        <v>6.0335303090045816E-5</v>
      </c>
      <c r="U52" s="6">
        <f t="shared" si="6"/>
        <v>-8.0942099840539978E-3</v>
      </c>
      <c r="V52" s="6">
        <f t="shared" si="7"/>
        <v>2.0830786036556484E-3</v>
      </c>
      <c r="W52" s="6"/>
      <c r="X52" s="3" t="s">
        <v>13</v>
      </c>
      <c r="Y52" s="61" cm="1">
        <f t="array" ref="Y52">+SLOPE((U3:U254-O3:O254),(N3:N254-O3:O254))</f>
        <v>0.88864333553007469</v>
      </c>
      <c r="AE52" s="38"/>
    </row>
    <row r="53" spans="1:31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0"/>
        <v>2.1001232533235381E-4</v>
      </c>
      <c r="J53" s="6">
        <f t="shared" si="10"/>
        <v>7.9376258370334254E-3</v>
      </c>
      <c r="K53" s="6">
        <f t="shared" si="10"/>
        <v>-9.7279469304567372E-3</v>
      </c>
      <c r="L53" s="6">
        <f t="shared" si="10"/>
        <v>-3.6683337928199083E-2</v>
      </c>
      <c r="M53" s="6">
        <f t="shared" si="10"/>
        <v>-2.0040684628752883E-2</v>
      </c>
      <c r="N53" s="6">
        <f t="shared" si="10"/>
        <v>-4.811871761208667E-3</v>
      </c>
      <c r="O53" s="6">
        <f t="shared" si="2"/>
        <v>-7.2031066416293607E-3</v>
      </c>
      <c r="P53" s="6"/>
      <c r="Q53" s="6">
        <f t="shared" si="8"/>
        <v>-2.24899314103712E-2</v>
      </c>
      <c r="R53" s="6">
        <f t="shared" si="3"/>
        <v>-2.0040684628752883E-2</v>
      </c>
      <c r="S53" s="6">
        <f t="shared" si="4"/>
        <v>-1.9847215169156013E-2</v>
      </c>
      <c r="T53" s="6">
        <f t="shared" si="5"/>
        <v>4.5170655822933126E-4</v>
      </c>
      <c r="U53" s="6">
        <f t="shared" si="6"/>
        <v>-1.8530444357654326E-2</v>
      </c>
      <c r="V53" s="6">
        <f t="shared" si="7"/>
        <v>-1.345229265619787E-2</v>
      </c>
      <c r="W53" s="6"/>
      <c r="X53" s="3" t="s">
        <v>77</v>
      </c>
      <c r="Y53" s="14">
        <f>+_xlfn.VAR.S(V3:V254)</f>
        <v>4.2726640172752866E-5</v>
      </c>
      <c r="AE53" s="38"/>
    </row>
    <row r="54" spans="1:31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0"/>
        <v>2.1001232533235381E-4</v>
      </c>
      <c r="J54" s="6">
        <f t="shared" si="10"/>
        <v>1.2230145391432332E-2</v>
      </c>
      <c r="K54" s="6">
        <f t="shared" si="10"/>
        <v>1.6339294527615768E-2</v>
      </c>
      <c r="L54" s="6">
        <f t="shared" si="10"/>
        <v>1.26689866257148E-2</v>
      </c>
      <c r="M54" s="6">
        <f t="shared" si="10"/>
        <v>2.9257291384540907E-2</v>
      </c>
      <c r="N54" s="6">
        <f t="shared" si="10"/>
        <v>1.1938544947970331E-2</v>
      </c>
      <c r="O54" s="6">
        <f t="shared" si="2"/>
        <v>0</v>
      </c>
      <c r="P54" s="6"/>
      <c r="Q54" s="6">
        <f t="shared" si="8"/>
        <v>1.8346336930474313E-2</v>
      </c>
      <c r="R54" s="6">
        <f t="shared" si="3"/>
        <v>2.9257291384540907E-2</v>
      </c>
      <c r="S54" s="6">
        <f t="shared" si="4"/>
        <v>2.031442577462185E-2</v>
      </c>
      <c r="T54" s="6">
        <f t="shared" si="5"/>
        <v>0</v>
      </c>
      <c r="U54" s="6">
        <f t="shared" si="6"/>
        <v>1.5341217891234549E-2</v>
      </c>
      <c r="V54" s="6">
        <f t="shared" si="7"/>
        <v>4.7321094872944721E-3</v>
      </c>
      <c r="W54" s="6"/>
      <c r="X54" s="3" t="s">
        <v>76</v>
      </c>
      <c r="Y54" s="21">
        <f>+SQRT(Y53)*SQRT(250)</f>
        <v>0.10335211678136165</v>
      </c>
      <c r="AE54" s="38"/>
    </row>
    <row r="55" spans="1:31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0"/>
        <v>2.107714983077269E-4</v>
      </c>
      <c r="J55" s="6">
        <f t="shared" si="10"/>
        <v>2.8148308012558494E-3</v>
      </c>
      <c r="K55" s="6">
        <f t="shared" si="10"/>
        <v>6.0369707476601144E-3</v>
      </c>
      <c r="L55" s="6">
        <f t="shared" si="10"/>
        <v>1.1863603111821981E-2</v>
      </c>
      <c r="M55" s="6">
        <f t="shared" si="10"/>
        <v>9.1325041752728462E-3</v>
      </c>
      <c r="N55" s="6">
        <f t="shared" si="10"/>
        <v>6.4540892074659807E-3</v>
      </c>
      <c r="O55" s="6">
        <f t="shared" si="2"/>
        <v>3.6083792030479219E-3</v>
      </c>
      <c r="P55" s="6"/>
      <c r="Q55" s="6">
        <f t="shared" si="8"/>
        <v>9.2088806798137253E-3</v>
      </c>
      <c r="R55" s="6">
        <f t="shared" si="3"/>
        <v>9.1325041752728462E-3</v>
      </c>
      <c r="S55" s="6">
        <f t="shared" si="4"/>
        <v>8.7486314962522474E-3</v>
      </c>
      <c r="T55" s="6">
        <f t="shared" si="5"/>
        <v>0</v>
      </c>
      <c r="U55" s="6">
        <f t="shared" si="6"/>
        <v>8.2919173724700368E-3</v>
      </c>
      <c r="V55" s="6">
        <f t="shared" si="7"/>
        <v>2.1547169391447473E-3</v>
      </c>
      <c r="W55" s="6"/>
      <c r="X55" s="3" t="s">
        <v>79</v>
      </c>
      <c r="Y55" s="66">
        <f>+(Y50-Y12)/Y54</f>
        <v>3.3651491782690433</v>
      </c>
      <c r="AE55" s="38"/>
    </row>
    <row r="56" spans="1:31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0"/>
        <v>2.1190998881470691E-4</v>
      </c>
      <c r="J56" s="6">
        <f t="shared" si="10"/>
        <v>1.8565290897534802E-2</v>
      </c>
      <c r="K56" s="6">
        <f t="shared" si="10"/>
        <v>-8.8556819319023528E-4</v>
      </c>
      <c r="L56" s="6">
        <f t="shared" si="10"/>
        <v>-8.6331287395108823E-4</v>
      </c>
      <c r="M56" s="6">
        <f t="shared" si="10"/>
        <v>1.1620614661695866E-2</v>
      </c>
      <c r="N56" s="6">
        <f t="shared" si="10"/>
        <v>1.0451180679737281E-2</v>
      </c>
      <c r="O56" s="6">
        <f t="shared" si="2"/>
        <v>5.3870031922159962E-3</v>
      </c>
      <c r="P56" s="6"/>
      <c r="Q56" s="6">
        <f t="shared" si="8"/>
        <v>7.1353552551786034E-3</v>
      </c>
      <c r="R56" s="6">
        <f t="shared" si="3"/>
        <v>1.1620614661695866E-2</v>
      </c>
      <c r="S56" s="6">
        <f t="shared" si="4"/>
        <v>8.8847409935393744E-3</v>
      </c>
      <c r="T56" s="6">
        <f t="shared" si="5"/>
        <v>0</v>
      </c>
      <c r="U56" s="6">
        <f t="shared" si="6"/>
        <v>7.9320018541150193E-3</v>
      </c>
      <c r="V56" s="6">
        <f t="shared" si="7"/>
        <v>-1.9552489123282049E-3</v>
      </c>
      <c r="W56" s="6"/>
      <c r="X56" s="3" t="s">
        <v>41</v>
      </c>
      <c r="Y56" s="61">
        <f>+(Y50-Y23)/Y52</f>
        <v>0.44883841364432858</v>
      </c>
      <c r="AE56" s="38"/>
    </row>
    <row r="57" spans="1:31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0"/>
        <v>2.0925300885044074E-4</v>
      </c>
      <c r="J57" s="6">
        <f t="shared" si="10"/>
        <v>2.0482069684558096E-2</v>
      </c>
      <c r="K57" s="6">
        <f t="shared" si="10"/>
        <v>1.1450857122828546E-2</v>
      </c>
      <c r="L57" s="6">
        <f t="shared" si="10"/>
        <v>1.7691845912209535E-2</v>
      </c>
      <c r="M57" s="6">
        <f t="shared" si="10"/>
        <v>9.581644883623272E-3</v>
      </c>
      <c r="N57" s="6">
        <f t="shared" si="10"/>
        <v>1.8682956430735833E-2</v>
      </c>
      <c r="O57" s="6">
        <f t="shared" si="2"/>
        <v>-1.2617514969468103E-2</v>
      </c>
      <c r="P57" s="6"/>
      <c r="Q57" s="6">
        <f t="shared" si="8"/>
        <v>1.5401836834377028E-2</v>
      </c>
      <c r="R57" s="6">
        <f t="shared" si="3"/>
        <v>9.581644883623272E-3</v>
      </c>
      <c r="S57" s="6">
        <f t="shared" si="4"/>
        <v>1.4466808678214396E-2</v>
      </c>
      <c r="T57" s="6">
        <f t="shared" si="5"/>
        <v>0</v>
      </c>
      <c r="U57" s="6">
        <f t="shared" si="6"/>
        <v>1.7269726785565213E-2</v>
      </c>
      <c r="V57" s="6">
        <f t="shared" si="7"/>
        <v>2.0722864462923811E-3</v>
      </c>
      <c r="W57" s="6"/>
      <c r="X57" s="3" t="s">
        <v>40</v>
      </c>
      <c r="Y57" s="61">
        <f>+(Y50-Y12)/Y51</f>
        <v>2.6496194768126511</v>
      </c>
      <c r="AE57" s="38"/>
    </row>
    <row r="58" spans="1:31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0"/>
        <v>2.0963268503315646E-4</v>
      </c>
      <c r="J58" s="6">
        <f t="shared" si="10"/>
        <v>-5.1946810275440517E-3</v>
      </c>
      <c r="K58" s="6">
        <f t="shared" si="10"/>
        <v>-6.1495523287532295E-3</v>
      </c>
      <c r="L58" s="6">
        <f t="shared" si="10"/>
        <v>1.1110587455196269E-2</v>
      </c>
      <c r="M58" s="6">
        <f t="shared" si="10"/>
        <v>9.4907076045383631E-3</v>
      </c>
      <c r="N58" s="6">
        <f t="shared" si="10"/>
        <v>9.3498696374369732E-3</v>
      </c>
      <c r="O58" s="6">
        <f t="shared" si="2"/>
        <v>1.8127918534072056E-3</v>
      </c>
      <c r="P58" s="6"/>
      <c r="Q58" s="6">
        <f t="shared" si="8"/>
        <v>7.4733246954884567E-3</v>
      </c>
      <c r="R58" s="6">
        <f t="shared" si="3"/>
        <v>9.4907076045383631E-3</v>
      </c>
      <c r="S58" s="6">
        <f t="shared" si="4"/>
        <v>7.0226155633604584E-3</v>
      </c>
      <c r="T58" s="6">
        <f t="shared" si="5"/>
        <v>0</v>
      </c>
      <c r="U58" s="6">
        <f t="shared" si="6"/>
        <v>5.236464197232598E-3</v>
      </c>
      <c r="V58" s="6">
        <f t="shared" si="7"/>
        <v>-3.2741015983244444E-3</v>
      </c>
      <c r="W58" s="6"/>
      <c r="AE58" s="38"/>
    </row>
    <row r="59" spans="1:31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0"/>
        <v>2.0621430676981412E-4</v>
      </c>
      <c r="J59" s="6">
        <f t="shared" si="10"/>
        <v>1.44996022601437E-2</v>
      </c>
      <c r="K59" s="6">
        <f t="shared" si="10"/>
        <v>4.0454488376433064E-3</v>
      </c>
      <c r="L59" s="6">
        <f t="shared" si="10"/>
        <v>7.5241008178584595E-3</v>
      </c>
      <c r="M59" s="6">
        <f t="shared" si="10"/>
        <v>-8.2201612246451568E-3</v>
      </c>
      <c r="N59" s="6">
        <f t="shared" si="10"/>
        <v>1.7514263468030517E-3</v>
      </c>
      <c r="O59" s="6">
        <f t="shared" si="2"/>
        <v>-1.6440928180425498E-2</v>
      </c>
      <c r="P59" s="6"/>
      <c r="Q59" s="6">
        <f t="shared" si="8"/>
        <v>3.3724902743584089E-3</v>
      </c>
      <c r="R59" s="6">
        <f t="shared" si="3"/>
        <v>-8.2201612246451568E-3</v>
      </c>
      <c r="S59" s="6">
        <f t="shared" si="4"/>
        <v>1.5953579360402717E-3</v>
      </c>
      <c r="T59" s="6">
        <f t="shared" si="5"/>
        <v>0</v>
      </c>
      <c r="U59" s="6">
        <f t="shared" si="6"/>
        <v>7.2398852820868692E-3</v>
      </c>
      <c r="V59" s="6">
        <f t="shared" si="7"/>
        <v>7.514298854290332E-3</v>
      </c>
      <c r="W59" s="6"/>
      <c r="AE59" s="38"/>
    </row>
    <row r="60" spans="1:31" x14ac:dyDescent="0.2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0"/>
        <v>2.0773394514983501E-4</v>
      </c>
      <c r="J60" s="6">
        <f t="shared" si="10"/>
        <v>1.4347282613426004E-2</v>
      </c>
      <c r="K60" s="6">
        <f t="shared" si="10"/>
        <v>3.6793121473435051E-3</v>
      </c>
      <c r="L60" s="6">
        <f t="shared" si="10"/>
        <v>-4.8618261899616047E-4</v>
      </c>
      <c r="M60" s="6">
        <f t="shared" si="10"/>
        <v>5.6981618175608508E-3</v>
      </c>
      <c r="N60" s="6">
        <f t="shared" si="10"/>
        <v>2.8361156932399829E-3</v>
      </c>
      <c r="O60" s="6">
        <f t="shared" si="2"/>
        <v>7.3421989327175866E-3</v>
      </c>
      <c r="P60" s="6"/>
      <c r="Q60" s="6">
        <f t="shared" si="8"/>
        <v>4.458493584148215E-3</v>
      </c>
      <c r="R60" s="6">
        <f t="shared" si="3"/>
        <v>5.6981618175608508E-3</v>
      </c>
      <c r="S60" s="6">
        <f t="shared" si="4"/>
        <v>5.4051804818547426E-3</v>
      </c>
      <c r="T60" s="6">
        <f t="shared" si="5"/>
        <v>0</v>
      </c>
      <c r="U60" s="6">
        <f t="shared" si="6"/>
        <v>5.659348845626154E-3</v>
      </c>
      <c r="V60" s="6">
        <f t="shared" si="7"/>
        <v>2.3214507530141095E-3</v>
      </c>
      <c r="W60" s="6"/>
      <c r="AE60" s="38"/>
    </row>
    <row r="61" spans="1:31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0"/>
        <v>2.0773394514983501E-4</v>
      </c>
      <c r="J61" s="6">
        <f t="shared" si="10"/>
        <v>5.8675683603629037E-3</v>
      </c>
      <c r="K61" s="6">
        <f t="shared" si="10"/>
        <v>-1.5752086562333767E-3</v>
      </c>
      <c r="L61" s="6">
        <f t="shared" si="10"/>
        <v>4.9183358399554396E-3</v>
      </c>
      <c r="M61" s="6">
        <f t="shared" si="10"/>
        <v>-1.2067567354175589E-2</v>
      </c>
      <c r="N61" s="6">
        <f t="shared" si="10"/>
        <v>1.0044332873557552E-3</v>
      </c>
      <c r="O61" s="6">
        <f t="shared" si="2"/>
        <v>0</v>
      </c>
      <c r="P61" s="6"/>
      <c r="Q61" s="6">
        <f t="shared" si="8"/>
        <v>-8.0082872350029956E-4</v>
      </c>
      <c r="R61" s="6">
        <f t="shared" si="3"/>
        <v>-1.2067567354175589E-2</v>
      </c>
      <c r="S61" s="6">
        <f t="shared" si="4"/>
        <v>-2.8143781658588928E-3</v>
      </c>
      <c r="T61" s="6">
        <f t="shared" si="5"/>
        <v>1.7813061985484512E-5</v>
      </c>
      <c r="U61" s="6">
        <f t="shared" si="6"/>
        <v>2.3536877219701171E-3</v>
      </c>
      <c r="V61" s="6">
        <f t="shared" si="7"/>
        <v>1.4611047751768608E-3</v>
      </c>
      <c r="W61" s="6"/>
      <c r="AE61" s="38"/>
    </row>
    <row r="62" spans="1:31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0"/>
        <v>2.0811376493412581E-4</v>
      </c>
      <c r="J62" s="6">
        <f t="shared" si="10"/>
        <v>-2.6278835003809412E-3</v>
      </c>
      <c r="K62" s="6">
        <f t="shared" si="10"/>
        <v>-7.5604337307585206E-3</v>
      </c>
      <c r="L62" s="6">
        <f t="shared" si="10"/>
        <v>-2.9757978020443572E-3</v>
      </c>
      <c r="M62" s="6">
        <f t="shared" si="10"/>
        <v>-1.2787371052778911E-3</v>
      </c>
      <c r="N62" s="6">
        <f t="shared" si="10"/>
        <v>-8.1167621824379983E-3</v>
      </c>
      <c r="O62" s="6">
        <f t="shared" si="2"/>
        <v>1.8267258936371892E-3</v>
      </c>
      <c r="P62" s="6"/>
      <c r="Q62" s="6">
        <f t="shared" si="8"/>
        <v>-2.3209040884009467E-3</v>
      </c>
      <c r="R62" s="6">
        <f t="shared" si="3"/>
        <v>-1.2787371052778911E-3</v>
      </c>
      <c r="S62" s="6">
        <f t="shared" si="4"/>
        <v>-2.123566850111292E-3</v>
      </c>
      <c r="T62" s="6">
        <f t="shared" si="5"/>
        <v>1.2459071640421104E-5</v>
      </c>
      <c r="U62" s="6">
        <f t="shared" si="6"/>
        <v>-2.5675437463039429E-3</v>
      </c>
      <c r="V62" s="6">
        <f t="shared" si="7"/>
        <v>4.4419447707858481E-3</v>
      </c>
      <c r="W62" s="6"/>
      <c r="AE62" s="38"/>
    </row>
    <row r="63" spans="1:31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0"/>
        <v>2.1001232533235381E-4</v>
      </c>
      <c r="J63" s="6">
        <f t="shared" si="10"/>
        <v>2.2954556969230551E-2</v>
      </c>
      <c r="K63" s="6">
        <f t="shared" si="10"/>
        <v>1.0583701900695479E-3</v>
      </c>
      <c r="L63" s="6">
        <f t="shared" si="10"/>
        <v>1.4722279452399911E-2</v>
      </c>
      <c r="M63" s="6">
        <f t="shared" si="10"/>
        <v>6.3967350467703291E-4</v>
      </c>
      <c r="N63" s="6">
        <f t="shared" si="10"/>
        <v>1.5495728650985885E-2</v>
      </c>
      <c r="O63" s="6">
        <f t="shared" si="2"/>
        <v>9.0813440748678219E-3</v>
      </c>
      <c r="P63" s="6"/>
      <c r="Q63" s="6">
        <f t="shared" si="8"/>
        <v>1.1384658011959864E-2</v>
      </c>
      <c r="R63" s="6">
        <f t="shared" si="3"/>
        <v>6.3967350467703291E-4</v>
      </c>
      <c r="S63" s="6">
        <f t="shared" si="4"/>
        <v>9.8025818178982156E-3</v>
      </c>
      <c r="T63" s="6">
        <f t="shared" si="5"/>
        <v>0</v>
      </c>
      <c r="U63" s="6">
        <f t="shared" si="6"/>
        <v>1.5152353309302997E-2</v>
      </c>
      <c r="V63" s="6">
        <f t="shared" si="7"/>
        <v>3.7090912934095461E-4</v>
      </c>
      <c r="W63" s="6"/>
      <c r="AE63" s="38"/>
    </row>
    <row r="64" spans="1:31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0"/>
        <v>2.0963268503315646E-4</v>
      </c>
      <c r="J64" s="6">
        <f t="shared" si="10"/>
        <v>-8.6207243473615386E-3</v>
      </c>
      <c r="K64" s="6">
        <f t="shared" si="10"/>
        <v>3.6955712633663846E-3</v>
      </c>
      <c r="L64" s="6">
        <f t="shared" si="10"/>
        <v>-4.4488788474790633E-3</v>
      </c>
      <c r="M64" s="6">
        <f t="shared" si="10"/>
        <v>-3.8437221263010121E-3</v>
      </c>
      <c r="N64" s="6">
        <f t="shared" si="10"/>
        <v>-8.3609108519786131E-4</v>
      </c>
      <c r="O64" s="6">
        <f t="shared" si="2"/>
        <v>-1.8093407207971416E-3</v>
      </c>
      <c r="P64" s="6"/>
      <c r="Q64" s="6">
        <f t="shared" si="8"/>
        <v>-5.0254535654663448E-3</v>
      </c>
      <c r="R64" s="6">
        <f t="shared" si="3"/>
        <v>-3.8437221263010121E-3</v>
      </c>
      <c r="S64" s="6">
        <f t="shared" si="4"/>
        <v>-4.9959374184038313E-3</v>
      </c>
      <c r="T64" s="6">
        <f t="shared" si="5"/>
        <v>4.0987032738437184E-5</v>
      </c>
      <c r="U64" s="6">
        <f t="shared" si="6"/>
        <v>-5.7783116684323255E-3</v>
      </c>
      <c r="V64" s="6">
        <f t="shared" si="7"/>
        <v>-4.8338427501175589E-3</v>
      </c>
      <c r="W64" s="6"/>
      <c r="AE64" s="38"/>
    </row>
    <row r="65" spans="1:31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0"/>
        <v>2.0925300885044074E-4</v>
      </c>
      <c r="J65" s="6">
        <f t="shared" si="10"/>
        <v>1.4184635374476782E-2</v>
      </c>
      <c r="K65" s="6">
        <f t="shared" si="10"/>
        <v>2.981612142296002E-3</v>
      </c>
      <c r="L65" s="6">
        <f t="shared" si="10"/>
        <v>1.8082265985749042E-2</v>
      </c>
      <c r="M65" s="6">
        <f t="shared" si="10"/>
        <v>3.2040486216239152E-3</v>
      </c>
      <c r="N65" s="6">
        <f t="shared" si="10"/>
        <v>1.8895282757298078E-2</v>
      </c>
      <c r="O65" s="6">
        <f t="shared" si="2"/>
        <v>-1.8127918534071839E-3</v>
      </c>
      <c r="P65" s="6"/>
      <c r="Q65" s="6">
        <f t="shared" si="8"/>
        <v>1.2180971372904165E-2</v>
      </c>
      <c r="R65" s="6">
        <f t="shared" si="3"/>
        <v>3.2040486216239152E-3</v>
      </c>
      <c r="S65" s="6">
        <f t="shared" si="4"/>
        <v>1.0333874112097146E-2</v>
      </c>
      <c r="T65" s="6">
        <f t="shared" si="5"/>
        <v>0</v>
      </c>
      <c r="U65" s="6">
        <f t="shared" si="6"/>
        <v>1.4212108141511132E-2</v>
      </c>
      <c r="V65" s="6">
        <f t="shared" si="7"/>
        <v>-2.3771924995444581E-3</v>
      </c>
      <c r="W65" s="6"/>
      <c r="AE65" s="38"/>
    </row>
    <row r="66" spans="1:31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0"/>
        <v>2.043139499885438E-4</v>
      </c>
      <c r="J66" s="6">
        <f t="shared" si="10"/>
        <v>3.0363308776654089E-3</v>
      </c>
      <c r="K66" s="6">
        <f t="shared" si="10"/>
        <v>1.9246372583412658E-3</v>
      </c>
      <c r="L66" s="6">
        <f t="shared" si="10"/>
        <v>8.7197537313942614E-3</v>
      </c>
      <c r="M66" s="6">
        <f t="shared" si="10"/>
        <v>8.2829440398884853E-3</v>
      </c>
      <c r="N66" s="6">
        <f t="shared" si="10"/>
        <v>1.5958076771483444E-3</v>
      </c>
      <c r="O66" s="6">
        <f t="shared" si="2"/>
        <v>-2.3886307105055279E-2</v>
      </c>
      <c r="P66" s="6"/>
      <c r="Q66" s="6">
        <f t="shared" si="8"/>
        <v>7.49632095917422E-3</v>
      </c>
      <c r="R66" s="6">
        <f t="shared" si="3"/>
        <v>8.2829440398884853E-3</v>
      </c>
      <c r="S66" s="6">
        <f t="shared" si="4"/>
        <v>7.3528950548051612E-3</v>
      </c>
      <c r="T66" s="6">
        <f t="shared" si="5"/>
        <v>0</v>
      </c>
      <c r="U66" s="6">
        <f t="shared" si="6"/>
        <v>6.6940002300027394E-3</v>
      </c>
      <c r="V66" s="6">
        <f t="shared" si="7"/>
        <v>7.9357958586403661E-3</v>
      </c>
      <c r="W66" s="6"/>
      <c r="AE66" s="38"/>
    </row>
    <row r="67" spans="1:31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si="0"/>
        <v>2.0545427193918719E-4</v>
      </c>
      <c r="J67" s="6">
        <f t="shared" si="10"/>
        <v>9.0015200429287429E-3</v>
      </c>
      <c r="K67" s="6">
        <f t="shared" si="10"/>
        <v>-1.0493722296692307E-3</v>
      </c>
      <c r="L67" s="6">
        <f t="shared" si="10"/>
        <v>1.1355018101563337E-2</v>
      </c>
      <c r="M67" s="6">
        <f t="shared" si="10"/>
        <v>7.5853598266493183E-3</v>
      </c>
      <c r="N67" s="6">
        <f t="shared" si="10"/>
        <v>1.1896413835666805E-3</v>
      </c>
      <c r="O67" s="6">
        <f t="shared" si="2"/>
        <v>5.565706822906585E-3</v>
      </c>
      <c r="P67" s="6"/>
      <c r="Q67" s="6">
        <f t="shared" si="8"/>
        <v>9.6022334731668026E-3</v>
      </c>
      <c r="R67" s="6">
        <f t="shared" si="3"/>
        <v>7.5853598266493183E-3</v>
      </c>
      <c r="S67" s="6">
        <f t="shared" si="4"/>
        <v>9.0989913976314007E-3</v>
      </c>
      <c r="T67" s="6">
        <f t="shared" si="5"/>
        <v>0</v>
      </c>
      <c r="U67" s="6">
        <f t="shared" si="6"/>
        <v>9.9054375672125751E-3</v>
      </c>
      <c r="V67" s="6">
        <f t="shared" si="7"/>
        <v>8.2284921328188848E-3</v>
      </c>
      <c r="W67" s="6"/>
      <c r="AE67" s="38"/>
    </row>
    <row r="68" spans="1:31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ref="H68:H131" si="11">+(1+G68)^(1/250)-1</f>
        <v>2.0393377072314145E-4</v>
      </c>
      <c r="J68" s="6">
        <f t="shared" ref="J68:N99" si="12">LN(B68/B67)</f>
        <v>-1.0544870529251719E-4</v>
      </c>
      <c r="K68" s="6">
        <f t="shared" si="12"/>
        <v>1.9229550455904989E-3</v>
      </c>
      <c r="L68" s="6">
        <f t="shared" si="12"/>
        <v>9.0052481102475771E-3</v>
      </c>
      <c r="M68" s="6">
        <f t="shared" si="12"/>
        <v>1.2586844676198644E-3</v>
      </c>
      <c r="N68" s="6">
        <f t="shared" si="12"/>
        <v>1.2812755985166719E-3</v>
      </c>
      <c r="O68" s="6">
        <f t="shared" ref="O68:O131" si="13">+LN(H68/H67)</f>
        <v>-7.4282003826470254E-3</v>
      </c>
      <c r="P68" s="6"/>
      <c r="Q68" s="6">
        <f t="shared" ref="Q68:Q131" si="14">+SUMPRODUCT($Y$16:$AB$16,J68:M68)</f>
        <v>4.5972836527201182E-3</v>
      </c>
      <c r="R68" s="6">
        <f t="shared" ref="R68:R131" si="15">+SUMPRODUCT($Y$17:$AB$17,J68:M68)</f>
        <v>1.2586844676198644E-3</v>
      </c>
      <c r="S68" s="6">
        <f t="shared" ref="S68:S131" si="16">+SUMPRODUCT($Y$18:$AB$18,J68:M68)</f>
        <v>3.5390116856243801E-3</v>
      </c>
      <c r="T68" s="6">
        <f t="shared" ref="T68:T131" si="17">+MIN(S68-AVERAGE($S$3:$S$254),0)^2</f>
        <v>0</v>
      </c>
      <c r="U68" s="6">
        <f t="shared" ref="U68:U131" si="18">+SUMPRODUCT($Y$19:$AB$19,J68:M68)</f>
        <v>4.5587955513902495E-3</v>
      </c>
      <c r="V68" s="6">
        <f t="shared" ref="V68:V131" si="19">+(U68-O68)-($Y$52*(N68-O68))</f>
        <v>4.2473781474168977E-3</v>
      </c>
      <c r="W68" s="6"/>
      <c r="AE68" s="38"/>
    </row>
    <row r="69" spans="1:31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11"/>
        <v>2.043139499885438E-4</v>
      </c>
      <c r="J69" s="6">
        <f t="shared" si="12"/>
        <v>9.2354873918627962E-3</v>
      </c>
      <c r="K69" s="6">
        <f t="shared" si="12"/>
        <v>2.4420582166783792E-3</v>
      </c>
      <c r="L69" s="6">
        <f t="shared" si="12"/>
        <v>3.0707044771690309E-3</v>
      </c>
      <c r="M69" s="6">
        <f t="shared" si="12"/>
        <v>1.250014351434138E-2</v>
      </c>
      <c r="N69" s="6">
        <f t="shared" si="12"/>
        <v>7.3631338909269815E-3</v>
      </c>
      <c r="O69" s="6">
        <f t="shared" si="13"/>
        <v>1.86249355974044E-3</v>
      </c>
      <c r="P69" s="6"/>
      <c r="Q69" s="6">
        <f t="shared" si="14"/>
        <v>7.5075009992189795E-3</v>
      </c>
      <c r="R69" s="6">
        <f t="shared" si="15"/>
        <v>1.250014351434138E-2</v>
      </c>
      <c r="S69" s="6">
        <f t="shared" si="16"/>
        <v>8.7098723893561953E-3</v>
      </c>
      <c r="T69" s="6">
        <f t="shared" si="17"/>
        <v>0</v>
      </c>
      <c r="U69" s="6">
        <f t="shared" si="18"/>
        <v>6.792051732384485E-3</v>
      </c>
      <c r="V69" s="6">
        <f t="shared" si="19"/>
        <v>4.1450801187182737E-5</v>
      </c>
      <c r="W69" s="6"/>
      <c r="AE69" s="38"/>
    </row>
    <row r="70" spans="1:31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11"/>
        <v>2.0469409327517063E-4</v>
      </c>
      <c r="J70" s="6">
        <f t="shared" si="12"/>
        <v>-4.2398033377747738E-3</v>
      </c>
      <c r="K70" s="6">
        <f t="shared" si="12"/>
        <v>1.0915721899237774E-2</v>
      </c>
      <c r="L70" s="6">
        <f t="shared" si="12"/>
        <v>-2.089635023942204E-3</v>
      </c>
      <c r="M70" s="6">
        <f t="shared" si="12"/>
        <v>5.5745681417839043E-3</v>
      </c>
      <c r="N70" s="6">
        <f t="shared" si="12"/>
        <v>-2.0229887908321687E-3</v>
      </c>
      <c r="O70" s="6">
        <f t="shared" si="13"/>
        <v>1.8588553567499826E-3</v>
      </c>
      <c r="P70" s="6"/>
      <c r="Q70" s="6">
        <f t="shared" si="14"/>
        <v>1.6620514215626376E-4</v>
      </c>
      <c r="R70" s="6">
        <f t="shared" si="15"/>
        <v>5.5745681417839043E-3</v>
      </c>
      <c r="S70" s="6">
        <f t="shared" si="16"/>
        <v>1.070086270717004E-3</v>
      </c>
      <c r="T70" s="6">
        <f t="shared" si="17"/>
        <v>1.1295507331792738E-7</v>
      </c>
      <c r="U70" s="6">
        <f t="shared" si="18"/>
        <v>-1.5236485382720951E-3</v>
      </c>
      <c r="V70" s="6">
        <f t="shared" si="19"/>
        <v>6.7071036293224646E-5</v>
      </c>
      <c r="W70" s="6"/>
      <c r="AE70" s="38"/>
    </row>
    <row r="71" spans="1:31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11"/>
        <v>2.043139499885438E-4</v>
      </c>
      <c r="J71" s="6">
        <f t="shared" si="12"/>
        <v>3.5083046042034536E-3</v>
      </c>
      <c r="K71" s="6">
        <f t="shared" si="12"/>
        <v>6.698173115196048E-3</v>
      </c>
      <c r="L71" s="6">
        <f t="shared" si="12"/>
        <v>2.3505409404632072E-3</v>
      </c>
      <c r="M71" s="6">
        <f t="shared" si="12"/>
        <v>-1.2361893781621346E-3</v>
      </c>
      <c r="N71" s="6">
        <f t="shared" si="12"/>
        <v>4.0528664649777243E-3</v>
      </c>
      <c r="O71" s="6">
        <f t="shared" si="13"/>
        <v>-1.8588553567499557E-3</v>
      </c>
      <c r="P71" s="6"/>
      <c r="Q71" s="6">
        <f t="shared" si="14"/>
        <v>1.32341465712586E-3</v>
      </c>
      <c r="R71" s="6">
        <f t="shared" si="15"/>
        <v>-1.2361893781621346E-3</v>
      </c>
      <c r="S71" s="6">
        <f t="shared" si="16"/>
        <v>9.2237948672521252E-4</v>
      </c>
      <c r="T71" s="6">
        <f t="shared" si="17"/>
        <v>2.3405729164014336E-7</v>
      </c>
      <c r="U71" s="6">
        <f t="shared" si="18"/>
        <v>2.1376919086382356E-3</v>
      </c>
      <c r="V71" s="6">
        <f t="shared" si="19"/>
        <v>-1.2568649329978239E-3</v>
      </c>
      <c r="W71" s="6"/>
      <c r="AE71" s="38"/>
    </row>
    <row r="72" spans="1:31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11"/>
        <v>2.0507420058968329E-4</v>
      </c>
      <c r="J72" s="6">
        <f t="shared" si="12"/>
        <v>-7.0289607553052254E-3</v>
      </c>
      <c r="K72" s="6">
        <f t="shared" si="12"/>
        <v>2.564368058518235E-3</v>
      </c>
      <c r="L72" s="6">
        <f t="shared" si="12"/>
        <v>1.3685641523619864E-3</v>
      </c>
      <c r="M72" s="6">
        <f t="shared" si="12"/>
        <v>2.4706584385659168E-3</v>
      </c>
      <c r="N72" s="6">
        <f t="shared" si="12"/>
        <v>5.9675559803246874E-4</v>
      </c>
      <c r="O72" s="6">
        <f t="shared" si="13"/>
        <v>3.7140863701174238E-3</v>
      </c>
      <c r="P72" s="6"/>
      <c r="Q72" s="6">
        <f t="shared" si="14"/>
        <v>1.6768504614934736E-4</v>
      </c>
      <c r="R72" s="6">
        <f t="shared" si="15"/>
        <v>2.4706584385659168E-3</v>
      </c>
      <c r="S72" s="6">
        <f t="shared" si="16"/>
        <v>1.8439622691682374E-4</v>
      </c>
      <c r="T72" s="6">
        <f t="shared" si="17"/>
        <v>1.4927413322928224E-6</v>
      </c>
      <c r="U72" s="6">
        <f t="shared" si="18"/>
        <v>-1.3272016716758715E-3</v>
      </c>
      <c r="V72" s="6">
        <f t="shared" si="19"/>
        <v>-2.2710928265371774E-3</v>
      </c>
      <c r="W72" s="6"/>
      <c r="AE72" s="38"/>
    </row>
    <row r="73" spans="1:31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11"/>
        <v>2.0507420058968329E-4</v>
      </c>
      <c r="J73" s="6">
        <f t="shared" si="12"/>
        <v>-9.4805949388913479E-4</v>
      </c>
      <c r="K73" s="6">
        <f t="shared" si="12"/>
        <v>-1.8798349524674102E-3</v>
      </c>
      <c r="L73" s="6">
        <f t="shared" si="12"/>
        <v>-2.2819464710573719E-3</v>
      </c>
      <c r="M73" s="6">
        <f t="shared" si="12"/>
        <v>0</v>
      </c>
      <c r="N73" s="6">
        <f t="shared" si="12"/>
        <v>-1.9561422168003027E-3</v>
      </c>
      <c r="O73" s="6">
        <f t="shared" si="13"/>
        <v>0</v>
      </c>
      <c r="P73" s="6"/>
      <c r="Q73" s="6">
        <f t="shared" si="14"/>
        <v>-1.2380271626167083E-3</v>
      </c>
      <c r="R73" s="6">
        <f t="shared" si="15"/>
        <v>0</v>
      </c>
      <c r="S73" s="6">
        <f t="shared" si="16"/>
        <v>-9.4818251688017473E-4</v>
      </c>
      <c r="T73" s="6">
        <f t="shared" si="17"/>
        <v>5.5429953899575557E-6</v>
      </c>
      <c r="U73" s="6">
        <f t="shared" si="18"/>
        <v>-1.435623141555426E-3</v>
      </c>
      <c r="V73" s="6">
        <f t="shared" si="19"/>
        <v>3.0268960275318946E-4</v>
      </c>
      <c r="W73" s="6"/>
      <c r="AE73" s="38"/>
    </row>
    <row r="74" spans="1:31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11"/>
        <v>2.0545427193918719E-4</v>
      </c>
      <c r="J74" s="6">
        <f t="shared" si="12"/>
        <v>3.2089405359202782E-3</v>
      </c>
      <c r="K74" s="6">
        <f t="shared" si="12"/>
        <v>2.0506000205027385E-3</v>
      </c>
      <c r="L74" s="6">
        <f t="shared" si="12"/>
        <v>2.2819464710573632E-3</v>
      </c>
      <c r="M74" s="6">
        <f t="shared" si="12"/>
        <v>-1.8524051289652865E-3</v>
      </c>
      <c r="N74" s="6">
        <f t="shared" si="12"/>
        <v>9.7964714182290037E-4</v>
      </c>
      <c r="O74" s="6">
        <f t="shared" si="13"/>
        <v>1.8516204527893802E-3</v>
      </c>
      <c r="P74" s="6"/>
      <c r="Q74" s="6">
        <f t="shared" si="14"/>
        <v>1.0211472244066248E-3</v>
      </c>
      <c r="R74" s="6">
        <f t="shared" si="15"/>
        <v>-1.8524051289652865E-3</v>
      </c>
      <c r="S74" s="6">
        <f t="shared" si="16"/>
        <v>5.4325586297747743E-4</v>
      </c>
      <c r="T74" s="6">
        <f t="shared" si="17"/>
        <v>7.4462799759414857E-7</v>
      </c>
      <c r="U74" s="6">
        <f t="shared" si="18"/>
        <v>1.8966707838933461E-3</v>
      </c>
      <c r="V74" s="6">
        <f t="shared" si="19"/>
        <v>8.1992360265442155E-4</v>
      </c>
      <c r="W74" s="6"/>
      <c r="AE74" s="38"/>
    </row>
    <row r="75" spans="1:31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11"/>
        <v>2.043139499885438E-4</v>
      </c>
      <c r="J75" s="6">
        <f t="shared" si="12"/>
        <v>-5.4242788854046205E-3</v>
      </c>
      <c r="K75" s="6">
        <f t="shared" si="12"/>
        <v>-5.9926490699218782E-3</v>
      </c>
      <c r="L75" s="6">
        <f t="shared" si="12"/>
        <v>5.0673693523613879E-3</v>
      </c>
      <c r="M75" s="6">
        <f t="shared" si="12"/>
        <v>7.3891849715765874E-3</v>
      </c>
      <c r="N75" s="6">
        <f t="shared" si="12"/>
        <v>-9.4668376742538802E-4</v>
      </c>
      <c r="O75" s="6">
        <f t="shared" si="13"/>
        <v>-5.5657068229066041E-3</v>
      </c>
      <c r="P75" s="6"/>
      <c r="Q75" s="6">
        <f t="shared" si="14"/>
        <v>3.8951241960399649E-3</v>
      </c>
      <c r="R75" s="6">
        <f t="shared" si="15"/>
        <v>7.3891849715765874E-3</v>
      </c>
      <c r="S75" s="6">
        <f t="shared" si="16"/>
        <v>4.0041480692622217E-3</v>
      </c>
      <c r="T75" s="6">
        <f t="shared" si="17"/>
        <v>0</v>
      </c>
      <c r="U75" s="6">
        <f t="shared" si="18"/>
        <v>1.8601458932801501E-3</v>
      </c>
      <c r="V75" s="6">
        <f t="shared" si="19"/>
        <v>3.3211886612736089E-3</v>
      </c>
      <c r="W75" s="6"/>
      <c r="AE75" s="38"/>
    </row>
    <row r="76" spans="1:31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11"/>
        <v>2.0317330422892077E-4</v>
      </c>
      <c r="J76" s="6">
        <f t="shared" si="12"/>
        <v>3.0580089148523034E-3</v>
      </c>
      <c r="K76" s="6">
        <f t="shared" si="12"/>
        <v>1.1530896635000211E-2</v>
      </c>
      <c r="L76" s="6">
        <f t="shared" si="12"/>
        <v>1.1340267252648781E-2</v>
      </c>
      <c r="M76" s="6">
        <f t="shared" si="12"/>
        <v>1.6428683176453563E-2</v>
      </c>
      <c r="N76" s="6">
        <f t="shared" si="12"/>
        <v>3.7769911916856066E-3</v>
      </c>
      <c r="O76" s="6">
        <f t="shared" si="13"/>
        <v>-5.5984511272670423E-3</v>
      </c>
      <c r="P76" s="6"/>
      <c r="Q76" s="6">
        <f t="shared" si="14"/>
        <v>1.1545330657310445E-2</v>
      </c>
      <c r="R76" s="6">
        <f t="shared" si="15"/>
        <v>1.6428683176453563E-2</v>
      </c>
      <c r="S76" s="6">
        <f t="shared" si="16"/>
        <v>1.2034453655022382E-2</v>
      </c>
      <c r="T76" s="6">
        <f t="shared" si="17"/>
        <v>0</v>
      </c>
      <c r="U76" s="6">
        <f t="shared" si="18"/>
        <v>9.3624493560421924E-3</v>
      </c>
      <c r="V76" s="6">
        <f t="shared" si="19"/>
        <v>6.6294761489253361E-3</v>
      </c>
      <c r="W76" s="6"/>
      <c r="AE76" s="38"/>
    </row>
    <row r="77" spans="1:31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11"/>
        <v>1.9974942225231551E-4</v>
      </c>
      <c r="J77" s="6">
        <f t="shared" si="12"/>
        <v>6.7683969358011721E-3</v>
      </c>
      <c r="K77" s="6">
        <f t="shared" si="12"/>
        <v>3.4165183963682714E-3</v>
      </c>
      <c r="L77" s="6">
        <f t="shared" si="12"/>
        <v>4.857594182652576E-3</v>
      </c>
      <c r="M77" s="6">
        <f t="shared" si="12"/>
        <v>1.1401293855996619E-2</v>
      </c>
      <c r="N77" s="6">
        <f t="shared" si="12"/>
        <v>5.8565417006152948E-3</v>
      </c>
      <c r="O77" s="6">
        <f t="shared" si="13"/>
        <v>-1.6995637959121939E-2</v>
      </c>
      <c r="P77" s="6"/>
      <c r="Q77" s="6">
        <f t="shared" si="14"/>
        <v>7.4901523845112821E-3</v>
      </c>
      <c r="R77" s="6">
        <f t="shared" si="15"/>
        <v>1.1401293855996619E-2</v>
      </c>
      <c r="S77" s="6">
        <f t="shared" si="16"/>
        <v>8.289867284730584E-3</v>
      </c>
      <c r="T77" s="6">
        <f t="shared" si="17"/>
        <v>0</v>
      </c>
      <c r="U77" s="6">
        <f t="shared" si="18"/>
        <v>6.6272454866981925E-3</v>
      </c>
      <c r="V77" s="6">
        <f t="shared" si="19"/>
        <v>3.3154462888587075E-3</v>
      </c>
      <c r="W77" s="6"/>
      <c r="AE77" s="38"/>
    </row>
    <row r="78" spans="1:31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11"/>
        <v>2.0127150788695758E-4</v>
      </c>
      <c r="J78" s="6">
        <f t="shared" si="12"/>
        <v>-9.5097229376474839E-3</v>
      </c>
      <c r="K78" s="6">
        <f t="shared" si="12"/>
        <v>-1.1944749472458554E-3</v>
      </c>
      <c r="L78" s="6">
        <f t="shared" si="12"/>
        <v>7.3054908777762974E-3</v>
      </c>
      <c r="M78" s="6">
        <f t="shared" si="12"/>
        <v>-5.9844807698541955E-3</v>
      </c>
      <c r="N78" s="6">
        <f t="shared" si="12"/>
        <v>-5.4231665551195962E-3</v>
      </c>
      <c r="O78" s="6">
        <f t="shared" si="13"/>
        <v>7.5910897879737701E-3</v>
      </c>
      <c r="P78" s="6"/>
      <c r="Q78" s="6">
        <f t="shared" si="14"/>
        <v>-4.8024530042513835E-4</v>
      </c>
      <c r="R78" s="6">
        <f t="shared" si="15"/>
        <v>-5.9844807698541955E-3</v>
      </c>
      <c r="S78" s="6">
        <f t="shared" si="16"/>
        <v>-2.3052657933244946E-3</v>
      </c>
      <c r="T78" s="6">
        <f t="shared" si="17"/>
        <v>1.3774786571252883E-5</v>
      </c>
      <c r="U78" s="6">
        <f t="shared" si="18"/>
        <v>-7.296771576668058E-4</v>
      </c>
      <c r="V78" s="6">
        <f t="shared" si="19"/>
        <v>3.2442652205293444E-3</v>
      </c>
      <c r="W78" s="6"/>
      <c r="AE78" s="38"/>
    </row>
    <row r="79" spans="1:31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11"/>
        <v>1.970843837875158E-4</v>
      </c>
      <c r="J79" s="6">
        <f t="shared" si="12"/>
        <v>2.084449839920156E-2</v>
      </c>
      <c r="K79" s="6">
        <f t="shared" si="12"/>
        <v>1.5354718166455639E-3</v>
      </c>
      <c r="L79" s="6">
        <f t="shared" si="12"/>
        <v>-1.266031176191559E-4</v>
      </c>
      <c r="M79" s="6">
        <f t="shared" si="12"/>
        <v>3.306087505214772E-2</v>
      </c>
      <c r="N79" s="6">
        <f t="shared" si="12"/>
        <v>-5.691170958779145E-4</v>
      </c>
      <c r="O79" s="6">
        <f t="shared" si="13"/>
        <v>-2.1022800952401315E-2</v>
      </c>
      <c r="P79" s="6"/>
      <c r="Q79" s="6">
        <f t="shared" si="14"/>
        <v>1.5352021252262333E-2</v>
      </c>
      <c r="R79" s="6">
        <f t="shared" si="15"/>
        <v>3.306087505214772E-2</v>
      </c>
      <c r="S79" s="6">
        <f t="shared" si="16"/>
        <v>1.9581163973832909E-2</v>
      </c>
      <c r="T79" s="6">
        <f t="shared" si="17"/>
        <v>0</v>
      </c>
      <c r="U79" s="6">
        <f t="shared" si="18"/>
        <v>1.2721551763699839E-2</v>
      </c>
      <c r="V79" s="6">
        <f t="shared" si="19"/>
        <v>1.5568322869962559E-2</v>
      </c>
      <c r="W79" s="6"/>
      <c r="AE79" s="38"/>
    </row>
    <row r="80" spans="1:31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11"/>
        <v>1.9898816309771306E-4</v>
      </c>
      <c r="J80" s="6">
        <f t="shared" si="12"/>
        <v>-5.7032520050787593E-3</v>
      </c>
      <c r="K80" s="6">
        <f t="shared" si="12"/>
        <v>-1.0233916476147672E-3</v>
      </c>
      <c r="L80" s="6">
        <f t="shared" si="12"/>
        <v>-1.0563861768930536E-2</v>
      </c>
      <c r="M80" s="6">
        <f t="shared" si="12"/>
        <v>-1.6393661333646715E-2</v>
      </c>
      <c r="N80" s="6">
        <f t="shared" si="12"/>
        <v>-3.9137791113844191E-3</v>
      </c>
      <c r="O80" s="6">
        <f t="shared" si="13"/>
        <v>9.6133599104239326E-3</v>
      </c>
      <c r="P80" s="6"/>
      <c r="Q80" s="6">
        <f t="shared" si="14"/>
        <v>-1.1671602207538948E-2</v>
      </c>
      <c r="R80" s="6">
        <f t="shared" si="15"/>
        <v>-1.6393661333646715E-2</v>
      </c>
      <c r="S80" s="6">
        <f t="shared" si="16"/>
        <v>-1.2277484909399942E-2</v>
      </c>
      <c r="T80" s="6">
        <f t="shared" si="17"/>
        <v>1.8724252569023511E-4</v>
      </c>
      <c r="U80" s="6">
        <f t="shared" si="18"/>
        <v>-9.887041433610055E-3</v>
      </c>
      <c r="V80" s="6">
        <f t="shared" si="19"/>
        <v>-7.4795994035151848E-3</v>
      </c>
      <c r="W80" s="6"/>
      <c r="AE80" s="38"/>
    </row>
    <row r="81" spans="1:31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11"/>
        <v>1.9746521183972021E-4</v>
      </c>
      <c r="J81" s="6">
        <f t="shared" si="12"/>
        <v>1.0088207138443817E-2</v>
      </c>
      <c r="K81" s="6">
        <f t="shared" si="12"/>
        <v>2.3863212857141401E-3</v>
      </c>
      <c r="L81" s="6">
        <f t="shared" si="12"/>
        <v>3.0661278355592595E-3</v>
      </c>
      <c r="M81" s="6">
        <f t="shared" si="12"/>
        <v>8.8156554713472324E-3</v>
      </c>
      <c r="N81" s="6">
        <f t="shared" si="12"/>
        <v>7.9366104133129379E-3</v>
      </c>
      <c r="O81" s="6">
        <f t="shared" si="13"/>
        <v>-7.6829147917782045E-3</v>
      </c>
      <c r="P81" s="6"/>
      <c r="Q81" s="6">
        <f t="shared" si="14"/>
        <v>6.3867811484324341E-3</v>
      </c>
      <c r="R81" s="6">
        <f t="shared" si="15"/>
        <v>8.8156554713472324E-3</v>
      </c>
      <c r="S81" s="6">
        <f t="shared" si="16"/>
        <v>7.1645305522472849E-3</v>
      </c>
      <c r="T81" s="6">
        <f t="shared" si="17"/>
        <v>0</v>
      </c>
      <c r="U81" s="6">
        <f t="shared" si="18"/>
        <v>6.4556026997496544E-3</v>
      </c>
      <c r="V81" s="6">
        <f t="shared" si="19"/>
        <v>2.5833051387959272E-4</v>
      </c>
      <c r="W81" s="6"/>
      <c r="AE81" s="38"/>
    </row>
    <row r="82" spans="1:31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11"/>
        <v>1.9784600378991435E-4</v>
      </c>
      <c r="J82" s="6">
        <f t="shared" si="12"/>
        <v>7.3850207302899578E-3</v>
      </c>
      <c r="K82" s="6">
        <f t="shared" si="12"/>
        <v>-2.2156572655028478E-3</v>
      </c>
      <c r="L82" s="6">
        <f t="shared" si="12"/>
        <v>1.0973473354382132E-2</v>
      </c>
      <c r="M82" s="6">
        <f t="shared" si="12"/>
        <v>-9.9971434933014119E-3</v>
      </c>
      <c r="N82" s="6">
        <f t="shared" si="12"/>
        <v>4.0870746210065929E-3</v>
      </c>
      <c r="O82" s="6">
        <f t="shared" si="13"/>
        <v>1.9265432040200135E-3</v>
      </c>
      <c r="P82" s="6"/>
      <c r="Q82" s="6">
        <f t="shared" si="14"/>
        <v>3.014963954861837E-3</v>
      </c>
      <c r="R82" s="6">
        <f t="shared" si="15"/>
        <v>-9.9971434933014119E-3</v>
      </c>
      <c r="S82" s="6">
        <f t="shared" si="16"/>
        <v>4.5330147920907317E-4</v>
      </c>
      <c r="T82" s="6">
        <f t="shared" si="17"/>
        <v>9.0796635712491382E-7</v>
      </c>
      <c r="U82" s="6">
        <f t="shared" si="18"/>
        <v>6.172700818091386E-3</v>
      </c>
      <c r="V82" s="6">
        <f t="shared" si="19"/>
        <v>2.3262157691628996E-3</v>
      </c>
      <c r="W82" s="6"/>
      <c r="AE82" s="38"/>
    </row>
    <row r="83" spans="1:31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11"/>
        <v>1.970843837875158E-4</v>
      </c>
      <c r="J83" s="6">
        <f t="shared" si="12"/>
        <v>-1.301155524149791E-2</v>
      </c>
      <c r="K83" s="6">
        <f t="shared" si="12"/>
        <v>7.3098102582420726E-3</v>
      </c>
      <c r="L83" s="6">
        <f t="shared" si="12"/>
        <v>3.6521773139312004E-3</v>
      </c>
      <c r="M83" s="6">
        <f t="shared" si="12"/>
        <v>-1.7889443279638567E-2</v>
      </c>
      <c r="N83" s="6">
        <f t="shared" si="12"/>
        <v>3.9168516750811289E-3</v>
      </c>
      <c r="O83" s="6">
        <f t="shared" si="13"/>
        <v>-3.8569883226658797E-3</v>
      </c>
      <c r="P83" s="6"/>
      <c r="Q83" s="6">
        <f t="shared" si="14"/>
        <v>-6.9702868819916334E-3</v>
      </c>
      <c r="R83" s="6">
        <f t="shared" si="15"/>
        <v>-1.7889443279638567E-2</v>
      </c>
      <c r="S83" s="6">
        <f t="shared" si="16"/>
        <v>-9.7486051209122043E-3</v>
      </c>
      <c r="T83" s="6">
        <f t="shared" si="17"/>
        <v>1.2442910093847008E-4</v>
      </c>
      <c r="U83" s="6">
        <f t="shared" si="18"/>
        <v>-5.7352005216586757E-3</v>
      </c>
      <c r="V83" s="6">
        <f t="shared" si="19"/>
        <v>-8.7863833044678069E-3</v>
      </c>
      <c r="W83" s="6"/>
      <c r="AE83" s="38"/>
    </row>
    <row r="84" spans="1:31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11"/>
        <v>2.0012999773522111E-4</v>
      </c>
      <c r="J84" s="6">
        <f t="shared" si="12"/>
        <v>7.8889519649972505E-3</v>
      </c>
      <c r="K84" s="6">
        <f t="shared" si="12"/>
        <v>6.4156731620670822E-3</v>
      </c>
      <c r="L84" s="6">
        <f t="shared" si="12"/>
        <v>8.8855459657744724E-3</v>
      </c>
      <c r="M84" s="6">
        <f t="shared" si="12"/>
        <v>-1.2715943603931842E-2</v>
      </c>
      <c r="N84" s="6">
        <f t="shared" si="12"/>
        <v>4.5887580600857377E-3</v>
      </c>
      <c r="O84" s="6">
        <f t="shared" si="13"/>
        <v>1.5335162949086231E-2</v>
      </c>
      <c r="P84" s="6"/>
      <c r="Q84" s="6">
        <f t="shared" si="14"/>
        <v>1.1967345560216849E-3</v>
      </c>
      <c r="R84" s="6">
        <f t="shared" si="15"/>
        <v>-1.2715943603931842E-2</v>
      </c>
      <c r="S84" s="6">
        <f t="shared" si="16"/>
        <v>-1.3834453278306338E-3</v>
      </c>
      <c r="T84" s="6">
        <f t="shared" si="17"/>
        <v>7.7819769200459104E-6</v>
      </c>
      <c r="U84" s="6">
        <f t="shared" si="18"/>
        <v>4.8673370040161167E-3</v>
      </c>
      <c r="V84" s="6">
        <f t="shared" si="19"/>
        <v>-9.1810485955201408E-4</v>
      </c>
      <c r="W84" s="6"/>
      <c r="AE84" s="38"/>
    </row>
    <row r="85" spans="1:31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11"/>
        <v>2.0051053716385603E-4</v>
      </c>
      <c r="J85" s="6">
        <f t="shared" si="12"/>
        <v>1.6553655693470191E-2</v>
      </c>
      <c r="K85" s="6">
        <f t="shared" si="12"/>
        <v>8.5463889760277086E-3</v>
      </c>
      <c r="L85" s="6">
        <f t="shared" si="12"/>
        <v>3.3584282184013106E-3</v>
      </c>
      <c r="M85" s="6">
        <f t="shared" si="12"/>
        <v>2.4346320782964847E-3</v>
      </c>
      <c r="N85" s="6">
        <f t="shared" si="12"/>
        <v>1.3558420429298217E-2</v>
      </c>
      <c r="O85" s="6">
        <f t="shared" si="13"/>
        <v>1.8996557258902202E-3</v>
      </c>
      <c r="P85" s="6"/>
      <c r="Q85" s="6">
        <f t="shared" si="14"/>
        <v>5.5259495026416198E-3</v>
      </c>
      <c r="R85" s="6">
        <f t="shared" si="15"/>
        <v>2.4346320782964847E-3</v>
      </c>
      <c r="S85" s="6">
        <f t="shared" si="16"/>
        <v>5.6089619542267887E-3</v>
      </c>
      <c r="T85" s="6">
        <f t="shared" si="17"/>
        <v>0</v>
      </c>
      <c r="U85" s="6">
        <f t="shared" si="18"/>
        <v>7.7318408304781708E-3</v>
      </c>
      <c r="V85" s="6">
        <f t="shared" si="19"/>
        <v>-4.5282984496088337E-3</v>
      </c>
      <c r="W85" s="6"/>
      <c r="AE85" s="38"/>
    </row>
    <row r="86" spans="1:31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11"/>
        <v>2.0051053716385603E-4</v>
      </c>
      <c r="J86" s="6">
        <f t="shared" si="12"/>
        <v>7.5742185089877612E-4</v>
      </c>
      <c r="K86" s="6">
        <f t="shared" si="12"/>
        <v>-1.4962062138094838E-2</v>
      </c>
      <c r="L86" s="6">
        <f t="shared" si="12"/>
        <v>1.8028547888701854E-2</v>
      </c>
      <c r="M86" s="6">
        <f t="shared" si="12"/>
        <v>1.208465691282283E-2</v>
      </c>
      <c r="N86" s="6">
        <f t="shared" si="12"/>
        <v>2.6435733742609306E-3</v>
      </c>
      <c r="O86" s="6">
        <f t="shared" si="13"/>
        <v>0</v>
      </c>
      <c r="P86" s="6"/>
      <c r="Q86" s="6">
        <f t="shared" si="14"/>
        <v>1.2707682893020591E-2</v>
      </c>
      <c r="R86" s="6">
        <f t="shared" si="15"/>
        <v>1.208465691282283E-2</v>
      </c>
      <c r="S86" s="6">
        <f t="shared" si="16"/>
        <v>1.1700869559622545E-2</v>
      </c>
      <c r="T86" s="6">
        <f t="shared" si="17"/>
        <v>0</v>
      </c>
      <c r="U86" s="6">
        <f t="shared" si="18"/>
        <v>1.1086957659260053E-2</v>
      </c>
      <c r="V86" s="6">
        <f t="shared" si="19"/>
        <v>8.7377637982383252E-3</v>
      </c>
      <c r="W86" s="6"/>
      <c r="AE86" s="38"/>
    </row>
    <row r="87" spans="1:31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11"/>
        <v>1.9289289052348835E-4</v>
      </c>
      <c r="J87" s="6">
        <f t="shared" si="12"/>
        <v>-2.7295073142777661E-3</v>
      </c>
      <c r="K87" s="6">
        <f t="shared" si="12"/>
        <v>-7.4804742784532674E-3</v>
      </c>
      <c r="L87" s="6">
        <f t="shared" si="12"/>
        <v>7.5329194945627474E-3</v>
      </c>
      <c r="M87" s="6">
        <f t="shared" si="12"/>
        <v>-7.8383887172057826E-3</v>
      </c>
      <c r="N87" s="6">
        <f t="shared" si="12"/>
        <v>-7.6281368101049259E-5</v>
      </c>
      <c r="O87" s="6">
        <f t="shared" si="13"/>
        <v>-3.8731736328505399E-2</v>
      </c>
      <c r="P87" s="6"/>
      <c r="Q87" s="6">
        <f t="shared" si="14"/>
        <v>2.6015864589360978E-4</v>
      </c>
      <c r="R87" s="6">
        <f t="shared" si="15"/>
        <v>-7.8383887172057826E-3</v>
      </c>
      <c r="S87" s="6">
        <f t="shared" si="16"/>
        <v>-1.7333658615313829E-3</v>
      </c>
      <c r="T87" s="6">
        <f t="shared" si="17"/>
        <v>9.8567115841184013E-6</v>
      </c>
      <c r="U87" s="6">
        <f t="shared" si="18"/>
        <v>1.3934790277953641E-3</v>
      </c>
      <c r="V87" s="6">
        <f t="shared" si="19"/>
        <v>5.7743029238544741E-3</v>
      </c>
      <c r="W87" s="6"/>
      <c r="AE87" s="38"/>
    </row>
    <row r="88" spans="1:31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11"/>
        <v>1.9136762610516556E-4</v>
      </c>
      <c r="J88" s="6">
        <f t="shared" si="12"/>
        <v>-8.53965400802611E-3</v>
      </c>
      <c r="K88" s="6">
        <f t="shared" si="12"/>
        <v>7.1417585896560408E-3</v>
      </c>
      <c r="L88" s="6">
        <f t="shared" si="12"/>
        <v>6.0338573294274594E-3</v>
      </c>
      <c r="M88" s="6">
        <f t="shared" si="12"/>
        <v>-3.6386626067303612E-3</v>
      </c>
      <c r="N88" s="6">
        <f t="shared" si="12"/>
        <v>4.5180974872495441E-3</v>
      </c>
      <c r="O88" s="6">
        <f t="shared" si="13"/>
        <v>-7.938741363990285E-3</v>
      </c>
      <c r="P88" s="6"/>
      <c r="Q88" s="6">
        <f t="shared" si="14"/>
        <v>-7.3028193631672483E-5</v>
      </c>
      <c r="R88" s="6">
        <f t="shared" si="15"/>
        <v>-3.6386626067303612E-3</v>
      </c>
      <c r="S88" s="6">
        <f t="shared" si="16"/>
        <v>-1.4197297845162749E-3</v>
      </c>
      <c r="T88" s="6">
        <f t="shared" si="17"/>
        <v>7.9857331372254351E-6</v>
      </c>
      <c r="U88" s="6">
        <f t="shared" si="18"/>
        <v>-6.1601720160467865E-4</v>
      </c>
      <c r="V88" s="6">
        <f t="shared" si="19"/>
        <v>-3.7469626645407796E-3</v>
      </c>
      <c r="W88" s="6"/>
      <c r="AE88" s="38"/>
    </row>
    <row r="89" spans="1:31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11"/>
        <v>1.9327411614988854E-4</v>
      </c>
      <c r="J89" s="6">
        <f t="shared" si="12"/>
        <v>5.3458637702141027E-3</v>
      </c>
      <c r="K89" s="6">
        <f t="shared" si="12"/>
        <v>-3.2244751257021888E-3</v>
      </c>
      <c r="L89" s="6">
        <f t="shared" si="12"/>
        <v>1.3266549902395489E-2</v>
      </c>
      <c r="M89" s="6">
        <f t="shared" si="12"/>
        <v>9.0718253225267661E-3</v>
      </c>
      <c r="N89" s="6">
        <f t="shared" si="12"/>
        <v>5.8492552349014293E-3</v>
      </c>
      <c r="O89" s="6">
        <f t="shared" si="13"/>
        <v>9.9131500713952395E-3</v>
      </c>
      <c r="P89" s="6"/>
      <c r="Q89" s="6">
        <f t="shared" si="14"/>
        <v>1.0316329317765691E-2</v>
      </c>
      <c r="R89" s="6">
        <f t="shared" si="15"/>
        <v>9.0718253225267661E-3</v>
      </c>
      <c r="S89" s="6">
        <f t="shared" si="16"/>
        <v>9.6778210539280578E-3</v>
      </c>
      <c r="T89" s="6">
        <f t="shared" si="17"/>
        <v>0</v>
      </c>
      <c r="U89" s="6">
        <f t="shared" si="18"/>
        <v>9.8331238390122616E-3</v>
      </c>
      <c r="V89" s="6">
        <f t="shared" si="19"/>
        <v>3.5313268303623292E-3</v>
      </c>
      <c r="W89" s="6"/>
      <c r="AE89" s="38"/>
    </row>
    <row r="90" spans="1:31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11"/>
        <v>1.9327411614988854E-4</v>
      </c>
      <c r="J90" s="6">
        <f t="shared" si="12"/>
        <v>-1.0771711802952852E-2</v>
      </c>
      <c r="K90" s="6">
        <f t="shared" si="12"/>
        <v>-2.0955763699396959E-2</v>
      </c>
      <c r="L90" s="6">
        <f t="shared" si="12"/>
        <v>-1.1343350930772851E-2</v>
      </c>
      <c r="M90" s="6">
        <f t="shared" si="12"/>
        <v>-1.2723712230209391E-2</v>
      </c>
      <c r="N90" s="6">
        <f t="shared" si="12"/>
        <v>-1.4793144174519959E-2</v>
      </c>
      <c r="O90" s="6">
        <f t="shared" si="13"/>
        <v>0</v>
      </c>
      <c r="P90" s="6"/>
      <c r="Q90" s="6">
        <f t="shared" si="14"/>
        <v>-1.1714868854458861E-2</v>
      </c>
      <c r="R90" s="6">
        <f t="shared" si="15"/>
        <v>-1.2723712230209391E-2</v>
      </c>
      <c r="S90" s="6">
        <f t="shared" si="16"/>
        <v>-1.188895430156402E-2</v>
      </c>
      <c r="T90" s="6">
        <f t="shared" si="17"/>
        <v>1.7676044096753488E-4</v>
      </c>
      <c r="U90" s="6">
        <f t="shared" si="18"/>
        <v>-1.1381979469899469E-2</v>
      </c>
      <c r="V90" s="6">
        <f t="shared" si="19"/>
        <v>1.7638495123232407E-3</v>
      </c>
      <c r="W90" s="6"/>
      <c r="AE90" s="38"/>
    </row>
    <row r="91" spans="1:31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11"/>
        <v>1.9251162871269933E-4</v>
      </c>
      <c r="J91" s="6">
        <f t="shared" si="12"/>
        <v>-7.7033791279105483E-4</v>
      </c>
      <c r="K91" s="6">
        <f t="shared" si="12"/>
        <v>6.5744708171604086E-3</v>
      </c>
      <c r="L91" s="6">
        <f t="shared" si="12"/>
        <v>5.6878079343058051E-3</v>
      </c>
      <c r="M91" s="6">
        <f t="shared" si="12"/>
        <v>5.4729367751170889E-3</v>
      </c>
      <c r="N91" s="6">
        <f t="shared" si="12"/>
        <v>1.024879009249407E-2</v>
      </c>
      <c r="O91" s="6">
        <f t="shared" si="13"/>
        <v>-3.9529113773502057E-3</v>
      </c>
      <c r="P91" s="6"/>
      <c r="Q91" s="6">
        <f t="shared" si="14"/>
        <v>4.395346928241577E-3</v>
      </c>
      <c r="R91" s="6">
        <f t="shared" si="15"/>
        <v>5.4729367751170889E-3</v>
      </c>
      <c r="S91" s="6">
        <f t="shared" si="16"/>
        <v>4.2821431480410321E-3</v>
      </c>
      <c r="T91" s="6">
        <f t="shared" si="17"/>
        <v>0</v>
      </c>
      <c r="U91" s="6">
        <f t="shared" si="18"/>
        <v>3.4338193745081201E-3</v>
      </c>
      <c r="V91" s="6">
        <f t="shared" si="19"/>
        <v>-5.233516612506455E-3</v>
      </c>
      <c r="W91" s="6"/>
      <c r="AE91" s="38"/>
    </row>
    <row r="92" spans="1:31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11"/>
        <v>1.9060477665200359E-4</v>
      </c>
      <c r="J92" s="6">
        <f t="shared" si="12"/>
        <v>-5.5629055748559423E-3</v>
      </c>
      <c r="K92" s="6">
        <f t="shared" si="12"/>
        <v>5.6744066112261139E-3</v>
      </c>
      <c r="L92" s="6">
        <f t="shared" si="12"/>
        <v>-5.9719768106862266E-4</v>
      </c>
      <c r="M92" s="6">
        <f t="shared" si="12"/>
        <v>3.6318010530331695E-3</v>
      </c>
      <c r="N92" s="6">
        <f t="shared" si="12"/>
        <v>1.6587067997896167E-3</v>
      </c>
      <c r="O92" s="6">
        <f t="shared" si="13"/>
        <v>-9.9545087610752991E-3</v>
      </c>
      <c r="P92" s="6"/>
      <c r="Q92" s="6">
        <f t="shared" si="14"/>
        <v>-6.5136554108786342E-5</v>
      </c>
      <c r="R92" s="6">
        <f t="shared" si="15"/>
        <v>3.6318010530331695E-3</v>
      </c>
      <c r="S92" s="6">
        <f t="shared" si="16"/>
        <v>3.795666934250032E-4</v>
      </c>
      <c r="T92" s="6">
        <f t="shared" si="17"/>
        <v>1.053922902631278E-6</v>
      </c>
      <c r="U92" s="6">
        <f t="shared" si="18"/>
        <v>-1.5825194543011042E-3</v>
      </c>
      <c r="V92" s="6">
        <f t="shared" si="19"/>
        <v>-1.9480173054625717E-3</v>
      </c>
      <c r="W92" s="6"/>
      <c r="AE92" s="38"/>
    </row>
    <row r="93" spans="1:31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11"/>
        <v>1.8907864298212118E-4</v>
      </c>
      <c r="J93" s="6">
        <f t="shared" si="12"/>
        <v>-2.8449113917028523E-3</v>
      </c>
      <c r="K93" s="6">
        <f t="shared" si="12"/>
        <v>4.1068114348282283E-3</v>
      </c>
      <c r="L93" s="6">
        <f t="shared" si="12"/>
        <v>5.8965836558493075E-3</v>
      </c>
      <c r="M93" s="6">
        <f t="shared" si="12"/>
        <v>1.2077595132303129E-3</v>
      </c>
      <c r="N93" s="6">
        <f t="shared" si="12"/>
        <v>4.2227363999498384E-3</v>
      </c>
      <c r="O93" s="6">
        <f t="shared" si="13"/>
        <v>-8.0390230909918731E-3</v>
      </c>
      <c r="P93" s="6"/>
      <c r="Q93" s="6">
        <f t="shared" si="14"/>
        <v>2.6200078545804365E-3</v>
      </c>
      <c r="R93" s="6">
        <f t="shared" si="15"/>
        <v>1.2077595132303129E-3</v>
      </c>
      <c r="S93" s="6">
        <f t="shared" si="16"/>
        <v>1.9395375188459491E-3</v>
      </c>
      <c r="T93" s="6">
        <f t="shared" si="17"/>
        <v>0</v>
      </c>
      <c r="U93" s="6">
        <f t="shared" si="18"/>
        <v>2.0972472806542312E-3</v>
      </c>
      <c r="V93" s="6">
        <f t="shared" si="19"/>
        <v>-7.6006048185188989E-4</v>
      </c>
      <c r="W93" s="6"/>
      <c r="AE93" s="38"/>
    </row>
    <row r="94" spans="1:31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11"/>
        <v>1.8831535865504456E-4</v>
      </c>
      <c r="J94" s="6">
        <f t="shared" si="12"/>
        <v>5.1779897604456546E-4</v>
      </c>
      <c r="K94" s="6">
        <f t="shared" si="12"/>
        <v>2.5581149129798759E-3</v>
      </c>
      <c r="L94" s="6">
        <f t="shared" si="12"/>
        <v>5.9800808714544585E-3</v>
      </c>
      <c r="M94" s="6">
        <f t="shared" si="12"/>
        <v>6.0333319054379066E-4</v>
      </c>
      <c r="N94" s="6">
        <f t="shared" si="12"/>
        <v>1.429419277681746E-3</v>
      </c>
      <c r="O94" s="6">
        <f t="shared" si="13"/>
        <v>-4.0450317944709362E-3</v>
      </c>
      <c r="P94" s="6"/>
      <c r="Q94" s="6">
        <f t="shared" si="14"/>
        <v>3.0830111575354999E-3</v>
      </c>
      <c r="R94" s="6">
        <f t="shared" si="15"/>
        <v>6.0333319054379066E-4</v>
      </c>
      <c r="S94" s="6">
        <f t="shared" si="16"/>
        <v>2.3632527980140456E-3</v>
      </c>
      <c r="T94" s="6">
        <f t="shared" si="17"/>
        <v>0</v>
      </c>
      <c r="U94" s="6">
        <f t="shared" si="18"/>
        <v>3.1896046222422421E-3</v>
      </c>
      <c r="V94" s="6">
        <f t="shared" si="19"/>
        <v>2.3698019557592256E-3</v>
      </c>
      <c r="W94" s="6"/>
      <c r="AE94" s="38"/>
    </row>
    <row r="95" spans="1:31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11"/>
        <v>1.8831535865504456E-4</v>
      </c>
      <c r="J95" s="6">
        <f t="shared" si="12"/>
        <v>2.2237825955231019E-3</v>
      </c>
      <c r="K95" s="6">
        <f t="shared" si="12"/>
        <v>6.811858639393253E-4</v>
      </c>
      <c r="L95" s="6">
        <f t="shared" si="12"/>
        <v>5.2989165247204857E-3</v>
      </c>
      <c r="M95" s="6">
        <f t="shared" si="12"/>
        <v>9.6039637827291333E-3</v>
      </c>
      <c r="N95" s="6">
        <f t="shared" si="12"/>
        <v>3.7010203319937546E-4</v>
      </c>
      <c r="O95" s="6">
        <f t="shared" si="13"/>
        <v>0</v>
      </c>
      <c r="P95" s="6"/>
      <c r="Q95" s="6">
        <f t="shared" si="14"/>
        <v>6.2139009686934506E-3</v>
      </c>
      <c r="R95" s="6">
        <f t="shared" si="15"/>
        <v>9.6039637827291333E-3</v>
      </c>
      <c r="S95" s="6">
        <f t="shared" si="16"/>
        <v>6.6730601712573362E-3</v>
      </c>
      <c r="T95" s="6">
        <f t="shared" si="17"/>
        <v>0</v>
      </c>
      <c r="U95" s="6">
        <f t="shared" si="18"/>
        <v>4.9756702859131505E-3</v>
      </c>
      <c r="V95" s="6">
        <f t="shared" si="19"/>
        <v>4.6467815806443954E-3</v>
      </c>
      <c r="W95" s="6"/>
      <c r="AE95" s="38"/>
    </row>
    <row r="96" spans="1:31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11"/>
        <v>1.8869701894863589E-4</v>
      </c>
      <c r="J96" s="6">
        <f t="shared" si="12"/>
        <v>-5.4389057902563941E-3</v>
      </c>
      <c r="K96" s="6">
        <f t="shared" si="12"/>
        <v>3.0590814664282501E-3</v>
      </c>
      <c r="L96" s="6">
        <f t="shared" si="12"/>
        <v>-1.1751806513597941E-3</v>
      </c>
      <c r="M96" s="6">
        <f t="shared" si="12"/>
        <v>2.3866948027653455E-3</v>
      </c>
      <c r="N96" s="6">
        <f t="shared" si="12"/>
        <v>-2.8304729998547477E-3</v>
      </c>
      <c r="O96" s="6">
        <f t="shared" si="13"/>
        <v>2.0246572613530339E-3</v>
      </c>
      <c r="P96" s="6"/>
      <c r="Q96" s="6">
        <f t="shared" si="14"/>
        <v>-7.4239380479156352E-4</v>
      </c>
      <c r="R96" s="6">
        <f t="shared" si="15"/>
        <v>2.3866948027653455E-3</v>
      </c>
      <c r="S96" s="6">
        <f t="shared" si="16"/>
        <v>-3.7096445250872439E-4</v>
      </c>
      <c r="T96" s="6">
        <f t="shared" si="17"/>
        <v>3.1582216691950804E-6</v>
      </c>
      <c r="U96" s="6">
        <f t="shared" si="18"/>
        <v>-2.0330020869331997E-3</v>
      </c>
      <c r="V96" s="6">
        <f t="shared" si="19"/>
        <v>2.5681980146645324E-4</v>
      </c>
      <c r="W96" s="6"/>
      <c r="AE96" s="38"/>
    </row>
    <row r="97" spans="1:31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11"/>
        <v>1.8717016014413446E-4</v>
      </c>
      <c r="J97" s="6">
        <f t="shared" si="12"/>
        <v>-3.6442669115568614E-2</v>
      </c>
      <c r="K97" s="6">
        <f t="shared" si="12"/>
        <v>1.4989765411567772E-2</v>
      </c>
      <c r="L97" s="6">
        <f t="shared" si="12"/>
        <v>1.1573020195509662E-2</v>
      </c>
      <c r="M97" s="6">
        <f t="shared" si="12"/>
        <v>2.7624383831125431E-2</v>
      </c>
      <c r="N97" s="6">
        <f t="shared" si="12"/>
        <v>-5.6766608929654707E-3</v>
      </c>
      <c r="O97" s="6">
        <f t="shared" si="13"/>
        <v>-8.1245040168903531E-3</v>
      </c>
      <c r="P97" s="6"/>
      <c r="Q97" s="6">
        <f t="shared" si="14"/>
        <v>8.0920861969751706E-3</v>
      </c>
      <c r="R97" s="6">
        <f t="shared" si="15"/>
        <v>2.7624383831125431E-2</v>
      </c>
      <c r="S97" s="6">
        <f t="shared" si="16"/>
        <v>9.3373299130813867E-3</v>
      </c>
      <c r="T97" s="6">
        <f t="shared" si="17"/>
        <v>0</v>
      </c>
      <c r="U97" s="6">
        <f t="shared" si="18"/>
        <v>-2.1817698346707944E-3</v>
      </c>
      <c r="V97" s="6">
        <f t="shared" si="19"/>
        <v>3.7674747037205933E-3</v>
      </c>
      <c r="W97" s="6"/>
      <c r="AE97" s="38"/>
    </row>
    <row r="98" spans="1:31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11"/>
        <v>1.8831535865504456E-4</v>
      </c>
      <c r="J98" s="6">
        <f t="shared" si="12"/>
        <v>-7.5158087877084971E-3</v>
      </c>
      <c r="K98" s="6">
        <f t="shared" si="12"/>
        <v>2.3375916662677874E-3</v>
      </c>
      <c r="L98" s="6">
        <f t="shared" si="12"/>
        <v>-4.3679752008790812E-3</v>
      </c>
      <c r="M98" s="6">
        <f t="shared" si="12"/>
        <v>-1.1600607305661888E-3</v>
      </c>
      <c r="N98" s="6">
        <f t="shared" si="12"/>
        <v>-8.0486143089745707E-3</v>
      </c>
      <c r="O98" s="6">
        <f t="shared" si="13"/>
        <v>6.0998467555371874E-3</v>
      </c>
      <c r="P98" s="6"/>
      <c r="Q98" s="6">
        <f t="shared" si="14"/>
        <v>-3.8476673546012589E-3</v>
      </c>
      <c r="R98" s="6">
        <f t="shared" si="15"/>
        <v>-1.1600607305661888E-3</v>
      </c>
      <c r="S98" s="6">
        <f t="shared" si="16"/>
        <v>-3.4980581709425891E-3</v>
      </c>
      <c r="T98" s="6">
        <f t="shared" si="17"/>
        <v>2.4051494814161393E-5</v>
      </c>
      <c r="U98" s="6">
        <f t="shared" si="18"/>
        <v>-4.9028872449485882E-3</v>
      </c>
      <c r="V98" s="6">
        <f t="shared" si="19"/>
        <v>1.5702016324993448E-3</v>
      </c>
      <c r="W98" s="6"/>
      <c r="AE98" s="38"/>
    </row>
    <row r="99" spans="1:31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11"/>
        <v>1.8717016014413446E-4</v>
      </c>
      <c r="J99" s="6">
        <f t="shared" si="12"/>
        <v>-1.2781428001649012E-2</v>
      </c>
      <c r="K99" s="6">
        <f t="shared" si="12"/>
        <v>-3.3411282708156569E-3</v>
      </c>
      <c r="L99" s="6">
        <f t="shared" si="12"/>
        <v>6.6141593258210608E-3</v>
      </c>
      <c r="M99" s="6">
        <f t="shared" si="12"/>
        <v>-4.6539918884881352E-3</v>
      </c>
      <c r="N99" s="6">
        <f t="shared" si="12"/>
        <v>-3.434296699869414E-3</v>
      </c>
      <c r="O99" s="6">
        <f t="shared" si="13"/>
        <v>-6.0998467555372334E-3</v>
      </c>
      <c r="P99" s="6"/>
      <c r="Q99" s="6">
        <f t="shared" si="14"/>
        <v>-9.5611784243369163E-4</v>
      </c>
      <c r="R99" s="6">
        <f t="shared" si="15"/>
        <v>-4.6539918884881352E-3</v>
      </c>
      <c r="S99" s="6">
        <f t="shared" si="16"/>
        <v>-2.5798704906717196E-3</v>
      </c>
      <c r="T99" s="6">
        <f t="shared" si="17"/>
        <v>1.5888552004532539E-5</v>
      </c>
      <c r="U99" s="6">
        <f t="shared" si="18"/>
        <v>-1.9629248227139686E-3</v>
      </c>
      <c r="V99" s="6">
        <f t="shared" si="19"/>
        <v>1.7681986403322377E-3</v>
      </c>
      <c r="W99" s="6"/>
      <c r="AE99" s="38"/>
    </row>
    <row r="100" spans="1:31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11"/>
        <v>1.8717016014413446E-4</v>
      </c>
      <c r="J100" s="6">
        <f t="shared" ref="J100:N130" si="20">LN(B100/B99)</f>
        <v>-4.0210117830922973E-3</v>
      </c>
      <c r="K100" s="6">
        <f t="shared" si="20"/>
        <v>-1.5071191150336566E-3</v>
      </c>
      <c r="L100" s="6">
        <f t="shared" si="20"/>
        <v>5.0046366419241994E-3</v>
      </c>
      <c r="M100" s="6">
        <f t="shared" si="20"/>
        <v>1.8487103983690103E-2</v>
      </c>
      <c r="N100" s="6">
        <f t="shared" si="20"/>
        <v>1.8240092336748459E-3</v>
      </c>
      <c r="O100" s="6">
        <f t="shared" si="13"/>
        <v>0</v>
      </c>
      <c r="P100" s="6"/>
      <c r="Q100" s="6">
        <f t="shared" si="14"/>
        <v>7.9842561238651182E-3</v>
      </c>
      <c r="R100" s="6">
        <f t="shared" si="15"/>
        <v>1.8487103983690103E-2</v>
      </c>
      <c r="S100" s="6">
        <f t="shared" si="16"/>
        <v>9.4457578474061339E-3</v>
      </c>
      <c r="T100" s="6">
        <f t="shared" si="17"/>
        <v>0</v>
      </c>
      <c r="U100" s="6">
        <f t="shared" si="18"/>
        <v>4.2000282366423105E-3</v>
      </c>
      <c r="V100" s="6">
        <f t="shared" si="19"/>
        <v>2.5791345871918401E-3</v>
      </c>
      <c r="W100" s="6"/>
      <c r="AE100" s="38"/>
    </row>
    <row r="101" spans="1:31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11"/>
        <v>1.8755192925978825E-4</v>
      </c>
      <c r="J101" s="6">
        <f t="shared" si="20"/>
        <v>2.3887222589555022E-2</v>
      </c>
      <c r="K101" s="6">
        <f t="shared" si="20"/>
        <v>7.3468937372898847E-3</v>
      </c>
      <c r="L101" s="6">
        <f t="shared" si="20"/>
        <v>-1.4521496056958624E-3</v>
      </c>
      <c r="M101" s="6">
        <f t="shared" si="20"/>
        <v>-8.62337357891769E-3</v>
      </c>
      <c r="N101" s="6">
        <f t="shared" si="20"/>
        <v>1.4015987132365047E-2</v>
      </c>
      <c r="O101" s="6">
        <f t="shared" si="13"/>
        <v>2.0376127190629861E-3</v>
      </c>
      <c r="P101" s="6"/>
      <c r="Q101" s="6">
        <f t="shared" si="14"/>
        <v>8.3611215455604675E-4</v>
      </c>
      <c r="R101" s="6">
        <f t="shared" si="15"/>
        <v>-8.62337357891769E-3</v>
      </c>
      <c r="S101" s="6">
        <f t="shared" si="16"/>
        <v>3.5326303714999611E-4</v>
      </c>
      <c r="T101" s="6">
        <f t="shared" si="17"/>
        <v>1.1086218451376842E-6</v>
      </c>
      <c r="U101" s="6">
        <f t="shared" si="18"/>
        <v>6.0278362669816737E-3</v>
      </c>
      <c r="V101" s="6">
        <f t="shared" si="19"/>
        <v>-6.654279044946157E-3</v>
      </c>
      <c r="W101" s="6"/>
      <c r="AE101" s="38"/>
    </row>
    <row r="102" spans="1:31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11"/>
        <v>1.8793366209446383E-4</v>
      </c>
      <c r="J102" s="6">
        <f t="shared" si="20"/>
        <v>-2.2659828390601978E-3</v>
      </c>
      <c r="K102" s="6">
        <f t="shared" si="20"/>
        <v>-1.8316735365529078E-3</v>
      </c>
      <c r="L102" s="6">
        <f t="shared" si="20"/>
        <v>-7.9374988566027482E-3</v>
      </c>
      <c r="M102" s="6">
        <f t="shared" si="20"/>
        <v>-5.4130016942953952E-3</v>
      </c>
      <c r="N102" s="6">
        <f t="shared" si="20"/>
        <v>-1.4789856520085827E-3</v>
      </c>
      <c r="O102" s="6">
        <f t="shared" si="13"/>
        <v>2.0332762427048251E-3</v>
      </c>
      <c r="P102" s="6"/>
      <c r="Q102" s="6">
        <f t="shared" si="14"/>
        <v>-5.9913850730428471E-3</v>
      </c>
      <c r="R102" s="6">
        <f t="shared" si="15"/>
        <v>-5.4130016942953952E-3</v>
      </c>
      <c r="S102" s="6">
        <f t="shared" si="16"/>
        <v>-5.6018618364457717E-3</v>
      </c>
      <c r="T102" s="6">
        <f t="shared" si="17"/>
        <v>4.9112568610787361E-5</v>
      </c>
      <c r="U102" s="6">
        <f t="shared" si="18"/>
        <v>-5.5605621537046322E-3</v>
      </c>
      <c r="V102" s="6">
        <f t="shared" si="19"/>
        <v>-4.472690271036155E-3</v>
      </c>
      <c r="W102" s="6"/>
      <c r="AE102" s="38"/>
    </row>
    <row r="103" spans="1:31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11"/>
        <v>1.8946023076238383E-4</v>
      </c>
      <c r="J103" s="6">
        <f t="shared" si="20"/>
        <v>5.655471783241264E-3</v>
      </c>
      <c r="K103" s="6">
        <f t="shared" si="20"/>
        <v>3.3277857054118689E-3</v>
      </c>
      <c r="L103" s="6">
        <f t="shared" si="20"/>
        <v>2.1072476150256008E-3</v>
      </c>
      <c r="M103" s="6">
        <f t="shared" si="20"/>
        <v>-4.7308269784354078E-3</v>
      </c>
      <c r="N103" s="6">
        <f t="shared" si="20"/>
        <v>5.6499398196109933E-3</v>
      </c>
      <c r="O103" s="6">
        <f t="shared" si="13"/>
        <v>8.0900990870679586E-3</v>
      </c>
      <c r="P103" s="6"/>
      <c r="Q103" s="6">
        <f t="shared" si="14"/>
        <v>4.0191080739984978E-4</v>
      </c>
      <c r="R103" s="6">
        <f t="shared" si="15"/>
        <v>-4.7308269784354078E-3</v>
      </c>
      <c r="S103" s="6">
        <f t="shared" si="16"/>
        <v>-3.5755480264217099E-4</v>
      </c>
      <c r="T103" s="6">
        <f t="shared" si="17"/>
        <v>3.1107398746290682E-6</v>
      </c>
      <c r="U103" s="6">
        <f t="shared" si="18"/>
        <v>2.1618737515039996E-3</v>
      </c>
      <c r="V103" s="6">
        <f t="shared" si="19"/>
        <v>-3.7597940649063779E-3</v>
      </c>
      <c r="W103" s="6"/>
      <c r="AE103" s="38"/>
    </row>
    <row r="104" spans="1:31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11"/>
        <v>1.8907864298212118E-4</v>
      </c>
      <c r="J104" s="6">
        <f t="shared" si="20"/>
        <v>-3.2278053849822972E-3</v>
      </c>
      <c r="K104" s="6">
        <f t="shared" si="20"/>
        <v>-6.4994939061170766E-3</v>
      </c>
      <c r="L104" s="6">
        <f t="shared" si="20"/>
        <v>-4.2189451011928857E-3</v>
      </c>
      <c r="M104" s="6">
        <f t="shared" si="20"/>
        <v>-3.8675610583800438E-2</v>
      </c>
      <c r="N104" s="6">
        <f t="shared" si="20"/>
        <v>-6.7128903604016395E-4</v>
      </c>
      <c r="O104" s="6">
        <f t="shared" si="13"/>
        <v>-2.0161094988275217E-3</v>
      </c>
      <c r="P104" s="6"/>
      <c r="Q104" s="6">
        <f t="shared" si="14"/>
        <v>-1.5996735686896794E-2</v>
      </c>
      <c r="R104" s="6">
        <f t="shared" si="15"/>
        <v>-3.8675610583800438E-2</v>
      </c>
      <c r="S104" s="6">
        <f t="shared" si="16"/>
        <v>-2.007350589599214E-2</v>
      </c>
      <c r="T104" s="6">
        <f t="shared" si="17"/>
        <v>4.6137665556312505E-4</v>
      </c>
      <c r="U104" s="6">
        <f t="shared" si="18"/>
        <v>-9.7422848134459741E-3</v>
      </c>
      <c r="V104" s="6">
        <f t="shared" si="19"/>
        <v>-8.9212410563589088E-3</v>
      </c>
      <c r="W104" s="6"/>
      <c r="AE104" s="38"/>
    </row>
    <row r="105" spans="1:31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11"/>
        <v>1.8831535865504456E-4</v>
      </c>
      <c r="J105" s="6">
        <f t="shared" si="20"/>
        <v>1.776525989713901E-3</v>
      </c>
      <c r="K105" s="6">
        <f t="shared" si="20"/>
        <v>9.6506195124218454E-3</v>
      </c>
      <c r="L105" s="6">
        <f t="shared" si="20"/>
        <v>-7.3671383000021009E-3</v>
      </c>
      <c r="M105" s="6">
        <f t="shared" si="20"/>
        <v>1.5286157688589852E-2</v>
      </c>
      <c r="N105" s="6">
        <f t="shared" si="20"/>
        <v>7.5072645194105983E-4</v>
      </c>
      <c r="O105" s="6">
        <f t="shared" si="13"/>
        <v>-4.0450317944709362E-3</v>
      </c>
      <c r="P105" s="6"/>
      <c r="Q105" s="6">
        <f t="shared" si="14"/>
        <v>2.2232407243876406E-3</v>
      </c>
      <c r="R105" s="6">
        <f t="shared" si="15"/>
        <v>1.5286157688589852E-2</v>
      </c>
      <c r="S105" s="6">
        <f t="shared" si="16"/>
        <v>5.0686501199740108E-3</v>
      </c>
      <c r="T105" s="6">
        <f t="shared" si="17"/>
        <v>0</v>
      </c>
      <c r="U105" s="6">
        <f t="shared" si="18"/>
        <v>-3.7261856668789574E-4</v>
      </c>
      <c r="V105" s="6">
        <f t="shared" si="19"/>
        <v>-5.8930537670437736E-4</v>
      </c>
      <c r="W105" s="6"/>
      <c r="AE105" s="38"/>
    </row>
    <row r="106" spans="1:31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11"/>
        <v>1.8831535865504456E-4</v>
      </c>
      <c r="J106" s="6">
        <f t="shared" si="20"/>
        <v>-1.2393598825964395E-2</v>
      </c>
      <c r="K106" s="6">
        <f t="shared" si="20"/>
        <v>-6.6456043485522889E-3</v>
      </c>
      <c r="L106" s="6">
        <f t="shared" si="20"/>
        <v>-6.2900128628262742E-3</v>
      </c>
      <c r="M106" s="6">
        <f t="shared" si="20"/>
        <v>-2.4301095699120847E-3</v>
      </c>
      <c r="N106" s="6">
        <f t="shared" si="20"/>
        <v>-3.7382986232446964E-3</v>
      </c>
      <c r="O106" s="6">
        <f t="shared" si="13"/>
        <v>0</v>
      </c>
      <c r="P106" s="6"/>
      <c r="Q106" s="6">
        <f t="shared" si="14"/>
        <v>-6.1006921935836478E-3</v>
      </c>
      <c r="R106" s="6">
        <f t="shared" si="15"/>
        <v>-2.4301095699120847E-3</v>
      </c>
      <c r="S106" s="6">
        <f t="shared" si="16"/>
        <v>-5.7281332424120816E-3</v>
      </c>
      <c r="T106" s="6">
        <f t="shared" si="17"/>
        <v>5.0898342196920552E-5</v>
      </c>
      <c r="U106" s="6">
        <f t="shared" si="18"/>
        <v>-7.7288390228054489E-3</v>
      </c>
      <c r="V106" s="6">
        <f t="shared" si="19"/>
        <v>-4.4068248650377959E-3</v>
      </c>
      <c r="W106" s="6"/>
      <c r="AE106" s="38"/>
    </row>
    <row r="107" spans="1:31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11"/>
        <v>1.8831535865504456E-4</v>
      </c>
      <c r="J107" s="6">
        <f t="shared" si="20"/>
        <v>-5.186893307744119E-3</v>
      </c>
      <c r="K107" s="6">
        <f t="shared" si="20"/>
        <v>0</v>
      </c>
      <c r="L107" s="6">
        <f t="shared" si="20"/>
        <v>-5.371937640172391E-3</v>
      </c>
      <c r="M107" s="6">
        <f t="shared" si="20"/>
        <v>-1.8264811991713004E-3</v>
      </c>
      <c r="N107" s="6">
        <f t="shared" si="20"/>
        <v>-5.6327271267556144E-3</v>
      </c>
      <c r="O107" s="6">
        <f t="shared" si="13"/>
        <v>0</v>
      </c>
      <c r="P107" s="6"/>
      <c r="Q107" s="6">
        <f t="shared" si="14"/>
        <v>-4.1059222954170039E-3</v>
      </c>
      <c r="R107" s="6">
        <f t="shared" si="15"/>
        <v>-1.8264811991713004E-3</v>
      </c>
      <c r="S107" s="6">
        <f t="shared" si="16"/>
        <v>-3.6726816246250397E-3</v>
      </c>
      <c r="T107" s="6">
        <f t="shared" si="17"/>
        <v>2.5794776141393875E-5</v>
      </c>
      <c r="U107" s="6">
        <f t="shared" si="18"/>
        <v>-4.7050553901792323E-3</v>
      </c>
      <c r="V107" s="6">
        <f t="shared" si="19"/>
        <v>3.0043003187161035E-4</v>
      </c>
      <c r="W107" s="6"/>
      <c r="AE107" s="38"/>
    </row>
    <row r="108" spans="1:31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11"/>
        <v>1.8564272073429144E-4</v>
      </c>
      <c r="J108" s="6">
        <f t="shared" si="20"/>
        <v>3.205143040647615E-2</v>
      </c>
      <c r="K108" s="6">
        <f t="shared" si="20"/>
        <v>2.8297562882526783E-3</v>
      </c>
      <c r="L108" s="6">
        <f t="shared" si="20"/>
        <v>1.9731308295413211E-3</v>
      </c>
      <c r="M108" s="6">
        <f t="shared" si="20"/>
        <v>-6.0961109656987951E-4</v>
      </c>
      <c r="N108" s="6">
        <f t="shared" si="20"/>
        <v>8.7667247395320728E-3</v>
      </c>
      <c r="O108" s="6">
        <f t="shared" si="13"/>
        <v>-1.4294026918207711E-2</v>
      </c>
      <c r="P108" s="6"/>
      <c r="Q108" s="6">
        <f t="shared" si="14"/>
        <v>6.7483387090817347E-3</v>
      </c>
      <c r="R108" s="6">
        <f t="shared" si="15"/>
        <v>-6.0961109656987951E-4</v>
      </c>
      <c r="S108" s="6">
        <f t="shared" si="16"/>
        <v>6.8601128400547174E-3</v>
      </c>
      <c r="T108" s="6">
        <f t="shared" si="17"/>
        <v>0</v>
      </c>
      <c r="U108" s="6">
        <f t="shared" si="18"/>
        <v>1.1861084285528418E-2</v>
      </c>
      <c r="V108" s="6">
        <f t="shared" si="19"/>
        <v>5.6623279307715449E-3</v>
      </c>
      <c r="W108" s="6"/>
      <c r="AE108" s="38"/>
    </row>
    <row r="109" spans="1:31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11"/>
        <v>1.8182157915558328E-4</v>
      </c>
      <c r="J109" s="6">
        <f t="shared" si="20"/>
        <v>1.5413605907075779E-2</v>
      </c>
      <c r="K109" s="6">
        <f t="shared" si="20"/>
        <v>-5.5003761178523645E-3</v>
      </c>
      <c r="L109" s="6">
        <f t="shared" si="20"/>
        <v>1.7114591700558776E-2</v>
      </c>
      <c r="M109" s="6">
        <f t="shared" si="20"/>
        <v>1.6329333065123283E-2</v>
      </c>
      <c r="N109" s="6">
        <f t="shared" si="20"/>
        <v>1.2238283870230153E-2</v>
      </c>
      <c r="O109" s="6">
        <f t="shared" si="13"/>
        <v>-2.0798098310837867E-2</v>
      </c>
      <c r="P109" s="6"/>
      <c r="Q109" s="6">
        <f t="shared" si="14"/>
        <v>1.6521154749565455E-2</v>
      </c>
      <c r="R109" s="6">
        <f t="shared" si="15"/>
        <v>1.6329333065123283E-2</v>
      </c>
      <c r="S109" s="6">
        <f t="shared" si="16"/>
        <v>1.6361416344418126E-2</v>
      </c>
      <c r="T109" s="6">
        <f t="shared" si="17"/>
        <v>0</v>
      </c>
      <c r="U109" s="6">
        <f t="shared" si="18"/>
        <v>1.6396922239584655E-2</v>
      </c>
      <c r="V109" s="6">
        <f t="shared" si="19"/>
        <v>7.8374596951919159E-3</v>
      </c>
      <c r="W109" s="6"/>
      <c r="AE109" s="38"/>
    </row>
    <row r="110" spans="1:31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11"/>
        <v>1.8182157915558328E-4</v>
      </c>
      <c r="J110" s="6">
        <f t="shared" si="20"/>
        <v>1.2089939794405298E-2</v>
      </c>
      <c r="K110" s="6">
        <f t="shared" si="20"/>
        <v>-4.3551865509223759E-3</v>
      </c>
      <c r="L110" s="6">
        <f t="shared" si="20"/>
        <v>-1.1749870658817193E-3</v>
      </c>
      <c r="M110" s="6">
        <f t="shared" si="20"/>
        <v>7.7681556093607577E-3</v>
      </c>
      <c r="N110" s="6">
        <f t="shared" si="20"/>
        <v>2.1918970535104105E-3</v>
      </c>
      <c r="O110" s="6">
        <f t="shared" si="13"/>
        <v>0</v>
      </c>
      <c r="P110" s="6"/>
      <c r="Q110" s="6">
        <f t="shared" si="14"/>
        <v>4.4318630475850707E-3</v>
      </c>
      <c r="R110" s="6">
        <f t="shared" si="15"/>
        <v>7.7681556093607577E-3</v>
      </c>
      <c r="S110" s="6">
        <f t="shared" si="16"/>
        <v>5.6700058847885225E-3</v>
      </c>
      <c r="T110" s="6">
        <f t="shared" si="17"/>
        <v>0</v>
      </c>
      <c r="U110" s="6">
        <f t="shared" si="18"/>
        <v>4.9014597163813652E-3</v>
      </c>
      <c r="V110" s="6">
        <f t="shared" si="19"/>
        <v>2.9536450076113312E-3</v>
      </c>
      <c r="W110" s="6"/>
      <c r="AE110" s="38"/>
    </row>
    <row r="111" spans="1:31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11"/>
        <v>1.8373260432147376E-4</v>
      </c>
      <c r="J111" s="6">
        <f t="shared" si="20"/>
        <v>6.6312354047433934E-3</v>
      </c>
      <c r="K111" s="6">
        <f t="shared" si="20"/>
        <v>4.6892664291325829E-3</v>
      </c>
      <c r="L111" s="6">
        <f t="shared" si="20"/>
        <v>-6.605698786174531E-3</v>
      </c>
      <c r="M111" s="6">
        <f t="shared" si="20"/>
        <v>2.2949014004003898E-2</v>
      </c>
      <c r="N111" s="6">
        <f t="shared" si="20"/>
        <v>2.917131506229948E-3</v>
      </c>
      <c r="O111" s="6">
        <f t="shared" si="13"/>
        <v>1.0455591327247448E-2</v>
      </c>
      <c r="P111" s="6"/>
      <c r="Q111" s="6">
        <f t="shared" si="14"/>
        <v>6.1530120217137075E-3</v>
      </c>
      <c r="R111" s="6">
        <f t="shared" si="15"/>
        <v>2.2949014004003898E-2</v>
      </c>
      <c r="S111" s="6">
        <f t="shared" si="16"/>
        <v>9.8626190954455868E-3</v>
      </c>
      <c r="T111" s="6">
        <f t="shared" si="17"/>
        <v>0</v>
      </c>
      <c r="U111" s="6">
        <f t="shared" si="18"/>
        <v>2.9687030003467969E-3</v>
      </c>
      <c r="V111" s="6">
        <f t="shared" si="19"/>
        <v>-7.8788624679221059E-4</v>
      </c>
      <c r="W111" s="6"/>
      <c r="AE111" s="38"/>
    </row>
    <row r="112" spans="1:31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11"/>
        <v>1.8755192925978825E-4</v>
      </c>
      <c r="J112" s="6">
        <f t="shared" si="20"/>
        <v>-3.4900447377881711E-3</v>
      </c>
      <c r="K112" s="6">
        <f t="shared" si="20"/>
        <v>-1.5830462198802939E-2</v>
      </c>
      <c r="L112" s="6">
        <f t="shared" si="20"/>
        <v>8.8957289910188905E-3</v>
      </c>
      <c r="M112" s="6">
        <f t="shared" si="20"/>
        <v>-3.011736741564745E-2</v>
      </c>
      <c r="N112" s="6">
        <f t="shared" si="20"/>
        <v>8.1165916827587409E-4</v>
      </c>
      <c r="O112" s="6">
        <f t="shared" si="13"/>
        <v>2.0574299865323647E-2</v>
      </c>
      <c r="P112" s="6"/>
      <c r="Q112" s="6">
        <f t="shared" si="14"/>
        <v>-6.9867925877787011E-3</v>
      </c>
      <c r="R112" s="6">
        <f t="shared" si="15"/>
        <v>-3.011736741564745E-2</v>
      </c>
      <c r="S112" s="6">
        <f t="shared" si="16"/>
        <v>-1.1831844557870693E-2</v>
      </c>
      <c r="T112" s="6">
        <f t="shared" si="17"/>
        <v>1.7524513973206113E-4</v>
      </c>
      <c r="U112" s="6">
        <f t="shared" si="18"/>
        <v>-1.9960013594923489E-3</v>
      </c>
      <c r="V112" s="6">
        <f t="shared" si="19"/>
        <v>-5.008362276909064E-3</v>
      </c>
      <c r="W112" s="6"/>
      <c r="AE112" s="38"/>
    </row>
    <row r="113" spans="1:31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11"/>
        <v>1.8755192925978825E-4</v>
      </c>
      <c r="J113" s="6">
        <f t="shared" si="20"/>
        <v>-1.6980138057580752E-3</v>
      </c>
      <c r="K113" s="6">
        <f t="shared" si="20"/>
        <v>4.2347552165082781E-3</v>
      </c>
      <c r="L113" s="6">
        <f t="shared" si="20"/>
        <v>1.4209382167514918E-2</v>
      </c>
      <c r="M113" s="6">
        <f t="shared" si="20"/>
        <v>2.9535485641168389E-2</v>
      </c>
      <c r="N113" s="6">
        <f t="shared" si="20"/>
        <v>5.2465060919916033E-3</v>
      </c>
      <c r="O113" s="6">
        <f t="shared" si="13"/>
        <v>0</v>
      </c>
      <c r="P113" s="6"/>
      <c r="Q113" s="6">
        <f t="shared" si="14"/>
        <v>1.6531453513034717E-2</v>
      </c>
      <c r="R113" s="6">
        <f t="shared" si="15"/>
        <v>2.9535485641168389E-2</v>
      </c>
      <c r="S113" s="6">
        <f t="shared" si="16"/>
        <v>1.8109718247863706E-2</v>
      </c>
      <c r="T113" s="6">
        <f t="shared" si="17"/>
        <v>0</v>
      </c>
      <c r="U113" s="6">
        <f t="shared" si="18"/>
        <v>1.1355646062359209E-2</v>
      </c>
      <c r="V113" s="6">
        <f t="shared" si="19"/>
        <v>6.6933733888929333E-3</v>
      </c>
      <c r="W113" s="6"/>
      <c r="AE113" s="38"/>
    </row>
    <row r="114" spans="1:31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11"/>
        <v>1.8907864298212118E-4</v>
      </c>
      <c r="J114" s="6">
        <f t="shared" si="20"/>
        <v>-9.053703332614238E-3</v>
      </c>
      <c r="K114" s="6">
        <f t="shared" si="20"/>
        <v>3.5433502166368901E-3</v>
      </c>
      <c r="L114" s="6">
        <f t="shared" si="20"/>
        <v>-3.8235737207052796E-3</v>
      </c>
      <c r="M114" s="6">
        <f t="shared" si="20"/>
        <v>6.382391439619532E-3</v>
      </c>
      <c r="N114" s="6">
        <f t="shared" si="20"/>
        <v>-6.52009756234213E-4</v>
      </c>
      <c r="O114" s="6">
        <f t="shared" si="13"/>
        <v>8.1072658309452785E-3</v>
      </c>
      <c r="P114" s="6"/>
      <c r="Q114" s="6">
        <f t="shared" si="14"/>
        <v>-1.2659407129283137E-3</v>
      </c>
      <c r="R114" s="6">
        <f t="shared" si="15"/>
        <v>6.382391439619532E-3</v>
      </c>
      <c r="S114" s="6">
        <f t="shared" si="16"/>
        <v>-1.1401556272811614E-4</v>
      </c>
      <c r="T114" s="6">
        <f t="shared" si="17"/>
        <v>2.3109768111593657E-6</v>
      </c>
      <c r="U114" s="6">
        <f t="shared" si="18"/>
        <v>-3.8825573863608977E-3</v>
      </c>
      <c r="V114" s="6">
        <f t="shared" si="19"/>
        <v>-4.2059513426878402E-3</v>
      </c>
      <c r="W114" s="6"/>
      <c r="AE114" s="38"/>
    </row>
    <row r="115" spans="1:31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11"/>
        <v>1.8869701894863589E-4</v>
      </c>
      <c r="J115" s="6">
        <f t="shared" si="20"/>
        <v>-3.5923582258243084E-3</v>
      </c>
      <c r="K115" s="6">
        <f t="shared" si="20"/>
        <v>6.045418986824742E-3</v>
      </c>
      <c r="L115" s="6">
        <f t="shared" si="20"/>
        <v>2.608569026138582E-3</v>
      </c>
      <c r="M115" s="6">
        <f t="shared" si="20"/>
        <v>-2.3161320398991719E-3</v>
      </c>
      <c r="N115" s="6">
        <f t="shared" si="20"/>
        <v>7.5283737614565433E-3</v>
      </c>
      <c r="O115" s="6">
        <f t="shared" si="13"/>
        <v>-2.020374533117761E-3</v>
      </c>
      <c r="P115" s="6"/>
      <c r="Q115" s="6">
        <f t="shared" si="14"/>
        <v>-2.7082307297231201E-4</v>
      </c>
      <c r="R115" s="6">
        <f t="shared" si="15"/>
        <v>-2.3161320398991719E-3</v>
      </c>
      <c r="S115" s="6">
        <f t="shared" si="16"/>
        <v>-9.34138948945716E-4</v>
      </c>
      <c r="T115" s="6">
        <f t="shared" si="17"/>
        <v>5.4770654757235176E-6</v>
      </c>
      <c r="U115" s="6">
        <f t="shared" si="18"/>
        <v>-3.5859636281731784E-4</v>
      </c>
      <c r="V115" s="6">
        <f t="shared" si="19"/>
        <v>-6.8236533643271802E-3</v>
      </c>
      <c r="W115" s="6"/>
      <c r="AE115" s="38"/>
    </row>
    <row r="116" spans="1:31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11"/>
        <v>1.8793366209446383E-4</v>
      </c>
      <c r="J116" s="6">
        <f t="shared" si="20"/>
        <v>-1.9433375980611085E-2</v>
      </c>
      <c r="K116" s="6">
        <f t="shared" si="20"/>
        <v>2.842073474480988E-3</v>
      </c>
      <c r="L116" s="6">
        <f t="shared" si="20"/>
        <v>2.0287319345977977E-2</v>
      </c>
      <c r="M116" s="6">
        <f t="shared" si="20"/>
        <v>1.610156507641821E-2</v>
      </c>
      <c r="N116" s="6">
        <f t="shared" si="20"/>
        <v>-6.0083834993726029E-4</v>
      </c>
      <c r="O116" s="6">
        <f t="shared" si="13"/>
        <v>-4.0536150551227449E-3</v>
      </c>
      <c r="P116" s="6"/>
      <c r="Q116" s="6">
        <f t="shared" si="14"/>
        <v>1.1343504598070044E-2</v>
      </c>
      <c r="R116" s="6">
        <f t="shared" si="15"/>
        <v>1.610156507641821E-2</v>
      </c>
      <c r="S116" s="6">
        <f t="shared" si="16"/>
        <v>1.0263981188223758E-2</v>
      </c>
      <c r="T116" s="6">
        <f t="shared" si="17"/>
        <v>0</v>
      </c>
      <c r="U116" s="6">
        <f t="shared" si="18"/>
        <v>5.9367952421018888E-3</v>
      </c>
      <c r="V116" s="6">
        <f t="shared" si="19"/>
        <v>6.922123289088063E-3</v>
      </c>
      <c r="W116" s="6"/>
      <c r="AE116" s="38"/>
    </row>
    <row r="117" spans="1:31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11"/>
        <v>1.8869701894863589E-4</v>
      </c>
      <c r="J117" s="6">
        <f t="shared" si="20"/>
        <v>-1.9547375416428876E-2</v>
      </c>
      <c r="K117" s="6">
        <f t="shared" si="20"/>
        <v>-6.8682608284900979E-3</v>
      </c>
      <c r="L117" s="6">
        <f t="shared" si="20"/>
        <v>-1.0894867940747696E-2</v>
      </c>
      <c r="M117" s="6">
        <f t="shared" si="20"/>
        <v>9.08571462661973E-3</v>
      </c>
      <c r="N117" s="6">
        <f t="shared" si="20"/>
        <v>-1.6236787963987382E-2</v>
      </c>
      <c r="O117" s="6">
        <f t="shared" si="13"/>
        <v>4.053615055122829E-3</v>
      </c>
      <c r="P117" s="6"/>
      <c r="Q117" s="6">
        <f t="shared" si="14"/>
        <v>-5.5884846030571271E-3</v>
      </c>
      <c r="R117" s="6">
        <f t="shared" si="15"/>
        <v>9.08571462661973E-3</v>
      </c>
      <c r="S117" s="6">
        <f t="shared" si="16"/>
        <v>-3.3311493718391283E-3</v>
      </c>
      <c r="T117" s="6">
        <f t="shared" si="17"/>
        <v>2.2442234301631444E-5</v>
      </c>
      <c r="U117" s="6">
        <f t="shared" si="18"/>
        <v>-1.0465542958667029E-2</v>
      </c>
      <c r="V117" s="6">
        <f t="shared" si="19"/>
        <v>3.5117734043617378E-3</v>
      </c>
      <c r="W117" s="6"/>
      <c r="AE117" s="38"/>
    </row>
    <row r="118" spans="1:31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11"/>
        <v>1.8602463504269195E-4</v>
      </c>
      <c r="J118" s="6">
        <f t="shared" si="20"/>
        <v>1.3252435087594459E-2</v>
      </c>
      <c r="K118" s="6">
        <f t="shared" si="20"/>
        <v>2.4737724565590001E-2</v>
      </c>
      <c r="L118" s="6">
        <f t="shared" si="20"/>
        <v>-3.6197520984293389E-3</v>
      </c>
      <c r="M118" s="6">
        <f t="shared" si="20"/>
        <v>1.9592162762490182E-2</v>
      </c>
      <c r="N118" s="6">
        <f t="shared" si="20"/>
        <v>1.2416277903485802E-2</v>
      </c>
      <c r="O118" s="6">
        <f t="shared" si="13"/>
        <v>-1.4263543006221244E-2</v>
      </c>
      <c r="P118" s="6"/>
      <c r="Q118" s="6">
        <f t="shared" si="14"/>
        <v>7.6220127598441512E-3</v>
      </c>
      <c r="R118" s="6">
        <f t="shared" si="15"/>
        <v>1.9592162762490182E-2</v>
      </c>
      <c r="S118" s="6">
        <f t="shared" si="16"/>
        <v>1.066226142417777E-2</v>
      </c>
      <c r="T118" s="6">
        <f t="shared" si="17"/>
        <v>0</v>
      </c>
      <c r="U118" s="6">
        <f t="shared" si="18"/>
        <v>6.1234409467032201E-3</v>
      </c>
      <c r="V118" s="6">
        <f t="shared" si="19"/>
        <v>-3.3218610916226354E-3</v>
      </c>
      <c r="W118" s="6"/>
      <c r="AE118" s="38"/>
    </row>
    <row r="119" spans="1:31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11"/>
        <v>1.8678835474061906E-4</v>
      </c>
      <c r="J119" s="6">
        <f t="shared" si="20"/>
        <v>-5.4198470459970276E-3</v>
      </c>
      <c r="K119" s="6">
        <f t="shared" si="20"/>
        <v>-7.2416284624734579E-3</v>
      </c>
      <c r="L119" s="6">
        <f t="shared" si="20"/>
        <v>5.7395664242008678E-3</v>
      </c>
      <c r="M119" s="6">
        <f t="shared" si="20"/>
        <v>-1.1709175802896356E-2</v>
      </c>
      <c r="N119" s="6">
        <f t="shared" si="20"/>
        <v>1.0627786351803241E-2</v>
      </c>
      <c r="O119" s="6">
        <f t="shared" si="13"/>
        <v>4.0970716534691276E-3</v>
      </c>
      <c r="P119" s="6"/>
      <c r="Q119" s="6">
        <f t="shared" si="14"/>
        <v>-2.4237102647811587E-3</v>
      </c>
      <c r="R119" s="6">
        <f t="shared" si="15"/>
        <v>-1.1709175802896356E-2</v>
      </c>
      <c r="S119" s="6">
        <f t="shared" si="16"/>
        <v>-4.6721421847717983E-3</v>
      </c>
      <c r="T119" s="6">
        <f t="shared" si="17"/>
        <v>3.6945929659375672E-5</v>
      </c>
      <c r="U119" s="6">
        <f t="shared" si="18"/>
        <v>-1.06138356087372E-3</v>
      </c>
      <c r="V119" s="6">
        <f t="shared" si="19"/>
        <v>-1.0961931307265759E-2</v>
      </c>
      <c r="W119" s="6"/>
      <c r="AE119" s="38"/>
    </row>
    <row r="120" spans="1:31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11"/>
        <v>1.8602463504269195E-4</v>
      </c>
      <c r="J120" s="6">
        <f t="shared" si="20"/>
        <v>9.7984505156412712E-3</v>
      </c>
      <c r="K120" s="6">
        <f t="shared" si="20"/>
        <v>-8.2933112377348989E-3</v>
      </c>
      <c r="L120" s="6">
        <f t="shared" si="20"/>
        <v>-1.3171600244696804E-3</v>
      </c>
      <c r="M120" s="6">
        <f t="shared" si="20"/>
        <v>-5.6243984313423317E-3</v>
      </c>
      <c r="N120" s="6">
        <f t="shared" si="20"/>
        <v>-3.191464135615035E-3</v>
      </c>
      <c r="O120" s="6">
        <f t="shared" si="13"/>
        <v>-4.0970716534690834E-3</v>
      </c>
      <c r="P120" s="6"/>
      <c r="Q120" s="6">
        <f t="shared" si="14"/>
        <v>-7.1666681276645995E-4</v>
      </c>
      <c r="R120" s="6">
        <f t="shared" si="15"/>
        <v>-5.6243984313423317E-3</v>
      </c>
      <c r="S120" s="6">
        <f t="shared" si="16"/>
        <v>-1.0868464534784473E-3</v>
      </c>
      <c r="T120" s="6">
        <f t="shared" si="17"/>
        <v>6.2151518088641116E-6</v>
      </c>
      <c r="U120" s="6">
        <f t="shared" si="18"/>
        <v>1.7664340915060054E-3</v>
      </c>
      <c r="V120" s="6">
        <f t="shared" si="19"/>
        <v>5.0587436596281551E-3</v>
      </c>
      <c r="W120" s="6"/>
      <c r="AE120" s="38"/>
    </row>
    <row r="121" spans="1:31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11"/>
        <v>1.8755192925978825E-4</v>
      </c>
      <c r="J121" s="6">
        <f t="shared" si="20"/>
        <v>8.5946741458582179E-3</v>
      </c>
      <c r="K121" s="6">
        <f t="shared" si="20"/>
        <v>-1.6669342296507035E-3</v>
      </c>
      <c r="L121" s="6">
        <f t="shared" si="20"/>
        <v>3.4324844651034197E-3</v>
      </c>
      <c r="M121" s="6">
        <f t="shared" si="20"/>
        <v>-6.7910685184317367E-3</v>
      </c>
      <c r="N121" s="6">
        <f t="shared" si="20"/>
        <v>2.3077617284261594E-3</v>
      </c>
      <c r="O121" s="6">
        <f t="shared" si="13"/>
        <v>8.1766517083937465E-3</v>
      </c>
      <c r="P121" s="6"/>
      <c r="Q121" s="6">
        <f t="shared" si="14"/>
        <v>8.5593246041940681E-4</v>
      </c>
      <c r="R121" s="6">
        <f t="shared" si="15"/>
        <v>-6.7910685184317367E-3</v>
      </c>
      <c r="S121" s="6">
        <f t="shared" si="16"/>
        <v>-2.9470091645297444E-4</v>
      </c>
      <c r="T121" s="6">
        <f t="shared" si="17"/>
        <v>2.8929760459179791E-6</v>
      </c>
      <c r="U121" s="6">
        <f t="shared" si="18"/>
        <v>3.4651477587675796E-3</v>
      </c>
      <c r="V121" s="6">
        <f t="shared" si="19"/>
        <v>5.0384601803126275E-4</v>
      </c>
      <c r="W121" s="6"/>
      <c r="AE121" s="38"/>
    </row>
    <row r="122" spans="1:31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11"/>
        <v>1.8487878316397754E-4</v>
      </c>
      <c r="J122" s="6">
        <f t="shared" si="20"/>
        <v>5.8094509155742779E-4</v>
      </c>
      <c r="K122" s="6">
        <f t="shared" si="20"/>
        <v>8.3381444850086286E-4</v>
      </c>
      <c r="L122" s="6">
        <f t="shared" si="20"/>
        <v>1.8827811992427708E-3</v>
      </c>
      <c r="M122" s="6">
        <f t="shared" si="20"/>
        <v>-1.6027947235816124E-2</v>
      </c>
      <c r="N122" s="6">
        <f t="shared" si="20"/>
        <v>8.2076669213310503E-3</v>
      </c>
      <c r="O122" s="6">
        <f t="shared" si="13"/>
        <v>-1.4355378934220285E-2</v>
      </c>
      <c r="P122" s="6"/>
      <c r="Q122" s="6">
        <f t="shared" si="14"/>
        <v>-4.5820155289173891E-3</v>
      </c>
      <c r="R122" s="6">
        <f t="shared" si="15"/>
        <v>-1.6027947235816124E-2</v>
      </c>
      <c r="S122" s="6">
        <f t="shared" si="16"/>
        <v>-6.7260352950178669E-3</v>
      </c>
      <c r="T122" s="6">
        <f t="shared" si="17"/>
        <v>6.6132830716953217E-5</v>
      </c>
      <c r="U122" s="6">
        <f t="shared" si="18"/>
        <v>-1.6121595978711969E-3</v>
      </c>
      <c r="V122" s="6">
        <f t="shared" si="19"/>
        <v>-7.3072809924460795E-3</v>
      </c>
      <c r="W122" s="6"/>
      <c r="AE122" s="38"/>
    </row>
    <row r="123" spans="1:31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11"/>
        <v>1.8296830335384762E-4</v>
      </c>
      <c r="J123" s="6">
        <f t="shared" si="20"/>
        <v>-5.7713210785359176E-3</v>
      </c>
      <c r="K123" s="6">
        <f t="shared" si="20"/>
        <v>-2.670619829599635E-3</v>
      </c>
      <c r="L123" s="6">
        <f t="shared" si="20"/>
        <v>-3.5975477957779409E-3</v>
      </c>
      <c r="M123" s="6">
        <f t="shared" si="20"/>
        <v>-2.9870396236716779E-2</v>
      </c>
      <c r="N123" s="6">
        <f t="shared" si="20"/>
        <v>5.7040100736248747E-4</v>
      </c>
      <c r="O123" s="6">
        <f t="shared" si="13"/>
        <v>-1.0387452060302784E-2</v>
      </c>
      <c r="P123" s="6"/>
      <c r="Q123" s="6">
        <f t="shared" si="14"/>
        <v>-1.3130424241780868E-2</v>
      </c>
      <c r="R123" s="6">
        <f t="shared" si="15"/>
        <v>-2.9870396236716779E-2</v>
      </c>
      <c r="S123" s="6">
        <f t="shared" si="16"/>
        <v>-1.6274400596543698E-2</v>
      </c>
      <c r="T123" s="6">
        <f t="shared" si="17"/>
        <v>3.1260272393190714E-4</v>
      </c>
      <c r="U123" s="6">
        <f t="shared" si="18"/>
        <v>-8.8148914263509945E-3</v>
      </c>
      <c r="V123" s="6">
        <f t="shared" si="19"/>
        <v>-8.165062466346738E-3</v>
      </c>
      <c r="W123" s="6"/>
      <c r="AE123" s="38"/>
    </row>
    <row r="124" spans="1:31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11"/>
        <v>1.8793366209446383E-4</v>
      </c>
      <c r="J124" s="6">
        <f t="shared" si="20"/>
        <v>4.0856395568765842E-3</v>
      </c>
      <c r="K124" s="6">
        <f t="shared" si="20"/>
        <v>-4.5230317841640829E-3</v>
      </c>
      <c r="L124" s="6">
        <f t="shared" si="20"/>
        <v>1.200619285424928E-3</v>
      </c>
      <c r="M124" s="6">
        <f t="shared" si="20"/>
        <v>1.1883725529783697E-3</v>
      </c>
      <c r="N124" s="6">
        <f t="shared" si="20"/>
        <v>5.7259755908601927E-3</v>
      </c>
      <c r="O124" s="6">
        <f t="shared" si="13"/>
        <v>2.6776107237227904E-2</v>
      </c>
      <c r="P124" s="6"/>
      <c r="Q124" s="6">
        <f t="shared" si="14"/>
        <v>1.740411461366909E-3</v>
      </c>
      <c r="R124" s="6">
        <f t="shared" si="15"/>
        <v>1.1883725529783697E-3</v>
      </c>
      <c r="S124" s="6">
        <f t="shared" si="16"/>
        <v>1.7680016570577361E-3</v>
      </c>
      <c r="T124" s="6">
        <f t="shared" si="17"/>
        <v>0</v>
      </c>
      <c r="U124" s="6">
        <f t="shared" si="18"/>
        <v>2.1891152048570807E-3</v>
      </c>
      <c r="V124" s="6">
        <f t="shared" si="19"/>
        <v>-5.8809328327954352E-3</v>
      </c>
      <c r="W124" s="6"/>
      <c r="AE124" s="38"/>
    </row>
    <row r="125" spans="1:31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11"/>
        <v>1.9022329759033063E-4</v>
      </c>
      <c r="J125" s="6">
        <f t="shared" si="20"/>
        <v>-9.0426439389799818E-3</v>
      </c>
      <c r="K125" s="6">
        <f t="shared" si="20"/>
        <v>2.3477669245357624E-3</v>
      </c>
      <c r="L125" s="6">
        <f t="shared" si="20"/>
        <v>4.4469325058092328E-3</v>
      </c>
      <c r="M125" s="6">
        <f t="shared" si="20"/>
        <v>1.0632216336701443E-2</v>
      </c>
      <c r="N125" s="6">
        <f t="shared" si="20"/>
        <v>-9.4940022755554091E-4</v>
      </c>
      <c r="O125" s="6">
        <f t="shared" si="13"/>
        <v>1.2109593209557942E-2</v>
      </c>
      <c r="P125" s="6"/>
      <c r="Q125" s="6">
        <f t="shared" si="14"/>
        <v>4.0508974836156557E-3</v>
      </c>
      <c r="R125" s="6">
        <f t="shared" si="15"/>
        <v>1.0632216336701443E-2</v>
      </c>
      <c r="S125" s="6">
        <f t="shared" si="16"/>
        <v>4.5936416047036863E-3</v>
      </c>
      <c r="T125" s="6">
        <f t="shared" si="17"/>
        <v>0</v>
      </c>
      <c r="U125" s="6">
        <f t="shared" si="18"/>
        <v>8.6782606265140634E-4</v>
      </c>
      <c r="V125" s="6">
        <f t="shared" si="19"/>
        <v>3.6302033971534649E-4</v>
      </c>
      <c r="W125" s="6"/>
      <c r="AE125" s="38"/>
    </row>
    <row r="126" spans="1:31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11"/>
        <v>1.8831535865504456E-4</v>
      </c>
      <c r="J126" s="6">
        <f t="shared" si="20"/>
        <v>-1.133841763443315E-2</v>
      </c>
      <c r="K126" s="6">
        <f t="shared" si="20"/>
        <v>-5.8799302773867674E-3</v>
      </c>
      <c r="L126" s="6">
        <f t="shared" si="20"/>
        <v>-8.7416423305419957E-3</v>
      </c>
      <c r="M126" s="6">
        <f t="shared" si="20"/>
        <v>-7.075609674194675E-3</v>
      </c>
      <c r="N126" s="6">
        <f t="shared" si="20"/>
        <v>-1.3768624761212093E-2</v>
      </c>
      <c r="O126" s="6">
        <f t="shared" si="13"/>
        <v>-1.0080635415788465E-2</v>
      </c>
      <c r="P126" s="6"/>
      <c r="Q126" s="6">
        <f t="shared" si="14"/>
        <v>-8.6528196648794631E-3</v>
      </c>
      <c r="R126" s="6">
        <f t="shared" si="15"/>
        <v>-7.075609674194675E-3</v>
      </c>
      <c r="S126" s="6">
        <f t="shared" si="16"/>
        <v>-8.4857500077463784E-3</v>
      </c>
      <c r="T126" s="6">
        <f t="shared" si="17"/>
        <v>9.7850163858034637E-5</v>
      </c>
      <c r="U126" s="6">
        <f t="shared" si="18"/>
        <v>-9.3497361001708378E-3</v>
      </c>
      <c r="V126" s="6">
        <f t="shared" si="19"/>
        <v>4.0082064689342571E-3</v>
      </c>
      <c r="W126" s="6"/>
      <c r="AE126" s="38"/>
    </row>
    <row r="127" spans="1:31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11"/>
        <v>1.8869701894863589E-4</v>
      </c>
      <c r="J127" s="6">
        <f t="shared" si="20"/>
        <v>-4.8213974030586366E-3</v>
      </c>
      <c r="K127" s="6">
        <f t="shared" si="20"/>
        <v>-1.0114192349661964E-3</v>
      </c>
      <c r="L127" s="6">
        <f t="shared" si="20"/>
        <v>1.0105957663276266E-2</v>
      </c>
      <c r="M127" s="6">
        <f t="shared" si="20"/>
        <v>5.9145856733030231E-4</v>
      </c>
      <c r="N127" s="6">
        <f t="shared" si="20"/>
        <v>9.5341290968955009E-3</v>
      </c>
      <c r="O127" s="6">
        <f t="shared" si="13"/>
        <v>2.0246572613530339E-3</v>
      </c>
      <c r="P127" s="6"/>
      <c r="Q127" s="6">
        <f t="shared" si="14"/>
        <v>3.9872167977853725E-3</v>
      </c>
      <c r="R127" s="6">
        <f t="shared" si="15"/>
        <v>5.9145856733030231E-4</v>
      </c>
      <c r="S127" s="6">
        <f t="shared" si="16"/>
        <v>2.6310747161507287E-3</v>
      </c>
      <c r="T127" s="6">
        <f t="shared" si="17"/>
        <v>0</v>
      </c>
      <c r="U127" s="6">
        <f t="shared" si="18"/>
        <v>3.3614810092752394E-3</v>
      </c>
      <c r="V127" s="6">
        <f t="shared" si="19"/>
        <v>-5.3364183520834049E-3</v>
      </c>
      <c r="W127" s="6"/>
      <c r="AE127" s="38"/>
    </row>
    <row r="128" spans="1:31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11"/>
        <v>1.8869701894863589E-4</v>
      </c>
      <c r="J128" s="6">
        <f t="shared" si="20"/>
        <v>-1.5759825619922172E-3</v>
      </c>
      <c r="K128" s="6">
        <f t="shared" si="20"/>
        <v>1.8535876226185115E-3</v>
      </c>
      <c r="L128" s="6">
        <f t="shared" si="20"/>
        <v>2.1580013672744289E-2</v>
      </c>
      <c r="M128" s="6">
        <f t="shared" si="20"/>
        <v>1.0588436740846002E-2</v>
      </c>
      <c r="N128" s="6">
        <f t="shared" si="20"/>
        <v>5.8043999917945753E-3</v>
      </c>
      <c r="O128" s="6">
        <f t="shared" si="13"/>
        <v>0</v>
      </c>
      <c r="P128" s="6"/>
      <c r="Q128" s="6">
        <f t="shared" si="14"/>
        <v>1.3396652117563707E-2</v>
      </c>
      <c r="R128" s="6">
        <f t="shared" si="15"/>
        <v>1.0588436740846002E-2</v>
      </c>
      <c r="S128" s="6">
        <f t="shared" si="16"/>
        <v>1.173502861229412E-2</v>
      </c>
      <c r="T128" s="6">
        <f t="shared" si="17"/>
        <v>0</v>
      </c>
      <c r="U128" s="6">
        <f t="shared" si="18"/>
        <v>1.1758848244189754E-2</v>
      </c>
      <c r="V128" s="6">
        <f t="shared" si="19"/>
        <v>6.6008068747306844E-3</v>
      </c>
      <c r="W128" s="6"/>
      <c r="AE128" s="38"/>
    </row>
    <row r="129" spans="1:31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11"/>
        <v>1.8984178229608517E-4</v>
      </c>
      <c r="J129" s="6">
        <f t="shared" si="20"/>
        <v>-8.4661574423176515E-3</v>
      </c>
      <c r="K129" s="6">
        <f t="shared" si="20"/>
        <v>-1.6839405150777205E-4</v>
      </c>
      <c r="L129" s="6">
        <f t="shared" si="20"/>
        <v>-4.6810314347300336E-3</v>
      </c>
      <c r="M129" s="6">
        <f t="shared" si="20"/>
        <v>-7.0465265167247411E-3</v>
      </c>
      <c r="N129" s="6">
        <f t="shared" si="20"/>
        <v>-4.8150123419915631E-3</v>
      </c>
      <c r="O129" s="6">
        <f t="shared" si="13"/>
        <v>6.0483460799302426E-3</v>
      </c>
      <c r="P129" s="6"/>
      <c r="Q129" s="6">
        <f t="shared" si="14"/>
        <v>-6.2162061897718729E-3</v>
      </c>
      <c r="R129" s="6">
        <f t="shared" si="15"/>
        <v>-7.0465265167247411E-3</v>
      </c>
      <c r="S129" s="6">
        <f t="shared" si="16"/>
        <v>-6.5405360621637581E-3</v>
      </c>
      <c r="T129" s="6">
        <f t="shared" si="17"/>
        <v>6.3150203449508099E-5</v>
      </c>
      <c r="U129" s="6">
        <f t="shared" si="18"/>
        <v>-6.3832125850842511E-3</v>
      </c>
      <c r="V129" s="6">
        <f t="shared" si="19"/>
        <v>-2.7779076018991707E-3</v>
      </c>
      <c r="W129" s="6"/>
      <c r="AE129" s="38"/>
    </row>
    <row r="130" spans="1:31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11"/>
        <v>1.9022329759033063E-4</v>
      </c>
      <c r="J130" s="6">
        <f t="shared" si="20"/>
        <v>-4.1223013161664603E-3</v>
      </c>
      <c r="K130" s="6">
        <f t="shared" si="20"/>
        <v>2.181787938436186E-2</v>
      </c>
      <c r="L130" s="6">
        <f t="shared" si="20"/>
        <v>3.9023496044056838E-3</v>
      </c>
      <c r="M130" s="6">
        <f t="shared" si="20"/>
        <v>-3.5419102241213379E-3</v>
      </c>
      <c r="N130" s="6">
        <f t="shared" si="20"/>
        <v>-6.0234144772223523E-3</v>
      </c>
      <c r="O130" s="6">
        <f t="shared" si="13"/>
        <v>2.0076320745050212E-3</v>
      </c>
      <c r="P130" s="6"/>
      <c r="Q130" s="6">
        <f t="shared" si="14"/>
        <v>-1.9584133671974192E-4</v>
      </c>
      <c r="R130" s="6">
        <f t="shared" si="15"/>
        <v>-3.5419102241213379E-3</v>
      </c>
      <c r="S130" s="6">
        <f t="shared" si="16"/>
        <v>-1.1556234865505118E-3</v>
      </c>
      <c r="T130" s="6">
        <f t="shared" si="17"/>
        <v>6.5628072123249824E-6</v>
      </c>
      <c r="U130" s="6">
        <f t="shared" si="18"/>
        <v>-1.1976153434838251E-4</v>
      </c>
      <c r="V130" s="6">
        <f t="shared" si="19"/>
        <v>5.0093423866709149E-3</v>
      </c>
      <c r="W130" s="6"/>
      <c r="AE130" s="38"/>
    </row>
    <row r="131" spans="1:31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si="11"/>
        <v>1.9479865694971288E-4</v>
      </c>
      <c r="J131" s="6">
        <f t="shared" ref="J131:N162" si="21">LN(B131/B130)</f>
        <v>4.1772619153831059E-3</v>
      </c>
      <c r="K131" s="6">
        <f t="shared" si="21"/>
        <v>8.8568526987604264E-3</v>
      </c>
      <c r="L131" s="6">
        <f t="shared" si="21"/>
        <v>6.4887245296995355E-3</v>
      </c>
      <c r="M131" s="6">
        <f t="shared" si="21"/>
        <v>5.3082933634442889E-3</v>
      </c>
      <c r="N131" s="6">
        <f t="shared" si="21"/>
        <v>1.2633935945864823E-3</v>
      </c>
      <c r="O131" s="6">
        <f t="shared" si="13"/>
        <v>2.3767864106321954E-2</v>
      </c>
      <c r="P131" s="6"/>
      <c r="Q131" s="6">
        <f t="shared" si="14"/>
        <v>5.6429472002317797E-3</v>
      </c>
      <c r="R131" s="6">
        <f t="shared" si="15"/>
        <v>5.3082933634442889E-3</v>
      </c>
      <c r="S131" s="6">
        <f t="shared" si="16"/>
        <v>5.4754703392946181E-3</v>
      </c>
      <c r="T131" s="6">
        <f t="shared" si="17"/>
        <v>0</v>
      </c>
      <c r="U131" s="6">
        <f t="shared" si="18"/>
        <v>5.4941977574254671E-3</v>
      </c>
      <c r="V131" s="6">
        <f t="shared" si="19"/>
        <v>1.7247813909903285E-3</v>
      </c>
      <c r="W131" s="6"/>
      <c r="AE131" s="38"/>
    </row>
    <row r="132" spans="1:31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ref="H132:H195" si="22">+(1+G132)^(1/250)-1</f>
        <v>1.9289289052348835E-4</v>
      </c>
      <c r="J132" s="6">
        <f t="shared" si="21"/>
        <v>1.118116096025438E-2</v>
      </c>
      <c r="K132" s="6">
        <f t="shared" si="21"/>
        <v>-1.4707357985398316E-3</v>
      </c>
      <c r="L132" s="6">
        <f t="shared" si="21"/>
        <v>1.1924178761792791E-2</v>
      </c>
      <c r="M132" s="6">
        <f t="shared" si="21"/>
        <v>-2.4413339458236528E-2</v>
      </c>
      <c r="N132" s="6">
        <f t="shared" si="21"/>
        <v>2.0902891694828028E-2</v>
      </c>
      <c r="O132" s="6">
        <f t="shared" ref="O132:O195" si="23">+LN(H132/H131)</f>
        <v>-9.8314332056269067E-3</v>
      </c>
      <c r="P132" s="6"/>
      <c r="Q132" s="6">
        <f t="shared" ref="Q132:Q195" si="24">+SUMPRODUCT($Y$16:$AB$16,J132:M132)</f>
        <v>-8.3373707331232515E-4</v>
      </c>
      <c r="R132" s="6">
        <f t="shared" ref="R132:R195" si="25">+SUMPRODUCT($Y$17:$AB$17,J132:M132)</f>
        <v>-2.4413339458236528E-2</v>
      </c>
      <c r="S132" s="6">
        <f t="shared" ref="S132:S195" si="26">+SUMPRODUCT($Y$18:$AB$18,J132:M132)</f>
        <v>-5.1787283370247836E-3</v>
      </c>
      <c r="T132" s="6">
        <f t="shared" ref="T132:T195" si="27">+MIN(S132-AVERAGE($S$3:$S$254),0)^2</f>
        <v>4.3360940973600936E-5</v>
      </c>
      <c r="U132" s="6">
        <f t="shared" ref="U132:U195" si="28">+SUMPRODUCT($Y$19:$AB$19,J132:M132)</f>
        <v>5.4853376581148914E-3</v>
      </c>
      <c r="V132" s="6">
        <f t="shared" ref="V132:V195" si="29">+(U132-O132)-($Y$52*(N132-O132))</f>
        <v>-1.1995082131063504E-2</v>
      </c>
      <c r="W132" s="6"/>
      <c r="AE132" s="38"/>
    </row>
    <row r="133" spans="1:31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22"/>
        <v>1.9251162871269933E-4</v>
      </c>
      <c r="J133" s="6">
        <f t="shared" si="21"/>
        <v>-1.0084818339197638E-2</v>
      </c>
      <c r="K133" s="6">
        <f t="shared" si="21"/>
        <v>8.1738858055153973E-4</v>
      </c>
      <c r="L133" s="6">
        <f t="shared" si="21"/>
        <v>5.0128845481506338E-3</v>
      </c>
      <c r="M133" s="6">
        <f t="shared" si="21"/>
        <v>1.2578760442407045E-2</v>
      </c>
      <c r="N133" s="6">
        <f t="shared" si="21"/>
        <v>3.4788317372660206E-4</v>
      </c>
      <c r="O133" s="6">
        <f t="shared" si="23"/>
        <v>-1.9785026699455054E-3</v>
      </c>
      <c r="P133" s="6"/>
      <c r="Q133" s="6">
        <f t="shared" si="24"/>
        <v>4.7929912586060722E-3</v>
      </c>
      <c r="R133" s="6">
        <f t="shared" si="25"/>
        <v>1.2578760442407045E-2</v>
      </c>
      <c r="S133" s="6">
        <f t="shared" si="26"/>
        <v>5.4732009718914745E-3</v>
      </c>
      <c r="T133" s="6">
        <f t="shared" si="27"/>
        <v>0</v>
      </c>
      <c r="U133" s="6">
        <f t="shared" si="28"/>
        <v>1.1165650155920423E-3</v>
      </c>
      <c r="V133" s="6">
        <f t="shared" si="29"/>
        <v>1.0277404096868193E-3</v>
      </c>
      <c r="W133" s="6"/>
      <c r="AE133" s="38"/>
    </row>
    <row r="134" spans="1:31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22"/>
        <v>1.9441757599203413E-4</v>
      </c>
      <c r="J134" s="6">
        <f t="shared" si="21"/>
        <v>-7.479106127821062E-3</v>
      </c>
      <c r="K134" s="6">
        <f t="shared" si="21"/>
        <v>-8.0388122707836501E-3</v>
      </c>
      <c r="L134" s="6">
        <f t="shared" si="21"/>
        <v>-3.4300521667624483E-3</v>
      </c>
      <c r="M134" s="6">
        <f t="shared" si="21"/>
        <v>-1.1976066753339242E-2</v>
      </c>
      <c r="N134" s="6">
        <f t="shared" si="21"/>
        <v>-3.7939352461026604E-3</v>
      </c>
      <c r="O134" s="6">
        <f t="shared" si="23"/>
        <v>9.8517386206897241E-3</v>
      </c>
      <c r="P134" s="6"/>
      <c r="Q134" s="6">
        <f t="shared" si="24"/>
        <v>-7.1611142638943444E-3</v>
      </c>
      <c r="R134" s="6">
        <f t="shared" si="25"/>
        <v>-1.1976066753339242E-2</v>
      </c>
      <c r="S134" s="6">
        <f t="shared" si="26"/>
        <v>-8.2394041843517063E-3</v>
      </c>
      <c r="T134" s="6">
        <f t="shared" si="27"/>
        <v>9.3037181711687944E-5</v>
      </c>
      <c r="U134" s="6">
        <f t="shared" si="28"/>
        <v>-6.2746213733578561E-3</v>
      </c>
      <c r="V134" s="6">
        <f t="shared" si="29"/>
        <v>-4.0002228535056233E-3</v>
      </c>
      <c r="W134" s="6"/>
      <c r="AE134" s="38"/>
    </row>
    <row r="135" spans="1:31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22"/>
        <v>1.9441757599203413E-4</v>
      </c>
      <c r="J135" s="6">
        <f t="shared" si="21"/>
        <v>8.0816092470088127E-3</v>
      </c>
      <c r="K135" s="6">
        <f t="shared" si="21"/>
        <v>-6.1132169466150627E-3</v>
      </c>
      <c r="L135" s="6">
        <f t="shared" si="21"/>
        <v>4.9073938927271261E-4</v>
      </c>
      <c r="M135" s="6">
        <f t="shared" si="21"/>
        <v>1.3760308076745754E-2</v>
      </c>
      <c r="N135" s="6">
        <f t="shared" si="21"/>
        <v>1.7048185442892359E-3</v>
      </c>
      <c r="O135" s="6">
        <f t="shared" si="23"/>
        <v>0</v>
      </c>
      <c r="P135" s="6"/>
      <c r="Q135" s="6">
        <f t="shared" si="24"/>
        <v>6.5299037436794254E-3</v>
      </c>
      <c r="R135" s="6">
        <f t="shared" si="25"/>
        <v>1.3760308076745754E-2</v>
      </c>
      <c r="S135" s="6">
        <f t="shared" si="26"/>
        <v>8.1960334490420676E-3</v>
      </c>
      <c r="T135" s="6">
        <f t="shared" si="27"/>
        <v>0</v>
      </c>
      <c r="U135" s="6">
        <f t="shared" si="28"/>
        <v>5.3552303470420504E-3</v>
      </c>
      <c r="V135" s="6">
        <f t="shared" si="29"/>
        <v>3.8402547093713373E-3</v>
      </c>
      <c r="W135" s="6"/>
      <c r="AE135" s="38"/>
    </row>
    <row r="136" spans="1:31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22"/>
        <v>1.9403645887727805E-4</v>
      </c>
      <c r="J136" s="6">
        <f t="shared" si="21"/>
        <v>-6.647496052951337E-3</v>
      </c>
      <c r="K136" s="6">
        <f t="shared" si="21"/>
        <v>9.9389517455469021E-4</v>
      </c>
      <c r="L136" s="6">
        <f t="shared" si="21"/>
        <v>5.0566859458387667E-3</v>
      </c>
      <c r="M136" s="6">
        <f t="shared" si="21"/>
        <v>7.6945269621530249E-3</v>
      </c>
      <c r="N136" s="6">
        <f t="shared" si="21"/>
        <v>-1.659450476103029E-3</v>
      </c>
      <c r="O136" s="6">
        <f t="shared" si="23"/>
        <v>-1.9622256577658012E-3</v>
      </c>
      <c r="P136" s="6"/>
      <c r="Q136" s="6">
        <f t="shared" si="24"/>
        <v>3.7655227052556407E-3</v>
      </c>
      <c r="R136" s="6">
        <f t="shared" si="25"/>
        <v>7.6945269621530249E-3</v>
      </c>
      <c r="S136" s="6">
        <f t="shared" si="26"/>
        <v>3.9085613056583446E-3</v>
      </c>
      <c r="T136" s="6">
        <f t="shared" si="27"/>
        <v>0</v>
      </c>
      <c r="U136" s="6">
        <f t="shared" si="28"/>
        <v>1.4869150405050588E-3</v>
      </c>
      <c r="V136" s="6">
        <f t="shared" si="29"/>
        <v>3.1800815509223299E-3</v>
      </c>
      <c r="W136" s="6"/>
      <c r="AE136" s="38"/>
    </row>
    <row r="137" spans="1:31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22"/>
        <v>1.9441757599203413E-4</v>
      </c>
      <c r="J137" s="6">
        <f t="shared" si="21"/>
        <v>-3.6999302544279294E-3</v>
      </c>
      <c r="K137" s="6">
        <f t="shared" si="21"/>
        <v>-6.311315966027564E-3</v>
      </c>
      <c r="L137" s="6">
        <f t="shared" si="21"/>
        <v>9.0702909341080495E-3</v>
      </c>
      <c r="M137" s="6">
        <f t="shared" si="21"/>
        <v>-1.7703701935084114E-3</v>
      </c>
      <c r="N137" s="6">
        <f t="shared" si="21"/>
        <v>5.2154203933401618E-3</v>
      </c>
      <c r="O137" s="6">
        <f t="shared" si="23"/>
        <v>1.9622256577658281E-3</v>
      </c>
      <c r="P137" s="6"/>
      <c r="Q137" s="6">
        <f t="shared" si="24"/>
        <v>2.8978380231986737E-3</v>
      </c>
      <c r="R137" s="6">
        <f t="shared" si="25"/>
        <v>-1.7703701935084114E-3</v>
      </c>
      <c r="S137" s="6">
        <f t="shared" si="26"/>
        <v>1.406173315634124E-3</v>
      </c>
      <c r="T137" s="6">
        <f t="shared" si="27"/>
        <v>7.2302641745458836E-19</v>
      </c>
      <c r="U137" s="6">
        <f t="shared" si="28"/>
        <v>2.8407932610466074E-3</v>
      </c>
      <c r="V137" s="6">
        <f t="shared" si="29"/>
        <v>-2.0123622176688757E-3</v>
      </c>
      <c r="W137" s="6"/>
      <c r="AE137" s="38"/>
    </row>
    <row r="138" spans="1:31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22"/>
        <v>1.9594168295089531E-4</v>
      </c>
      <c r="J138" s="6">
        <f t="shared" si="21"/>
        <v>-6.0485955778969338E-3</v>
      </c>
      <c r="K138" s="6">
        <f t="shared" si="21"/>
        <v>-8.1974383416661724E-3</v>
      </c>
      <c r="L138" s="6">
        <f t="shared" si="21"/>
        <v>-4.1470699285579005E-3</v>
      </c>
      <c r="M138" s="6">
        <f t="shared" si="21"/>
        <v>2.9490604228386468E-3</v>
      </c>
      <c r="N138" s="6">
        <f t="shared" si="21"/>
        <v>7.9759250577916968E-3</v>
      </c>
      <c r="O138" s="6">
        <f t="shared" si="23"/>
        <v>7.8087795719660449E-3</v>
      </c>
      <c r="P138" s="6"/>
      <c r="Q138" s="6">
        <f t="shared" si="24"/>
        <v>-2.0415987907557494E-3</v>
      </c>
      <c r="R138" s="6">
        <f t="shared" si="25"/>
        <v>2.9490604228386468E-3</v>
      </c>
      <c r="S138" s="6">
        <f t="shared" si="26"/>
        <v>-1.2341217338552564E-3</v>
      </c>
      <c r="T138" s="6">
        <f t="shared" si="27"/>
        <v>6.9711624384953124E-6</v>
      </c>
      <c r="U138" s="6">
        <f t="shared" si="28"/>
        <v>-3.5923828517214953E-3</v>
      </c>
      <c r="V138" s="6">
        <f t="shared" si="29"/>
        <v>-1.1549695145730442E-2</v>
      </c>
      <c r="W138" s="6"/>
      <c r="AE138" s="38"/>
    </row>
    <row r="139" spans="1:31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22"/>
        <v>1.9517970175764177E-4</v>
      </c>
      <c r="J139" s="6">
        <f t="shared" si="21"/>
        <v>-2.5708994582135079E-2</v>
      </c>
      <c r="K139" s="6">
        <f t="shared" si="21"/>
        <v>4.6925289520041878E-3</v>
      </c>
      <c r="L139" s="6">
        <f t="shared" si="21"/>
        <v>7.4737850456217817E-3</v>
      </c>
      <c r="M139" s="6">
        <f t="shared" si="21"/>
        <v>-1.0657458514889893E-2</v>
      </c>
      <c r="N139" s="6">
        <f t="shared" si="21"/>
        <v>-1.1939974324694175E-3</v>
      </c>
      <c r="O139" s="6">
        <f t="shared" si="23"/>
        <v>-3.8963973184373184E-3</v>
      </c>
      <c r="P139" s="6"/>
      <c r="Q139" s="6">
        <f t="shared" si="24"/>
        <v>-5.0795543687797836E-3</v>
      </c>
      <c r="R139" s="6">
        <f t="shared" si="25"/>
        <v>-1.0657458514889893E-2</v>
      </c>
      <c r="S139" s="6">
        <f t="shared" si="26"/>
        <v>-7.6944057291837217E-3</v>
      </c>
      <c r="T139" s="6">
        <f t="shared" si="27"/>
        <v>8.282055442759789E-5</v>
      </c>
      <c r="U139" s="6">
        <f t="shared" si="28"/>
        <v>-7.0050954250061616E-3</v>
      </c>
      <c r="V139" s="6">
        <f t="shared" si="29"/>
        <v>-5.5101677551714521E-3</v>
      </c>
      <c r="W139" s="6"/>
      <c r="AE139" s="38"/>
    </row>
    <row r="140" spans="1:31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22"/>
        <v>1.9632261934998674E-4</v>
      </c>
      <c r="J140" s="6">
        <f t="shared" si="21"/>
        <v>-2.8853134850884594E-2</v>
      </c>
      <c r="K140" s="6">
        <f t="shared" si="21"/>
        <v>-4.8605552480539922E-3</v>
      </c>
      <c r="L140" s="6">
        <f t="shared" si="21"/>
        <v>9.9673658093087422E-3</v>
      </c>
      <c r="M140" s="6">
        <f t="shared" si="21"/>
        <v>2.1784911671504949E-2</v>
      </c>
      <c r="N140" s="6">
        <f t="shared" si="21"/>
        <v>-1.0245348981574391E-2</v>
      </c>
      <c r="O140" s="6">
        <f t="shared" si="23"/>
        <v>5.8386414462251674E-3</v>
      </c>
      <c r="P140" s="6"/>
      <c r="Q140" s="6">
        <f t="shared" si="24"/>
        <v>6.7502746215673875E-3</v>
      </c>
      <c r="R140" s="6">
        <f t="shared" si="25"/>
        <v>2.1784911671504949E-2</v>
      </c>
      <c r="S140" s="6">
        <f t="shared" si="26"/>
        <v>7.5859988146406033E-3</v>
      </c>
      <c r="T140" s="6">
        <f t="shared" si="27"/>
        <v>0</v>
      </c>
      <c r="U140" s="6">
        <f t="shared" si="28"/>
        <v>-1.3507181511262672E-3</v>
      </c>
      <c r="V140" s="6">
        <f t="shared" si="29"/>
        <v>7.1035713050421577E-3</v>
      </c>
      <c r="W140" s="6"/>
      <c r="AE140" s="38"/>
    </row>
    <row r="141" spans="1:31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22"/>
        <v>1.9632261934998674E-4</v>
      </c>
      <c r="J141" s="6">
        <f t="shared" si="21"/>
        <v>-5.8956789518436912E-3</v>
      </c>
      <c r="K141" s="6">
        <f t="shared" si="21"/>
        <v>5.0397715508103207E-4</v>
      </c>
      <c r="L141" s="6">
        <f t="shared" si="21"/>
        <v>5.1841067662975826E-3</v>
      </c>
      <c r="M141" s="6">
        <f t="shared" si="21"/>
        <v>5.8222055801986279E-4</v>
      </c>
      <c r="N141" s="6">
        <f t="shared" si="21"/>
        <v>5.1279595372516517E-3</v>
      </c>
      <c r="O141" s="6">
        <f t="shared" si="23"/>
        <v>0</v>
      </c>
      <c r="P141" s="6"/>
      <c r="Q141" s="6">
        <f t="shared" si="24"/>
        <v>1.4967743990468556E-3</v>
      </c>
      <c r="R141" s="6">
        <f t="shared" si="25"/>
        <v>5.8222055801986279E-4</v>
      </c>
      <c r="S141" s="6">
        <f t="shared" si="26"/>
        <v>7.8873671287573712E-4</v>
      </c>
      <c r="T141" s="6">
        <f t="shared" si="27"/>
        <v>3.8122900845108367E-7</v>
      </c>
      <c r="U141" s="6">
        <f t="shared" si="28"/>
        <v>5.9670619941972934E-4</v>
      </c>
      <c r="V141" s="6">
        <f t="shared" si="29"/>
        <v>-3.9602208682268363E-3</v>
      </c>
      <c r="W141" s="6"/>
      <c r="AE141" s="38"/>
    </row>
    <row r="142" spans="1:31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22"/>
        <v>1.9517970175764177E-4</v>
      </c>
      <c r="J142" s="6">
        <f t="shared" si="21"/>
        <v>-7.0975441095678829E-4</v>
      </c>
      <c r="K142" s="6">
        <f t="shared" si="21"/>
        <v>-1.848914347035491E-3</v>
      </c>
      <c r="L142" s="6">
        <f t="shared" si="21"/>
        <v>-8.7971014039722271E-3</v>
      </c>
      <c r="M142" s="6">
        <f t="shared" si="21"/>
        <v>-7.5957392761439417E-3</v>
      </c>
      <c r="N142" s="6">
        <f t="shared" si="21"/>
        <v>1.0251382881397443E-2</v>
      </c>
      <c r="O142" s="6">
        <f t="shared" si="23"/>
        <v>-5.8386414462252264E-3</v>
      </c>
      <c r="P142" s="6"/>
      <c r="Q142" s="6">
        <f t="shared" si="24"/>
        <v>-6.8548645882167344E-3</v>
      </c>
      <c r="R142" s="6">
        <f t="shared" si="25"/>
        <v>-7.5957392761439417E-3</v>
      </c>
      <c r="S142" s="6">
        <f t="shared" si="26"/>
        <v>-6.5871987697765358E-3</v>
      </c>
      <c r="T142" s="6">
        <f t="shared" si="27"/>
        <v>6.3894010889505127E-5</v>
      </c>
      <c r="U142" s="6">
        <f t="shared" si="28"/>
        <v>-5.8158462099400397E-3</v>
      </c>
      <c r="V142" s="6">
        <f t="shared" si="29"/>
        <v>-1.4275497650973469E-2</v>
      </c>
      <c r="W142" s="6"/>
      <c r="AE142" s="38"/>
    </row>
    <row r="143" spans="1:31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22"/>
        <v>1.9556071042226009E-4</v>
      </c>
      <c r="J143" s="6">
        <f t="shared" si="21"/>
        <v>1.0184574634208254E-2</v>
      </c>
      <c r="K143" s="6">
        <f t="shared" si="21"/>
        <v>1.3449371919544843E-3</v>
      </c>
      <c r="L143" s="6">
        <f t="shared" si="21"/>
        <v>1.8612639482236896E-3</v>
      </c>
      <c r="M143" s="6">
        <f t="shared" si="21"/>
        <v>8.7592244143747111E-3</v>
      </c>
      <c r="N143" s="6">
        <f t="shared" si="21"/>
        <v>-6.5499380656454595E-3</v>
      </c>
      <c r="O143" s="6">
        <f t="shared" si="23"/>
        <v>1.950188787733562E-3</v>
      </c>
      <c r="P143" s="6"/>
      <c r="Q143" s="6">
        <f t="shared" si="24"/>
        <v>5.8260784609180851E-3</v>
      </c>
      <c r="R143" s="6">
        <f t="shared" si="25"/>
        <v>8.7592244143747111E-3</v>
      </c>
      <c r="S143" s="6">
        <f t="shared" si="26"/>
        <v>6.7583447784387357E-3</v>
      </c>
      <c r="T143" s="6">
        <f t="shared" si="27"/>
        <v>0</v>
      </c>
      <c r="U143" s="6">
        <f t="shared" si="28"/>
        <v>5.8929544826913788E-3</v>
      </c>
      <c r="V143" s="6">
        <f t="shared" si="29"/>
        <v>1.149634677437331E-2</v>
      </c>
      <c r="W143" s="6"/>
      <c r="AE143" s="38"/>
    </row>
    <row r="144" spans="1:31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22"/>
        <v>1.9289289052348835E-4</v>
      </c>
      <c r="J144" s="6">
        <f t="shared" si="21"/>
        <v>1.1762232376596935E-2</v>
      </c>
      <c r="K144" s="6">
        <f t="shared" si="21"/>
        <v>1.2024245731310248E-2</v>
      </c>
      <c r="L144" s="6">
        <f t="shared" si="21"/>
        <v>3.7176867835657829E-4</v>
      </c>
      <c r="M144" s="6">
        <f t="shared" si="21"/>
        <v>7.5296267385311973E-3</v>
      </c>
      <c r="N144" s="6">
        <f t="shared" si="21"/>
        <v>-1.1228682551799477E-3</v>
      </c>
      <c r="O144" s="6">
        <f t="shared" si="23"/>
        <v>-1.3735806992006525E-2</v>
      </c>
      <c r="P144" s="6"/>
      <c r="Q144" s="6">
        <f t="shared" si="24"/>
        <v>5.0052202792779093E-3</v>
      </c>
      <c r="R144" s="6">
        <f t="shared" si="25"/>
        <v>7.5296267385311973E-3</v>
      </c>
      <c r="S144" s="6">
        <f t="shared" si="26"/>
        <v>6.033944648351686E-3</v>
      </c>
      <c r="T144" s="6">
        <f t="shared" si="27"/>
        <v>0</v>
      </c>
      <c r="U144" s="6">
        <f t="shared" si="28"/>
        <v>5.5008029930362495E-3</v>
      </c>
      <c r="V144" s="6">
        <f t="shared" si="29"/>
        <v>8.0282060351127178E-3</v>
      </c>
      <c r="W144" s="6"/>
      <c r="AE144" s="38"/>
    </row>
    <row r="145" spans="1:31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22"/>
        <v>1.9441757599203413E-4</v>
      </c>
      <c r="J145" s="6">
        <f t="shared" si="21"/>
        <v>2.7746091448219968E-3</v>
      </c>
      <c r="K145" s="6">
        <f t="shared" si="21"/>
        <v>4.3067844327523246E-3</v>
      </c>
      <c r="L145" s="6">
        <f t="shared" si="21"/>
        <v>8.1983530120362299E-3</v>
      </c>
      <c r="M145" s="6">
        <f t="shared" si="21"/>
        <v>-7.5296267385311115E-3</v>
      </c>
      <c r="N145" s="6">
        <f t="shared" si="21"/>
        <v>1.1139497364012345E-2</v>
      </c>
      <c r="O145" s="6">
        <f t="shared" si="23"/>
        <v>7.8732359507442031E-3</v>
      </c>
      <c r="P145" s="6"/>
      <c r="Q145" s="6">
        <f t="shared" si="24"/>
        <v>1.714199946329556E-3</v>
      </c>
      <c r="R145" s="6">
        <f t="shared" si="25"/>
        <v>-7.5296267385311115E-3</v>
      </c>
      <c r="S145" s="6">
        <f t="shared" si="26"/>
        <v>-2.3345173747845024E-4</v>
      </c>
      <c r="T145" s="6">
        <f t="shared" si="27"/>
        <v>2.6883731031729844E-6</v>
      </c>
      <c r="U145" s="6">
        <f t="shared" si="28"/>
        <v>3.6595917931087486E-3</v>
      </c>
      <c r="V145" s="6">
        <f t="shared" si="29"/>
        <v>-7.1161855946352305E-3</v>
      </c>
      <c r="W145" s="6"/>
      <c r="AE145" s="38"/>
    </row>
    <row r="146" spans="1:31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22"/>
        <v>1.9289289052348835E-4</v>
      </c>
      <c r="J146" s="6">
        <f t="shared" si="21"/>
        <v>-1.2196574219039144E-2</v>
      </c>
      <c r="K146" s="6">
        <f t="shared" si="21"/>
        <v>1.0195775101912073E-2</v>
      </c>
      <c r="L146" s="6">
        <f t="shared" si="21"/>
        <v>8.079352123651724E-3</v>
      </c>
      <c r="M146" s="6">
        <f t="shared" si="21"/>
        <v>-5.8160336375158385E-4</v>
      </c>
      <c r="N146" s="6">
        <f t="shared" si="21"/>
        <v>-1.926391571868686E-3</v>
      </c>
      <c r="O146" s="6">
        <f t="shared" si="23"/>
        <v>-7.8732359507443037E-3</v>
      </c>
      <c r="P146" s="6"/>
      <c r="Q146" s="6">
        <f t="shared" si="24"/>
        <v>1.2483842483247353E-3</v>
      </c>
      <c r="R146" s="6">
        <f t="shared" si="25"/>
        <v>-5.8160336375158385E-4</v>
      </c>
      <c r="S146" s="6">
        <f t="shared" si="26"/>
        <v>-5.5385565079562867E-5</v>
      </c>
      <c r="T146" s="6">
        <f t="shared" si="27"/>
        <v>2.1361568473488652E-6</v>
      </c>
      <c r="U146" s="6">
        <f t="shared" si="28"/>
        <v>-3.5632038166756163E-4</v>
      </c>
      <c r="V146" s="6">
        <f t="shared" si="29"/>
        <v>2.2322919443544375E-3</v>
      </c>
      <c r="W146" s="6"/>
      <c r="AE146" s="38"/>
    </row>
    <row r="147" spans="1:31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22"/>
        <v>1.9327411614988854E-4</v>
      </c>
      <c r="J147" s="6">
        <f t="shared" si="21"/>
        <v>1.0868104262170121E-2</v>
      </c>
      <c r="K147" s="6">
        <f t="shared" si="21"/>
        <v>-2.2289265661106588E-3</v>
      </c>
      <c r="L147" s="6">
        <f t="shared" si="21"/>
        <v>-1.7978656730612674E-2</v>
      </c>
      <c r="M147" s="6">
        <f t="shared" si="21"/>
        <v>-1.0526393935028697E-2</v>
      </c>
      <c r="N147" s="6">
        <f t="shared" si="21"/>
        <v>-2.8752059156686048E-3</v>
      </c>
      <c r="O147" s="6">
        <f t="shared" si="23"/>
        <v>1.9744087074048946E-3</v>
      </c>
      <c r="P147" s="6"/>
      <c r="Q147" s="6">
        <f t="shared" si="24"/>
        <v>-9.9511428587036217E-3</v>
      </c>
      <c r="R147" s="6">
        <f t="shared" si="25"/>
        <v>-1.0526393935028697E-2</v>
      </c>
      <c r="S147" s="6">
        <f t="shared" si="26"/>
        <v>-8.6380257672317353E-3</v>
      </c>
      <c r="T147" s="6">
        <f t="shared" si="27"/>
        <v>1.0088595229760193E-4</v>
      </c>
      <c r="U147" s="6">
        <f t="shared" si="28"/>
        <v>-6.8058523475406614E-3</v>
      </c>
      <c r="V147" s="6">
        <f t="shared" si="29"/>
        <v>-4.4706833402620959E-3</v>
      </c>
      <c r="W147" s="6"/>
      <c r="AE147" s="38"/>
    </row>
    <row r="148" spans="1:31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22"/>
        <v>1.9251162871269933E-4</v>
      </c>
      <c r="J148" s="6">
        <f t="shared" si="21"/>
        <v>-2.1990199647653258E-3</v>
      </c>
      <c r="K148" s="6">
        <f t="shared" si="21"/>
        <v>-1.0300751202101817E-2</v>
      </c>
      <c r="L148" s="6">
        <f t="shared" si="21"/>
        <v>1.2319503083121451E-2</v>
      </c>
      <c r="M148" s="6">
        <f t="shared" si="21"/>
        <v>2.3487728844055851E-3</v>
      </c>
      <c r="N148" s="6">
        <f t="shared" si="21"/>
        <v>-6.5039961169264899E-3</v>
      </c>
      <c r="O148" s="6">
        <f t="shared" si="23"/>
        <v>-3.9529113773502057E-3</v>
      </c>
      <c r="P148" s="6"/>
      <c r="Q148" s="6">
        <f t="shared" si="24"/>
        <v>6.1194368045373706E-3</v>
      </c>
      <c r="R148" s="6">
        <f t="shared" si="25"/>
        <v>2.3487728844055851E-3</v>
      </c>
      <c r="S148" s="6">
        <f t="shared" si="26"/>
        <v>4.6929459957695159E-3</v>
      </c>
      <c r="T148" s="6">
        <f t="shared" si="27"/>
        <v>0</v>
      </c>
      <c r="U148" s="6">
        <f t="shared" si="28"/>
        <v>5.6377611175527278E-3</v>
      </c>
      <c r="V148" s="6">
        <f t="shared" si="29"/>
        <v>1.1857676947099874E-2</v>
      </c>
      <c r="W148" s="6"/>
      <c r="AE148" s="38"/>
    </row>
    <row r="149" spans="1:31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22"/>
        <v>1.9213033071063812E-4</v>
      </c>
      <c r="J149" s="6">
        <f t="shared" si="21"/>
        <v>6.3521899768463532E-3</v>
      </c>
      <c r="K149" s="6">
        <f t="shared" si="21"/>
        <v>4.1663069910752798E-3</v>
      </c>
      <c r="L149" s="6">
        <f t="shared" si="21"/>
        <v>1.2325227911982373E-2</v>
      </c>
      <c r="M149" s="6">
        <f t="shared" si="21"/>
        <v>1.455631158926427E-2</v>
      </c>
      <c r="N149" s="6">
        <f t="shared" si="21"/>
        <v>6.2981688751588584E-3</v>
      </c>
      <c r="O149" s="6">
        <f t="shared" si="23"/>
        <v>-1.9826132725194968E-3</v>
      </c>
      <c r="P149" s="6"/>
      <c r="Q149" s="6">
        <f t="shared" si="24"/>
        <v>1.1973577196072956E-2</v>
      </c>
      <c r="R149" s="6">
        <f t="shared" si="25"/>
        <v>1.455631158926427E-2</v>
      </c>
      <c r="S149" s="6">
        <f t="shared" si="26"/>
        <v>1.2139924831688229E-2</v>
      </c>
      <c r="T149" s="6">
        <f t="shared" si="27"/>
        <v>0</v>
      </c>
      <c r="U149" s="6">
        <f t="shared" si="28"/>
        <v>1.0654042013296419E-2</v>
      </c>
      <c r="V149" s="6">
        <f t="shared" si="29"/>
        <v>5.2779934173051261E-3</v>
      </c>
      <c r="W149" s="6"/>
      <c r="AE149" s="38"/>
    </row>
    <row r="150" spans="1:31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22"/>
        <v>1.9327411614988854E-4</v>
      </c>
      <c r="J150" s="6">
        <f t="shared" si="21"/>
        <v>1.3493637966671364E-2</v>
      </c>
      <c r="K150" s="6">
        <f t="shared" si="21"/>
        <v>1.6616478726241028E-3</v>
      </c>
      <c r="L150" s="6">
        <f t="shared" si="21"/>
        <v>5.8480844115032697E-3</v>
      </c>
      <c r="M150" s="6">
        <f t="shared" si="21"/>
        <v>-7.5427928711403599E-3</v>
      </c>
      <c r="N150" s="6">
        <f t="shared" si="21"/>
        <v>5.6332831318901015E-3</v>
      </c>
      <c r="O150" s="6">
        <f t="shared" si="23"/>
        <v>5.9355246498698326E-3</v>
      </c>
      <c r="P150" s="6"/>
      <c r="Q150" s="6">
        <f t="shared" si="24"/>
        <v>2.6400162065576562E-3</v>
      </c>
      <c r="R150" s="6">
        <f t="shared" si="25"/>
        <v>-7.5427928711403599E-3</v>
      </c>
      <c r="S150" s="6">
        <f t="shared" si="26"/>
        <v>1.1498960313078431E-3</v>
      </c>
      <c r="T150" s="6">
        <f t="shared" si="27"/>
        <v>6.567848229244718E-8</v>
      </c>
      <c r="U150" s="6">
        <f t="shared" si="28"/>
        <v>6.1944195810560267E-3</v>
      </c>
      <c r="V150" s="6">
        <f t="shared" si="29"/>
        <v>5.2747984185937537E-4</v>
      </c>
      <c r="W150" s="6"/>
      <c r="AE150" s="38"/>
    </row>
    <row r="151" spans="1:31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22"/>
        <v>1.9517970175764177E-4</v>
      </c>
      <c r="J151" s="6">
        <f t="shared" si="21"/>
        <v>1.4602145308817756E-2</v>
      </c>
      <c r="K151" s="6">
        <f t="shared" si="21"/>
        <v>8.5965451914703454E-3</v>
      </c>
      <c r="L151" s="6">
        <f t="shared" si="21"/>
        <v>1.3021806957661381E-2</v>
      </c>
      <c r="M151" s="6">
        <f t="shared" si="21"/>
        <v>2.3269110502146303E-3</v>
      </c>
      <c r="N151" s="6">
        <f t="shared" si="21"/>
        <v>8.8646978273410684E-3</v>
      </c>
      <c r="O151" s="6">
        <f t="shared" si="23"/>
        <v>9.8112094968681833E-3</v>
      </c>
      <c r="P151" s="6"/>
      <c r="Q151" s="6">
        <f t="shared" si="24"/>
        <v>9.6061362202355966E-3</v>
      </c>
      <c r="R151" s="6">
        <f t="shared" si="25"/>
        <v>2.3269110502146303E-3</v>
      </c>
      <c r="S151" s="6">
        <f t="shared" si="26"/>
        <v>8.3513013408148592E-3</v>
      </c>
      <c r="T151" s="6">
        <f t="shared" si="27"/>
        <v>0</v>
      </c>
      <c r="U151" s="6">
        <f t="shared" si="28"/>
        <v>1.1744420693166256E-2</v>
      </c>
      <c r="V151" s="6">
        <f t="shared" si="29"/>
        <v>2.7743224834247873E-3</v>
      </c>
      <c r="W151" s="6"/>
      <c r="AE151" s="38"/>
    </row>
    <row r="152" spans="1:31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22"/>
        <v>1.9556071042226009E-4</v>
      </c>
      <c r="J152" s="6">
        <f t="shared" si="21"/>
        <v>-4.1715613983300662E-2</v>
      </c>
      <c r="K152" s="6">
        <f t="shared" si="21"/>
        <v>-4.6196894266072042E-3</v>
      </c>
      <c r="L152" s="6">
        <f t="shared" si="21"/>
        <v>1.3809332358761774E-2</v>
      </c>
      <c r="M152" s="6">
        <f t="shared" si="21"/>
        <v>-2.9095910236789767E-3</v>
      </c>
      <c r="N152" s="6">
        <f t="shared" si="21"/>
        <v>3.2313725131378058E-3</v>
      </c>
      <c r="O152" s="6">
        <f t="shared" si="23"/>
        <v>1.950188787733562E-3</v>
      </c>
      <c r="P152" s="6"/>
      <c r="Q152" s="6">
        <f t="shared" si="24"/>
        <v>-2.4667842513876469E-3</v>
      </c>
      <c r="R152" s="6">
        <f t="shared" si="25"/>
        <v>-2.9095910236789767E-3</v>
      </c>
      <c r="S152" s="6">
        <f t="shared" si="26"/>
        <v>-5.2532705860461066E-3</v>
      </c>
      <c r="T152" s="6">
        <f t="shared" si="27"/>
        <v>4.4348204404804914E-5</v>
      </c>
      <c r="U152" s="6">
        <f t="shared" si="28"/>
        <v>-8.1004542042217888E-3</v>
      </c>
      <c r="V152" s="6">
        <f t="shared" si="29"/>
        <v>-1.1189158371125427E-2</v>
      </c>
      <c r="W152" s="6"/>
      <c r="AE152" s="38"/>
    </row>
    <row r="153" spans="1:31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22"/>
        <v>1.9670351962641774E-4</v>
      </c>
      <c r="J153" s="6">
        <f t="shared" si="21"/>
        <v>5.2960884338796171E-3</v>
      </c>
      <c r="K153" s="6">
        <f t="shared" si="21"/>
        <v>3.3072101581254086E-4</v>
      </c>
      <c r="L153" s="6">
        <f t="shared" si="21"/>
        <v>-1.2333324609694349E-2</v>
      </c>
      <c r="M153" s="6">
        <f t="shared" si="21"/>
        <v>-1.0544773183150766E-2</v>
      </c>
      <c r="N153" s="6">
        <f t="shared" si="21"/>
        <v>-1.4032464064151588E-3</v>
      </c>
      <c r="O153" s="6">
        <f t="shared" si="23"/>
        <v>5.8267481452814176E-3</v>
      </c>
      <c r="P153" s="6"/>
      <c r="Q153" s="6">
        <f t="shared" si="24"/>
        <v>-8.3877910255512993E-3</v>
      </c>
      <c r="R153" s="6">
        <f t="shared" si="25"/>
        <v>-1.0544773183150766E-2</v>
      </c>
      <c r="S153" s="6">
        <f t="shared" si="26"/>
        <v>-7.907499564894312E-3</v>
      </c>
      <c r="T153" s="6">
        <f t="shared" si="27"/>
        <v>8.6744518364502521E-5</v>
      </c>
      <c r="U153" s="6">
        <f t="shared" si="28"/>
        <v>-5.9758488873514377E-3</v>
      </c>
      <c r="V153" s="6">
        <f t="shared" si="29"/>
        <v>-5.3777105583489434E-3</v>
      </c>
      <c r="W153" s="6"/>
      <c r="AE153" s="38"/>
    </row>
    <row r="154" spans="1:31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22"/>
        <v>1.970843837875158E-4</v>
      </c>
      <c r="J154" s="6">
        <f t="shared" si="21"/>
        <v>-8.3350523254073824E-3</v>
      </c>
      <c r="K154" s="6">
        <f t="shared" si="21"/>
        <v>-1.4890065620656438E-3</v>
      </c>
      <c r="L154" s="6">
        <f t="shared" si="21"/>
        <v>-9.1968412694247506E-3</v>
      </c>
      <c r="M154" s="6">
        <f t="shared" si="21"/>
        <v>8.2110739967389546E-3</v>
      </c>
      <c r="N154" s="6">
        <f t="shared" si="21"/>
        <v>-3.0595955699421543E-3</v>
      </c>
      <c r="O154" s="6">
        <f t="shared" si="23"/>
        <v>1.9343625162409541E-3</v>
      </c>
      <c r="P154" s="6"/>
      <c r="Q154" s="6">
        <f t="shared" si="24"/>
        <v>-2.9896230471424937E-3</v>
      </c>
      <c r="R154" s="6">
        <f t="shared" si="25"/>
        <v>8.2110739967389546E-3</v>
      </c>
      <c r="S154" s="6">
        <f t="shared" si="26"/>
        <v>-8.9864253621446634E-4</v>
      </c>
      <c r="T154" s="6">
        <f t="shared" si="27"/>
        <v>5.3121800305473607E-6</v>
      </c>
      <c r="U154" s="6">
        <f t="shared" si="28"/>
        <v>-5.938557976973638E-3</v>
      </c>
      <c r="V154" s="6">
        <f t="shared" si="29"/>
        <v>-3.4350729220114472E-3</v>
      </c>
      <c r="W154" s="6"/>
      <c r="AE154" s="38"/>
    </row>
    <row r="155" spans="1:31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22"/>
        <v>1.9746521183972021E-4</v>
      </c>
      <c r="J155" s="6">
        <f t="shared" si="21"/>
        <v>-6.6948293563426041E-3</v>
      </c>
      <c r="K155" s="6">
        <f t="shared" si="21"/>
        <v>2.3152310191375206E-3</v>
      </c>
      <c r="L155" s="6">
        <f t="shared" si="21"/>
        <v>4.6600093568763086E-3</v>
      </c>
      <c r="M155" s="6">
        <f t="shared" si="21"/>
        <v>3.4985997178958793E-3</v>
      </c>
      <c r="N155" s="6">
        <f t="shared" si="21"/>
        <v>-2.8037482252575453E-3</v>
      </c>
      <c r="O155" s="6">
        <f t="shared" si="23"/>
        <v>1.9304451186456823E-3</v>
      </c>
      <c r="P155" s="6"/>
      <c r="Q155" s="6">
        <f t="shared" si="24"/>
        <v>2.1154760609215298E-3</v>
      </c>
      <c r="R155" s="6">
        <f t="shared" si="25"/>
        <v>3.4985997178958793E-3</v>
      </c>
      <c r="S155" s="6">
        <f t="shared" si="26"/>
        <v>1.8160770985522492E-3</v>
      </c>
      <c r="T155" s="6">
        <f t="shared" si="27"/>
        <v>0</v>
      </c>
      <c r="U155" s="6">
        <f t="shared" si="28"/>
        <v>5.6365038905560204E-4</v>
      </c>
      <c r="V155" s="6">
        <f t="shared" si="29"/>
        <v>2.8402146345803611E-3</v>
      </c>
      <c r="W155" s="6"/>
      <c r="AE155" s="38"/>
    </row>
    <row r="156" spans="1:31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22"/>
        <v>1.9746521183972021E-4</v>
      </c>
      <c r="J156" s="6">
        <f t="shared" si="21"/>
        <v>2.0990652674622658E-2</v>
      </c>
      <c r="K156" s="6">
        <f t="shared" si="21"/>
        <v>8.0612064628980545E-3</v>
      </c>
      <c r="L156" s="6">
        <f t="shared" si="21"/>
        <v>1.9178381247547345E-2</v>
      </c>
      <c r="M156" s="6">
        <f t="shared" si="21"/>
        <v>2.130803414272742E-2</v>
      </c>
      <c r="N156" s="6">
        <f t="shared" si="21"/>
        <v>8.5935659407079552E-3</v>
      </c>
      <c r="O156" s="6">
        <f t="shared" si="23"/>
        <v>0</v>
      </c>
      <c r="P156" s="6"/>
      <c r="Q156" s="6">
        <f t="shared" si="24"/>
        <v>2.0259629981212016E-2</v>
      </c>
      <c r="R156" s="6">
        <f t="shared" si="25"/>
        <v>2.130803414272742E-2</v>
      </c>
      <c r="S156" s="6">
        <f t="shared" si="26"/>
        <v>2.0516100948179822E-2</v>
      </c>
      <c r="T156" s="6">
        <f t="shared" si="27"/>
        <v>0</v>
      </c>
      <c r="U156" s="6">
        <f t="shared" si="28"/>
        <v>2.0163042749652957E-2</v>
      </c>
      <c r="V156" s="6">
        <f t="shared" si="29"/>
        <v>1.2526427648004596E-2</v>
      </c>
      <c r="W156" s="6"/>
      <c r="AE156" s="38"/>
    </row>
    <row r="157" spans="1:31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22"/>
        <v>1.9556071042226009E-4</v>
      </c>
      <c r="J157" s="6">
        <f t="shared" si="21"/>
        <v>-1.0615167680639992E-2</v>
      </c>
      <c r="K157" s="6">
        <f t="shared" si="21"/>
        <v>2.4548076667502516E-3</v>
      </c>
      <c r="L157" s="6">
        <f t="shared" si="21"/>
        <v>3.9017948330012063E-3</v>
      </c>
      <c r="M157" s="6">
        <f t="shared" si="21"/>
        <v>2.8449078782690519E-3</v>
      </c>
      <c r="N157" s="6">
        <f t="shared" si="21"/>
        <v>1.1158887706710923E-3</v>
      </c>
      <c r="O157" s="6">
        <f t="shared" si="23"/>
        <v>-9.6915557801681984E-3</v>
      </c>
      <c r="P157" s="6"/>
      <c r="Q157" s="6">
        <f t="shared" si="24"/>
        <v>7.9725617129435553E-4</v>
      </c>
      <c r="R157" s="6">
        <f t="shared" si="25"/>
        <v>2.8449078782690519E-3</v>
      </c>
      <c r="S157" s="6">
        <f t="shared" si="26"/>
        <v>4.6818337346712707E-4</v>
      </c>
      <c r="T157" s="6">
        <f t="shared" si="27"/>
        <v>8.798267267708761E-7</v>
      </c>
      <c r="U157" s="6">
        <f t="shared" si="28"/>
        <v>-1.2625013212248072E-3</v>
      </c>
      <c r="V157" s="6">
        <f t="shared" si="29"/>
        <v>-1.1749091152707652E-3</v>
      </c>
      <c r="W157" s="6"/>
      <c r="AE157" s="38"/>
    </row>
    <row r="158" spans="1:31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22"/>
        <v>1.9556071042226009E-4</v>
      </c>
      <c r="J158" s="6">
        <f t="shared" si="21"/>
        <v>-8.4917741718009161E-3</v>
      </c>
      <c r="K158" s="6">
        <f t="shared" si="21"/>
        <v>-8.2061974569752581E-3</v>
      </c>
      <c r="L158" s="6">
        <f t="shared" si="21"/>
        <v>-6.8129855912890617E-3</v>
      </c>
      <c r="M158" s="6">
        <f t="shared" si="21"/>
        <v>-5.697991304405129E-3</v>
      </c>
      <c r="N158" s="6">
        <f t="shared" si="21"/>
        <v>-2.0155996658250933E-3</v>
      </c>
      <c r="O158" s="6">
        <f t="shared" si="23"/>
        <v>0</v>
      </c>
      <c r="P158" s="6"/>
      <c r="Q158" s="6">
        <f t="shared" si="24"/>
        <v>-6.742394906951301E-3</v>
      </c>
      <c r="R158" s="6">
        <f t="shared" si="25"/>
        <v>-5.697991304405129E-3</v>
      </c>
      <c r="S158" s="6">
        <f t="shared" si="26"/>
        <v>-6.6360653652946921E-3</v>
      </c>
      <c r="T158" s="6">
        <f t="shared" si="27"/>
        <v>6.4677616677813921E-5</v>
      </c>
      <c r="U158" s="6">
        <f t="shared" si="28"/>
        <v>-7.1996587328422941E-3</v>
      </c>
      <c r="V158" s="6">
        <f t="shared" si="29"/>
        <v>-5.4085095227101795E-3</v>
      </c>
      <c r="W158" s="6"/>
      <c r="AE158" s="38"/>
    </row>
    <row r="159" spans="1:31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22"/>
        <v>1.9441757599203413E-4</v>
      </c>
      <c r="J159" s="6">
        <f t="shared" si="21"/>
        <v>-7.0234473180625914E-3</v>
      </c>
      <c r="K159" s="6">
        <f t="shared" si="21"/>
        <v>-8.7726750393700287E-3</v>
      </c>
      <c r="L159" s="6">
        <f t="shared" si="21"/>
        <v>-4.0223368324664339E-4</v>
      </c>
      <c r="M159" s="6">
        <f t="shared" si="21"/>
        <v>1.1421632595400733E-3</v>
      </c>
      <c r="N159" s="6">
        <f t="shared" si="21"/>
        <v>-7.2653957344673645E-3</v>
      </c>
      <c r="O159" s="6">
        <f t="shared" si="23"/>
        <v>-5.8625710412623351E-3</v>
      </c>
      <c r="P159" s="6"/>
      <c r="Q159" s="6">
        <f t="shared" si="24"/>
        <v>-1.1145589485677132E-3</v>
      </c>
      <c r="R159" s="6">
        <f t="shared" si="25"/>
        <v>1.1421632595400733E-3</v>
      </c>
      <c r="S159" s="6">
        <f t="shared" si="26"/>
        <v>-1.0390207719916875E-3</v>
      </c>
      <c r="T159" s="6">
        <f t="shared" si="27"/>
        <v>5.9789782845049657E-6</v>
      </c>
      <c r="U159" s="6">
        <f t="shared" si="28"/>
        <v>-2.4128292340958512E-3</v>
      </c>
      <c r="V159" s="6">
        <f t="shared" si="29"/>
        <v>4.6963526217001549E-3</v>
      </c>
      <c r="W159" s="6"/>
      <c r="AE159" s="38"/>
    </row>
    <row r="160" spans="1:31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22"/>
        <v>1.9517970175764177E-4</v>
      </c>
      <c r="J160" s="6">
        <f t="shared" si="21"/>
        <v>4.7859728642550272E-3</v>
      </c>
      <c r="K160" s="6">
        <f t="shared" si="21"/>
        <v>-5.3342326889105063E-3</v>
      </c>
      <c r="L160" s="6">
        <f t="shared" si="21"/>
        <v>-2.8200016753762752E-3</v>
      </c>
      <c r="M160" s="6">
        <f t="shared" si="21"/>
        <v>5.12394513644681E-3</v>
      </c>
      <c r="N160" s="6">
        <f t="shared" si="21"/>
        <v>1.0904938060488179E-3</v>
      </c>
      <c r="O160" s="6">
        <f t="shared" si="23"/>
        <v>3.91238225352871E-3</v>
      </c>
      <c r="P160" s="6"/>
      <c r="Q160" s="6">
        <f t="shared" si="24"/>
        <v>1.3727478444927024E-3</v>
      </c>
      <c r="R160" s="6">
        <f t="shared" si="25"/>
        <v>5.12394513644681E-3</v>
      </c>
      <c r="S160" s="6">
        <f t="shared" si="26"/>
        <v>2.4153196748404374E-3</v>
      </c>
      <c r="T160" s="6">
        <f t="shared" si="27"/>
        <v>0</v>
      </c>
      <c r="U160" s="6">
        <f t="shared" si="28"/>
        <v>1.1433897732826194E-3</v>
      </c>
      <c r="V160" s="6">
        <f t="shared" si="29"/>
        <v>-2.6134011778377545E-4</v>
      </c>
      <c r="W160" s="6"/>
      <c r="AE160" s="38"/>
    </row>
    <row r="161" spans="1:31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22"/>
        <v>1.9517970175764177E-4</v>
      </c>
      <c r="J161" s="6">
        <f t="shared" si="21"/>
        <v>-4.9043056684808586E-3</v>
      </c>
      <c r="K161" s="6">
        <f t="shared" si="21"/>
        <v>-8.8979314726668046E-3</v>
      </c>
      <c r="L161" s="6">
        <f t="shared" si="21"/>
        <v>-7.637567148412871E-3</v>
      </c>
      <c r="M161" s="6">
        <f t="shared" si="21"/>
        <v>-2.2740551851044106E-3</v>
      </c>
      <c r="N161" s="6">
        <f t="shared" si="21"/>
        <v>-1.2410983057457463E-2</v>
      </c>
      <c r="O161" s="6">
        <f t="shared" si="23"/>
        <v>0</v>
      </c>
      <c r="P161" s="6"/>
      <c r="Q161" s="6">
        <f t="shared" si="24"/>
        <v>-5.2597203268845445E-3</v>
      </c>
      <c r="R161" s="6">
        <f t="shared" si="25"/>
        <v>-2.2740551851044106E-3</v>
      </c>
      <c r="S161" s="6">
        <f t="shared" si="26"/>
        <v>-4.5882307708226258E-3</v>
      </c>
      <c r="T161" s="6">
        <f t="shared" si="27"/>
        <v>3.593289054592879E-5</v>
      </c>
      <c r="U161" s="6">
        <f t="shared" si="28"/>
        <v>-5.7863602862634122E-3</v>
      </c>
      <c r="V161" s="6">
        <f t="shared" si="29"/>
        <v>5.2425770951228324E-3</v>
      </c>
      <c r="W161" s="6"/>
      <c r="AE161" s="38"/>
    </row>
    <row r="162" spans="1:31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22"/>
        <v>1.9479865694971288E-4</v>
      </c>
      <c r="J162" s="6">
        <f t="shared" si="21"/>
        <v>4.4916084303433098E-3</v>
      </c>
      <c r="K162" s="6">
        <f t="shared" si="21"/>
        <v>3.5350412795235415E-3</v>
      </c>
      <c r="L162" s="6">
        <f t="shared" si="21"/>
        <v>9.1580546261534317E-3</v>
      </c>
      <c r="M162" s="6">
        <f t="shared" si="21"/>
        <v>-8.5739149328683574E-3</v>
      </c>
      <c r="N162" s="6">
        <f t="shared" si="21"/>
        <v>1.1038072569656417E-2</v>
      </c>
      <c r="O162" s="6">
        <f t="shared" si="23"/>
        <v>-1.9541849986461348E-3</v>
      </c>
      <c r="P162" s="6"/>
      <c r="Q162" s="6">
        <f t="shared" si="24"/>
        <v>2.1208462341008611E-3</v>
      </c>
      <c r="R162" s="6">
        <f t="shared" si="25"/>
        <v>-8.5739149328683574E-3</v>
      </c>
      <c r="S162" s="6">
        <f t="shared" si="26"/>
        <v>-5.7267411442941084E-5</v>
      </c>
      <c r="T162" s="6">
        <f t="shared" si="27"/>
        <v>2.1416612504239735E-6</v>
      </c>
      <c r="U162" s="6">
        <f t="shared" si="28"/>
        <v>4.5382855103939593E-3</v>
      </c>
      <c r="V162" s="6">
        <f t="shared" si="29"/>
        <v>-5.0530125925221424E-3</v>
      </c>
      <c r="W162" s="6"/>
      <c r="AE162" s="38"/>
    </row>
    <row r="163" spans="1:31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22"/>
        <v>1.9632261934998674E-4</v>
      </c>
      <c r="J163" s="6">
        <f t="shared" ref="J163:N194" si="30">LN(B163/B162)</f>
        <v>-6.685740856598745E-3</v>
      </c>
      <c r="K163" s="6">
        <f t="shared" si="30"/>
        <v>-4.0410882798711488E-3</v>
      </c>
      <c r="L163" s="6">
        <f t="shared" si="30"/>
        <v>5.202946011474462E-3</v>
      </c>
      <c r="M163" s="6">
        <f t="shared" si="30"/>
        <v>-9.8068295948848475E-3</v>
      </c>
      <c r="N163" s="6">
        <f t="shared" si="30"/>
        <v>-3.747574930495873E-4</v>
      </c>
      <c r="O163" s="6">
        <f t="shared" si="23"/>
        <v>7.7928264448712302E-3</v>
      </c>
      <c r="P163" s="6"/>
      <c r="Q163" s="6">
        <f t="shared" si="24"/>
        <v>-2.2509497738294961E-3</v>
      </c>
      <c r="R163" s="6">
        <f t="shared" si="25"/>
        <v>-9.8068295948848475E-3</v>
      </c>
      <c r="S163" s="6">
        <f t="shared" si="26"/>
        <v>-4.2131291322646805E-3</v>
      </c>
      <c r="T163" s="6">
        <f t="shared" si="27"/>
        <v>3.1576569557255861E-5</v>
      </c>
      <c r="U163" s="6">
        <f t="shared" si="28"/>
        <v>-1.433351842763649E-3</v>
      </c>
      <c r="V163" s="6">
        <f t="shared" si="29"/>
        <v>-1.9681092538190613E-3</v>
      </c>
      <c r="W163" s="6"/>
      <c r="AE163" s="38"/>
    </row>
    <row r="164" spans="1:31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22"/>
        <v>1.9632261934998674E-4</v>
      </c>
      <c r="J164" s="6">
        <f t="shared" si="30"/>
        <v>7.2163751807764352E-3</v>
      </c>
      <c r="K164" s="6">
        <f t="shared" si="30"/>
        <v>7.5637276739742845E-3</v>
      </c>
      <c r="L164" s="6">
        <f t="shared" si="30"/>
        <v>-6.7235150953914692E-3</v>
      </c>
      <c r="M164" s="6">
        <f t="shared" si="30"/>
        <v>-4.2513463190354973E-3</v>
      </c>
      <c r="N164" s="6">
        <f t="shared" si="30"/>
        <v>1.4444457627020377E-3</v>
      </c>
      <c r="O164" s="6">
        <f t="shared" si="23"/>
        <v>0</v>
      </c>
      <c r="P164" s="6"/>
      <c r="Q164" s="6">
        <f t="shared" si="24"/>
        <v>-3.2363572979015251E-3</v>
      </c>
      <c r="R164" s="6">
        <f t="shared" si="25"/>
        <v>-4.2513463190354973E-3</v>
      </c>
      <c r="S164" s="6">
        <f t="shared" si="26"/>
        <v>-2.7229862243316506E-3</v>
      </c>
      <c r="T164" s="6">
        <f t="shared" si="27"/>
        <v>1.7049965528619095E-5</v>
      </c>
      <c r="U164" s="6">
        <f t="shared" si="28"/>
        <v>-1.5165132888278381E-3</v>
      </c>
      <c r="V164" s="6">
        <f t="shared" si="29"/>
        <v>-2.8001103893876599E-3</v>
      </c>
      <c r="W164" s="6"/>
      <c r="AE164" s="38"/>
    </row>
    <row r="165" spans="1:31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22"/>
        <v>1.9746521183972021E-4</v>
      </c>
      <c r="J165" s="6">
        <f t="shared" si="30"/>
        <v>-1.120175412492392E-2</v>
      </c>
      <c r="K165" s="6">
        <f t="shared" si="30"/>
        <v>-1.348640955626019E-2</v>
      </c>
      <c r="L165" s="6">
        <f t="shared" si="30"/>
        <v>-8.557882737226321E-3</v>
      </c>
      <c r="M165" s="6">
        <f t="shared" si="30"/>
        <v>-1.0110097057956752E-2</v>
      </c>
      <c r="N165" s="6">
        <f t="shared" si="30"/>
        <v>-9.5019783338873547E-3</v>
      </c>
      <c r="O165" s="6">
        <f t="shared" si="23"/>
        <v>5.8031031216765087E-3</v>
      </c>
      <c r="P165" s="6"/>
      <c r="Q165" s="6">
        <f t="shared" si="24"/>
        <v>-9.5954418665038614E-3</v>
      </c>
      <c r="R165" s="6">
        <f t="shared" si="25"/>
        <v>-1.0110097057956752E-2</v>
      </c>
      <c r="S165" s="6">
        <f t="shared" si="26"/>
        <v>-9.8255051433428237E-3</v>
      </c>
      <c r="T165" s="6">
        <f t="shared" si="27"/>
        <v>1.2615062010665556E-4</v>
      </c>
      <c r="U165" s="6">
        <f t="shared" si="28"/>
        <v>-9.729811078934076E-3</v>
      </c>
      <c r="V165" s="6">
        <f t="shared" si="29"/>
        <v>-1.932155565378825E-3</v>
      </c>
      <c r="W165" s="6"/>
      <c r="AE165" s="38"/>
    </row>
    <row r="166" spans="1:31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22"/>
        <v>1.970843837875158E-4</v>
      </c>
      <c r="J166" s="6">
        <f t="shared" si="30"/>
        <v>4.236087617690229E-2</v>
      </c>
      <c r="K166" s="6">
        <f t="shared" si="30"/>
        <v>2.2039331166826617E-3</v>
      </c>
      <c r="L166" s="6">
        <f t="shared" si="30"/>
        <v>-2.0473527315899678E-4</v>
      </c>
      <c r="M166" s="6">
        <f t="shared" si="30"/>
        <v>-1.8703414262897906E-2</v>
      </c>
      <c r="N166" s="6">
        <f t="shared" si="30"/>
        <v>7.4172372058720279E-3</v>
      </c>
      <c r="O166" s="6">
        <f t="shared" si="23"/>
        <v>-1.9304451186457814E-3</v>
      </c>
      <c r="P166" s="6"/>
      <c r="Q166" s="6">
        <f t="shared" si="24"/>
        <v>1.3986433252985517E-3</v>
      </c>
      <c r="R166" s="6">
        <f t="shared" si="25"/>
        <v>-1.8703414262897906E-2</v>
      </c>
      <c r="S166" s="6">
        <f t="shared" si="26"/>
        <v>-2.0118397456890015E-4</v>
      </c>
      <c r="T166" s="6">
        <f t="shared" si="27"/>
        <v>2.5836001918722039E-6</v>
      </c>
      <c r="U166" s="6">
        <f t="shared" si="28"/>
        <v>1.1262283867483337E-2</v>
      </c>
      <c r="V166" s="6">
        <f t="shared" si="29"/>
        <v>4.8859733857940894E-3</v>
      </c>
      <c r="W166" s="6"/>
      <c r="AE166" s="38"/>
    </row>
    <row r="167" spans="1:31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22"/>
        <v>1.9632261934998674E-4</v>
      </c>
      <c r="J167" s="6">
        <f t="shared" si="30"/>
        <v>8.5896815167550832E-3</v>
      </c>
      <c r="K167" s="6">
        <f t="shared" si="30"/>
        <v>-1.3125590939175541E-2</v>
      </c>
      <c r="L167" s="6">
        <f t="shared" si="30"/>
        <v>-6.6864291458487934E-2</v>
      </c>
      <c r="M167" s="6">
        <f t="shared" si="30"/>
        <v>-6.7217247231749887E-3</v>
      </c>
      <c r="N167" s="6">
        <f t="shared" si="30"/>
        <v>-1.4657607029448559E-2</v>
      </c>
      <c r="O167" s="6">
        <f t="shared" si="23"/>
        <v>-3.8726580030308149E-3</v>
      </c>
      <c r="P167" s="6"/>
      <c r="Q167" s="6">
        <f t="shared" si="24"/>
        <v>-3.1751665493877583E-2</v>
      </c>
      <c r="R167" s="6">
        <f t="shared" si="25"/>
        <v>-6.7217247231749887E-3</v>
      </c>
      <c r="S167" s="6">
        <f t="shared" si="26"/>
        <v>-2.3472500345368515E-2</v>
      </c>
      <c r="T167" s="6">
        <f t="shared" si="27"/>
        <v>6.1894844543981733E-4</v>
      </c>
      <c r="U167" s="6">
        <f t="shared" si="28"/>
        <v>-3.0722213773377343E-2</v>
      </c>
      <c r="V167" s="6">
        <f t="shared" si="29"/>
        <v>-1.726558269398883E-2</v>
      </c>
      <c r="W167" s="6"/>
      <c r="AE167" s="38"/>
    </row>
    <row r="168" spans="1:31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22"/>
        <v>1.9517970175764177E-4</v>
      </c>
      <c r="J168" s="6">
        <f t="shared" si="30"/>
        <v>-2.2106106529132866E-2</v>
      </c>
      <c r="K168" s="6">
        <f t="shared" si="30"/>
        <v>-2.4050333635455131E-3</v>
      </c>
      <c r="L168" s="6">
        <f t="shared" si="30"/>
        <v>5.4697060967347623E-4</v>
      </c>
      <c r="M168" s="6">
        <f t="shared" si="30"/>
        <v>-4.3010263731349009E-3</v>
      </c>
      <c r="N168" s="6">
        <f t="shared" si="30"/>
        <v>-1.2094130563305876E-2</v>
      </c>
      <c r="O168" s="6">
        <f t="shared" si="23"/>
        <v>-5.8386414462252264E-3</v>
      </c>
      <c r="P168" s="6"/>
      <c r="Q168" s="6">
        <f t="shared" si="24"/>
        <v>-5.408262532863823E-3</v>
      </c>
      <c r="R168" s="6">
        <f t="shared" si="25"/>
        <v>-4.3010263731349009E-3</v>
      </c>
      <c r="S168" s="6">
        <f t="shared" si="26"/>
        <v>-6.3024239026598823E-3</v>
      </c>
      <c r="T168" s="6">
        <f t="shared" si="27"/>
        <v>5.9422484183279273E-5</v>
      </c>
      <c r="U168" s="6">
        <f t="shared" si="28"/>
        <v>-8.0560346422209727E-3</v>
      </c>
      <c r="V168" s="6">
        <f t="shared" si="29"/>
        <v>3.3415055183788839E-3</v>
      </c>
      <c r="W168" s="6"/>
      <c r="AE168" s="38"/>
    </row>
    <row r="169" spans="1:31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22"/>
        <v>1.970843837875158E-4</v>
      </c>
      <c r="J169" s="6">
        <f t="shared" si="30"/>
        <v>-1.9353292388622649E-2</v>
      </c>
      <c r="K169" s="6">
        <f t="shared" si="30"/>
        <v>-1.3769359849297128E-3</v>
      </c>
      <c r="L169" s="6">
        <f t="shared" si="30"/>
        <v>-1.1493392825475091E-2</v>
      </c>
      <c r="M169" s="6">
        <f t="shared" si="30"/>
        <v>-9.2793792839827582E-3</v>
      </c>
      <c r="N169" s="6">
        <f t="shared" si="30"/>
        <v>-2.0586901863485071E-3</v>
      </c>
      <c r="O169" s="6">
        <f t="shared" si="23"/>
        <v>9.7112994492560816E-3</v>
      </c>
      <c r="P169" s="6"/>
      <c r="Q169" s="6">
        <f t="shared" si="24"/>
        <v>-1.2206787209889861E-2</v>
      </c>
      <c r="R169" s="6">
        <f t="shared" si="25"/>
        <v>-9.2793792839827582E-3</v>
      </c>
      <c r="S169" s="6">
        <f t="shared" si="26"/>
        <v>-1.2033784506767127E-2</v>
      </c>
      <c r="T169" s="6">
        <f t="shared" si="27"/>
        <v>1.8063248912417567E-4</v>
      </c>
      <c r="U169" s="6">
        <f t="shared" si="28"/>
        <v>-1.3815342991633499E-2</v>
      </c>
      <c r="V169" s="6">
        <f t="shared" si="29"/>
        <v>-1.3067319591951513E-2</v>
      </c>
      <c r="W169" s="6"/>
      <c r="AE169" s="38"/>
    </row>
    <row r="170" spans="1:31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22"/>
        <v>1.9784600378991435E-4</v>
      </c>
      <c r="J170" s="6">
        <f t="shared" si="30"/>
        <v>-8.1807529156866562E-3</v>
      </c>
      <c r="K170" s="6">
        <f t="shared" si="30"/>
        <v>7.7206836858722564E-3</v>
      </c>
      <c r="L170" s="6">
        <f t="shared" si="30"/>
        <v>-3.9902601949420831E-3</v>
      </c>
      <c r="M170" s="6">
        <f t="shared" si="30"/>
        <v>1.8628149729069926E-3</v>
      </c>
      <c r="N170" s="6">
        <f t="shared" si="30"/>
        <v>-5.797336366096615E-3</v>
      </c>
      <c r="O170" s="6">
        <f t="shared" si="23"/>
        <v>3.8569883226659335E-3</v>
      </c>
      <c r="P170" s="6"/>
      <c r="Q170" s="6">
        <f t="shared" si="24"/>
        <v>-2.7480697702392705E-3</v>
      </c>
      <c r="R170" s="6">
        <f t="shared" si="25"/>
        <v>1.8628149729069926E-3</v>
      </c>
      <c r="S170" s="6">
        <f t="shared" si="26"/>
        <v>-2.0896794936671008E-3</v>
      </c>
      <c r="T170" s="6">
        <f t="shared" si="27"/>
        <v>1.2220992809414403E-5</v>
      </c>
      <c r="U170" s="6">
        <f t="shared" si="28"/>
        <v>-4.4330330001851647E-3</v>
      </c>
      <c r="V170" s="6">
        <f t="shared" si="29"/>
        <v>2.8922997086120415E-4</v>
      </c>
      <c r="W170" s="6"/>
      <c r="AE170" s="38"/>
    </row>
    <row r="171" spans="1:31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22"/>
        <v>1.9632261934998674E-4</v>
      </c>
      <c r="J171" s="6">
        <f t="shared" si="30"/>
        <v>-5.7307029681765223E-3</v>
      </c>
      <c r="K171" s="6">
        <f t="shared" si="30"/>
        <v>6.8132245978021052E-3</v>
      </c>
      <c r="L171" s="6">
        <f t="shared" si="30"/>
        <v>6.4760434973849422E-3</v>
      </c>
      <c r="M171" s="6">
        <f t="shared" si="30"/>
        <v>1.2943127412559438E-2</v>
      </c>
      <c r="N171" s="6">
        <f t="shared" si="30"/>
        <v>-2.2106328639260849E-3</v>
      </c>
      <c r="O171" s="6">
        <f t="shared" si="23"/>
        <v>-7.7296463256966716E-3</v>
      </c>
      <c r="P171" s="6"/>
      <c r="Q171" s="6">
        <f t="shared" si="24"/>
        <v>6.4197709950124119E-3</v>
      </c>
      <c r="R171" s="6">
        <f t="shared" si="25"/>
        <v>1.2943127412559438E-2</v>
      </c>
      <c r="S171" s="6">
        <f t="shared" si="26"/>
        <v>7.0183332644873963E-3</v>
      </c>
      <c r="T171" s="6">
        <f t="shared" si="27"/>
        <v>0</v>
      </c>
      <c r="U171" s="6">
        <f t="shared" si="28"/>
        <v>3.3853556405930804E-3</v>
      </c>
      <c r="V171" s="6">
        <f t="shared" si="29"/>
        <v>6.2105674347865542E-3</v>
      </c>
      <c r="W171" s="6"/>
      <c r="AE171" s="38"/>
    </row>
    <row r="172" spans="1:31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22"/>
        <v>2.0241269373766357E-4</v>
      </c>
      <c r="J172" s="6">
        <f t="shared" si="30"/>
        <v>-1.2287828139873455E-2</v>
      </c>
      <c r="K172" s="6">
        <f t="shared" si="30"/>
        <v>2.1162958107073866E-2</v>
      </c>
      <c r="L172" s="6">
        <f t="shared" si="30"/>
        <v>2.4793566191605932E-2</v>
      </c>
      <c r="M172" s="6">
        <f t="shared" si="30"/>
        <v>1.0962394432582713E-2</v>
      </c>
      <c r="N172" s="6">
        <f t="shared" si="30"/>
        <v>-8.7971023365461913E-3</v>
      </c>
      <c r="O172" s="6">
        <f t="shared" si="23"/>
        <v>3.0549328421036113E-2</v>
      </c>
      <c r="P172" s="6"/>
      <c r="Q172" s="6">
        <f t="shared" si="24"/>
        <v>1.2998195085247818E-2</v>
      </c>
      <c r="R172" s="6">
        <f t="shared" si="25"/>
        <v>1.0962394432582713E-2</v>
      </c>
      <c r="S172" s="6">
        <f t="shared" si="26"/>
        <v>1.0837688300914049E-2</v>
      </c>
      <c r="T172" s="6">
        <f t="shared" si="27"/>
        <v>0</v>
      </c>
      <c r="U172" s="6">
        <f t="shared" si="28"/>
        <v>9.7078482948200189E-3</v>
      </c>
      <c r="V172" s="6">
        <f t="shared" si="29"/>
        <v>1.4123463343404967E-2</v>
      </c>
      <c r="W172" s="6"/>
      <c r="AE172" s="38"/>
    </row>
    <row r="173" spans="1:31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22"/>
        <v>2.0165193919474689E-4</v>
      </c>
      <c r="J173" s="6">
        <f t="shared" si="30"/>
        <v>5.07788929321121E-3</v>
      </c>
      <c r="K173" s="6">
        <f t="shared" si="30"/>
        <v>6.2956618817539729E-3</v>
      </c>
      <c r="L173" s="6">
        <f t="shared" si="30"/>
        <v>1.9243130694284457E-2</v>
      </c>
      <c r="M173" s="6">
        <f t="shared" si="30"/>
        <v>-1.2187931160931781E-2</v>
      </c>
      <c r="N173" s="6">
        <f t="shared" si="30"/>
        <v>8.6933277348877659E-3</v>
      </c>
      <c r="O173" s="6">
        <f t="shared" si="23"/>
        <v>-3.7655136322931222E-3</v>
      </c>
      <c r="P173" s="6"/>
      <c r="Q173" s="6">
        <f t="shared" si="24"/>
        <v>5.6578222734599698E-3</v>
      </c>
      <c r="R173" s="6">
        <f t="shared" si="25"/>
        <v>-1.2187931160931781E-2</v>
      </c>
      <c r="S173" s="6">
        <f t="shared" si="26"/>
        <v>1.7097035340701856E-3</v>
      </c>
      <c r="T173" s="6">
        <f t="shared" si="27"/>
        <v>0</v>
      </c>
      <c r="U173" s="6">
        <f t="shared" si="28"/>
        <v>9.0306849465007707E-3</v>
      </c>
      <c r="V173" s="6">
        <f t="shared" si="29"/>
        <v>1.7247322294221927E-3</v>
      </c>
      <c r="W173" s="6"/>
      <c r="AE173" s="38"/>
    </row>
    <row r="174" spans="1:31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22"/>
        <v>2.0012999773522111E-4</v>
      </c>
      <c r="J174" s="6">
        <f t="shared" si="30"/>
        <v>6.3713730744178647E-3</v>
      </c>
      <c r="K174" s="6">
        <f t="shared" si="30"/>
        <v>1.4852540987510795E-3</v>
      </c>
      <c r="L174" s="6">
        <f t="shared" si="30"/>
        <v>1.4310268539026554E-2</v>
      </c>
      <c r="M174" s="6">
        <f t="shared" si="30"/>
        <v>1.1582000481511069E-2</v>
      </c>
      <c r="N174" s="6">
        <f t="shared" si="30"/>
        <v>1.1893624576650831E-2</v>
      </c>
      <c r="O174" s="6">
        <f t="shared" si="23"/>
        <v>-7.5759938366260346E-3</v>
      </c>
      <c r="P174" s="6"/>
      <c r="Q174" s="6">
        <f t="shared" si="24"/>
        <v>1.1865824901909329E-2</v>
      </c>
      <c r="R174" s="6">
        <f t="shared" si="25"/>
        <v>1.1582000481511069E-2</v>
      </c>
      <c r="S174" s="6">
        <f t="shared" si="26"/>
        <v>1.1407950087110739E-2</v>
      </c>
      <c r="T174" s="6">
        <f t="shared" si="27"/>
        <v>0</v>
      </c>
      <c r="U174" s="6">
        <f t="shared" si="28"/>
        <v>1.112014394865507E-2</v>
      </c>
      <c r="V174" s="6">
        <f t="shared" si="29"/>
        <v>1.3945911370089915E-3</v>
      </c>
      <c r="W174" s="6"/>
      <c r="AE174" s="38"/>
    </row>
    <row r="175" spans="1:31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22"/>
        <v>2.0127150788695758E-4</v>
      </c>
      <c r="J175" s="6">
        <f t="shared" si="30"/>
        <v>1.2622341953280228E-2</v>
      </c>
      <c r="K175" s="6">
        <f t="shared" si="30"/>
        <v>1.4895089026447495E-2</v>
      </c>
      <c r="L175" s="6">
        <f t="shared" si="30"/>
        <v>4.8803897357337367E-3</v>
      </c>
      <c r="M175" s="6">
        <f t="shared" si="30"/>
        <v>1.8613569807513386E-2</v>
      </c>
      <c r="N175" s="6">
        <f t="shared" si="30"/>
        <v>2.1297196541228134E-4</v>
      </c>
      <c r="O175" s="6">
        <f t="shared" si="23"/>
        <v>5.6876380033150228E-3</v>
      </c>
      <c r="P175" s="6"/>
      <c r="Q175" s="6">
        <f t="shared" si="24"/>
        <v>1.1109028470256506E-2</v>
      </c>
      <c r="R175" s="6">
        <f t="shared" si="25"/>
        <v>1.8613569807513386E-2</v>
      </c>
      <c r="S175" s="6">
        <f t="shared" si="26"/>
        <v>1.2863876116807173E-2</v>
      </c>
      <c r="T175" s="6">
        <f t="shared" si="27"/>
        <v>0</v>
      </c>
      <c r="U175" s="6">
        <f t="shared" si="28"/>
        <v>9.8756501529068501E-3</v>
      </c>
      <c r="V175" s="6">
        <f t="shared" si="29"/>
        <v>9.0530376384269379E-3</v>
      </c>
      <c r="W175" s="6"/>
      <c r="AE175" s="38"/>
    </row>
    <row r="176" spans="1:31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22"/>
        <v>2.0203233447624314E-4</v>
      </c>
      <c r="J176" s="6">
        <f t="shared" si="30"/>
        <v>5.1340934294748482E-3</v>
      </c>
      <c r="K176" s="6">
        <f t="shared" si="30"/>
        <v>3.082230575187468E-3</v>
      </c>
      <c r="L176" s="6">
        <f t="shared" si="30"/>
        <v>1.500784386497234E-3</v>
      </c>
      <c r="M176" s="6">
        <f t="shared" si="30"/>
        <v>-1.377680211997016E-2</v>
      </c>
      <c r="N176" s="6">
        <f t="shared" si="30"/>
        <v>-4.5869419014574458E-3</v>
      </c>
      <c r="O176" s="6">
        <f t="shared" si="23"/>
        <v>3.7729741793627114E-3</v>
      </c>
      <c r="P176" s="6"/>
      <c r="Q176" s="6">
        <f t="shared" si="24"/>
        <v>-3.1190345182653184E-3</v>
      </c>
      <c r="R176" s="6">
        <f t="shared" si="25"/>
        <v>-1.377680211997016E-2</v>
      </c>
      <c r="S176" s="6">
        <f t="shared" si="26"/>
        <v>-4.8774602592387209E-3</v>
      </c>
      <c r="T176" s="6">
        <f t="shared" si="27"/>
        <v>3.9484061589337935E-5</v>
      </c>
      <c r="U176" s="6">
        <f t="shared" si="28"/>
        <v>1.4843382175140293E-4</v>
      </c>
      <c r="V176" s="6">
        <f t="shared" si="29"/>
        <v>3.8044433532002262E-3</v>
      </c>
      <c r="W176" s="6"/>
      <c r="AE176" s="38"/>
    </row>
    <row r="177" spans="1:31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22"/>
        <v>2.0127150788695758E-4</v>
      </c>
      <c r="J177" s="6">
        <f t="shared" si="30"/>
        <v>-3.4788581331064421E-3</v>
      </c>
      <c r="K177" s="6">
        <f t="shared" si="30"/>
        <v>0</v>
      </c>
      <c r="L177" s="6">
        <f t="shared" si="30"/>
        <v>6.2045885918183598E-4</v>
      </c>
      <c r="M177" s="6">
        <f t="shared" si="30"/>
        <v>1.020115925682203E-2</v>
      </c>
      <c r="N177" s="6">
        <f t="shared" si="30"/>
        <v>1.0157373516560254E-2</v>
      </c>
      <c r="O177" s="6">
        <f t="shared" si="23"/>
        <v>-3.7729741793627526E-3</v>
      </c>
      <c r="P177" s="6"/>
      <c r="Q177" s="6">
        <f t="shared" si="24"/>
        <v>3.174219385139748E-3</v>
      </c>
      <c r="R177" s="6">
        <f t="shared" si="25"/>
        <v>1.020115925682203E-2</v>
      </c>
      <c r="S177" s="6">
        <f t="shared" si="26"/>
        <v>4.2524407185034613E-3</v>
      </c>
      <c r="T177" s="6">
        <f t="shared" si="27"/>
        <v>0</v>
      </c>
      <c r="U177" s="6">
        <f t="shared" si="28"/>
        <v>8.4333875562065286E-4</v>
      </c>
      <c r="V177" s="6">
        <f t="shared" si="29"/>
        <v>-7.7627977066153046E-3</v>
      </c>
      <c r="W177" s="6"/>
      <c r="AE177" s="38"/>
    </row>
    <row r="178" spans="1:31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22"/>
        <v>2.0203233447624314E-4</v>
      </c>
      <c r="J178" s="6">
        <f t="shared" si="30"/>
        <v>2.4505258851654717E-2</v>
      </c>
      <c r="K178" s="6">
        <f t="shared" si="30"/>
        <v>4.8472846158211921E-3</v>
      </c>
      <c r="L178" s="6">
        <f t="shared" si="30"/>
        <v>-1.0859387138235847E-3</v>
      </c>
      <c r="M178" s="6">
        <f t="shared" si="30"/>
        <v>1.5990897700798735E-2</v>
      </c>
      <c r="N178" s="6">
        <f t="shared" si="30"/>
        <v>3.1734156874775382E-3</v>
      </c>
      <c r="O178" s="6">
        <f t="shared" si="23"/>
        <v>3.7729741793627114E-3</v>
      </c>
      <c r="P178" s="6"/>
      <c r="Q178" s="6">
        <f t="shared" si="24"/>
        <v>9.6696815936590415E-3</v>
      </c>
      <c r="R178" s="6">
        <f t="shared" si="25"/>
        <v>1.5990897700798735E-2</v>
      </c>
      <c r="S178" s="6">
        <f t="shared" si="26"/>
        <v>1.2060392030645737E-2</v>
      </c>
      <c r="T178" s="6">
        <f t="shared" si="27"/>
        <v>0</v>
      </c>
      <c r="U178" s="6">
        <f t="shared" si="28"/>
        <v>1.0606916886751746E-2</v>
      </c>
      <c r="V178" s="6">
        <f t="shared" si="29"/>
        <v>7.3667363654632556E-3</v>
      </c>
      <c r="W178" s="6"/>
      <c r="AE178" s="38"/>
    </row>
    <row r="179" spans="1:31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22"/>
        <v>2.0165193919474689E-4</v>
      </c>
      <c r="J179" s="6">
        <f t="shared" si="30"/>
        <v>-1.8439790545778333E-2</v>
      </c>
      <c r="K179" s="6">
        <f t="shared" si="30"/>
        <v>-4.3615431401830369E-3</v>
      </c>
      <c r="L179" s="6">
        <f t="shared" si="30"/>
        <v>-7.9996022089060346E-3</v>
      </c>
      <c r="M179" s="6">
        <f t="shared" si="30"/>
        <v>-7.6674124514332052E-3</v>
      </c>
      <c r="N179" s="6">
        <f t="shared" si="30"/>
        <v>-1.5855554753445709E-2</v>
      </c>
      <c r="O179" s="6">
        <f t="shared" si="23"/>
        <v>-1.8846183460518033E-3</v>
      </c>
      <c r="P179" s="6"/>
      <c r="Q179" s="6">
        <f t="shared" si="24"/>
        <v>-9.8530188220604595E-3</v>
      </c>
      <c r="R179" s="6">
        <f t="shared" si="25"/>
        <v>-7.6674124514332052E-3</v>
      </c>
      <c r="S179" s="6">
        <f t="shared" si="26"/>
        <v>-9.9512383341314216E-3</v>
      </c>
      <c r="T179" s="6">
        <f t="shared" si="27"/>
        <v>1.289908186968632E-4</v>
      </c>
      <c r="U179" s="6">
        <f t="shared" si="28"/>
        <v>-1.1527740612763706E-2</v>
      </c>
      <c r="V179" s="6">
        <f t="shared" si="29"/>
        <v>2.7720572628331767E-3</v>
      </c>
      <c r="W179" s="6"/>
      <c r="AE179" s="38"/>
    </row>
    <row r="180" spans="1:31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22"/>
        <v>2.0127150788695758E-4</v>
      </c>
      <c r="J180" s="6">
        <f t="shared" si="30"/>
        <v>-6.0654683058762593E-3</v>
      </c>
      <c r="K180" s="6">
        <f t="shared" si="30"/>
        <v>2.5869042305606007E-3</v>
      </c>
      <c r="L180" s="6">
        <f t="shared" si="30"/>
        <v>6.2565312240965142E-4</v>
      </c>
      <c r="M180" s="6">
        <f t="shared" si="30"/>
        <v>1.7746003431574375E-3</v>
      </c>
      <c r="N180" s="6">
        <f t="shared" si="30"/>
        <v>-3.4413923648739225E-3</v>
      </c>
      <c r="O180" s="6">
        <f t="shared" si="23"/>
        <v>-1.8883558333109205E-3</v>
      </c>
      <c r="P180" s="6"/>
      <c r="Q180" s="6">
        <f t="shared" si="24"/>
        <v>-2.3717059005747476E-4</v>
      </c>
      <c r="R180" s="6">
        <f t="shared" si="25"/>
        <v>1.7746003431574375E-3</v>
      </c>
      <c r="S180" s="6">
        <f t="shared" si="26"/>
        <v>-1.8982088952154274E-4</v>
      </c>
      <c r="T180" s="6">
        <f t="shared" si="27"/>
        <v>2.5472002170695827E-6</v>
      </c>
      <c r="U180" s="6">
        <f t="shared" si="28"/>
        <v>-1.4762409813490716E-3</v>
      </c>
      <c r="V180" s="6">
        <f t="shared" si="29"/>
        <v>1.792210415570053E-3</v>
      </c>
      <c r="W180" s="6"/>
      <c r="AE180" s="38"/>
    </row>
    <row r="181" spans="1:31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22"/>
        <v>2.0051053716385603E-4</v>
      </c>
      <c r="J181" s="6">
        <f t="shared" si="30"/>
        <v>2.1792612899963495E-2</v>
      </c>
      <c r="K181" s="6">
        <f t="shared" si="30"/>
        <v>9.683988994642935E-4</v>
      </c>
      <c r="L181" s="6">
        <f t="shared" si="30"/>
        <v>-1.0429762752333207E-3</v>
      </c>
      <c r="M181" s="6">
        <f t="shared" si="30"/>
        <v>-5.9277432873759113E-3</v>
      </c>
      <c r="N181" s="6">
        <f t="shared" si="30"/>
        <v>9.0870134013374317E-3</v>
      </c>
      <c r="O181" s="6">
        <f t="shared" si="23"/>
        <v>-3.7879822774249021E-3</v>
      </c>
      <c r="P181" s="6"/>
      <c r="Q181" s="6">
        <f t="shared" si="24"/>
        <v>1.5670797038191092E-3</v>
      </c>
      <c r="R181" s="6">
        <f t="shared" si="25"/>
        <v>-5.9277432873759113E-3</v>
      </c>
      <c r="S181" s="6">
        <f t="shared" si="26"/>
        <v>1.3077869686993768E-3</v>
      </c>
      <c r="T181" s="6">
        <f t="shared" si="27"/>
        <v>9.6800405815982681E-9</v>
      </c>
      <c r="U181" s="6">
        <f t="shared" si="28"/>
        <v>5.9664254737560995E-3</v>
      </c>
      <c r="V181" s="6">
        <f t="shared" si="29"/>
        <v>-1.6868713537296562E-3</v>
      </c>
      <c r="W181" s="6"/>
      <c r="AE181" s="38"/>
    </row>
    <row r="182" spans="1:31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22"/>
        <v>2.0165193919474689E-4</v>
      </c>
      <c r="J182" s="6">
        <f t="shared" si="30"/>
        <v>5.8095544508652106E-2</v>
      </c>
      <c r="K182" s="6">
        <f t="shared" si="30"/>
        <v>2.8994529241732746E-3</v>
      </c>
      <c r="L182" s="6">
        <f t="shared" si="30"/>
        <v>-6.0183515082071516E-3</v>
      </c>
      <c r="M182" s="6">
        <f t="shared" si="30"/>
        <v>1.7820997373106853E-3</v>
      </c>
      <c r="N182" s="6">
        <f t="shared" si="30"/>
        <v>1.247858860899914E-2</v>
      </c>
      <c r="O182" s="6">
        <f t="shared" si="23"/>
        <v>5.6763381107358766E-3</v>
      </c>
      <c r="P182" s="6"/>
      <c r="Q182" s="6">
        <f t="shared" si="24"/>
        <v>8.780591632080675E-3</v>
      </c>
      <c r="R182" s="6">
        <f t="shared" si="25"/>
        <v>1.7820997373106853E-3</v>
      </c>
      <c r="S182" s="6">
        <f t="shared" si="26"/>
        <v>1.0610252547651017E-2</v>
      </c>
      <c r="T182" s="6">
        <f t="shared" si="27"/>
        <v>0</v>
      </c>
      <c r="U182" s="6">
        <f t="shared" si="28"/>
        <v>1.7322777895280736E-2</v>
      </c>
      <c r="V182" s="6">
        <f t="shared" si="29"/>
        <v>5.6016652126570808E-3</v>
      </c>
      <c r="W182" s="6"/>
      <c r="AE182" s="38"/>
    </row>
    <row r="183" spans="1:31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22"/>
        <v>2.0317330422892077E-4</v>
      </c>
      <c r="J183" s="6">
        <f t="shared" si="30"/>
        <v>-9.1483674173388676E-3</v>
      </c>
      <c r="K183" s="6">
        <f t="shared" si="30"/>
        <v>2.8910542328630683E-3</v>
      </c>
      <c r="L183" s="6">
        <f t="shared" si="30"/>
        <v>7.7907210062601899E-3</v>
      </c>
      <c r="M183" s="6">
        <f t="shared" si="30"/>
        <v>8.2741716697485573E-3</v>
      </c>
      <c r="N183" s="6">
        <f t="shared" si="30"/>
        <v>1.0273136069376812E-2</v>
      </c>
      <c r="O183" s="6">
        <f t="shared" si="23"/>
        <v>7.5161923378373003E-3</v>
      </c>
      <c r="P183" s="6"/>
      <c r="Q183" s="6">
        <f t="shared" si="24"/>
        <v>4.7642934321786628E-3</v>
      </c>
      <c r="R183" s="6">
        <f t="shared" si="25"/>
        <v>8.2741716697485573E-3</v>
      </c>
      <c r="S183" s="6">
        <f t="shared" si="26"/>
        <v>4.5777776179351309E-3</v>
      </c>
      <c r="T183" s="6">
        <f t="shared" si="27"/>
        <v>0</v>
      </c>
      <c r="U183" s="6">
        <f t="shared" si="28"/>
        <v>2.0569073468983037E-3</v>
      </c>
      <c r="V183" s="6">
        <f t="shared" si="29"/>
        <v>-7.9092246644029991E-3</v>
      </c>
      <c r="W183" s="6"/>
      <c r="AE183" s="38"/>
    </row>
    <row r="184" spans="1:31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22"/>
        <v>2.0317330422892077E-4</v>
      </c>
      <c r="J184" s="6">
        <f t="shared" si="30"/>
        <v>3.7898712813242458E-3</v>
      </c>
      <c r="K184" s="6">
        <f t="shared" si="30"/>
        <v>4.3210584019733201E-3</v>
      </c>
      <c r="L184" s="6">
        <f t="shared" si="30"/>
        <v>-1.3029561227812455E-3</v>
      </c>
      <c r="M184" s="6">
        <f t="shared" si="30"/>
        <v>5.283244107095986E-3</v>
      </c>
      <c r="N184" s="6">
        <f t="shared" si="30"/>
        <v>1.3425358193505205E-3</v>
      </c>
      <c r="O184" s="6">
        <f t="shared" si="23"/>
        <v>0</v>
      </c>
      <c r="P184" s="6"/>
      <c r="Q184" s="6">
        <f t="shared" si="24"/>
        <v>1.9444124536094434E-3</v>
      </c>
      <c r="R184" s="6">
        <f t="shared" si="25"/>
        <v>5.283244107095986E-3</v>
      </c>
      <c r="S184" s="6">
        <f t="shared" si="26"/>
        <v>2.8066758993997624E-3</v>
      </c>
      <c r="T184" s="6">
        <f t="shared" si="27"/>
        <v>0</v>
      </c>
      <c r="U184" s="6">
        <f t="shared" si="28"/>
        <v>1.5664850078578271E-3</v>
      </c>
      <c r="V184" s="6">
        <f t="shared" si="29"/>
        <v>3.7344949928157863E-4</v>
      </c>
      <c r="W184" s="6"/>
      <c r="AE184" s="38"/>
    </row>
    <row r="185" spans="1:31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22"/>
        <v>2.0279301698633567E-4</v>
      </c>
      <c r="J185" s="6">
        <f t="shared" si="30"/>
        <v>1.8624377821563668E-3</v>
      </c>
      <c r="K185" s="6">
        <f t="shared" si="30"/>
        <v>3.666217842342803E-3</v>
      </c>
      <c r="L185" s="6">
        <f t="shared" si="30"/>
        <v>2.0134915133947339E-2</v>
      </c>
      <c r="M185" s="6">
        <f t="shared" si="30"/>
        <v>1.7549955781686565E-3</v>
      </c>
      <c r="N185" s="6">
        <f t="shared" si="30"/>
        <v>-5.7829262956225704E-6</v>
      </c>
      <c r="O185" s="6">
        <f t="shared" si="23"/>
        <v>-1.8734921294941596E-3</v>
      </c>
      <c r="P185" s="6"/>
      <c r="Q185" s="6">
        <f t="shared" si="24"/>
        <v>1.0306946428237283E-2</v>
      </c>
      <c r="R185" s="6">
        <f t="shared" si="25"/>
        <v>1.7549955781686565E-3</v>
      </c>
      <c r="S185" s="6">
        <f t="shared" si="26"/>
        <v>7.8429683452229584E-3</v>
      </c>
      <c r="T185" s="6">
        <f t="shared" si="27"/>
        <v>0</v>
      </c>
      <c r="U185" s="6">
        <f t="shared" si="28"/>
        <v>1.0733211460410163E-2</v>
      </c>
      <c r="V185" s="6">
        <f t="shared" si="29"/>
        <v>1.0946976253773756E-2</v>
      </c>
      <c r="W185" s="6"/>
      <c r="AE185" s="38"/>
    </row>
    <row r="186" spans="1:31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22"/>
        <v>2.0469409327517063E-4</v>
      </c>
      <c r="J186" s="6">
        <f t="shared" si="30"/>
        <v>9.9644209184128335E-3</v>
      </c>
      <c r="K186" s="6">
        <f t="shared" si="30"/>
        <v>4.7729304993157585E-4</v>
      </c>
      <c r="L186" s="6">
        <f t="shared" si="30"/>
        <v>9.4112742907778765E-3</v>
      </c>
      <c r="M186" s="6">
        <f t="shared" si="30"/>
        <v>4.0827757174903999E-3</v>
      </c>
      <c r="N186" s="6">
        <f t="shared" si="30"/>
        <v>5.0780025958913483E-3</v>
      </c>
      <c r="O186" s="6">
        <f t="shared" si="23"/>
        <v>9.3307986135110887E-3</v>
      </c>
      <c r="P186" s="6"/>
      <c r="Q186" s="6">
        <f t="shared" si="24"/>
        <v>7.665322191569535E-3</v>
      </c>
      <c r="R186" s="6">
        <f t="shared" si="25"/>
        <v>4.0827757174903999E-3</v>
      </c>
      <c r="S186" s="6">
        <f t="shared" si="26"/>
        <v>7.024070718026687E-3</v>
      </c>
      <c r="T186" s="6">
        <f t="shared" si="27"/>
        <v>0</v>
      </c>
      <c r="U186" s="6">
        <f t="shared" si="28"/>
        <v>8.6944234892695708E-3</v>
      </c>
      <c r="V186" s="6">
        <f t="shared" si="29"/>
        <v>3.1428437141851067E-3</v>
      </c>
      <c r="W186" s="6"/>
      <c r="AE186" s="38"/>
    </row>
    <row r="187" spans="1:31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22"/>
        <v>2.0317330422892077E-4</v>
      </c>
      <c r="J187" s="6">
        <f t="shared" si="30"/>
        <v>-6.9140777525400921E-3</v>
      </c>
      <c r="K187" s="6">
        <f t="shared" si="30"/>
        <v>6.0250352963449492E-3</v>
      </c>
      <c r="L187" s="6">
        <f t="shared" si="30"/>
        <v>6.4097849393042125E-3</v>
      </c>
      <c r="M187" s="6">
        <f t="shared" si="30"/>
        <v>-5.8223411107649701E-4</v>
      </c>
      <c r="N187" s="6">
        <f t="shared" si="30"/>
        <v>1.6480214063461682E-3</v>
      </c>
      <c r="O187" s="6">
        <f t="shared" si="23"/>
        <v>-7.4573064840169363E-3</v>
      </c>
      <c r="P187" s="6"/>
      <c r="Q187" s="6">
        <f t="shared" si="24"/>
        <v>1.4693270284983578E-3</v>
      </c>
      <c r="R187" s="6">
        <f t="shared" si="25"/>
        <v>-5.8223411107649701E-4</v>
      </c>
      <c r="S187" s="6">
        <f t="shared" si="26"/>
        <v>4.5495936495285223E-4</v>
      </c>
      <c r="T187" s="6">
        <f t="shared" si="27"/>
        <v>9.0480959762410561E-7</v>
      </c>
      <c r="U187" s="6">
        <f t="shared" si="28"/>
        <v>6.4513411552793597E-4</v>
      </c>
      <c r="V187" s="6">
        <f t="shared" si="29"/>
        <v>1.105165195758491E-5</v>
      </c>
      <c r="W187" s="6"/>
      <c r="AE187" s="38"/>
    </row>
    <row r="188" spans="1:31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22"/>
        <v>2.0127150788695758E-4</v>
      </c>
      <c r="J188" s="6">
        <f t="shared" si="30"/>
        <v>1.7491613013872163E-2</v>
      </c>
      <c r="K188" s="6">
        <f t="shared" si="30"/>
        <v>5.0457831514656758E-3</v>
      </c>
      <c r="L188" s="6">
        <f t="shared" si="30"/>
        <v>-2.0125493872400897E-4</v>
      </c>
      <c r="M188" s="6">
        <f t="shared" si="30"/>
        <v>5.2280020464313707E-3</v>
      </c>
      <c r="N188" s="6">
        <f t="shared" si="30"/>
        <v>-2.4128455417182781E-4</v>
      </c>
      <c r="O188" s="6">
        <f t="shared" si="23"/>
        <v>-9.4045481711482436E-3</v>
      </c>
      <c r="P188" s="6"/>
      <c r="Q188" s="6">
        <f t="shared" si="24"/>
        <v>5.0204393806284192E-3</v>
      </c>
      <c r="R188" s="6">
        <f t="shared" si="25"/>
        <v>5.2280020464313707E-3</v>
      </c>
      <c r="S188" s="6">
        <f t="shared" si="26"/>
        <v>5.9192291262739564E-3</v>
      </c>
      <c r="T188" s="6">
        <f t="shared" si="27"/>
        <v>0</v>
      </c>
      <c r="U188" s="6">
        <f t="shared" si="28"/>
        <v>6.7975639391777585E-3</v>
      </c>
      <c r="V188" s="6">
        <f t="shared" si="29"/>
        <v>8.059238965394705E-3</v>
      </c>
      <c r="W188" s="6"/>
      <c r="AE188" s="38"/>
    </row>
    <row r="189" spans="1:31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22"/>
        <v>1.9974942225231551E-4</v>
      </c>
      <c r="J189" s="6">
        <f t="shared" si="30"/>
        <v>6.1545058292852206E-3</v>
      </c>
      <c r="K189" s="6">
        <f t="shared" si="30"/>
        <v>-7.578230471947678E-3</v>
      </c>
      <c r="L189" s="6">
        <f t="shared" si="30"/>
        <v>1.3891880096165623E-2</v>
      </c>
      <c r="M189" s="6">
        <f t="shared" si="30"/>
        <v>2.3147859350525577E-3</v>
      </c>
      <c r="N189" s="6">
        <f t="shared" si="30"/>
        <v>4.8261000617198218E-3</v>
      </c>
      <c r="O189" s="6">
        <f t="shared" si="23"/>
        <v>-7.5910897879736695E-3</v>
      </c>
      <c r="P189" s="6"/>
      <c r="Q189" s="6">
        <f t="shared" si="24"/>
        <v>8.4127816038800408E-3</v>
      </c>
      <c r="R189" s="6">
        <f t="shared" si="25"/>
        <v>2.3147859350525577E-3</v>
      </c>
      <c r="S189" s="6">
        <f t="shared" si="26"/>
        <v>6.8918684653575916E-3</v>
      </c>
      <c r="T189" s="6">
        <f t="shared" si="27"/>
        <v>0</v>
      </c>
      <c r="U189" s="6">
        <f t="shared" si="28"/>
        <v>9.2651026588087271E-3</v>
      </c>
      <c r="V189" s="6">
        <f t="shared" si="29"/>
        <v>5.8217394408405839E-3</v>
      </c>
      <c r="W189" s="6"/>
      <c r="AE189" s="38"/>
    </row>
    <row r="190" spans="1:31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22"/>
        <v>1.9974942225231551E-4</v>
      </c>
      <c r="J190" s="6">
        <f t="shared" si="30"/>
        <v>1.2143861705092206E-2</v>
      </c>
      <c r="K190" s="6">
        <f t="shared" si="30"/>
        <v>4.7533860586955039E-4</v>
      </c>
      <c r="L190" s="6">
        <f t="shared" si="30"/>
        <v>2.9731023414911141E-3</v>
      </c>
      <c r="M190" s="6">
        <f t="shared" si="30"/>
        <v>1.732579879352201E-3</v>
      </c>
      <c r="N190" s="6">
        <f t="shared" si="30"/>
        <v>1.1647879688045933E-2</v>
      </c>
      <c r="O190" s="6">
        <f t="shared" si="23"/>
        <v>0</v>
      </c>
      <c r="P190" s="6"/>
      <c r="Q190" s="6">
        <f t="shared" si="24"/>
        <v>4.2717270258639259E-3</v>
      </c>
      <c r="R190" s="6">
        <f t="shared" si="25"/>
        <v>1.732579879352201E-3</v>
      </c>
      <c r="S190" s="6">
        <f t="shared" si="26"/>
        <v>4.2468257522370566E-3</v>
      </c>
      <c r="T190" s="6">
        <f t="shared" si="27"/>
        <v>0</v>
      </c>
      <c r="U190" s="6">
        <f t="shared" si="28"/>
        <v>5.9108034745285441E-3</v>
      </c>
      <c r="V190" s="6">
        <f t="shared" si="29"/>
        <v>-4.4400071833095994E-3</v>
      </c>
      <c r="W190" s="6"/>
      <c r="AE190" s="38"/>
    </row>
    <row r="191" spans="1:31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22"/>
        <v>2.0012999773522111E-4</v>
      </c>
      <c r="J191" s="6">
        <f t="shared" si="30"/>
        <v>6.3229391275216771E-4</v>
      </c>
      <c r="K191" s="6">
        <f t="shared" si="30"/>
        <v>3.0051413878821489E-3</v>
      </c>
      <c r="L191" s="6">
        <f t="shared" si="30"/>
        <v>1.7796277524522572E-3</v>
      </c>
      <c r="M191" s="6">
        <f t="shared" si="30"/>
        <v>-1.732579879352136E-3</v>
      </c>
      <c r="N191" s="6">
        <f t="shared" si="30"/>
        <v>-2.08387430730016E-3</v>
      </c>
      <c r="O191" s="6">
        <f t="shared" si="23"/>
        <v>1.9034517846586623E-3</v>
      </c>
      <c r="P191" s="6"/>
      <c r="Q191" s="6">
        <f t="shared" si="24"/>
        <v>3.4369327068218874E-4</v>
      </c>
      <c r="R191" s="6">
        <f t="shared" si="25"/>
        <v>-1.732579879352136E-3</v>
      </c>
      <c r="S191" s="6">
        <f t="shared" si="26"/>
        <v>-8.6363351387619197E-5</v>
      </c>
      <c r="T191" s="6">
        <f t="shared" si="27"/>
        <v>2.2276682406416125E-6</v>
      </c>
      <c r="U191" s="6">
        <f t="shared" si="28"/>
        <v>7.8799873810917506E-4</v>
      </c>
      <c r="V191" s="6">
        <f t="shared" si="29"/>
        <v>2.4278577116548976E-3</v>
      </c>
      <c r="W191" s="6"/>
      <c r="AE191" s="38"/>
    </row>
    <row r="192" spans="1:31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22"/>
        <v>2.0012999773522111E-4</v>
      </c>
      <c r="J192" s="6">
        <f t="shared" si="30"/>
        <v>1.5802948487189222E-4</v>
      </c>
      <c r="K192" s="6">
        <f t="shared" si="30"/>
        <v>-4.5904615610439566E-3</v>
      </c>
      <c r="L192" s="6">
        <f t="shared" si="30"/>
        <v>1.1393284747523526E-2</v>
      </c>
      <c r="M192" s="6">
        <f t="shared" si="30"/>
        <v>5.7637472026845571E-3</v>
      </c>
      <c r="N192" s="6">
        <f t="shared" si="30"/>
        <v>1.1641104408194052E-3</v>
      </c>
      <c r="O192" s="6">
        <f t="shared" si="23"/>
        <v>0</v>
      </c>
      <c r="P192" s="6"/>
      <c r="Q192" s="6">
        <f t="shared" si="24"/>
        <v>7.319794057533734E-3</v>
      </c>
      <c r="R192" s="6">
        <f t="shared" si="25"/>
        <v>5.7637472026845571E-3</v>
      </c>
      <c r="S192" s="6">
        <f t="shared" si="26"/>
        <v>6.4662108938163491E-3</v>
      </c>
      <c r="T192" s="6">
        <f t="shared" si="27"/>
        <v>0</v>
      </c>
      <c r="U192" s="6">
        <f t="shared" si="28"/>
        <v>6.5776230772243904E-3</v>
      </c>
      <c r="V192" s="6">
        <f t="shared" si="29"/>
        <v>5.5431440921692486E-3</v>
      </c>
      <c r="W192" s="6"/>
      <c r="AE192" s="38"/>
    </row>
    <row r="193" spans="1:31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22"/>
        <v>1.9974942225231551E-4</v>
      </c>
      <c r="J193" s="6">
        <f t="shared" si="30"/>
        <v>6.1431644627328542E-3</v>
      </c>
      <c r="K193" s="6">
        <f t="shared" si="30"/>
        <v>-7.3248867997968373E-3</v>
      </c>
      <c r="L193" s="6">
        <f t="shared" si="30"/>
        <v>-4.6015528245516947E-2</v>
      </c>
      <c r="M193" s="6">
        <f t="shared" si="30"/>
        <v>6.8728485226429662E-3</v>
      </c>
      <c r="N193" s="6">
        <f t="shared" si="30"/>
        <v>9.159960683443537E-4</v>
      </c>
      <c r="O193" s="6">
        <f t="shared" si="23"/>
        <v>-1.9034517846585846E-3</v>
      </c>
      <c r="P193" s="6"/>
      <c r="Q193" s="6">
        <f t="shared" si="24"/>
        <v>-1.7814763191262017E-2</v>
      </c>
      <c r="R193" s="6">
        <f t="shared" si="25"/>
        <v>6.8728485226429662E-3</v>
      </c>
      <c r="S193" s="6">
        <f t="shared" si="26"/>
        <v>-1.0747031228595372E-2</v>
      </c>
      <c r="T193" s="6">
        <f t="shared" si="27"/>
        <v>1.4770040136185422E-4</v>
      </c>
      <c r="U193" s="6">
        <f t="shared" si="28"/>
        <v>-1.9106431108873397E-2</v>
      </c>
      <c r="V193" s="6">
        <f t="shared" si="29"/>
        <v>-1.9708462868660452E-2</v>
      </c>
      <c r="W193" s="6"/>
      <c r="AE193" s="38"/>
    </row>
    <row r="194" spans="1:31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22"/>
        <v>2.0165193919474689E-4</v>
      </c>
      <c r="J194" s="6">
        <f t="shared" si="30"/>
        <v>6.8338906269820778E-3</v>
      </c>
      <c r="K194" s="6">
        <f t="shared" si="30"/>
        <v>5.4192175886679812E-3</v>
      </c>
      <c r="L194" s="6">
        <f t="shared" si="30"/>
        <v>1.9944982273812171E-2</v>
      </c>
      <c r="M194" s="6">
        <f t="shared" si="30"/>
        <v>-1.4372182648414963E-2</v>
      </c>
      <c r="N194" s="6">
        <f t="shared" si="30"/>
        <v>2.498698327390512E-3</v>
      </c>
      <c r="O194" s="6">
        <f t="shared" si="23"/>
        <v>9.4794456212845372E-3</v>
      </c>
      <c r="P194" s="6"/>
      <c r="Q194" s="6">
        <f t="shared" si="24"/>
        <v>5.5562935571808443E-3</v>
      </c>
      <c r="R194" s="6">
        <f t="shared" si="25"/>
        <v>-1.4372182648414963E-2</v>
      </c>
      <c r="S194" s="6">
        <f t="shared" si="26"/>
        <v>1.2775062270807755E-3</v>
      </c>
      <c r="T194" s="6">
        <f t="shared" si="27"/>
        <v>1.6555438491239702E-8</v>
      </c>
      <c r="U194" s="6">
        <f t="shared" si="28"/>
        <v>9.6033403455613349E-3</v>
      </c>
      <c r="V194" s="6">
        <f t="shared" si="29"/>
        <v>6.3272892840153267E-3</v>
      </c>
      <c r="W194" s="6"/>
      <c r="AE194" s="38"/>
    </row>
    <row r="195" spans="1:31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si="22"/>
        <v>2.0127150788695758E-4</v>
      </c>
      <c r="J195" s="6">
        <f t="shared" ref="J195:N226" si="31">LN(B195/B194)</f>
        <v>-7.5669526869904195E-3</v>
      </c>
      <c r="K195" s="6">
        <f t="shared" si="31"/>
        <v>1.4295762641888972E-3</v>
      </c>
      <c r="L195" s="6">
        <f t="shared" si="31"/>
        <v>-6.0830483624738684E-3</v>
      </c>
      <c r="M195" s="6">
        <f t="shared" si="31"/>
        <v>1.3229934834084765E-2</v>
      </c>
      <c r="N195" s="6">
        <f t="shared" si="31"/>
        <v>-2.7097176835470336E-3</v>
      </c>
      <c r="O195" s="6">
        <f t="shared" si="23"/>
        <v>-1.8883558333109205E-3</v>
      </c>
      <c r="P195" s="6"/>
      <c r="Q195" s="6">
        <f t="shared" si="24"/>
        <v>3.4334284752047476E-4</v>
      </c>
      <c r="R195" s="6">
        <f t="shared" si="25"/>
        <v>1.3229934834084765E-2</v>
      </c>
      <c r="S195" s="6">
        <f t="shared" si="26"/>
        <v>2.6273945021405699E-3</v>
      </c>
      <c r="T195" s="6">
        <f t="shared" si="27"/>
        <v>0</v>
      </c>
      <c r="U195" s="6">
        <f t="shared" si="28"/>
        <v>-3.3059713612313391E-3</v>
      </c>
      <c r="V195" s="6">
        <f t="shared" si="29"/>
        <v>-6.8771779364944544E-4</v>
      </c>
      <c r="W195" s="6"/>
      <c r="AE195" s="38"/>
    </row>
    <row r="196" spans="1:31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ref="H196:H254" si="32">+(1+G196)^(1/250)-1</f>
        <v>2.0127150788695758E-4</v>
      </c>
      <c r="J196" s="6">
        <f t="shared" si="31"/>
        <v>-2.128302424671985E-2</v>
      </c>
      <c r="K196" s="6">
        <f t="shared" si="31"/>
        <v>-1.454975939193497E-2</v>
      </c>
      <c r="L196" s="6">
        <f t="shared" si="31"/>
        <v>-7.0339066105817626E-3</v>
      </c>
      <c r="M196" s="6">
        <f t="shared" si="31"/>
        <v>-1.7157346722541096E-3</v>
      </c>
      <c r="N196" s="6">
        <f t="shared" si="31"/>
        <v>-7.4081767856449404E-3</v>
      </c>
      <c r="O196" s="6">
        <f t="shared" ref="O196:O254" si="33">+LN(H196/H195)</f>
        <v>0</v>
      </c>
      <c r="P196" s="6"/>
      <c r="Q196" s="6">
        <f t="shared" ref="Q196:Q254" si="34">+SUMPRODUCT($Y$16:$AB$16,J196:M196)</f>
        <v>-7.8742676455472293E-3</v>
      </c>
      <c r="R196" s="6">
        <f t="shared" ref="R196:R254" si="35">+SUMPRODUCT($Y$17:$AB$17,J196:M196)</f>
        <v>-1.7157346722541096E-3</v>
      </c>
      <c r="S196" s="6">
        <f t="shared" ref="S196:S254" si="36">+SUMPRODUCT($Y$18:$AB$18,J196:M196)</f>
        <v>-7.4551834531669005E-3</v>
      </c>
      <c r="T196" s="6">
        <f t="shared" ref="T196:T254" si="37">+MIN(S196-AVERAGE($S$3:$S$254),0)^2</f>
        <v>7.8523658853769943E-5</v>
      </c>
      <c r="U196" s="6">
        <f t="shared" ref="U196:U254" si="38">+SUMPRODUCT($Y$19:$AB$19,J196:M196)</f>
        <v>-1.102136415251786E-2</v>
      </c>
      <c r="V196" s="6">
        <f t="shared" ref="V196:V254" si="39">+(U196-O196)-($Y$52*(N196-O196))</f>
        <v>-4.4381372235258731E-3</v>
      </c>
      <c r="W196" s="6"/>
      <c r="AE196" s="38"/>
    </row>
    <row r="197" spans="1:31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32"/>
        <v>1.9898816309771306E-4</v>
      </c>
      <c r="J197" s="6">
        <f t="shared" si="31"/>
        <v>1.6452046082168593E-2</v>
      </c>
      <c r="K197" s="6">
        <f t="shared" si="31"/>
        <v>-1.4505435120728959E-3</v>
      </c>
      <c r="L197" s="6">
        <f t="shared" si="31"/>
        <v>1.9063546062445577E-2</v>
      </c>
      <c r="M197" s="6">
        <f t="shared" si="31"/>
        <v>1.7157346722542091E-3</v>
      </c>
      <c r="N197" s="6">
        <f t="shared" si="31"/>
        <v>6.9765789150719763E-3</v>
      </c>
      <c r="O197" s="6">
        <f t="shared" si="33"/>
        <v>-1.1409441041977197E-2</v>
      </c>
      <c r="P197" s="6"/>
      <c r="Q197" s="6">
        <f t="shared" si="34"/>
        <v>1.2547245261363745E-2</v>
      </c>
      <c r="R197" s="6">
        <f t="shared" si="35"/>
        <v>1.7157346722542091E-3</v>
      </c>
      <c r="S197" s="6">
        <f t="shared" si="36"/>
        <v>1.0414780730700434E-2</v>
      </c>
      <c r="T197" s="6">
        <f t="shared" si="37"/>
        <v>0</v>
      </c>
      <c r="U197" s="6">
        <f t="shared" si="38"/>
        <v>1.5214722611495696E-2</v>
      </c>
      <c r="V197" s="6">
        <f t="shared" si="39"/>
        <v>1.0285549551718197E-2</v>
      </c>
      <c r="W197" s="6"/>
      <c r="AE197" s="38"/>
    </row>
    <row r="198" spans="1:31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32"/>
        <v>2.0012999773522111E-4</v>
      </c>
      <c r="J198" s="6">
        <f t="shared" si="31"/>
        <v>5.2749355993220789E-5</v>
      </c>
      <c r="K198" s="6">
        <f t="shared" si="31"/>
        <v>-2.907479760967422E-3</v>
      </c>
      <c r="L198" s="6">
        <f t="shared" si="31"/>
        <v>-6.0468730383955328E-3</v>
      </c>
      <c r="M198" s="6">
        <f t="shared" si="31"/>
        <v>-1.3229934834084642E-2</v>
      </c>
      <c r="N198" s="6">
        <f t="shared" si="31"/>
        <v>2.4880404548013993E-4</v>
      </c>
      <c r="O198" s="6">
        <f t="shared" si="33"/>
        <v>5.7218030386620624E-3</v>
      </c>
      <c r="P198" s="6"/>
      <c r="Q198" s="6">
        <f t="shared" si="34"/>
        <v>-7.3908711236580684E-3</v>
      </c>
      <c r="R198" s="6">
        <f t="shared" si="35"/>
        <v>-1.3229934834084642E-2</v>
      </c>
      <c r="S198" s="6">
        <f t="shared" si="36"/>
        <v>-8.1522706003163883E-3</v>
      </c>
      <c r="T198" s="6">
        <f t="shared" si="37"/>
        <v>9.1363866349645356E-5</v>
      </c>
      <c r="U198" s="6">
        <f t="shared" si="38"/>
        <v>-5.1749250577958275E-3</v>
      </c>
      <c r="V198" s="6">
        <f t="shared" si="39"/>
        <v>-6.0331840158039654E-3</v>
      </c>
      <c r="W198" s="6"/>
      <c r="AE198" s="38"/>
    </row>
    <row r="199" spans="1:31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32"/>
        <v>2.0051053716385603E-4</v>
      </c>
      <c r="J199" s="6">
        <f t="shared" si="31"/>
        <v>1.5777000232845243E-3</v>
      </c>
      <c r="K199" s="6">
        <f t="shared" si="31"/>
        <v>-1.9429887302046369E-3</v>
      </c>
      <c r="L199" s="6">
        <f t="shared" si="31"/>
        <v>-6.99180300416376E-3</v>
      </c>
      <c r="M199" s="6">
        <f t="shared" si="31"/>
        <v>-8.7235267318123977E-3</v>
      </c>
      <c r="N199" s="6">
        <f t="shared" si="31"/>
        <v>-7.3943469365055463E-3</v>
      </c>
      <c r="O199" s="6">
        <f t="shared" si="33"/>
        <v>1.8996557258902202E-3</v>
      </c>
      <c r="P199" s="6"/>
      <c r="Q199" s="6">
        <f t="shared" si="34"/>
        <v>-5.9771248534301585E-3</v>
      </c>
      <c r="R199" s="6">
        <f t="shared" si="35"/>
        <v>-8.7235267318123977E-3</v>
      </c>
      <c r="S199" s="6">
        <f t="shared" si="36"/>
        <v>-6.0542297460382385E-3</v>
      </c>
      <c r="T199" s="6">
        <f t="shared" si="37"/>
        <v>5.5657626529915777E-5</v>
      </c>
      <c r="U199" s="6">
        <f t="shared" si="38"/>
        <v>-4.3441349571355873E-3</v>
      </c>
      <c r="V199" s="6">
        <f t="shared" si="39"/>
        <v>2.0152628433109604E-3</v>
      </c>
      <c r="W199" s="6"/>
      <c r="AE199" s="38"/>
    </row>
    <row r="200" spans="1:31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32"/>
        <v>2.0089104054554774E-4</v>
      </c>
      <c r="J200" s="6">
        <f t="shared" si="31"/>
        <v>5.2413568168104213E-3</v>
      </c>
      <c r="K200" s="6">
        <f t="shared" si="31"/>
        <v>4.3664643547632167E-3</v>
      </c>
      <c r="L200" s="6">
        <f t="shared" si="31"/>
        <v>6.1393658971166812E-3</v>
      </c>
      <c r="M200" s="6">
        <f t="shared" si="31"/>
        <v>2.8787286268958209E-2</v>
      </c>
      <c r="N200" s="6">
        <f t="shared" si="31"/>
        <v>-5.9929167225422977E-3</v>
      </c>
      <c r="O200" s="6">
        <f t="shared" si="33"/>
        <v>1.8958744399290306E-3</v>
      </c>
      <c r="P200" s="6"/>
      <c r="Q200" s="6">
        <f t="shared" si="34"/>
        <v>1.3834262709941843E-2</v>
      </c>
      <c r="R200" s="6">
        <f t="shared" si="35"/>
        <v>2.8787286268958209E-2</v>
      </c>
      <c r="S200" s="6">
        <f t="shared" si="36"/>
        <v>1.6504226917127583E-2</v>
      </c>
      <c r="T200" s="6">
        <f t="shared" si="37"/>
        <v>0</v>
      </c>
      <c r="U200" s="6">
        <f t="shared" si="38"/>
        <v>9.685133422420323E-3</v>
      </c>
      <c r="V200" s="6">
        <f t="shared" si="39"/>
        <v>1.4799580674409989E-2</v>
      </c>
      <c r="W200" s="6"/>
      <c r="AE200" s="38"/>
    </row>
    <row r="201" spans="1:31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32"/>
        <v>2.0051053716385603E-4</v>
      </c>
      <c r="J201" s="6">
        <f t="shared" si="31"/>
        <v>5.0060225548219234E-3</v>
      </c>
      <c r="K201" s="6">
        <f t="shared" si="31"/>
        <v>1.537262663889283E-2</v>
      </c>
      <c r="L201" s="6">
        <f t="shared" si="31"/>
        <v>1.6419907185533298E-2</v>
      </c>
      <c r="M201" s="6">
        <f t="shared" si="31"/>
        <v>3.3485178750257492E-2</v>
      </c>
      <c r="N201" s="6">
        <f t="shared" si="31"/>
        <v>7.9958649115222311E-3</v>
      </c>
      <c r="O201" s="6">
        <f t="shared" si="33"/>
        <v>-1.8958744399290869E-3</v>
      </c>
      <c r="P201" s="6"/>
      <c r="Q201" s="6">
        <f t="shared" si="34"/>
        <v>2.0193252436246183E-2</v>
      </c>
      <c r="R201" s="6">
        <f t="shared" si="35"/>
        <v>3.3485178750257492E-2</v>
      </c>
      <c r="S201" s="6">
        <f t="shared" si="36"/>
        <v>2.2056973743022831E-2</v>
      </c>
      <c r="T201" s="6">
        <f t="shared" si="37"/>
        <v>0</v>
      </c>
      <c r="U201" s="6">
        <f t="shared" si="38"/>
        <v>1.5404993406158748E-2</v>
      </c>
      <c r="V201" s="6">
        <f t="shared" si="39"/>
        <v>8.5106395946200394E-3</v>
      </c>
      <c r="W201" s="6"/>
      <c r="AE201" s="38"/>
    </row>
    <row r="202" spans="1:31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32"/>
        <v>2.0127150788695758E-4</v>
      </c>
      <c r="J202" s="6">
        <f t="shared" si="31"/>
        <v>9.2161623911649945E-3</v>
      </c>
      <c r="K202" s="6">
        <f t="shared" si="31"/>
        <v>0</v>
      </c>
      <c r="L202" s="6">
        <f t="shared" si="31"/>
        <v>-4.0053977401266682E-3</v>
      </c>
      <c r="M202" s="6">
        <f t="shared" si="31"/>
        <v>-1.1592695309031092E-2</v>
      </c>
      <c r="N202" s="6">
        <f t="shared" si="31"/>
        <v>1.1154342969859781E-3</v>
      </c>
      <c r="O202" s="6">
        <f t="shared" si="33"/>
        <v>3.7879822774248887E-3</v>
      </c>
      <c r="P202" s="6"/>
      <c r="Q202" s="6">
        <f t="shared" si="34"/>
        <v>-4.1467378239734495E-3</v>
      </c>
      <c r="R202" s="6">
        <f t="shared" si="35"/>
        <v>-1.1592695309031092E-2</v>
      </c>
      <c r="S202" s="6">
        <f t="shared" si="36"/>
        <v>-4.8558245467150776E-3</v>
      </c>
      <c r="T202" s="6">
        <f t="shared" si="37"/>
        <v>3.921262787734051E-5</v>
      </c>
      <c r="U202" s="6">
        <f t="shared" si="38"/>
        <v>-7.5690264107118881E-4</v>
      </c>
      <c r="V202" s="6">
        <f t="shared" si="39"/>
        <v>-2.1699429667946793E-3</v>
      </c>
      <c r="W202" s="6"/>
      <c r="AE202" s="38"/>
    </row>
    <row r="203" spans="1:31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32"/>
        <v>2.0279301698633567E-4</v>
      </c>
      <c r="J203" s="6">
        <f t="shared" si="31"/>
        <v>1.6479275844381797E-3</v>
      </c>
      <c r="K203" s="6">
        <f t="shared" si="31"/>
        <v>1.5922092232906072E-2</v>
      </c>
      <c r="L203" s="6">
        <f t="shared" si="31"/>
        <v>-1.3267754604042227E-2</v>
      </c>
      <c r="M203" s="6">
        <f t="shared" si="31"/>
        <v>1.8702397437831947E-2</v>
      </c>
      <c r="N203" s="6">
        <f t="shared" si="31"/>
        <v>1.5016920495655548E-3</v>
      </c>
      <c r="O203" s="6">
        <f t="shared" si="33"/>
        <v>7.5310560416541605E-3</v>
      </c>
      <c r="P203" s="6"/>
      <c r="Q203" s="6">
        <f t="shared" si="34"/>
        <v>6.4626181025234306E-4</v>
      </c>
      <c r="R203" s="6">
        <f t="shared" si="35"/>
        <v>1.8702397437831947E-2</v>
      </c>
      <c r="S203" s="6">
        <f t="shared" si="36"/>
        <v>4.6996307586698897E-3</v>
      </c>
      <c r="T203" s="6">
        <f t="shared" si="37"/>
        <v>0</v>
      </c>
      <c r="U203" s="6">
        <f t="shared" si="38"/>
        <v>-2.70590338055682E-3</v>
      </c>
      <c r="V203" s="6">
        <f t="shared" si="39"/>
        <v>-4.8790052931564345E-3</v>
      </c>
      <c r="W203" s="6"/>
      <c r="AE203" s="38"/>
    </row>
    <row r="204" spans="1:31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32"/>
        <v>2.0317330422892077E-4</v>
      </c>
      <c r="J204" s="6">
        <f t="shared" si="31"/>
        <v>7.7904722351031866E-3</v>
      </c>
      <c r="K204" s="6">
        <f t="shared" si="31"/>
        <v>-3.1287359214828865E-4</v>
      </c>
      <c r="L204" s="6">
        <f t="shared" si="31"/>
        <v>-9.5859227382981537E-3</v>
      </c>
      <c r="M204" s="6">
        <f t="shared" si="31"/>
        <v>-2.7285349047250127E-3</v>
      </c>
      <c r="N204" s="6">
        <f t="shared" si="31"/>
        <v>1.1778026448059028E-2</v>
      </c>
      <c r="O204" s="6">
        <f t="shared" si="33"/>
        <v>1.8734921294942879E-3</v>
      </c>
      <c r="P204" s="6"/>
      <c r="Q204" s="6">
        <f t="shared" si="34"/>
        <v>-3.928004913288337E-3</v>
      </c>
      <c r="R204" s="6">
        <f t="shared" si="35"/>
        <v>-2.7285349047250127E-3</v>
      </c>
      <c r="S204" s="6">
        <f t="shared" si="36"/>
        <v>-2.8565704973307925E-3</v>
      </c>
      <c r="T204" s="6">
        <f t="shared" si="37"/>
        <v>1.8170992064275378E-5</v>
      </c>
      <c r="U204" s="6">
        <f t="shared" si="38"/>
        <v>-2.4527341252761929E-3</v>
      </c>
      <c r="V204" s="6">
        <f t="shared" si="39"/>
        <v>-1.3127824668491946E-2</v>
      </c>
      <c r="W204" s="6"/>
      <c r="AE204" s="38"/>
    </row>
    <row r="205" spans="1:31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32"/>
        <v>2.0317330422892077E-4</v>
      </c>
      <c r="J205" s="6">
        <f t="shared" si="31"/>
        <v>-7.121864915451831E-3</v>
      </c>
      <c r="K205" s="6">
        <f t="shared" si="31"/>
        <v>3.5918669636785371E-3</v>
      </c>
      <c r="L205" s="6">
        <f t="shared" si="31"/>
        <v>-1.7757906147097171E-3</v>
      </c>
      <c r="M205" s="6">
        <f t="shared" si="31"/>
        <v>-1.0934242170624129E-3</v>
      </c>
      <c r="N205" s="6">
        <f t="shared" si="31"/>
        <v>-1.9986943175659869E-4</v>
      </c>
      <c r="O205" s="6">
        <f t="shared" si="33"/>
        <v>0</v>
      </c>
      <c r="P205" s="6"/>
      <c r="Q205" s="6">
        <f t="shared" si="34"/>
        <v>-2.5469861461701964E-3</v>
      </c>
      <c r="R205" s="6">
        <f t="shared" si="35"/>
        <v>-1.0934242170624129E-3</v>
      </c>
      <c r="S205" s="6">
        <f t="shared" si="36"/>
        <v>-2.5298586456175558E-3</v>
      </c>
      <c r="T205" s="6">
        <f t="shared" si="37"/>
        <v>1.5492354293686999E-5</v>
      </c>
      <c r="U205" s="6">
        <f t="shared" si="38"/>
        <v>-3.4952591412153421E-3</v>
      </c>
      <c r="V205" s="6">
        <f t="shared" si="39"/>
        <v>-3.3176465027086577E-3</v>
      </c>
      <c r="W205" s="6"/>
      <c r="AE205" s="38"/>
    </row>
    <row r="206" spans="1:31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32"/>
        <v>2.0317330422892077E-4</v>
      </c>
      <c r="J206" s="6">
        <f t="shared" si="31"/>
        <v>1.2315935510636394E-2</v>
      </c>
      <c r="K206" s="6">
        <f t="shared" si="31"/>
        <v>-3.748245865629597E-3</v>
      </c>
      <c r="L206" s="6">
        <f t="shared" si="31"/>
        <v>1.5320518573155651E-2</v>
      </c>
      <c r="M206" s="6">
        <f t="shared" si="31"/>
        <v>-9.8955551720559757E-3</v>
      </c>
      <c r="N206" s="6">
        <f t="shared" si="31"/>
        <v>-1.1158931807150971E-3</v>
      </c>
      <c r="O206" s="6">
        <f t="shared" si="33"/>
        <v>0</v>
      </c>
      <c r="P206" s="6"/>
      <c r="Q206" s="6">
        <f t="shared" si="34"/>
        <v>5.9979248995054059E-3</v>
      </c>
      <c r="R206" s="6">
        <f t="shared" si="35"/>
        <v>-9.8955551720559757E-3</v>
      </c>
      <c r="S206" s="6">
        <f t="shared" si="36"/>
        <v>2.9296886160030114E-3</v>
      </c>
      <c r="T206" s="6">
        <f t="shared" si="37"/>
        <v>0</v>
      </c>
      <c r="U206" s="6">
        <f t="shared" si="38"/>
        <v>9.9977502620905538E-3</v>
      </c>
      <c r="V206" s="6">
        <f t="shared" si="39"/>
        <v>1.0989381300296482E-2</v>
      </c>
      <c r="W206" s="6"/>
      <c r="AE206" s="38"/>
    </row>
    <row r="207" spans="1:31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32"/>
        <v>2.0355355547230225E-4</v>
      </c>
      <c r="J207" s="6">
        <f t="shared" si="31"/>
        <v>-1.9333515601065478E-2</v>
      </c>
      <c r="K207" s="6">
        <f t="shared" si="31"/>
        <v>-5.0196004719991047E-3</v>
      </c>
      <c r="L207" s="6">
        <f t="shared" si="31"/>
        <v>-1.7018402117130581E-3</v>
      </c>
      <c r="M207" s="6">
        <f t="shared" si="31"/>
        <v>-1.3348415321843266E-2</v>
      </c>
      <c r="N207" s="6">
        <f t="shared" si="31"/>
        <v>2.5775665246065955E-3</v>
      </c>
      <c r="O207" s="6">
        <f t="shared" si="33"/>
        <v>1.8698118656184917E-3</v>
      </c>
      <c r="P207" s="6"/>
      <c r="Q207" s="6">
        <f t="shared" si="34"/>
        <v>-9.0708899573812094E-3</v>
      </c>
      <c r="R207" s="6">
        <f t="shared" si="35"/>
        <v>-1.3348415321843266E-2</v>
      </c>
      <c r="S207" s="6">
        <f t="shared" si="36"/>
        <v>-1.0702458252424808E-2</v>
      </c>
      <c r="T207" s="6">
        <f t="shared" si="37"/>
        <v>1.4661897904316541E-4</v>
      </c>
      <c r="U207" s="6">
        <f t="shared" si="38"/>
        <v>-9.737678273645833E-3</v>
      </c>
      <c r="V207" s="6">
        <f t="shared" si="39"/>
        <v>-1.2236431600164462E-2</v>
      </c>
      <c r="W207" s="6"/>
      <c r="AE207" s="38"/>
    </row>
    <row r="208" spans="1:31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32"/>
        <v>2.0241269373766357E-4</v>
      </c>
      <c r="J208" s="6">
        <f t="shared" si="31"/>
        <v>7.0131414104475584E-2</v>
      </c>
      <c r="K208" s="6">
        <f t="shared" si="31"/>
        <v>-6.2929080548693986E-4</v>
      </c>
      <c r="L208" s="6">
        <f t="shared" si="31"/>
        <v>-2.6653349995766375E-2</v>
      </c>
      <c r="M208" s="6">
        <f t="shared" si="31"/>
        <v>0</v>
      </c>
      <c r="N208" s="6">
        <f t="shared" si="31"/>
        <v>2.7067548434573357E-3</v>
      </c>
      <c r="O208" s="6">
        <f t="shared" si="33"/>
        <v>-5.6204905711627999E-3</v>
      </c>
      <c r="P208" s="6"/>
      <c r="Q208" s="6">
        <f t="shared" si="34"/>
        <v>8.529852526261289E-4</v>
      </c>
      <c r="R208" s="6">
        <f t="shared" si="35"/>
        <v>0</v>
      </c>
      <c r="S208" s="6">
        <f t="shared" si="36"/>
        <v>5.4032695410369033E-3</v>
      </c>
      <c r="T208" s="6">
        <f t="shared" si="37"/>
        <v>0</v>
      </c>
      <c r="U208" s="6">
        <f t="shared" si="38"/>
        <v>1.1113700984841608E-2</v>
      </c>
      <c r="V208" s="6">
        <f t="shared" si="39"/>
        <v>9.3342404149788505E-3</v>
      </c>
      <c r="W208" s="6"/>
      <c r="AE208" s="38"/>
    </row>
    <row r="209" spans="1:31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32"/>
        <v>2.0203233447624314E-4</v>
      </c>
      <c r="J209" s="6">
        <f t="shared" si="31"/>
        <v>2.8177683832117249E-2</v>
      </c>
      <c r="K209" s="6">
        <f t="shared" si="31"/>
        <v>-1.0598781521427382E-2</v>
      </c>
      <c r="L209" s="6">
        <f t="shared" si="31"/>
        <v>-1.4667664855327797E-2</v>
      </c>
      <c r="M209" s="6">
        <f t="shared" si="31"/>
        <v>-1.4096584264906203E-2</v>
      </c>
      <c r="N209" s="6">
        <f t="shared" si="31"/>
        <v>8.4677271718827819E-3</v>
      </c>
      <c r="O209" s="6">
        <f t="shared" si="33"/>
        <v>-1.8808952862412942E-3</v>
      </c>
      <c r="P209" s="6"/>
      <c r="Q209" s="6">
        <f t="shared" si="34"/>
        <v>-6.3897718111029234E-3</v>
      </c>
      <c r="R209" s="6">
        <f t="shared" si="35"/>
        <v>-1.4096584264906203E-2</v>
      </c>
      <c r="S209" s="6">
        <f t="shared" si="36"/>
        <v>-5.7211187200301395E-3</v>
      </c>
      <c r="T209" s="6">
        <f t="shared" si="37"/>
        <v>5.0798303882453655E-5</v>
      </c>
      <c r="U209" s="6">
        <f t="shared" si="38"/>
        <v>1.4059219656075437E-4</v>
      </c>
      <c r="V209" s="6">
        <f t="shared" si="39"/>
        <v>-7.1747468965267704E-3</v>
      </c>
      <c r="W209" s="6"/>
      <c r="AE209" s="38"/>
    </row>
    <row r="210" spans="1:31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32"/>
        <v>2.0051053716385603E-4</v>
      </c>
      <c r="J210" s="6">
        <f t="shared" si="31"/>
        <v>5.4761020107099078E-3</v>
      </c>
      <c r="K210" s="6">
        <f t="shared" si="31"/>
        <v>1.7478507559406556E-3</v>
      </c>
      <c r="L210" s="6">
        <f t="shared" si="31"/>
        <v>1.1059628683795456E-2</v>
      </c>
      <c r="M210" s="6">
        <f t="shared" si="31"/>
        <v>3.4012621492683047E-3</v>
      </c>
      <c r="N210" s="6">
        <f t="shared" si="31"/>
        <v>2.341828672305396E-3</v>
      </c>
      <c r="O210" s="6">
        <f t="shared" si="33"/>
        <v>-7.5609564567877055E-3</v>
      </c>
      <c r="P210" s="6"/>
      <c r="Q210" s="6">
        <f t="shared" si="34"/>
        <v>7.3474282749765854E-3</v>
      </c>
      <c r="R210" s="6">
        <f t="shared" si="35"/>
        <v>3.4012621492683047E-3</v>
      </c>
      <c r="S210" s="6">
        <f t="shared" si="36"/>
        <v>6.3442023801538565E-3</v>
      </c>
      <c r="T210" s="6">
        <f t="shared" si="37"/>
        <v>0</v>
      </c>
      <c r="U210" s="6">
        <f t="shared" si="38"/>
        <v>7.8392490419554005E-3</v>
      </c>
      <c r="V210" s="6">
        <f t="shared" si="39"/>
        <v>6.6001614905881918E-3</v>
      </c>
      <c r="W210" s="6"/>
      <c r="AE210" s="38"/>
    </row>
    <row r="211" spans="1:31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32"/>
        <v>1.9936881070892198E-4</v>
      </c>
      <c r="J211" s="6">
        <f t="shared" si="31"/>
        <v>-8.2019263390725322E-3</v>
      </c>
      <c r="K211" s="6">
        <f t="shared" si="31"/>
        <v>7.1958738958610062E-4</v>
      </c>
      <c r="L211" s="6">
        <f t="shared" si="31"/>
        <v>6.1937429460877716E-4</v>
      </c>
      <c r="M211" s="6">
        <f t="shared" si="31"/>
        <v>-1.6992713126116508E-3</v>
      </c>
      <c r="N211" s="6">
        <f t="shared" si="31"/>
        <v>-3.9391312700216223E-4</v>
      </c>
      <c r="O211" s="6">
        <f t="shared" si="33"/>
        <v>-5.7103702078565256E-3</v>
      </c>
      <c r="P211" s="6"/>
      <c r="Q211" s="6">
        <f t="shared" si="34"/>
        <v>-1.8492326562906392E-3</v>
      </c>
      <c r="R211" s="6">
        <f t="shared" si="35"/>
        <v>-1.6992713126116508E-3</v>
      </c>
      <c r="S211" s="6">
        <f t="shared" si="36"/>
        <v>-2.2461338247964347E-3</v>
      </c>
      <c r="T211" s="6">
        <f t="shared" si="37"/>
        <v>1.3339353659224423E-5</v>
      </c>
      <c r="U211" s="6">
        <f t="shared" si="38"/>
        <v>-2.8040192969566455E-3</v>
      </c>
      <c r="V211" s="6">
        <f t="shared" si="39"/>
        <v>-1.8180832426330255E-3</v>
      </c>
      <c r="W211" s="6"/>
      <c r="AE211" s="38"/>
    </row>
    <row r="212" spans="1:31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32"/>
        <v>1.9822675964520364E-4</v>
      </c>
      <c r="J212" s="6">
        <f t="shared" si="31"/>
        <v>1.948047725735666E-2</v>
      </c>
      <c r="K212" s="6">
        <f t="shared" si="31"/>
        <v>1.1184790032108326E-3</v>
      </c>
      <c r="L212" s="6">
        <f t="shared" si="31"/>
        <v>6.1735082056717516E-3</v>
      </c>
      <c r="M212" s="6">
        <f t="shared" si="31"/>
        <v>1.6992713126115697E-3</v>
      </c>
      <c r="N212" s="6">
        <f t="shared" si="31"/>
        <v>7.6351859201040807E-3</v>
      </c>
      <c r="O212" s="6">
        <f t="shared" si="33"/>
        <v>-5.7448034624890849E-3</v>
      </c>
      <c r="P212" s="6"/>
      <c r="Q212" s="6">
        <f t="shared" si="34"/>
        <v>7.1292500086807126E-3</v>
      </c>
      <c r="R212" s="6">
        <f t="shared" si="35"/>
        <v>1.6992713126115697E-3</v>
      </c>
      <c r="S212" s="6">
        <f t="shared" si="36"/>
        <v>6.7732635119238547E-3</v>
      </c>
      <c r="T212" s="6">
        <f t="shared" si="37"/>
        <v>0</v>
      </c>
      <c r="U212" s="6">
        <f t="shared" si="38"/>
        <v>9.9810926592237108E-3</v>
      </c>
      <c r="V212" s="6">
        <f t="shared" si="39"/>
        <v>3.8358577274082203E-3</v>
      </c>
      <c r="W212" s="6"/>
      <c r="AE212" s="38"/>
    </row>
    <row r="213" spans="1:31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32"/>
        <v>1.9822675964520364E-4</v>
      </c>
      <c r="J213" s="6">
        <f t="shared" si="31"/>
        <v>-1.1045270681009117E-2</v>
      </c>
      <c r="K213" s="6">
        <f t="shared" si="31"/>
        <v>1.5971257518978638E-4</v>
      </c>
      <c r="L213" s="6">
        <f t="shared" si="31"/>
        <v>1.030672096955205E-2</v>
      </c>
      <c r="M213" s="6">
        <f t="shared" si="31"/>
        <v>2.1277351283956945E-2</v>
      </c>
      <c r="N213" s="6">
        <f t="shared" si="31"/>
        <v>2.5181897678469146E-3</v>
      </c>
      <c r="O213" s="6">
        <f t="shared" si="33"/>
        <v>0</v>
      </c>
      <c r="P213" s="6"/>
      <c r="Q213" s="6">
        <f t="shared" si="34"/>
        <v>1.0089684058280046E-2</v>
      </c>
      <c r="R213" s="6">
        <f t="shared" si="35"/>
        <v>2.1277351283956945E-2</v>
      </c>
      <c r="S213" s="6">
        <f t="shared" si="36"/>
        <v>1.1075734559102575E-2</v>
      </c>
      <c r="T213" s="6">
        <f t="shared" si="37"/>
        <v>0</v>
      </c>
      <c r="U213" s="6">
        <f t="shared" si="38"/>
        <v>4.8423762453274561E-3</v>
      </c>
      <c r="V213" s="6">
        <f t="shared" si="39"/>
        <v>2.6046036905302693E-3</v>
      </c>
      <c r="W213" s="6"/>
      <c r="AE213" s="38"/>
    </row>
    <row r="214" spans="1:31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32"/>
        <v>2.0165193919474689E-4</v>
      </c>
      <c r="J214" s="6">
        <f t="shared" si="31"/>
        <v>-2.1747631659808291E-2</v>
      </c>
      <c r="K214" s="6">
        <f t="shared" si="31"/>
        <v>-7.2110078735026766E-3</v>
      </c>
      <c r="L214" s="6">
        <f t="shared" si="31"/>
        <v>8.4414315435738397E-3</v>
      </c>
      <c r="M214" s="6">
        <f t="shared" si="31"/>
        <v>3.3186565462668526E-3</v>
      </c>
      <c r="N214" s="6">
        <f t="shared" si="31"/>
        <v>-2.5291522760688338E-3</v>
      </c>
      <c r="O214" s="6">
        <f t="shared" si="33"/>
        <v>1.7131511781081622E-2</v>
      </c>
      <c r="P214" s="6"/>
      <c r="Q214" s="6">
        <f t="shared" si="34"/>
        <v>9.6968092913597486E-4</v>
      </c>
      <c r="R214" s="6">
        <f t="shared" si="35"/>
        <v>3.3186565462668526E-3</v>
      </c>
      <c r="S214" s="6">
        <f t="shared" si="36"/>
        <v>-8.5585214334295322E-5</v>
      </c>
      <c r="T214" s="6">
        <f t="shared" si="37"/>
        <v>2.2253460486474629E-6</v>
      </c>
      <c r="U214" s="6">
        <f t="shared" si="38"/>
        <v>-2.7958364319100623E-3</v>
      </c>
      <c r="V214" s="6">
        <f t="shared" si="39"/>
        <v>-2.4560301265092524E-3</v>
      </c>
      <c r="W214" s="6"/>
      <c r="AE214" s="38"/>
    </row>
    <row r="215" spans="1:31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32"/>
        <v>2.0127150788695758E-4</v>
      </c>
      <c r="J215" s="6">
        <f t="shared" si="31"/>
        <v>-1.0499345697948081E-2</v>
      </c>
      <c r="K215" s="6">
        <f t="shared" si="31"/>
        <v>9.443847698832648E-3</v>
      </c>
      <c r="L215" s="6">
        <f t="shared" si="31"/>
        <v>-1.2001025271443897E-2</v>
      </c>
      <c r="M215" s="6">
        <f t="shared" si="31"/>
        <v>1.588635415691966E-2</v>
      </c>
      <c r="N215" s="6">
        <f t="shared" si="31"/>
        <v>-1.5633874377691908E-3</v>
      </c>
      <c r="O215" s="6">
        <f t="shared" si="33"/>
        <v>-1.8883558333109205E-3</v>
      </c>
      <c r="P215" s="6"/>
      <c r="Q215" s="6">
        <f t="shared" si="34"/>
        <v>-2.0342613642768655E-3</v>
      </c>
      <c r="R215" s="6">
        <f t="shared" si="35"/>
        <v>1.588635415691966E-2</v>
      </c>
      <c r="S215" s="6">
        <f t="shared" si="36"/>
        <v>1.3344775421725262E-3</v>
      </c>
      <c r="T215" s="6">
        <f t="shared" si="37"/>
        <v>5.1404058601888224E-9</v>
      </c>
      <c r="U215" s="6">
        <f t="shared" si="38"/>
        <v>-6.7396947304438175E-3</v>
      </c>
      <c r="V215" s="6">
        <f t="shared" si="39"/>
        <v>-5.1401198960889559E-3</v>
      </c>
      <c r="W215" s="6"/>
      <c r="AE215" s="38"/>
    </row>
    <row r="216" spans="1:31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32"/>
        <v>2.0165193919474689E-4</v>
      </c>
      <c r="J216" s="6">
        <f t="shared" si="31"/>
        <v>3.1277001097442104E-3</v>
      </c>
      <c r="K216" s="6">
        <f t="shared" si="31"/>
        <v>1.8936986764933515E-2</v>
      </c>
      <c r="L216" s="6">
        <f t="shared" si="31"/>
        <v>1.305751761044515E-2</v>
      </c>
      <c r="M216" s="6">
        <f t="shared" si="31"/>
        <v>1.3495526138129172E-2</v>
      </c>
      <c r="N216" s="6">
        <f t="shared" si="31"/>
        <v>-3.0698792218004059E-3</v>
      </c>
      <c r="O216" s="6">
        <f t="shared" si="33"/>
        <v>1.8883558333109866E-3</v>
      </c>
      <c r="P216" s="6"/>
      <c r="Q216" s="6">
        <f t="shared" si="34"/>
        <v>1.1337088931069723E-2</v>
      </c>
      <c r="R216" s="6">
        <f t="shared" si="35"/>
        <v>1.3495526138129172E-2</v>
      </c>
      <c r="S216" s="6">
        <f t="shared" si="36"/>
        <v>1.1262752589937666E-2</v>
      </c>
      <c r="T216" s="6">
        <f t="shared" si="37"/>
        <v>0</v>
      </c>
      <c r="U216" s="6">
        <f t="shared" si="38"/>
        <v>9.7226241704701788E-3</v>
      </c>
      <c r="V216" s="6">
        <f t="shared" si="39"/>
        <v>1.2240370874875523E-2</v>
      </c>
      <c r="W216" s="6"/>
      <c r="AE216" s="38"/>
    </row>
    <row r="217" spans="1:31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32"/>
        <v>2.0012999773522111E-4</v>
      </c>
      <c r="J217" s="6">
        <f t="shared" si="31"/>
        <v>4.4582669163491413E-3</v>
      </c>
      <c r="K217" s="6">
        <f t="shared" si="31"/>
        <v>-2.0342859528205111E-3</v>
      </c>
      <c r="L217" s="6">
        <f t="shared" si="31"/>
        <v>-4.0810762745116238E-3</v>
      </c>
      <c r="M217" s="6">
        <f t="shared" si="31"/>
        <v>2.1425562712271934E-3</v>
      </c>
      <c r="N217" s="6">
        <f t="shared" si="31"/>
        <v>3.9259309005764296E-3</v>
      </c>
      <c r="O217" s="6">
        <f t="shared" si="33"/>
        <v>-7.5759938366260346E-3</v>
      </c>
      <c r="P217" s="6"/>
      <c r="Q217" s="6">
        <f t="shared" si="34"/>
        <v>-3.0967618252215651E-4</v>
      </c>
      <c r="R217" s="6">
        <f t="shared" si="35"/>
        <v>2.1425562712271934E-3</v>
      </c>
      <c r="S217" s="6">
        <f t="shared" si="36"/>
        <v>5.5049482880241613E-4</v>
      </c>
      <c r="T217" s="6">
        <f t="shared" si="37"/>
        <v>7.3218712801058966E-7</v>
      </c>
      <c r="U217" s="6">
        <f t="shared" si="38"/>
        <v>-8.9963864533242717E-5</v>
      </c>
      <c r="V217" s="6">
        <f t="shared" si="39"/>
        <v>-2.735078791390684E-3</v>
      </c>
      <c r="W217" s="6"/>
      <c r="AE217" s="38"/>
    </row>
    <row r="218" spans="1:31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32"/>
        <v>1.9784600378991435E-4</v>
      </c>
      <c r="J218" s="6">
        <f t="shared" si="31"/>
        <v>1.9796003669469535E-2</v>
      </c>
      <c r="K218" s="6">
        <f t="shared" si="31"/>
        <v>3.2841220395962312E-3</v>
      </c>
      <c r="L218" s="6">
        <f t="shared" si="31"/>
        <v>-3.2364976607338002E-3</v>
      </c>
      <c r="M218" s="6">
        <f t="shared" si="31"/>
        <v>3.738273476931629E-3</v>
      </c>
      <c r="N218" s="6">
        <f t="shared" si="31"/>
        <v>1.5711783413408377E-3</v>
      </c>
      <c r="O218" s="6">
        <f t="shared" si="33"/>
        <v>-1.1478174626420291E-2</v>
      </c>
      <c r="P218" s="6"/>
      <c r="Q218" s="6">
        <f t="shared" si="34"/>
        <v>3.5287844338486307E-3</v>
      </c>
      <c r="R218" s="6">
        <f t="shared" si="35"/>
        <v>3.738273476931629E-3</v>
      </c>
      <c r="S218" s="6">
        <f t="shared" si="36"/>
        <v>4.6872046903352E-3</v>
      </c>
      <c r="T218" s="6">
        <f t="shared" si="37"/>
        <v>0</v>
      </c>
      <c r="U218" s="6">
        <f t="shared" si="38"/>
        <v>5.8587069878831468E-3</v>
      </c>
      <c r="V218" s="6">
        <f t="shared" si="39"/>
        <v>5.7406610665229115E-3</v>
      </c>
      <c r="W218" s="6"/>
      <c r="AE218" s="38"/>
    </row>
    <row r="219" spans="1:31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32"/>
        <v>1.9784600378991435E-4</v>
      </c>
      <c r="J219" s="6">
        <f t="shared" si="31"/>
        <v>3.9780687953256729E-3</v>
      </c>
      <c r="K219" s="6">
        <f t="shared" si="31"/>
        <v>-2.1882315189594016E-3</v>
      </c>
      <c r="L219" s="6">
        <f t="shared" si="31"/>
        <v>8.7746980951394233E-3</v>
      </c>
      <c r="M219" s="6">
        <f t="shared" si="31"/>
        <v>-5.3329250387106324E-4</v>
      </c>
      <c r="N219" s="6">
        <f t="shared" si="31"/>
        <v>9.068706560974762E-4</v>
      </c>
      <c r="O219" s="6">
        <f t="shared" si="33"/>
        <v>0</v>
      </c>
      <c r="P219" s="6"/>
      <c r="Q219" s="6">
        <f t="shared" si="34"/>
        <v>4.6380737241741759E-3</v>
      </c>
      <c r="R219" s="6">
        <f t="shared" si="35"/>
        <v>-5.3329250387106324E-4</v>
      </c>
      <c r="S219" s="6">
        <f t="shared" si="36"/>
        <v>3.4469721198521004E-3</v>
      </c>
      <c r="T219" s="6">
        <f t="shared" si="37"/>
        <v>0</v>
      </c>
      <c r="U219" s="6">
        <f t="shared" si="38"/>
        <v>5.5437777594018753E-3</v>
      </c>
      <c r="V219" s="6">
        <f t="shared" si="39"/>
        <v>4.7378931946730667E-3</v>
      </c>
      <c r="W219" s="6"/>
      <c r="AE219" s="38"/>
    </row>
    <row r="220" spans="1:31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32"/>
        <v>1.9936881070892198E-4</v>
      </c>
      <c r="J220" s="6">
        <f t="shared" si="31"/>
        <v>-1.6387734624486144E-2</v>
      </c>
      <c r="K220" s="6">
        <f t="shared" si="31"/>
        <v>-4.0764872369371159E-3</v>
      </c>
      <c r="L220" s="6">
        <f t="shared" si="31"/>
        <v>1.5395245178859948E-2</v>
      </c>
      <c r="M220" s="6">
        <f t="shared" si="31"/>
        <v>1.901802869604308E-2</v>
      </c>
      <c r="N220" s="6">
        <f t="shared" si="31"/>
        <v>-4.0919885121458088E-3</v>
      </c>
      <c r="O220" s="6">
        <f t="shared" si="33"/>
        <v>7.6674601444540157E-3</v>
      </c>
      <c r="P220" s="6"/>
      <c r="Q220" s="6">
        <f t="shared" si="34"/>
        <v>1.0659718954943709E-2</v>
      </c>
      <c r="R220" s="6">
        <f t="shared" si="35"/>
        <v>1.901802869604308E-2</v>
      </c>
      <c r="S220" s="6">
        <f t="shared" si="36"/>
        <v>1.061223116570356E-2</v>
      </c>
      <c r="T220" s="6">
        <f t="shared" si="37"/>
        <v>0</v>
      </c>
      <c r="U220" s="6">
        <f t="shared" si="38"/>
        <v>5.0989735628215235E-3</v>
      </c>
      <c r="V220" s="6">
        <f t="shared" si="39"/>
        <v>7.8814690965630322E-3</v>
      </c>
      <c r="W220" s="6"/>
      <c r="AE220" s="38"/>
    </row>
    <row r="221" spans="1:31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32"/>
        <v>1.9860747941202739E-4</v>
      </c>
      <c r="J221" s="6">
        <f t="shared" si="31"/>
        <v>2.8689111628198698E-2</v>
      </c>
      <c r="K221" s="6">
        <f t="shared" si="31"/>
        <v>-5.8300487686362692E-3</v>
      </c>
      <c r="L221" s="6">
        <f t="shared" si="31"/>
        <v>1.5648710168294964E-2</v>
      </c>
      <c r="M221" s="6">
        <f t="shared" si="31"/>
        <v>-6.8259836239331134E-3</v>
      </c>
      <c r="N221" s="6">
        <f t="shared" si="31"/>
        <v>2.6720159429360979E-3</v>
      </c>
      <c r="O221" s="6">
        <f t="shared" si="33"/>
        <v>-3.8260180041707849E-3</v>
      </c>
      <c r="P221" s="6"/>
      <c r="Q221" s="6">
        <f t="shared" si="34"/>
        <v>1.0303724513212488E-2</v>
      </c>
      <c r="R221" s="6">
        <f t="shared" si="35"/>
        <v>-6.8259836239331134E-3</v>
      </c>
      <c r="S221" s="6">
        <f t="shared" si="36"/>
        <v>7.778131827283841E-3</v>
      </c>
      <c r="T221" s="6">
        <f t="shared" si="37"/>
        <v>0</v>
      </c>
      <c r="U221" s="6">
        <f t="shared" si="38"/>
        <v>1.6301546736947094E-2</v>
      </c>
      <c r="V221" s="6">
        <f t="shared" si="39"/>
        <v>1.4353130179973164E-2</v>
      </c>
      <c r="W221" s="6"/>
      <c r="AE221" s="38"/>
    </row>
    <row r="222" spans="1:31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32"/>
        <v>1.9860747941202739E-4</v>
      </c>
      <c r="J222" s="6">
        <f t="shared" si="31"/>
        <v>1.6109449297697549E-2</v>
      </c>
      <c r="K222" s="6">
        <f t="shared" si="31"/>
        <v>-2.0564271894918324E-3</v>
      </c>
      <c r="L222" s="6">
        <f t="shared" si="31"/>
        <v>1.6317826996333985E-2</v>
      </c>
      <c r="M222" s="6">
        <f t="shared" si="31"/>
        <v>-8.4656033871456007E-3</v>
      </c>
      <c r="N222" s="6">
        <f t="shared" si="31"/>
        <v>6.1762197767835335E-3</v>
      </c>
      <c r="O222" s="6">
        <f t="shared" si="33"/>
        <v>0</v>
      </c>
      <c r="P222" s="6"/>
      <c r="Q222" s="6">
        <f t="shared" si="34"/>
        <v>7.672760322897011E-3</v>
      </c>
      <c r="R222" s="6">
        <f t="shared" si="35"/>
        <v>-8.4656033871456007E-3</v>
      </c>
      <c r="S222" s="6">
        <f t="shared" si="36"/>
        <v>4.6958655982969871E-3</v>
      </c>
      <c r="T222" s="6">
        <f t="shared" si="37"/>
        <v>0</v>
      </c>
      <c r="U222" s="6">
        <f t="shared" si="38"/>
        <v>1.202876875914698E-2</v>
      </c>
      <c r="V222" s="6">
        <f t="shared" si="39"/>
        <v>6.5403122157392472E-3</v>
      </c>
      <c r="W222" s="6"/>
      <c r="AE222" s="38"/>
    </row>
    <row r="223" spans="1:31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32"/>
        <v>1.9898816309771306E-4</v>
      </c>
      <c r="J223" s="6">
        <f t="shared" si="31"/>
        <v>5.7942259479230023E-3</v>
      </c>
      <c r="K223" s="6">
        <f t="shared" si="31"/>
        <v>2.8463016418229037E-3</v>
      </c>
      <c r="L223" s="6">
        <f t="shared" si="31"/>
        <v>-6.7059033946733737E-4</v>
      </c>
      <c r="M223" s="6">
        <f t="shared" si="31"/>
        <v>-7.466713020734231E-3</v>
      </c>
      <c r="N223" s="6">
        <f t="shared" si="31"/>
        <v>5.0715161981972666E-3</v>
      </c>
      <c r="O223" s="6">
        <f t="shared" si="33"/>
        <v>1.9149294474749643E-3</v>
      </c>
      <c r="P223" s="6"/>
      <c r="Q223" s="6">
        <f t="shared" si="34"/>
        <v>-1.8113614088010317E-3</v>
      </c>
      <c r="R223" s="6">
        <f t="shared" si="35"/>
        <v>-7.466713020734231E-3</v>
      </c>
      <c r="S223" s="6">
        <f t="shared" si="36"/>
        <v>-2.5210996386634578E-3</v>
      </c>
      <c r="T223" s="6">
        <f t="shared" si="37"/>
        <v>1.542347953635378E-5</v>
      </c>
      <c r="U223" s="6">
        <f t="shared" si="38"/>
        <v>3.9259523553492178E-4</v>
      </c>
      <c r="V223" s="6">
        <f t="shared" si="39"/>
        <v>-4.3274139909919495E-3</v>
      </c>
      <c r="W223" s="6"/>
      <c r="AE223" s="38"/>
    </row>
    <row r="224" spans="1:31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32"/>
        <v>1.9898816309771306E-4</v>
      </c>
      <c r="J224" s="6">
        <f t="shared" si="31"/>
        <v>2.1389960415288217E-2</v>
      </c>
      <c r="K224" s="6">
        <f t="shared" si="31"/>
        <v>6.7668210053826762E-3</v>
      </c>
      <c r="L224" s="6">
        <f t="shared" si="31"/>
        <v>-1.3339105875401823E-2</v>
      </c>
      <c r="M224" s="6">
        <f t="shared" si="31"/>
        <v>4.8064098657813409E-3</v>
      </c>
      <c r="N224" s="6">
        <f t="shared" si="31"/>
        <v>5.4339884131971751E-3</v>
      </c>
      <c r="O224" s="6">
        <f t="shared" si="33"/>
        <v>0</v>
      </c>
      <c r="P224" s="6"/>
      <c r="Q224" s="6">
        <f t="shared" si="34"/>
        <v>-4.8921851397274634E-4</v>
      </c>
      <c r="R224" s="6">
        <f t="shared" si="35"/>
        <v>4.8064098657813409E-3</v>
      </c>
      <c r="S224" s="6">
        <f t="shared" si="36"/>
        <v>2.1817252019528405E-3</v>
      </c>
      <c r="T224" s="6">
        <f t="shared" si="37"/>
        <v>0</v>
      </c>
      <c r="U224" s="6">
        <f t="shared" si="38"/>
        <v>1.673125328539657E-3</v>
      </c>
      <c r="V224" s="6">
        <f t="shared" si="39"/>
        <v>-3.1557522601956584E-3</v>
      </c>
      <c r="W224" s="6"/>
      <c r="AE224" s="38"/>
    </row>
    <row r="225" spans="1:31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32"/>
        <v>1.9898816309771306E-4</v>
      </c>
      <c r="J225" s="6">
        <f t="shared" si="31"/>
        <v>6.5176077697273217E-3</v>
      </c>
      <c r="K225" s="6">
        <f t="shared" si="31"/>
        <v>-1.2626414888283227E-2</v>
      </c>
      <c r="L225" s="6">
        <f t="shared" si="31"/>
        <v>1.8538643632364745E-3</v>
      </c>
      <c r="M225" s="6">
        <f t="shared" si="31"/>
        <v>2.1287652308458159E-3</v>
      </c>
      <c r="N225" s="6">
        <f t="shared" si="31"/>
        <v>1.0161544279964853E-3</v>
      </c>
      <c r="O225" s="6">
        <f t="shared" si="33"/>
        <v>0</v>
      </c>
      <c r="P225" s="6"/>
      <c r="Q225" s="6">
        <f t="shared" si="34"/>
        <v>2.828789323767132E-3</v>
      </c>
      <c r="R225" s="6">
        <f t="shared" si="35"/>
        <v>2.1287652308458159E-3</v>
      </c>
      <c r="S225" s="6">
        <f t="shared" si="36"/>
        <v>2.8983821501399861E-3</v>
      </c>
      <c r="T225" s="6">
        <f t="shared" si="37"/>
        <v>0</v>
      </c>
      <c r="U225" s="6">
        <f t="shared" si="38"/>
        <v>3.5019552209605816E-3</v>
      </c>
      <c r="V225" s="6">
        <f t="shared" si="39"/>
        <v>2.59895636065213E-3</v>
      </c>
      <c r="W225" s="6"/>
      <c r="AE225" s="38"/>
    </row>
    <row r="226" spans="1:31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32"/>
        <v>1.9898816309771306E-4</v>
      </c>
      <c r="J226" s="6">
        <f t="shared" si="31"/>
        <v>3.7677515857849927E-3</v>
      </c>
      <c r="K226" s="6">
        <f t="shared" si="31"/>
        <v>-4.2976588916777241E-3</v>
      </c>
      <c r="L226" s="6">
        <f t="shared" si="31"/>
        <v>1.1918779573079451E-2</v>
      </c>
      <c r="M226" s="6">
        <f t="shared" si="31"/>
        <v>-5.3176661708070883E-4</v>
      </c>
      <c r="N226" s="6">
        <f t="shared" si="31"/>
        <v>7.4081850375864739E-4</v>
      </c>
      <c r="O226" s="6">
        <f t="shared" si="33"/>
        <v>0</v>
      </c>
      <c r="P226" s="6"/>
      <c r="Q226" s="6">
        <f t="shared" si="34"/>
        <v>6.0583794979160496E-3</v>
      </c>
      <c r="R226" s="6">
        <f t="shared" si="35"/>
        <v>-5.3176661708070883E-4</v>
      </c>
      <c r="S226" s="6">
        <f t="shared" si="36"/>
        <v>4.4381632056561555E-3</v>
      </c>
      <c r="T226" s="6">
        <f t="shared" si="37"/>
        <v>0</v>
      </c>
      <c r="U226" s="6">
        <f t="shared" si="38"/>
        <v>7.0013335638796862E-3</v>
      </c>
      <c r="V226" s="6">
        <f t="shared" si="39"/>
        <v>6.3430101376772026E-3</v>
      </c>
      <c r="W226" s="6"/>
      <c r="AE226" s="38"/>
    </row>
    <row r="227" spans="1:31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32"/>
        <v>2.0012999773522111E-4</v>
      </c>
      <c r="J227" s="6">
        <f t="shared" ref="J227:N254" si="40">LN(B227/B226)</f>
        <v>1.8628964806476703E-2</v>
      </c>
      <c r="K227" s="6">
        <f t="shared" si="40"/>
        <v>2.2307689124128954E-3</v>
      </c>
      <c r="L227" s="6">
        <f t="shared" si="40"/>
        <v>8.1841949890559102E-4</v>
      </c>
      <c r="M227" s="6">
        <f t="shared" si="40"/>
        <v>1.1701116052050159E-2</v>
      </c>
      <c r="N227" s="6">
        <f t="shared" si="40"/>
        <v>1.0156283642139425E-2</v>
      </c>
      <c r="O227" s="6">
        <f t="shared" si="33"/>
        <v>5.7218030386620624E-3</v>
      </c>
      <c r="P227" s="6"/>
      <c r="Q227" s="6">
        <f t="shared" si="34"/>
        <v>7.9559513963637137E-3</v>
      </c>
      <c r="R227" s="6">
        <f t="shared" si="35"/>
        <v>1.1701116052050159E-2</v>
      </c>
      <c r="S227" s="6">
        <f t="shared" si="36"/>
        <v>9.4957806731406271E-3</v>
      </c>
      <c r="T227" s="6">
        <f t="shared" si="37"/>
        <v>0</v>
      </c>
      <c r="U227" s="6">
        <f t="shared" si="38"/>
        <v>8.7856803087425234E-3</v>
      </c>
      <c r="V227" s="6">
        <f t="shared" si="39"/>
        <v>-8.76794364737081E-4</v>
      </c>
      <c r="W227" s="6"/>
      <c r="AE227" s="38"/>
    </row>
    <row r="228" spans="1:31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32"/>
        <v>1.9898816309771306E-4</v>
      </c>
      <c r="J228" s="6">
        <f t="shared" si="40"/>
        <v>-2.3494672238777499E-2</v>
      </c>
      <c r="K228" s="6">
        <f t="shared" si="40"/>
        <v>4.2880396046633875E-3</v>
      </c>
      <c r="L228" s="6">
        <f t="shared" si="40"/>
        <v>-1.6857607845247413E-3</v>
      </c>
      <c r="M228" s="6">
        <f t="shared" si="40"/>
        <v>6.3830534173032645E-3</v>
      </c>
      <c r="N228" s="6">
        <f t="shared" si="40"/>
        <v>-8.8016292301766504E-3</v>
      </c>
      <c r="O228" s="6">
        <f t="shared" si="33"/>
        <v>-5.7218030386620858E-3</v>
      </c>
      <c r="P228" s="6"/>
      <c r="Q228" s="6">
        <f t="shared" si="34"/>
        <v>-2.9965851727684015E-3</v>
      </c>
      <c r="R228" s="6">
        <f t="shared" si="35"/>
        <v>6.3830534173032645E-3</v>
      </c>
      <c r="S228" s="6">
        <f t="shared" si="36"/>
        <v>-2.3302819464394993E-3</v>
      </c>
      <c r="T228" s="6">
        <f t="shared" si="37"/>
        <v>1.3961104279765958E-5</v>
      </c>
      <c r="U228" s="6">
        <f t="shared" si="38"/>
        <v>-7.8008057269579609E-3</v>
      </c>
      <c r="V228" s="6">
        <f t="shared" si="39"/>
        <v>6.5786433138451421E-4</v>
      </c>
      <c r="W228" s="6"/>
      <c r="AE228" s="38"/>
    </row>
    <row r="229" spans="1:31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32"/>
        <v>1.9860747941202739E-4</v>
      </c>
      <c r="J229" s="6">
        <f t="shared" si="40"/>
        <v>1.2966442042243119E-2</v>
      </c>
      <c r="K229" s="6">
        <f t="shared" si="40"/>
        <v>9.4638404252588466E-3</v>
      </c>
      <c r="L229" s="6">
        <f t="shared" si="40"/>
        <v>-1.2173069187035165E-2</v>
      </c>
      <c r="M229" s="6">
        <f t="shared" si="40"/>
        <v>-2.6547400778527642E-3</v>
      </c>
      <c r="N229" s="6">
        <f t="shared" si="40"/>
        <v>5.5018536287759819E-3</v>
      </c>
      <c r="O229" s="6">
        <f t="shared" si="33"/>
        <v>-1.9149294474749528E-3</v>
      </c>
      <c r="P229" s="6"/>
      <c r="Q229" s="6">
        <f t="shared" si="34"/>
        <v>-4.1272338916125712E-3</v>
      </c>
      <c r="R229" s="6">
        <f t="shared" si="35"/>
        <v>-2.6547400778527642E-3</v>
      </c>
      <c r="S229" s="6">
        <f t="shared" si="36"/>
        <v>-2.6092206163392303E-3</v>
      </c>
      <c r="T229" s="6">
        <f t="shared" si="37"/>
        <v>1.6123395257585184E-5</v>
      </c>
      <c r="U229" s="6">
        <f t="shared" si="38"/>
        <v>-1.9215675905648049E-3</v>
      </c>
      <c r="V229" s="6">
        <f t="shared" si="39"/>
        <v>-6.5975129948724915E-3</v>
      </c>
      <c r="W229" s="6"/>
      <c r="AE229" s="38"/>
    </row>
    <row r="230" spans="1:31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32"/>
        <v>1.9898816309771306E-4</v>
      </c>
      <c r="J230" s="6">
        <f t="shared" si="40"/>
        <v>1.6604708169325119E-2</v>
      </c>
      <c r="K230" s="6">
        <f t="shared" si="40"/>
        <v>-4.563000564764429E-3</v>
      </c>
      <c r="L230" s="6">
        <f t="shared" si="40"/>
        <v>2.4628348767179134E-2</v>
      </c>
      <c r="M230" s="6">
        <f t="shared" si="40"/>
        <v>-1.2302856764034255E-2</v>
      </c>
      <c r="N230" s="6">
        <f t="shared" si="40"/>
        <v>2.822195662042845E-3</v>
      </c>
      <c r="O230" s="6">
        <f t="shared" si="33"/>
        <v>1.9149294474749643E-3</v>
      </c>
      <c r="P230" s="6"/>
      <c r="Q230" s="6">
        <f t="shared" si="34"/>
        <v>1.0291333046241986E-2</v>
      </c>
      <c r="R230" s="6">
        <f t="shared" si="35"/>
        <v>-1.2302856764034255E-2</v>
      </c>
      <c r="S230" s="6">
        <f t="shared" si="36"/>
        <v>5.7450577842224357E-3</v>
      </c>
      <c r="T230" s="6">
        <f t="shared" si="37"/>
        <v>0</v>
      </c>
      <c r="U230" s="6">
        <f t="shared" si="38"/>
        <v>1.5588654379723996E-2</v>
      </c>
      <c r="V230" s="6">
        <f t="shared" si="39"/>
        <v>1.2867488857121686E-2</v>
      </c>
      <c r="W230" s="6"/>
      <c r="AE230" s="38"/>
    </row>
    <row r="231" spans="1:31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32"/>
        <v>1.9784600378991435E-4</v>
      </c>
      <c r="J231" s="6">
        <f t="shared" si="40"/>
        <v>1.7902506232981147E-3</v>
      </c>
      <c r="K231" s="6">
        <f t="shared" si="40"/>
        <v>1.3471334993176645E-2</v>
      </c>
      <c r="L231" s="6">
        <f t="shared" si="40"/>
        <v>1.6853100357796223E-2</v>
      </c>
      <c r="M231" s="6">
        <f t="shared" si="40"/>
        <v>1.4427180508327499E-2</v>
      </c>
      <c r="N231" s="6">
        <f t="shared" si="40"/>
        <v>6.3690536600414091E-3</v>
      </c>
      <c r="O231" s="6">
        <f t="shared" si="33"/>
        <v>-5.7563715877582003E-3</v>
      </c>
      <c r="P231" s="6"/>
      <c r="Q231" s="6">
        <f t="shared" si="34"/>
        <v>1.3170239121630194E-2</v>
      </c>
      <c r="R231" s="6">
        <f t="shared" si="35"/>
        <v>1.4427180508327499E-2</v>
      </c>
      <c r="S231" s="6">
        <f t="shared" si="36"/>
        <v>1.2667573248598431E-2</v>
      </c>
      <c r="T231" s="6">
        <f t="shared" si="37"/>
        <v>0</v>
      </c>
      <c r="U231" s="6">
        <f t="shared" si="38"/>
        <v>1.1268397587621999E-2</v>
      </c>
      <c r="V231" s="6">
        <f t="shared" si="39"/>
        <v>6.2495908384549714E-3</v>
      </c>
      <c r="W231" s="6"/>
      <c r="AE231" s="38"/>
    </row>
    <row r="232" spans="1:31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32"/>
        <v>1.9670351962641774E-4</v>
      </c>
      <c r="J232" s="6">
        <f t="shared" si="40"/>
        <v>-2.5621428783056767E-2</v>
      </c>
      <c r="K232" s="6">
        <f t="shared" si="40"/>
        <v>1.4519903364922418E-2</v>
      </c>
      <c r="L232" s="6">
        <f t="shared" si="40"/>
        <v>1.5099360369527649E-2</v>
      </c>
      <c r="M232" s="6">
        <f t="shared" si="40"/>
        <v>1.631185864869468E-2</v>
      </c>
      <c r="N232" s="6">
        <f t="shared" si="40"/>
        <v>-1.4025410555021933E-2</v>
      </c>
      <c r="O232" s="6">
        <f t="shared" si="33"/>
        <v>-5.7913508389068353E-3</v>
      </c>
      <c r="P232" s="6"/>
      <c r="Q232" s="6">
        <f t="shared" si="34"/>
        <v>7.8414356352753123E-3</v>
      </c>
      <c r="R232" s="6">
        <f t="shared" si="35"/>
        <v>1.631185864869468E-2</v>
      </c>
      <c r="S232" s="6">
        <f t="shared" si="36"/>
        <v>7.4203526475892538E-3</v>
      </c>
      <c r="T232" s="6">
        <f t="shared" si="37"/>
        <v>0</v>
      </c>
      <c r="U232" s="6">
        <f t="shared" si="38"/>
        <v>1.3240968190709507E-3</v>
      </c>
      <c r="V232" s="6">
        <f t="shared" si="39"/>
        <v>1.4432589949060125E-2</v>
      </c>
      <c r="W232" s="6"/>
      <c r="AE232" s="38"/>
    </row>
    <row r="233" spans="1:31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32"/>
        <v>1.9670351962641774E-4</v>
      </c>
      <c r="J233" s="6">
        <f t="shared" si="40"/>
        <v>-2.074860964039351E-2</v>
      </c>
      <c r="K233" s="6">
        <f t="shared" si="40"/>
        <v>-3.067024540397419E-4</v>
      </c>
      <c r="L233" s="6">
        <f t="shared" si="40"/>
        <v>-3.2285803587666854E-2</v>
      </c>
      <c r="M233" s="6">
        <f t="shared" si="40"/>
        <v>-5.2205691605959625E-4</v>
      </c>
      <c r="N233" s="6">
        <f t="shared" si="40"/>
        <v>-7.8470804696827295E-3</v>
      </c>
      <c r="O233" s="6">
        <f t="shared" si="33"/>
        <v>0</v>
      </c>
      <c r="P233" s="6"/>
      <c r="Q233" s="6">
        <f t="shared" si="34"/>
        <v>-1.9080559938207172E-2</v>
      </c>
      <c r="R233" s="6">
        <f t="shared" si="35"/>
        <v>-5.2205691605959625E-4</v>
      </c>
      <c r="S233" s="6">
        <f t="shared" si="36"/>
        <v>-1.5093130706085726E-2</v>
      </c>
      <c r="T233" s="6">
        <f t="shared" si="37"/>
        <v>2.7222706126017477E-4</v>
      </c>
      <c r="U233" s="6">
        <f t="shared" si="38"/>
        <v>-2.2919090970610841E-2</v>
      </c>
      <c r="V233" s="6">
        <f t="shared" si="39"/>
        <v>-1.5945835207859076E-2</v>
      </c>
      <c r="W233" s="6"/>
      <c r="AE233" s="38"/>
    </row>
    <row r="234" spans="1:31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32"/>
        <v>1.9441757599203413E-4</v>
      </c>
      <c r="J234" s="6">
        <f t="shared" si="40"/>
        <v>5.7973336916425204E-4</v>
      </c>
      <c r="K234" s="6">
        <f t="shared" si="40"/>
        <v>1.5327868988235308E-3</v>
      </c>
      <c r="L234" s="6">
        <f t="shared" si="40"/>
        <v>-9.5291127080258486E-4</v>
      </c>
      <c r="M234" s="6">
        <f t="shared" si="40"/>
        <v>-1.5677557021459298E-3</v>
      </c>
      <c r="N234" s="6">
        <f t="shared" si="40"/>
        <v>-7.1659074070294041E-3</v>
      </c>
      <c r="O234" s="6">
        <f t="shared" si="33"/>
        <v>-1.1689319186543775E-2</v>
      </c>
      <c r="P234" s="6"/>
      <c r="Q234" s="6">
        <f t="shared" si="34"/>
        <v>-8.7738965332764514E-4</v>
      </c>
      <c r="R234" s="6">
        <f t="shared" si="35"/>
        <v>-1.5677557021459298E-3</v>
      </c>
      <c r="S234" s="6">
        <f t="shared" si="36"/>
        <v>-9.2435025178766873E-4</v>
      </c>
      <c r="T234" s="6">
        <f t="shared" si="37"/>
        <v>5.4313440616422522E-6</v>
      </c>
      <c r="U234" s="6">
        <f t="shared" si="38"/>
        <v>-5.3130425347982016E-4</v>
      </c>
      <c r="V234" s="6">
        <f t="shared" si="39"/>
        <v>7.1383152013402736E-3</v>
      </c>
      <c r="W234" s="6"/>
      <c r="AE234" s="38"/>
    </row>
    <row r="235" spans="1:31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32"/>
        <v>1.9479865694971288E-4</v>
      </c>
      <c r="J235" s="6">
        <f t="shared" si="40"/>
        <v>-1.5614861566389346E-3</v>
      </c>
      <c r="K235" s="6">
        <f t="shared" si="40"/>
        <v>-7.9964136377382936E-3</v>
      </c>
      <c r="L235" s="6">
        <f t="shared" si="40"/>
        <v>2.3806134291241197E-3</v>
      </c>
      <c r="M235" s="6">
        <f t="shared" si="40"/>
        <v>-3.0265224779422156E-2</v>
      </c>
      <c r="N235" s="6">
        <f t="shared" si="40"/>
        <v>1.0734189165974961E-2</v>
      </c>
      <c r="O235" s="6">
        <f t="shared" si="33"/>
        <v>1.9581972548826181E-3</v>
      </c>
      <c r="P235" s="6"/>
      <c r="Q235" s="6">
        <f t="shared" si="34"/>
        <v>-9.6986764983629809E-3</v>
      </c>
      <c r="R235" s="6">
        <f t="shared" si="35"/>
        <v>-3.0265224779422156E-2</v>
      </c>
      <c r="S235" s="6">
        <f t="shared" si="36"/>
        <v>-1.3644421848366501E-2</v>
      </c>
      <c r="T235" s="6">
        <f t="shared" si="37"/>
        <v>2.2652044038597087E-4</v>
      </c>
      <c r="U235" s="6">
        <f t="shared" si="38"/>
        <v>-4.5284113113594976E-3</v>
      </c>
      <c r="V235" s="6">
        <f t="shared" si="39"/>
        <v>-1.4285335290700168E-2</v>
      </c>
      <c r="W235" s="6"/>
      <c r="AE235" s="38"/>
    </row>
    <row r="236" spans="1:31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32"/>
        <v>1.9594168295089531E-4</v>
      </c>
      <c r="J236" s="6">
        <f t="shared" si="40"/>
        <v>4.6772962161707281E-3</v>
      </c>
      <c r="K236" s="6">
        <f t="shared" si="40"/>
        <v>2.9291935822486634E-3</v>
      </c>
      <c r="L236" s="6">
        <f t="shared" si="40"/>
        <v>2.3776420016967354E-4</v>
      </c>
      <c r="M236" s="6">
        <f t="shared" si="40"/>
        <v>-1.8498896320453713E-2</v>
      </c>
      <c r="N236" s="6">
        <f t="shared" si="40"/>
        <v>-1.5593317997995005E-3</v>
      </c>
      <c r="O236" s="6">
        <f t="shared" si="33"/>
        <v>5.8505823170835261E-3</v>
      </c>
      <c r="P236" s="6"/>
      <c r="Q236" s="6">
        <f t="shared" si="34"/>
        <v>-5.4311457820506301E-3</v>
      </c>
      <c r="R236" s="6">
        <f t="shared" si="35"/>
        <v>-1.8498896320453713E-2</v>
      </c>
      <c r="S236" s="6">
        <f t="shared" si="36"/>
        <v>-7.5865007219361605E-3</v>
      </c>
      <c r="T236" s="6">
        <f t="shared" si="37"/>
        <v>8.0868201639105504E-5</v>
      </c>
      <c r="U236" s="6">
        <f t="shared" si="38"/>
        <v>-1.4264140383049432E-3</v>
      </c>
      <c r="V236" s="6">
        <f t="shared" si="39"/>
        <v>-6.9222555857014877E-4</v>
      </c>
      <c r="W236" s="6"/>
      <c r="AE236" s="38"/>
    </row>
    <row r="237" spans="1:31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32"/>
        <v>1.9556071042226009E-4</v>
      </c>
      <c r="J237" s="6">
        <f t="shared" si="40"/>
        <v>-2.9175802186708118E-2</v>
      </c>
      <c r="K237" s="6">
        <f t="shared" si="40"/>
        <v>1.3000091618175304E-2</v>
      </c>
      <c r="L237" s="6">
        <f t="shared" si="40"/>
        <v>-8.307151793191617E-3</v>
      </c>
      <c r="M237" s="6">
        <f t="shared" si="40"/>
        <v>5.0853933718081321E-2</v>
      </c>
      <c r="N237" s="6">
        <f t="shared" si="40"/>
        <v>-2.3421178443889513E-2</v>
      </c>
      <c r="O237" s="6">
        <f t="shared" si="33"/>
        <v>-1.9462085307038084E-3</v>
      </c>
      <c r="P237" s="6"/>
      <c r="Q237" s="6">
        <f t="shared" si="34"/>
        <v>8.3005595282027653E-3</v>
      </c>
      <c r="R237" s="6">
        <f t="shared" si="35"/>
        <v>5.0853933718081321E-2</v>
      </c>
      <c r="S237" s="6">
        <f t="shared" si="36"/>
        <v>1.506801403185349E-2</v>
      </c>
      <c r="T237" s="6">
        <f t="shared" si="37"/>
        <v>0</v>
      </c>
      <c r="U237" s="6">
        <f t="shared" si="38"/>
        <v>-5.404746908641872E-3</v>
      </c>
      <c r="V237" s="6">
        <f t="shared" si="39"/>
        <v>1.5625050516123277E-2</v>
      </c>
      <c r="W237" s="6"/>
      <c r="AE237" s="38"/>
    </row>
    <row r="238" spans="1:31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32"/>
        <v>1.9174899651042132E-4</v>
      </c>
      <c r="J238" s="6">
        <f t="shared" si="40"/>
        <v>-4.8161042901711899E-3</v>
      </c>
      <c r="K238" s="6">
        <f t="shared" si="40"/>
        <v>3.943013964285107E-3</v>
      </c>
      <c r="L238" s="6">
        <f t="shared" si="40"/>
        <v>3.8346355812063522E-4</v>
      </c>
      <c r="M238" s="6">
        <f t="shared" si="40"/>
        <v>1.564589587366755E-3</v>
      </c>
      <c r="N238" s="6">
        <f t="shared" si="40"/>
        <v>-5.1559504042484414E-3</v>
      </c>
      <c r="O238" s="6">
        <f t="shared" si="33"/>
        <v>-1.9683663551158869E-2</v>
      </c>
      <c r="P238" s="6"/>
      <c r="Q238" s="6">
        <f t="shared" si="34"/>
        <v>-1.8691565858350962E-4</v>
      </c>
      <c r="R238" s="6">
        <f t="shared" si="35"/>
        <v>1.564589587366755E-3</v>
      </c>
      <c r="S238" s="6">
        <f t="shared" si="36"/>
        <v>-1.1205611942686805E-4</v>
      </c>
      <c r="T238" s="6">
        <f t="shared" si="37"/>
        <v>2.3050231994164725E-6</v>
      </c>
      <c r="U238" s="6">
        <f t="shared" si="38"/>
        <v>-1.200825319862966E-3</v>
      </c>
      <c r="V238" s="6">
        <f t="shared" si="39"/>
        <v>5.5728827628013042E-3</v>
      </c>
      <c r="W238" s="6"/>
      <c r="AE238" s="38"/>
    </row>
    <row r="239" spans="1:31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32"/>
        <v>1.9022329759033063E-4</v>
      </c>
      <c r="J239" s="6">
        <f t="shared" si="40"/>
        <v>2.1586660116600692E-3</v>
      </c>
      <c r="K239" s="6">
        <f t="shared" si="40"/>
        <v>1.4723868428621712E-2</v>
      </c>
      <c r="L239" s="6">
        <f t="shared" si="40"/>
        <v>1.6963686226937915E-2</v>
      </c>
      <c r="M239" s="6">
        <f t="shared" si="40"/>
        <v>-9.4242056297434203E-3</v>
      </c>
      <c r="N239" s="6">
        <f t="shared" si="40"/>
        <v>1.1029442312488889E-2</v>
      </c>
      <c r="O239" s="6">
        <f t="shared" si="33"/>
        <v>-7.9885743415427004E-3</v>
      </c>
      <c r="P239" s="6"/>
      <c r="Q239" s="6">
        <f t="shared" si="34"/>
        <v>5.0089159927437675E-3</v>
      </c>
      <c r="R239" s="6">
        <f t="shared" si="35"/>
        <v>-9.4242056297434203E-3</v>
      </c>
      <c r="S239" s="6">
        <f t="shared" si="36"/>
        <v>1.6703904258090303E-3</v>
      </c>
      <c r="T239" s="6">
        <f t="shared" si="37"/>
        <v>0</v>
      </c>
      <c r="U239" s="6">
        <f t="shared" si="38"/>
        <v>7.3897901850715287E-3</v>
      </c>
      <c r="V239" s="6">
        <f t="shared" si="39"/>
        <v>-1.521869227990913E-3</v>
      </c>
      <c r="W239" s="6"/>
      <c r="AE239" s="38"/>
    </row>
    <row r="240" spans="1:31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32"/>
        <v>1.8946023076238383E-4</v>
      </c>
      <c r="J240" s="6">
        <f t="shared" si="40"/>
        <v>1.2838228252665619E-3</v>
      </c>
      <c r="K240" s="6">
        <f t="shared" si="40"/>
        <v>-3.2865430207580882E-3</v>
      </c>
      <c r="L240" s="6">
        <f t="shared" si="40"/>
        <v>-6.5707247389028478E-3</v>
      </c>
      <c r="M240" s="6">
        <f t="shared" si="40"/>
        <v>-5.8032344347412621E-3</v>
      </c>
      <c r="N240" s="6">
        <f t="shared" si="40"/>
        <v>8.129903108684501E-4</v>
      </c>
      <c r="O240" s="6">
        <f t="shared" si="33"/>
        <v>-4.0194941224900244E-3</v>
      </c>
      <c r="P240" s="6"/>
      <c r="Q240" s="6">
        <f t="shared" si="34"/>
        <v>-4.8230454237441697E-3</v>
      </c>
      <c r="R240" s="6">
        <f t="shared" si="35"/>
        <v>-5.8032344347412621E-3</v>
      </c>
      <c r="S240" s="6">
        <f t="shared" si="36"/>
        <v>-4.6170321556816005E-3</v>
      </c>
      <c r="T240" s="6">
        <f t="shared" si="37"/>
        <v>3.6279014392867279E-5</v>
      </c>
      <c r="U240" s="6">
        <f t="shared" si="38"/>
        <v>-3.7432358760074213E-3</v>
      </c>
      <c r="V240" s="6">
        <f t="shared" si="39"/>
        <v>-4.0180968392742348E-3</v>
      </c>
      <c r="W240" s="6"/>
      <c r="AE240" s="38"/>
    </row>
    <row r="241" spans="1:31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32"/>
        <v>1.8946023076238383E-4</v>
      </c>
      <c r="J241" s="6">
        <f t="shared" si="40"/>
        <v>2.562716177992965E-3</v>
      </c>
      <c r="K241" s="6">
        <f t="shared" si="40"/>
        <v>1.2638603848310002E-2</v>
      </c>
      <c r="L241" s="6">
        <f t="shared" si="40"/>
        <v>2.0374359451747755E-2</v>
      </c>
      <c r="M241" s="6">
        <f t="shared" si="40"/>
        <v>4.2238711161852434E-3</v>
      </c>
      <c r="N241" s="6">
        <f t="shared" si="40"/>
        <v>-4.9724964337360253E-3</v>
      </c>
      <c r="O241" s="6">
        <f t="shared" si="33"/>
        <v>0</v>
      </c>
      <c r="P241" s="6"/>
      <c r="Q241" s="6">
        <f t="shared" si="34"/>
        <v>1.1407438153400395E-2</v>
      </c>
      <c r="R241" s="6">
        <f t="shared" si="35"/>
        <v>4.2238711161852434E-3</v>
      </c>
      <c r="S241" s="6">
        <f t="shared" si="36"/>
        <v>9.2308545579694035E-3</v>
      </c>
      <c r="T241" s="6">
        <f t="shared" si="37"/>
        <v>0</v>
      </c>
      <c r="U241" s="6">
        <f t="shared" si="38"/>
        <v>1.1510277121869292E-2</v>
      </c>
      <c r="V241" s="6">
        <f t="shared" si="39"/>
        <v>1.5929052938655874E-2</v>
      </c>
      <c r="W241" s="6"/>
      <c r="AE241" s="38"/>
    </row>
    <row r="242" spans="1:31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32"/>
        <v>1.8946023076238383E-4</v>
      </c>
      <c r="J242" s="6">
        <f t="shared" si="40"/>
        <v>1.4879566390620118E-2</v>
      </c>
      <c r="K242" s="6">
        <f t="shared" si="40"/>
        <v>-1.3986271941776691E-2</v>
      </c>
      <c r="L242" s="6">
        <f t="shared" si="40"/>
        <v>-1.1168596535331227E-2</v>
      </c>
      <c r="M242" s="6">
        <f t="shared" si="40"/>
        <v>1.4125267552011362E-2</v>
      </c>
      <c r="N242" s="6">
        <f t="shared" si="40"/>
        <v>1.567000529191805E-2</v>
      </c>
      <c r="O242" s="6">
        <f t="shared" si="33"/>
        <v>0</v>
      </c>
      <c r="P242" s="6"/>
      <c r="Q242" s="6">
        <f t="shared" si="34"/>
        <v>2.5264681837728182E-3</v>
      </c>
      <c r="R242" s="6">
        <f t="shared" si="35"/>
        <v>1.4125267552011362E-2</v>
      </c>
      <c r="S242" s="6">
        <f t="shared" si="36"/>
        <v>5.8812819563437129E-3</v>
      </c>
      <c r="T242" s="6">
        <f t="shared" si="37"/>
        <v>0</v>
      </c>
      <c r="U242" s="6">
        <f t="shared" si="38"/>
        <v>2.0794890989445512E-3</v>
      </c>
      <c r="V242" s="6">
        <f t="shared" si="39"/>
        <v>-1.1845556671439427E-2</v>
      </c>
      <c r="W242" s="6"/>
      <c r="AE242" s="38"/>
    </row>
    <row r="243" spans="1:31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32"/>
        <v>1.8984178229608517E-4</v>
      </c>
      <c r="J243" s="6">
        <f t="shared" si="40"/>
        <v>-1.6892595276606047E-2</v>
      </c>
      <c r="K243" s="6">
        <f t="shared" si="40"/>
        <v>1.8114838733001931E-2</v>
      </c>
      <c r="L243" s="6">
        <f t="shared" si="40"/>
        <v>-2.300698438939985E-2</v>
      </c>
      <c r="M243" s="6">
        <f t="shared" si="40"/>
        <v>1.1363707289245462E-2</v>
      </c>
      <c r="N243" s="6">
        <f t="shared" si="40"/>
        <v>-1.3788191433053192E-2</v>
      </c>
      <c r="O243" s="6">
        <f t="shared" si="33"/>
        <v>2.0118620479849911E-3</v>
      </c>
      <c r="P243" s="6"/>
      <c r="Q243" s="6">
        <f t="shared" si="34"/>
        <v>-9.9191171797789763E-3</v>
      </c>
      <c r="R243" s="6">
        <f t="shared" si="35"/>
        <v>1.1363707289245462E-2</v>
      </c>
      <c r="S243" s="6">
        <f t="shared" si="36"/>
        <v>-5.6802017196643162E-3</v>
      </c>
      <c r="T243" s="6">
        <f t="shared" si="37"/>
        <v>5.0216723192127143E-5</v>
      </c>
      <c r="U243" s="6">
        <f t="shared" si="38"/>
        <v>-1.5058571490753715E-2</v>
      </c>
      <c r="V243" s="6">
        <f t="shared" si="39"/>
        <v>-3.0298213117953676E-3</v>
      </c>
      <c r="W243" s="6"/>
      <c r="AE243" s="38"/>
    </row>
    <row r="244" spans="1:31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32"/>
        <v>1.9022329759033063E-4</v>
      </c>
      <c r="J244" s="6">
        <f t="shared" si="40"/>
        <v>6.8458769114516189E-3</v>
      </c>
      <c r="K244" s="6">
        <f t="shared" si="40"/>
        <v>1.9958459712746134E-2</v>
      </c>
      <c r="L244" s="6">
        <f t="shared" si="40"/>
        <v>-4.3337697237488322E-2</v>
      </c>
      <c r="M244" s="6">
        <f t="shared" si="40"/>
        <v>-5.1492389779095047E-3</v>
      </c>
      <c r="N244" s="6">
        <f t="shared" si="40"/>
        <v>-1.8552885294602865E-2</v>
      </c>
      <c r="O244" s="6">
        <f t="shared" si="33"/>
        <v>2.0076320745050212E-3</v>
      </c>
      <c r="P244" s="6"/>
      <c r="Q244" s="6">
        <f t="shared" si="34"/>
        <v>-2.061377543672066E-2</v>
      </c>
      <c r="R244" s="6">
        <f t="shared" si="35"/>
        <v>-5.1492389779095047E-3</v>
      </c>
      <c r="S244" s="6">
        <f t="shared" si="36"/>
        <v>-1.5269766192061787E-2</v>
      </c>
      <c r="T244" s="6">
        <f t="shared" si="37"/>
        <v>2.7808698682375697E-4</v>
      </c>
      <c r="U244" s="6">
        <f t="shared" si="38"/>
        <v>-1.9608315963958099E-2</v>
      </c>
      <c r="V244" s="6">
        <f t="shared" si="39"/>
        <v>-3.3449813033550532E-3</v>
      </c>
      <c r="W244" s="6"/>
      <c r="AE244" s="38"/>
    </row>
    <row r="245" spans="1:31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32"/>
        <v>1.9060477665200359E-4</v>
      </c>
      <c r="J245" s="6">
        <f t="shared" si="40"/>
        <v>-4.936563304839342E-2</v>
      </c>
      <c r="K245" s="6">
        <f t="shared" si="40"/>
        <v>-1.7900558015048668E-2</v>
      </c>
      <c r="L245" s="6">
        <f t="shared" si="40"/>
        <v>-2.1521514209848672E-2</v>
      </c>
      <c r="M245" s="6">
        <f t="shared" si="40"/>
        <v>-2.4034646374763047E-2</v>
      </c>
      <c r="N245" s="6">
        <f t="shared" si="40"/>
        <v>-3.0427045496882188E-2</v>
      </c>
      <c r="O245" s="6">
        <f t="shared" si="33"/>
        <v>2.0034194696742034E-3</v>
      </c>
      <c r="P245" s="6"/>
      <c r="Q245" s="6">
        <f t="shared" si="34"/>
        <v>-2.7644895728941014E-2</v>
      </c>
      <c r="R245" s="6">
        <f t="shared" si="35"/>
        <v>-2.4034646374763047E-2</v>
      </c>
      <c r="S245" s="6">
        <f t="shared" si="36"/>
        <v>-2.8321521326939332E-2</v>
      </c>
      <c r="T245" s="6">
        <f t="shared" si="37"/>
        <v>8.8373587931757955E-4</v>
      </c>
      <c r="U245" s="6">
        <f t="shared" si="38"/>
        <v>-3.1509543787856434E-2</v>
      </c>
      <c r="V245" s="6">
        <f t="shared" si="39"/>
        <v>-4.693846696858732E-3</v>
      </c>
      <c r="W245" s="6"/>
      <c r="AE245" s="38"/>
    </row>
    <row r="246" spans="1:31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32"/>
        <v>1.8946023076238383E-4</v>
      </c>
      <c r="J246" s="6">
        <f t="shared" si="40"/>
        <v>-9.7960810695936606E-3</v>
      </c>
      <c r="K246" s="6">
        <f t="shared" si="40"/>
        <v>-7.3441060418495512E-4</v>
      </c>
      <c r="L246" s="6">
        <f t="shared" si="40"/>
        <v>2.7529327489063685E-2</v>
      </c>
      <c r="M246" s="6">
        <f t="shared" si="40"/>
        <v>1.4698479459715275E-2</v>
      </c>
      <c r="N246" s="6">
        <f t="shared" si="40"/>
        <v>1.0300905557719547E-2</v>
      </c>
      <c r="O246" s="6">
        <f t="shared" si="33"/>
        <v>-6.0229135921643839E-3</v>
      </c>
      <c r="P246" s="6"/>
      <c r="Q246" s="6">
        <f t="shared" si="34"/>
        <v>1.6035292564615305E-2</v>
      </c>
      <c r="R246" s="6">
        <f t="shared" si="35"/>
        <v>1.4698479459715275E-2</v>
      </c>
      <c r="S246" s="6">
        <f t="shared" si="36"/>
        <v>1.3943124221604731E-2</v>
      </c>
      <c r="T246" s="6">
        <f t="shared" si="37"/>
        <v>0</v>
      </c>
      <c r="U246" s="6">
        <f t="shared" si="38"/>
        <v>1.2530056328995983E-2</v>
      </c>
      <c r="V246" s="6">
        <f t="shared" si="39"/>
        <v>4.0469168232178006E-3</v>
      </c>
      <c r="W246" s="6"/>
      <c r="AE246" s="38"/>
    </row>
    <row r="247" spans="1:31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32"/>
        <v>1.8831535865504456E-4</v>
      </c>
      <c r="J247" s="6">
        <f t="shared" si="40"/>
        <v>1.2420806909965328E-2</v>
      </c>
      <c r="K247" s="6">
        <f t="shared" si="40"/>
        <v>6.0068453122636119E-3</v>
      </c>
      <c r="L247" s="6">
        <f t="shared" si="40"/>
        <v>2.9943605302915484E-4</v>
      </c>
      <c r="M247" s="6">
        <f t="shared" si="40"/>
        <v>3.1216986037119246E-3</v>
      </c>
      <c r="N247" s="6">
        <f t="shared" si="40"/>
        <v>-7.7647563892511828E-3</v>
      </c>
      <c r="O247" s="6">
        <f t="shared" si="33"/>
        <v>-6.0611412932984471E-3</v>
      </c>
      <c r="P247" s="6"/>
      <c r="Q247" s="6">
        <f t="shared" si="34"/>
        <v>3.5652314630298726E-3</v>
      </c>
      <c r="R247" s="6">
        <f t="shared" si="35"/>
        <v>3.1216986037119246E-3</v>
      </c>
      <c r="S247" s="6">
        <f t="shared" si="36"/>
        <v>4.0786037446709326E-3</v>
      </c>
      <c r="T247" s="6">
        <f t="shared" si="37"/>
        <v>0</v>
      </c>
      <c r="U247" s="6">
        <f t="shared" si="38"/>
        <v>4.9416210693801138E-3</v>
      </c>
      <c r="V247" s="6">
        <f t="shared" si="39"/>
        <v>1.2516668564005387E-2</v>
      </c>
      <c r="W247" s="6"/>
      <c r="AE247" s="38"/>
    </row>
    <row r="248" spans="1:31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32"/>
        <v>1.8869701894863589E-4</v>
      </c>
      <c r="J248" s="6">
        <f t="shared" si="40"/>
        <v>1.6496471649674511E-2</v>
      </c>
      <c r="K248" s="6">
        <f t="shared" si="40"/>
        <v>3.9362102876051566E-3</v>
      </c>
      <c r="L248" s="6">
        <f t="shared" si="40"/>
        <v>1.8098719175530638E-2</v>
      </c>
      <c r="M248" s="6">
        <f t="shared" si="40"/>
        <v>7.7620053354891094E-3</v>
      </c>
      <c r="N248" s="6">
        <f t="shared" si="40"/>
        <v>2.2781128575607587E-2</v>
      </c>
      <c r="O248" s="6">
        <f t="shared" si="33"/>
        <v>2.0246572613530339E-3</v>
      </c>
      <c r="P248" s="6"/>
      <c r="Q248" s="6">
        <f t="shared" si="34"/>
        <v>1.4207264833236404E-2</v>
      </c>
      <c r="R248" s="6">
        <f t="shared" si="35"/>
        <v>7.7620053354891094E-3</v>
      </c>
      <c r="S248" s="6">
        <f t="shared" si="36"/>
        <v>1.2932301136284526E-2</v>
      </c>
      <c r="T248" s="6">
        <f t="shared" si="37"/>
        <v>0</v>
      </c>
      <c r="U248" s="6">
        <f t="shared" si="38"/>
        <v>1.5789536404105367E-2</v>
      </c>
      <c r="V248" s="6">
        <f t="shared" si="39"/>
        <v>-4.6802207597811448E-3</v>
      </c>
      <c r="W248" s="6"/>
      <c r="AE248" s="38"/>
    </row>
    <row r="249" spans="1:31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32"/>
        <v>1.8717016014413446E-4</v>
      </c>
      <c r="J249" s="6">
        <f t="shared" si="40"/>
        <v>1.3642429865120695E-2</v>
      </c>
      <c r="K249" s="6">
        <f t="shared" si="40"/>
        <v>-7.2779275329949461E-4</v>
      </c>
      <c r="L249" s="6">
        <f t="shared" si="40"/>
        <v>8.4907795310884548E-3</v>
      </c>
      <c r="M249" s="6">
        <f t="shared" si="40"/>
        <v>4.6284474501869788E-3</v>
      </c>
      <c r="N249" s="6">
        <f t="shared" si="40"/>
        <v>4.660780212150723E-3</v>
      </c>
      <c r="O249" s="6">
        <f t="shared" si="33"/>
        <v>-8.1245040168903531E-3</v>
      </c>
      <c r="P249" s="6"/>
      <c r="Q249" s="6">
        <f t="shared" si="34"/>
        <v>8.1211035641951188E-3</v>
      </c>
      <c r="R249" s="6">
        <f t="shared" si="35"/>
        <v>4.6284474501869788E-3</v>
      </c>
      <c r="S249" s="6">
        <f t="shared" si="36"/>
        <v>7.7168449125451059E-3</v>
      </c>
      <c r="T249" s="6">
        <f t="shared" si="37"/>
        <v>0</v>
      </c>
      <c r="U249" s="6">
        <f t="shared" si="38"/>
        <v>9.602342538560028E-3</v>
      </c>
      <c r="V249" s="6">
        <f t="shared" si="39"/>
        <v>6.3652889324552608E-3</v>
      </c>
      <c r="W249" s="6"/>
      <c r="AE249" s="38"/>
    </row>
    <row r="250" spans="1:31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32"/>
        <v>1.8717016014413446E-4</v>
      </c>
      <c r="J250" s="6">
        <f t="shared" si="40"/>
        <v>7.1046339891622338E-3</v>
      </c>
      <c r="K250" s="6">
        <f t="shared" si="40"/>
        <v>-7.4534799929999399E-3</v>
      </c>
      <c r="L250" s="6">
        <f t="shared" si="40"/>
        <v>1.8932455242062468E-3</v>
      </c>
      <c r="M250" s="6">
        <f t="shared" si="40"/>
        <v>-3.0832501301206196E-3</v>
      </c>
      <c r="N250" s="6">
        <f t="shared" si="40"/>
        <v>4.3036707511422095E-5</v>
      </c>
      <c r="O250" s="6">
        <f t="shared" si="33"/>
        <v>0</v>
      </c>
      <c r="P250" s="6"/>
      <c r="Q250" s="6">
        <f t="shared" si="34"/>
        <v>1.147953756630073E-3</v>
      </c>
      <c r="R250" s="6">
        <f t="shared" si="35"/>
        <v>-3.0832501301206196E-3</v>
      </c>
      <c r="S250" s="6">
        <f t="shared" si="36"/>
        <v>6.1215161187909276E-4</v>
      </c>
      <c r="T250" s="6">
        <f t="shared" si="37"/>
        <v>6.3047181636332174E-7</v>
      </c>
      <c r="U250" s="6">
        <f t="shared" si="38"/>
        <v>2.8357174140813384E-3</v>
      </c>
      <c r="V250" s="6">
        <f t="shared" si="39"/>
        <v>2.7974731307681563E-3</v>
      </c>
      <c r="W250" s="6"/>
      <c r="AE250" s="38"/>
    </row>
    <row r="251" spans="1:31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32"/>
        <v>1.8678835474061906E-4</v>
      </c>
      <c r="J251" s="6">
        <f t="shared" si="40"/>
        <v>1.7046925905757491E-2</v>
      </c>
      <c r="K251" s="6">
        <f t="shared" si="40"/>
        <v>4.2450624586943594E-3</v>
      </c>
      <c r="L251" s="6">
        <f t="shared" si="40"/>
        <v>8.4515026665683331E-3</v>
      </c>
      <c r="M251" s="6">
        <f t="shared" si="40"/>
        <v>4.6213175955976916E-3</v>
      </c>
      <c r="N251" s="6">
        <f t="shared" si="40"/>
        <v>1.6707226654933075E-2</v>
      </c>
      <c r="O251" s="6">
        <f t="shared" si="33"/>
        <v>-2.0419673358617789E-3</v>
      </c>
      <c r="P251" s="6"/>
      <c r="Q251" s="6">
        <f t="shared" si="34"/>
        <v>8.7424012801683264E-3</v>
      </c>
      <c r="R251" s="6">
        <f t="shared" si="35"/>
        <v>4.6213175955976916E-3</v>
      </c>
      <c r="S251" s="6">
        <f t="shared" si="36"/>
        <v>8.3991776761004923E-3</v>
      </c>
      <c r="T251" s="6">
        <f t="shared" si="37"/>
        <v>0</v>
      </c>
      <c r="U251" s="6">
        <f t="shared" si="38"/>
        <v>1.0750965605069438E-2</v>
      </c>
      <c r="V251" s="6">
        <f t="shared" si="39"/>
        <v>-3.8684133455491529E-3</v>
      </c>
      <c r="W251" s="6"/>
      <c r="AE251" s="38"/>
    </row>
    <row r="252" spans="1:31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32"/>
        <v>1.8487878316397754E-4</v>
      </c>
      <c r="J252" s="6">
        <f t="shared" si="40"/>
        <v>2.0316357014954671E-3</v>
      </c>
      <c r="K252" s="6">
        <f t="shared" si="40"/>
        <v>1.751357702825767E-3</v>
      </c>
      <c r="L252" s="6">
        <f t="shared" si="40"/>
        <v>1.1000172910606301E-2</v>
      </c>
      <c r="M252" s="6">
        <f t="shared" si="40"/>
        <v>5.6193763609869146E-3</v>
      </c>
      <c r="N252" s="6">
        <f t="shared" si="40"/>
        <v>3.816476067632372E-3</v>
      </c>
      <c r="O252" s="6">
        <f t="shared" si="33"/>
        <v>-1.0275798879295729E-2</v>
      </c>
      <c r="P252" s="6"/>
      <c r="Q252" s="6">
        <f t="shared" si="34"/>
        <v>7.4405027205732728E-3</v>
      </c>
      <c r="R252" s="6">
        <f t="shared" si="35"/>
        <v>5.6193763609869146E-3</v>
      </c>
      <c r="S252" s="6">
        <f t="shared" si="36"/>
        <v>6.660624873436812E-3</v>
      </c>
      <c r="T252" s="6">
        <f t="shared" si="37"/>
        <v>0</v>
      </c>
      <c r="U252" s="6">
        <f t="shared" si="38"/>
        <v>7.0051248066515439E-3</v>
      </c>
      <c r="V252" s="6">
        <f t="shared" si="39"/>
        <v>4.7579174719021809E-3</v>
      </c>
      <c r="W252" s="6"/>
      <c r="AE252" s="38"/>
    </row>
    <row r="253" spans="1:31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32"/>
        <v>1.8067452749437329E-4</v>
      </c>
      <c r="J253" s="6">
        <f t="shared" si="40"/>
        <v>1.3439858184173351E-2</v>
      </c>
      <c r="K253" s="6">
        <f t="shared" si="40"/>
        <v>1.0201851494693278E-3</v>
      </c>
      <c r="L253" s="6">
        <f t="shared" si="40"/>
        <v>6.2116322685317679E-3</v>
      </c>
      <c r="M253" s="6">
        <f t="shared" si="40"/>
        <v>-2.7894319608277238E-2</v>
      </c>
      <c r="N253" s="6">
        <f t="shared" si="40"/>
        <v>1.6004444012785939E-2</v>
      </c>
      <c r="O253" s="6">
        <f t="shared" si="33"/>
        <v>-2.3003162241745385E-2</v>
      </c>
      <c r="P253" s="6"/>
      <c r="Q253" s="6">
        <f t="shared" si="34"/>
        <v>-4.2682140039660829E-3</v>
      </c>
      <c r="R253" s="6">
        <f t="shared" si="35"/>
        <v>-2.7894319608277238E-2</v>
      </c>
      <c r="S253" s="6">
        <f t="shared" si="36"/>
        <v>-8.2225864661647149E-3</v>
      </c>
      <c r="T253" s="6">
        <f t="shared" si="37"/>
        <v>9.2713031310441332E-5</v>
      </c>
      <c r="U253" s="6">
        <f t="shared" si="38"/>
        <v>2.8894965890757345E-3</v>
      </c>
      <c r="V253" s="6">
        <f t="shared" si="39"/>
        <v>-8.7711905022493999E-3</v>
      </c>
      <c r="W253" s="6"/>
      <c r="AE253" s="38"/>
    </row>
    <row r="254" spans="1:31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32"/>
        <v>1.69569441239803E-4</v>
      </c>
      <c r="J254" s="6">
        <f t="shared" si="40"/>
        <v>5.9010397660438866E-3</v>
      </c>
      <c r="K254" s="6">
        <f t="shared" si="40"/>
        <v>7.6906421617582866E-3</v>
      </c>
      <c r="L254" s="6">
        <f t="shared" si="40"/>
        <v>1.1374431605290789E-2</v>
      </c>
      <c r="M254" s="6">
        <f t="shared" si="40"/>
        <v>1.3010852287492039E-2</v>
      </c>
      <c r="N254" s="6">
        <f t="shared" si="40"/>
        <v>0</v>
      </c>
      <c r="O254" s="6">
        <f t="shared" si="33"/>
        <v>-6.3434696187352618E-2</v>
      </c>
      <c r="P254" s="6"/>
      <c r="Q254" s="6">
        <f t="shared" si="34"/>
        <v>1.0910511863187641E-2</v>
      </c>
      <c r="R254" s="6">
        <f t="shared" si="35"/>
        <v>1.3010852287492039E-2</v>
      </c>
      <c r="S254" s="6">
        <f t="shared" si="36"/>
        <v>1.1021779162937239E-2</v>
      </c>
      <c r="T254" s="6">
        <f t="shared" si="37"/>
        <v>0</v>
      </c>
      <c r="U254" s="6">
        <f t="shared" si="38"/>
        <v>9.7736040731655587E-3</v>
      </c>
      <c r="V254" s="6">
        <f t="shared" si="39"/>
        <v>1.6837480252252235E-2</v>
      </c>
      <c r="W254" s="6"/>
      <c r="AE254" s="38"/>
    </row>
    <row r="255" spans="1:31" x14ac:dyDescent="0.2">
      <c r="AE255" s="38"/>
    </row>
    <row r="256" spans="1:31" x14ac:dyDescent="0.2">
      <c r="AE256" s="38"/>
    </row>
    <row r="257" spans="31:31" x14ac:dyDescent="0.2">
      <c r="AE257" s="38"/>
    </row>
    <row r="258" spans="31:31" x14ac:dyDescent="0.2">
      <c r="AE258" s="38"/>
    </row>
    <row r="259" spans="31:31" x14ac:dyDescent="0.2">
      <c r="AE259" s="38"/>
    </row>
    <row r="260" spans="31:31" x14ac:dyDescent="0.2">
      <c r="AE260" s="38"/>
    </row>
    <row r="261" spans="31:31" x14ac:dyDescent="0.2">
      <c r="AE261" s="38"/>
    </row>
    <row r="262" spans="31:31" x14ac:dyDescent="0.2">
      <c r="AE262" s="38"/>
    </row>
    <row r="263" spans="31:31" x14ac:dyDescent="0.2">
      <c r="AE263" s="38"/>
    </row>
    <row r="264" spans="31:31" x14ac:dyDescent="0.2">
      <c r="AE264" s="38"/>
    </row>
  </sheetData>
  <mergeCells count="9">
    <mergeCell ref="X49:Y49"/>
    <mergeCell ref="X39:Y39"/>
    <mergeCell ref="X32:Y32"/>
    <mergeCell ref="X27:Y27"/>
    <mergeCell ref="J1:O1"/>
    <mergeCell ref="Q1:Q2"/>
    <mergeCell ref="R1:R2"/>
    <mergeCell ref="S1:T1"/>
    <mergeCell ref="U1:V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E520-C092-434F-BA76-1B4B99BB505A}">
  <dimension ref="A1:AG264"/>
  <sheetViews>
    <sheetView showGridLines="0" topLeftCell="M34" zoomScale="130" zoomScaleNormal="130" workbookViewId="0">
      <selection activeCell="Y50" sqref="Y50:Z50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6" max="16" width="2.5" style="3" customWidth="1"/>
    <col min="22" max="22" width="14.33203125" bestFit="1" customWidth="1"/>
    <col min="23" max="23" width="14.33203125" customWidth="1"/>
    <col min="24" max="24" width="2.5" style="3" customWidth="1"/>
    <col min="25" max="25" width="23.33203125" style="3" customWidth="1"/>
    <col min="26" max="26" width="12.83203125" style="3" bestFit="1" customWidth="1"/>
    <col min="27" max="27" width="11.33203125" style="3"/>
    <col min="28" max="28" width="11.6640625" style="3" bestFit="1" customWidth="1"/>
    <col min="29" max="29" width="13.6640625" style="3" bestFit="1" customWidth="1"/>
    <col min="30" max="30" width="11.33203125" style="3"/>
    <col min="31" max="31" width="13.6640625" style="3" bestFit="1" customWidth="1"/>
    <col min="32" max="32" width="16.5" bestFit="1" customWidth="1"/>
    <col min="33" max="33" width="8" style="20" bestFit="1" customWidth="1"/>
    <col min="34" max="16384" width="11.33203125" style="3"/>
  </cols>
  <sheetData>
    <row r="1" spans="1:33" ht="17" customHeight="1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90" t="s">
        <v>72</v>
      </c>
      <c r="K1" s="90"/>
      <c r="L1" s="90"/>
      <c r="M1" s="90"/>
      <c r="N1" s="90"/>
      <c r="O1" s="90"/>
      <c r="P1" s="6"/>
      <c r="Q1" s="91" t="s">
        <v>60</v>
      </c>
      <c r="R1" s="91" t="s">
        <v>70</v>
      </c>
      <c r="S1" s="93" t="s">
        <v>71</v>
      </c>
      <c r="T1" s="93"/>
      <c r="U1" s="93" t="s">
        <v>74</v>
      </c>
      <c r="V1" s="93"/>
      <c r="W1" s="91" t="s">
        <v>80</v>
      </c>
      <c r="X1" s="56"/>
      <c r="Y1" s="3" t="s">
        <v>35</v>
      </c>
      <c r="AA1" s="3" t="s">
        <v>43</v>
      </c>
      <c r="AF1" s="38"/>
      <c r="AG1" s="38"/>
    </row>
    <row r="2" spans="1:33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57" t="s">
        <v>1</v>
      </c>
      <c r="K2" s="57" t="s">
        <v>2</v>
      </c>
      <c r="L2" s="57" t="s">
        <v>3</v>
      </c>
      <c r="M2" s="57" t="s">
        <v>4</v>
      </c>
      <c r="N2" s="58" t="s">
        <v>15</v>
      </c>
      <c r="O2" s="48" t="s">
        <v>34</v>
      </c>
      <c r="P2" s="6"/>
      <c r="Q2" s="92"/>
      <c r="R2" s="92"/>
      <c r="S2" s="64" t="s">
        <v>5</v>
      </c>
      <c r="T2" s="64" t="s">
        <v>52</v>
      </c>
      <c r="U2" s="64" t="s">
        <v>5</v>
      </c>
      <c r="V2" s="64" t="s">
        <v>75</v>
      </c>
      <c r="W2" s="92"/>
      <c r="X2" s="56"/>
      <c r="Y2" s="3" t="s">
        <v>36</v>
      </c>
      <c r="AA2" s="3" t="s">
        <v>51</v>
      </c>
      <c r="AF2" s="38"/>
    </row>
    <row r="3" spans="1:33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>+LN(H3/H2)</f>
        <v>-1.8162558630952245E-3</v>
      </c>
      <c r="P3" s="6"/>
      <c r="Q3" s="6">
        <f t="shared" ref="Q3:Q34" si="0">+SUMPRODUCT($Z$16:$AC$16,J3:M3)</f>
        <v>-9.8350837056143635E-3</v>
      </c>
      <c r="R3" s="6">
        <f t="shared" ref="R3:R34" si="1">+SUMPRODUCT($Z$17:$AC$17,J3:M3)</f>
        <v>-6.4035322871765967E-3</v>
      </c>
      <c r="S3" s="6">
        <f t="shared" ref="S3:S34" si="2">+SUMPRODUCT($Z$18:$AC$18,J3:M3)</f>
        <v>-9.3907464529960002E-3</v>
      </c>
      <c r="T3" s="6">
        <f>+MIN(S3-AVERAGE($S$3:$S$254),0)^2</f>
        <v>1.1657349485168579E-4</v>
      </c>
      <c r="U3" s="6">
        <f t="shared" ref="U3:U34" si="3">+SUMPRODUCT($Z$19:$AC$19,J3:M3)</f>
        <v>-1.1203319916581501E-2</v>
      </c>
      <c r="V3" s="6">
        <f t="shared" ref="V3:V66" si="4">+(U3-O3)-($Z$53*(N3-O3))</f>
        <v>-4.1205135554795947E-3</v>
      </c>
      <c r="W3" s="6">
        <f>+SUMPRODUCT($Z$20:$AC$20,J3:M3)</f>
        <v>-7.0266370492933468E-3</v>
      </c>
      <c r="X3" s="6"/>
      <c r="AF3" s="38"/>
    </row>
    <row r="4" spans="1:33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ref="H4:H67" si="5">+(1+G4)^(1/250)-1</f>
        <v>2.0849354880780879E-4</v>
      </c>
      <c r="J4" s="6">
        <f t="shared" ref="J4:N35" si="6">LN(B4/B3)</f>
        <v>2.8121205565770678E-3</v>
      </c>
      <c r="K4" s="6">
        <f t="shared" si="6"/>
        <v>5.5939921723177225E-3</v>
      </c>
      <c r="L4" s="6">
        <f t="shared" si="6"/>
        <v>2.2848847647558819E-3</v>
      </c>
      <c r="M4" s="6">
        <f t="shared" si="6"/>
        <v>2.8511962146941443E-3</v>
      </c>
      <c r="N4" s="6">
        <f t="shared" si="6"/>
        <v>-1.4874022775515319E-4</v>
      </c>
      <c r="O4" s="6">
        <f t="shared" ref="O4:O67" si="7">+LN(H4/H3)</f>
        <v>-1.8197328262530177E-3</v>
      </c>
      <c r="P4" s="6"/>
      <c r="Q4" s="6">
        <f t="shared" si="0"/>
        <v>2.5809540020426194E-3</v>
      </c>
      <c r="R4" s="6">
        <f t="shared" si="1"/>
        <v>2.8511962146941443E-3</v>
      </c>
      <c r="S4" s="6">
        <f t="shared" si="2"/>
        <v>2.6617128520546257E-3</v>
      </c>
      <c r="T4" s="6">
        <f t="shared" ref="T4:T67" si="8">+MIN(S4-AVERAGE($S$3:$S$254),0)^2</f>
        <v>0</v>
      </c>
      <c r="U4" s="6">
        <f t="shared" si="3"/>
        <v>2.5622845321369575E-3</v>
      </c>
      <c r="V4" s="6">
        <f t="shared" si="4"/>
        <v>2.8971009220147659E-3</v>
      </c>
      <c r="W4" s="6">
        <f t="shared" ref="W4:W67" si="9">+SUMPRODUCT($Z$20:$AC$20,J4:M4)</f>
        <v>2.8704168384287377E-3</v>
      </c>
      <c r="X4" s="6"/>
      <c r="Y4" s="7" t="s">
        <v>6</v>
      </c>
      <c r="Z4" s="50" t="s">
        <v>1</v>
      </c>
      <c r="AA4" s="50" t="s">
        <v>2</v>
      </c>
      <c r="AB4" s="50" t="s">
        <v>3</v>
      </c>
      <c r="AC4" s="50" t="s">
        <v>4</v>
      </c>
      <c r="AD4" s="50" t="s">
        <v>15</v>
      </c>
      <c r="AF4" s="38"/>
    </row>
    <row r="5" spans="1:33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5"/>
        <v>2.0925300885044074E-4</v>
      </c>
      <c r="J5" s="6">
        <f t="shared" si="6"/>
        <v>7.7070400094383651E-3</v>
      </c>
      <c r="K5" s="6">
        <f t="shared" si="6"/>
        <v>-8.568180711971048E-3</v>
      </c>
      <c r="L5" s="6">
        <f t="shared" si="6"/>
        <v>3.4177360836862881E-3</v>
      </c>
      <c r="M5" s="6">
        <f t="shared" si="6"/>
        <v>3.5523360724823969E-3</v>
      </c>
      <c r="N5" s="6">
        <f t="shared" si="6"/>
        <v>6.8556214812669266E-3</v>
      </c>
      <c r="O5" s="6">
        <f t="shared" si="7"/>
        <v>3.635988689348241E-3</v>
      </c>
      <c r="P5" s="6"/>
      <c r="Q5" s="6">
        <f t="shared" si="0"/>
        <v>4.273332930691558E-3</v>
      </c>
      <c r="R5" s="6">
        <f t="shared" si="1"/>
        <v>3.5523360724823969E-3</v>
      </c>
      <c r="S5" s="6">
        <f t="shared" si="2"/>
        <v>4.3258538423877058E-3</v>
      </c>
      <c r="T5" s="6">
        <f t="shared" si="8"/>
        <v>0</v>
      </c>
      <c r="U5" s="6">
        <f t="shared" si="3"/>
        <v>4.9133864189671887E-3</v>
      </c>
      <c r="V5" s="6">
        <f t="shared" si="4"/>
        <v>-1.5837074937736801E-3</v>
      </c>
      <c r="W5" s="6">
        <f t="shared" si="9"/>
        <v>2.8120725289194673E-3</v>
      </c>
      <c r="X5" s="6"/>
      <c r="Y5" s="55" t="s">
        <v>21</v>
      </c>
      <c r="Z5" s="8">
        <f>AVERAGE(J3:J254)</f>
        <v>1.0005667965467292E-3</v>
      </c>
      <c r="AA5" s="8">
        <f>AVERAGE(K3:K254)</f>
        <v>6.5844828632144513E-4</v>
      </c>
      <c r="AB5" s="8">
        <f>AVERAGE(L3:L254)</f>
        <v>1.5030786305094985E-3</v>
      </c>
      <c r="AC5" s="8">
        <f>AVERAGE(M3:M254)</f>
        <v>1.5168662454873357E-3</v>
      </c>
      <c r="AD5" s="8">
        <f>AVERAGE(N3:N254)</f>
        <v>9.1264845799794573E-4</v>
      </c>
    </row>
    <row r="6" spans="1:33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5"/>
        <v>2.1001232533235381E-4</v>
      </c>
      <c r="J6" s="6">
        <f t="shared" si="6"/>
        <v>7.8738144273404372E-3</v>
      </c>
      <c r="K6" s="6">
        <f t="shared" si="6"/>
        <v>-6.141625470814838E-3</v>
      </c>
      <c r="L6" s="6">
        <f t="shared" si="6"/>
        <v>-2.0956622133486116E-2</v>
      </c>
      <c r="M6" s="6">
        <f t="shared" si="6"/>
        <v>1.1283650762276005E-2</v>
      </c>
      <c r="N6" s="6">
        <f t="shared" si="6"/>
        <v>-2.7812820922299762E-3</v>
      </c>
      <c r="O6" s="6">
        <f t="shared" si="7"/>
        <v>3.6221325742041705E-3</v>
      </c>
      <c r="P6" s="6"/>
      <c r="Q6" s="6">
        <f t="shared" si="0"/>
        <v>-4.3248246938818449E-3</v>
      </c>
      <c r="R6" s="6">
        <f t="shared" si="1"/>
        <v>1.1283650762276005E-2</v>
      </c>
      <c r="S6" s="6">
        <f t="shared" si="2"/>
        <v>-7.4151477011548048E-5</v>
      </c>
      <c r="T6" s="6">
        <f t="shared" si="8"/>
        <v>2.1913640091909425E-6</v>
      </c>
      <c r="U6" s="6">
        <f t="shared" si="3"/>
        <v>-5.5711322840223069E-3</v>
      </c>
      <c r="V6" s="6">
        <f t="shared" si="4"/>
        <v>-3.502913090264236E-3</v>
      </c>
      <c r="W6" s="6">
        <f t="shared" si="9"/>
        <v>1.6643796677515447E-3</v>
      </c>
      <c r="X6" s="6"/>
      <c r="Y6" s="55" t="s">
        <v>39</v>
      </c>
      <c r="Z6" s="8">
        <f>STDEV(J3:J254)</f>
        <v>1.4317007168692672E-2</v>
      </c>
      <c r="AA6" s="8">
        <f>STDEV(K3:K254)</f>
        <v>8.4145554622722402E-3</v>
      </c>
      <c r="AB6" s="8">
        <f>STDEV(L3:L254)</f>
        <v>1.1640822805611175E-2</v>
      </c>
      <c r="AC6" s="8">
        <f>STDEV(M3:M254)</f>
        <v>1.3397541042164431E-2</v>
      </c>
      <c r="AD6" s="8">
        <f>STDEV(N3:N254)</f>
        <v>7.8758266281572179E-3</v>
      </c>
      <c r="AF6" s="38"/>
    </row>
    <row r="7" spans="1:33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5"/>
        <v>2.0849354880780879E-4</v>
      </c>
      <c r="J7" s="6">
        <f t="shared" si="6"/>
        <v>2.1711540417555734E-2</v>
      </c>
      <c r="K7" s="6">
        <f t="shared" si="6"/>
        <v>3.4904214645253497E-3</v>
      </c>
      <c r="L7" s="6">
        <f t="shared" si="6"/>
        <v>6.740365503857486E-3</v>
      </c>
      <c r="M7" s="6">
        <f t="shared" si="6"/>
        <v>-7.0373473579131004E-3</v>
      </c>
      <c r="N7" s="6">
        <f t="shared" si="6"/>
        <v>1.0984339030271489E-2</v>
      </c>
      <c r="O7" s="6">
        <f t="shared" si="7"/>
        <v>-7.2581212635524379E-3</v>
      </c>
      <c r="P7" s="6"/>
      <c r="Q7" s="6">
        <f t="shared" si="0"/>
        <v>4.7794071065958878E-3</v>
      </c>
      <c r="R7" s="6">
        <f t="shared" si="1"/>
        <v>-7.0373473579131004E-3</v>
      </c>
      <c r="S7" s="6">
        <f t="shared" si="2"/>
        <v>3.3466173131593852E-3</v>
      </c>
      <c r="T7" s="6">
        <f t="shared" si="8"/>
        <v>0</v>
      </c>
      <c r="U7" s="6">
        <f t="shared" si="3"/>
        <v>9.5361442204330033E-3</v>
      </c>
      <c r="V7" s="6">
        <f t="shared" si="4"/>
        <v>5.8322472020680069E-4</v>
      </c>
      <c r="W7" s="6">
        <f t="shared" si="9"/>
        <v>-2.4572326511361551E-3</v>
      </c>
      <c r="X7" s="6"/>
      <c r="AF7" s="38"/>
    </row>
    <row r="8" spans="1:33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5"/>
        <v>2.1001232533235381E-4</v>
      </c>
      <c r="J8" s="6">
        <f t="shared" si="6"/>
        <v>-2.6519108676923038E-2</v>
      </c>
      <c r="K8" s="6">
        <f t="shared" si="6"/>
        <v>-2.6582344086022547E-3</v>
      </c>
      <c r="L8" s="6">
        <f t="shared" si="6"/>
        <v>-9.5044774711671462E-4</v>
      </c>
      <c r="M8" s="6">
        <f t="shared" si="6"/>
        <v>-7.0654176800563693E-4</v>
      </c>
      <c r="N8" s="6">
        <f t="shared" si="6"/>
        <v>-1.3549420207499292E-2</v>
      </c>
      <c r="O8" s="6">
        <f t="shared" si="7"/>
        <v>7.2581212635524119E-3</v>
      </c>
      <c r="P8" s="6"/>
      <c r="Q8" s="6">
        <f t="shared" si="0"/>
        <v>-5.6873822385500863E-3</v>
      </c>
      <c r="R8" s="6">
        <f t="shared" si="1"/>
        <v>-7.0654176800563693E-4</v>
      </c>
      <c r="S8" s="6">
        <f t="shared" si="2"/>
        <v>-6.0157006774258564E-3</v>
      </c>
      <c r="T8" s="6">
        <f t="shared" si="8"/>
        <v>5.5084226190642242E-5</v>
      </c>
      <c r="U8" s="6">
        <f t="shared" si="3"/>
        <v>-9.688014359098638E-3</v>
      </c>
      <c r="V8" s="6">
        <f t="shared" si="4"/>
        <v>1.5443474343646915E-3</v>
      </c>
      <c r="W8" s="6">
        <f t="shared" si="9"/>
        <v>-1.1555127063039951E-3</v>
      </c>
      <c r="X8" s="6"/>
      <c r="Y8" s="7" t="s">
        <v>7</v>
      </c>
      <c r="Z8" s="50" t="s">
        <v>1</v>
      </c>
      <c r="AA8" s="50" t="s">
        <v>2</v>
      </c>
      <c r="AB8" s="50" t="s">
        <v>3</v>
      </c>
      <c r="AC8" s="50" t="s">
        <v>4</v>
      </c>
      <c r="AD8" s="50" t="s">
        <v>15</v>
      </c>
      <c r="AF8" s="38"/>
    </row>
    <row r="9" spans="1:33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5"/>
        <v>2.1190998881470691E-4</v>
      </c>
      <c r="J9" s="6">
        <f t="shared" si="6"/>
        <v>1.2564052740774025E-2</v>
      </c>
      <c r="K9" s="6">
        <f t="shared" si="6"/>
        <v>4.6472362667604817E-3</v>
      </c>
      <c r="L9" s="6">
        <f t="shared" si="6"/>
        <v>-1.2233201758554283E-3</v>
      </c>
      <c r="M9" s="6">
        <f t="shared" si="6"/>
        <v>-2.830866787178094E-3</v>
      </c>
      <c r="N9" s="6">
        <f t="shared" si="6"/>
        <v>6.6955233154781116E-3</v>
      </c>
      <c r="O9" s="6">
        <f t="shared" si="7"/>
        <v>8.9953823952637728E-3</v>
      </c>
      <c r="P9" s="6"/>
      <c r="Q9" s="6">
        <f t="shared" si="0"/>
        <v>8.1844057171207496E-4</v>
      </c>
      <c r="R9" s="6">
        <f t="shared" si="1"/>
        <v>-2.830866787178094E-3</v>
      </c>
      <c r="S9" s="6">
        <f t="shared" si="2"/>
        <v>8.298663468141313E-4</v>
      </c>
      <c r="T9" s="6">
        <f t="shared" si="8"/>
        <v>3.3213070238990843E-7</v>
      </c>
      <c r="U9" s="6">
        <f t="shared" si="3"/>
        <v>3.2370502904854005E-3</v>
      </c>
      <c r="V9" s="6">
        <f t="shared" si="4"/>
        <v>-3.7145776608685141E-3</v>
      </c>
      <c r="W9" s="6">
        <f t="shared" si="9"/>
        <v>-1.7878854194258093E-3</v>
      </c>
      <c r="X9" s="6"/>
      <c r="Y9" s="55" t="s">
        <v>21</v>
      </c>
      <c r="Z9" s="8">
        <f>((1+Z5)^250)-1</f>
        <v>0.28404678408841222</v>
      </c>
      <c r="AA9" s="8">
        <f>((1+AA5)^250)-1</f>
        <v>0.17887182553898695</v>
      </c>
      <c r="AB9" s="8">
        <f>((1+AB5)^250)-1</f>
        <v>0.45570094625533186</v>
      </c>
      <c r="AC9" s="8">
        <f>((1+AC5)^250)-1</f>
        <v>0.46071967373147737</v>
      </c>
      <c r="AD9" s="8">
        <f>((1+AD5)^250)-1</f>
        <v>0.25615825825352467</v>
      </c>
      <c r="AF9" s="54"/>
    </row>
    <row r="10" spans="1:33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5"/>
        <v>2.1190998881470691E-4</v>
      </c>
      <c r="J10" s="6">
        <f t="shared" si="6"/>
        <v>8.8072127836774459E-3</v>
      </c>
      <c r="K10" s="6">
        <f t="shared" si="6"/>
        <v>2.811071519673288E-3</v>
      </c>
      <c r="L10" s="6">
        <f t="shared" si="6"/>
        <v>3.4622835952314748E-3</v>
      </c>
      <c r="M10" s="6">
        <f t="shared" si="6"/>
        <v>7.0621975605345338E-3</v>
      </c>
      <c r="N10" s="6">
        <f t="shared" si="6"/>
        <v>6.2450565111568821E-3</v>
      </c>
      <c r="O10" s="6">
        <f t="shared" si="7"/>
        <v>0</v>
      </c>
      <c r="P10" s="6"/>
      <c r="Q10" s="6">
        <f t="shared" si="0"/>
        <v>5.7202376124573387E-3</v>
      </c>
      <c r="R10" s="6">
        <f t="shared" si="1"/>
        <v>7.0621975605345338E-3</v>
      </c>
      <c r="S10" s="6">
        <f t="shared" si="2"/>
        <v>6.2199032924928708E-3</v>
      </c>
      <c r="T10" s="6">
        <f t="shared" si="8"/>
        <v>0</v>
      </c>
      <c r="U10" s="6">
        <f t="shared" si="3"/>
        <v>5.9100944307894678E-3</v>
      </c>
      <c r="V10" s="6">
        <f t="shared" si="4"/>
        <v>3.6046658214120529E-4</v>
      </c>
      <c r="W10" s="6">
        <f t="shared" si="9"/>
        <v>5.8677451795443019E-3</v>
      </c>
      <c r="X10" s="6"/>
      <c r="Y10" s="55" t="s">
        <v>39</v>
      </c>
      <c r="Z10" s="8">
        <f>Z6*SQRT(250)</f>
        <v>0.22637175965013689</v>
      </c>
      <c r="AA10" s="8">
        <f>AA6*SQRT(250)</f>
        <v>0.13304580379295658</v>
      </c>
      <c r="AB10" s="8">
        <f>AB6*SQRT(250)</f>
        <v>0.18405756952081409</v>
      </c>
      <c r="AC10" s="8">
        <f>AC6*SQRT(250)</f>
        <v>0.21183372369412781</v>
      </c>
      <c r="AD10" s="8">
        <f>AD6*SQRT(250)</f>
        <v>0.12452775300790411</v>
      </c>
      <c r="AF10" s="38"/>
    </row>
    <row r="11" spans="1:33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5"/>
        <v>2.0925300885044074E-4</v>
      </c>
      <c r="J11" s="6">
        <f t="shared" si="6"/>
        <v>2.1575762719950167E-2</v>
      </c>
      <c r="K11" s="6">
        <f t="shared" si="6"/>
        <v>-9.9121473034572902E-4</v>
      </c>
      <c r="L11" s="6">
        <f t="shared" si="6"/>
        <v>8.0993210507113115E-3</v>
      </c>
      <c r="M11" s="6">
        <f t="shared" si="6"/>
        <v>3.8652123786868747E-2</v>
      </c>
      <c r="N11" s="6">
        <f t="shared" si="6"/>
        <v>1.4404107984150809E-2</v>
      </c>
      <c r="O11" s="6">
        <f t="shared" si="7"/>
        <v>-1.2617514969468103E-2</v>
      </c>
      <c r="P11" s="6"/>
      <c r="Q11" s="6">
        <f t="shared" si="0"/>
        <v>2.1249772828098801E-2</v>
      </c>
      <c r="R11" s="6">
        <f t="shared" si="1"/>
        <v>3.8652123786868747E-2</v>
      </c>
      <c r="S11" s="6">
        <f t="shared" si="2"/>
        <v>2.5042236563552426E-2</v>
      </c>
      <c r="T11" s="6">
        <f t="shared" si="8"/>
        <v>0</v>
      </c>
      <c r="U11" s="6">
        <f t="shared" si="3"/>
        <v>1.7925808008002315E-2</v>
      </c>
      <c r="V11" s="6">
        <f t="shared" si="4"/>
        <v>6.5307378245304804E-3</v>
      </c>
      <c r="W11" s="6">
        <f t="shared" si="9"/>
        <v>2.7968540984737486E-2</v>
      </c>
      <c r="X11" s="6"/>
      <c r="AF11" s="38"/>
    </row>
    <row r="12" spans="1:33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5"/>
        <v>2.1001232533235381E-4</v>
      </c>
      <c r="J12" s="6">
        <f t="shared" si="6"/>
        <v>1.899078242547661E-2</v>
      </c>
      <c r="K12" s="6">
        <f t="shared" si="6"/>
        <v>-4.9597604879833524E-4</v>
      </c>
      <c r="L12" s="6">
        <f t="shared" si="6"/>
        <v>-4.0415125667635282E-3</v>
      </c>
      <c r="M12" s="6">
        <f t="shared" si="6"/>
        <v>-2.7118017809940271E-3</v>
      </c>
      <c r="N12" s="6">
        <f t="shared" si="6"/>
        <v>3.8258021699069606E-3</v>
      </c>
      <c r="O12" s="6">
        <f t="shared" si="7"/>
        <v>3.6221325742041705E-3</v>
      </c>
      <c r="P12" s="6"/>
      <c r="Q12" s="6">
        <f t="shared" si="0"/>
        <v>7.6354593416647749E-4</v>
      </c>
      <c r="R12" s="6">
        <f t="shared" si="1"/>
        <v>-2.7118017809940271E-3</v>
      </c>
      <c r="S12" s="6">
        <f t="shared" si="2"/>
        <v>1.2468609920760624E-3</v>
      </c>
      <c r="T12" s="6">
        <f t="shared" si="8"/>
        <v>2.5380687367788085E-8</v>
      </c>
      <c r="U12" s="6">
        <f t="shared" si="3"/>
        <v>4.092975164792647E-3</v>
      </c>
      <c r="V12" s="6">
        <f t="shared" si="4"/>
        <v>2.8985296171708732E-4</v>
      </c>
      <c r="W12" s="6">
        <f t="shared" si="9"/>
        <v>-2.7039897626711324E-3</v>
      </c>
      <c r="X12" s="6"/>
      <c r="Y12" s="3" t="s">
        <v>38</v>
      </c>
      <c r="Z12" s="9">
        <f>+AVERAGE($G$2:$G$254)</f>
        <v>5.1073122529644292E-2</v>
      </c>
      <c r="AA12" s="9"/>
      <c r="AB12" s="9"/>
      <c r="AC12" s="9"/>
      <c r="AD12" s="9"/>
      <c r="AF12" s="38"/>
    </row>
    <row r="13" spans="1:33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5"/>
        <v>2.0925300885044074E-4</v>
      </c>
      <c r="J13" s="6">
        <f t="shared" si="6"/>
        <v>1.1717517176788328E-3</v>
      </c>
      <c r="K13" s="6">
        <f t="shared" si="6"/>
        <v>-1.0640119950070189E-2</v>
      </c>
      <c r="L13" s="6">
        <f t="shared" si="6"/>
        <v>-1.2428386047596607E-2</v>
      </c>
      <c r="M13" s="6">
        <f t="shared" si="6"/>
        <v>4.0649860690958528E-3</v>
      </c>
      <c r="N13" s="6">
        <f t="shared" si="6"/>
        <v>-1.5982216816604765E-3</v>
      </c>
      <c r="O13" s="6">
        <f t="shared" si="7"/>
        <v>-3.6221325742042767E-3</v>
      </c>
      <c r="P13" s="6"/>
      <c r="Q13" s="6">
        <f t="shared" si="0"/>
        <v>-4.1365897546672597E-3</v>
      </c>
      <c r="R13" s="6">
        <f t="shared" si="1"/>
        <v>4.0649860690958528E-3</v>
      </c>
      <c r="S13" s="6">
        <f t="shared" si="2"/>
        <v>-1.9889772954951764E-3</v>
      </c>
      <c r="T13" s="6">
        <f t="shared" si="8"/>
        <v>1.1527053446110708E-5</v>
      </c>
      <c r="U13" s="6">
        <f t="shared" si="3"/>
        <v>-4.9519861177823423E-3</v>
      </c>
      <c r="V13" s="6">
        <f t="shared" si="4"/>
        <v>-3.1283884699438392E-3</v>
      </c>
      <c r="W13" s="6">
        <f t="shared" si="9"/>
        <v>-1.2247885366451971E-3</v>
      </c>
      <c r="X13" s="6"/>
      <c r="Y13" s="3" t="s">
        <v>40</v>
      </c>
      <c r="Z13" s="22">
        <f>+(Z9-$Z$12)/Z10</f>
        <v>1.0291639819332341</v>
      </c>
      <c r="AA13" s="22">
        <f t="shared" ref="AA13:AD13" si="10">+(AA9-$Z$12)/AA10</f>
        <v>0.96056169654339962</v>
      </c>
      <c r="AB13" s="22">
        <f t="shared" si="10"/>
        <v>2.1983764361287537</v>
      </c>
      <c r="AC13" s="22">
        <f t="shared" si="10"/>
        <v>1.9338117843471057</v>
      </c>
      <c r="AD13" s="22">
        <f t="shared" si="10"/>
        <v>1.6469030458685228</v>
      </c>
      <c r="AF13" s="38"/>
    </row>
    <row r="14" spans="1:33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5"/>
        <v>2.0887329677776734E-4</v>
      </c>
      <c r="J14" s="6">
        <f t="shared" si="6"/>
        <v>8.4277857631225358E-3</v>
      </c>
      <c r="K14" s="6">
        <f t="shared" si="6"/>
        <v>-8.7293459886518768E-3</v>
      </c>
      <c r="L14" s="6">
        <f t="shared" si="6"/>
        <v>3.3430239573994255E-3</v>
      </c>
      <c r="M14" s="6">
        <f t="shared" si="6"/>
        <v>-9.5109702559868468E-3</v>
      </c>
      <c r="N14" s="6">
        <f t="shared" si="6"/>
        <v>1.7975431036151848E-3</v>
      </c>
      <c r="O14" s="6">
        <f t="shared" si="7"/>
        <v>-1.8162558630952245E-3</v>
      </c>
      <c r="P14" s="6"/>
      <c r="Q14" s="6">
        <f t="shared" si="0"/>
        <v>-1.6152064572379004E-4</v>
      </c>
      <c r="R14" s="6">
        <f t="shared" si="1"/>
        <v>-9.5109702559868468E-3</v>
      </c>
      <c r="S14" s="6">
        <f t="shared" si="2"/>
        <v>-1.6384437558458857E-3</v>
      </c>
      <c r="T14" s="6">
        <f t="shared" si="8"/>
        <v>9.2696982896824879E-6</v>
      </c>
      <c r="U14" s="6">
        <f t="shared" si="3"/>
        <v>2.9014677982487497E-3</v>
      </c>
      <c r="V14" s="6">
        <f t="shared" si="4"/>
        <v>1.506345293631299E-3</v>
      </c>
      <c r="W14" s="6">
        <f t="shared" si="9"/>
        <v>-5.8862303238761933E-3</v>
      </c>
      <c r="X14" s="6"/>
      <c r="AF14" s="38"/>
    </row>
    <row r="15" spans="1:33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5"/>
        <v>2.0887329677776734E-4</v>
      </c>
      <c r="J15" s="6">
        <f t="shared" si="6"/>
        <v>1.2659131987154749E-3</v>
      </c>
      <c r="K15" s="6">
        <f t="shared" si="6"/>
        <v>-8.2960032000802229E-3</v>
      </c>
      <c r="L15" s="6">
        <f t="shared" si="6"/>
        <v>-1.1095405596341172E-2</v>
      </c>
      <c r="M15" s="6">
        <f t="shared" si="6"/>
        <v>-1.1671910678181512E-2</v>
      </c>
      <c r="N15" s="6">
        <f t="shared" si="6"/>
        <v>-4.203010869610265E-3</v>
      </c>
      <c r="O15" s="6">
        <f t="shared" si="7"/>
        <v>0</v>
      </c>
      <c r="P15" s="6"/>
      <c r="Q15" s="6">
        <f t="shared" si="0"/>
        <v>-8.9645462520043483E-3</v>
      </c>
      <c r="R15" s="6">
        <f t="shared" si="1"/>
        <v>-1.1671910678181512E-2</v>
      </c>
      <c r="S15" s="6">
        <f t="shared" si="2"/>
        <v>-8.8564430587738975E-3</v>
      </c>
      <c r="T15" s="6">
        <f t="shared" si="8"/>
        <v>1.0532131230107084E-4</v>
      </c>
      <c r="U15" s="6">
        <f t="shared" si="3"/>
        <v>-6.9492177982723152E-3</v>
      </c>
      <c r="V15" s="6">
        <f t="shared" si="4"/>
        <v>-3.2142401998326896E-3</v>
      </c>
      <c r="W15" s="6">
        <f t="shared" si="9"/>
        <v>-1.117914854705112E-2</v>
      </c>
      <c r="X15" s="6"/>
      <c r="Y15" s="10" t="s">
        <v>8</v>
      </c>
      <c r="Z15" s="50" t="s">
        <v>1</v>
      </c>
      <c r="AA15" s="50" t="s">
        <v>2</v>
      </c>
      <c r="AB15" s="50" t="s">
        <v>3</v>
      </c>
      <c r="AC15" s="50" t="s">
        <v>4</v>
      </c>
      <c r="AF15" s="38"/>
    </row>
    <row r="16" spans="1:33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5"/>
        <v>2.1115103099722532E-4</v>
      </c>
      <c r="J16" s="6">
        <f t="shared" si="6"/>
        <v>-3.6449647610985361E-2</v>
      </c>
      <c r="K16" s="6">
        <f t="shared" si="6"/>
        <v>-6.802636816685408E-4</v>
      </c>
      <c r="L16" s="6">
        <f t="shared" si="6"/>
        <v>-1.65396632304482E-3</v>
      </c>
      <c r="M16" s="6">
        <f t="shared" si="6"/>
        <v>8.9378657253624903E-3</v>
      </c>
      <c r="N16" s="6">
        <f t="shared" si="6"/>
        <v>-6.9959927442528732E-3</v>
      </c>
      <c r="O16" s="6">
        <f t="shared" si="7"/>
        <v>1.0845831522955813E-2</v>
      </c>
      <c r="P16" s="6"/>
      <c r="Q16" s="6">
        <f t="shared" si="0"/>
        <v>-4.5376899249915444E-3</v>
      </c>
      <c r="R16" s="6">
        <f t="shared" si="1"/>
        <v>8.9378657253624903E-3</v>
      </c>
      <c r="S16" s="6">
        <f t="shared" si="2"/>
        <v>-3.7615067524092317E-3</v>
      </c>
      <c r="T16" s="6">
        <f t="shared" si="8"/>
        <v>2.6704926073909263E-5</v>
      </c>
      <c r="U16" s="6">
        <f t="shared" si="3"/>
        <v>-1.1798702381171587E-2</v>
      </c>
      <c r="V16" s="6">
        <f t="shared" si="4"/>
        <v>-6.7895156753736419E-3</v>
      </c>
      <c r="W16" s="6">
        <f t="shared" si="9"/>
        <v>5.0844261786141326E-3</v>
      </c>
      <c r="X16" s="6"/>
      <c r="Y16" s="16" t="s">
        <v>45</v>
      </c>
      <c r="Z16" s="51">
        <v>0.1885757003250691</v>
      </c>
      <c r="AA16" s="51">
        <v>0</v>
      </c>
      <c r="AB16" s="51">
        <v>0.46418537552982903</v>
      </c>
      <c r="AC16" s="51">
        <v>0.34723892414510182</v>
      </c>
      <c r="AD16" s="49">
        <f>SUM(Z16:AC16)</f>
        <v>0.99999999999999989</v>
      </c>
      <c r="AF16" s="38"/>
    </row>
    <row r="17" spans="1:32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5"/>
        <v>2.1190998881470691E-4</v>
      </c>
      <c r="J17" s="6">
        <f t="shared" si="6"/>
        <v>-2.9685687263803755E-2</v>
      </c>
      <c r="K17" s="6">
        <f t="shared" si="6"/>
        <v>-7.685086250950387E-3</v>
      </c>
      <c r="L17" s="6">
        <f t="shared" si="6"/>
        <v>-8.5911179492632866E-3</v>
      </c>
      <c r="M17" s="6">
        <f t="shared" si="6"/>
        <v>0</v>
      </c>
      <c r="N17" s="6">
        <f t="shared" si="6"/>
        <v>-3.2164682050081963E-3</v>
      </c>
      <c r="O17" s="6">
        <f t="shared" si="7"/>
        <v>3.5879393096075289E-3</v>
      </c>
      <c r="P17" s="6"/>
      <c r="Q17" s="6">
        <f t="shared" si="0"/>
        <v>-9.5858705769026106E-3</v>
      </c>
      <c r="R17" s="6">
        <f t="shared" si="1"/>
        <v>0</v>
      </c>
      <c r="S17" s="6">
        <f t="shared" si="2"/>
        <v>-8.857389227597854E-3</v>
      </c>
      <c r="T17" s="6">
        <f t="shared" si="8"/>
        <v>1.0534073353324674E-4</v>
      </c>
      <c r="U17" s="6">
        <f t="shared" si="3"/>
        <v>-1.4372008616563483E-2</v>
      </c>
      <c r="V17" s="6">
        <f t="shared" si="4"/>
        <v>-1.1913256536076989E-2</v>
      </c>
      <c r="W17" s="6">
        <f t="shared" si="9"/>
        <v>-3.0454081101802476E-3</v>
      </c>
      <c r="X17" s="6"/>
      <c r="Y17" s="16" t="s">
        <v>62</v>
      </c>
      <c r="Z17" s="51">
        <v>0</v>
      </c>
      <c r="AA17" s="51">
        <v>0</v>
      </c>
      <c r="AB17" s="51">
        <v>0</v>
      </c>
      <c r="AC17" s="51">
        <v>1</v>
      </c>
      <c r="AD17" s="49">
        <f>SUM(Z17:AC17)</f>
        <v>1</v>
      </c>
      <c r="AF17" s="38"/>
    </row>
    <row r="18" spans="1:32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5"/>
        <v>2.1039192975491616E-4</v>
      </c>
      <c r="J18" s="6">
        <f t="shared" si="6"/>
        <v>3.4855737123982338E-3</v>
      </c>
      <c r="K18" s="6">
        <f t="shared" si="6"/>
        <v>0</v>
      </c>
      <c r="L18" s="6">
        <f t="shared" si="6"/>
        <v>7.6518323838956222E-4</v>
      </c>
      <c r="M18" s="6">
        <f t="shared" si="6"/>
        <v>-1.4477988707991517E-2</v>
      </c>
      <c r="N18" s="6">
        <f t="shared" si="6"/>
        <v>1.4255841976643817E-3</v>
      </c>
      <c r="O18" s="6">
        <f t="shared" si="7"/>
        <v>-7.1894799994851729E-3</v>
      </c>
      <c r="P18" s="6"/>
      <c r="Q18" s="6">
        <f t="shared" si="0"/>
        <v>-4.0148398500367694E-3</v>
      </c>
      <c r="R18" s="6">
        <f t="shared" si="1"/>
        <v>-1.4477988707991517E-2</v>
      </c>
      <c r="S18" s="6">
        <f t="shared" si="2"/>
        <v>-5.7862922901187443E-3</v>
      </c>
      <c r="T18" s="6">
        <f t="shared" si="8"/>
        <v>5.1731573721583808E-5</v>
      </c>
      <c r="U18" s="6">
        <f t="shared" si="3"/>
        <v>-8.94764055903754E-4</v>
      </c>
      <c r="V18" s="6">
        <f t="shared" si="4"/>
        <v>-1.3610034403792855E-3</v>
      </c>
      <c r="W18" s="6">
        <f t="shared" si="9"/>
        <v>-9.3779294136448442E-3</v>
      </c>
      <c r="X18" s="6"/>
      <c r="Y18" s="16" t="s">
        <v>65</v>
      </c>
      <c r="Z18" s="51">
        <v>0.20242040583303048</v>
      </c>
      <c r="AA18" s="51">
        <v>1.9043341223979112E-3</v>
      </c>
      <c r="AB18" s="51">
        <v>0.32984826992021699</v>
      </c>
      <c r="AC18" s="51">
        <v>0.46582699012435475</v>
      </c>
      <c r="AD18" s="49">
        <f>SUM(Z18:AC18)</f>
        <v>1.0000000000000002</v>
      </c>
      <c r="AE18" s="14"/>
      <c r="AF18" s="38"/>
    </row>
    <row r="19" spans="1:32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5"/>
        <v>2.1115103099722532E-4</v>
      </c>
      <c r="J19" s="6">
        <f t="shared" si="6"/>
        <v>6.6007039975988667E-3</v>
      </c>
      <c r="K19" s="6">
        <f t="shared" si="6"/>
        <v>9.3849136242531647E-3</v>
      </c>
      <c r="L19" s="6">
        <f t="shared" si="6"/>
        <v>4.3706422775577902E-3</v>
      </c>
      <c r="M19" s="6">
        <f t="shared" si="6"/>
        <v>8.2988273439278445E-3</v>
      </c>
      <c r="N19" s="6">
        <f t="shared" si="6"/>
        <v>6.7010127829867268E-3</v>
      </c>
      <c r="O19" s="6">
        <f t="shared" si="7"/>
        <v>3.6015406898777364E-3</v>
      </c>
      <c r="P19" s="6"/>
      <c r="Q19" s="6">
        <f t="shared" si="0"/>
        <v>6.1551964844718567E-3</v>
      </c>
      <c r="R19" s="6">
        <f t="shared" si="1"/>
        <v>8.2988273439278445E-3</v>
      </c>
      <c r="S19" s="6">
        <f t="shared" si="2"/>
        <v>6.6614557501042861E-3</v>
      </c>
      <c r="T19" s="6">
        <f t="shared" si="8"/>
        <v>0</v>
      </c>
      <c r="U19" s="6">
        <f t="shared" si="3"/>
        <v>5.8048178287225657E-3</v>
      </c>
      <c r="V19" s="6">
        <f t="shared" si="4"/>
        <v>-5.5104808035792621E-4</v>
      </c>
      <c r="W19" s="6">
        <f t="shared" si="9"/>
        <v>7.311532362491751E-3</v>
      </c>
      <c r="X19" s="6"/>
      <c r="Y19" s="16" t="s">
        <v>73</v>
      </c>
      <c r="Z19" s="51">
        <v>0.34335287430270461</v>
      </c>
      <c r="AA19" s="51">
        <v>0</v>
      </c>
      <c r="AB19" s="51">
        <v>0.48647249328519165</v>
      </c>
      <c r="AC19" s="51">
        <v>0.17017463241210365</v>
      </c>
      <c r="AD19" s="49">
        <f>SUM(Z19:AC19)</f>
        <v>0.99999999999999989</v>
      </c>
      <c r="AF19" s="38"/>
    </row>
    <row r="20" spans="1:32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5"/>
        <v>2.1039192975491616E-4</v>
      </c>
      <c r="J20" s="6">
        <f t="shared" si="6"/>
        <v>-1.7207766577965616E-2</v>
      </c>
      <c r="K20" s="6">
        <f t="shared" si="6"/>
        <v>-9.8994165765982269E-3</v>
      </c>
      <c r="L20" s="6">
        <f t="shared" si="6"/>
        <v>1.2930049259339658E-2</v>
      </c>
      <c r="M20" s="6">
        <f t="shared" si="6"/>
        <v>-4.1408787728015178E-3</v>
      </c>
      <c r="N20" s="6">
        <f t="shared" si="6"/>
        <v>-5.7121558411206055E-3</v>
      </c>
      <c r="O20" s="6">
        <f t="shared" si="7"/>
        <v>-3.6015406898777602E-3</v>
      </c>
      <c r="P20" s="6"/>
      <c r="Q20" s="6">
        <f t="shared" si="0"/>
        <v>1.3190988475126951E-3</v>
      </c>
      <c r="R20" s="6">
        <f t="shared" si="1"/>
        <v>-4.1408787728015178E-3</v>
      </c>
      <c r="S20" s="6">
        <f t="shared" si="2"/>
        <v>-1.1660336079980995E-3</v>
      </c>
      <c r="T20" s="6">
        <f t="shared" si="8"/>
        <v>6.616252832326757E-6</v>
      </c>
      <c r="U20" s="6">
        <f t="shared" si="3"/>
        <v>-3.2289533640778121E-4</v>
      </c>
      <c r="V20" s="6">
        <f t="shared" si="4"/>
        <v>5.1542294414907344E-3</v>
      </c>
      <c r="W20" s="6">
        <f t="shared" si="9"/>
        <v>-1.2370070247101801E-4</v>
      </c>
      <c r="X20" s="6"/>
      <c r="Y20" s="16" t="s">
        <v>82</v>
      </c>
      <c r="Z20" s="51">
        <v>1.0237728525522153E-2</v>
      </c>
      <c r="AA20" s="51">
        <v>6.1653286730544155E-2</v>
      </c>
      <c r="AB20" s="51">
        <v>0.26395671553962635</v>
      </c>
      <c r="AC20" s="51">
        <v>0.66415226723804344</v>
      </c>
      <c r="AD20" s="49">
        <f>SUM(Z20:AC20)</f>
        <v>0.99999999803373607</v>
      </c>
      <c r="AF20" s="38"/>
    </row>
    <row r="21" spans="1:32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5"/>
        <v>2.1115103099722532E-4</v>
      </c>
      <c r="J21" s="6">
        <f t="shared" si="6"/>
        <v>-1.1925628607410014E-2</v>
      </c>
      <c r="K21" s="6">
        <f t="shared" si="6"/>
        <v>2.3984991177818894E-3</v>
      </c>
      <c r="L21" s="6">
        <f t="shared" si="6"/>
        <v>4.7822692080471709E-4</v>
      </c>
      <c r="M21" s="6">
        <f t="shared" si="6"/>
        <v>1.1004270746853787E-2</v>
      </c>
      <c r="N21" s="6">
        <f t="shared" si="6"/>
        <v>1.2408533465711885E-3</v>
      </c>
      <c r="O21" s="6">
        <f t="shared" si="7"/>
        <v>3.6015406898777364E-3</v>
      </c>
      <c r="P21" s="6"/>
      <c r="Q21" s="6">
        <f t="shared" si="0"/>
        <v>1.7942133115021147E-3</v>
      </c>
      <c r="R21" s="6">
        <f t="shared" si="1"/>
        <v>1.1004270746853787E-2</v>
      </c>
      <c r="S21" s="6">
        <f t="shared" si="2"/>
        <v>2.8744056041636939E-3</v>
      </c>
      <c r="T21" s="6">
        <f t="shared" si="8"/>
        <v>0</v>
      </c>
      <c r="U21" s="6">
        <f t="shared" si="3"/>
        <v>-1.9894068883917096E-3</v>
      </c>
      <c r="V21" s="6">
        <f t="shared" si="4"/>
        <v>-3.4931385033698846E-3</v>
      </c>
      <c r="W21" s="6">
        <f t="shared" si="9"/>
        <v>7.4605265787751618E-3</v>
      </c>
      <c r="X21" s="6"/>
      <c r="AF21" s="38"/>
    </row>
    <row r="22" spans="1:32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5"/>
        <v>2.1115103099722532E-4</v>
      </c>
      <c r="J22" s="6">
        <f t="shared" si="6"/>
        <v>8.744192273870471E-3</v>
      </c>
      <c r="K22" s="6">
        <f t="shared" si="6"/>
        <v>8.2446925036342867E-3</v>
      </c>
      <c r="L22" s="6">
        <f t="shared" si="6"/>
        <v>1.9211775011975799E-2</v>
      </c>
      <c r="M22" s="6">
        <f t="shared" si="6"/>
        <v>2.9651713697862989E-2</v>
      </c>
      <c r="N22" s="6">
        <f t="shared" si="6"/>
        <v>8.394550741111827E-3</v>
      </c>
      <c r="O22" s="6">
        <f t="shared" si="7"/>
        <v>0</v>
      </c>
      <c r="P22" s="6"/>
      <c r="Q22" s="6">
        <f t="shared" si="0"/>
        <v>2.0862996343855279E-2</v>
      </c>
      <c r="R22" s="6">
        <f t="shared" si="1"/>
        <v>2.9651713697862989E-2</v>
      </c>
      <c r="S22" s="6">
        <f t="shared" si="2"/>
        <v>2.193524289172355E-2</v>
      </c>
      <c r="T22" s="6">
        <f t="shared" si="8"/>
        <v>0</v>
      </c>
      <c r="U22" s="6">
        <f t="shared" si="3"/>
        <v>1.7394313120121713E-2</v>
      </c>
      <c r="V22" s="6">
        <f t="shared" si="4"/>
        <v>9.9345515492636378E-3</v>
      </c>
      <c r="W22" s="6">
        <f t="shared" si="9"/>
        <v>2.536216296938304E-2</v>
      </c>
      <c r="X22" s="6"/>
      <c r="Y22" s="7" t="s">
        <v>10</v>
      </c>
      <c r="Z22" s="15" t="str">
        <f>Z8</f>
        <v>Apple</v>
      </c>
      <c r="AA22" s="15" t="str">
        <f>AA8</f>
        <v>Coca-Cola</v>
      </c>
      <c r="AB22" s="15" t="str">
        <f>AB8</f>
        <v>JPMorgan</v>
      </c>
      <c r="AC22" s="15" t="str">
        <f>AC8</f>
        <v>AT&amp;T</v>
      </c>
      <c r="AF22" s="38"/>
    </row>
    <row r="23" spans="1:32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5"/>
        <v>2.1115103099722532E-4</v>
      </c>
      <c r="J23" s="6">
        <f t="shared" si="6"/>
        <v>-4.1626265495737849E-3</v>
      </c>
      <c r="K23" s="6">
        <f t="shared" si="6"/>
        <v>-8.9348416448038568E-3</v>
      </c>
      <c r="L23" s="6">
        <f t="shared" si="6"/>
        <v>-2.9524998063902006E-3</v>
      </c>
      <c r="M23" s="6">
        <f t="shared" si="6"/>
        <v>1.1224978589028094E-2</v>
      </c>
      <c r="N23" s="6">
        <f t="shared" si="6"/>
        <v>-1.2234084667107637E-2</v>
      </c>
      <c r="O23" s="6">
        <f t="shared" si="7"/>
        <v>0</v>
      </c>
      <c r="P23" s="6"/>
      <c r="Q23" s="6">
        <f t="shared" si="0"/>
        <v>1.7422720406473332E-3</v>
      </c>
      <c r="R23" s="6">
        <f t="shared" si="1"/>
        <v>1.1224978589028094E-2</v>
      </c>
      <c r="S23" s="6">
        <f t="shared" si="2"/>
        <v>3.3954055579412052E-3</v>
      </c>
      <c r="T23" s="6">
        <f t="shared" si="8"/>
        <v>0</v>
      </c>
      <c r="U23" s="6">
        <f t="shared" si="3"/>
        <v>-9.5535312746200573E-4</v>
      </c>
      <c r="V23" s="6">
        <f t="shared" si="4"/>
        <v>9.9163846782738697E-3</v>
      </c>
      <c r="W23" s="6">
        <f t="shared" si="9"/>
        <v>6.0822846336885958E-3</v>
      </c>
      <c r="X23" s="6"/>
      <c r="Y23" s="16" t="str">
        <f>Z22</f>
        <v>Apple</v>
      </c>
      <c r="Z23" s="17">
        <f>VARP([1]Portafolio!$F$3:$F$254)</f>
        <v>2.0416329468796719E-4</v>
      </c>
      <c r="AA23" s="17">
        <f>Z24</f>
        <v>1.114837388610517E-5</v>
      </c>
      <c r="AB23" s="17">
        <f>Z25</f>
        <v>7.9387037462506825E-6</v>
      </c>
      <c r="AC23" s="17">
        <f>Z26</f>
        <v>-2.2006229590220094E-6</v>
      </c>
      <c r="AF23" s="38"/>
    </row>
    <row r="24" spans="1:32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5"/>
        <v>2.1153052783073889E-4</v>
      </c>
      <c r="J24" s="6">
        <f t="shared" si="6"/>
        <v>1.6771885661529522E-2</v>
      </c>
      <c r="K24" s="6">
        <f t="shared" si="6"/>
        <v>6.1940863988089057E-3</v>
      </c>
      <c r="L24" s="6">
        <f t="shared" si="6"/>
        <v>2.081060219182381E-3</v>
      </c>
      <c r="M24" s="6">
        <f t="shared" si="6"/>
        <v>-9.2349221157867391E-3</v>
      </c>
      <c r="N24" s="6">
        <f t="shared" si="6"/>
        <v>7.2103643683838804E-4</v>
      </c>
      <c r="O24" s="6">
        <f t="shared" si="7"/>
        <v>1.795663555972895E-3</v>
      </c>
      <c r="P24" s="6"/>
      <c r="Q24" s="6">
        <f t="shared" si="0"/>
        <v>9.2204338368668181E-4</v>
      </c>
      <c r="R24" s="6">
        <f t="shared" si="1"/>
        <v>-9.2349221157867391E-3</v>
      </c>
      <c r="S24" s="6">
        <f t="shared" si="2"/>
        <v>-2.0867434805435514E-4</v>
      </c>
      <c r="T24" s="6">
        <f t="shared" si="8"/>
        <v>2.6077357231618076E-6</v>
      </c>
      <c r="U24" s="6">
        <f t="shared" si="3"/>
        <v>5.1995042264563456E-3</v>
      </c>
      <c r="V24" s="6">
        <f t="shared" si="4"/>
        <v>4.358800898082214E-3</v>
      </c>
      <c r="W24" s="6">
        <f t="shared" si="9"/>
        <v>-5.0304928436275898E-3</v>
      </c>
      <c r="X24" s="6"/>
      <c r="Y24" s="16" t="str">
        <f>AA22</f>
        <v>Coca-Cola</v>
      </c>
      <c r="Z24" s="18">
        <f>_xlfn.COVARIANCE.P($J$3:$J$254,K3:K254)</f>
        <v>1.114837388610517E-5</v>
      </c>
      <c r="AA24" s="17">
        <f>VARP([1]Portafolio!$G$3:$G$254)</f>
        <v>7.052377242278394E-5</v>
      </c>
      <c r="AB24" s="17">
        <f>AA25</f>
        <v>1.8170255662120506E-5</v>
      </c>
      <c r="AC24" s="17">
        <f>AA26</f>
        <v>3.9163359961956121E-5</v>
      </c>
      <c r="AF24" s="38"/>
    </row>
    <row r="25" spans="1:32" x14ac:dyDescent="0.2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5"/>
        <v>2.1190998881470691E-4</v>
      </c>
      <c r="J25" s="6">
        <f t="shared" si="6"/>
        <v>6.1618290451625419E-3</v>
      </c>
      <c r="K25" s="6">
        <f t="shared" si="6"/>
        <v>-2.0603885067279927E-3</v>
      </c>
      <c r="L25" s="6">
        <f t="shared" si="6"/>
        <v>-1.2750275394505101E-3</v>
      </c>
      <c r="M25" s="6">
        <f t="shared" si="6"/>
        <v>7.9209277625121085E-3</v>
      </c>
      <c r="N25" s="6">
        <f t="shared" si="6"/>
        <v>-2.1534195529618974E-3</v>
      </c>
      <c r="O25" s="6">
        <f t="shared" si="7"/>
        <v>1.7922757536344568E-3</v>
      </c>
      <c r="P25" s="6"/>
      <c r="Q25" s="6">
        <f t="shared" si="0"/>
        <v>3.3205765247499423E-3</v>
      </c>
      <c r="R25" s="6">
        <f t="shared" si="1"/>
        <v>7.9209277625121085E-3</v>
      </c>
      <c r="S25" s="6">
        <f t="shared" si="2"/>
        <v>4.5125725784718714E-3</v>
      </c>
      <c r="T25" s="6">
        <f t="shared" si="8"/>
        <v>0</v>
      </c>
      <c r="U25" s="6">
        <f t="shared" si="3"/>
        <v>2.8433568578430006E-3</v>
      </c>
      <c r="V25" s="6">
        <f t="shared" si="4"/>
        <v>4.5573969424476885E-3</v>
      </c>
      <c r="W25" s="6">
        <f t="shared" si="9"/>
        <v>4.8602034601686848E-3</v>
      </c>
      <c r="X25" s="6"/>
      <c r="Y25" s="16" t="str">
        <f>AB22</f>
        <v>JPMorgan</v>
      </c>
      <c r="Z25" s="18">
        <f>_xlfn.COVARIANCE.P($J$3:$J$254,L3:L254)</f>
        <v>7.9387037462506825E-6</v>
      </c>
      <c r="AA25" s="18">
        <f>_xlfn.COVARIANCE.P($K$3:$K$254,L3:L254)</f>
        <v>1.8170255662120506E-5</v>
      </c>
      <c r="AB25" s="17">
        <f>VARP([1]Portafolio!$H$3:$H$254)</f>
        <v>1.3497102243452755E-4</v>
      </c>
      <c r="AC25" s="17">
        <f>AB26</f>
        <v>2.8925886198153199E-5</v>
      </c>
      <c r="AD25" s="53"/>
      <c r="AF25" s="38"/>
    </row>
    <row r="26" spans="1:32" x14ac:dyDescent="0.2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5"/>
        <v>2.1228941395579071E-4</v>
      </c>
      <c r="J26" s="6">
        <f t="shared" si="6"/>
        <v>-2.0194689945887755E-2</v>
      </c>
      <c r="K26" s="6">
        <f t="shared" si="6"/>
        <v>4.4589357728930948E-3</v>
      </c>
      <c r="L26" s="6">
        <f t="shared" si="6"/>
        <v>-4.2389693184284203E-3</v>
      </c>
      <c r="M26" s="6">
        <f t="shared" si="6"/>
        <v>2.2107528152630732E-2</v>
      </c>
      <c r="N26" s="6">
        <f t="shared" si="6"/>
        <v>-9.4392046231101256E-3</v>
      </c>
      <c r="O26" s="6">
        <f t="shared" si="7"/>
        <v>1.7889004076430007E-3</v>
      </c>
      <c r="P26" s="6"/>
      <c r="Q26" s="6">
        <f t="shared" si="0"/>
        <v>1.9006989268995113E-3</v>
      </c>
      <c r="R26" s="6">
        <f t="shared" si="1"/>
        <v>2.2107528152630732E-2</v>
      </c>
      <c r="S26" s="6">
        <f t="shared" si="2"/>
        <v>4.820740571523997E-3</v>
      </c>
      <c r="T26" s="6">
        <f t="shared" si="8"/>
        <v>0</v>
      </c>
      <c r="U26" s="6">
        <f t="shared" si="3"/>
        <v>-5.2339063349536264E-3</v>
      </c>
      <c r="V26" s="6">
        <f t="shared" si="4"/>
        <v>2.9549739636138437E-3</v>
      </c>
      <c r="W26" s="6">
        <f t="shared" si="9"/>
        <v>1.3632020819429129E-2</v>
      </c>
      <c r="X26" s="6"/>
      <c r="Y26" s="16" t="str">
        <f>AC22</f>
        <v>AT&amp;T</v>
      </c>
      <c r="Z26" s="18">
        <f>_xlfn.COVARIANCE.P($J$3:$J$254,M5:M256)</f>
        <v>-2.2006229590220094E-6</v>
      </c>
      <c r="AA26" s="18">
        <f>_xlfn.COVARIANCE.P($K$3:$K$254,M3:M254)</f>
        <v>3.9163359961956121E-5</v>
      </c>
      <c r="AB26" s="18">
        <f>_xlfn.COVARIANCE.P($L$3:$L$254,M3:M254)</f>
        <v>2.8925886198153199E-5</v>
      </c>
      <c r="AC26" s="17">
        <f>VARP([1]Portafolio!$I$3:$I$254)</f>
        <v>1.7878182777816105E-4</v>
      </c>
      <c r="AF26" s="38"/>
    </row>
    <row r="27" spans="1:32" x14ac:dyDescent="0.2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5"/>
        <v>2.1304815673750532E-4</v>
      </c>
      <c r="J27" s="6">
        <f t="shared" si="6"/>
        <v>-8.9290841663582452E-3</v>
      </c>
      <c r="K27" s="6">
        <f t="shared" si="6"/>
        <v>-1.5520182226064388E-2</v>
      </c>
      <c r="L27" s="6">
        <f t="shared" si="6"/>
        <v>-7.8527809774467452E-3</v>
      </c>
      <c r="M27" s="6">
        <f t="shared" si="6"/>
        <v>-1.5554405482686634E-2</v>
      </c>
      <c r="N27" s="6">
        <f t="shared" si="6"/>
        <v>-1.653687395146802E-2</v>
      </c>
      <c r="O27" s="6">
        <f t="shared" si="7"/>
        <v>3.567724268008604E-3</v>
      </c>
      <c r="P27" s="6"/>
      <c r="Q27" s="6">
        <f t="shared" si="0"/>
        <v>-1.0730049412426886E-2</v>
      </c>
      <c r="R27" s="6">
        <f t="shared" si="1"/>
        <v>-1.5554405482686634E-2</v>
      </c>
      <c r="S27" s="6">
        <f t="shared" si="2"/>
        <v>-1.1672872561917326E-2</v>
      </c>
      <c r="T27" s="6">
        <f t="shared" si="8"/>
        <v>1.7106146330957288E-4</v>
      </c>
      <c r="U27" s="6">
        <f t="shared" si="3"/>
        <v>-9.5329538901359236E-3</v>
      </c>
      <c r="V27" s="6">
        <f t="shared" si="4"/>
        <v>4.7651390631031788E-3</v>
      </c>
      <c r="W27" s="6">
        <f t="shared" si="9"/>
        <v>-1.3451571726095637E-2</v>
      </c>
      <c r="X27" s="6"/>
      <c r="Z27" s="13"/>
      <c r="AA27" s="53"/>
      <c r="AB27" s="53"/>
      <c r="AC27" s="53"/>
      <c r="AF27" s="38"/>
    </row>
    <row r="28" spans="1:32" ht="17" thickBot="1" x14ac:dyDescent="0.25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5"/>
        <v>2.1266880326109572E-4</v>
      </c>
      <c r="J28" s="6">
        <f t="shared" si="6"/>
        <v>4.932157084030179E-3</v>
      </c>
      <c r="K28" s="6">
        <f t="shared" si="6"/>
        <v>1.0421744338548341E-3</v>
      </c>
      <c r="L28" s="6">
        <f t="shared" si="6"/>
        <v>-9.6290710303040105E-3</v>
      </c>
      <c r="M28" s="6">
        <f t="shared" si="6"/>
        <v>-1.2488017087223817E-2</v>
      </c>
      <c r="N28" s="6">
        <f t="shared" si="6"/>
        <v>-2.2982509659402743E-3</v>
      </c>
      <c r="O28" s="6">
        <f t="shared" si="7"/>
        <v>-1.7821868164193909E-3</v>
      </c>
      <c r="P28" s="6"/>
      <c r="Q28" s="6">
        <f t="shared" si="0"/>
        <v>-7.8759145940440704E-3</v>
      </c>
      <c r="R28" s="6">
        <f t="shared" si="1"/>
        <v>-1.2488017087223817E-2</v>
      </c>
      <c r="S28" s="6">
        <f t="shared" si="2"/>
        <v>-7.9930339457301158E-3</v>
      </c>
      <c r="T28" s="6">
        <f t="shared" si="8"/>
        <v>8.8345113126555333E-5</v>
      </c>
      <c r="U28" s="6">
        <f t="shared" si="3"/>
        <v>-5.1159515981923746E-3</v>
      </c>
      <c r="V28" s="6">
        <f t="shared" si="4"/>
        <v>-2.8751678145952546E-3</v>
      </c>
      <c r="W28" s="6">
        <f t="shared" si="9"/>
        <v>-1.0720855260178712E-2</v>
      </c>
      <c r="X28" s="6"/>
      <c r="Y28" s="59" t="s">
        <v>61</v>
      </c>
      <c r="Z28" s="59"/>
      <c r="AF28" s="38"/>
    </row>
    <row r="29" spans="1:32" ht="17" thickTop="1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5"/>
        <v>2.1266880326109572E-4</v>
      </c>
      <c r="J29" s="6">
        <f t="shared" si="6"/>
        <v>7.3532671978666295E-3</v>
      </c>
      <c r="K29" s="6">
        <f t="shared" si="6"/>
        <v>-1.0471250468192831E-2</v>
      </c>
      <c r="L29" s="6">
        <f t="shared" si="6"/>
        <v>4.9286703199951359E-3</v>
      </c>
      <c r="M29" s="6">
        <f t="shared" si="6"/>
        <v>-3.9760898184737319E-3</v>
      </c>
      <c r="N29" s="6">
        <f t="shared" si="6"/>
        <v>4.0150212758186272E-3</v>
      </c>
      <c r="O29" s="6">
        <f t="shared" si="7"/>
        <v>0</v>
      </c>
      <c r="P29" s="6"/>
      <c r="Q29" s="6">
        <f t="shared" si="0"/>
        <v>2.293811043993611E-3</v>
      </c>
      <c r="R29" s="6">
        <f t="shared" si="1"/>
        <v>-3.9760898184737319E-3</v>
      </c>
      <c r="S29" s="6">
        <f t="shared" si="2"/>
        <v>1.2420539962739265E-3</v>
      </c>
      <c r="T29" s="6">
        <f t="shared" si="8"/>
        <v>2.693543009244342E-8</v>
      </c>
      <c r="U29" s="6">
        <f t="shared" si="3"/>
        <v>4.2457983437557828E-3</v>
      </c>
      <c r="V29" s="6">
        <f t="shared" si="4"/>
        <v>6.7787644498810192E-4</v>
      </c>
      <c r="W29" s="6">
        <f t="shared" si="9"/>
        <v>-1.9100796922333261E-3</v>
      </c>
      <c r="X29" s="6"/>
      <c r="Y29" s="3" t="s">
        <v>21</v>
      </c>
      <c r="Z29" s="60">
        <f>+((1+AVERAGE(Q3:Q254))^252)-1</f>
        <v>0.42739487589953407</v>
      </c>
      <c r="AA29" s="3">
        <f>+Z29/Z30</f>
        <v>3.2571585235124521</v>
      </c>
      <c r="AB29" s="63"/>
      <c r="AF29" s="38"/>
    </row>
    <row r="30" spans="1:32" x14ac:dyDescent="0.2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5"/>
        <v>2.1228941395579071E-4</v>
      </c>
      <c r="J30" s="6">
        <f t="shared" si="6"/>
        <v>-2.3676570379196956E-2</v>
      </c>
      <c r="K30" s="6">
        <f t="shared" si="6"/>
        <v>-8.2798817906721903E-3</v>
      </c>
      <c r="L30" s="6">
        <f t="shared" si="6"/>
        <v>-1.0433243353410393E-2</v>
      </c>
      <c r="M30" s="6">
        <f t="shared" si="6"/>
        <v>-2.6595130223768674E-3</v>
      </c>
      <c r="N30" s="6">
        <f t="shared" si="6"/>
        <v>-1.4844128717961364E-2</v>
      </c>
      <c r="O30" s="6">
        <f t="shared" si="7"/>
        <v>-1.7855374515891788E-3</v>
      </c>
      <c r="P30" s="6"/>
      <c r="Q30" s="6">
        <f t="shared" si="0"/>
        <v>-1.0231271265189778E-2</v>
      </c>
      <c r="R30" s="6">
        <f t="shared" si="1"/>
        <v>-2.6595130223768674E-3</v>
      </c>
      <c r="S30" s="6">
        <f t="shared" si="2"/>
        <v>-9.4886488625041156E-3</v>
      </c>
      <c r="T30" s="6">
        <f t="shared" si="8"/>
        <v>1.1869716882119738E-4</v>
      </c>
      <c r="U30" s="6">
        <f t="shared" si="3"/>
        <v>-1.3657486051490446E-2</v>
      </c>
      <c r="V30" s="6">
        <f t="shared" si="4"/>
        <v>-2.6751849962838685E-4</v>
      </c>
      <c r="W30" s="6">
        <f t="shared" si="9"/>
        <v>-5.2731224776455038E-3</v>
      </c>
      <c r="X30" s="6"/>
      <c r="Y30" s="3" t="s">
        <v>63</v>
      </c>
      <c r="Z30" s="63" cm="1">
        <f t="array" ref="Z30">SQRT(+MMULT(MMULT(Z16:AC16,Z23:AC26),TRANSPOSE(Z16:AC16)))*SQRT(252)</f>
        <v>0.13121709392229405</v>
      </c>
      <c r="AB30" s="63"/>
      <c r="AF30" s="38"/>
    </row>
    <row r="31" spans="1:32" x14ac:dyDescent="0.2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5"/>
        <v>2.1228941395579071E-4</v>
      </c>
      <c r="J31" s="6">
        <f t="shared" si="6"/>
        <v>-8.9372740582099996E-3</v>
      </c>
      <c r="K31" s="6">
        <f t="shared" si="6"/>
        <v>-1.0313022416799286E-2</v>
      </c>
      <c r="L31" s="6">
        <f t="shared" si="6"/>
        <v>5.8476760566381946E-3</v>
      </c>
      <c r="M31" s="6">
        <f t="shared" si="6"/>
        <v>-1.0036916003110012E-2</v>
      </c>
      <c r="N31" s="6">
        <f t="shared" si="6"/>
        <v>2.2929233000634007E-4</v>
      </c>
      <c r="O31" s="6">
        <f t="shared" si="7"/>
        <v>0</v>
      </c>
      <c r="P31" s="6"/>
      <c r="Q31" s="6">
        <f t="shared" si="0"/>
        <v>-2.4561549228513087E-3</v>
      </c>
      <c r="R31" s="6">
        <f t="shared" si="1"/>
        <v>-1.0036916003110012E-2</v>
      </c>
      <c r="S31" s="6">
        <f t="shared" si="2"/>
        <v>-4.5753466239209697E-3</v>
      </c>
      <c r="T31" s="6">
        <f t="shared" si="8"/>
        <v>3.5778590959583564E-5</v>
      </c>
      <c r="U31" s="6">
        <f t="shared" si="3"/>
        <v>-1.9319336765009074E-3</v>
      </c>
      <c r="V31" s="6">
        <f t="shared" si="4"/>
        <v>-2.1356927774492042E-3</v>
      </c>
      <c r="W31" s="6">
        <f t="shared" si="9"/>
        <v>-5.8498362677809846E-3</v>
      </c>
      <c r="X31" s="6"/>
      <c r="Y31" s="3" t="s">
        <v>40</v>
      </c>
      <c r="Z31" s="61">
        <f>(+Z29-Z12)/Z30</f>
        <v>2.867932386863751</v>
      </c>
      <c r="AF31" s="38"/>
    </row>
    <row r="32" spans="1:32" x14ac:dyDescent="0.2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5"/>
        <v>2.1380675622961753E-4</v>
      </c>
      <c r="J32" s="6">
        <f t="shared" si="6"/>
        <v>1.5245124110350558E-3</v>
      </c>
      <c r="K32" s="6">
        <f t="shared" si="6"/>
        <v>-2.5052793506595878E-3</v>
      </c>
      <c r="L32" s="6">
        <f t="shared" si="6"/>
        <v>1.2339652914118577E-2</v>
      </c>
      <c r="M32" s="6">
        <f t="shared" si="6"/>
        <v>9.370913321953802E-3</v>
      </c>
      <c r="N32" s="6">
        <f t="shared" si="6"/>
        <v>5.8757768874731896E-3</v>
      </c>
      <c r="O32" s="6">
        <f t="shared" si="7"/>
        <v>7.1220949345627872E-3</v>
      </c>
      <c r="P32" s="6"/>
      <c r="Q32" s="6">
        <f t="shared" si="0"/>
        <v>9.2693182775853162E-3</v>
      </c>
      <c r="R32" s="6">
        <f t="shared" si="1"/>
        <v>9.370913321953802E-3</v>
      </c>
      <c r="S32" s="6">
        <f t="shared" si="2"/>
        <v>8.7392590446055424E-3</v>
      </c>
      <c r="T32" s="6">
        <f t="shared" si="8"/>
        <v>0</v>
      </c>
      <c r="U32" s="6">
        <f t="shared" si="3"/>
        <v>8.1210391675733511E-3</v>
      </c>
      <c r="V32" s="6">
        <f t="shared" si="4"/>
        <v>2.1064764595075925E-3</v>
      </c>
      <c r="W32" s="6">
        <f t="shared" si="9"/>
        <v>9.341996421028162E-3</v>
      </c>
      <c r="X32" s="6"/>
      <c r="AF32" s="38"/>
    </row>
    <row r="33" spans="1:32" ht="17" thickBot="1" x14ac:dyDescent="0.25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5"/>
        <v>2.1266880326109572E-4</v>
      </c>
      <c r="J33" s="6">
        <f t="shared" si="6"/>
        <v>3.0418117645047292E-3</v>
      </c>
      <c r="K33" s="6">
        <f t="shared" si="6"/>
        <v>3.0412831937692204E-3</v>
      </c>
      <c r="L33" s="6">
        <f t="shared" si="6"/>
        <v>-1.7566587699048578E-2</v>
      </c>
      <c r="M33" s="6">
        <f t="shared" si="6"/>
        <v>6.6600268115622394E-4</v>
      </c>
      <c r="N33" s="6">
        <f t="shared" si="6"/>
        <v>-2.7131686755154211E-3</v>
      </c>
      <c r="O33" s="6">
        <f t="shared" si="7"/>
        <v>-5.3365574829737777E-3</v>
      </c>
      <c r="P33" s="6"/>
      <c r="Q33" s="6">
        <f t="shared" si="0"/>
        <v>-7.3492792696295845E-3</v>
      </c>
      <c r="R33" s="6">
        <f t="shared" si="1"/>
        <v>6.6600268115622394E-4</v>
      </c>
      <c r="S33" s="6">
        <f t="shared" si="2"/>
        <v>-4.8625501453546816E-3</v>
      </c>
      <c r="T33" s="6">
        <f t="shared" si="8"/>
        <v>3.9296904491063689E-5</v>
      </c>
      <c r="U33" s="6">
        <f t="shared" si="3"/>
        <v>-7.3879101425874229E-3</v>
      </c>
      <c r="V33" s="6">
        <f t="shared" si="4"/>
        <v>-4.3826096398657047E-3</v>
      </c>
      <c r="W33" s="6">
        <f t="shared" si="9"/>
        <v>-3.9758452537581651E-3</v>
      </c>
      <c r="X33" s="6"/>
      <c r="Y33" s="59" t="s">
        <v>64</v>
      </c>
      <c r="Z33" s="59"/>
      <c r="AF33" s="38"/>
    </row>
    <row r="34" spans="1:32" ht="17" thickTop="1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5"/>
        <v>2.1266880326109572E-4</v>
      </c>
      <c r="J34" s="6">
        <f t="shared" si="6"/>
        <v>1.4726612543542477E-2</v>
      </c>
      <c r="K34" s="6">
        <f t="shared" si="6"/>
        <v>-8.9718561804357604E-3</v>
      </c>
      <c r="L34" s="6">
        <f t="shared" si="6"/>
        <v>-8.6567488859623613E-3</v>
      </c>
      <c r="M34" s="6">
        <f t="shared" si="6"/>
        <v>-2.3578125464621125E-2</v>
      </c>
      <c r="N34" s="6">
        <f t="shared" si="6"/>
        <v>7.9286976922361474E-5</v>
      </c>
      <c r="O34" s="6">
        <f t="shared" si="7"/>
        <v>0</v>
      </c>
      <c r="P34" s="6"/>
      <c r="Q34" s="6">
        <f t="shared" si="0"/>
        <v>-9.4284978783766675E-3</v>
      </c>
      <c r="R34" s="6">
        <f t="shared" si="1"/>
        <v>-2.3578125464621125E-2</v>
      </c>
      <c r="S34" s="6">
        <f t="shared" si="2"/>
        <v>-1.0874859385383299E-2</v>
      </c>
      <c r="T34" s="6">
        <f t="shared" si="8"/>
        <v>1.5082378508882006E-4</v>
      </c>
      <c r="U34" s="6">
        <f t="shared" si="3"/>
        <v>-3.1672443026387019E-3</v>
      </c>
      <c r="V34" s="6">
        <f t="shared" si="4"/>
        <v>-3.2377021462750852E-3</v>
      </c>
      <c r="W34" s="6">
        <f t="shared" si="9"/>
        <v>-1.8346849848017384E-2</v>
      </c>
      <c r="X34" s="6"/>
      <c r="Y34" s="3" t="s">
        <v>21</v>
      </c>
      <c r="Z34" s="60">
        <f>+((1+AVERAGE(R3:R254))^252)-1</f>
        <v>0.46515446741124955</v>
      </c>
      <c r="AF34" s="38"/>
    </row>
    <row r="35" spans="1:32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5"/>
        <v>2.1380675622961753E-4</v>
      </c>
      <c r="J35" s="6">
        <f t="shared" si="6"/>
        <v>-7.8002013931504684E-3</v>
      </c>
      <c r="K35" s="6">
        <f t="shared" si="6"/>
        <v>-1.0873561101627389E-2</v>
      </c>
      <c r="L35" s="6">
        <f t="shared" si="6"/>
        <v>-7.4001160534839551E-3</v>
      </c>
      <c r="M35" s="6">
        <f t="shared" si="6"/>
        <v>7.470418425544037E-3</v>
      </c>
      <c r="N35" s="6">
        <f t="shared" si="6"/>
        <v>-1.3839410161483797E-2</v>
      </c>
      <c r="O35" s="6">
        <f t="shared" si="7"/>
        <v>5.3365574829737977E-3</v>
      </c>
      <c r="P35" s="6"/>
      <c r="Q35" s="6">
        <f t="shared" ref="Q35:Q69" si="11">+SUMPRODUCT($Z$16:$AC$16,J35:M35)</f>
        <v>-2.3119340326410377E-3</v>
      </c>
      <c r="R35" s="6">
        <f t="shared" ref="R35:R67" si="12">+SUMPRODUCT($Z$17:$AC$17,J35:M35)</f>
        <v>7.470418425544037E-3</v>
      </c>
      <c r="S35" s="6">
        <f t="shared" ref="S35:S67" si="13">+SUMPRODUCT($Z$18:$AC$18,J35:M35)</f>
        <v>-5.6061977232850198E-4</v>
      </c>
      <c r="T35" s="6">
        <f t="shared" si="8"/>
        <v>3.8682783956243763E-6</v>
      </c>
      <c r="U35" s="6">
        <f t="shared" ref="U35:U67" si="14">+SUMPRODUCT($Z$19:$AC$19,J35:M35)</f>
        <v>-5.0068987660847244E-3</v>
      </c>
      <c r="V35" s="6">
        <f t="shared" si="4"/>
        <v>6.6971396005290652E-3</v>
      </c>
      <c r="W35" s="6">
        <f t="shared" si="9"/>
        <v>2.2579378817640409E-3</v>
      </c>
      <c r="X35" s="6"/>
      <c r="Y35" s="3" t="s">
        <v>63</v>
      </c>
      <c r="Z35" s="63" cm="1">
        <f t="array" ref="Z35">SQRT(+MMULT(MMULT(Z17:AC17,Z23:AC26),TRANSPOSE(Z17:AC17)))*SQRT(252)</f>
        <v>0.21225696831929122</v>
      </c>
      <c r="AF35" s="38"/>
    </row>
    <row r="36" spans="1:32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5"/>
        <v>2.1380675622961753E-4</v>
      </c>
      <c r="J36" s="6">
        <f t="shared" ref="J36:N67" si="15">LN(B36/B35)</f>
        <v>7.2820978273525263E-3</v>
      </c>
      <c r="K36" s="6">
        <f t="shared" si="15"/>
        <v>2.9112300036451422E-3</v>
      </c>
      <c r="L36" s="6">
        <f t="shared" si="15"/>
        <v>4.4743812840926343E-3</v>
      </c>
      <c r="M36" s="6">
        <f t="shared" si="15"/>
        <v>-8.8346792935787202E-3</v>
      </c>
      <c r="N36" s="6">
        <f t="shared" si="15"/>
        <v>8.0770937870001339E-3</v>
      </c>
      <c r="O36" s="6">
        <f t="shared" si="7"/>
        <v>0</v>
      </c>
      <c r="P36" s="6"/>
      <c r="Q36" s="6">
        <f t="shared" si="11"/>
        <v>3.8242452117956231E-4</v>
      </c>
      <c r="R36" s="6">
        <f t="shared" si="12"/>
        <v>-8.8346792935787202E-3</v>
      </c>
      <c r="S36" s="6">
        <f t="shared" si="13"/>
        <v>-1.1599759863577634E-3</v>
      </c>
      <c r="T36" s="6">
        <f t="shared" si="8"/>
        <v>6.585126604156952E-6</v>
      </c>
      <c r="U36" s="6">
        <f t="shared" si="14"/>
        <v>3.1735543378925294E-3</v>
      </c>
      <c r="V36" s="6">
        <f t="shared" si="4"/>
        <v>-4.0041012263765125E-3</v>
      </c>
      <c r="W36" s="6">
        <f t="shared" si="9"/>
        <v>-4.4324902565242089E-3</v>
      </c>
      <c r="X36" s="6"/>
      <c r="Y36" s="3" t="s">
        <v>13</v>
      </c>
      <c r="Z36" s="61" cm="1">
        <f t="array" ref="Z36">+SLOPE((R3:R254-O3:O254),(N3:N254-O3:O254))</f>
        <v>0.62244961080506556</v>
      </c>
      <c r="AF36" s="38"/>
    </row>
    <row r="37" spans="1:32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5"/>
        <v>2.1115103099722532E-4</v>
      </c>
      <c r="J37" s="6">
        <f t="shared" si="15"/>
        <v>7.1721957179410305E-3</v>
      </c>
      <c r="K37" s="6">
        <f t="shared" si="15"/>
        <v>-4.9535374384451825E-2</v>
      </c>
      <c r="L37" s="6">
        <f t="shared" si="15"/>
        <v>4.2075901542361687E-3</v>
      </c>
      <c r="M37" s="6">
        <f t="shared" si="15"/>
        <v>1.2211857867236135E-2</v>
      </c>
      <c r="N37" s="6">
        <f t="shared" si="15"/>
        <v>-1.3048673867472557E-3</v>
      </c>
      <c r="O37" s="6">
        <f t="shared" si="7"/>
        <v>-1.2498934651813405E-2</v>
      </c>
      <c r="P37" s="6"/>
      <c r="Q37" s="6">
        <f t="shared" si="11"/>
        <v>7.546036033830892E-3</v>
      </c>
      <c r="R37" s="6">
        <f t="shared" si="12"/>
        <v>1.2211857867236135E-2</v>
      </c>
      <c r="S37" s="6">
        <f t="shared" si="13"/>
        <v>8.4339461912626493E-3</v>
      </c>
      <c r="T37" s="6">
        <f t="shared" si="8"/>
        <v>0</v>
      </c>
      <c r="U37" s="6">
        <f t="shared" si="14"/>
        <v>6.5876193114958615E-3</v>
      </c>
      <c r="V37" s="6">
        <f t="shared" si="4"/>
        <v>9.139020690732861E-3</v>
      </c>
      <c r="W37" s="6">
        <f t="shared" si="9"/>
        <v>6.2405631196253974E-3</v>
      </c>
      <c r="X37" s="6"/>
      <c r="Y37" s="3" t="s">
        <v>41</v>
      </c>
      <c r="Z37" s="61">
        <f>+(Z34-Z12)/Z36</f>
        <v>0.66524476470639871</v>
      </c>
      <c r="AF37" s="38"/>
    </row>
    <row r="38" spans="1:32" x14ac:dyDescent="0.2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5"/>
        <v>2.1001232533235381E-4</v>
      </c>
      <c r="J38" s="6">
        <f t="shared" si="15"/>
        <v>1.4642797262619538E-2</v>
      </c>
      <c r="K38" s="6">
        <f t="shared" si="15"/>
        <v>1.4405068586763934E-2</v>
      </c>
      <c r="L38" s="6">
        <f t="shared" si="15"/>
        <v>1.5278133083516892E-2</v>
      </c>
      <c r="M38" s="6">
        <f t="shared" si="15"/>
        <v>-7.0340122474886078E-3</v>
      </c>
      <c r="N38" s="6">
        <f t="shared" si="15"/>
        <v>1.1745628333713317E-2</v>
      </c>
      <c r="O38" s="6">
        <f t="shared" si="7"/>
        <v>-5.4074430856563748E-3</v>
      </c>
      <c r="P38" s="6"/>
      <c r="Q38" s="6">
        <f t="shared" si="11"/>
        <v>7.4106788460420632E-3</v>
      </c>
      <c r="R38" s="6">
        <f t="shared" si="12"/>
        <v>-7.0340122474886078E-3</v>
      </c>
      <c r="S38" s="6">
        <f t="shared" si="13"/>
        <v>4.7542660395389026E-3</v>
      </c>
      <c r="T38" s="6">
        <f t="shared" si="8"/>
        <v>0</v>
      </c>
      <c r="U38" s="6">
        <f t="shared" si="14"/>
        <v>1.126302757323502E-2</v>
      </c>
      <c r="V38" s="6">
        <f t="shared" si="4"/>
        <v>1.4275080581971217E-3</v>
      </c>
      <c r="W38" s="6">
        <f t="shared" si="9"/>
        <v>3.9913945353456728E-4</v>
      </c>
      <c r="X38" s="6"/>
      <c r="Y38" s="3" t="s">
        <v>40</v>
      </c>
      <c r="Z38" s="61">
        <f>+(Z34-Z12)/Z35</f>
        <v>1.9508492378856379</v>
      </c>
      <c r="AF38" s="38"/>
    </row>
    <row r="39" spans="1:32" x14ac:dyDescent="0.2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5"/>
        <v>2.1153052783073889E-4</v>
      </c>
      <c r="J39" s="6">
        <f t="shared" si="15"/>
        <v>8.4155364965835446E-3</v>
      </c>
      <c r="K39" s="6">
        <f t="shared" si="15"/>
        <v>-4.9046695157092994E-3</v>
      </c>
      <c r="L39" s="6">
        <f t="shared" si="15"/>
        <v>-2.2767875931944174E-3</v>
      </c>
      <c r="M39" s="6">
        <f t="shared" si="15"/>
        <v>1.919178660718069E-2</v>
      </c>
      <c r="N39" s="6">
        <f t="shared" si="15"/>
        <v>6.2840320810455159E-3</v>
      </c>
      <c r="O39" s="6">
        <f t="shared" si="7"/>
        <v>7.2031066416294353E-3</v>
      </c>
      <c r="P39" s="6"/>
      <c r="Q39" s="6">
        <f t="shared" si="11"/>
        <v>7.1942495184056108E-3</v>
      </c>
      <c r="R39" s="6">
        <f t="shared" si="12"/>
        <v>1.919178660718069E-2</v>
      </c>
      <c r="S39" s="6">
        <f t="shared" si="13"/>
        <v>9.883193925164159E-3</v>
      </c>
      <c r="T39" s="6">
        <f t="shared" si="8"/>
        <v>0</v>
      </c>
      <c r="U39" s="6">
        <f t="shared" si="14"/>
        <v>5.047859338967702E-3</v>
      </c>
      <c r="V39" s="6">
        <f t="shared" si="4"/>
        <v>-1.3385178195436014E-3</v>
      </c>
      <c r="W39" s="6">
        <f t="shared" si="9"/>
        <v>1.1929062194504866E-2</v>
      </c>
      <c r="X39" s="6"/>
      <c r="AF39" s="38"/>
    </row>
    <row r="40" spans="1:32" ht="17" thickBot="1" x14ac:dyDescent="0.25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5"/>
        <v>2.1153052783073889E-4</v>
      </c>
      <c r="J40" s="6">
        <f t="shared" si="15"/>
        <v>-3.3577377412587176E-3</v>
      </c>
      <c r="K40" s="6">
        <f t="shared" si="15"/>
        <v>2.1514155913894644E-2</v>
      </c>
      <c r="L40" s="6">
        <f t="shared" si="15"/>
        <v>6.0600170693245765E-3</v>
      </c>
      <c r="M40" s="6">
        <f t="shared" si="15"/>
        <v>1.5493841465178439E-2</v>
      </c>
      <c r="N40" s="6">
        <f t="shared" si="15"/>
        <v>5.1944583608864153E-3</v>
      </c>
      <c r="O40" s="6">
        <f t="shared" si="7"/>
        <v>0</v>
      </c>
      <c r="P40" s="6"/>
      <c r="Q40" s="6">
        <f t="shared" si="11"/>
        <v>7.5598483942191531E-3</v>
      </c>
      <c r="R40" s="6">
        <f t="shared" si="12"/>
        <v>1.5493841465178439E-2</v>
      </c>
      <c r="S40" s="6">
        <f t="shared" si="13"/>
        <v>8.5776311861466351E-3</v>
      </c>
      <c r="T40" s="6">
        <f t="shared" si="8"/>
        <v>0</v>
      </c>
      <c r="U40" s="6">
        <f t="shared" si="14"/>
        <v>4.431801484437445E-3</v>
      </c>
      <c r="V40" s="6">
        <f t="shared" si="4"/>
        <v>-1.8421931965274373E-4</v>
      </c>
      <c r="W40" s="6">
        <f t="shared" si="9"/>
        <v>1.3181894954928129E-2</v>
      </c>
      <c r="X40" s="6"/>
      <c r="Y40" s="59" t="s">
        <v>69</v>
      </c>
      <c r="Z40" s="59"/>
      <c r="AF40" s="38"/>
    </row>
    <row r="41" spans="1:32" ht="17" thickTop="1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5"/>
        <v>2.0925300885044074E-4</v>
      </c>
      <c r="J41" s="6">
        <f t="shared" si="15"/>
        <v>7.8729256654077838E-3</v>
      </c>
      <c r="K41" s="6">
        <f t="shared" si="15"/>
        <v>-5.9402085775266582E-3</v>
      </c>
      <c r="L41" s="6">
        <f t="shared" si="15"/>
        <v>3.4271245700145075E-3</v>
      </c>
      <c r="M41" s="6">
        <f t="shared" si="15"/>
        <v>-1.2781979492703863E-2</v>
      </c>
      <c r="N41" s="6">
        <f t="shared" si="15"/>
        <v>4.2838286545689866E-3</v>
      </c>
      <c r="O41" s="6">
        <f t="shared" si="7"/>
        <v>-1.0825239215833657E-2</v>
      </c>
      <c r="P41" s="6"/>
      <c r="Q41" s="6">
        <f t="shared" si="11"/>
        <v>-1.362937231010072E-3</v>
      </c>
      <c r="R41" s="6">
        <f t="shared" si="12"/>
        <v>-1.2781979492703863E-2</v>
      </c>
      <c r="S41" s="6">
        <f t="shared" si="13"/>
        <v>-3.2414312583003342E-3</v>
      </c>
      <c r="T41" s="6">
        <f t="shared" si="8"/>
        <v>2.1600236179462801E-5</v>
      </c>
      <c r="U41" s="6">
        <f t="shared" si="14"/>
        <v>2.1952248290932671E-3</v>
      </c>
      <c r="V41" s="6">
        <f t="shared" si="4"/>
        <v>-4.0610842417796236E-4</v>
      </c>
      <c r="W41" s="6">
        <f t="shared" si="9"/>
        <v>-7.8702006216286903E-3</v>
      </c>
      <c r="X41" s="6"/>
      <c r="Y41" s="3" t="s">
        <v>21</v>
      </c>
      <c r="Z41" s="60">
        <f>+((1+AVERAGE(S3:S254))^252)-1</f>
        <v>0.42490761505963337</v>
      </c>
      <c r="AF41" s="38"/>
    </row>
    <row r="42" spans="1:32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5"/>
        <v>2.0963268503315646E-4</v>
      </c>
      <c r="J42" s="6">
        <f t="shared" si="15"/>
        <v>5.0484914715231101E-3</v>
      </c>
      <c r="K42" s="6">
        <f t="shared" si="15"/>
        <v>-1.6898605731409447E-2</v>
      </c>
      <c r="L42" s="6">
        <f t="shared" si="15"/>
        <v>-2.3292037153074849E-3</v>
      </c>
      <c r="M42" s="6">
        <f t="shared" si="15"/>
        <v>-2.1903648579655197E-2</v>
      </c>
      <c r="N42" s="6">
        <f t="shared" si="15"/>
        <v>-6.2659488852716012E-3</v>
      </c>
      <c r="O42" s="6">
        <f t="shared" si="7"/>
        <v>1.8127918534072056E-3</v>
      </c>
      <c r="P42" s="6"/>
      <c r="Q42" s="6">
        <f t="shared" si="11"/>
        <v>-7.7349588540997268E-3</v>
      </c>
      <c r="R42" s="6">
        <f t="shared" si="12"/>
        <v>-2.1903648579655197E-2</v>
      </c>
      <c r="S42" s="6">
        <f t="shared" si="13"/>
        <v>-9.9818574053932643E-3</v>
      </c>
      <c r="T42" s="6">
        <f t="shared" si="8"/>
        <v>1.2968726306976803E-4</v>
      </c>
      <c r="U42" s="6">
        <f t="shared" si="14"/>
        <v>-3.1271248266413329E-3</v>
      </c>
      <c r="V42" s="6">
        <f t="shared" si="4"/>
        <v>2.2392024368536956E-3</v>
      </c>
      <c r="W42" s="6">
        <f t="shared" si="9"/>
        <v>-1.6152336326834743E-2</v>
      </c>
      <c r="X42" s="6"/>
      <c r="Y42" s="3" t="s">
        <v>63</v>
      </c>
      <c r="Z42" s="63" cm="1">
        <f t="array" ref="Z42">SQRT(+MMULT(MMULT(Z18:AC18,Z23:AC26),TRANSPOSE(Z18:AC18)))*SQRT(252)</f>
        <v>0.13421261076256277</v>
      </c>
      <c r="AF42" s="38"/>
    </row>
    <row r="43" spans="1:32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5"/>
        <v>2.1153052783073889E-4</v>
      </c>
      <c r="J43" s="6">
        <f t="shared" si="15"/>
        <v>-1.0346128156285038E-2</v>
      </c>
      <c r="K43" s="6">
        <f t="shared" si="15"/>
        <v>1.5136608826072475E-3</v>
      </c>
      <c r="L43" s="6">
        <f t="shared" si="15"/>
        <v>1.490802752612275E-2</v>
      </c>
      <c r="M43" s="6">
        <f t="shared" si="15"/>
        <v>-6.2479325408984904E-3</v>
      </c>
      <c r="N43" s="6">
        <f t="shared" si="15"/>
        <v>-5.0314774496886677E-3</v>
      </c>
      <c r="O43" s="6">
        <f t="shared" si="7"/>
        <v>9.0124473624263561E-3</v>
      </c>
      <c r="P43" s="6"/>
      <c r="Q43" s="6">
        <f t="shared" si="11"/>
        <v>2.7995346192651849E-3</v>
      </c>
      <c r="R43" s="6">
        <f t="shared" si="12"/>
        <v>-6.2479325408984904E-3</v>
      </c>
      <c r="S43" s="6">
        <f t="shared" si="13"/>
        <v>-8.4453466739467346E-5</v>
      </c>
      <c r="T43" s="6">
        <f t="shared" si="8"/>
        <v>2.2219707393186982E-6</v>
      </c>
      <c r="U43" s="6">
        <f t="shared" si="14"/>
        <v>2.6367328567495707E-3</v>
      </c>
      <c r="V43" s="6">
        <f t="shared" si="4"/>
        <v>6.1043256832946863E-3</v>
      </c>
      <c r="W43" s="6">
        <f t="shared" si="9"/>
        <v>-2.2710326456449378E-4</v>
      </c>
      <c r="X43" s="6"/>
      <c r="Y43" s="3" t="s">
        <v>13</v>
      </c>
      <c r="Z43" s="61" cm="1">
        <f t="array" ref="Z43">+SLOPE((S3:S254-O3:O254),(N3:N254-O3:O254))</f>
        <v>0.78885678397437664</v>
      </c>
      <c r="AF43" s="38"/>
    </row>
    <row r="44" spans="1:32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5"/>
        <v>2.107714983077269E-4</v>
      </c>
      <c r="J44" s="6">
        <f t="shared" si="15"/>
        <v>-7.2710133536225421E-4</v>
      </c>
      <c r="K44" s="6">
        <f t="shared" si="15"/>
        <v>1.0158067162630343E-2</v>
      </c>
      <c r="L44" s="6">
        <f t="shared" si="15"/>
        <v>-1.0140315442376808E-3</v>
      </c>
      <c r="M44" s="6">
        <f t="shared" si="15"/>
        <v>3.47593227385585E-3</v>
      </c>
      <c r="N44" s="6">
        <f t="shared" si="15"/>
        <v>1.0538619453747615E-2</v>
      </c>
      <c r="O44" s="6">
        <f t="shared" si="7"/>
        <v>-3.5947274385814774E-3</v>
      </c>
      <c r="P44" s="6"/>
      <c r="Q44" s="6">
        <f t="shared" si="11"/>
        <v>5.991667264906524E-4</v>
      </c>
      <c r="R44" s="6">
        <f t="shared" si="12"/>
        <v>3.47593227385585E-3</v>
      </c>
      <c r="S44" s="6">
        <f t="shared" si="13"/>
        <v>1.1568707250246908E-3</v>
      </c>
      <c r="T44" s="6">
        <f t="shared" si="8"/>
        <v>6.2152205654070334E-8</v>
      </c>
      <c r="U44" s="6">
        <f t="shared" si="14"/>
        <v>-1.5143529000831543E-4</v>
      </c>
      <c r="V44" s="6">
        <f t="shared" si="4"/>
        <v>-9.1162123760297788E-3</v>
      </c>
      <c r="W44" s="6">
        <f t="shared" si="9"/>
        <v>2.6597222259004873E-3</v>
      </c>
      <c r="X44" s="6"/>
      <c r="Y44" s="3" t="s">
        <v>67</v>
      </c>
      <c r="Z44" s="3">
        <f>+SUM(T3:T254)/COUNTIF(T3:T254,"&gt;0")</f>
        <v>7.0234115807703751E-5</v>
      </c>
      <c r="AF44" s="38"/>
    </row>
    <row r="45" spans="1:32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5"/>
        <v>2.1115103099722532E-4</v>
      </c>
      <c r="J45" s="6">
        <f t="shared" si="15"/>
        <v>-8.8236168219693739E-3</v>
      </c>
      <c r="K45" s="6">
        <f t="shared" si="15"/>
        <v>1.1907236828734701E-2</v>
      </c>
      <c r="L45" s="6">
        <f t="shared" si="15"/>
        <v>-2.1668112665697982E-3</v>
      </c>
      <c r="M45" s="6">
        <f t="shared" si="15"/>
        <v>1.1728316519177792E-2</v>
      </c>
      <c r="N45" s="6">
        <f t="shared" si="15"/>
        <v>-9.8321334779938874E-5</v>
      </c>
      <c r="O45" s="6">
        <f t="shared" si="7"/>
        <v>1.799063882608539E-3</v>
      </c>
      <c r="P45" s="6"/>
      <c r="Q45" s="6">
        <f t="shared" si="11"/>
        <v>1.40280618707462E-3</v>
      </c>
      <c r="R45" s="6">
        <f t="shared" si="12"/>
        <v>1.1728316519177792E-2</v>
      </c>
      <c r="S45" s="6">
        <f t="shared" si="13"/>
        <v>2.9852426952108949E-3</v>
      </c>
      <c r="T45" s="6">
        <f t="shared" si="8"/>
        <v>0</v>
      </c>
      <c r="U45" s="6">
        <f t="shared" si="14"/>
        <v>-2.0878463244316508E-3</v>
      </c>
      <c r="V45" s="6">
        <f t="shared" si="4"/>
        <v>-2.2008114786746368E-3</v>
      </c>
      <c r="W45" s="6">
        <f t="shared" si="9"/>
        <v>7.8612301147132288E-3</v>
      </c>
      <c r="X45" s="6"/>
      <c r="Y45" s="3" t="s">
        <v>68</v>
      </c>
      <c r="Z45" s="62">
        <f>+SQRT(Z44)*SQRT(250)</f>
        <v>0.13250859953952399</v>
      </c>
      <c r="AF45" s="38"/>
    </row>
    <row r="46" spans="1:32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5"/>
        <v>2.1342747439123677E-4</v>
      </c>
      <c r="J46" s="6">
        <f t="shared" si="15"/>
        <v>-7.4223370429170512E-3</v>
      </c>
      <c r="K46" s="6">
        <f t="shared" si="15"/>
        <v>-3.7001627652822851E-4</v>
      </c>
      <c r="L46" s="6">
        <f t="shared" si="15"/>
        <v>-1.1041381345434621E-2</v>
      </c>
      <c r="M46" s="6">
        <f t="shared" si="15"/>
        <v>-1.7993646801684915E-2</v>
      </c>
      <c r="N46" s="6">
        <f t="shared" si="15"/>
        <v>-1.349038622382619E-2</v>
      </c>
      <c r="O46" s="6">
        <f t="shared" si="7"/>
        <v>1.0723412416764824E-2</v>
      </c>
      <c r="P46" s="6"/>
      <c r="Q46" s="6">
        <f t="shared" si="11"/>
        <v>-1.2773014708979426E-2</v>
      </c>
      <c r="R46" s="6">
        <f t="shared" si="12"/>
        <v>-1.7993646801684915E-2</v>
      </c>
      <c r="S46" s="6">
        <f t="shared" si="13"/>
        <v>-1.3527043976388615E-2</v>
      </c>
      <c r="T46" s="6">
        <f t="shared" si="8"/>
        <v>2.2300100408648374E-4</v>
      </c>
      <c r="U46" s="6">
        <f t="shared" si="14"/>
        <v>-1.0981871300385145E-2</v>
      </c>
      <c r="V46" s="6">
        <f t="shared" si="4"/>
        <v>-1.8785292732158634E-4</v>
      </c>
      <c r="W46" s="6">
        <f t="shared" si="9"/>
        <v>-1.4963768665443104E-2</v>
      </c>
      <c r="X46" s="6"/>
      <c r="Y46" s="3" t="s">
        <v>66</v>
      </c>
      <c r="Z46" s="61">
        <f>+(Z41-Z12)/Z45</f>
        <v>2.8212092938049929</v>
      </c>
      <c r="AF46" s="38"/>
    </row>
    <row r="47" spans="1:32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5"/>
        <v>2.1304815673750532E-4</v>
      </c>
      <c r="J47" s="6">
        <f t="shared" si="15"/>
        <v>-2.1632256780532658E-3</v>
      </c>
      <c r="K47" s="6">
        <f t="shared" si="15"/>
        <v>5.5350153172178456E-3</v>
      </c>
      <c r="L47" s="6">
        <f t="shared" si="15"/>
        <v>-4.2583678361532767E-3</v>
      </c>
      <c r="M47" s="6">
        <f t="shared" si="15"/>
        <v>6.3577877182322051E-2</v>
      </c>
      <c r="N47" s="6">
        <f t="shared" si="15"/>
        <v>-8.5190096941524674E-3</v>
      </c>
      <c r="O47" s="6">
        <f t="shared" si="7"/>
        <v>-1.7788484315057955E-3</v>
      </c>
      <c r="P47" s="6"/>
      <c r="Q47" s="6">
        <f t="shared" si="11"/>
        <v>1.9692109801849905E-2</v>
      </c>
      <c r="R47" s="6">
        <f t="shared" si="12"/>
        <v>6.3577877182322051E-2</v>
      </c>
      <c r="S47" s="6">
        <f t="shared" si="13"/>
        <v>2.7784335401774513E-2</v>
      </c>
      <c r="T47" s="6">
        <f t="shared" si="8"/>
        <v>0</v>
      </c>
      <c r="U47" s="6">
        <f t="shared" si="14"/>
        <v>8.0050133061395704E-3</v>
      </c>
      <c r="V47" s="6">
        <f t="shared" si="4"/>
        <v>1.5773461124094303E-2</v>
      </c>
      <c r="W47" s="6">
        <f t="shared" si="9"/>
        <v>4.1420471858409497E-2</v>
      </c>
      <c r="X47" s="6"/>
      <c r="Y47" s="3" t="s">
        <v>41</v>
      </c>
      <c r="Z47" s="61">
        <f>+(Z41-Z12)/Z43</f>
        <v>0.47389399460641746</v>
      </c>
      <c r="AF47" s="38"/>
    </row>
    <row r="48" spans="1:32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5"/>
        <v>2.1190998881470691E-4</v>
      </c>
      <c r="J48" s="6">
        <f t="shared" si="15"/>
        <v>-1.48134638605088E-2</v>
      </c>
      <c r="K48" s="6">
        <f t="shared" si="15"/>
        <v>4.0397446205238134E-3</v>
      </c>
      <c r="L48" s="6">
        <f t="shared" si="15"/>
        <v>-1.623677213768495E-2</v>
      </c>
      <c r="M48" s="6">
        <f t="shared" si="15"/>
        <v>7.8330630368045693E-3</v>
      </c>
      <c r="N48" s="6">
        <f t="shared" si="15"/>
        <v>-1.2665186185757991E-2</v>
      </c>
      <c r="O48" s="6">
        <f t="shared" si="7"/>
        <v>-5.3566246756515997E-3</v>
      </c>
      <c r="P48" s="6"/>
      <c r="Q48" s="6">
        <f t="shared" si="11"/>
        <v>-7.6103871121983181E-3</v>
      </c>
      <c r="R48" s="6">
        <f t="shared" si="12"/>
        <v>7.8330630368045693E-3</v>
      </c>
      <c r="S48" s="6">
        <f t="shared" si="13"/>
        <v>-4.6976733637256393E-3</v>
      </c>
      <c r="T48" s="6">
        <f t="shared" si="8"/>
        <v>3.7256954665450808E-5</v>
      </c>
      <c r="U48" s="6">
        <f t="shared" si="14"/>
        <v>-1.1651999796659011E-2</v>
      </c>
      <c r="V48" s="6">
        <f t="shared" si="4"/>
        <v>1.9932935726025159E-4</v>
      </c>
      <c r="W48" s="6">
        <f t="shared" si="9"/>
        <v>1.013948842764437E-3</v>
      </c>
      <c r="X48" s="6"/>
      <c r="Y48" s="3" t="s">
        <v>40</v>
      </c>
      <c r="Z48" s="61">
        <f>+(Z41-Z12)/Z42</f>
        <v>2.7853902133782675</v>
      </c>
      <c r="AF48" s="38"/>
    </row>
    <row r="49" spans="1:32" x14ac:dyDescent="0.2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5"/>
        <v>2.107714983077269E-4</v>
      </c>
      <c r="J49" s="6">
        <f t="shared" si="15"/>
        <v>6.9385280456884656E-4</v>
      </c>
      <c r="K49" s="6">
        <f t="shared" si="15"/>
        <v>-9.01984365197008E-3</v>
      </c>
      <c r="L49" s="6">
        <f t="shared" si="15"/>
        <v>-1.3735076896956099E-2</v>
      </c>
      <c r="M49" s="6">
        <f t="shared" si="15"/>
        <v>-2.8356670761467306E-2</v>
      </c>
      <c r="N49" s="6">
        <f t="shared" si="15"/>
        <v>-1.6869643388467898E-3</v>
      </c>
      <c r="O49" s="6">
        <f t="shared" si="7"/>
        <v>-5.3870031922159129E-3</v>
      </c>
      <c r="P49" s="6"/>
      <c r="Q49" s="6">
        <f t="shared" si="11"/>
        <v>-1.6091317896349336E-2</v>
      </c>
      <c r="R49" s="6">
        <f t="shared" si="12"/>
        <v>-2.8356670761467306E-2</v>
      </c>
      <c r="S49" s="6">
        <f t="shared" si="13"/>
        <v>-1.7616520772199652E-2</v>
      </c>
      <c r="T49" s="6">
        <f t="shared" si="8"/>
        <v>3.6186292270966558E-4</v>
      </c>
      <c r="U49" s="6">
        <f t="shared" si="14"/>
        <v>-1.1269086771998105E-2</v>
      </c>
      <c r="V49" s="6">
        <f t="shared" si="4"/>
        <v>-9.1700984480310027E-3</v>
      </c>
      <c r="W49" s="6">
        <f t="shared" si="9"/>
        <v>-2.3007612493245722E-2</v>
      </c>
      <c r="X49" s="6"/>
      <c r="AF49" s="38"/>
    </row>
    <row r="50" spans="1:32" ht="17" thickBot="1" x14ac:dyDescent="0.25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5"/>
        <v>2.1115103099722532E-4</v>
      </c>
      <c r="J50" s="6">
        <f t="shared" si="15"/>
        <v>2.5402110604923374E-3</v>
      </c>
      <c r="K50" s="6">
        <f t="shared" si="15"/>
        <v>2.8437891260977562E-2</v>
      </c>
      <c r="L50" s="6">
        <f t="shared" si="15"/>
        <v>1.2049500256252955E-3</v>
      </c>
      <c r="M50" s="6">
        <f t="shared" si="15"/>
        <v>3.8062243981015008E-2</v>
      </c>
      <c r="N50" s="6">
        <f t="shared" si="15"/>
        <v>7.2394913997594025E-3</v>
      </c>
      <c r="O50" s="6">
        <f t="shared" si="7"/>
        <v>1.799063882608539E-3</v>
      </c>
      <c r="P50" s="6"/>
      <c r="Q50" s="6">
        <f t="shared" si="11"/>
        <v>1.4255034910361413E-2</v>
      </c>
      <c r="R50" s="6">
        <f t="shared" si="12"/>
        <v>3.8062243981015008E-2</v>
      </c>
      <c r="S50" s="6">
        <f t="shared" si="13"/>
        <v>1.8696217032811616E-2</v>
      </c>
      <c r="T50" s="6">
        <f t="shared" si="8"/>
        <v>0</v>
      </c>
      <c r="U50" s="6">
        <f t="shared" si="14"/>
        <v>7.9355921904545913E-3</v>
      </c>
      <c r="V50" s="6">
        <f t="shared" si="4"/>
        <v>1.3019286522955066E-3</v>
      </c>
      <c r="W50" s="6">
        <f t="shared" si="9"/>
        <v>2.7376475742472067E-2</v>
      </c>
      <c r="X50" s="6"/>
      <c r="Y50" s="59" t="s">
        <v>78</v>
      </c>
      <c r="Z50" s="59"/>
      <c r="AF50" s="38"/>
    </row>
    <row r="51" spans="1:32" ht="17" thickTop="1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5"/>
        <v>2.107714983077269E-4</v>
      </c>
      <c r="J51" s="6">
        <f t="shared" si="15"/>
        <v>-1.3583577722310494E-2</v>
      </c>
      <c r="K51" s="6">
        <f t="shared" si="15"/>
        <v>8.5898919565569297E-3</v>
      </c>
      <c r="L51" s="6">
        <f t="shared" si="15"/>
        <v>-5.4694749611117069E-3</v>
      </c>
      <c r="M51" s="6">
        <f t="shared" si="15"/>
        <v>-2.2136321441816844E-2</v>
      </c>
      <c r="N51" s="6">
        <f t="shared" si="15"/>
        <v>-1.4443397939346892E-2</v>
      </c>
      <c r="O51" s="6">
        <f t="shared" si="7"/>
        <v>-1.7990638826084831E-3</v>
      </c>
      <c r="P51" s="6"/>
      <c r="Q51" s="6">
        <f t="shared" si="11"/>
        <v>-1.2786975412665973E-2</v>
      </c>
      <c r="R51" s="6">
        <f t="shared" si="12"/>
        <v>-2.2136321441816844E-2</v>
      </c>
      <c r="S51" s="6">
        <f t="shared" si="13"/>
        <v>-1.4849028133815419E-2</v>
      </c>
      <c r="T51" s="6">
        <f t="shared" si="8"/>
        <v>2.64231601806095E-4</v>
      </c>
      <c r="U51" s="6">
        <f t="shared" si="14"/>
        <v>-1.1091749939879783E-2</v>
      </c>
      <c r="V51" s="6">
        <f t="shared" si="4"/>
        <v>1.9436171344652409E-3</v>
      </c>
      <c r="W51" s="6">
        <f t="shared" si="9"/>
        <v>-1.5755062629698391E-2</v>
      </c>
      <c r="X51" s="6"/>
      <c r="Y51" s="3" t="s">
        <v>21</v>
      </c>
      <c r="Z51" s="60">
        <f>+((1+AVERAGE(U3:U254))^252)-1</f>
        <v>0.39886841338880963</v>
      </c>
      <c r="AF51" s="38"/>
    </row>
    <row r="52" spans="1:32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5"/>
        <v>2.1153052783073889E-4</v>
      </c>
      <c r="J52" s="6">
        <f t="shared" si="15"/>
        <v>-2.4913184770041188E-2</v>
      </c>
      <c r="K52" s="6">
        <f t="shared" si="15"/>
        <v>-6.0768940601561034E-3</v>
      </c>
      <c r="L52" s="6">
        <f t="shared" si="15"/>
        <v>2.5609400579485304E-3</v>
      </c>
      <c r="M52" s="6">
        <f t="shared" si="15"/>
        <v>-4.6189215703234801E-3</v>
      </c>
      <c r="N52" s="6">
        <f t="shared" si="15"/>
        <v>-1.1903071819740901E-2</v>
      </c>
      <c r="O52" s="6">
        <f t="shared" si="7"/>
        <v>3.5947274385814149E-3</v>
      </c>
      <c r="P52" s="6"/>
      <c r="Q52" s="6">
        <f t="shared" si="11"/>
        <v>-5.1131396996198716E-3</v>
      </c>
      <c r="R52" s="6">
        <f t="shared" si="12"/>
        <v>-4.6189215703234801E-3</v>
      </c>
      <c r="S52" s="6">
        <f t="shared" si="13"/>
        <v>-6.3614060937025058E-3</v>
      </c>
      <c r="T52" s="6">
        <f t="shared" si="8"/>
        <v>6.0335303090045816E-5</v>
      </c>
      <c r="U52" s="6">
        <f t="shared" si="14"/>
        <v>-8.0942099840539978E-3</v>
      </c>
      <c r="V52" s="6">
        <f t="shared" si="4"/>
        <v>2.0830786036556484E-3</v>
      </c>
      <c r="W52" s="6">
        <f t="shared" si="9"/>
        <v>-3.0214048210388885E-3</v>
      </c>
      <c r="X52" s="6"/>
      <c r="Y52" s="3" t="s">
        <v>63</v>
      </c>
      <c r="Z52" s="63" cm="1">
        <f t="array" ref="Z52">SQRT(+MMULT(MMULT(Z19:AC19,Z23:AC26),TRANSPOSE(Z19:AC19)))*SQRT(252)</f>
        <v>0.13126235442590581</v>
      </c>
      <c r="AF52" s="38"/>
    </row>
    <row r="53" spans="1:32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5"/>
        <v>2.1001232533235381E-4</v>
      </c>
      <c r="J53" s="6">
        <f t="shared" si="15"/>
        <v>7.9376258370334254E-3</v>
      </c>
      <c r="K53" s="6">
        <f t="shared" si="15"/>
        <v>-9.7279469304567372E-3</v>
      </c>
      <c r="L53" s="6">
        <f t="shared" si="15"/>
        <v>-3.6683337928199083E-2</v>
      </c>
      <c r="M53" s="6">
        <f t="shared" si="15"/>
        <v>-2.0040684628752883E-2</v>
      </c>
      <c r="N53" s="6">
        <f t="shared" si="15"/>
        <v>-4.811871761208667E-3</v>
      </c>
      <c r="O53" s="6">
        <f t="shared" si="7"/>
        <v>-7.2031066416293607E-3</v>
      </c>
      <c r="P53" s="6"/>
      <c r="Q53" s="6">
        <f t="shared" si="11"/>
        <v>-2.24899314103712E-2</v>
      </c>
      <c r="R53" s="6">
        <f t="shared" si="12"/>
        <v>-2.0040684628752883E-2</v>
      </c>
      <c r="S53" s="6">
        <f t="shared" si="13"/>
        <v>-1.9847215169156013E-2</v>
      </c>
      <c r="T53" s="6">
        <f t="shared" si="8"/>
        <v>4.5170655822933126E-4</v>
      </c>
      <c r="U53" s="6">
        <f t="shared" si="14"/>
        <v>-1.8530444357654326E-2</v>
      </c>
      <c r="V53" s="6">
        <f t="shared" si="4"/>
        <v>-1.345229265619787E-2</v>
      </c>
      <c r="W53" s="6">
        <f t="shared" si="9"/>
        <v>-2.351137617069271E-2</v>
      </c>
      <c r="X53" s="6"/>
      <c r="Y53" s="3" t="s">
        <v>13</v>
      </c>
      <c r="Z53" s="61" cm="1">
        <f t="array" ref="Z53">+SLOPE((U3:U254-O3:O254),(N3:N254-O3:O254))</f>
        <v>0.88864333553007469</v>
      </c>
      <c r="AF53" s="38"/>
    </row>
    <row r="54" spans="1:32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5"/>
        <v>2.1001232533235381E-4</v>
      </c>
      <c r="J54" s="6">
        <f t="shared" si="15"/>
        <v>1.2230145391432332E-2</v>
      </c>
      <c r="K54" s="6">
        <f t="shared" si="15"/>
        <v>1.6339294527615768E-2</v>
      </c>
      <c r="L54" s="6">
        <f t="shared" si="15"/>
        <v>1.26689866257148E-2</v>
      </c>
      <c r="M54" s="6">
        <f t="shared" si="15"/>
        <v>2.9257291384540907E-2</v>
      </c>
      <c r="N54" s="6">
        <f t="shared" si="15"/>
        <v>1.1938544947970331E-2</v>
      </c>
      <c r="O54" s="6">
        <f t="shared" si="7"/>
        <v>0</v>
      </c>
      <c r="P54" s="6"/>
      <c r="Q54" s="6">
        <f t="shared" si="11"/>
        <v>1.8346336930474313E-2</v>
      </c>
      <c r="R54" s="6">
        <f t="shared" si="12"/>
        <v>2.9257291384540907E-2</v>
      </c>
      <c r="S54" s="6">
        <f t="shared" si="13"/>
        <v>2.031442577462185E-2</v>
      </c>
      <c r="T54" s="6">
        <f t="shared" si="8"/>
        <v>0</v>
      </c>
      <c r="U54" s="6">
        <f t="shared" si="14"/>
        <v>1.5341217891234549E-2</v>
      </c>
      <c r="V54" s="6">
        <f t="shared" si="4"/>
        <v>4.7321094872944721E-3</v>
      </c>
      <c r="W54" s="6">
        <f t="shared" si="9"/>
        <v>2.3907940624057107E-2</v>
      </c>
      <c r="X54" s="6"/>
      <c r="Y54" s="3" t="s">
        <v>77</v>
      </c>
      <c r="Z54" s="14">
        <f>+_xlfn.VAR.S(V3:V254)</f>
        <v>4.2726640172752866E-5</v>
      </c>
      <c r="AF54" s="38"/>
    </row>
    <row r="55" spans="1:32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5"/>
        <v>2.107714983077269E-4</v>
      </c>
      <c r="J55" s="6">
        <f t="shared" si="15"/>
        <v>2.8148308012558494E-3</v>
      </c>
      <c r="K55" s="6">
        <f t="shared" si="15"/>
        <v>6.0369707476601144E-3</v>
      </c>
      <c r="L55" s="6">
        <f t="shared" si="15"/>
        <v>1.1863603111821981E-2</v>
      </c>
      <c r="M55" s="6">
        <f t="shared" si="15"/>
        <v>9.1325041752728462E-3</v>
      </c>
      <c r="N55" s="6">
        <f t="shared" si="15"/>
        <v>6.4540892074659807E-3</v>
      </c>
      <c r="O55" s="6">
        <f t="shared" si="7"/>
        <v>3.6083792030479219E-3</v>
      </c>
      <c r="P55" s="6"/>
      <c r="Q55" s="6">
        <f t="shared" si="11"/>
        <v>9.2088806798137253E-3</v>
      </c>
      <c r="R55" s="6">
        <f t="shared" si="12"/>
        <v>9.1325041752728462E-3</v>
      </c>
      <c r="S55" s="6">
        <f t="shared" si="13"/>
        <v>8.7486314962522474E-3</v>
      </c>
      <c r="T55" s="6">
        <f t="shared" si="8"/>
        <v>0</v>
      </c>
      <c r="U55" s="6">
        <f t="shared" si="14"/>
        <v>8.2919173724700368E-3</v>
      </c>
      <c r="V55" s="6">
        <f t="shared" si="4"/>
        <v>2.1547169391447473E-3</v>
      </c>
      <c r="W55" s="6">
        <f t="shared" si="9"/>
        <v>9.5978676275085117E-3</v>
      </c>
      <c r="X55" s="6"/>
      <c r="Y55" s="3" t="s">
        <v>76</v>
      </c>
      <c r="Z55" s="21">
        <f>+SQRT(Z54)*SQRT(250)</f>
        <v>0.10335211678136165</v>
      </c>
      <c r="AF55" s="38"/>
    </row>
    <row r="56" spans="1:32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5"/>
        <v>2.1190998881470691E-4</v>
      </c>
      <c r="J56" s="6">
        <f t="shared" si="15"/>
        <v>1.8565290897534802E-2</v>
      </c>
      <c r="K56" s="6">
        <f t="shared" si="15"/>
        <v>-8.8556819319023528E-4</v>
      </c>
      <c r="L56" s="6">
        <f t="shared" si="15"/>
        <v>-8.6331287395108823E-4</v>
      </c>
      <c r="M56" s="6">
        <f t="shared" si="15"/>
        <v>1.1620614661695866E-2</v>
      </c>
      <c r="N56" s="6">
        <f t="shared" si="15"/>
        <v>1.0451180679737281E-2</v>
      </c>
      <c r="O56" s="6">
        <f t="shared" si="7"/>
        <v>5.3870031922159962E-3</v>
      </c>
      <c r="P56" s="6"/>
      <c r="Q56" s="6">
        <f t="shared" si="11"/>
        <v>7.1353552551786034E-3</v>
      </c>
      <c r="R56" s="6">
        <f t="shared" si="12"/>
        <v>1.1620614661695866E-2</v>
      </c>
      <c r="S56" s="6">
        <f t="shared" si="13"/>
        <v>8.8847409935393744E-3</v>
      </c>
      <c r="T56" s="6">
        <f t="shared" si="8"/>
        <v>0</v>
      </c>
      <c r="U56" s="6">
        <f t="shared" si="14"/>
        <v>7.9320018541150193E-3</v>
      </c>
      <c r="V56" s="6">
        <f t="shared" si="4"/>
        <v>-1.9552489123282049E-3</v>
      </c>
      <c r="W56" s="6">
        <f t="shared" si="9"/>
        <v>7.6254485620458551E-3</v>
      </c>
      <c r="X56" s="6"/>
      <c r="Y56" s="3" t="s">
        <v>79</v>
      </c>
      <c r="Z56" s="66">
        <f>+(Z51-Z12)/Z55</f>
        <v>3.3651491782690433</v>
      </c>
      <c r="AF56" s="38"/>
    </row>
    <row r="57" spans="1:32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5"/>
        <v>2.0925300885044074E-4</v>
      </c>
      <c r="J57" s="6">
        <f t="shared" si="15"/>
        <v>2.0482069684558096E-2</v>
      </c>
      <c r="K57" s="6">
        <f t="shared" si="15"/>
        <v>1.1450857122828546E-2</v>
      </c>
      <c r="L57" s="6">
        <f t="shared" si="15"/>
        <v>1.7691845912209535E-2</v>
      </c>
      <c r="M57" s="6">
        <f t="shared" si="15"/>
        <v>9.581644883623272E-3</v>
      </c>
      <c r="N57" s="6">
        <f t="shared" si="15"/>
        <v>1.8682956430735833E-2</v>
      </c>
      <c r="O57" s="6">
        <f t="shared" si="7"/>
        <v>-1.2617514969468103E-2</v>
      </c>
      <c r="P57" s="6"/>
      <c r="Q57" s="6">
        <f t="shared" si="11"/>
        <v>1.5401836834377028E-2</v>
      </c>
      <c r="R57" s="6">
        <f t="shared" si="12"/>
        <v>9.581644883623272E-3</v>
      </c>
      <c r="S57" s="6">
        <f t="shared" si="13"/>
        <v>1.4466808678214396E-2</v>
      </c>
      <c r="T57" s="6">
        <f t="shared" si="8"/>
        <v>0</v>
      </c>
      <c r="U57" s="6">
        <f t="shared" si="14"/>
        <v>1.7269726785565213E-2</v>
      </c>
      <c r="V57" s="6">
        <f t="shared" si="4"/>
        <v>2.0722864462923811E-3</v>
      </c>
      <c r="W57" s="6">
        <f t="shared" si="9"/>
        <v>1.1949225558723764E-2</v>
      </c>
      <c r="X57" s="6"/>
      <c r="Y57" s="3" t="s">
        <v>41</v>
      </c>
      <c r="Z57" s="61">
        <f>+(Z51-Z24)/Z53</f>
        <v>0.44883841364432858</v>
      </c>
      <c r="AF57" s="38"/>
    </row>
    <row r="58" spans="1:32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5"/>
        <v>2.0963268503315646E-4</v>
      </c>
      <c r="J58" s="6">
        <f t="shared" si="15"/>
        <v>-5.1946810275440517E-3</v>
      </c>
      <c r="K58" s="6">
        <f t="shared" si="15"/>
        <v>-6.1495523287532295E-3</v>
      </c>
      <c r="L58" s="6">
        <f t="shared" si="15"/>
        <v>1.1110587455196269E-2</v>
      </c>
      <c r="M58" s="6">
        <f t="shared" si="15"/>
        <v>9.4907076045383631E-3</v>
      </c>
      <c r="N58" s="6">
        <f t="shared" si="15"/>
        <v>9.3498696374369732E-3</v>
      </c>
      <c r="O58" s="6">
        <f t="shared" si="7"/>
        <v>1.8127918534072056E-3</v>
      </c>
      <c r="P58" s="6"/>
      <c r="Q58" s="6">
        <f t="shared" si="11"/>
        <v>7.4733246954884567E-3</v>
      </c>
      <c r="R58" s="6">
        <f t="shared" si="12"/>
        <v>9.4907076045383631E-3</v>
      </c>
      <c r="S58" s="6">
        <f t="shared" si="13"/>
        <v>7.0226155633604584E-3</v>
      </c>
      <c r="T58" s="6">
        <f t="shared" si="8"/>
        <v>0</v>
      </c>
      <c r="U58" s="6">
        <f t="shared" si="14"/>
        <v>5.236464197232598E-3</v>
      </c>
      <c r="V58" s="6">
        <f t="shared" si="4"/>
        <v>-3.2741015983244444E-3</v>
      </c>
      <c r="W58" s="6">
        <f t="shared" si="9"/>
        <v>8.803667298511092E-3</v>
      </c>
      <c r="X58" s="6"/>
      <c r="Y58" s="3" t="s">
        <v>40</v>
      </c>
      <c r="Z58" s="61">
        <f>+(Z51-Z12)/Z52</f>
        <v>2.6496194768126511</v>
      </c>
      <c r="AF58" s="38"/>
    </row>
    <row r="59" spans="1:32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5"/>
        <v>2.0621430676981412E-4</v>
      </c>
      <c r="J59" s="6">
        <f t="shared" si="15"/>
        <v>1.44996022601437E-2</v>
      </c>
      <c r="K59" s="6">
        <f t="shared" si="15"/>
        <v>4.0454488376433064E-3</v>
      </c>
      <c r="L59" s="6">
        <f t="shared" si="15"/>
        <v>7.5241008178584595E-3</v>
      </c>
      <c r="M59" s="6">
        <f t="shared" si="15"/>
        <v>-8.2201612246451568E-3</v>
      </c>
      <c r="N59" s="6">
        <f t="shared" si="15"/>
        <v>1.7514263468030517E-3</v>
      </c>
      <c r="O59" s="6">
        <f t="shared" si="7"/>
        <v>-1.6440928180425498E-2</v>
      </c>
      <c r="P59" s="6"/>
      <c r="Q59" s="6">
        <f t="shared" si="11"/>
        <v>3.3724902743584089E-3</v>
      </c>
      <c r="R59" s="6">
        <f t="shared" si="12"/>
        <v>-8.2201612246451568E-3</v>
      </c>
      <c r="S59" s="6">
        <f t="shared" si="13"/>
        <v>1.5953579360402717E-3</v>
      </c>
      <c r="T59" s="6">
        <f t="shared" si="8"/>
        <v>0</v>
      </c>
      <c r="U59" s="6">
        <f t="shared" si="14"/>
        <v>7.2398852820868692E-3</v>
      </c>
      <c r="V59" s="6">
        <f t="shared" si="4"/>
        <v>7.514298854290332E-3</v>
      </c>
      <c r="W59" s="6">
        <f t="shared" si="9"/>
        <v>-3.075543566331029E-3</v>
      </c>
      <c r="X59" s="6"/>
      <c r="AF59" s="38"/>
    </row>
    <row r="60" spans="1:32" ht="17" thickBot="1" x14ac:dyDescent="0.25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5"/>
        <v>2.0773394514983501E-4</v>
      </c>
      <c r="J60" s="6">
        <f t="shared" si="15"/>
        <v>1.4347282613426004E-2</v>
      </c>
      <c r="K60" s="6">
        <f t="shared" si="15"/>
        <v>3.6793121473435051E-3</v>
      </c>
      <c r="L60" s="6">
        <f t="shared" si="15"/>
        <v>-4.8618261899616047E-4</v>
      </c>
      <c r="M60" s="6">
        <f t="shared" si="15"/>
        <v>5.6981618175608508E-3</v>
      </c>
      <c r="N60" s="6">
        <f t="shared" si="15"/>
        <v>2.8361156932399829E-3</v>
      </c>
      <c r="O60" s="6">
        <f t="shared" si="7"/>
        <v>7.3421989327175866E-3</v>
      </c>
      <c r="P60" s="6"/>
      <c r="Q60" s="6">
        <f t="shared" si="11"/>
        <v>4.458493584148215E-3</v>
      </c>
      <c r="R60" s="6">
        <f t="shared" si="12"/>
        <v>5.6981618175608508E-3</v>
      </c>
      <c r="S60" s="6">
        <f t="shared" si="13"/>
        <v>5.4051804818547426E-3</v>
      </c>
      <c r="T60" s="6">
        <f t="shared" si="8"/>
        <v>0</v>
      </c>
      <c r="U60" s="6">
        <f t="shared" si="14"/>
        <v>5.659348845626154E-3</v>
      </c>
      <c r="V60" s="6">
        <f t="shared" si="4"/>
        <v>2.3214507530141095E-3</v>
      </c>
      <c r="W60" s="6">
        <f t="shared" si="9"/>
        <v>4.0298411942261518E-3</v>
      </c>
      <c r="X60" s="6"/>
      <c r="Y60" s="59" t="s">
        <v>81</v>
      </c>
      <c r="Z60" s="59"/>
      <c r="AF60" s="38"/>
    </row>
    <row r="61" spans="1:32" ht="17" thickTop="1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5"/>
        <v>2.0773394514983501E-4</v>
      </c>
      <c r="J61" s="6">
        <f t="shared" si="15"/>
        <v>5.8675683603629037E-3</v>
      </c>
      <c r="K61" s="6">
        <f t="shared" si="15"/>
        <v>-1.5752086562333767E-3</v>
      </c>
      <c r="L61" s="6">
        <f t="shared" si="15"/>
        <v>4.9183358399554396E-3</v>
      </c>
      <c r="M61" s="6">
        <f t="shared" si="15"/>
        <v>-1.2067567354175589E-2</v>
      </c>
      <c r="N61" s="6">
        <f t="shared" si="15"/>
        <v>1.0044332873557552E-3</v>
      </c>
      <c r="O61" s="6">
        <f t="shared" si="7"/>
        <v>0</v>
      </c>
      <c r="P61" s="6"/>
      <c r="Q61" s="6">
        <f t="shared" si="11"/>
        <v>-8.0082872350029956E-4</v>
      </c>
      <c r="R61" s="6">
        <f t="shared" si="12"/>
        <v>-1.2067567354175589E-2</v>
      </c>
      <c r="S61" s="6">
        <f t="shared" si="13"/>
        <v>-2.8143781658588928E-3</v>
      </c>
      <c r="T61" s="6">
        <f t="shared" si="8"/>
        <v>1.7813061985484512E-5</v>
      </c>
      <c r="U61" s="6">
        <f t="shared" si="14"/>
        <v>2.3536877219701171E-3</v>
      </c>
      <c r="V61" s="6">
        <f t="shared" si="4"/>
        <v>1.4611047751768608E-3</v>
      </c>
      <c r="W61" s="6">
        <f t="shared" si="9"/>
        <v>-6.7535206630528997E-3</v>
      </c>
      <c r="X61" s="6"/>
      <c r="Y61" s="3" t="s">
        <v>21</v>
      </c>
      <c r="Z61" s="60">
        <f>+((1+AVERAGE(W3:W254))^252)-1</f>
        <v>0.44252891259808202</v>
      </c>
      <c r="AF61" s="38"/>
    </row>
    <row r="62" spans="1:32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5"/>
        <v>2.0811376493412581E-4</v>
      </c>
      <c r="J62" s="6">
        <f t="shared" si="15"/>
        <v>-2.6278835003809412E-3</v>
      </c>
      <c r="K62" s="6">
        <f t="shared" si="15"/>
        <v>-7.5604337307585206E-3</v>
      </c>
      <c r="L62" s="6">
        <f t="shared" si="15"/>
        <v>-2.9757978020443572E-3</v>
      </c>
      <c r="M62" s="6">
        <f t="shared" si="15"/>
        <v>-1.2787371052778911E-3</v>
      </c>
      <c r="N62" s="6">
        <f t="shared" si="15"/>
        <v>-8.1167621824379983E-3</v>
      </c>
      <c r="O62" s="6">
        <f t="shared" si="7"/>
        <v>1.8267258936371892E-3</v>
      </c>
      <c r="P62" s="6"/>
      <c r="Q62" s="6">
        <f t="shared" si="11"/>
        <v>-2.3209040884009467E-3</v>
      </c>
      <c r="R62" s="6">
        <f t="shared" si="12"/>
        <v>-1.2787371052778911E-3</v>
      </c>
      <c r="S62" s="6">
        <f t="shared" si="13"/>
        <v>-2.123566850111292E-3</v>
      </c>
      <c r="T62" s="6">
        <f t="shared" si="8"/>
        <v>1.2459071640421104E-5</v>
      </c>
      <c r="U62" s="6">
        <f t="shared" si="14"/>
        <v>-2.5675437463039429E-3</v>
      </c>
      <c r="V62" s="6">
        <f t="shared" si="4"/>
        <v>4.4419447707858481E-3</v>
      </c>
      <c r="W62" s="6">
        <f t="shared" si="9"/>
        <v>-2.127787108092723E-3</v>
      </c>
      <c r="X62" s="6"/>
      <c r="Y62" s="3" t="s">
        <v>63</v>
      </c>
      <c r="Z62" s="63" cm="1">
        <f t="array" ref="Z62">SQRT(+MMULT(MMULT(Z20:AC20,Z23:AC26),TRANSPOSE(Z20:AC20)))*SQRT(252)</f>
        <v>0.16073378505242675</v>
      </c>
      <c r="AF62" s="38"/>
    </row>
    <row r="63" spans="1:32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5"/>
        <v>2.1001232533235381E-4</v>
      </c>
      <c r="J63" s="6">
        <f t="shared" si="15"/>
        <v>2.2954556969230551E-2</v>
      </c>
      <c r="K63" s="6">
        <f t="shared" si="15"/>
        <v>1.0583701900695479E-3</v>
      </c>
      <c r="L63" s="6">
        <f t="shared" si="15"/>
        <v>1.4722279452399911E-2</v>
      </c>
      <c r="M63" s="6">
        <f t="shared" si="15"/>
        <v>6.3967350467703291E-4</v>
      </c>
      <c r="N63" s="6">
        <f t="shared" si="15"/>
        <v>1.5495728650985885E-2</v>
      </c>
      <c r="O63" s="6">
        <f t="shared" si="7"/>
        <v>9.0813440748678219E-3</v>
      </c>
      <c r="P63" s="6"/>
      <c r="Q63" s="6">
        <f t="shared" si="11"/>
        <v>1.1384658011959864E-2</v>
      </c>
      <c r="R63" s="6">
        <f t="shared" si="12"/>
        <v>6.3967350467703291E-4</v>
      </c>
      <c r="S63" s="6">
        <f t="shared" si="13"/>
        <v>9.8025818178982156E-3</v>
      </c>
      <c r="T63" s="6">
        <f t="shared" si="8"/>
        <v>0</v>
      </c>
      <c r="U63" s="6">
        <f t="shared" si="14"/>
        <v>1.5152353309302997E-2</v>
      </c>
      <c r="V63" s="6">
        <f t="shared" si="4"/>
        <v>3.7090912934095461E-4</v>
      </c>
      <c r="W63" s="6">
        <f t="shared" si="9"/>
        <v>4.6111396614053994E-3</v>
      </c>
      <c r="X63" s="6"/>
      <c r="Y63" s="3" t="s">
        <v>13</v>
      </c>
      <c r="Z63" s="61" cm="1">
        <f t="array" ref="Z63">+SLOPE((U13:U264-O13:O264),(N13:N264-O13:O264))</f>
        <v>0.88314263468981413</v>
      </c>
      <c r="AF63" s="38"/>
    </row>
    <row r="64" spans="1:32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5"/>
        <v>2.0963268503315646E-4</v>
      </c>
      <c r="J64" s="6">
        <f t="shared" si="15"/>
        <v>-8.6207243473615386E-3</v>
      </c>
      <c r="K64" s="6">
        <f t="shared" si="15"/>
        <v>3.6955712633663846E-3</v>
      </c>
      <c r="L64" s="6">
        <f t="shared" si="15"/>
        <v>-4.4488788474790633E-3</v>
      </c>
      <c r="M64" s="6">
        <f t="shared" si="15"/>
        <v>-3.8437221263010121E-3</v>
      </c>
      <c r="N64" s="6">
        <f t="shared" si="15"/>
        <v>-8.3609108519786131E-4</v>
      </c>
      <c r="O64" s="6">
        <f t="shared" si="7"/>
        <v>-1.8093407207971416E-3</v>
      </c>
      <c r="P64" s="6"/>
      <c r="Q64" s="6">
        <f t="shared" si="11"/>
        <v>-5.0254535654663448E-3</v>
      </c>
      <c r="R64" s="6">
        <f t="shared" si="12"/>
        <v>-3.8437221263010121E-3</v>
      </c>
      <c r="S64" s="6">
        <f t="shared" si="13"/>
        <v>-4.9959374184038313E-3</v>
      </c>
      <c r="T64" s="6">
        <f t="shared" si="8"/>
        <v>4.0987032738437184E-5</v>
      </c>
      <c r="U64" s="6">
        <f t="shared" si="14"/>
        <v>-5.7783116684323255E-3</v>
      </c>
      <c r="V64" s="6">
        <f t="shared" si="4"/>
        <v>-4.8338427501175589E-3</v>
      </c>
      <c r="W64" s="6">
        <f t="shared" si="9"/>
        <v>-3.5875407340583017E-3</v>
      </c>
      <c r="X64" s="6"/>
      <c r="Y64" s="3" t="s">
        <v>83</v>
      </c>
      <c r="Z64" s="14">
        <f>+-STDEV(W3:W254)*SQRT(1)*NORMSINV(95%)</f>
        <v>-1.6685982169346716E-2</v>
      </c>
      <c r="AF64" s="38"/>
    </row>
    <row r="65" spans="1:32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5"/>
        <v>2.0925300885044074E-4</v>
      </c>
      <c r="J65" s="6">
        <f t="shared" si="15"/>
        <v>1.4184635374476782E-2</v>
      </c>
      <c r="K65" s="6">
        <f t="shared" si="15"/>
        <v>2.981612142296002E-3</v>
      </c>
      <c r="L65" s="6">
        <f t="shared" si="15"/>
        <v>1.8082265985749042E-2</v>
      </c>
      <c r="M65" s="6">
        <f t="shared" si="15"/>
        <v>3.2040486216239152E-3</v>
      </c>
      <c r="N65" s="6">
        <f t="shared" si="15"/>
        <v>1.8895282757298078E-2</v>
      </c>
      <c r="O65" s="6">
        <f t="shared" si="7"/>
        <v>-1.8127918534071839E-3</v>
      </c>
      <c r="P65" s="6"/>
      <c r="Q65" s="6">
        <f t="shared" si="11"/>
        <v>1.2180971372904165E-2</v>
      </c>
      <c r="R65" s="6">
        <f t="shared" si="12"/>
        <v>3.2040486216239152E-3</v>
      </c>
      <c r="S65" s="6">
        <f t="shared" si="13"/>
        <v>1.0333874112097146E-2</v>
      </c>
      <c r="T65" s="6">
        <f t="shared" si="8"/>
        <v>0</v>
      </c>
      <c r="U65" s="6">
        <f t="shared" si="14"/>
        <v>1.4212108141511132E-2</v>
      </c>
      <c r="V65" s="6">
        <f t="shared" si="4"/>
        <v>-2.3771924995444581E-3</v>
      </c>
      <c r="W65" s="6">
        <f t="shared" si="9"/>
        <v>7.2299563300303312E-3</v>
      </c>
      <c r="X65" s="6"/>
      <c r="Y65" s="3" t="s">
        <v>85</v>
      </c>
      <c r="Z65" s="14">
        <f>-STDEV(W3:W254)*SQRT(250)*NORMSINV(95%)</f>
        <v>-0.26382854326046518</v>
      </c>
      <c r="AF65" s="38"/>
    </row>
    <row r="66" spans="1:32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5"/>
        <v>2.043139499885438E-4</v>
      </c>
      <c r="J66" s="6">
        <f t="shared" si="15"/>
        <v>3.0363308776654089E-3</v>
      </c>
      <c r="K66" s="6">
        <f t="shared" si="15"/>
        <v>1.9246372583412658E-3</v>
      </c>
      <c r="L66" s="6">
        <f t="shared" si="15"/>
        <v>8.7197537313942614E-3</v>
      </c>
      <c r="M66" s="6">
        <f t="shared" si="15"/>
        <v>8.2829440398884853E-3</v>
      </c>
      <c r="N66" s="6">
        <f t="shared" si="15"/>
        <v>1.5958076771483444E-3</v>
      </c>
      <c r="O66" s="6">
        <f t="shared" si="7"/>
        <v>-2.3886307105055279E-2</v>
      </c>
      <c r="P66" s="6"/>
      <c r="Q66" s="6">
        <f t="shared" si="11"/>
        <v>7.49632095917422E-3</v>
      </c>
      <c r="R66" s="6">
        <f t="shared" si="12"/>
        <v>8.2829440398884853E-3</v>
      </c>
      <c r="S66" s="6">
        <f t="shared" si="13"/>
        <v>7.3528950548051612E-3</v>
      </c>
      <c r="T66" s="6">
        <f t="shared" si="8"/>
        <v>0</v>
      </c>
      <c r="U66" s="6">
        <f t="shared" si="14"/>
        <v>6.6940002300027394E-3</v>
      </c>
      <c r="V66" s="6">
        <f t="shared" si="4"/>
        <v>7.9357958586403661E-3</v>
      </c>
      <c r="W66" s="6">
        <f t="shared" si="9"/>
        <v>7.9525189627310082E-3</v>
      </c>
      <c r="X66" s="6"/>
      <c r="Y66" s="3" t="s">
        <v>84</v>
      </c>
      <c r="Z66" s="14">
        <f>+AVERAGEIF(W3:W254,"&lt;"&amp;Z64,W3:W254)</f>
        <v>-2.1453226893169041E-2</v>
      </c>
      <c r="AF66" s="38"/>
    </row>
    <row r="67" spans="1:32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si="5"/>
        <v>2.0545427193918719E-4</v>
      </c>
      <c r="J67" s="6">
        <f t="shared" si="15"/>
        <v>9.0015200429287429E-3</v>
      </c>
      <c r="K67" s="6">
        <f t="shared" si="15"/>
        <v>-1.0493722296692307E-3</v>
      </c>
      <c r="L67" s="6">
        <f t="shared" si="15"/>
        <v>1.1355018101563337E-2</v>
      </c>
      <c r="M67" s="6">
        <f t="shared" si="15"/>
        <v>7.5853598266493183E-3</v>
      </c>
      <c r="N67" s="6">
        <f t="shared" si="15"/>
        <v>1.1896413835666805E-3</v>
      </c>
      <c r="O67" s="6">
        <f t="shared" si="7"/>
        <v>5.565706822906585E-3</v>
      </c>
      <c r="P67" s="6"/>
      <c r="Q67" s="6">
        <f t="shared" si="11"/>
        <v>9.6022334731668026E-3</v>
      </c>
      <c r="R67" s="6">
        <f t="shared" si="12"/>
        <v>7.5853598266493183E-3</v>
      </c>
      <c r="S67" s="6">
        <f t="shared" si="13"/>
        <v>9.0989913976314007E-3</v>
      </c>
      <c r="T67" s="6">
        <f t="shared" si="8"/>
        <v>0</v>
      </c>
      <c r="U67" s="6">
        <f t="shared" si="14"/>
        <v>9.9054375672125751E-3</v>
      </c>
      <c r="V67" s="6">
        <f t="shared" ref="V67:V130" si="16">+(U67-O67)-($Z$53*(N67-O67))</f>
        <v>8.2284921328188848E-3</v>
      </c>
      <c r="W67" s="6">
        <f t="shared" si="9"/>
        <v>8.0625250812208626E-3</v>
      </c>
      <c r="X67" s="6"/>
      <c r="Y67" s="3" t="s">
        <v>41</v>
      </c>
      <c r="Z67" s="61">
        <f>+(Z61-Z34)/Z63</f>
        <v>-2.5619366481060321E-2</v>
      </c>
      <c r="AF67" s="38"/>
    </row>
    <row r="68" spans="1:32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ref="H68:H131" si="17">+(1+G68)^(1/250)-1</f>
        <v>2.0393377072314145E-4</v>
      </c>
      <c r="J68" s="6">
        <f t="shared" ref="J68:N99" si="18">LN(B68/B67)</f>
        <v>-1.0544870529251719E-4</v>
      </c>
      <c r="K68" s="6">
        <f t="shared" si="18"/>
        <v>1.9229550455904989E-3</v>
      </c>
      <c r="L68" s="6">
        <f t="shared" si="18"/>
        <v>9.0052481102475771E-3</v>
      </c>
      <c r="M68" s="6">
        <f t="shared" si="18"/>
        <v>1.2586844676198644E-3</v>
      </c>
      <c r="N68" s="6">
        <f t="shared" si="18"/>
        <v>1.2812755985166719E-3</v>
      </c>
      <c r="O68" s="6">
        <f t="shared" ref="O68:O131" si="19">+LN(H68/H67)</f>
        <v>-7.4282003826470254E-3</v>
      </c>
      <c r="P68" s="6"/>
      <c r="Q68" s="6">
        <f t="shared" si="11"/>
        <v>4.5972836527201182E-3</v>
      </c>
      <c r="R68" s="6">
        <f t="shared" ref="R68:R131" si="20">+SUMPRODUCT($Z$17:$AC$17,J68:M68)</f>
        <v>1.2586844676198644E-3</v>
      </c>
      <c r="S68" s="6">
        <f t="shared" ref="S68:S131" si="21">+SUMPRODUCT($Z$18:$AC$18,J68:M68)</f>
        <v>3.5390116856243801E-3</v>
      </c>
      <c r="T68" s="6">
        <f t="shared" ref="T68:T131" si="22">+MIN(S68-AVERAGE($S$3:$S$254),0)^2</f>
        <v>0</v>
      </c>
      <c r="U68" s="6">
        <f t="shared" ref="U68:U131" si="23">+SUMPRODUCT($Z$19:$AC$19,J68:M68)</f>
        <v>4.5587955513902495E-3</v>
      </c>
      <c r="V68" s="6">
        <f t="shared" si="16"/>
        <v>4.2473781474168977E-3</v>
      </c>
      <c r="W68" s="6">
        <f t="shared" ref="W68:W131" si="24">+SUMPRODUCT($Z$20:$AC$20,J68:M68)</f>
        <v>3.330430800285005E-3</v>
      </c>
      <c r="X68" s="6"/>
      <c r="Y68" s="3" t="s">
        <v>40</v>
      </c>
      <c r="Z68" s="61">
        <f>+(Z61-Z12)/Z62</f>
        <v>2.4354294272405523</v>
      </c>
      <c r="AF68" s="38"/>
    </row>
    <row r="69" spans="1:32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17"/>
        <v>2.043139499885438E-4</v>
      </c>
      <c r="J69" s="6">
        <f t="shared" si="18"/>
        <v>9.2354873918627962E-3</v>
      </c>
      <c r="K69" s="6">
        <f t="shared" si="18"/>
        <v>2.4420582166783792E-3</v>
      </c>
      <c r="L69" s="6">
        <f t="shared" si="18"/>
        <v>3.0707044771690309E-3</v>
      </c>
      <c r="M69" s="6">
        <f t="shared" si="18"/>
        <v>1.250014351434138E-2</v>
      </c>
      <c r="N69" s="6">
        <f t="shared" si="18"/>
        <v>7.3631338909269815E-3</v>
      </c>
      <c r="O69" s="6">
        <f t="shared" si="19"/>
        <v>1.86249355974044E-3</v>
      </c>
      <c r="P69" s="6"/>
      <c r="Q69" s="6">
        <f t="shared" si="11"/>
        <v>7.5075009992189795E-3</v>
      </c>
      <c r="R69" s="6">
        <f t="shared" si="20"/>
        <v>1.250014351434138E-2</v>
      </c>
      <c r="S69" s="6">
        <f t="shared" si="21"/>
        <v>8.7098723893561953E-3</v>
      </c>
      <c r="T69" s="6">
        <f t="shared" si="22"/>
        <v>0</v>
      </c>
      <c r="U69" s="6">
        <f t="shared" si="23"/>
        <v>6.792051732384485E-3</v>
      </c>
      <c r="V69" s="6">
        <f t="shared" si="16"/>
        <v>4.1450801187182737E-5</v>
      </c>
      <c r="W69" s="6">
        <f t="shared" si="24"/>
        <v>9.3576430522014416E-3</v>
      </c>
      <c r="X69" s="6"/>
      <c r="AF69" s="38"/>
    </row>
    <row r="70" spans="1:32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17"/>
        <v>2.0469409327517063E-4</v>
      </c>
      <c r="J70" s="6">
        <f t="shared" si="18"/>
        <v>-4.2398033377747738E-3</v>
      </c>
      <c r="K70" s="6">
        <f t="shared" si="18"/>
        <v>1.0915721899237774E-2</v>
      </c>
      <c r="L70" s="6">
        <f t="shared" si="18"/>
        <v>-2.089635023942204E-3</v>
      </c>
      <c r="M70" s="6">
        <f t="shared" si="18"/>
        <v>5.5745681417839043E-3</v>
      </c>
      <c r="N70" s="6">
        <f t="shared" si="18"/>
        <v>-2.0229887908321687E-3</v>
      </c>
      <c r="O70" s="6">
        <f t="shared" si="19"/>
        <v>1.8588553567499826E-3</v>
      </c>
      <c r="P70" s="6"/>
      <c r="Q70" s="6">
        <f t="shared" ref="Q70:Q133" si="25">+SUMPRODUCT($Z$16:$AC$16,J70:M70)</f>
        <v>1.6620514215626376E-4</v>
      </c>
      <c r="R70" s="6">
        <f t="shared" si="20"/>
        <v>5.5745681417839043E-3</v>
      </c>
      <c r="S70" s="6">
        <f t="shared" si="21"/>
        <v>1.070086270717004E-3</v>
      </c>
      <c r="T70" s="6">
        <f t="shared" si="22"/>
        <v>1.1295507331792738E-7</v>
      </c>
      <c r="U70" s="6">
        <f t="shared" si="23"/>
        <v>-1.5236485382720951E-3</v>
      </c>
      <c r="V70" s="6">
        <f t="shared" si="16"/>
        <v>6.7071036293224646E-5</v>
      </c>
      <c r="W70" s="6">
        <f t="shared" si="24"/>
        <v>3.7803730491932398E-3</v>
      </c>
      <c r="X70" s="6"/>
      <c r="AF70" s="38"/>
    </row>
    <row r="71" spans="1:32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17"/>
        <v>2.043139499885438E-4</v>
      </c>
      <c r="J71" s="6">
        <f t="shared" si="18"/>
        <v>3.5083046042034536E-3</v>
      </c>
      <c r="K71" s="6">
        <f t="shared" si="18"/>
        <v>6.698173115196048E-3</v>
      </c>
      <c r="L71" s="6">
        <f t="shared" si="18"/>
        <v>2.3505409404632072E-3</v>
      </c>
      <c r="M71" s="6">
        <f t="shared" si="18"/>
        <v>-1.2361893781621346E-3</v>
      </c>
      <c r="N71" s="6">
        <f t="shared" si="18"/>
        <v>4.0528664649777243E-3</v>
      </c>
      <c r="O71" s="6">
        <f t="shared" si="19"/>
        <v>-1.8588553567499557E-3</v>
      </c>
      <c r="P71" s="6"/>
      <c r="Q71" s="6">
        <f t="shared" si="25"/>
        <v>1.32341465712586E-3</v>
      </c>
      <c r="R71" s="6">
        <f t="shared" si="20"/>
        <v>-1.2361893781621346E-3</v>
      </c>
      <c r="S71" s="6">
        <f t="shared" si="21"/>
        <v>9.2237948672521252E-4</v>
      </c>
      <c r="T71" s="6">
        <f t="shared" si="22"/>
        <v>2.3405729164014336E-7</v>
      </c>
      <c r="U71" s="6">
        <f t="shared" si="23"/>
        <v>2.1376919086382356E-3</v>
      </c>
      <c r="V71" s="6">
        <f t="shared" si="16"/>
        <v>-1.2568649329978239E-3</v>
      </c>
      <c r="W71" s="6">
        <f t="shared" si="24"/>
        <v>2.483045459088024E-4</v>
      </c>
      <c r="X71" s="6"/>
      <c r="AF71" s="38"/>
    </row>
    <row r="72" spans="1:32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17"/>
        <v>2.0507420058968329E-4</v>
      </c>
      <c r="J72" s="6">
        <f t="shared" si="18"/>
        <v>-7.0289607553052254E-3</v>
      </c>
      <c r="K72" s="6">
        <f t="shared" si="18"/>
        <v>2.564368058518235E-3</v>
      </c>
      <c r="L72" s="6">
        <f t="shared" si="18"/>
        <v>1.3685641523619864E-3</v>
      </c>
      <c r="M72" s="6">
        <f t="shared" si="18"/>
        <v>2.4706584385659168E-3</v>
      </c>
      <c r="N72" s="6">
        <f t="shared" si="18"/>
        <v>5.9675559803246874E-4</v>
      </c>
      <c r="O72" s="6">
        <f t="shared" si="19"/>
        <v>3.7140863701174238E-3</v>
      </c>
      <c r="P72" s="6"/>
      <c r="Q72" s="6">
        <f t="shared" si="25"/>
        <v>1.6768504614934736E-4</v>
      </c>
      <c r="R72" s="6">
        <f t="shared" si="20"/>
        <v>2.4706584385659168E-3</v>
      </c>
      <c r="S72" s="6">
        <f t="shared" si="21"/>
        <v>1.8439622691682374E-4</v>
      </c>
      <c r="T72" s="6">
        <f t="shared" si="22"/>
        <v>1.4927413322928224E-6</v>
      </c>
      <c r="U72" s="6">
        <f t="shared" si="23"/>
        <v>-1.3272016716758715E-3</v>
      </c>
      <c r="V72" s="6">
        <f t="shared" si="16"/>
        <v>-2.2710928265371774E-3</v>
      </c>
      <c r="W72" s="6">
        <f t="shared" si="24"/>
        <v>2.08827622937221E-3</v>
      </c>
      <c r="X72" s="6"/>
      <c r="AF72" s="38"/>
    </row>
    <row r="73" spans="1:32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17"/>
        <v>2.0507420058968329E-4</v>
      </c>
      <c r="J73" s="6">
        <f t="shared" si="18"/>
        <v>-9.4805949388913479E-4</v>
      </c>
      <c r="K73" s="6">
        <f t="shared" si="18"/>
        <v>-1.8798349524674102E-3</v>
      </c>
      <c r="L73" s="6">
        <f t="shared" si="18"/>
        <v>-2.2819464710573719E-3</v>
      </c>
      <c r="M73" s="6">
        <f t="shared" si="18"/>
        <v>0</v>
      </c>
      <c r="N73" s="6">
        <f t="shared" si="18"/>
        <v>-1.9561422168003027E-3</v>
      </c>
      <c r="O73" s="6">
        <f t="shared" si="19"/>
        <v>0</v>
      </c>
      <c r="P73" s="6"/>
      <c r="Q73" s="6">
        <f t="shared" si="25"/>
        <v>-1.2380271626167083E-3</v>
      </c>
      <c r="R73" s="6">
        <f t="shared" si="20"/>
        <v>0</v>
      </c>
      <c r="S73" s="6">
        <f t="shared" si="21"/>
        <v>-9.4818251688017473E-4</v>
      </c>
      <c r="T73" s="6">
        <f t="shared" si="22"/>
        <v>5.5429953899575557E-6</v>
      </c>
      <c r="U73" s="6">
        <f t="shared" si="23"/>
        <v>-1.435623141555426E-3</v>
      </c>
      <c r="V73" s="6">
        <f t="shared" si="16"/>
        <v>3.0268960275318946E-4</v>
      </c>
      <c r="W73" s="6">
        <f t="shared" si="24"/>
        <v>-7.2793907459259787E-4</v>
      </c>
      <c r="X73" s="6"/>
      <c r="AF73" s="38"/>
    </row>
    <row r="74" spans="1:32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17"/>
        <v>2.0545427193918719E-4</v>
      </c>
      <c r="J74" s="6">
        <f t="shared" si="18"/>
        <v>3.2089405359202782E-3</v>
      </c>
      <c r="K74" s="6">
        <f t="shared" si="18"/>
        <v>2.0506000205027385E-3</v>
      </c>
      <c r="L74" s="6">
        <f t="shared" si="18"/>
        <v>2.2819464710573632E-3</v>
      </c>
      <c r="M74" s="6">
        <f t="shared" si="18"/>
        <v>-1.8524051289652865E-3</v>
      </c>
      <c r="N74" s="6">
        <f t="shared" si="18"/>
        <v>9.7964714182290037E-4</v>
      </c>
      <c r="O74" s="6">
        <f t="shared" si="19"/>
        <v>1.8516204527893802E-3</v>
      </c>
      <c r="P74" s="6"/>
      <c r="Q74" s="6">
        <f t="shared" si="25"/>
        <v>1.0211472244066248E-3</v>
      </c>
      <c r="R74" s="6">
        <f t="shared" si="20"/>
        <v>-1.8524051289652865E-3</v>
      </c>
      <c r="S74" s="6">
        <f t="shared" si="21"/>
        <v>5.4325586297747743E-4</v>
      </c>
      <c r="T74" s="6">
        <f t="shared" si="22"/>
        <v>7.4462799759414857E-7</v>
      </c>
      <c r="U74" s="6">
        <f t="shared" si="23"/>
        <v>1.8966707838933461E-3</v>
      </c>
      <c r="V74" s="6">
        <f t="shared" si="16"/>
        <v>8.1992360265442155E-4</v>
      </c>
      <c r="W74" s="6">
        <f t="shared" si="24"/>
        <v>-4.6866547761312228E-4</v>
      </c>
      <c r="X74" s="6"/>
      <c r="AF74" s="38"/>
    </row>
    <row r="75" spans="1:32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17"/>
        <v>2.043139499885438E-4</v>
      </c>
      <c r="J75" s="6">
        <f t="shared" si="18"/>
        <v>-5.4242788854046205E-3</v>
      </c>
      <c r="K75" s="6">
        <f t="shared" si="18"/>
        <v>-5.9926490699218782E-3</v>
      </c>
      <c r="L75" s="6">
        <f t="shared" si="18"/>
        <v>5.0673693523613879E-3</v>
      </c>
      <c r="M75" s="6">
        <f t="shared" si="18"/>
        <v>7.3891849715765874E-3</v>
      </c>
      <c r="N75" s="6">
        <f t="shared" si="18"/>
        <v>-9.4668376742538802E-4</v>
      </c>
      <c r="O75" s="6">
        <f t="shared" si="19"/>
        <v>-5.5657068229066041E-3</v>
      </c>
      <c r="P75" s="6"/>
      <c r="Q75" s="6">
        <f t="shared" si="25"/>
        <v>3.8951241960399649E-3</v>
      </c>
      <c r="R75" s="6">
        <f t="shared" si="20"/>
        <v>7.3891849715765874E-3</v>
      </c>
      <c r="S75" s="6">
        <f t="shared" si="21"/>
        <v>4.0041480692622217E-3</v>
      </c>
      <c r="T75" s="6">
        <f t="shared" si="22"/>
        <v>0</v>
      </c>
      <c r="U75" s="6">
        <f t="shared" si="23"/>
        <v>1.8601458932801501E-3</v>
      </c>
      <c r="V75" s="6">
        <f t="shared" si="16"/>
        <v>3.3211886612736089E-3</v>
      </c>
      <c r="W75" s="6">
        <f t="shared" si="24"/>
        <v>5.8201113165304271E-3</v>
      </c>
      <c r="X75" s="6"/>
      <c r="AF75" s="38"/>
    </row>
    <row r="76" spans="1:32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17"/>
        <v>2.0317330422892077E-4</v>
      </c>
      <c r="J76" s="6">
        <f t="shared" si="18"/>
        <v>3.0580089148523034E-3</v>
      </c>
      <c r="K76" s="6">
        <f t="shared" si="18"/>
        <v>1.1530896635000211E-2</v>
      </c>
      <c r="L76" s="6">
        <f t="shared" si="18"/>
        <v>1.1340267252648781E-2</v>
      </c>
      <c r="M76" s="6">
        <f t="shared" si="18"/>
        <v>1.6428683176453563E-2</v>
      </c>
      <c r="N76" s="6">
        <f t="shared" si="18"/>
        <v>3.7769911916856066E-3</v>
      </c>
      <c r="O76" s="6">
        <f t="shared" si="19"/>
        <v>-5.5984511272670423E-3</v>
      </c>
      <c r="P76" s="6"/>
      <c r="Q76" s="6">
        <f t="shared" si="25"/>
        <v>1.1545330657310445E-2</v>
      </c>
      <c r="R76" s="6">
        <f t="shared" si="20"/>
        <v>1.6428683176453563E-2</v>
      </c>
      <c r="S76" s="6">
        <f t="shared" si="21"/>
        <v>1.2034453655022382E-2</v>
      </c>
      <c r="T76" s="6">
        <f t="shared" si="22"/>
        <v>0</v>
      </c>
      <c r="U76" s="6">
        <f t="shared" si="23"/>
        <v>9.3624493560421924E-3</v>
      </c>
      <c r="V76" s="6">
        <f t="shared" si="16"/>
        <v>6.6294761489253361E-3</v>
      </c>
      <c r="W76" s="6">
        <f t="shared" si="24"/>
        <v>1.4646711618324711E-2</v>
      </c>
      <c r="X76" s="6"/>
      <c r="AF76" s="38"/>
    </row>
    <row r="77" spans="1:32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17"/>
        <v>1.9974942225231551E-4</v>
      </c>
      <c r="J77" s="6">
        <f t="shared" si="18"/>
        <v>6.7683969358011721E-3</v>
      </c>
      <c r="K77" s="6">
        <f t="shared" si="18"/>
        <v>3.4165183963682714E-3</v>
      </c>
      <c r="L77" s="6">
        <f t="shared" si="18"/>
        <v>4.857594182652576E-3</v>
      </c>
      <c r="M77" s="6">
        <f t="shared" si="18"/>
        <v>1.1401293855996619E-2</v>
      </c>
      <c r="N77" s="6">
        <f t="shared" si="18"/>
        <v>5.8565417006152948E-3</v>
      </c>
      <c r="O77" s="6">
        <f t="shared" si="19"/>
        <v>-1.6995637959121939E-2</v>
      </c>
      <c r="P77" s="6"/>
      <c r="Q77" s="6">
        <f t="shared" si="25"/>
        <v>7.4901523845112821E-3</v>
      </c>
      <c r="R77" s="6">
        <f t="shared" si="20"/>
        <v>1.1401293855996619E-2</v>
      </c>
      <c r="S77" s="6">
        <f t="shared" si="21"/>
        <v>8.289867284730584E-3</v>
      </c>
      <c r="T77" s="6">
        <f t="shared" si="22"/>
        <v>0</v>
      </c>
      <c r="U77" s="6">
        <f t="shared" si="23"/>
        <v>6.6272454866981925E-3</v>
      </c>
      <c r="V77" s="6">
        <f t="shared" si="16"/>
        <v>3.3154462888587075E-3</v>
      </c>
      <c r="W77" s="6">
        <f t="shared" si="24"/>
        <v>9.1343223684778787E-3</v>
      </c>
      <c r="X77" s="6"/>
      <c r="AF77" s="38"/>
    </row>
    <row r="78" spans="1:32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17"/>
        <v>2.0127150788695758E-4</v>
      </c>
      <c r="J78" s="6">
        <f t="shared" si="18"/>
        <v>-9.5097229376474839E-3</v>
      </c>
      <c r="K78" s="6">
        <f t="shared" si="18"/>
        <v>-1.1944749472458554E-3</v>
      </c>
      <c r="L78" s="6">
        <f t="shared" si="18"/>
        <v>7.3054908777762974E-3</v>
      </c>
      <c r="M78" s="6">
        <f t="shared" si="18"/>
        <v>-5.9844807698541955E-3</v>
      </c>
      <c r="N78" s="6">
        <f t="shared" si="18"/>
        <v>-5.4231665551195962E-3</v>
      </c>
      <c r="O78" s="6">
        <f t="shared" si="19"/>
        <v>7.5910897879737701E-3</v>
      </c>
      <c r="P78" s="6"/>
      <c r="Q78" s="6">
        <f t="shared" si="25"/>
        <v>-4.8024530042513835E-4</v>
      </c>
      <c r="R78" s="6">
        <f t="shared" si="20"/>
        <v>-5.9844807698541955E-3</v>
      </c>
      <c r="S78" s="6">
        <f t="shared" si="21"/>
        <v>-2.3052657933244946E-3</v>
      </c>
      <c r="T78" s="6">
        <f t="shared" si="22"/>
        <v>1.3774786571252883E-5</v>
      </c>
      <c r="U78" s="6">
        <f t="shared" si="23"/>
        <v>-7.296771576668058E-4</v>
      </c>
      <c r="V78" s="6">
        <f t="shared" si="16"/>
        <v>3.2442652205293444E-3</v>
      </c>
      <c r="W78" s="6">
        <f t="shared" si="24"/>
        <v>-2.2172743622421685E-3</v>
      </c>
      <c r="X78" s="6"/>
      <c r="AF78" s="38"/>
    </row>
    <row r="79" spans="1:32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17"/>
        <v>1.970843837875158E-4</v>
      </c>
      <c r="J79" s="6">
        <f t="shared" si="18"/>
        <v>2.084449839920156E-2</v>
      </c>
      <c r="K79" s="6">
        <f t="shared" si="18"/>
        <v>1.5354718166455639E-3</v>
      </c>
      <c r="L79" s="6">
        <f t="shared" si="18"/>
        <v>-1.266031176191559E-4</v>
      </c>
      <c r="M79" s="6">
        <f t="shared" si="18"/>
        <v>3.306087505214772E-2</v>
      </c>
      <c r="N79" s="6">
        <f t="shared" si="18"/>
        <v>-5.691170958779145E-4</v>
      </c>
      <c r="O79" s="6">
        <f t="shared" si="19"/>
        <v>-2.1022800952401315E-2</v>
      </c>
      <c r="P79" s="6"/>
      <c r="Q79" s="6">
        <f t="shared" si="25"/>
        <v>1.5352021252262333E-2</v>
      </c>
      <c r="R79" s="6">
        <f t="shared" si="20"/>
        <v>3.306087505214772E-2</v>
      </c>
      <c r="S79" s="6">
        <f t="shared" si="21"/>
        <v>1.9581163973832909E-2</v>
      </c>
      <c r="T79" s="6">
        <f t="shared" si="22"/>
        <v>0</v>
      </c>
      <c r="U79" s="6">
        <f t="shared" si="23"/>
        <v>1.2721551763699839E-2</v>
      </c>
      <c r="V79" s="6">
        <f t="shared" si="16"/>
        <v>1.5568322869962559E-2</v>
      </c>
      <c r="W79" s="6">
        <f t="shared" si="24"/>
        <v>2.2232104579693771E-2</v>
      </c>
      <c r="X79" s="6"/>
      <c r="AF79" s="38"/>
    </row>
    <row r="80" spans="1:32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17"/>
        <v>1.9898816309771306E-4</v>
      </c>
      <c r="J80" s="6">
        <f t="shared" si="18"/>
        <v>-5.7032520050787593E-3</v>
      </c>
      <c r="K80" s="6">
        <f t="shared" si="18"/>
        <v>-1.0233916476147672E-3</v>
      </c>
      <c r="L80" s="6">
        <f t="shared" si="18"/>
        <v>-1.0563861768930536E-2</v>
      </c>
      <c r="M80" s="6">
        <f t="shared" si="18"/>
        <v>-1.6393661333646715E-2</v>
      </c>
      <c r="N80" s="6">
        <f t="shared" si="18"/>
        <v>-3.9137791113844191E-3</v>
      </c>
      <c r="O80" s="6">
        <f t="shared" si="19"/>
        <v>9.6133599104239326E-3</v>
      </c>
      <c r="P80" s="6"/>
      <c r="Q80" s="6">
        <f t="shared" si="25"/>
        <v>-1.1671602207538948E-2</v>
      </c>
      <c r="R80" s="6">
        <f t="shared" si="20"/>
        <v>-1.6393661333646715E-2</v>
      </c>
      <c r="S80" s="6">
        <f t="shared" si="21"/>
        <v>-1.2277484909399942E-2</v>
      </c>
      <c r="T80" s="6">
        <f t="shared" si="22"/>
        <v>1.8724252569023511E-4</v>
      </c>
      <c r="U80" s="6">
        <f t="shared" si="23"/>
        <v>-9.887041433610055E-3</v>
      </c>
      <c r="V80" s="6">
        <f t="shared" si="16"/>
        <v>-7.4795994035151848E-3</v>
      </c>
      <c r="W80" s="6">
        <f t="shared" si="24"/>
        <v>-1.3797773403444319E-2</v>
      </c>
      <c r="X80" s="6"/>
      <c r="AF80" s="38"/>
    </row>
    <row r="81" spans="1:32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17"/>
        <v>1.9746521183972021E-4</v>
      </c>
      <c r="J81" s="6">
        <f t="shared" si="18"/>
        <v>1.0088207138443817E-2</v>
      </c>
      <c r="K81" s="6">
        <f t="shared" si="18"/>
        <v>2.3863212857141401E-3</v>
      </c>
      <c r="L81" s="6">
        <f t="shared" si="18"/>
        <v>3.0661278355592595E-3</v>
      </c>
      <c r="M81" s="6">
        <f t="shared" si="18"/>
        <v>8.8156554713472324E-3</v>
      </c>
      <c r="N81" s="6">
        <f t="shared" si="18"/>
        <v>7.9366104133129379E-3</v>
      </c>
      <c r="O81" s="6">
        <f t="shared" si="19"/>
        <v>-7.6829147917782045E-3</v>
      </c>
      <c r="P81" s="6"/>
      <c r="Q81" s="6">
        <f t="shared" si="25"/>
        <v>6.3867811484324341E-3</v>
      </c>
      <c r="R81" s="6">
        <f t="shared" si="20"/>
        <v>8.8156554713472324E-3</v>
      </c>
      <c r="S81" s="6">
        <f t="shared" si="21"/>
        <v>7.1645305522472849E-3</v>
      </c>
      <c r="T81" s="6">
        <f t="shared" si="22"/>
        <v>0</v>
      </c>
      <c r="U81" s="6">
        <f t="shared" si="23"/>
        <v>6.4556026997496544E-3</v>
      </c>
      <c r="V81" s="6">
        <f t="shared" si="16"/>
        <v>2.5833051387959272E-4</v>
      </c>
      <c r="W81" s="6">
        <f t="shared" si="24"/>
        <v>6.9146674778355292E-3</v>
      </c>
      <c r="X81" s="6"/>
      <c r="AF81" s="38"/>
    </row>
    <row r="82" spans="1:32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17"/>
        <v>1.9784600378991435E-4</v>
      </c>
      <c r="J82" s="6">
        <f t="shared" si="18"/>
        <v>7.3850207302899578E-3</v>
      </c>
      <c r="K82" s="6">
        <f t="shared" si="18"/>
        <v>-2.2156572655028478E-3</v>
      </c>
      <c r="L82" s="6">
        <f t="shared" si="18"/>
        <v>1.0973473354382132E-2</v>
      </c>
      <c r="M82" s="6">
        <f t="shared" si="18"/>
        <v>-9.9971434933014119E-3</v>
      </c>
      <c r="N82" s="6">
        <f t="shared" si="18"/>
        <v>4.0870746210065929E-3</v>
      </c>
      <c r="O82" s="6">
        <f t="shared" si="19"/>
        <v>1.9265432040200135E-3</v>
      </c>
      <c r="P82" s="6"/>
      <c r="Q82" s="6">
        <f t="shared" si="25"/>
        <v>3.014963954861837E-3</v>
      </c>
      <c r="R82" s="6">
        <f t="shared" si="20"/>
        <v>-9.9971434933014119E-3</v>
      </c>
      <c r="S82" s="6">
        <f t="shared" si="21"/>
        <v>4.5330147920907317E-4</v>
      </c>
      <c r="T82" s="6">
        <f t="shared" si="22"/>
        <v>9.0796635712491382E-7</v>
      </c>
      <c r="U82" s="6">
        <f t="shared" si="23"/>
        <v>6.172700818091386E-3</v>
      </c>
      <c r="V82" s="6">
        <f t="shared" si="16"/>
        <v>2.3262157691628996E-3</v>
      </c>
      <c r="W82" s="6">
        <f t="shared" si="24"/>
        <v>-3.8041002475904715E-3</v>
      </c>
      <c r="X82" s="6"/>
      <c r="AF82" s="38"/>
    </row>
    <row r="83" spans="1:32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17"/>
        <v>1.970843837875158E-4</v>
      </c>
      <c r="J83" s="6">
        <f t="shared" si="18"/>
        <v>-1.301155524149791E-2</v>
      </c>
      <c r="K83" s="6">
        <f t="shared" si="18"/>
        <v>7.3098102582420726E-3</v>
      </c>
      <c r="L83" s="6">
        <f t="shared" si="18"/>
        <v>3.6521773139312004E-3</v>
      </c>
      <c r="M83" s="6">
        <f t="shared" si="18"/>
        <v>-1.7889443279638567E-2</v>
      </c>
      <c r="N83" s="6">
        <f t="shared" si="18"/>
        <v>3.9168516750811289E-3</v>
      </c>
      <c r="O83" s="6">
        <f t="shared" si="19"/>
        <v>-3.8569883226658797E-3</v>
      </c>
      <c r="P83" s="6"/>
      <c r="Q83" s="6">
        <f t="shared" si="25"/>
        <v>-6.9702868819916334E-3</v>
      </c>
      <c r="R83" s="6">
        <f t="shared" si="20"/>
        <v>-1.7889443279638567E-2</v>
      </c>
      <c r="S83" s="6">
        <f t="shared" si="21"/>
        <v>-9.7486051209122043E-3</v>
      </c>
      <c r="T83" s="6">
        <f t="shared" si="22"/>
        <v>1.2442910093847008E-4</v>
      </c>
      <c r="U83" s="6">
        <f t="shared" si="23"/>
        <v>-5.7352005216586757E-3</v>
      </c>
      <c r="V83" s="6">
        <f t="shared" si="16"/>
        <v>-8.7863833044678069E-3</v>
      </c>
      <c r="W83" s="6">
        <f t="shared" si="24"/>
        <v>-1.0599832527904737E-2</v>
      </c>
      <c r="X83" s="6"/>
      <c r="AF83" s="38"/>
    </row>
    <row r="84" spans="1:32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17"/>
        <v>2.0012999773522111E-4</v>
      </c>
      <c r="J84" s="6">
        <f t="shared" si="18"/>
        <v>7.8889519649972505E-3</v>
      </c>
      <c r="K84" s="6">
        <f t="shared" si="18"/>
        <v>6.4156731620670822E-3</v>
      </c>
      <c r="L84" s="6">
        <f t="shared" si="18"/>
        <v>8.8855459657744724E-3</v>
      </c>
      <c r="M84" s="6">
        <f t="shared" si="18"/>
        <v>-1.2715943603931842E-2</v>
      </c>
      <c r="N84" s="6">
        <f t="shared" si="18"/>
        <v>4.5887580600857377E-3</v>
      </c>
      <c r="O84" s="6">
        <f t="shared" si="19"/>
        <v>1.5335162949086231E-2</v>
      </c>
      <c r="P84" s="6"/>
      <c r="Q84" s="6">
        <f t="shared" si="25"/>
        <v>1.1967345560216849E-3</v>
      </c>
      <c r="R84" s="6">
        <f t="shared" si="20"/>
        <v>-1.2715943603931842E-2</v>
      </c>
      <c r="S84" s="6">
        <f t="shared" si="21"/>
        <v>-1.3834453278306338E-3</v>
      </c>
      <c r="T84" s="6">
        <f t="shared" si="22"/>
        <v>7.7819769200459104E-6</v>
      </c>
      <c r="U84" s="6">
        <f t="shared" si="23"/>
        <v>4.8673370040161167E-3</v>
      </c>
      <c r="V84" s="6">
        <f t="shared" si="16"/>
        <v>-9.1810485955201408E-4</v>
      </c>
      <c r="W84" s="6">
        <f t="shared" si="24"/>
        <v>-5.6236109601213186E-3</v>
      </c>
      <c r="X84" s="6"/>
      <c r="AF84" s="38"/>
    </row>
    <row r="85" spans="1:32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17"/>
        <v>2.0051053716385603E-4</v>
      </c>
      <c r="J85" s="6">
        <f t="shared" si="18"/>
        <v>1.6553655693470191E-2</v>
      </c>
      <c r="K85" s="6">
        <f t="shared" si="18"/>
        <v>8.5463889760277086E-3</v>
      </c>
      <c r="L85" s="6">
        <f t="shared" si="18"/>
        <v>3.3584282184013106E-3</v>
      </c>
      <c r="M85" s="6">
        <f t="shared" si="18"/>
        <v>2.4346320782964847E-3</v>
      </c>
      <c r="N85" s="6">
        <f t="shared" si="18"/>
        <v>1.3558420429298217E-2</v>
      </c>
      <c r="O85" s="6">
        <f t="shared" si="19"/>
        <v>1.8996557258902202E-3</v>
      </c>
      <c r="P85" s="6"/>
      <c r="Q85" s="6">
        <f t="shared" si="25"/>
        <v>5.5259495026416198E-3</v>
      </c>
      <c r="R85" s="6">
        <f t="shared" si="20"/>
        <v>2.4346320782964847E-3</v>
      </c>
      <c r="S85" s="6">
        <f t="shared" si="21"/>
        <v>5.6089619542267887E-3</v>
      </c>
      <c r="T85" s="6">
        <f t="shared" si="22"/>
        <v>0</v>
      </c>
      <c r="U85" s="6">
        <f t="shared" si="23"/>
        <v>7.7318408304781708E-3</v>
      </c>
      <c r="V85" s="6">
        <f t="shared" si="16"/>
        <v>-4.5282984496088337E-3</v>
      </c>
      <c r="W85" s="6">
        <f t="shared" si="24"/>
        <v>3.1998308997403988E-3</v>
      </c>
      <c r="X85" s="6"/>
      <c r="AF85" s="38"/>
    </row>
    <row r="86" spans="1:32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17"/>
        <v>2.0051053716385603E-4</v>
      </c>
      <c r="J86" s="6">
        <f t="shared" si="18"/>
        <v>7.5742185089877612E-4</v>
      </c>
      <c r="K86" s="6">
        <f t="shared" si="18"/>
        <v>-1.4962062138094838E-2</v>
      </c>
      <c r="L86" s="6">
        <f t="shared" si="18"/>
        <v>1.8028547888701854E-2</v>
      </c>
      <c r="M86" s="6">
        <f t="shared" si="18"/>
        <v>1.208465691282283E-2</v>
      </c>
      <c r="N86" s="6">
        <f t="shared" si="18"/>
        <v>2.6435733742609306E-3</v>
      </c>
      <c r="O86" s="6">
        <f t="shared" si="19"/>
        <v>0</v>
      </c>
      <c r="P86" s="6"/>
      <c r="Q86" s="6">
        <f t="shared" si="25"/>
        <v>1.2707682893020591E-2</v>
      </c>
      <c r="R86" s="6">
        <f t="shared" si="20"/>
        <v>1.208465691282283E-2</v>
      </c>
      <c r="S86" s="6">
        <f t="shared" si="21"/>
        <v>1.1700869559622545E-2</v>
      </c>
      <c r="T86" s="6">
        <f t="shared" si="22"/>
        <v>0</v>
      </c>
      <c r="U86" s="6">
        <f t="shared" si="23"/>
        <v>1.1086957659260053E-2</v>
      </c>
      <c r="V86" s="6">
        <f t="shared" si="16"/>
        <v>8.7377637982383252E-3</v>
      </c>
      <c r="W86" s="6">
        <f t="shared" si="24"/>
        <v>1.1870102546304405E-2</v>
      </c>
      <c r="X86" s="6"/>
      <c r="AF86" s="38"/>
    </row>
    <row r="87" spans="1:32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17"/>
        <v>1.9289289052348835E-4</v>
      </c>
      <c r="J87" s="6">
        <f t="shared" si="18"/>
        <v>-2.7295073142777661E-3</v>
      </c>
      <c r="K87" s="6">
        <f t="shared" si="18"/>
        <v>-7.4804742784532674E-3</v>
      </c>
      <c r="L87" s="6">
        <f t="shared" si="18"/>
        <v>7.5329194945627474E-3</v>
      </c>
      <c r="M87" s="6">
        <f t="shared" si="18"/>
        <v>-7.8383887172057826E-3</v>
      </c>
      <c r="N87" s="6">
        <f t="shared" si="18"/>
        <v>-7.6281368101049259E-5</v>
      </c>
      <c r="O87" s="6">
        <f t="shared" si="19"/>
        <v>-3.8731736328505399E-2</v>
      </c>
      <c r="P87" s="6"/>
      <c r="Q87" s="6">
        <f t="shared" si="25"/>
        <v>2.6015864589360978E-4</v>
      </c>
      <c r="R87" s="6">
        <f t="shared" si="20"/>
        <v>-7.8383887172057826E-3</v>
      </c>
      <c r="S87" s="6">
        <f t="shared" si="21"/>
        <v>-1.7333658615313829E-3</v>
      </c>
      <c r="T87" s="6">
        <f t="shared" si="22"/>
        <v>9.8567115841184013E-6</v>
      </c>
      <c r="U87" s="6">
        <f t="shared" si="23"/>
        <v>1.3934790277953641E-3</v>
      </c>
      <c r="V87" s="6">
        <f t="shared" si="16"/>
        <v>5.7743029238544741E-3</v>
      </c>
      <c r="W87" s="6">
        <f t="shared" si="24"/>
        <v>-3.706658730278057E-3</v>
      </c>
      <c r="X87" s="6"/>
      <c r="AF87" s="38"/>
    </row>
    <row r="88" spans="1:32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17"/>
        <v>1.9136762610516556E-4</v>
      </c>
      <c r="J88" s="6">
        <f t="shared" si="18"/>
        <v>-8.53965400802611E-3</v>
      </c>
      <c r="K88" s="6">
        <f t="shared" si="18"/>
        <v>7.1417585896560408E-3</v>
      </c>
      <c r="L88" s="6">
        <f t="shared" si="18"/>
        <v>6.0338573294274594E-3</v>
      </c>
      <c r="M88" s="6">
        <f t="shared" si="18"/>
        <v>-3.6386626067303612E-3</v>
      </c>
      <c r="N88" s="6">
        <f t="shared" si="18"/>
        <v>4.5180974872495441E-3</v>
      </c>
      <c r="O88" s="6">
        <f t="shared" si="19"/>
        <v>-7.938741363990285E-3</v>
      </c>
      <c r="P88" s="6"/>
      <c r="Q88" s="6">
        <f t="shared" si="25"/>
        <v>-7.3028193631672483E-5</v>
      </c>
      <c r="R88" s="6">
        <f t="shared" si="20"/>
        <v>-3.6386626067303612E-3</v>
      </c>
      <c r="S88" s="6">
        <f t="shared" si="21"/>
        <v>-1.4197297845162749E-3</v>
      </c>
      <c r="T88" s="6">
        <f t="shared" si="22"/>
        <v>7.9857331372254351E-6</v>
      </c>
      <c r="U88" s="6">
        <f t="shared" si="23"/>
        <v>-6.1601720160467865E-4</v>
      </c>
      <c r="V88" s="6">
        <f t="shared" si="16"/>
        <v>-3.7469626645407796E-3</v>
      </c>
      <c r="W88" s="6">
        <f t="shared" si="24"/>
        <v>-4.7106262661155318E-4</v>
      </c>
      <c r="X88" s="6"/>
      <c r="AF88" s="38"/>
    </row>
    <row r="89" spans="1:32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17"/>
        <v>1.9327411614988854E-4</v>
      </c>
      <c r="J89" s="6">
        <f t="shared" si="18"/>
        <v>5.3458637702141027E-3</v>
      </c>
      <c r="K89" s="6">
        <f t="shared" si="18"/>
        <v>-3.2244751257021888E-3</v>
      </c>
      <c r="L89" s="6">
        <f t="shared" si="18"/>
        <v>1.3266549902395489E-2</v>
      </c>
      <c r="M89" s="6">
        <f t="shared" si="18"/>
        <v>9.0718253225267661E-3</v>
      </c>
      <c r="N89" s="6">
        <f t="shared" si="18"/>
        <v>5.8492552349014293E-3</v>
      </c>
      <c r="O89" s="6">
        <f t="shared" si="19"/>
        <v>9.9131500713952395E-3</v>
      </c>
      <c r="P89" s="6"/>
      <c r="Q89" s="6">
        <f t="shared" si="25"/>
        <v>1.0316329317765691E-2</v>
      </c>
      <c r="R89" s="6">
        <f t="shared" si="20"/>
        <v>9.0718253225267661E-3</v>
      </c>
      <c r="S89" s="6">
        <f t="shared" si="21"/>
        <v>9.6778210539280578E-3</v>
      </c>
      <c r="T89" s="6">
        <f t="shared" si="22"/>
        <v>0</v>
      </c>
      <c r="U89" s="6">
        <f t="shared" si="23"/>
        <v>9.8331238390122616E-3</v>
      </c>
      <c r="V89" s="6">
        <f t="shared" si="16"/>
        <v>3.5313268303623292E-3</v>
      </c>
      <c r="W89" s="6">
        <f t="shared" si="24"/>
        <v>9.3827983072559615E-3</v>
      </c>
      <c r="X89" s="6"/>
      <c r="AF89" s="38"/>
    </row>
    <row r="90" spans="1:32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17"/>
        <v>1.9327411614988854E-4</v>
      </c>
      <c r="J90" s="6">
        <f t="shared" si="18"/>
        <v>-1.0771711802952852E-2</v>
      </c>
      <c r="K90" s="6">
        <f t="shared" si="18"/>
        <v>-2.0955763699396959E-2</v>
      </c>
      <c r="L90" s="6">
        <f t="shared" si="18"/>
        <v>-1.1343350930772851E-2</v>
      </c>
      <c r="M90" s="6">
        <f t="shared" si="18"/>
        <v>-1.2723712230209391E-2</v>
      </c>
      <c r="N90" s="6">
        <f t="shared" si="18"/>
        <v>-1.4793144174519959E-2</v>
      </c>
      <c r="O90" s="6">
        <f t="shared" si="19"/>
        <v>0</v>
      </c>
      <c r="P90" s="6"/>
      <c r="Q90" s="6">
        <f t="shared" si="25"/>
        <v>-1.1714868854458861E-2</v>
      </c>
      <c r="R90" s="6">
        <f t="shared" si="20"/>
        <v>-1.2723712230209391E-2</v>
      </c>
      <c r="S90" s="6">
        <f t="shared" si="21"/>
        <v>-1.188895430156402E-2</v>
      </c>
      <c r="T90" s="6">
        <f t="shared" si="22"/>
        <v>1.7676044096753488E-4</v>
      </c>
      <c r="U90" s="6">
        <f t="shared" si="23"/>
        <v>-1.1381979469899469E-2</v>
      </c>
      <c r="V90" s="6">
        <f t="shared" si="16"/>
        <v>1.7638495123232407E-3</v>
      </c>
      <c r="W90" s="6">
        <f t="shared" si="24"/>
        <v>-1.2846905549488398E-2</v>
      </c>
      <c r="X90" s="6"/>
      <c r="AF90" s="38"/>
    </row>
    <row r="91" spans="1:32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17"/>
        <v>1.9251162871269933E-4</v>
      </c>
      <c r="J91" s="6">
        <f t="shared" si="18"/>
        <v>-7.7033791279105483E-4</v>
      </c>
      <c r="K91" s="6">
        <f t="shared" si="18"/>
        <v>6.5744708171604086E-3</v>
      </c>
      <c r="L91" s="6">
        <f t="shared" si="18"/>
        <v>5.6878079343058051E-3</v>
      </c>
      <c r="M91" s="6">
        <f t="shared" si="18"/>
        <v>5.4729367751170889E-3</v>
      </c>
      <c r="N91" s="6">
        <f t="shared" si="18"/>
        <v>1.024879009249407E-2</v>
      </c>
      <c r="O91" s="6">
        <f t="shared" si="19"/>
        <v>-3.9529113773502057E-3</v>
      </c>
      <c r="P91" s="6"/>
      <c r="Q91" s="6">
        <f t="shared" si="25"/>
        <v>4.395346928241577E-3</v>
      </c>
      <c r="R91" s="6">
        <f t="shared" si="20"/>
        <v>5.4729367751170889E-3</v>
      </c>
      <c r="S91" s="6">
        <f t="shared" si="21"/>
        <v>4.2821431480410321E-3</v>
      </c>
      <c r="T91" s="6">
        <f t="shared" si="22"/>
        <v>0</v>
      </c>
      <c r="U91" s="6">
        <f t="shared" si="23"/>
        <v>3.4338193745081201E-3</v>
      </c>
      <c r="V91" s="6">
        <f t="shared" si="16"/>
        <v>-5.233516612506455E-3</v>
      </c>
      <c r="W91" s="6">
        <f t="shared" si="24"/>
        <v>5.5336496925719805E-3</v>
      </c>
      <c r="X91" s="6"/>
      <c r="AF91" s="38"/>
    </row>
    <row r="92" spans="1:32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17"/>
        <v>1.9060477665200359E-4</v>
      </c>
      <c r="J92" s="6">
        <f t="shared" si="18"/>
        <v>-5.5629055748559423E-3</v>
      </c>
      <c r="K92" s="6">
        <f t="shared" si="18"/>
        <v>5.6744066112261139E-3</v>
      </c>
      <c r="L92" s="6">
        <f t="shared" si="18"/>
        <v>-5.9719768106862266E-4</v>
      </c>
      <c r="M92" s="6">
        <f t="shared" si="18"/>
        <v>3.6318010530331695E-3</v>
      </c>
      <c r="N92" s="6">
        <f t="shared" si="18"/>
        <v>1.6587067997896167E-3</v>
      </c>
      <c r="O92" s="6">
        <f t="shared" si="19"/>
        <v>-9.9545087610752991E-3</v>
      </c>
      <c r="P92" s="6"/>
      <c r="Q92" s="6">
        <f t="shared" si="25"/>
        <v>-6.5136554108786342E-5</v>
      </c>
      <c r="R92" s="6">
        <f t="shared" si="20"/>
        <v>3.6318010530331695E-3</v>
      </c>
      <c r="S92" s="6">
        <f t="shared" si="21"/>
        <v>3.795666934250032E-4</v>
      </c>
      <c r="T92" s="6">
        <f t="shared" si="22"/>
        <v>1.053922902631278E-6</v>
      </c>
      <c r="U92" s="6">
        <f t="shared" si="23"/>
        <v>-1.5825194543011042E-3</v>
      </c>
      <c r="V92" s="6">
        <f t="shared" si="16"/>
        <v>-1.9480173054625717E-3</v>
      </c>
      <c r="W92" s="6">
        <f t="shared" si="24"/>
        <v>2.5473288658458683E-3</v>
      </c>
      <c r="X92" s="6"/>
      <c r="AF92" s="38"/>
    </row>
    <row r="93" spans="1:32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17"/>
        <v>1.8907864298212118E-4</v>
      </c>
      <c r="J93" s="6">
        <f t="shared" si="18"/>
        <v>-2.8449113917028523E-3</v>
      </c>
      <c r="K93" s="6">
        <f t="shared" si="18"/>
        <v>4.1068114348282283E-3</v>
      </c>
      <c r="L93" s="6">
        <f t="shared" si="18"/>
        <v>5.8965836558493075E-3</v>
      </c>
      <c r="M93" s="6">
        <f t="shared" si="18"/>
        <v>1.2077595132303129E-3</v>
      </c>
      <c r="N93" s="6">
        <f t="shared" si="18"/>
        <v>4.2227363999498384E-3</v>
      </c>
      <c r="O93" s="6">
        <f t="shared" si="19"/>
        <v>-8.0390230909918731E-3</v>
      </c>
      <c r="P93" s="6"/>
      <c r="Q93" s="6">
        <f t="shared" si="25"/>
        <v>2.6200078545804365E-3</v>
      </c>
      <c r="R93" s="6">
        <f t="shared" si="20"/>
        <v>1.2077595132303129E-3</v>
      </c>
      <c r="S93" s="6">
        <f t="shared" si="21"/>
        <v>1.9395375188459491E-3</v>
      </c>
      <c r="T93" s="6">
        <f t="shared" si="22"/>
        <v>0</v>
      </c>
      <c r="U93" s="6">
        <f t="shared" si="23"/>
        <v>2.0972472806542312E-3</v>
      </c>
      <c r="V93" s="6">
        <f t="shared" si="16"/>
        <v>-7.6006048185188989E-4</v>
      </c>
      <c r="W93" s="6">
        <f t="shared" si="24"/>
        <v>2.5826520661251769E-3</v>
      </c>
      <c r="X93" s="6"/>
      <c r="AF93" s="38"/>
    </row>
    <row r="94" spans="1:32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17"/>
        <v>1.8831535865504456E-4</v>
      </c>
      <c r="J94" s="6">
        <f t="shared" si="18"/>
        <v>5.1779897604456546E-4</v>
      </c>
      <c r="K94" s="6">
        <f t="shared" si="18"/>
        <v>2.5581149129798759E-3</v>
      </c>
      <c r="L94" s="6">
        <f t="shared" si="18"/>
        <v>5.9800808714544585E-3</v>
      </c>
      <c r="M94" s="6">
        <f t="shared" si="18"/>
        <v>6.0333319054379066E-4</v>
      </c>
      <c r="N94" s="6">
        <f t="shared" si="18"/>
        <v>1.429419277681746E-3</v>
      </c>
      <c r="O94" s="6">
        <f t="shared" si="19"/>
        <v>-4.0450317944709362E-3</v>
      </c>
      <c r="P94" s="6"/>
      <c r="Q94" s="6">
        <f t="shared" si="25"/>
        <v>3.0830111575354999E-3</v>
      </c>
      <c r="R94" s="6">
        <f t="shared" si="20"/>
        <v>6.0333319054379066E-4</v>
      </c>
      <c r="S94" s="6">
        <f t="shared" si="21"/>
        <v>2.3632527980140456E-3</v>
      </c>
      <c r="T94" s="6">
        <f t="shared" si="22"/>
        <v>0</v>
      </c>
      <c r="U94" s="6">
        <f t="shared" si="23"/>
        <v>3.1896046222422421E-3</v>
      </c>
      <c r="V94" s="6">
        <f t="shared" si="16"/>
        <v>2.3698019557592256E-3</v>
      </c>
      <c r="W94" s="6">
        <f t="shared" si="24"/>
        <v>2.1422048894572535E-3</v>
      </c>
      <c r="X94" s="6"/>
      <c r="AF94" s="38"/>
    </row>
    <row r="95" spans="1:32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17"/>
        <v>1.8831535865504456E-4</v>
      </c>
      <c r="J95" s="6">
        <f t="shared" si="18"/>
        <v>2.2237825955231019E-3</v>
      </c>
      <c r="K95" s="6">
        <f t="shared" si="18"/>
        <v>6.811858639393253E-4</v>
      </c>
      <c r="L95" s="6">
        <f t="shared" si="18"/>
        <v>5.2989165247204857E-3</v>
      </c>
      <c r="M95" s="6">
        <f t="shared" si="18"/>
        <v>9.6039637827291333E-3</v>
      </c>
      <c r="N95" s="6">
        <f t="shared" si="18"/>
        <v>3.7010203319937546E-4</v>
      </c>
      <c r="O95" s="6">
        <f t="shared" si="19"/>
        <v>0</v>
      </c>
      <c r="P95" s="6"/>
      <c r="Q95" s="6">
        <f t="shared" si="25"/>
        <v>6.2139009686934506E-3</v>
      </c>
      <c r="R95" s="6">
        <f t="shared" si="20"/>
        <v>9.6039637827291333E-3</v>
      </c>
      <c r="S95" s="6">
        <f t="shared" si="21"/>
        <v>6.6730601712573362E-3</v>
      </c>
      <c r="T95" s="6">
        <f t="shared" si="22"/>
        <v>0</v>
      </c>
      <c r="U95" s="6">
        <f t="shared" si="23"/>
        <v>4.9756702859131505E-3</v>
      </c>
      <c r="V95" s="6">
        <f t="shared" si="16"/>
        <v>4.6467815806443954E-3</v>
      </c>
      <c r="W95" s="6">
        <f t="shared" si="24"/>
        <v>7.8419427524544713E-3</v>
      </c>
      <c r="X95" s="6"/>
      <c r="AF95" s="38"/>
    </row>
    <row r="96" spans="1:32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17"/>
        <v>1.8869701894863589E-4</v>
      </c>
      <c r="J96" s="6">
        <f t="shared" si="18"/>
        <v>-5.4389057902563941E-3</v>
      </c>
      <c r="K96" s="6">
        <f t="shared" si="18"/>
        <v>3.0590814664282501E-3</v>
      </c>
      <c r="L96" s="6">
        <f t="shared" si="18"/>
        <v>-1.1751806513597941E-3</v>
      </c>
      <c r="M96" s="6">
        <f t="shared" si="18"/>
        <v>2.3866948027653455E-3</v>
      </c>
      <c r="N96" s="6">
        <f t="shared" si="18"/>
        <v>-2.8304729998547477E-3</v>
      </c>
      <c r="O96" s="6">
        <f t="shared" si="19"/>
        <v>2.0246572613530339E-3</v>
      </c>
      <c r="P96" s="6"/>
      <c r="Q96" s="6">
        <f t="shared" si="25"/>
        <v>-7.4239380479156352E-4</v>
      </c>
      <c r="R96" s="6">
        <f t="shared" si="20"/>
        <v>2.3866948027653455E-3</v>
      </c>
      <c r="S96" s="6">
        <f t="shared" si="21"/>
        <v>-3.7096445250872439E-4</v>
      </c>
      <c r="T96" s="6">
        <f t="shared" si="22"/>
        <v>3.1582216691950804E-6</v>
      </c>
      <c r="U96" s="6">
        <f t="shared" si="23"/>
        <v>-2.0330020869331997E-3</v>
      </c>
      <c r="V96" s="6">
        <f t="shared" si="16"/>
        <v>2.5681980146645324E-4</v>
      </c>
      <c r="W96" s="6">
        <f t="shared" si="24"/>
        <v>1.4078523253884681E-3</v>
      </c>
      <c r="X96" s="6"/>
      <c r="AF96" s="38"/>
    </row>
    <row r="97" spans="1:32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17"/>
        <v>1.8717016014413446E-4</v>
      </c>
      <c r="J97" s="6">
        <f t="shared" si="18"/>
        <v>-3.6442669115568614E-2</v>
      </c>
      <c r="K97" s="6">
        <f t="shared" si="18"/>
        <v>1.4989765411567772E-2</v>
      </c>
      <c r="L97" s="6">
        <f t="shared" si="18"/>
        <v>1.1573020195509662E-2</v>
      </c>
      <c r="M97" s="6">
        <f t="shared" si="18"/>
        <v>2.7624383831125431E-2</v>
      </c>
      <c r="N97" s="6">
        <f t="shared" si="18"/>
        <v>-5.6766608929654707E-3</v>
      </c>
      <c r="O97" s="6">
        <f t="shared" si="19"/>
        <v>-8.1245040168903531E-3</v>
      </c>
      <c r="P97" s="6"/>
      <c r="Q97" s="6">
        <f t="shared" si="25"/>
        <v>8.0920861969751706E-3</v>
      </c>
      <c r="R97" s="6">
        <f t="shared" si="20"/>
        <v>2.7624383831125431E-2</v>
      </c>
      <c r="S97" s="6">
        <f t="shared" si="21"/>
        <v>9.3373299130813867E-3</v>
      </c>
      <c r="T97" s="6">
        <f t="shared" si="22"/>
        <v>0</v>
      </c>
      <c r="U97" s="6">
        <f t="shared" si="23"/>
        <v>-2.1817698346707944E-3</v>
      </c>
      <c r="V97" s="6">
        <f t="shared" si="16"/>
        <v>3.7674747037205933E-3</v>
      </c>
      <c r="W97" s="6">
        <f t="shared" si="24"/>
        <v>2.1952651703968755E-2</v>
      </c>
      <c r="X97" s="6"/>
      <c r="AF97" s="38"/>
    </row>
    <row r="98" spans="1:32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17"/>
        <v>1.8831535865504456E-4</v>
      </c>
      <c r="J98" s="6">
        <f t="shared" si="18"/>
        <v>-7.5158087877084971E-3</v>
      </c>
      <c r="K98" s="6">
        <f t="shared" si="18"/>
        <v>2.3375916662677874E-3</v>
      </c>
      <c r="L98" s="6">
        <f t="shared" si="18"/>
        <v>-4.3679752008790812E-3</v>
      </c>
      <c r="M98" s="6">
        <f t="shared" si="18"/>
        <v>-1.1600607305661888E-3</v>
      </c>
      <c r="N98" s="6">
        <f t="shared" si="18"/>
        <v>-8.0486143089745707E-3</v>
      </c>
      <c r="O98" s="6">
        <f t="shared" si="19"/>
        <v>6.0998467555371874E-3</v>
      </c>
      <c r="P98" s="6"/>
      <c r="Q98" s="6">
        <f t="shared" si="25"/>
        <v>-3.8476673546012589E-3</v>
      </c>
      <c r="R98" s="6">
        <f t="shared" si="20"/>
        <v>-1.1600607305661888E-3</v>
      </c>
      <c r="S98" s="6">
        <f t="shared" si="21"/>
        <v>-3.4980581709425891E-3</v>
      </c>
      <c r="T98" s="6">
        <f t="shared" si="22"/>
        <v>2.4051494814161393E-5</v>
      </c>
      <c r="U98" s="6">
        <f t="shared" si="23"/>
        <v>-4.9028872449485882E-3</v>
      </c>
      <c r="V98" s="6">
        <f t="shared" si="16"/>
        <v>1.5702016324993448E-3</v>
      </c>
      <c r="W98" s="6">
        <f t="shared" si="24"/>
        <v>-1.8562379526808922E-3</v>
      </c>
      <c r="X98" s="6"/>
      <c r="AF98" s="38"/>
    </row>
    <row r="99" spans="1:32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17"/>
        <v>1.8717016014413446E-4</v>
      </c>
      <c r="J99" s="6">
        <f t="shared" si="18"/>
        <v>-1.2781428001649012E-2</v>
      </c>
      <c r="K99" s="6">
        <f t="shared" si="18"/>
        <v>-3.3411282708156569E-3</v>
      </c>
      <c r="L99" s="6">
        <f t="shared" si="18"/>
        <v>6.6141593258210608E-3</v>
      </c>
      <c r="M99" s="6">
        <f t="shared" si="18"/>
        <v>-4.6539918884881352E-3</v>
      </c>
      <c r="N99" s="6">
        <f t="shared" si="18"/>
        <v>-3.434296699869414E-3</v>
      </c>
      <c r="O99" s="6">
        <f t="shared" si="19"/>
        <v>-6.0998467555372334E-3</v>
      </c>
      <c r="P99" s="6"/>
      <c r="Q99" s="6">
        <f t="shared" si="25"/>
        <v>-9.5611784243369163E-4</v>
      </c>
      <c r="R99" s="6">
        <f t="shared" si="20"/>
        <v>-4.6539918884881352E-3</v>
      </c>
      <c r="S99" s="6">
        <f t="shared" si="21"/>
        <v>-2.5798704906717196E-3</v>
      </c>
      <c r="T99" s="6">
        <f t="shared" si="22"/>
        <v>1.5888552004532539E-5</v>
      </c>
      <c r="U99" s="6">
        <f t="shared" si="23"/>
        <v>-1.9629248227139686E-3</v>
      </c>
      <c r="V99" s="6">
        <f t="shared" si="16"/>
        <v>1.7681986403322377E-3</v>
      </c>
      <c r="W99" s="6">
        <f t="shared" si="24"/>
        <v>-1.6819518220808566E-3</v>
      </c>
      <c r="X99" s="6"/>
      <c r="AF99" s="38"/>
    </row>
    <row r="100" spans="1:32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17"/>
        <v>1.8717016014413446E-4</v>
      </c>
      <c r="J100" s="6">
        <f t="shared" ref="J100:N130" si="26">LN(B100/B99)</f>
        <v>-4.0210117830922973E-3</v>
      </c>
      <c r="K100" s="6">
        <f t="shared" si="26"/>
        <v>-1.5071191150336566E-3</v>
      </c>
      <c r="L100" s="6">
        <f t="shared" si="26"/>
        <v>5.0046366419241994E-3</v>
      </c>
      <c r="M100" s="6">
        <f t="shared" si="26"/>
        <v>1.8487103983690103E-2</v>
      </c>
      <c r="N100" s="6">
        <f t="shared" si="26"/>
        <v>1.8240092336748459E-3</v>
      </c>
      <c r="O100" s="6">
        <f t="shared" si="19"/>
        <v>0</v>
      </c>
      <c r="P100" s="6"/>
      <c r="Q100" s="6">
        <f t="shared" si="25"/>
        <v>7.9842561238651182E-3</v>
      </c>
      <c r="R100" s="6">
        <f t="shared" si="20"/>
        <v>1.8487103983690103E-2</v>
      </c>
      <c r="S100" s="6">
        <f t="shared" si="21"/>
        <v>9.4457578474061339E-3</v>
      </c>
      <c r="T100" s="6">
        <f t="shared" si="22"/>
        <v>0</v>
      </c>
      <c r="U100" s="6">
        <f t="shared" si="23"/>
        <v>4.2000282366423105E-3</v>
      </c>
      <c r="V100" s="6">
        <f t="shared" si="16"/>
        <v>2.5791345871918401E-3</v>
      </c>
      <c r="W100" s="6">
        <f t="shared" si="24"/>
        <v>1.3465174601935345E-2</v>
      </c>
      <c r="X100" s="6"/>
      <c r="AF100" s="38"/>
    </row>
    <row r="101" spans="1:32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17"/>
        <v>1.8755192925978825E-4</v>
      </c>
      <c r="J101" s="6">
        <f t="shared" si="26"/>
        <v>2.3887222589555022E-2</v>
      </c>
      <c r="K101" s="6">
        <f t="shared" si="26"/>
        <v>7.3468937372898847E-3</v>
      </c>
      <c r="L101" s="6">
        <f t="shared" si="26"/>
        <v>-1.4521496056958624E-3</v>
      </c>
      <c r="M101" s="6">
        <f t="shared" si="26"/>
        <v>-8.62337357891769E-3</v>
      </c>
      <c r="N101" s="6">
        <f t="shared" si="26"/>
        <v>1.4015987132365047E-2</v>
      </c>
      <c r="O101" s="6">
        <f t="shared" si="19"/>
        <v>2.0376127190629861E-3</v>
      </c>
      <c r="P101" s="6"/>
      <c r="Q101" s="6">
        <f t="shared" si="25"/>
        <v>8.3611215455604675E-4</v>
      </c>
      <c r="R101" s="6">
        <f t="shared" si="20"/>
        <v>-8.62337357891769E-3</v>
      </c>
      <c r="S101" s="6">
        <f t="shared" si="21"/>
        <v>3.5326303714999611E-4</v>
      </c>
      <c r="T101" s="6">
        <f t="shared" si="22"/>
        <v>1.1086218451376842E-6</v>
      </c>
      <c r="U101" s="6">
        <f t="shared" si="23"/>
        <v>6.0278362669816737E-3</v>
      </c>
      <c r="V101" s="6">
        <f t="shared" si="16"/>
        <v>-6.654279044946157E-3</v>
      </c>
      <c r="W101" s="6">
        <f t="shared" si="24"/>
        <v>-5.4130267078059116E-3</v>
      </c>
      <c r="X101" s="6"/>
      <c r="AF101" s="38"/>
    </row>
    <row r="102" spans="1:32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17"/>
        <v>1.8793366209446383E-4</v>
      </c>
      <c r="J102" s="6">
        <f t="shared" si="26"/>
        <v>-2.2659828390601978E-3</v>
      </c>
      <c r="K102" s="6">
        <f t="shared" si="26"/>
        <v>-1.8316735365529078E-3</v>
      </c>
      <c r="L102" s="6">
        <f t="shared" si="26"/>
        <v>-7.9374988566027482E-3</v>
      </c>
      <c r="M102" s="6">
        <f t="shared" si="26"/>
        <v>-5.4130016942953952E-3</v>
      </c>
      <c r="N102" s="6">
        <f t="shared" si="26"/>
        <v>-1.4789856520085827E-3</v>
      </c>
      <c r="O102" s="6">
        <f t="shared" si="19"/>
        <v>2.0332762427048251E-3</v>
      </c>
      <c r="P102" s="6"/>
      <c r="Q102" s="6">
        <f t="shared" si="25"/>
        <v>-5.9913850730428471E-3</v>
      </c>
      <c r="R102" s="6">
        <f t="shared" si="20"/>
        <v>-5.4130016942953952E-3</v>
      </c>
      <c r="S102" s="6">
        <f t="shared" si="21"/>
        <v>-5.6018618364457717E-3</v>
      </c>
      <c r="T102" s="6">
        <f t="shared" si="22"/>
        <v>4.9112568610787361E-5</v>
      </c>
      <c r="U102" s="6">
        <f t="shared" si="23"/>
        <v>-5.5605621537046322E-3</v>
      </c>
      <c r="V102" s="6">
        <f t="shared" si="16"/>
        <v>-4.472690271036155E-3</v>
      </c>
      <c r="W102" s="6">
        <f t="shared" si="24"/>
        <v>-5.8263406865136941E-3</v>
      </c>
      <c r="X102" s="6"/>
      <c r="AF102" s="38"/>
    </row>
    <row r="103" spans="1:32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17"/>
        <v>1.8946023076238383E-4</v>
      </c>
      <c r="J103" s="6">
        <f t="shared" si="26"/>
        <v>5.655471783241264E-3</v>
      </c>
      <c r="K103" s="6">
        <f t="shared" si="26"/>
        <v>3.3277857054118689E-3</v>
      </c>
      <c r="L103" s="6">
        <f t="shared" si="26"/>
        <v>2.1072476150256008E-3</v>
      </c>
      <c r="M103" s="6">
        <f t="shared" si="26"/>
        <v>-4.7308269784354078E-3</v>
      </c>
      <c r="N103" s="6">
        <f t="shared" si="26"/>
        <v>5.6499398196109933E-3</v>
      </c>
      <c r="O103" s="6">
        <f t="shared" si="19"/>
        <v>8.0900990870679586E-3</v>
      </c>
      <c r="P103" s="6"/>
      <c r="Q103" s="6">
        <f t="shared" si="25"/>
        <v>4.0191080739984978E-4</v>
      </c>
      <c r="R103" s="6">
        <f t="shared" si="20"/>
        <v>-4.7308269784354078E-3</v>
      </c>
      <c r="S103" s="6">
        <f t="shared" si="21"/>
        <v>-3.5755480264217099E-4</v>
      </c>
      <c r="T103" s="6">
        <f t="shared" si="22"/>
        <v>3.1107398746290682E-6</v>
      </c>
      <c r="U103" s="6">
        <f t="shared" si="23"/>
        <v>2.1618737515039996E-3</v>
      </c>
      <c r="V103" s="6">
        <f t="shared" si="16"/>
        <v>-3.7597940649063779E-3</v>
      </c>
      <c r="W103" s="6">
        <f t="shared" si="24"/>
        <v>-2.3226991932737712E-3</v>
      </c>
      <c r="X103" s="6"/>
      <c r="AF103" s="38"/>
    </row>
    <row r="104" spans="1:32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17"/>
        <v>1.8907864298212118E-4</v>
      </c>
      <c r="J104" s="6">
        <f t="shared" si="26"/>
        <v>-3.2278053849822972E-3</v>
      </c>
      <c r="K104" s="6">
        <f t="shared" si="26"/>
        <v>-6.4994939061170766E-3</v>
      </c>
      <c r="L104" s="6">
        <f t="shared" si="26"/>
        <v>-4.2189451011928857E-3</v>
      </c>
      <c r="M104" s="6">
        <f t="shared" si="26"/>
        <v>-3.8675610583800438E-2</v>
      </c>
      <c r="N104" s="6">
        <f t="shared" si="26"/>
        <v>-6.7128903604016395E-4</v>
      </c>
      <c r="O104" s="6">
        <f t="shared" si="19"/>
        <v>-2.0161094988275217E-3</v>
      </c>
      <c r="P104" s="6"/>
      <c r="Q104" s="6">
        <f t="shared" si="25"/>
        <v>-1.5996735686896794E-2</v>
      </c>
      <c r="R104" s="6">
        <f t="shared" si="20"/>
        <v>-3.8675610583800438E-2</v>
      </c>
      <c r="S104" s="6">
        <f t="shared" si="21"/>
        <v>-2.007350589599214E-2</v>
      </c>
      <c r="T104" s="6">
        <f t="shared" si="22"/>
        <v>4.6137665556312505E-4</v>
      </c>
      <c r="U104" s="6">
        <f t="shared" si="23"/>
        <v>-9.7422848134459741E-3</v>
      </c>
      <c r="V104" s="6">
        <f t="shared" si="16"/>
        <v>-8.9212410563589088E-3</v>
      </c>
      <c r="W104" s="6">
        <f t="shared" si="24"/>
        <v>-2.7233873904661528E-2</v>
      </c>
      <c r="X104" s="6"/>
      <c r="AF104" s="38"/>
    </row>
    <row r="105" spans="1:32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17"/>
        <v>1.8831535865504456E-4</v>
      </c>
      <c r="J105" s="6">
        <f t="shared" si="26"/>
        <v>1.776525989713901E-3</v>
      </c>
      <c r="K105" s="6">
        <f t="shared" si="26"/>
        <v>9.6506195124218454E-3</v>
      </c>
      <c r="L105" s="6">
        <f t="shared" si="26"/>
        <v>-7.3671383000021009E-3</v>
      </c>
      <c r="M105" s="6">
        <f t="shared" si="26"/>
        <v>1.5286157688589852E-2</v>
      </c>
      <c r="N105" s="6">
        <f t="shared" si="26"/>
        <v>7.5072645194105983E-4</v>
      </c>
      <c r="O105" s="6">
        <f t="shared" si="19"/>
        <v>-4.0450317944709362E-3</v>
      </c>
      <c r="P105" s="6"/>
      <c r="Q105" s="6">
        <f t="shared" si="25"/>
        <v>2.2232407243876406E-3</v>
      </c>
      <c r="R105" s="6">
        <f t="shared" si="20"/>
        <v>1.5286157688589852E-2</v>
      </c>
      <c r="S105" s="6">
        <f t="shared" si="21"/>
        <v>5.0686501199740108E-3</v>
      </c>
      <c r="T105" s="6">
        <f t="shared" si="22"/>
        <v>0</v>
      </c>
      <c r="U105" s="6">
        <f t="shared" si="23"/>
        <v>-3.7261856668789574E-4</v>
      </c>
      <c r="V105" s="6">
        <f t="shared" si="16"/>
        <v>-5.8930537670437736E-4</v>
      </c>
      <c r="W105" s="6">
        <f t="shared" si="24"/>
        <v>8.8209106603684122E-3</v>
      </c>
      <c r="X105" s="6"/>
      <c r="AF105" s="38"/>
    </row>
    <row r="106" spans="1:32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17"/>
        <v>1.8831535865504456E-4</v>
      </c>
      <c r="J106" s="6">
        <f t="shared" si="26"/>
        <v>-1.2393598825964395E-2</v>
      </c>
      <c r="K106" s="6">
        <f t="shared" si="26"/>
        <v>-6.6456043485522889E-3</v>
      </c>
      <c r="L106" s="6">
        <f t="shared" si="26"/>
        <v>-6.2900128628262742E-3</v>
      </c>
      <c r="M106" s="6">
        <f t="shared" si="26"/>
        <v>-2.4301095699120847E-3</v>
      </c>
      <c r="N106" s="6">
        <f t="shared" si="26"/>
        <v>-3.7382986232446964E-3</v>
      </c>
      <c r="O106" s="6">
        <f t="shared" si="19"/>
        <v>0</v>
      </c>
      <c r="P106" s="6"/>
      <c r="Q106" s="6">
        <f t="shared" si="25"/>
        <v>-6.1006921935836478E-3</v>
      </c>
      <c r="R106" s="6">
        <f t="shared" si="20"/>
        <v>-2.4301095699120847E-3</v>
      </c>
      <c r="S106" s="6">
        <f t="shared" si="21"/>
        <v>-5.7281332424120816E-3</v>
      </c>
      <c r="T106" s="6">
        <f t="shared" si="22"/>
        <v>5.0898342196920552E-5</v>
      </c>
      <c r="U106" s="6">
        <f t="shared" si="23"/>
        <v>-7.7288390228054489E-3</v>
      </c>
      <c r="V106" s="6">
        <f t="shared" si="16"/>
        <v>-4.4068248650377959E-3</v>
      </c>
      <c r="W106" s="6">
        <f t="shared" si="24"/>
        <v>-3.8108595671011024E-3</v>
      </c>
      <c r="X106" s="6"/>
      <c r="AF106" s="38"/>
    </row>
    <row r="107" spans="1:32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17"/>
        <v>1.8831535865504456E-4</v>
      </c>
      <c r="J107" s="6">
        <f t="shared" si="26"/>
        <v>-5.186893307744119E-3</v>
      </c>
      <c r="K107" s="6">
        <f t="shared" si="26"/>
        <v>0</v>
      </c>
      <c r="L107" s="6">
        <f t="shared" si="26"/>
        <v>-5.371937640172391E-3</v>
      </c>
      <c r="M107" s="6">
        <f t="shared" si="26"/>
        <v>-1.8264811991713004E-3</v>
      </c>
      <c r="N107" s="6">
        <f t="shared" si="26"/>
        <v>-5.6327271267556144E-3</v>
      </c>
      <c r="O107" s="6">
        <f t="shared" si="19"/>
        <v>0</v>
      </c>
      <c r="P107" s="6"/>
      <c r="Q107" s="6">
        <f t="shared" si="25"/>
        <v>-4.1059222954170039E-3</v>
      </c>
      <c r="R107" s="6">
        <f t="shared" si="20"/>
        <v>-1.8264811991713004E-3</v>
      </c>
      <c r="S107" s="6">
        <f t="shared" si="21"/>
        <v>-3.6726816246250397E-3</v>
      </c>
      <c r="T107" s="6">
        <f t="shared" si="22"/>
        <v>2.5794776141393875E-5</v>
      </c>
      <c r="U107" s="6">
        <f t="shared" si="23"/>
        <v>-4.7050553901792323E-3</v>
      </c>
      <c r="V107" s="6">
        <f t="shared" si="16"/>
        <v>3.0043003187161035E-4</v>
      </c>
      <c r="W107" s="6">
        <f t="shared" si="24"/>
        <v>-2.6841226506564069E-3</v>
      </c>
      <c r="X107" s="6"/>
      <c r="AF107" s="38"/>
    </row>
    <row r="108" spans="1:32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17"/>
        <v>1.8564272073429144E-4</v>
      </c>
      <c r="J108" s="6">
        <f t="shared" si="26"/>
        <v>3.205143040647615E-2</v>
      </c>
      <c r="K108" s="6">
        <f t="shared" si="26"/>
        <v>2.8297562882526783E-3</v>
      </c>
      <c r="L108" s="6">
        <f t="shared" si="26"/>
        <v>1.9731308295413211E-3</v>
      </c>
      <c r="M108" s="6">
        <f t="shared" si="26"/>
        <v>-6.0961109656987951E-4</v>
      </c>
      <c r="N108" s="6">
        <f t="shared" si="26"/>
        <v>8.7667247395320728E-3</v>
      </c>
      <c r="O108" s="6">
        <f t="shared" si="19"/>
        <v>-1.4294026918207711E-2</v>
      </c>
      <c r="P108" s="6"/>
      <c r="Q108" s="6">
        <f t="shared" si="25"/>
        <v>6.7483387090817347E-3</v>
      </c>
      <c r="R108" s="6">
        <f t="shared" si="20"/>
        <v>-6.0961109656987951E-4</v>
      </c>
      <c r="S108" s="6">
        <f t="shared" si="21"/>
        <v>6.8601128400547174E-3</v>
      </c>
      <c r="T108" s="6">
        <f t="shared" si="22"/>
        <v>0</v>
      </c>
      <c r="U108" s="6">
        <f t="shared" si="23"/>
        <v>1.1861084285528418E-2</v>
      </c>
      <c r="V108" s="6">
        <f t="shared" si="16"/>
        <v>5.6623279307715449E-3</v>
      </c>
      <c r="W108" s="6">
        <f t="shared" si="24"/>
        <v>6.1854416034872188E-4</v>
      </c>
      <c r="X108" s="6"/>
      <c r="AF108" s="38"/>
    </row>
    <row r="109" spans="1:32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17"/>
        <v>1.8182157915558328E-4</v>
      </c>
      <c r="J109" s="6">
        <f t="shared" si="26"/>
        <v>1.5413605907075779E-2</v>
      </c>
      <c r="K109" s="6">
        <f t="shared" si="26"/>
        <v>-5.5003761178523645E-3</v>
      </c>
      <c r="L109" s="6">
        <f t="shared" si="26"/>
        <v>1.7114591700558776E-2</v>
      </c>
      <c r="M109" s="6">
        <f t="shared" si="26"/>
        <v>1.6329333065123283E-2</v>
      </c>
      <c r="N109" s="6">
        <f t="shared" si="26"/>
        <v>1.2238283870230153E-2</v>
      </c>
      <c r="O109" s="6">
        <f t="shared" si="19"/>
        <v>-2.0798098310837867E-2</v>
      </c>
      <c r="P109" s="6"/>
      <c r="Q109" s="6">
        <f t="shared" si="25"/>
        <v>1.6521154749565455E-2</v>
      </c>
      <c r="R109" s="6">
        <f t="shared" si="20"/>
        <v>1.6329333065123283E-2</v>
      </c>
      <c r="S109" s="6">
        <f t="shared" si="21"/>
        <v>1.6361416344418126E-2</v>
      </c>
      <c r="T109" s="6">
        <f t="shared" si="22"/>
        <v>0</v>
      </c>
      <c r="U109" s="6">
        <f t="shared" si="23"/>
        <v>1.6396922239584655E-2</v>
      </c>
      <c r="V109" s="6">
        <f t="shared" si="16"/>
        <v>7.8374596951919159E-3</v>
      </c>
      <c r="W109" s="6">
        <f t="shared" si="24"/>
        <v>1.518135903772426E-2</v>
      </c>
      <c r="X109" s="6"/>
      <c r="AF109" s="38"/>
    </row>
    <row r="110" spans="1:32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17"/>
        <v>1.8182157915558328E-4</v>
      </c>
      <c r="J110" s="6">
        <f t="shared" si="26"/>
        <v>1.2089939794405298E-2</v>
      </c>
      <c r="K110" s="6">
        <f t="shared" si="26"/>
        <v>-4.3551865509223759E-3</v>
      </c>
      <c r="L110" s="6">
        <f t="shared" si="26"/>
        <v>-1.1749870658817193E-3</v>
      </c>
      <c r="M110" s="6">
        <f t="shared" si="26"/>
        <v>7.7681556093607577E-3</v>
      </c>
      <c r="N110" s="6">
        <f t="shared" si="26"/>
        <v>2.1918970535104105E-3</v>
      </c>
      <c r="O110" s="6">
        <f t="shared" si="19"/>
        <v>0</v>
      </c>
      <c r="P110" s="6"/>
      <c r="Q110" s="6">
        <f t="shared" si="25"/>
        <v>4.4318630475850707E-3</v>
      </c>
      <c r="R110" s="6">
        <f t="shared" si="20"/>
        <v>7.7681556093607577E-3</v>
      </c>
      <c r="S110" s="6">
        <f t="shared" si="21"/>
        <v>5.6700058847885225E-3</v>
      </c>
      <c r="T110" s="6">
        <f t="shared" si="22"/>
        <v>0</v>
      </c>
      <c r="U110" s="6">
        <f t="shared" si="23"/>
        <v>4.9014597163813652E-3</v>
      </c>
      <c r="V110" s="6">
        <f t="shared" si="16"/>
        <v>2.9536450076113312E-3</v>
      </c>
      <c r="W110" s="6">
        <f t="shared" si="24"/>
        <v>4.7043543898191926E-3</v>
      </c>
      <c r="X110" s="6"/>
      <c r="AF110" s="38"/>
    </row>
    <row r="111" spans="1:32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17"/>
        <v>1.8373260432147376E-4</v>
      </c>
      <c r="J111" s="6">
        <f t="shared" si="26"/>
        <v>6.6312354047433934E-3</v>
      </c>
      <c r="K111" s="6">
        <f t="shared" si="26"/>
        <v>4.6892664291325829E-3</v>
      </c>
      <c r="L111" s="6">
        <f t="shared" si="26"/>
        <v>-6.605698786174531E-3</v>
      </c>
      <c r="M111" s="6">
        <f t="shared" si="26"/>
        <v>2.2949014004003898E-2</v>
      </c>
      <c r="N111" s="6">
        <f t="shared" si="26"/>
        <v>2.917131506229948E-3</v>
      </c>
      <c r="O111" s="6">
        <f t="shared" si="19"/>
        <v>1.0455591327247448E-2</v>
      </c>
      <c r="P111" s="6"/>
      <c r="Q111" s="6">
        <f t="shared" si="25"/>
        <v>6.1530120217137075E-3</v>
      </c>
      <c r="R111" s="6">
        <f t="shared" si="20"/>
        <v>2.2949014004003898E-2</v>
      </c>
      <c r="S111" s="6">
        <f t="shared" si="21"/>
        <v>9.8626190954455868E-3</v>
      </c>
      <c r="T111" s="6">
        <f t="shared" si="22"/>
        <v>0</v>
      </c>
      <c r="U111" s="6">
        <f t="shared" si="23"/>
        <v>2.9687030003467969E-3</v>
      </c>
      <c r="V111" s="6">
        <f t="shared" si="16"/>
        <v>-7.8788624679221059E-4</v>
      </c>
      <c r="W111" s="6">
        <f t="shared" si="24"/>
        <v>1.3855018601767893E-2</v>
      </c>
      <c r="X111" s="6"/>
      <c r="AF111" s="38"/>
    </row>
    <row r="112" spans="1:32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17"/>
        <v>1.8755192925978825E-4</v>
      </c>
      <c r="J112" s="6">
        <f t="shared" si="26"/>
        <v>-3.4900447377881711E-3</v>
      </c>
      <c r="K112" s="6">
        <f t="shared" si="26"/>
        <v>-1.5830462198802939E-2</v>
      </c>
      <c r="L112" s="6">
        <f t="shared" si="26"/>
        <v>8.8957289910188905E-3</v>
      </c>
      <c r="M112" s="6">
        <f t="shared" si="26"/>
        <v>-3.011736741564745E-2</v>
      </c>
      <c r="N112" s="6">
        <f t="shared" si="26"/>
        <v>8.1165916827587409E-4</v>
      </c>
      <c r="O112" s="6">
        <f t="shared" si="19"/>
        <v>2.0574299865323647E-2</v>
      </c>
      <c r="P112" s="6"/>
      <c r="Q112" s="6">
        <f t="shared" si="25"/>
        <v>-6.9867925877787011E-3</v>
      </c>
      <c r="R112" s="6">
        <f t="shared" si="20"/>
        <v>-3.011736741564745E-2</v>
      </c>
      <c r="S112" s="6">
        <f t="shared" si="21"/>
        <v>-1.1831844557870693E-2</v>
      </c>
      <c r="T112" s="6">
        <f t="shared" si="22"/>
        <v>1.7524513973206113E-4</v>
      </c>
      <c r="U112" s="6">
        <f t="shared" si="23"/>
        <v>-1.9960013594923489E-3</v>
      </c>
      <c r="V112" s="6">
        <f t="shared" si="16"/>
        <v>-5.008362276909064E-3</v>
      </c>
      <c r="W112" s="6">
        <f t="shared" si="24"/>
        <v>-1.8666160601130685E-2</v>
      </c>
      <c r="X112" s="6"/>
      <c r="AF112" s="38"/>
    </row>
    <row r="113" spans="1:32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17"/>
        <v>1.8755192925978825E-4</v>
      </c>
      <c r="J113" s="6">
        <f t="shared" si="26"/>
        <v>-1.6980138057580752E-3</v>
      </c>
      <c r="K113" s="6">
        <f t="shared" si="26"/>
        <v>4.2347552165082781E-3</v>
      </c>
      <c r="L113" s="6">
        <f t="shared" si="26"/>
        <v>1.4209382167514918E-2</v>
      </c>
      <c r="M113" s="6">
        <f t="shared" si="26"/>
        <v>2.9535485641168389E-2</v>
      </c>
      <c r="N113" s="6">
        <f t="shared" si="26"/>
        <v>5.2465060919916033E-3</v>
      </c>
      <c r="O113" s="6">
        <f t="shared" si="19"/>
        <v>0</v>
      </c>
      <c r="P113" s="6"/>
      <c r="Q113" s="6">
        <f t="shared" si="25"/>
        <v>1.6531453513034717E-2</v>
      </c>
      <c r="R113" s="6">
        <f t="shared" si="20"/>
        <v>2.9535485641168389E-2</v>
      </c>
      <c r="S113" s="6">
        <f t="shared" si="21"/>
        <v>1.8109718247863706E-2</v>
      </c>
      <c r="T113" s="6">
        <f t="shared" si="22"/>
        <v>0</v>
      </c>
      <c r="U113" s="6">
        <f t="shared" si="23"/>
        <v>1.1355646062359209E-2</v>
      </c>
      <c r="V113" s="6">
        <f t="shared" si="16"/>
        <v>6.6933733888929333E-3</v>
      </c>
      <c r="W113" s="6">
        <f t="shared" si="24"/>
        <v>2.3610424372564349E-2</v>
      </c>
      <c r="X113" s="6"/>
      <c r="AF113" s="38"/>
    </row>
    <row r="114" spans="1:32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17"/>
        <v>1.8907864298212118E-4</v>
      </c>
      <c r="J114" s="6">
        <f t="shared" si="26"/>
        <v>-9.053703332614238E-3</v>
      </c>
      <c r="K114" s="6">
        <f t="shared" si="26"/>
        <v>3.5433502166368901E-3</v>
      </c>
      <c r="L114" s="6">
        <f t="shared" si="26"/>
        <v>-3.8235737207052796E-3</v>
      </c>
      <c r="M114" s="6">
        <f t="shared" si="26"/>
        <v>6.382391439619532E-3</v>
      </c>
      <c r="N114" s="6">
        <f t="shared" si="26"/>
        <v>-6.52009756234213E-4</v>
      </c>
      <c r="O114" s="6">
        <f t="shared" si="19"/>
        <v>8.1072658309452785E-3</v>
      </c>
      <c r="P114" s="6"/>
      <c r="Q114" s="6">
        <f t="shared" si="25"/>
        <v>-1.2659407129283137E-3</v>
      </c>
      <c r="R114" s="6">
        <f t="shared" si="20"/>
        <v>6.382391439619532E-3</v>
      </c>
      <c r="S114" s="6">
        <f t="shared" si="21"/>
        <v>-1.1401556272811614E-4</v>
      </c>
      <c r="T114" s="6">
        <f t="shared" si="22"/>
        <v>2.3109768111593657E-6</v>
      </c>
      <c r="U114" s="6">
        <f t="shared" si="23"/>
        <v>-3.8825573863608977E-3</v>
      </c>
      <c r="V114" s="6">
        <f t="shared" si="16"/>
        <v>-4.2059513426878402E-3</v>
      </c>
      <c r="W114" s="6">
        <f t="shared" si="24"/>
        <v>3.355391614106128E-3</v>
      </c>
      <c r="X114" s="6"/>
      <c r="AF114" s="38"/>
    </row>
    <row r="115" spans="1:32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17"/>
        <v>1.8869701894863589E-4</v>
      </c>
      <c r="J115" s="6">
        <f t="shared" si="26"/>
        <v>-3.5923582258243084E-3</v>
      </c>
      <c r="K115" s="6">
        <f t="shared" si="26"/>
        <v>6.045418986824742E-3</v>
      </c>
      <c r="L115" s="6">
        <f t="shared" si="26"/>
        <v>2.608569026138582E-3</v>
      </c>
      <c r="M115" s="6">
        <f t="shared" si="26"/>
        <v>-2.3161320398991719E-3</v>
      </c>
      <c r="N115" s="6">
        <f t="shared" si="26"/>
        <v>7.5283737614565433E-3</v>
      </c>
      <c r="O115" s="6">
        <f t="shared" si="19"/>
        <v>-2.020374533117761E-3</v>
      </c>
      <c r="P115" s="6"/>
      <c r="Q115" s="6">
        <f t="shared" si="25"/>
        <v>-2.7082307297231201E-4</v>
      </c>
      <c r="R115" s="6">
        <f t="shared" si="20"/>
        <v>-2.3161320398991719E-3</v>
      </c>
      <c r="S115" s="6">
        <f t="shared" si="21"/>
        <v>-9.34138948945716E-4</v>
      </c>
      <c r="T115" s="6">
        <f t="shared" si="22"/>
        <v>5.4770654757235176E-6</v>
      </c>
      <c r="U115" s="6">
        <f t="shared" si="23"/>
        <v>-3.5859636281731784E-4</v>
      </c>
      <c r="V115" s="6">
        <f t="shared" si="16"/>
        <v>-6.8236533643271802E-3</v>
      </c>
      <c r="W115" s="6">
        <f t="shared" si="24"/>
        <v>-5.1377267120520168E-4</v>
      </c>
      <c r="X115" s="6"/>
      <c r="AF115" s="38"/>
    </row>
    <row r="116" spans="1:32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17"/>
        <v>1.8793366209446383E-4</v>
      </c>
      <c r="J116" s="6">
        <f t="shared" si="26"/>
        <v>-1.9433375980611085E-2</v>
      </c>
      <c r="K116" s="6">
        <f t="shared" si="26"/>
        <v>2.842073474480988E-3</v>
      </c>
      <c r="L116" s="6">
        <f t="shared" si="26"/>
        <v>2.0287319345977977E-2</v>
      </c>
      <c r="M116" s="6">
        <f t="shared" si="26"/>
        <v>1.610156507641821E-2</v>
      </c>
      <c r="N116" s="6">
        <f t="shared" si="26"/>
        <v>-6.0083834993726029E-4</v>
      </c>
      <c r="O116" s="6">
        <f t="shared" si="19"/>
        <v>-4.0536150551227449E-3</v>
      </c>
      <c r="P116" s="6"/>
      <c r="Q116" s="6">
        <f t="shared" si="25"/>
        <v>1.1343504598070044E-2</v>
      </c>
      <c r="R116" s="6">
        <f t="shared" si="20"/>
        <v>1.610156507641821E-2</v>
      </c>
      <c r="S116" s="6">
        <f t="shared" si="21"/>
        <v>1.0263981188223758E-2</v>
      </c>
      <c r="T116" s="6">
        <f t="shared" si="22"/>
        <v>0</v>
      </c>
      <c r="U116" s="6">
        <f t="shared" si="23"/>
        <v>5.9367952421018888E-3</v>
      </c>
      <c r="V116" s="6">
        <f t="shared" si="16"/>
        <v>6.922123289088063E-3</v>
      </c>
      <c r="W116" s="6">
        <f t="shared" si="24"/>
        <v>1.6025134676459472E-2</v>
      </c>
      <c r="X116" s="6"/>
      <c r="AF116" s="38"/>
    </row>
    <row r="117" spans="1:32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17"/>
        <v>1.8869701894863589E-4</v>
      </c>
      <c r="J117" s="6">
        <f t="shared" si="26"/>
        <v>-1.9547375416428876E-2</v>
      </c>
      <c r="K117" s="6">
        <f t="shared" si="26"/>
        <v>-6.8682608284900979E-3</v>
      </c>
      <c r="L117" s="6">
        <f t="shared" si="26"/>
        <v>-1.0894867940747696E-2</v>
      </c>
      <c r="M117" s="6">
        <f t="shared" si="26"/>
        <v>9.08571462661973E-3</v>
      </c>
      <c r="N117" s="6">
        <f t="shared" si="26"/>
        <v>-1.6236787963987382E-2</v>
      </c>
      <c r="O117" s="6">
        <f t="shared" si="19"/>
        <v>4.053615055122829E-3</v>
      </c>
      <c r="P117" s="6"/>
      <c r="Q117" s="6">
        <f t="shared" si="25"/>
        <v>-5.5884846030571271E-3</v>
      </c>
      <c r="R117" s="6">
        <f t="shared" si="20"/>
        <v>9.08571462661973E-3</v>
      </c>
      <c r="S117" s="6">
        <f t="shared" si="21"/>
        <v>-3.3311493718391283E-3</v>
      </c>
      <c r="T117" s="6">
        <f t="shared" si="22"/>
        <v>2.2442234301631444E-5</v>
      </c>
      <c r="U117" s="6">
        <f t="shared" si="23"/>
        <v>-1.0465542958667029E-2</v>
      </c>
      <c r="V117" s="6">
        <f t="shared" si="16"/>
        <v>3.5117734043617378E-3</v>
      </c>
      <c r="W117" s="6">
        <f t="shared" si="24"/>
        <v>2.5349528337706836E-3</v>
      </c>
      <c r="X117" s="6"/>
      <c r="AF117" s="38"/>
    </row>
    <row r="118" spans="1:32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17"/>
        <v>1.8602463504269195E-4</v>
      </c>
      <c r="J118" s="6">
        <f t="shared" si="26"/>
        <v>1.3252435087594459E-2</v>
      </c>
      <c r="K118" s="6">
        <f t="shared" si="26"/>
        <v>2.4737724565590001E-2</v>
      </c>
      <c r="L118" s="6">
        <f t="shared" si="26"/>
        <v>-3.6197520984293389E-3</v>
      </c>
      <c r="M118" s="6">
        <f t="shared" si="26"/>
        <v>1.9592162762490182E-2</v>
      </c>
      <c r="N118" s="6">
        <f t="shared" si="26"/>
        <v>1.2416277903485802E-2</v>
      </c>
      <c r="O118" s="6">
        <f t="shared" si="19"/>
        <v>-1.4263543006221244E-2</v>
      </c>
      <c r="P118" s="6"/>
      <c r="Q118" s="6">
        <f t="shared" si="25"/>
        <v>7.6220127598441512E-3</v>
      </c>
      <c r="R118" s="6">
        <f t="shared" si="20"/>
        <v>1.9592162762490182E-2</v>
      </c>
      <c r="S118" s="6">
        <f t="shared" si="21"/>
        <v>1.066226142417777E-2</v>
      </c>
      <c r="T118" s="6">
        <f t="shared" si="22"/>
        <v>0</v>
      </c>
      <c r="U118" s="6">
        <f t="shared" si="23"/>
        <v>6.1234409467032201E-3</v>
      </c>
      <c r="V118" s="6">
        <f t="shared" si="16"/>
        <v>-3.3218610916226354E-3</v>
      </c>
      <c r="W118" s="6">
        <f t="shared" si="24"/>
        <v>1.3717558302267986E-2</v>
      </c>
      <c r="X118" s="6"/>
      <c r="AF118" s="38"/>
    </row>
    <row r="119" spans="1:32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17"/>
        <v>1.8678835474061906E-4</v>
      </c>
      <c r="J119" s="6">
        <f t="shared" si="26"/>
        <v>-5.4198470459970276E-3</v>
      </c>
      <c r="K119" s="6">
        <f t="shared" si="26"/>
        <v>-7.2416284624734579E-3</v>
      </c>
      <c r="L119" s="6">
        <f t="shared" si="26"/>
        <v>5.7395664242008678E-3</v>
      </c>
      <c r="M119" s="6">
        <f t="shared" si="26"/>
        <v>-1.1709175802896356E-2</v>
      </c>
      <c r="N119" s="6">
        <f t="shared" si="26"/>
        <v>1.0627786351803241E-2</v>
      </c>
      <c r="O119" s="6">
        <f t="shared" si="19"/>
        <v>4.0970716534691276E-3</v>
      </c>
      <c r="P119" s="6"/>
      <c r="Q119" s="6">
        <f t="shared" si="25"/>
        <v>-2.4237102647811587E-3</v>
      </c>
      <c r="R119" s="6">
        <f t="shared" si="20"/>
        <v>-1.1709175802896356E-2</v>
      </c>
      <c r="S119" s="6">
        <f t="shared" si="21"/>
        <v>-4.6721421847717983E-3</v>
      </c>
      <c r="T119" s="6">
        <f t="shared" si="22"/>
        <v>3.6945929659375672E-5</v>
      </c>
      <c r="U119" s="6">
        <f t="shared" si="23"/>
        <v>-1.06138356087372E-3</v>
      </c>
      <c r="V119" s="6">
        <f t="shared" si="16"/>
        <v>-1.0961931307265759E-2</v>
      </c>
      <c r="W119" s="6">
        <f t="shared" si="24"/>
        <v>-6.7636356737285899E-3</v>
      </c>
      <c r="X119" s="6"/>
      <c r="AF119" s="38"/>
    </row>
    <row r="120" spans="1:32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17"/>
        <v>1.8602463504269195E-4</v>
      </c>
      <c r="J120" s="6">
        <f t="shared" si="26"/>
        <v>9.7984505156412712E-3</v>
      </c>
      <c r="K120" s="6">
        <f t="shared" si="26"/>
        <v>-8.2933112377348989E-3</v>
      </c>
      <c r="L120" s="6">
        <f t="shared" si="26"/>
        <v>-1.3171600244696804E-3</v>
      </c>
      <c r="M120" s="6">
        <f t="shared" si="26"/>
        <v>-5.6243984313423317E-3</v>
      </c>
      <c r="N120" s="6">
        <f t="shared" si="26"/>
        <v>-3.191464135615035E-3</v>
      </c>
      <c r="O120" s="6">
        <f t="shared" si="19"/>
        <v>-4.0970716534690834E-3</v>
      </c>
      <c r="P120" s="6"/>
      <c r="Q120" s="6">
        <f t="shared" si="25"/>
        <v>-7.1666681276645995E-4</v>
      </c>
      <c r="R120" s="6">
        <f t="shared" si="20"/>
        <v>-5.6243984313423317E-3</v>
      </c>
      <c r="S120" s="6">
        <f t="shared" si="21"/>
        <v>-1.0868464534784473E-3</v>
      </c>
      <c r="T120" s="6">
        <f t="shared" si="22"/>
        <v>6.2151518088641116E-6</v>
      </c>
      <c r="U120" s="6">
        <f t="shared" si="23"/>
        <v>1.7664340915060054E-3</v>
      </c>
      <c r="V120" s="6">
        <f t="shared" si="16"/>
        <v>5.0587436596281551E-3</v>
      </c>
      <c r="W120" s="6">
        <f t="shared" si="24"/>
        <v>-4.4941262232610305E-3</v>
      </c>
      <c r="X120" s="6"/>
      <c r="AF120" s="38"/>
    </row>
    <row r="121" spans="1:32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17"/>
        <v>1.8755192925978825E-4</v>
      </c>
      <c r="J121" s="6">
        <f t="shared" si="26"/>
        <v>8.5946741458582179E-3</v>
      </c>
      <c r="K121" s="6">
        <f t="shared" si="26"/>
        <v>-1.6669342296507035E-3</v>
      </c>
      <c r="L121" s="6">
        <f t="shared" si="26"/>
        <v>3.4324844651034197E-3</v>
      </c>
      <c r="M121" s="6">
        <f t="shared" si="26"/>
        <v>-6.7910685184317367E-3</v>
      </c>
      <c r="N121" s="6">
        <f t="shared" si="26"/>
        <v>2.3077617284261594E-3</v>
      </c>
      <c r="O121" s="6">
        <f t="shared" si="19"/>
        <v>8.1766517083937465E-3</v>
      </c>
      <c r="P121" s="6"/>
      <c r="Q121" s="6">
        <f t="shared" si="25"/>
        <v>8.5593246041940681E-4</v>
      </c>
      <c r="R121" s="6">
        <f t="shared" si="20"/>
        <v>-6.7910685184317367E-3</v>
      </c>
      <c r="S121" s="6">
        <f t="shared" si="21"/>
        <v>-2.9470091645297444E-4</v>
      </c>
      <c r="T121" s="6">
        <f t="shared" si="22"/>
        <v>2.8929760459179791E-6</v>
      </c>
      <c r="U121" s="6">
        <f t="shared" si="23"/>
        <v>3.4651477587675796E-3</v>
      </c>
      <c r="V121" s="6">
        <f t="shared" si="16"/>
        <v>5.0384601803126275E-4</v>
      </c>
      <c r="W121" s="6">
        <f t="shared" si="24"/>
        <v>-3.6190582612868416E-3</v>
      </c>
      <c r="X121" s="6"/>
      <c r="AF121" s="38"/>
    </row>
    <row r="122" spans="1:32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17"/>
        <v>1.8487878316397754E-4</v>
      </c>
      <c r="J122" s="6">
        <f t="shared" si="26"/>
        <v>5.8094509155742779E-4</v>
      </c>
      <c r="K122" s="6">
        <f t="shared" si="26"/>
        <v>8.3381444850086286E-4</v>
      </c>
      <c r="L122" s="6">
        <f t="shared" si="26"/>
        <v>1.8827811992427708E-3</v>
      </c>
      <c r="M122" s="6">
        <f t="shared" si="26"/>
        <v>-1.6027947235816124E-2</v>
      </c>
      <c r="N122" s="6">
        <f t="shared" si="26"/>
        <v>8.2076669213310503E-3</v>
      </c>
      <c r="O122" s="6">
        <f t="shared" si="19"/>
        <v>-1.4355378934220285E-2</v>
      </c>
      <c r="P122" s="6"/>
      <c r="Q122" s="6">
        <f t="shared" si="25"/>
        <v>-4.5820155289173891E-3</v>
      </c>
      <c r="R122" s="6">
        <f t="shared" si="20"/>
        <v>-1.6027947235816124E-2</v>
      </c>
      <c r="S122" s="6">
        <f t="shared" si="21"/>
        <v>-6.7260352950178669E-3</v>
      </c>
      <c r="T122" s="6">
        <f t="shared" si="22"/>
        <v>6.6132830716953217E-5</v>
      </c>
      <c r="U122" s="6">
        <f t="shared" si="23"/>
        <v>-1.6121595978711969E-3</v>
      </c>
      <c r="V122" s="6">
        <f t="shared" si="16"/>
        <v>-7.3072809924460795E-3</v>
      </c>
      <c r="W122" s="6">
        <f t="shared" si="24"/>
        <v>-1.0090669794998036E-2</v>
      </c>
      <c r="X122" s="6"/>
      <c r="AF122" s="38"/>
    </row>
    <row r="123" spans="1:32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17"/>
        <v>1.8296830335384762E-4</v>
      </c>
      <c r="J123" s="6">
        <f t="shared" si="26"/>
        <v>-5.7713210785359176E-3</v>
      </c>
      <c r="K123" s="6">
        <f t="shared" si="26"/>
        <v>-2.670619829599635E-3</v>
      </c>
      <c r="L123" s="6">
        <f t="shared" si="26"/>
        <v>-3.5975477957779409E-3</v>
      </c>
      <c r="M123" s="6">
        <f t="shared" si="26"/>
        <v>-2.9870396236716779E-2</v>
      </c>
      <c r="N123" s="6">
        <f t="shared" si="26"/>
        <v>5.7040100736248747E-4</v>
      </c>
      <c r="O123" s="6">
        <f t="shared" si="19"/>
        <v>-1.0387452060302784E-2</v>
      </c>
      <c r="P123" s="6"/>
      <c r="Q123" s="6">
        <f t="shared" si="25"/>
        <v>-1.3130424241780868E-2</v>
      </c>
      <c r="R123" s="6">
        <f t="shared" si="20"/>
        <v>-2.9870396236716779E-2</v>
      </c>
      <c r="S123" s="6">
        <f t="shared" si="21"/>
        <v>-1.6274400596543698E-2</v>
      </c>
      <c r="T123" s="6">
        <f t="shared" si="22"/>
        <v>3.1260272393190714E-4</v>
      </c>
      <c r="U123" s="6">
        <f t="shared" si="23"/>
        <v>-8.8148914263509945E-3</v>
      </c>
      <c r="V123" s="6">
        <f t="shared" si="16"/>
        <v>-8.165062466346738E-3</v>
      </c>
      <c r="W123" s="6">
        <f t="shared" si="24"/>
        <v>-2.1011825992622794E-2</v>
      </c>
      <c r="X123" s="6"/>
      <c r="AF123" s="38"/>
    </row>
    <row r="124" spans="1:32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17"/>
        <v>1.8793366209446383E-4</v>
      </c>
      <c r="J124" s="6">
        <f t="shared" si="26"/>
        <v>4.0856395568765842E-3</v>
      </c>
      <c r="K124" s="6">
        <f t="shared" si="26"/>
        <v>-4.5230317841640829E-3</v>
      </c>
      <c r="L124" s="6">
        <f t="shared" si="26"/>
        <v>1.200619285424928E-3</v>
      </c>
      <c r="M124" s="6">
        <f t="shared" si="26"/>
        <v>1.1883725529783697E-3</v>
      </c>
      <c r="N124" s="6">
        <f t="shared" si="26"/>
        <v>5.7259755908601927E-3</v>
      </c>
      <c r="O124" s="6">
        <f t="shared" si="19"/>
        <v>2.6776107237227904E-2</v>
      </c>
      <c r="P124" s="6"/>
      <c r="Q124" s="6">
        <f t="shared" si="25"/>
        <v>1.740411461366909E-3</v>
      </c>
      <c r="R124" s="6">
        <f t="shared" si="20"/>
        <v>1.1883725529783697E-3</v>
      </c>
      <c r="S124" s="6">
        <f t="shared" si="21"/>
        <v>1.7680016570577361E-3</v>
      </c>
      <c r="T124" s="6">
        <f t="shared" si="22"/>
        <v>0</v>
      </c>
      <c r="U124" s="6">
        <f t="shared" si="23"/>
        <v>2.1891152048570807E-3</v>
      </c>
      <c r="V124" s="6">
        <f t="shared" si="16"/>
        <v>-5.8809328327954352E-3</v>
      </c>
      <c r="W124" s="6">
        <f t="shared" si="24"/>
        <v>8.6913974173434755E-4</v>
      </c>
      <c r="X124" s="6"/>
      <c r="AF124" s="38"/>
    </row>
    <row r="125" spans="1:32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17"/>
        <v>1.9022329759033063E-4</v>
      </c>
      <c r="J125" s="6">
        <f t="shared" si="26"/>
        <v>-9.0426439389799818E-3</v>
      </c>
      <c r="K125" s="6">
        <f t="shared" si="26"/>
        <v>2.3477669245357624E-3</v>
      </c>
      <c r="L125" s="6">
        <f t="shared" si="26"/>
        <v>4.4469325058092328E-3</v>
      </c>
      <c r="M125" s="6">
        <f t="shared" si="26"/>
        <v>1.0632216336701443E-2</v>
      </c>
      <c r="N125" s="6">
        <f t="shared" si="26"/>
        <v>-9.4940022755554091E-4</v>
      </c>
      <c r="O125" s="6">
        <f t="shared" si="19"/>
        <v>1.2109593209557942E-2</v>
      </c>
      <c r="P125" s="6"/>
      <c r="Q125" s="6">
        <f t="shared" si="25"/>
        <v>4.0508974836156557E-3</v>
      </c>
      <c r="R125" s="6">
        <f t="shared" si="20"/>
        <v>1.0632216336701443E-2</v>
      </c>
      <c r="S125" s="6">
        <f t="shared" si="21"/>
        <v>4.5936416047036863E-3</v>
      </c>
      <c r="T125" s="6">
        <f t="shared" si="22"/>
        <v>0</v>
      </c>
      <c r="U125" s="6">
        <f t="shared" si="23"/>
        <v>8.6782606265140634E-4</v>
      </c>
      <c r="V125" s="6">
        <f t="shared" si="16"/>
        <v>3.6302033971534649E-4</v>
      </c>
      <c r="W125" s="6">
        <f t="shared" si="24"/>
        <v>8.2873796978200891E-3</v>
      </c>
      <c r="X125" s="6"/>
      <c r="AF125" s="38"/>
    </row>
    <row r="126" spans="1:32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17"/>
        <v>1.8831535865504456E-4</v>
      </c>
      <c r="J126" s="6">
        <f t="shared" si="26"/>
        <v>-1.133841763443315E-2</v>
      </c>
      <c r="K126" s="6">
        <f t="shared" si="26"/>
        <v>-5.8799302773867674E-3</v>
      </c>
      <c r="L126" s="6">
        <f t="shared" si="26"/>
        <v>-8.7416423305419957E-3</v>
      </c>
      <c r="M126" s="6">
        <f t="shared" si="26"/>
        <v>-7.075609674194675E-3</v>
      </c>
      <c r="N126" s="6">
        <f t="shared" si="26"/>
        <v>-1.3768624761212093E-2</v>
      </c>
      <c r="O126" s="6">
        <f t="shared" si="19"/>
        <v>-1.0080635415788465E-2</v>
      </c>
      <c r="P126" s="6"/>
      <c r="Q126" s="6">
        <f t="shared" si="25"/>
        <v>-8.6528196648794631E-3</v>
      </c>
      <c r="R126" s="6">
        <f t="shared" si="20"/>
        <v>-7.075609674194675E-3</v>
      </c>
      <c r="S126" s="6">
        <f t="shared" si="21"/>
        <v>-8.4857500077463784E-3</v>
      </c>
      <c r="T126" s="6">
        <f t="shared" si="22"/>
        <v>9.7850163858034637E-5</v>
      </c>
      <c r="U126" s="6">
        <f t="shared" si="23"/>
        <v>-9.3497361001708378E-3</v>
      </c>
      <c r="V126" s="6">
        <f t="shared" si="16"/>
        <v>4.0082064689342571E-3</v>
      </c>
      <c r="W126" s="6">
        <f t="shared" si="24"/>
        <v>-7.485294074197511E-3</v>
      </c>
      <c r="X126" s="6"/>
      <c r="AF126" s="38"/>
    </row>
    <row r="127" spans="1:32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17"/>
        <v>1.8869701894863589E-4</v>
      </c>
      <c r="J127" s="6">
        <f t="shared" si="26"/>
        <v>-4.8213974030586366E-3</v>
      </c>
      <c r="K127" s="6">
        <f t="shared" si="26"/>
        <v>-1.0114192349661964E-3</v>
      </c>
      <c r="L127" s="6">
        <f t="shared" si="26"/>
        <v>1.0105957663276266E-2</v>
      </c>
      <c r="M127" s="6">
        <f t="shared" si="26"/>
        <v>5.9145856733030231E-4</v>
      </c>
      <c r="N127" s="6">
        <f t="shared" si="26"/>
        <v>9.5341290968955009E-3</v>
      </c>
      <c r="O127" s="6">
        <f t="shared" si="19"/>
        <v>2.0246572613530339E-3</v>
      </c>
      <c r="P127" s="6"/>
      <c r="Q127" s="6">
        <f t="shared" si="25"/>
        <v>3.9872167977853725E-3</v>
      </c>
      <c r="R127" s="6">
        <f t="shared" si="20"/>
        <v>5.9145856733030231E-4</v>
      </c>
      <c r="S127" s="6">
        <f t="shared" si="21"/>
        <v>2.6310747161507287E-3</v>
      </c>
      <c r="T127" s="6">
        <f t="shared" si="22"/>
        <v>0</v>
      </c>
      <c r="U127" s="6">
        <f t="shared" si="23"/>
        <v>3.3614810092752394E-3</v>
      </c>
      <c r="V127" s="6">
        <f t="shared" si="16"/>
        <v>-5.3364183520834049E-3</v>
      </c>
      <c r="W127" s="6">
        <f t="shared" si="24"/>
        <v>2.9486364628263755E-3</v>
      </c>
      <c r="X127" s="6"/>
      <c r="AF127" s="38"/>
    </row>
    <row r="128" spans="1:32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17"/>
        <v>1.8869701894863589E-4</v>
      </c>
      <c r="J128" s="6">
        <f t="shared" si="26"/>
        <v>-1.5759825619922172E-3</v>
      </c>
      <c r="K128" s="6">
        <f t="shared" si="26"/>
        <v>1.8535876226185115E-3</v>
      </c>
      <c r="L128" s="6">
        <f t="shared" si="26"/>
        <v>2.1580013672744289E-2</v>
      </c>
      <c r="M128" s="6">
        <f t="shared" si="26"/>
        <v>1.0588436740846002E-2</v>
      </c>
      <c r="N128" s="6">
        <f t="shared" si="26"/>
        <v>5.8043999917945753E-3</v>
      </c>
      <c r="O128" s="6">
        <f t="shared" si="19"/>
        <v>0</v>
      </c>
      <c r="P128" s="6"/>
      <c r="Q128" s="6">
        <f t="shared" si="25"/>
        <v>1.3396652117563707E-2</v>
      </c>
      <c r="R128" s="6">
        <f t="shared" si="20"/>
        <v>1.0588436740846002E-2</v>
      </c>
      <c r="S128" s="6">
        <f t="shared" si="21"/>
        <v>1.173502861229412E-2</v>
      </c>
      <c r="T128" s="6">
        <f t="shared" si="22"/>
        <v>0</v>
      </c>
      <c r="U128" s="6">
        <f t="shared" si="23"/>
        <v>1.1758848244189754E-2</v>
      </c>
      <c r="V128" s="6">
        <f t="shared" si="16"/>
        <v>6.6008068747306844E-3</v>
      </c>
      <c r="W128" s="6">
        <f t="shared" si="24"/>
        <v>1.2826669085844136E-2</v>
      </c>
      <c r="X128" s="6"/>
      <c r="AF128" s="38"/>
    </row>
    <row r="129" spans="1:32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17"/>
        <v>1.8984178229608517E-4</v>
      </c>
      <c r="J129" s="6">
        <f t="shared" si="26"/>
        <v>-8.4661574423176515E-3</v>
      </c>
      <c r="K129" s="6">
        <f t="shared" si="26"/>
        <v>-1.6839405150777205E-4</v>
      </c>
      <c r="L129" s="6">
        <f t="shared" si="26"/>
        <v>-4.6810314347300336E-3</v>
      </c>
      <c r="M129" s="6">
        <f t="shared" si="26"/>
        <v>-7.0465265167247411E-3</v>
      </c>
      <c r="N129" s="6">
        <f t="shared" si="26"/>
        <v>-4.8150123419915631E-3</v>
      </c>
      <c r="O129" s="6">
        <f t="shared" si="19"/>
        <v>6.0483460799302426E-3</v>
      </c>
      <c r="P129" s="6"/>
      <c r="Q129" s="6">
        <f t="shared" si="25"/>
        <v>-6.2162061897718729E-3</v>
      </c>
      <c r="R129" s="6">
        <f t="shared" si="20"/>
        <v>-7.0465265167247411E-3</v>
      </c>
      <c r="S129" s="6">
        <f t="shared" si="21"/>
        <v>-6.5405360621637581E-3</v>
      </c>
      <c r="T129" s="6">
        <f t="shared" si="22"/>
        <v>6.3150203449508099E-5</v>
      </c>
      <c r="U129" s="6">
        <f t="shared" si="23"/>
        <v>-6.3832125850842511E-3</v>
      </c>
      <c r="V129" s="6">
        <f t="shared" si="16"/>
        <v>-2.7779076018991707E-3</v>
      </c>
      <c r="W129" s="6">
        <f t="shared" si="24"/>
        <v>-6.0126125133749186E-3</v>
      </c>
      <c r="X129" s="6"/>
      <c r="AF129" s="38"/>
    </row>
    <row r="130" spans="1:32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17"/>
        <v>1.9022329759033063E-4</v>
      </c>
      <c r="J130" s="6">
        <f t="shared" si="26"/>
        <v>-4.1223013161664603E-3</v>
      </c>
      <c r="K130" s="6">
        <f t="shared" si="26"/>
        <v>2.181787938436186E-2</v>
      </c>
      <c r="L130" s="6">
        <f t="shared" si="26"/>
        <v>3.9023496044056838E-3</v>
      </c>
      <c r="M130" s="6">
        <f t="shared" si="26"/>
        <v>-3.5419102241213379E-3</v>
      </c>
      <c r="N130" s="6">
        <f t="shared" si="26"/>
        <v>-6.0234144772223523E-3</v>
      </c>
      <c r="O130" s="6">
        <f t="shared" si="19"/>
        <v>2.0076320745050212E-3</v>
      </c>
      <c r="P130" s="6"/>
      <c r="Q130" s="6">
        <f t="shared" si="25"/>
        <v>-1.9584133671974192E-4</v>
      </c>
      <c r="R130" s="6">
        <f t="shared" si="20"/>
        <v>-3.5419102241213379E-3</v>
      </c>
      <c r="S130" s="6">
        <f t="shared" si="21"/>
        <v>-1.1556234865505118E-3</v>
      </c>
      <c r="T130" s="6">
        <f t="shared" si="22"/>
        <v>6.5628072123249824E-6</v>
      </c>
      <c r="U130" s="6">
        <f t="shared" si="23"/>
        <v>-1.1976153434838251E-4</v>
      </c>
      <c r="V130" s="6">
        <f t="shared" si="16"/>
        <v>5.0093423866709149E-3</v>
      </c>
      <c r="W130" s="6">
        <f t="shared" si="24"/>
        <v>-1.9375349476333584E-5</v>
      </c>
      <c r="X130" s="6"/>
      <c r="AF130" s="38"/>
    </row>
    <row r="131" spans="1:32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si="17"/>
        <v>1.9479865694971288E-4</v>
      </c>
      <c r="J131" s="6">
        <f t="shared" ref="J131:N162" si="27">LN(B131/B130)</f>
        <v>4.1772619153831059E-3</v>
      </c>
      <c r="K131" s="6">
        <f t="shared" si="27"/>
        <v>8.8568526987604264E-3</v>
      </c>
      <c r="L131" s="6">
        <f t="shared" si="27"/>
        <v>6.4887245296995355E-3</v>
      </c>
      <c r="M131" s="6">
        <f t="shared" si="27"/>
        <v>5.3082933634442889E-3</v>
      </c>
      <c r="N131" s="6">
        <f t="shared" si="27"/>
        <v>1.2633935945864823E-3</v>
      </c>
      <c r="O131" s="6">
        <f t="shared" si="19"/>
        <v>2.3767864106321954E-2</v>
      </c>
      <c r="P131" s="6"/>
      <c r="Q131" s="6">
        <f t="shared" si="25"/>
        <v>5.6429472002317797E-3</v>
      </c>
      <c r="R131" s="6">
        <f t="shared" si="20"/>
        <v>5.3082933634442889E-3</v>
      </c>
      <c r="S131" s="6">
        <f t="shared" si="21"/>
        <v>5.4754703392946181E-3</v>
      </c>
      <c r="T131" s="6">
        <f t="shared" si="22"/>
        <v>0</v>
      </c>
      <c r="U131" s="6">
        <f t="shared" si="23"/>
        <v>5.4941977574254671E-3</v>
      </c>
      <c r="V131" s="6">
        <f t="shared" ref="V131:V194" si="28">+(U131-O131)-($Z$53*(N131-O131))</f>
        <v>1.7247813909903285E-3</v>
      </c>
      <c r="W131" s="6">
        <f t="shared" si="24"/>
        <v>5.8270772398336459E-3</v>
      </c>
      <c r="X131" s="6"/>
      <c r="AF131" s="38"/>
    </row>
    <row r="132" spans="1:32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ref="H132:H195" si="29">+(1+G132)^(1/250)-1</f>
        <v>1.9289289052348835E-4</v>
      </c>
      <c r="J132" s="6">
        <f t="shared" si="27"/>
        <v>1.118116096025438E-2</v>
      </c>
      <c r="K132" s="6">
        <f t="shared" si="27"/>
        <v>-1.4707357985398316E-3</v>
      </c>
      <c r="L132" s="6">
        <f t="shared" si="27"/>
        <v>1.1924178761792791E-2</v>
      </c>
      <c r="M132" s="6">
        <f t="shared" si="27"/>
        <v>-2.4413339458236528E-2</v>
      </c>
      <c r="N132" s="6">
        <f t="shared" si="27"/>
        <v>2.0902891694828028E-2</v>
      </c>
      <c r="O132" s="6">
        <f t="shared" ref="O132:O195" si="30">+LN(H132/H131)</f>
        <v>-9.8314332056269067E-3</v>
      </c>
      <c r="P132" s="6"/>
      <c r="Q132" s="6">
        <f t="shared" si="25"/>
        <v>-8.3373707331232515E-4</v>
      </c>
      <c r="R132" s="6">
        <f t="shared" ref="R132:R195" si="31">+SUMPRODUCT($Z$17:$AC$17,J132:M132)</f>
        <v>-2.4413339458236528E-2</v>
      </c>
      <c r="S132" s="6">
        <f t="shared" ref="S132:S195" si="32">+SUMPRODUCT($Z$18:$AC$18,J132:M132)</f>
        <v>-5.1787283370247836E-3</v>
      </c>
      <c r="T132" s="6">
        <f t="shared" ref="T132:T195" si="33">+MIN(S132-AVERAGE($S$3:$S$254),0)^2</f>
        <v>4.3360940973600936E-5</v>
      </c>
      <c r="U132" s="6">
        <f t="shared" ref="U132:U195" si="34">+SUMPRODUCT($Z$19:$AC$19,J132:M132)</f>
        <v>5.4853376581148914E-3</v>
      </c>
      <c r="V132" s="6">
        <f t="shared" si="28"/>
        <v>-1.1995082131063504E-2</v>
      </c>
      <c r="W132" s="6">
        <f t="shared" ref="W132:W195" si="35">+SUMPRODUCT($Z$20:$AC$20,J132:M132)</f>
        <v>-1.3042913695950583E-2</v>
      </c>
      <c r="X132" s="6"/>
      <c r="AF132" s="38"/>
    </row>
    <row r="133" spans="1:32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29"/>
        <v>1.9251162871269933E-4</v>
      </c>
      <c r="J133" s="6">
        <f t="shared" si="27"/>
        <v>-1.0084818339197638E-2</v>
      </c>
      <c r="K133" s="6">
        <f t="shared" si="27"/>
        <v>8.1738858055153973E-4</v>
      </c>
      <c r="L133" s="6">
        <f t="shared" si="27"/>
        <v>5.0128845481506338E-3</v>
      </c>
      <c r="M133" s="6">
        <f t="shared" si="27"/>
        <v>1.2578760442407045E-2</v>
      </c>
      <c r="N133" s="6">
        <f t="shared" si="27"/>
        <v>3.4788317372660206E-4</v>
      </c>
      <c r="O133" s="6">
        <f t="shared" si="30"/>
        <v>-1.9785026699455054E-3</v>
      </c>
      <c r="P133" s="6"/>
      <c r="Q133" s="6">
        <f t="shared" si="25"/>
        <v>4.7929912586060722E-3</v>
      </c>
      <c r="R133" s="6">
        <f t="shared" si="31"/>
        <v>1.2578760442407045E-2</v>
      </c>
      <c r="S133" s="6">
        <f t="shared" si="32"/>
        <v>5.4732009718914745E-3</v>
      </c>
      <c r="T133" s="6">
        <f t="shared" si="33"/>
        <v>0</v>
      </c>
      <c r="U133" s="6">
        <f t="shared" si="34"/>
        <v>1.1165650155920423E-3</v>
      </c>
      <c r="V133" s="6">
        <f t="shared" si="28"/>
        <v>1.0277404096868193E-3</v>
      </c>
      <c r="W133" s="6">
        <f t="shared" si="35"/>
        <v>9.6245458677191413E-3</v>
      </c>
      <c r="X133" s="6"/>
      <c r="AF133" s="38"/>
    </row>
    <row r="134" spans="1:32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29"/>
        <v>1.9441757599203413E-4</v>
      </c>
      <c r="J134" s="6">
        <f t="shared" si="27"/>
        <v>-7.479106127821062E-3</v>
      </c>
      <c r="K134" s="6">
        <f t="shared" si="27"/>
        <v>-8.0388122707836501E-3</v>
      </c>
      <c r="L134" s="6">
        <f t="shared" si="27"/>
        <v>-3.4300521667624483E-3</v>
      </c>
      <c r="M134" s="6">
        <f t="shared" si="27"/>
        <v>-1.1976066753339242E-2</v>
      </c>
      <c r="N134" s="6">
        <f t="shared" si="27"/>
        <v>-3.7939352461026604E-3</v>
      </c>
      <c r="O134" s="6">
        <f t="shared" si="30"/>
        <v>9.8517386206897241E-3</v>
      </c>
      <c r="P134" s="6"/>
      <c r="Q134" s="6">
        <f t="shared" ref="Q134:Q197" si="36">+SUMPRODUCT($Z$16:$AC$16,J134:M134)</f>
        <v>-7.1611142638943444E-3</v>
      </c>
      <c r="R134" s="6">
        <f t="shared" si="31"/>
        <v>-1.1976066753339242E-2</v>
      </c>
      <c r="S134" s="6">
        <f t="shared" si="32"/>
        <v>-8.2394041843517063E-3</v>
      </c>
      <c r="T134" s="6">
        <f t="shared" si="33"/>
        <v>9.3037181711687944E-5</v>
      </c>
      <c r="U134" s="6">
        <f t="shared" si="34"/>
        <v>-6.2746213733578561E-3</v>
      </c>
      <c r="V134" s="6">
        <f t="shared" si="28"/>
        <v>-4.0002228535056233E-3</v>
      </c>
      <c r="W134" s="6">
        <f t="shared" si="35"/>
        <v>-9.4315054469464484E-3</v>
      </c>
      <c r="X134" s="6"/>
      <c r="AF134" s="38"/>
    </row>
    <row r="135" spans="1:32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29"/>
        <v>1.9441757599203413E-4</v>
      </c>
      <c r="J135" s="6">
        <f t="shared" si="27"/>
        <v>8.0816092470088127E-3</v>
      </c>
      <c r="K135" s="6">
        <f t="shared" si="27"/>
        <v>-6.1132169466150627E-3</v>
      </c>
      <c r="L135" s="6">
        <f t="shared" si="27"/>
        <v>4.9073938927271261E-4</v>
      </c>
      <c r="M135" s="6">
        <f t="shared" si="27"/>
        <v>1.3760308076745754E-2</v>
      </c>
      <c r="N135" s="6">
        <f t="shared" si="27"/>
        <v>1.7048185442892359E-3</v>
      </c>
      <c r="O135" s="6">
        <f t="shared" si="30"/>
        <v>0</v>
      </c>
      <c r="P135" s="6"/>
      <c r="Q135" s="6">
        <f t="shared" si="36"/>
        <v>6.5299037436794254E-3</v>
      </c>
      <c r="R135" s="6">
        <f t="shared" si="31"/>
        <v>1.3760308076745754E-2</v>
      </c>
      <c r="S135" s="6">
        <f t="shared" si="32"/>
        <v>8.1960334490420676E-3</v>
      </c>
      <c r="T135" s="6">
        <f t="shared" si="33"/>
        <v>0</v>
      </c>
      <c r="U135" s="6">
        <f t="shared" si="34"/>
        <v>5.3552303470420504E-3</v>
      </c>
      <c r="V135" s="6">
        <f t="shared" si="28"/>
        <v>3.8402547093713373E-3</v>
      </c>
      <c r="W135" s="6">
        <f t="shared" si="35"/>
        <v>8.9743111687075466E-3</v>
      </c>
      <c r="X135" s="6"/>
      <c r="AF135" s="38"/>
    </row>
    <row r="136" spans="1:32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29"/>
        <v>1.9403645887727805E-4</v>
      </c>
      <c r="J136" s="6">
        <f t="shared" si="27"/>
        <v>-6.647496052951337E-3</v>
      </c>
      <c r="K136" s="6">
        <f t="shared" si="27"/>
        <v>9.9389517455469021E-4</v>
      </c>
      <c r="L136" s="6">
        <f t="shared" si="27"/>
        <v>5.0566859458387667E-3</v>
      </c>
      <c r="M136" s="6">
        <f t="shared" si="27"/>
        <v>7.6945269621530249E-3</v>
      </c>
      <c r="N136" s="6">
        <f t="shared" si="27"/>
        <v>-1.659450476103029E-3</v>
      </c>
      <c r="O136" s="6">
        <f t="shared" si="30"/>
        <v>-1.9622256577658012E-3</v>
      </c>
      <c r="P136" s="6"/>
      <c r="Q136" s="6">
        <f t="shared" si="36"/>
        <v>3.7655227052556407E-3</v>
      </c>
      <c r="R136" s="6">
        <f t="shared" si="31"/>
        <v>7.6945269621530249E-3</v>
      </c>
      <c r="S136" s="6">
        <f t="shared" si="32"/>
        <v>3.9085613056583446E-3</v>
      </c>
      <c r="T136" s="6">
        <f t="shared" si="33"/>
        <v>0</v>
      </c>
      <c r="U136" s="6">
        <f t="shared" si="34"/>
        <v>1.4869150405050588E-3</v>
      </c>
      <c r="V136" s="6">
        <f t="shared" si="28"/>
        <v>3.1800815509223299E-3</v>
      </c>
      <c r="W136" s="6">
        <f t="shared" si="35"/>
        <v>6.4383053852295046E-3</v>
      </c>
      <c r="X136" s="6"/>
      <c r="AF136" s="38"/>
    </row>
    <row r="137" spans="1:32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29"/>
        <v>1.9441757599203413E-4</v>
      </c>
      <c r="J137" s="6">
        <f t="shared" si="27"/>
        <v>-3.6999302544279294E-3</v>
      </c>
      <c r="K137" s="6">
        <f t="shared" si="27"/>
        <v>-6.311315966027564E-3</v>
      </c>
      <c r="L137" s="6">
        <f t="shared" si="27"/>
        <v>9.0702909341080495E-3</v>
      </c>
      <c r="M137" s="6">
        <f t="shared" si="27"/>
        <v>-1.7703701935084114E-3</v>
      </c>
      <c r="N137" s="6">
        <f t="shared" si="27"/>
        <v>5.2154203933401618E-3</v>
      </c>
      <c r="O137" s="6">
        <f t="shared" si="30"/>
        <v>1.9622256577658281E-3</v>
      </c>
      <c r="P137" s="6"/>
      <c r="Q137" s="6">
        <f t="shared" si="36"/>
        <v>2.8978380231986737E-3</v>
      </c>
      <c r="R137" s="6">
        <f t="shared" si="31"/>
        <v>-1.7703701935084114E-3</v>
      </c>
      <c r="S137" s="6">
        <f t="shared" si="32"/>
        <v>1.406173315634124E-3</v>
      </c>
      <c r="T137" s="6">
        <f t="shared" si="33"/>
        <v>7.2302641745458836E-19</v>
      </c>
      <c r="U137" s="6">
        <f t="shared" si="34"/>
        <v>2.8407932610466074E-3</v>
      </c>
      <c r="V137" s="6">
        <f t="shared" si="28"/>
        <v>-2.0123622176688757E-3</v>
      </c>
      <c r="W137" s="6">
        <f t="shared" si="35"/>
        <v>7.9137657167798717E-4</v>
      </c>
      <c r="X137" s="6"/>
      <c r="AF137" s="38"/>
    </row>
    <row r="138" spans="1:32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29"/>
        <v>1.9594168295089531E-4</v>
      </c>
      <c r="J138" s="6">
        <f t="shared" si="27"/>
        <v>-6.0485955778969338E-3</v>
      </c>
      <c r="K138" s="6">
        <f t="shared" si="27"/>
        <v>-8.1974383416661724E-3</v>
      </c>
      <c r="L138" s="6">
        <f t="shared" si="27"/>
        <v>-4.1470699285579005E-3</v>
      </c>
      <c r="M138" s="6">
        <f t="shared" si="27"/>
        <v>2.9490604228386468E-3</v>
      </c>
      <c r="N138" s="6">
        <f t="shared" si="27"/>
        <v>7.9759250577916968E-3</v>
      </c>
      <c r="O138" s="6">
        <f t="shared" si="30"/>
        <v>7.8087795719660449E-3</v>
      </c>
      <c r="P138" s="6"/>
      <c r="Q138" s="6">
        <f t="shared" si="36"/>
        <v>-2.0415987907557494E-3</v>
      </c>
      <c r="R138" s="6">
        <f t="shared" si="31"/>
        <v>2.9490604228386468E-3</v>
      </c>
      <c r="S138" s="6">
        <f t="shared" si="32"/>
        <v>-1.2341217338552564E-3</v>
      </c>
      <c r="T138" s="6">
        <f t="shared" si="33"/>
        <v>6.9711624384953124E-6</v>
      </c>
      <c r="U138" s="6">
        <f t="shared" si="34"/>
        <v>-3.5923828517214953E-3</v>
      </c>
      <c r="V138" s="6">
        <f t="shared" si="28"/>
        <v>-1.1549695145730442E-2</v>
      </c>
      <c r="W138" s="6">
        <f t="shared" si="35"/>
        <v>2.9665531257309029E-4</v>
      </c>
      <c r="X138" s="6"/>
      <c r="AF138" s="38"/>
    </row>
    <row r="139" spans="1:32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29"/>
        <v>1.9517970175764177E-4</v>
      </c>
      <c r="J139" s="6">
        <f t="shared" si="27"/>
        <v>-2.5708994582135079E-2</v>
      </c>
      <c r="K139" s="6">
        <f t="shared" si="27"/>
        <v>4.6925289520041878E-3</v>
      </c>
      <c r="L139" s="6">
        <f t="shared" si="27"/>
        <v>7.4737850456217817E-3</v>
      </c>
      <c r="M139" s="6">
        <f t="shared" si="27"/>
        <v>-1.0657458514889893E-2</v>
      </c>
      <c r="N139" s="6">
        <f t="shared" si="27"/>
        <v>-1.1939974324694175E-3</v>
      </c>
      <c r="O139" s="6">
        <f t="shared" si="30"/>
        <v>-3.8963973184373184E-3</v>
      </c>
      <c r="P139" s="6"/>
      <c r="Q139" s="6">
        <f t="shared" si="36"/>
        <v>-5.0795543687797836E-3</v>
      </c>
      <c r="R139" s="6">
        <f t="shared" si="31"/>
        <v>-1.0657458514889893E-2</v>
      </c>
      <c r="S139" s="6">
        <f t="shared" si="32"/>
        <v>-7.6944057291837217E-3</v>
      </c>
      <c r="T139" s="6">
        <f t="shared" si="33"/>
        <v>8.282055442759789E-5</v>
      </c>
      <c r="U139" s="6">
        <f t="shared" si="34"/>
        <v>-7.0050954250061616E-3</v>
      </c>
      <c r="V139" s="6">
        <f t="shared" si="28"/>
        <v>-5.5101677551714521E-3</v>
      </c>
      <c r="W139" s="6">
        <f t="shared" si="35"/>
        <v>-5.0793113565947359E-3</v>
      </c>
      <c r="X139" s="6"/>
      <c r="AF139" s="38"/>
    </row>
    <row r="140" spans="1:32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29"/>
        <v>1.9632261934998674E-4</v>
      </c>
      <c r="J140" s="6">
        <f t="shared" si="27"/>
        <v>-2.8853134850884594E-2</v>
      </c>
      <c r="K140" s="6">
        <f t="shared" si="27"/>
        <v>-4.8605552480539922E-3</v>
      </c>
      <c r="L140" s="6">
        <f t="shared" si="27"/>
        <v>9.9673658093087422E-3</v>
      </c>
      <c r="M140" s="6">
        <f t="shared" si="27"/>
        <v>2.1784911671504949E-2</v>
      </c>
      <c r="N140" s="6">
        <f t="shared" si="27"/>
        <v>-1.0245348981574391E-2</v>
      </c>
      <c r="O140" s="6">
        <f t="shared" si="30"/>
        <v>5.8386414462251674E-3</v>
      </c>
      <c r="P140" s="6"/>
      <c r="Q140" s="6">
        <f t="shared" si="36"/>
        <v>6.7502746215673875E-3</v>
      </c>
      <c r="R140" s="6">
        <f t="shared" si="31"/>
        <v>2.1784911671504949E-2</v>
      </c>
      <c r="S140" s="6">
        <f t="shared" si="32"/>
        <v>7.5859988146406033E-3</v>
      </c>
      <c r="T140" s="6">
        <f t="shared" si="33"/>
        <v>0</v>
      </c>
      <c r="U140" s="6">
        <f t="shared" si="34"/>
        <v>-1.3507181511262672E-3</v>
      </c>
      <c r="V140" s="6">
        <f t="shared" si="28"/>
        <v>7.1035713050421577E-3</v>
      </c>
      <c r="W140" s="6">
        <f t="shared" si="35"/>
        <v>1.6504391851726068E-2</v>
      </c>
      <c r="X140" s="6"/>
      <c r="AF140" s="38"/>
    </row>
    <row r="141" spans="1:32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29"/>
        <v>1.9632261934998674E-4</v>
      </c>
      <c r="J141" s="6">
        <f t="shared" si="27"/>
        <v>-5.8956789518436912E-3</v>
      </c>
      <c r="K141" s="6">
        <f t="shared" si="27"/>
        <v>5.0397715508103207E-4</v>
      </c>
      <c r="L141" s="6">
        <f t="shared" si="27"/>
        <v>5.1841067662975826E-3</v>
      </c>
      <c r="M141" s="6">
        <f t="shared" si="27"/>
        <v>5.8222055801986279E-4</v>
      </c>
      <c r="N141" s="6">
        <f t="shared" si="27"/>
        <v>5.1279595372516517E-3</v>
      </c>
      <c r="O141" s="6">
        <f t="shared" si="30"/>
        <v>0</v>
      </c>
      <c r="P141" s="6"/>
      <c r="Q141" s="6">
        <f t="shared" si="36"/>
        <v>1.4967743990468556E-3</v>
      </c>
      <c r="R141" s="6">
        <f t="shared" si="31"/>
        <v>5.8222055801986279E-4</v>
      </c>
      <c r="S141" s="6">
        <f t="shared" si="32"/>
        <v>7.8873671287573712E-4</v>
      </c>
      <c r="T141" s="6">
        <f t="shared" si="33"/>
        <v>3.8122900845108367E-7</v>
      </c>
      <c r="U141" s="6">
        <f t="shared" si="34"/>
        <v>5.9670619941972934E-4</v>
      </c>
      <c r="V141" s="6">
        <f t="shared" si="28"/>
        <v>-3.9602208682268363E-3</v>
      </c>
      <c r="W141" s="6">
        <f t="shared" si="35"/>
        <v>1.725776386145398E-3</v>
      </c>
      <c r="X141" s="6"/>
      <c r="AF141" s="38"/>
    </row>
    <row r="142" spans="1:32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29"/>
        <v>1.9517970175764177E-4</v>
      </c>
      <c r="J142" s="6">
        <f t="shared" si="27"/>
        <v>-7.0975441095678829E-4</v>
      </c>
      <c r="K142" s="6">
        <f t="shared" si="27"/>
        <v>-1.848914347035491E-3</v>
      </c>
      <c r="L142" s="6">
        <f t="shared" si="27"/>
        <v>-8.7971014039722271E-3</v>
      </c>
      <c r="M142" s="6">
        <f t="shared" si="27"/>
        <v>-7.5957392761439417E-3</v>
      </c>
      <c r="N142" s="6">
        <f t="shared" si="27"/>
        <v>1.0251382881397443E-2</v>
      </c>
      <c r="O142" s="6">
        <f t="shared" si="30"/>
        <v>-5.8386414462252264E-3</v>
      </c>
      <c r="P142" s="6"/>
      <c r="Q142" s="6">
        <f t="shared" si="36"/>
        <v>-6.8548645882167344E-3</v>
      </c>
      <c r="R142" s="6">
        <f t="shared" si="31"/>
        <v>-7.5957392761439417E-3</v>
      </c>
      <c r="S142" s="6">
        <f t="shared" si="32"/>
        <v>-6.5871987697765358E-3</v>
      </c>
      <c r="T142" s="6">
        <f t="shared" si="33"/>
        <v>6.3894010889505127E-5</v>
      </c>
      <c r="U142" s="6">
        <f t="shared" si="34"/>
        <v>-5.8158462099400397E-3</v>
      </c>
      <c r="V142" s="6">
        <f t="shared" si="28"/>
        <v>-1.4275497650973469E-2</v>
      </c>
      <c r="W142" s="6">
        <f t="shared" si="35"/>
        <v>-7.4880393738187626E-3</v>
      </c>
      <c r="X142" s="6"/>
      <c r="AF142" s="38"/>
    </row>
    <row r="143" spans="1:32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29"/>
        <v>1.9556071042226009E-4</v>
      </c>
      <c r="J143" s="6">
        <f t="shared" si="27"/>
        <v>1.0184574634208254E-2</v>
      </c>
      <c r="K143" s="6">
        <f t="shared" si="27"/>
        <v>1.3449371919544843E-3</v>
      </c>
      <c r="L143" s="6">
        <f t="shared" si="27"/>
        <v>1.8612639482236896E-3</v>
      </c>
      <c r="M143" s="6">
        <f t="shared" si="27"/>
        <v>8.7592244143747111E-3</v>
      </c>
      <c r="N143" s="6">
        <f t="shared" si="27"/>
        <v>-6.5499380656454595E-3</v>
      </c>
      <c r="O143" s="6">
        <f t="shared" si="30"/>
        <v>1.950188787733562E-3</v>
      </c>
      <c r="P143" s="6"/>
      <c r="Q143" s="6">
        <f t="shared" si="36"/>
        <v>5.8260784609180851E-3</v>
      </c>
      <c r="R143" s="6">
        <f t="shared" si="31"/>
        <v>8.7592244143747111E-3</v>
      </c>
      <c r="S143" s="6">
        <f t="shared" si="32"/>
        <v>6.7583447784387357E-3</v>
      </c>
      <c r="T143" s="6">
        <f t="shared" si="33"/>
        <v>0</v>
      </c>
      <c r="U143" s="6">
        <f t="shared" si="34"/>
        <v>5.8929544826913788E-3</v>
      </c>
      <c r="V143" s="6">
        <f t="shared" si="28"/>
        <v>1.149634677437331E-2</v>
      </c>
      <c r="W143" s="6">
        <f t="shared" si="35"/>
        <v>6.4959385811623159E-3</v>
      </c>
      <c r="X143" s="6"/>
      <c r="AF143" s="38"/>
    </row>
    <row r="144" spans="1:32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29"/>
        <v>1.9289289052348835E-4</v>
      </c>
      <c r="J144" s="6">
        <f t="shared" si="27"/>
        <v>1.1762232376596935E-2</v>
      </c>
      <c r="K144" s="6">
        <f t="shared" si="27"/>
        <v>1.2024245731310248E-2</v>
      </c>
      <c r="L144" s="6">
        <f t="shared" si="27"/>
        <v>3.7176867835657829E-4</v>
      </c>
      <c r="M144" s="6">
        <f t="shared" si="27"/>
        <v>7.5296267385311973E-3</v>
      </c>
      <c r="N144" s="6">
        <f t="shared" si="27"/>
        <v>-1.1228682551799477E-3</v>
      </c>
      <c r="O144" s="6">
        <f t="shared" si="30"/>
        <v>-1.3735806992006525E-2</v>
      </c>
      <c r="P144" s="6"/>
      <c r="Q144" s="6">
        <f t="shared" si="36"/>
        <v>5.0052202792779093E-3</v>
      </c>
      <c r="R144" s="6">
        <f t="shared" si="31"/>
        <v>7.5296267385311973E-3</v>
      </c>
      <c r="S144" s="6">
        <f t="shared" si="32"/>
        <v>6.033944648351686E-3</v>
      </c>
      <c r="T144" s="6">
        <f t="shared" si="33"/>
        <v>0</v>
      </c>
      <c r="U144" s="6">
        <f t="shared" si="34"/>
        <v>5.5008029930362495E-3</v>
      </c>
      <c r="V144" s="6">
        <f t="shared" si="28"/>
        <v>8.0282060351127178E-3</v>
      </c>
      <c r="W144" s="6">
        <f t="shared" si="35"/>
        <v>5.9607023208478986E-3</v>
      </c>
      <c r="X144" s="6"/>
      <c r="AF144" s="38"/>
    </row>
    <row r="145" spans="1:32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29"/>
        <v>1.9441757599203413E-4</v>
      </c>
      <c r="J145" s="6">
        <f t="shared" si="27"/>
        <v>2.7746091448219968E-3</v>
      </c>
      <c r="K145" s="6">
        <f t="shared" si="27"/>
        <v>4.3067844327523246E-3</v>
      </c>
      <c r="L145" s="6">
        <f t="shared" si="27"/>
        <v>8.1983530120362299E-3</v>
      </c>
      <c r="M145" s="6">
        <f t="shared" si="27"/>
        <v>-7.5296267385311115E-3</v>
      </c>
      <c r="N145" s="6">
        <f t="shared" si="27"/>
        <v>1.1139497364012345E-2</v>
      </c>
      <c r="O145" s="6">
        <f t="shared" si="30"/>
        <v>7.8732359507442031E-3</v>
      </c>
      <c r="P145" s="6"/>
      <c r="Q145" s="6">
        <f t="shared" si="36"/>
        <v>1.714199946329556E-3</v>
      </c>
      <c r="R145" s="6">
        <f t="shared" si="31"/>
        <v>-7.5296267385311115E-3</v>
      </c>
      <c r="S145" s="6">
        <f t="shared" si="32"/>
        <v>-2.3345173747845024E-4</v>
      </c>
      <c r="T145" s="6">
        <f t="shared" si="33"/>
        <v>2.6883731031729844E-6</v>
      </c>
      <c r="U145" s="6">
        <f t="shared" si="34"/>
        <v>3.6595917931087486E-3</v>
      </c>
      <c r="V145" s="6">
        <f t="shared" si="28"/>
        <v>-7.1161855946352305E-3</v>
      </c>
      <c r="W145" s="6">
        <f t="shared" si="35"/>
        <v>-2.5428752252519044E-3</v>
      </c>
      <c r="X145" s="6"/>
      <c r="AF145" s="38"/>
    </row>
    <row r="146" spans="1:32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29"/>
        <v>1.9289289052348835E-4</v>
      </c>
      <c r="J146" s="6">
        <f t="shared" si="27"/>
        <v>-1.2196574219039144E-2</v>
      </c>
      <c r="K146" s="6">
        <f t="shared" si="27"/>
        <v>1.0195775101912073E-2</v>
      </c>
      <c r="L146" s="6">
        <f t="shared" si="27"/>
        <v>8.079352123651724E-3</v>
      </c>
      <c r="M146" s="6">
        <f t="shared" si="27"/>
        <v>-5.8160336375158385E-4</v>
      </c>
      <c r="N146" s="6">
        <f t="shared" si="27"/>
        <v>-1.926391571868686E-3</v>
      </c>
      <c r="O146" s="6">
        <f t="shared" si="30"/>
        <v>-7.8732359507443037E-3</v>
      </c>
      <c r="P146" s="6"/>
      <c r="Q146" s="6">
        <f t="shared" si="36"/>
        <v>1.2483842483247353E-3</v>
      </c>
      <c r="R146" s="6">
        <f t="shared" si="31"/>
        <v>-5.8160336375158385E-4</v>
      </c>
      <c r="S146" s="6">
        <f t="shared" si="32"/>
        <v>-5.5385565079562867E-5</v>
      </c>
      <c r="T146" s="6">
        <f t="shared" si="33"/>
        <v>2.1361568473488652E-6</v>
      </c>
      <c r="U146" s="6">
        <f t="shared" si="34"/>
        <v>-3.5632038166756163E-4</v>
      </c>
      <c r="V146" s="6">
        <f t="shared" si="28"/>
        <v>2.2322919443544375E-3</v>
      </c>
      <c r="W146" s="6">
        <f t="shared" si="35"/>
        <v>2.2500638875807503E-3</v>
      </c>
      <c r="X146" s="6"/>
      <c r="AF146" s="38"/>
    </row>
    <row r="147" spans="1:32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29"/>
        <v>1.9327411614988854E-4</v>
      </c>
      <c r="J147" s="6">
        <f t="shared" si="27"/>
        <v>1.0868104262170121E-2</v>
      </c>
      <c r="K147" s="6">
        <f t="shared" si="27"/>
        <v>-2.2289265661106588E-3</v>
      </c>
      <c r="L147" s="6">
        <f t="shared" si="27"/>
        <v>-1.7978656730612674E-2</v>
      </c>
      <c r="M147" s="6">
        <f t="shared" si="27"/>
        <v>-1.0526393935028697E-2</v>
      </c>
      <c r="N147" s="6">
        <f t="shared" si="27"/>
        <v>-2.8752059156686048E-3</v>
      </c>
      <c r="O147" s="6">
        <f t="shared" si="30"/>
        <v>1.9744087074048946E-3</v>
      </c>
      <c r="P147" s="6"/>
      <c r="Q147" s="6">
        <f t="shared" si="36"/>
        <v>-9.9511428587036217E-3</v>
      </c>
      <c r="R147" s="6">
        <f t="shared" si="31"/>
        <v>-1.0526393935028697E-2</v>
      </c>
      <c r="S147" s="6">
        <f t="shared" si="32"/>
        <v>-8.6380257672317353E-3</v>
      </c>
      <c r="T147" s="6">
        <f t="shared" si="33"/>
        <v>1.0088595229760193E-4</v>
      </c>
      <c r="U147" s="6">
        <f t="shared" si="34"/>
        <v>-6.8058523475406614E-3</v>
      </c>
      <c r="V147" s="6">
        <f t="shared" si="28"/>
        <v>-4.4706833402620959E-3</v>
      </c>
      <c r="W147" s="6">
        <f t="shared" si="35"/>
        <v>-1.1762871525875598E-2</v>
      </c>
      <c r="X147" s="6"/>
      <c r="AF147" s="38"/>
    </row>
    <row r="148" spans="1:32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29"/>
        <v>1.9251162871269933E-4</v>
      </c>
      <c r="J148" s="6">
        <f t="shared" si="27"/>
        <v>-2.1990199647653258E-3</v>
      </c>
      <c r="K148" s="6">
        <f t="shared" si="27"/>
        <v>-1.0300751202101817E-2</v>
      </c>
      <c r="L148" s="6">
        <f t="shared" si="27"/>
        <v>1.2319503083121451E-2</v>
      </c>
      <c r="M148" s="6">
        <f t="shared" si="27"/>
        <v>2.3487728844055851E-3</v>
      </c>
      <c r="N148" s="6">
        <f t="shared" si="27"/>
        <v>-6.5039961169264899E-3</v>
      </c>
      <c r="O148" s="6">
        <f t="shared" si="30"/>
        <v>-3.9529113773502057E-3</v>
      </c>
      <c r="P148" s="6"/>
      <c r="Q148" s="6">
        <f t="shared" si="36"/>
        <v>6.1194368045373706E-3</v>
      </c>
      <c r="R148" s="6">
        <f t="shared" si="31"/>
        <v>2.3487728844055851E-3</v>
      </c>
      <c r="S148" s="6">
        <f t="shared" si="32"/>
        <v>4.6929459957695159E-3</v>
      </c>
      <c r="T148" s="6">
        <f t="shared" si="33"/>
        <v>0</v>
      </c>
      <c r="U148" s="6">
        <f t="shared" si="34"/>
        <v>5.6377611175527278E-3</v>
      </c>
      <c r="V148" s="6">
        <f t="shared" si="28"/>
        <v>1.1857676947099874E-2</v>
      </c>
      <c r="W148" s="6">
        <f t="shared" si="35"/>
        <v>4.1541702704815959E-3</v>
      </c>
      <c r="X148" s="6"/>
      <c r="AF148" s="38"/>
    </row>
    <row r="149" spans="1:32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29"/>
        <v>1.9213033071063812E-4</v>
      </c>
      <c r="J149" s="6">
        <f t="shared" si="27"/>
        <v>6.3521899768463532E-3</v>
      </c>
      <c r="K149" s="6">
        <f t="shared" si="27"/>
        <v>4.1663069910752798E-3</v>
      </c>
      <c r="L149" s="6">
        <f t="shared" si="27"/>
        <v>1.2325227911982373E-2</v>
      </c>
      <c r="M149" s="6">
        <f t="shared" si="27"/>
        <v>1.455631158926427E-2</v>
      </c>
      <c r="N149" s="6">
        <f t="shared" si="27"/>
        <v>6.2981688751588584E-3</v>
      </c>
      <c r="O149" s="6">
        <f t="shared" si="30"/>
        <v>-1.9826132725194968E-3</v>
      </c>
      <c r="P149" s="6"/>
      <c r="Q149" s="6">
        <f t="shared" si="36"/>
        <v>1.1973577196072956E-2</v>
      </c>
      <c r="R149" s="6">
        <f t="shared" si="31"/>
        <v>1.455631158926427E-2</v>
      </c>
      <c r="S149" s="6">
        <f t="shared" si="32"/>
        <v>1.2139924831688229E-2</v>
      </c>
      <c r="T149" s="6">
        <f t="shared" si="33"/>
        <v>0</v>
      </c>
      <c r="U149" s="6">
        <f t="shared" si="34"/>
        <v>1.0654042013296419E-2</v>
      </c>
      <c r="V149" s="6">
        <f t="shared" si="28"/>
        <v>5.2779934173051261E-3</v>
      </c>
      <c r="W149" s="6">
        <f t="shared" si="35"/>
        <v>1.3242832538611197E-2</v>
      </c>
      <c r="X149" s="6"/>
      <c r="AF149" s="38"/>
    </row>
    <row r="150" spans="1:32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29"/>
        <v>1.9327411614988854E-4</v>
      </c>
      <c r="J150" s="6">
        <f t="shared" si="27"/>
        <v>1.3493637966671364E-2</v>
      </c>
      <c r="K150" s="6">
        <f t="shared" si="27"/>
        <v>1.6616478726241028E-3</v>
      </c>
      <c r="L150" s="6">
        <f t="shared" si="27"/>
        <v>5.8480844115032697E-3</v>
      </c>
      <c r="M150" s="6">
        <f t="shared" si="27"/>
        <v>-7.5427928711403599E-3</v>
      </c>
      <c r="N150" s="6">
        <f t="shared" si="27"/>
        <v>5.6332831318901015E-3</v>
      </c>
      <c r="O150" s="6">
        <f t="shared" si="30"/>
        <v>5.9355246498698326E-3</v>
      </c>
      <c r="P150" s="6"/>
      <c r="Q150" s="6">
        <f t="shared" si="36"/>
        <v>2.6400162065576562E-3</v>
      </c>
      <c r="R150" s="6">
        <f t="shared" si="31"/>
        <v>-7.5427928711403599E-3</v>
      </c>
      <c r="S150" s="6">
        <f t="shared" si="32"/>
        <v>1.1498960313078431E-3</v>
      </c>
      <c r="T150" s="6">
        <f t="shared" si="33"/>
        <v>6.567848229244718E-8</v>
      </c>
      <c r="U150" s="6">
        <f t="shared" si="34"/>
        <v>6.1944195810560267E-3</v>
      </c>
      <c r="V150" s="6">
        <f t="shared" si="28"/>
        <v>5.2747984185937537E-4</v>
      </c>
      <c r="W150" s="6">
        <f t="shared" si="35"/>
        <v>-3.2253315781553766E-3</v>
      </c>
      <c r="X150" s="6"/>
      <c r="AF150" s="38"/>
    </row>
    <row r="151" spans="1:32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29"/>
        <v>1.9517970175764177E-4</v>
      </c>
      <c r="J151" s="6">
        <f t="shared" si="27"/>
        <v>1.4602145308817756E-2</v>
      </c>
      <c r="K151" s="6">
        <f t="shared" si="27"/>
        <v>8.5965451914703454E-3</v>
      </c>
      <c r="L151" s="6">
        <f t="shared" si="27"/>
        <v>1.3021806957661381E-2</v>
      </c>
      <c r="M151" s="6">
        <f t="shared" si="27"/>
        <v>2.3269110502146303E-3</v>
      </c>
      <c r="N151" s="6">
        <f t="shared" si="27"/>
        <v>8.8646978273410684E-3</v>
      </c>
      <c r="O151" s="6">
        <f t="shared" si="30"/>
        <v>9.8112094968681833E-3</v>
      </c>
      <c r="P151" s="6"/>
      <c r="Q151" s="6">
        <f t="shared" si="36"/>
        <v>9.6061362202355966E-3</v>
      </c>
      <c r="R151" s="6">
        <f t="shared" si="31"/>
        <v>2.3269110502146303E-3</v>
      </c>
      <c r="S151" s="6">
        <f t="shared" si="32"/>
        <v>8.3513013408148592E-3</v>
      </c>
      <c r="T151" s="6">
        <f t="shared" si="33"/>
        <v>0</v>
      </c>
      <c r="U151" s="6">
        <f t="shared" si="34"/>
        <v>1.1744420693166256E-2</v>
      </c>
      <c r="V151" s="6">
        <f t="shared" si="28"/>
        <v>2.7743224834247873E-3</v>
      </c>
      <c r="W151" s="6">
        <f t="shared" si="35"/>
        <v>5.6621147097403604E-3</v>
      </c>
      <c r="X151" s="6"/>
      <c r="AF151" s="38"/>
    </row>
    <row r="152" spans="1:32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29"/>
        <v>1.9556071042226009E-4</v>
      </c>
      <c r="J152" s="6">
        <f t="shared" si="27"/>
        <v>-4.1715613983300662E-2</v>
      </c>
      <c r="K152" s="6">
        <f t="shared" si="27"/>
        <v>-4.6196894266072042E-3</v>
      </c>
      <c r="L152" s="6">
        <f t="shared" si="27"/>
        <v>1.3809332358761774E-2</v>
      </c>
      <c r="M152" s="6">
        <f t="shared" si="27"/>
        <v>-2.9095910236789767E-3</v>
      </c>
      <c r="N152" s="6">
        <f t="shared" si="27"/>
        <v>3.2313725131378058E-3</v>
      </c>
      <c r="O152" s="6">
        <f t="shared" si="30"/>
        <v>1.950188787733562E-3</v>
      </c>
      <c r="P152" s="6"/>
      <c r="Q152" s="6">
        <f t="shared" si="36"/>
        <v>-2.4667842513876469E-3</v>
      </c>
      <c r="R152" s="6">
        <f t="shared" si="31"/>
        <v>-2.9095910236789767E-3</v>
      </c>
      <c r="S152" s="6">
        <f t="shared" si="32"/>
        <v>-5.2532705860461066E-3</v>
      </c>
      <c r="T152" s="6">
        <f t="shared" si="33"/>
        <v>4.4348204404804914E-5</v>
      </c>
      <c r="U152" s="6">
        <f t="shared" si="34"/>
        <v>-8.1004542042217888E-3</v>
      </c>
      <c r="V152" s="6">
        <f t="shared" si="28"/>
        <v>-1.1189158371125427E-2</v>
      </c>
      <c r="W152" s="6">
        <f t="shared" si="35"/>
        <v>1.0007623700408017E-3</v>
      </c>
      <c r="X152" s="6"/>
      <c r="AF152" s="38"/>
    </row>
    <row r="153" spans="1:32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29"/>
        <v>1.9670351962641774E-4</v>
      </c>
      <c r="J153" s="6">
        <f t="shared" si="27"/>
        <v>5.2960884338796171E-3</v>
      </c>
      <c r="K153" s="6">
        <f t="shared" si="27"/>
        <v>3.3072101581254086E-4</v>
      </c>
      <c r="L153" s="6">
        <f t="shared" si="27"/>
        <v>-1.2333324609694349E-2</v>
      </c>
      <c r="M153" s="6">
        <f t="shared" si="27"/>
        <v>-1.0544773183150766E-2</v>
      </c>
      <c r="N153" s="6">
        <f t="shared" si="27"/>
        <v>-1.4032464064151588E-3</v>
      </c>
      <c r="O153" s="6">
        <f t="shared" si="30"/>
        <v>5.8267481452814176E-3</v>
      </c>
      <c r="P153" s="6"/>
      <c r="Q153" s="6">
        <f t="shared" si="36"/>
        <v>-8.3877910255512993E-3</v>
      </c>
      <c r="R153" s="6">
        <f t="shared" si="31"/>
        <v>-1.0544773183150766E-2</v>
      </c>
      <c r="S153" s="6">
        <f t="shared" si="32"/>
        <v>-7.907499564894312E-3</v>
      </c>
      <c r="T153" s="6">
        <f t="shared" si="33"/>
        <v>8.6744518364502521E-5</v>
      </c>
      <c r="U153" s="6">
        <f t="shared" si="34"/>
        <v>-5.9758488873514377E-3</v>
      </c>
      <c r="V153" s="6">
        <f t="shared" si="28"/>
        <v>-5.3777105583489434E-3</v>
      </c>
      <c r="W153" s="6">
        <f t="shared" si="35"/>
        <v>-1.0184188919510541E-2</v>
      </c>
      <c r="X153" s="6"/>
      <c r="AF153" s="38"/>
    </row>
    <row r="154" spans="1:32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29"/>
        <v>1.970843837875158E-4</v>
      </c>
      <c r="J154" s="6">
        <f t="shared" si="27"/>
        <v>-8.3350523254073824E-3</v>
      </c>
      <c r="K154" s="6">
        <f t="shared" si="27"/>
        <v>-1.4890065620656438E-3</v>
      </c>
      <c r="L154" s="6">
        <f t="shared" si="27"/>
        <v>-9.1968412694247506E-3</v>
      </c>
      <c r="M154" s="6">
        <f t="shared" si="27"/>
        <v>8.2110739967389546E-3</v>
      </c>
      <c r="N154" s="6">
        <f t="shared" si="27"/>
        <v>-3.0595955699421543E-3</v>
      </c>
      <c r="O154" s="6">
        <f t="shared" si="30"/>
        <v>1.9343625162409541E-3</v>
      </c>
      <c r="P154" s="6"/>
      <c r="Q154" s="6">
        <f t="shared" si="36"/>
        <v>-2.9896230471424937E-3</v>
      </c>
      <c r="R154" s="6">
        <f t="shared" si="31"/>
        <v>8.2110739967389546E-3</v>
      </c>
      <c r="S154" s="6">
        <f t="shared" si="32"/>
        <v>-8.9864253621446634E-4</v>
      </c>
      <c r="T154" s="6">
        <f t="shared" si="33"/>
        <v>5.3121800305473607E-6</v>
      </c>
      <c r="U154" s="6">
        <f t="shared" si="34"/>
        <v>-5.938557976973638E-3</v>
      </c>
      <c r="V154" s="6">
        <f t="shared" si="28"/>
        <v>-3.4350729220114472E-3</v>
      </c>
      <c r="W154" s="6">
        <f t="shared" si="35"/>
        <v>2.8487012451086369E-3</v>
      </c>
      <c r="X154" s="6"/>
      <c r="AF154" s="38"/>
    </row>
    <row r="155" spans="1:32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29"/>
        <v>1.9746521183972021E-4</v>
      </c>
      <c r="J155" s="6">
        <f t="shared" si="27"/>
        <v>-6.6948293563426041E-3</v>
      </c>
      <c r="K155" s="6">
        <f t="shared" si="27"/>
        <v>2.3152310191375206E-3</v>
      </c>
      <c r="L155" s="6">
        <f t="shared" si="27"/>
        <v>4.6600093568763086E-3</v>
      </c>
      <c r="M155" s="6">
        <f t="shared" si="27"/>
        <v>3.4985997178958793E-3</v>
      </c>
      <c r="N155" s="6">
        <f t="shared" si="27"/>
        <v>-2.8037482252575453E-3</v>
      </c>
      <c r="O155" s="6">
        <f t="shared" si="30"/>
        <v>1.9304451186456823E-3</v>
      </c>
      <c r="P155" s="6"/>
      <c r="Q155" s="6">
        <f t="shared" si="36"/>
        <v>2.1154760609215298E-3</v>
      </c>
      <c r="R155" s="6">
        <f t="shared" si="31"/>
        <v>3.4985997178958793E-3</v>
      </c>
      <c r="S155" s="6">
        <f t="shared" si="32"/>
        <v>1.8160770985522492E-3</v>
      </c>
      <c r="T155" s="6">
        <f t="shared" si="33"/>
        <v>0</v>
      </c>
      <c r="U155" s="6">
        <f t="shared" si="34"/>
        <v>5.6365038905560204E-4</v>
      </c>
      <c r="V155" s="6">
        <f t="shared" si="28"/>
        <v>2.8402146345803611E-3</v>
      </c>
      <c r="W155" s="6">
        <f t="shared" si="35"/>
        <v>3.6278454554193275E-3</v>
      </c>
      <c r="X155" s="6"/>
      <c r="AF155" s="38"/>
    </row>
    <row r="156" spans="1:32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29"/>
        <v>1.9746521183972021E-4</v>
      </c>
      <c r="J156" s="6">
        <f t="shared" si="27"/>
        <v>2.0990652674622658E-2</v>
      </c>
      <c r="K156" s="6">
        <f t="shared" si="27"/>
        <v>8.0612064628980545E-3</v>
      </c>
      <c r="L156" s="6">
        <f t="shared" si="27"/>
        <v>1.9178381247547345E-2</v>
      </c>
      <c r="M156" s="6">
        <f t="shared" si="27"/>
        <v>2.130803414272742E-2</v>
      </c>
      <c r="N156" s="6">
        <f t="shared" si="27"/>
        <v>8.5935659407079552E-3</v>
      </c>
      <c r="O156" s="6">
        <f t="shared" si="30"/>
        <v>0</v>
      </c>
      <c r="P156" s="6"/>
      <c r="Q156" s="6">
        <f t="shared" si="36"/>
        <v>2.0259629981212016E-2</v>
      </c>
      <c r="R156" s="6">
        <f t="shared" si="31"/>
        <v>2.130803414272742E-2</v>
      </c>
      <c r="S156" s="6">
        <f t="shared" si="32"/>
        <v>2.0516100948179822E-2</v>
      </c>
      <c r="T156" s="6">
        <f t="shared" si="33"/>
        <v>0</v>
      </c>
      <c r="U156" s="6">
        <f t="shared" si="34"/>
        <v>2.0163042749652957E-2</v>
      </c>
      <c r="V156" s="6">
        <f t="shared" si="28"/>
        <v>1.2526427648004596E-2</v>
      </c>
      <c r="W156" s="6">
        <f t="shared" si="35"/>
        <v>1.9925938186854897E-2</v>
      </c>
      <c r="X156" s="6"/>
      <c r="AF156" s="38"/>
    </row>
    <row r="157" spans="1:32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29"/>
        <v>1.9556071042226009E-4</v>
      </c>
      <c r="J157" s="6">
        <f t="shared" si="27"/>
        <v>-1.0615167680639992E-2</v>
      </c>
      <c r="K157" s="6">
        <f t="shared" si="27"/>
        <v>2.4548076667502516E-3</v>
      </c>
      <c r="L157" s="6">
        <f t="shared" si="27"/>
        <v>3.9017948330012063E-3</v>
      </c>
      <c r="M157" s="6">
        <f t="shared" si="27"/>
        <v>2.8449078782690519E-3</v>
      </c>
      <c r="N157" s="6">
        <f t="shared" si="27"/>
        <v>1.1158887706710923E-3</v>
      </c>
      <c r="O157" s="6">
        <f t="shared" si="30"/>
        <v>-9.6915557801681984E-3</v>
      </c>
      <c r="P157" s="6"/>
      <c r="Q157" s="6">
        <f t="shared" si="36"/>
        <v>7.9725617129435553E-4</v>
      </c>
      <c r="R157" s="6">
        <f t="shared" si="31"/>
        <v>2.8449078782690519E-3</v>
      </c>
      <c r="S157" s="6">
        <f t="shared" si="32"/>
        <v>4.6818337346712707E-4</v>
      </c>
      <c r="T157" s="6">
        <f t="shared" si="33"/>
        <v>8.798267267708761E-7</v>
      </c>
      <c r="U157" s="6">
        <f t="shared" si="34"/>
        <v>-1.2625013212248072E-3</v>
      </c>
      <c r="V157" s="6">
        <f t="shared" si="28"/>
        <v>-1.1749091152707652E-3</v>
      </c>
      <c r="W157" s="6">
        <f t="shared" si="35"/>
        <v>2.9620287222434484E-3</v>
      </c>
      <c r="X157" s="6"/>
      <c r="AF157" s="38"/>
    </row>
    <row r="158" spans="1:32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29"/>
        <v>1.9556071042226009E-4</v>
      </c>
      <c r="J158" s="6">
        <f t="shared" si="27"/>
        <v>-8.4917741718009161E-3</v>
      </c>
      <c r="K158" s="6">
        <f t="shared" si="27"/>
        <v>-8.2061974569752581E-3</v>
      </c>
      <c r="L158" s="6">
        <f t="shared" si="27"/>
        <v>-6.8129855912890617E-3</v>
      </c>
      <c r="M158" s="6">
        <f t="shared" si="27"/>
        <v>-5.697991304405129E-3</v>
      </c>
      <c r="N158" s="6">
        <f t="shared" si="27"/>
        <v>-2.0155996658250933E-3</v>
      </c>
      <c r="O158" s="6">
        <f t="shared" si="30"/>
        <v>0</v>
      </c>
      <c r="P158" s="6"/>
      <c r="Q158" s="6">
        <f t="shared" si="36"/>
        <v>-6.742394906951301E-3</v>
      </c>
      <c r="R158" s="6">
        <f t="shared" si="31"/>
        <v>-5.697991304405129E-3</v>
      </c>
      <c r="S158" s="6">
        <f t="shared" si="32"/>
        <v>-6.6360653652946921E-3</v>
      </c>
      <c r="T158" s="6">
        <f t="shared" si="33"/>
        <v>6.4677616677813921E-5</v>
      </c>
      <c r="U158" s="6">
        <f t="shared" si="34"/>
        <v>-7.1996587328422941E-3</v>
      </c>
      <c r="V158" s="6">
        <f t="shared" si="28"/>
        <v>-5.4085095227101795E-3</v>
      </c>
      <c r="W158" s="6">
        <f t="shared" si="35"/>
        <v>-6.1755426666720795E-3</v>
      </c>
      <c r="X158" s="6"/>
      <c r="AF158" s="38"/>
    </row>
    <row r="159" spans="1:32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29"/>
        <v>1.9441757599203413E-4</v>
      </c>
      <c r="J159" s="6">
        <f t="shared" si="27"/>
        <v>-7.0234473180625914E-3</v>
      </c>
      <c r="K159" s="6">
        <f t="shared" si="27"/>
        <v>-8.7726750393700287E-3</v>
      </c>
      <c r="L159" s="6">
        <f t="shared" si="27"/>
        <v>-4.0223368324664339E-4</v>
      </c>
      <c r="M159" s="6">
        <f t="shared" si="27"/>
        <v>1.1421632595400733E-3</v>
      </c>
      <c r="N159" s="6">
        <f t="shared" si="27"/>
        <v>-7.2653957344673645E-3</v>
      </c>
      <c r="O159" s="6">
        <f t="shared" si="30"/>
        <v>-5.8625710412623351E-3</v>
      </c>
      <c r="P159" s="6"/>
      <c r="Q159" s="6">
        <f t="shared" si="36"/>
        <v>-1.1145589485677132E-3</v>
      </c>
      <c r="R159" s="6">
        <f t="shared" si="31"/>
        <v>1.1421632595400733E-3</v>
      </c>
      <c r="S159" s="6">
        <f t="shared" si="32"/>
        <v>-1.0390207719916875E-3</v>
      </c>
      <c r="T159" s="6">
        <f t="shared" si="33"/>
        <v>5.9789782845049657E-6</v>
      </c>
      <c r="U159" s="6">
        <f t="shared" si="34"/>
        <v>-2.4128292340958512E-3</v>
      </c>
      <c r="V159" s="6">
        <f t="shared" si="28"/>
        <v>4.6963526217001549E-3</v>
      </c>
      <c r="W159" s="6">
        <f t="shared" si="35"/>
        <v>3.9629639918543512E-5</v>
      </c>
      <c r="X159" s="6"/>
      <c r="AF159" s="38"/>
    </row>
    <row r="160" spans="1:32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29"/>
        <v>1.9517970175764177E-4</v>
      </c>
      <c r="J160" s="6">
        <f t="shared" si="27"/>
        <v>4.7859728642550272E-3</v>
      </c>
      <c r="K160" s="6">
        <f t="shared" si="27"/>
        <v>-5.3342326889105063E-3</v>
      </c>
      <c r="L160" s="6">
        <f t="shared" si="27"/>
        <v>-2.8200016753762752E-3</v>
      </c>
      <c r="M160" s="6">
        <f t="shared" si="27"/>
        <v>5.12394513644681E-3</v>
      </c>
      <c r="N160" s="6">
        <f t="shared" si="27"/>
        <v>1.0904938060488179E-3</v>
      </c>
      <c r="O160" s="6">
        <f t="shared" si="30"/>
        <v>3.91238225352871E-3</v>
      </c>
      <c r="P160" s="6"/>
      <c r="Q160" s="6">
        <f t="shared" si="36"/>
        <v>1.3727478444927024E-3</v>
      </c>
      <c r="R160" s="6">
        <f t="shared" si="31"/>
        <v>5.12394513644681E-3</v>
      </c>
      <c r="S160" s="6">
        <f t="shared" si="32"/>
        <v>2.4153196748404374E-3</v>
      </c>
      <c r="T160" s="6">
        <f t="shared" si="33"/>
        <v>0</v>
      </c>
      <c r="U160" s="6">
        <f t="shared" si="34"/>
        <v>1.1433897732826194E-3</v>
      </c>
      <c r="V160" s="6">
        <f t="shared" si="28"/>
        <v>-2.6134011778377545E-4</v>
      </c>
      <c r="W160" s="6">
        <f t="shared" si="35"/>
        <v>2.378845912983847E-3</v>
      </c>
      <c r="X160" s="6"/>
      <c r="AF160" s="38"/>
    </row>
    <row r="161" spans="1:32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29"/>
        <v>1.9517970175764177E-4</v>
      </c>
      <c r="J161" s="6">
        <f t="shared" si="27"/>
        <v>-4.9043056684808586E-3</v>
      </c>
      <c r="K161" s="6">
        <f t="shared" si="27"/>
        <v>-8.8979314726668046E-3</v>
      </c>
      <c r="L161" s="6">
        <f t="shared" si="27"/>
        <v>-7.637567148412871E-3</v>
      </c>
      <c r="M161" s="6">
        <f t="shared" si="27"/>
        <v>-2.2740551851044106E-3</v>
      </c>
      <c r="N161" s="6">
        <f t="shared" si="27"/>
        <v>-1.2410983057457463E-2</v>
      </c>
      <c r="O161" s="6">
        <f t="shared" si="30"/>
        <v>0</v>
      </c>
      <c r="P161" s="6"/>
      <c r="Q161" s="6">
        <f t="shared" si="36"/>
        <v>-5.2597203268845445E-3</v>
      </c>
      <c r="R161" s="6">
        <f t="shared" si="31"/>
        <v>-2.2740551851044106E-3</v>
      </c>
      <c r="S161" s="6">
        <f t="shared" si="32"/>
        <v>-4.5882307708226258E-3</v>
      </c>
      <c r="T161" s="6">
        <f t="shared" si="33"/>
        <v>3.593289054592879E-5</v>
      </c>
      <c r="U161" s="6">
        <f t="shared" si="34"/>
        <v>-5.7863602862634122E-3</v>
      </c>
      <c r="V161" s="6">
        <f t="shared" si="28"/>
        <v>5.2425770951228324E-3</v>
      </c>
      <c r="W161" s="6">
        <f t="shared" si="35"/>
        <v>-4.1251017166530797E-3</v>
      </c>
      <c r="X161" s="6"/>
      <c r="AF161" s="38"/>
    </row>
    <row r="162" spans="1:32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29"/>
        <v>1.9479865694971288E-4</v>
      </c>
      <c r="J162" s="6">
        <f t="shared" si="27"/>
        <v>4.4916084303433098E-3</v>
      </c>
      <c r="K162" s="6">
        <f t="shared" si="27"/>
        <v>3.5350412795235415E-3</v>
      </c>
      <c r="L162" s="6">
        <f t="shared" si="27"/>
        <v>9.1580546261534317E-3</v>
      </c>
      <c r="M162" s="6">
        <f t="shared" si="27"/>
        <v>-8.5739149328683574E-3</v>
      </c>
      <c r="N162" s="6">
        <f t="shared" si="27"/>
        <v>1.1038072569656417E-2</v>
      </c>
      <c r="O162" s="6">
        <f t="shared" si="30"/>
        <v>-1.9541849986461348E-3</v>
      </c>
      <c r="P162" s="6"/>
      <c r="Q162" s="6">
        <f t="shared" si="36"/>
        <v>2.1208462341008611E-3</v>
      </c>
      <c r="R162" s="6">
        <f t="shared" si="31"/>
        <v>-8.5739149328683574E-3</v>
      </c>
      <c r="S162" s="6">
        <f t="shared" si="32"/>
        <v>-5.7267411442941084E-5</v>
      </c>
      <c r="T162" s="6">
        <f t="shared" si="33"/>
        <v>2.1416612504239735E-6</v>
      </c>
      <c r="U162" s="6">
        <f t="shared" si="34"/>
        <v>4.5382855103939593E-3</v>
      </c>
      <c r="V162" s="6">
        <f t="shared" si="28"/>
        <v>-5.0530125925221424E-3</v>
      </c>
      <c r="W162" s="6">
        <f t="shared" si="35"/>
        <v>-3.0131242405551195E-3</v>
      </c>
      <c r="X162" s="6"/>
      <c r="AF162" s="38"/>
    </row>
    <row r="163" spans="1:32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29"/>
        <v>1.9632261934998674E-4</v>
      </c>
      <c r="J163" s="6">
        <f t="shared" ref="J163:N194" si="37">LN(B163/B162)</f>
        <v>-6.685740856598745E-3</v>
      </c>
      <c r="K163" s="6">
        <f t="shared" si="37"/>
        <v>-4.0410882798711488E-3</v>
      </c>
      <c r="L163" s="6">
        <f t="shared" si="37"/>
        <v>5.202946011474462E-3</v>
      </c>
      <c r="M163" s="6">
        <f t="shared" si="37"/>
        <v>-9.8068295948848475E-3</v>
      </c>
      <c r="N163" s="6">
        <f t="shared" si="37"/>
        <v>-3.747574930495873E-4</v>
      </c>
      <c r="O163" s="6">
        <f t="shared" si="30"/>
        <v>7.7928264448712302E-3</v>
      </c>
      <c r="P163" s="6"/>
      <c r="Q163" s="6">
        <f t="shared" si="36"/>
        <v>-2.2509497738294961E-3</v>
      </c>
      <c r="R163" s="6">
        <f t="shared" si="31"/>
        <v>-9.8068295948848475E-3</v>
      </c>
      <c r="S163" s="6">
        <f t="shared" si="32"/>
        <v>-4.2131291322646805E-3</v>
      </c>
      <c r="T163" s="6">
        <f t="shared" si="33"/>
        <v>3.1576569557255861E-5</v>
      </c>
      <c r="U163" s="6">
        <f t="shared" si="34"/>
        <v>-1.433351842763649E-3</v>
      </c>
      <c r="V163" s="6">
        <f t="shared" si="28"/>
        <v>-1.9681092538190613E-3</v>
      </c>
      <c r="W163" s="6">
        <f t="shared" si="35"/>
        <v>-5.457468743845304E-3</v>
      </c>
      <c r="X163" s="6"/>
      <c r="AF163" s="38"/>
    </row>
    <row r="164" spans="1:32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29"/>
        <v>1.9632261934998674E-4</v>
      </c>
      <c r="J164" s="6">
        <f t="shared" si="37"/>
        <v>7.2163751807764352E-3</v>
      </c>
      <c r="K164" s="6">
        <f t="shared" si="37"/>
        <v>7.5637276739742845E-3</v>
      </c>
      <c r="L164" s="6">
        <f t="shared" si="37"/>
        <v>-6.7235150953914692E-3</v>
      </c>
      <c r="M164" s="6">
        <f t="shared" si="37"/>
        <v>-4.2513463190354973E-3</v>
      </c>
      <c r="N164" s="6">
        <f t="shared" si="37"/>
        <v>1.4444457627020377E-3</v>
      </c>
      <c r="O164" s="6">
        <f t="shared" si="30"/>
        <v>0</v>
      </c>
      <c r="P164" s="6"/>
      <c r="Q164" s="6">
        <f t="shared" si="36"/>
        <v>-3.2363572979015251E-3</v>
      </c>
      <c r="R164" s="6">
        <f t="shared" si="31"/>
        <v>-4.2513463190354973E-3</v>
      </c>
      <c r="S164" s="6">
        <f t="shared" si="32"/>
        <v>-2.7229862243316506E-3</v>
      </c>
      <c r="T164" s="6">
        <f t="shared" si="33"/>
        <v>1.7049965528619095E-5</v>
      </c>
      <c r="U164" s="6">
        <f t="shared" si="34"/>
        <v>-1.5165132888278381E-3</v>
      </c>
      <c r="V164" s="6">
        <f t="shared" si="28"/>
        <v>-2.8001103893876599E-3</v>
      </c>
      <c r="W164" s="6">
        <f t="shared" si="35"/>
        <v>-4.0580502969877726E-3</v>
      </c>
      <c r="X164" s="6"/>
      <c r="AF164" s="38"/>
    </row>
    <row r="165" spans="1:32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29"/>
        <v>1.9746521183972021E-4</v>
      </c>
      <c r="J165" s="6">
        <f t="shared" si="37"/>
        <v>-1.120175412492392E-2</v>
      </c>
      <c r="K165" s="6">
        <f t="shared" si="37"/>
        <v>-1.348640955626019E-2</v>
      </c>
      <c r="L165" s="6">
        <f t="shared" si="37"/>
        <v>-8.557882737226321E-3</v>
      </c>
      <c r="M165" s="6">
        <f t="shared" si="37"/>
        <v>-1.0110097057956752E-2</v>
      </c>
      <c r="N165" s="6">
        <f t="shared" si="37"/>
        <v>-9.5019783338873547E-3</v>
      </c>
      <c r="O165" s="6">
        <f t="shared" si="30"/>
        <v>5.8031031216765087E-3</v>
      </c>
      <c r="P165" s="6"/>
      <c r="Q165" s="6">
        <f t="shared" si="36"/>
        <v>-9.5954418665038614E-3</v>
      </c>
      <c r="R165" s="6">
        <f t="shared" si="31"/>
        <v>-1.0110097057956752E-2</v>
      </c>
      <c r="S165" s="6">
        <f t="shared" si="32"/>
        <v>-9.8255051433428237E-3</v>
      </c>
      <c r="T165" s="6">
        <f t="shared" si="33"/>
        <v>1.2615062010665556E-4</v>
      </c>
      <c r="U165" s="6">
        <f t="shared" si="34"/>
        <v>-9.729811078934076E-3</v>
      </c>
      <c r="V165" s="6">
        <f t="shared" si="28"/>
        <v>-1.932155565378825E-3</v>
      </c>
      <c r="W165" s="6">
        <f t="shared" si="35"/>
        <v>-9.9197164954084559E-3</v>
      </c>
      <c r="X165" s="6"/>
      <c r="AF165" s="38"/>
    </row>
    <row r="166" spans="1:32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29"/>
        <v>1.970843837875158E-4</v>
      </c>
      <c r="J166" s="6">
        <f t="shared" si="37"/>
        <v>4.236087617690229E-2</v>
      </c>
      <c r="K166" s="6">
        <f t="shared" si="37"/>
        <v>2.2039331166826617E-3</v>
      </c>
      <c r="L166" s="6">
        <f t="shared" si="37"/>
        <v>-2.0473527315899678E-4</v>
      </c>
      <c r="M166" s="6">
        <f t="shared" si="37"/>
        <v>-1.8703414262897906E-2</v>
      </c>
      <c r="N166" s="6">
        <f t="shared" si="37"/>
        <v>7.4172372058720279E-3</v>
      </c>
      <c r="O166" s="6">
        <f t="shared" si="30"/>
        <v>-1.9304451186457814E-3</v>
      </c>
      <c r="P166" s="6"/>
      <c r="Q166" s="6">
        <f t="shared" si="36"/>
        <v>1.3986433252985517E-3</v>
      </c>
      <c r="R166" s="6">
        <f t="shared" si="31"/>
        <v>-1.8703414262897906E-2</v>
      </c>
      <c r="S166" s="6">
        <f t="shared" si="32"/>
        <v>-2.0118397456890015E-4</v>
      </c>
      <c r="T166" s="6">
        <f t="shared" si="33"/>
        <v>2.5836001918722039E-6</v>
      </c>
      <c r="U166" s="6">
        <f t="shared" si="34"/>
        <v>1.1262283867483337E-2</v>
      </c>
      <c r="V166" s="6">
        <f t="shared" si="28"/>
        <v>4.8859733857940894E-3</v>
      </c>
      <c r="W166" s="6">
        <f t="shared" si="35"/>
        <v>-1.1906397367273999E-2</v>
      </c>
      <c r="X166" s="6"/>
      <c r="AF166" s="38"/>
    </row>
    <row r="167" spans="1:32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29"/>
        <v>1.9632261934998674E-4</v>
      </c>
      <c r="J167" s="6">
        <f t="shared" si="37"/>
        <v>8.5896815167550832E-3</v>
      </c>
      <c r="K167" s="6">
        <f t="shared" si="37"/>
        <v>-1.3125590939175541E-2</v>
      </c>
      <c r="L167" s="6">
        <f t="shared" si="37"/>
        <v>-6.6864291458487934E-2</v>
      </c>
      <c r="M167" s="6">
        <f t="shared" si="37"/>
        <v>-6.7217247231749887E-3</v>
      </c>
      <c r="N167" s="6">
        <f t="shared" si="37"/>
        <v>-1.4657607029448559E-2</v>
      </c>
      <c r="O167" s="6">
        <f t="shared" si="30"/>
        <v>-3.8726580030308149E-3</v>
      </c>
      <c r="P167" s="6"/>
      <c r="Q167" s="6">
        <f t="shared" si="36"/>
        <v>-3.1751665493877583E-2</v>
      </c>
      <c r="R167" s="6">
        <f t="shared" si="31"/>
        <v>-6.7217247231749887E-3</v>
      </c>
      <c r="S167" s="6">
        <f t="shared" si="32"/>
        <v>-2.3472500345368515E-2</v>
      </c>
      <c r="T167" s="6">
        <f t="shared" si="33"/>
        <v>6.1894844543981733E-4</v>
      </c>
      <c r="U167" s="6">
        <f t="shared" si="34"/>
        <v>-3.0722213773377343E-2</v>
      </c>
      <c r="V167" s="6">
        <f t="shared" si="28"/>
        <v>-1.726558269398883E-2</v>
      </c>
      <c r="W167" s="6">
        <f t="shared" si="35"/>
        <v>-2.2834824469105033E-2</v>
      </c>
      <c r="X167" s="6"/>
      <c r="AF167" s="38"/>
    </row>
    <row r="168" spans="1:32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29"/>
        <v>1.9517970175764177E-4</v>
      </c>
      <c r="J168" s="6">
        <f t="shared" si="37"/>
        <v>-2.2106106529132866E-2</v>
      </c>
      <c r="K168" s="6">
        <f t="shared" si="37"/>
        <v>-2.4050333635455131E-3</v>
      </c>
      <c r="L168" s="6">
        <f t="shared" si="37"/>
        <v>5.4697060967347623E-4</v>
      </c>
      <c r="M168" s="6">
        <f t="shared" si="37"/>
        <v>-4.3010263731349009E-3</v>
      </c>
      <c r="N168" s="6">
        <f t="shared" si="37"/>
        <v>-1.2094130563305876E-2</v>
      </c>
      <c r="O168" s="6">
        <f t="shared" si="30"/>
        <v>-5.8386414462252264E-3</v>
      </c>
      <c r="P168" s="6"/>
      <c r="Q168" s="6">
        <f t="shared" si="36"/>
        <v>-5.408262532863823E-3</v>
      </c>
      <c r="R168" s="6">
        <f t="shared" si="31"/>
        <v>-4.3010263731349009E-3</v>
      </c>
      <c r="S168" s="6">
        <f t="shared" si="32"/>
        <v>-6.3024239026598823E-3</v>
      </c>
      <c r="T168" s="6">
        <f t="shared" si="33"/>
        <v>5.9422484183279273E-5</v>
      </c>
      <c r="U168" s="6">
        <f t="shared" si="34"/>
        <v>-8.0560346422209727E-3</v>
      </c>
      <c r="V168" s="6">
        <f t="shared" si="28"/>
        <v>3.3415055183788839E-3</v>
      </c>
      <c r="W168" s="6">
        <f t="shared" si="35"/>
        <v>-3.0867543805027774E-3</v>
      </c>
      <c r="X168" s="6"/>
      <c r="AF168" s="38"/>
    </row>
    <row r="169" spans="1:32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29"/>
        <v>1.970843837875158E-4</v>
      </c>
      <c r="J169" s="6">
        <f t="shared" si="37"/>
        <v>-1.9353292388622649E-2</v>
      </c>
      <c r="K169" s="6">
        <f t="shared" si="37"/>
        <v>-1.3769359849297128E-3</v>
      </c>
      <c r="L169" s="6">
        <f t="shared" si="37"/>
        <v>-1.1493392825475091E-2</v>
      </c>
      <c r="M169" s="6">
        <f t="shared" si="37"/>
        <v>-9.2793792839827582E-3</v>
      </c>
      <c r="N169" s="6">
        <f t="shared" si="37"/>
        <v>-2.0586901863485071E-3</v>
      </c>
      <c r="O169" s="6">
        <f t="shared" si="30"/>
        <v>9.7112994492560816E-3</v>
      </c>
      <c r="P169" s="6"/>
      <c r="Q169" s="6">
        <f t="shared" si="36"/>
        <v>-1.2206787209889861E-2</v>
      </c>
      <c r="R169" s="6">
        <f t="shared" si="31"/>
        <v>-9.2793792839827582E-3</v>
      </c>
      <c r="S169" s="6">
        <f t="shared" si="32"/>
        <v>-1.2033784506767127E-2</v>
      </c>
      <c r="T169" s="6">
        <f t="shared" si="33"/>
        <v>1.8063248912417567E-4</v>
      </c>
      <c r="U169" s="6">
        <f t="shared" si="34"/>
        <v>-1.3815342991633499E-2</v>
      </c>
      <c r="V169" s="6">
        <f t="shared" si="28"/>
        <v>-1.3067319591951513E-2</v>
      </c>
      <c r="W169" s="6">
        <f t="shared" si="35"/>
        <v>-9.4797053932762394E-3</v>
      </c>
      <c r="X169" s="6"/>
      <c r="AF169" s="38"/>
    </row>
    <row r="170" spans="1:32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29"/>
        <v>1.9784600378991435E-4</v>
      </c>
      <c r="J170" s="6">
        <f t="shared" si="37"/>
        <v>-8.1807529156866562E-3</v>
      </c>
      <c r="K170" s="6">
        <f t="shared" si="37"/>
        <v>7.7206836858722564E-3</v>
      </c>
      <c r="L170" s="6">
        <f t="shared" si="37"/>
        <v>-3.9902601949420831E-3</v>
      </c>
      <c r="M170" s="6">
        <f t="shared" si="37"/>
        <v>1.8628149729069926E-3</v>
      </c>
      <c r="N170" s="6">
        <f t="shared" si="37"/>
        <v>-5.797336366096615E-3</v>
      </c>
      <c r="O170" s="6">
        <f t="shared" si="30"/>
        <v>3.8569883226659335E-3</v>
      </c>
      <c r="P170" s="6"/>
      <c r="Q170" s="6">
        <f t="shared" si="36"/>
        <v>-2.7480697702392705E-3</v>
      </c>
      <c r="R170" s="6">
        <f t="shared" si="31"/>
        <v>1.8628149729069926E-3</v>
      </c>
      <c r="S170" s="6">
        <f t="shared" si="32"/>
        <v>-2.0896794936671008E-3</v>
      </c>
      <c r="T170" s="6">
        <f t="shared" si="33"/>
        <v>1.2220992809414403E-5</v>
      </c>
      <c r="U170" s="6">
        <f t="shared" si="34"/>
        <v>-4.4330330001851647E-3</v>
      </c>
      <c r="V170" s="6">
        <f t="shared" si="28"/>
        <v>2.8922997086120415E-4</v>
      </c>
      <c r="W170" s="6">
        <f t="shared" si="35"/>
        <v>5.7619001005147503E-4</v>
      </c>
      <c r="X170" s="6"/>
      <c r="AF170" s="38"/>
    </row>
    <row r="171" spans="1:32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29"/>
        <v>1.9632261934998674E-4</v>
      </c>
      <c r="J171" s="6">
        <f t="shared" si="37"/>
        <v>-5.7307029681765223E-3</v>
      </c>
      <c r="K171" s="6">
        <f t="shared" si="37"/>
        <v>6.8132245978021052E-3</v>
      </c>
      <c r="L171" s="6">
        <f t="shared" si="37"/>
        <v>6.4760434973849422E-3</v>
      </c>
      <c r="M171" s="6">
        <f t="shared" si="37"/>
        <v>1.2943127412559438E-2</v>
      </c>
      <c r="N171" s="6">
        <f t="shared" si="37"/>
        <v>-2.2106328639260849E-3</v>
      </c>
      <c r="O171" s="6">
        <f t="shared" si="30"/>
        <v>-7.7296463256966716E-3</v>
      </c>
      <c r="P171" s="6"/>
      <c r="Q171" s="6">
        <f t="shared" si="36"/>
        <v>6.4197709950124119E-3</v>
      </c>
      <c r="R171" s="6">
        <f t="shared" si="31"/>
        <v>1.2943127412559438E-2</v>
      </c>
      <c r="S171" s="6">
        <f t="shared" si="32"/>
        <v>7.0183332644873963E-3</v>
      </c>
      <c r="T171" s="6">
        <f t="shared" si="33"/>
        <v>0</v>
      </c>
      <c r="U171" s="6">
        <f t="shared" si="34"/>
        <v>3.3853556405930804E-3</v>
      </c>
      <c r="V171" s="6">
        <f t="shared" si="28"/>
        <v>6.2105674347865542E-3</v>
      </c>
      <c r="W171" s="6">
        <f t="shared" si="35"/>
        <v>1.0666990895903001E-2</v>
      </c>
      <c r="X171" s="6"/>
      <c r="AF171" s="38"/>
    </row>
    <row r="172" spans="1:32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29"/>
        <v>2.0241269373766357E-4</v>
      </c>
      <c r="J172" s="6">
        <f t="shared" si="37"/>
        <v>-1.2287828139873455E-2</v>
      </c>
      <c r="K172" s="6">
        <f t="shared" si="37"/>
        <v>2.1162958107073866E-2</v>
      </c>
      <c r="L172" s="6">
        <f t="shared" si="37"/>
        <v>2.4793566191605932E-2</v>
      </c>
      <c r="M172" s="6">
        <f t="shared" si="37"/>
        <v>1.0962394432582713E-2</v>
      </c>
      <c r="N172" s="6">
        <f t="shared" si="37"/>
        <v>-8.7971023365461913E-3</v>
      </c>
      <c r="O172" s="6">
        <f t="shared" si="30"/>
        <v>3.0549328421036113E-2</v>
      </c>
      <c r="P172" s="6"/>
      <c r="Q172" s="6">
        <f t="shared" si="36"/>
        <v>1.2998195085247818E-2</v>
      </c>
      <c r="R172" s="6">
        <f t="shared" si="31"/>
        <v>1.0962394432582713E-2</v>
      </c>
      <c r="S172" s="6">
        <f t="shared" si="32"/>
        <v>1.0837688300914049E-2</v>
      </c>
      <c r="T172" s="6">
        <f t="shared" si="33"/>
        <v>0</v>
      </c>
      <c r="U172" s="6">
        <f t="shared" si="34"/>
        <v>9.7078482948200189E-3</v>
      </c>
      <c r="V172" s="6">
        <f t="shared" si="28"/>
        <v>1.4123463343404967E-2</v>
      </c>
      <c r="W172" s="6">
        <f t="shared" si="35"/>
        <v>1.5004093890785761E-2</v>
      </c>
      <c r="X172" s="6"/>
      <c r="AF172" s="38"/>
    </row>
    <row r="173" spans="1:32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29"/>
        <v>2.0165193919474689E-4</v>
      </c>
      <c r="J173" s="6">
        <f t="shared" si="37"/>
        <v>5.07788929321121E-3</v>
      </c>
      <c r="K173" s="6">
        <f t="shared" si="37"/>
        <v>6.2956618817539729E-3</v>
      </c>
      <c r="L173" s="6">
        <f t="shared" si="37"/>
        <v>1.9243130694284457E-2</v>
      </c>
      <c r="M173" s="6">
        <f t="shared" si="37"/>
        <v>-1.2187931160931781E-2</v>
      </c>
      <c r="N173" s="6">
        <f t="shared" si="37"/>
        <v>8.6933277348877659E-3</v>
      </c>
      <c r="O173" s="6">
        <f t="shared" si="30"/>
        <v>-3.7655136322931222E-3</v>
      </c>
      <c r="P173" s="6"/>
      <c r="Q173" s="6">
        <f t="shared" si="36"/>
        <v>5.6578222734599698E-3</v>
      </c>
      <c r="R173" s="6">
        <f t="shared" si="31"/>
        <v>-1.2187931160931781E-2</v>
      </c>
      <c r="S173" s="6">
        <f t="shared" si="32"/>
        <v>1.7097035340701856E-3</v>
      </c>
      <c r="T173" s="6">
        <f t="shared" si="33"/>
        <v>0</v>
      </c>
      <c r="U173" s="6">
        <f t="shared" si="34"/>
        <v>9.0306849465007707E-3</v>
      </c>
      <c r="V173" s="6">
        <f t="shared" si="28"/>
        <v>1.7247322294221927E-3</v>
      </c>
      <c r="W173" s="6">
        <f t="shared" si="35"/>
        <v>-2.5751542394900602E-3</v>
      </c>
      <c r="X173" s="6"/>
      <c r="AF173" s="38"/>
    </row>
    <row r="174" spans="1:32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29"/>
        <v>2.0012999773522111E-4</v>
      </c>
      <c r="J174" s="6">
        <f t="shared" si="37"/>
        <v>6.3713730744178647E-3</v>
      </c>
      <c r="K174" s="6">
        <f t="shared" si="37"/>
        <v>1.4852540987510795E-3</v>
      </c>
      <c r="L174" s="6">
        <f t="shared" si="37"/>
        <v>1.4310268539026554E-2</v>
      </c>
      <c r="M174" s="6">
        <f t="shared" si="37"/>
        <v>1.1582000481511069E-2</v>
      </c>
      <c r="N174" s="6">
        <f t="shared" si="37"/>
        <v>1.1893624576650831E-2</v>
      </c>
      <c r="O174" s="6">
        <f t="shared" si="30"/>
        <v>-7.5759938366260346E-3</v>
      </c>
      <c r="P174" s="6"/>
      <c r="Q174" s="6">
        <f t="shared" si="36"/>
        <v>1.1865824901909329E-2</v>
      </c>
      <c r="R174" s="6">
        <f t="shared" si="31"/>
        <v>1.1582000481511069E-2</v>
      </c>
      <c r="S174" s="6">
        <f t="shared" si="32"/>
        <v>1.1407950087110739E-2</v>
      </c>
      <c r="T174" s="6">
        <f t="shared" si="33"/>
        <v>0</v>
      </c>
      <c r="U174" s="6">
        <f t="shared" si="34"/>
        <v>1.112014394865507E-2</v>
      </c>
      <c r="V174" s="6">
        <f t="shared" si="28"/>
        <v>1.3945911370089915E-3</v>
      </c>
      <c r="W174" s="6">
        <f t="shared" si="35"/>
        <v>1.1626302545687911E-2</v>
      </c>
      <c r="X174" s="6"/>
      <c r="AF174" s="38"/>
    </row>
    <row r="175" spans="1:32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29"/>
        <v>2.0127150788695758E-4</v>
      </c>
      <c r="J175" s="6">
        <f t="shared" si="37"/>
        <v>1.2622341953280228E-2</v>
      </c>
      <c r="K175" s="6">
        <f t="shared" si="37"/>
        <v>1.4895089026447495E-2</v>
      </c>
      <c r="L175" s="6">
        <f t="shared" si="37"/>
        <v>4.8803897357337367E-3</v>
      </c>
      <c r="M175" s="6">
        <f t="shared" si="37"/>
        <v>1.8613569807513386E-2</v>
      </c>
      <c r="N175" s="6">
        <f t="shared" si="37"/>
        <v>2.1297196541228134E-4</v>
      </c>
      <c r="O175" s="6">
        <f t="shared" si="30"/>
        <v>5.6876380033150228E-3</v>
      </c>
      <c r="P175" s="6"/>
      <c r="Q175" s="6">
        <f t="shared" si="36"/>
        <v>1.1109028470256506E-2</v>
      </c>
      <c r="R175" s="6">
        <f t="shared" si="31"/>
        <v>1.8613569807513386E-2</v>
      </c>
      <c r="S175" s="6">
        <f t="shared" si="32"/>
        <v>1.2863876116807173E-2</v>
      </c>
      <c r="T175" s="6">
        <f t="shared" si="33"/>
        <v>0</v>
      </c>
      <c r="U175" s="6">
        <f t="shared" si="34"/>
        <v>9.8756501529068501E-3</v>
      </c>
      <c r="V175" s="6">
        <f t="shared" si="28"/>
        <v>9.0530376384269379E-3</v>
      </c>
      <c r="W175" s="6">
        <f t="shared" si="35"/>
        <v>1.4698011539149732E-2</v>
      </c>
      <c r="X175" s="6"/>
      <c r="AF175" s="38"/>
    </row>
    <row r="176" spans="1:32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29"/>
        <v>2.0203233447624314E-4</v>
      </c>
      <c r="J176" s="6">
        <f t="shared" si="37"/>
        <v>5.1340934294748482E-3</v>
      </c>
      <c r="K176" s="6">
        <f t="shared" si="37"/>
        <v>3.082230575187468E-3</v>
      </c>
      <c r="L176" s="6">
        <f t="shared" si="37"/>
        <v>1.500784386497234E-3</v>
      </c>
      <c r="M176" s="6">
        <f t="shared" si="37"/>
        <v>-1.377680211997016E-2</v>
      </c>
      <c r="N176" s="6">
        <f t="shared" si="37"/>
        <v>-4.5869419014574458E-3</v>
      </c>
      <c r="O176" s="6">
        <f t="shared" si="30"/>
        <v>3.7729741793627114E-3</v>
      </c>
      <c r="P176" s="6"/>
      <c r="Q176" s="6">
        <f t="shared" si="36"/>
        <v>-3.1190345182653184E-3</v>
      </c>
      <c r="R176" s="6">
        <f t="shared" si="31"/>
        <v>-1.377680211997016E-2</v>
      </c>
      <c r="S176" s="6">
        <f t="shared" si="32"/>
        <v>-4.8774602592387209E-3</v>
      </c>
      <c r="T176" s="6">
        <f t="shared" si="33"/>
        <v>3.9484061589337935E-5</v>
      </c>
      <c r="U176" s="6">
        <f t="shared" si="34"/>
        <v>1.4843382175140293E-4</v>
      </c>
      <c r="V176" s="6">
        <f t="shared" si="28"/>
        <v>3.8044433532002262E-3</v>
      </c>
      <c r="W176" s="6">
        <f t="shared" si="35"/>
        <v>-8.5111611456977886E-3</v>
      </c>
      <c r="X176" s="6"/>
      <c r="AF176" s="38"/>
    </row>
    <row r="177" spans="1:32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29"/>
        <v>2.0127150788695758E-4</v>
      </c>
      <c r="J177" s="6">
        <f t="shared" si="37"/>
        <v>-3.4788581331064421E-3</v>
      </c>
      <c r="K177" s="6">
        <f t="shared" si="37"/>
        <v>0</v>
      </c>
      <c r="L177" s="6">
        <f t="shared" si="37"/>
        <v>6.2045885918183598E-4</v>
      </c>
      <c r="M177" s="6">
        <f t="shared" si="37"/>
        <v>1.020115925682203E-2</v>
      </c>
      <c r="N177" s="6">
        <f t="shared" si="37"/>
        <v>1.0157373516560254E-2</v>
      </c>
      <c r="O177" s="6">
        <f t="shared" si="30"/>
        <v>-3.7729741793627526E-3</v>
      </c>
      <c r="P177" s="6"/>
      <c r="Q177" s="6">
        <f t="shared" si="36"/>
        <v>3.174219385139748E-3</v>
      </c>
      <c r="R177" s="6">
        <f t="shared" si="31"/>
        <v>1.020115925682203E-2</v>
      </c>
      <c r="S177" s="6">
        <f t="shared" si="32"/>
        <v>4.2524407185034613E-3</v>
      </c>
      <c r="T177" s="6">
        <f t="shared" si="33"/>
        <v>0</v>
      </c>
      <c r="U177" s="6">
        <f t="shared" si="34"/>
        <v>8.4333875562065286E-4</v>
      </c>
      <c r="V177" s="6">
        <f t="shared" si="28"/>
        <v>-7.7627977066153046E-3</v>
      </c>
      <c r="W177" s="6">
        <f t="shared" si="35"/>
        <v>6.9032817263262576E-3</v>
      </c>
      <c r="X177" s="6"/>
      <c r="AF177" s="38"/>
    </row>
    <row r="178" spans="1:32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29"/>
        <v>2.0203233447624314E-4</v>
      </c>
      <c r="J178" s="6">
        <f t="shared" si="37"/>
        <v>2.4505258851654717E-2</v>
      </c>
      <c r="K178" s="6">
        <f t="shared" si="37"/>
        <v>4.8472846158211921E-3</v>
      </c>
      <c r="L178" s="6">
        <f t="shared" si="37"/>
        <v>-1.0859387138235847E-3</v>
      </c>
      <c r="M178" s="6">
        <f t="shared" si="37"/>
        <v>1.5990897700798735E-2</v>
      </c>
      <c r="N178" s="6">
        <f t="shared" si="37"/>
        <v>3.1734156874775382E-3</v>
      </c>
      <c r="O178" s="6">
        <f t="shared" si="30"/>
        <v>3.7729741793627114E-3</v>
      </c>
      <c r="P178" s="6"/>
      <c r="Q178" s="6">
        <f t="shared" si="36"/>
        <v>9.6696815936590415E-3</v>
      </c>
      <c r="R178" s="6">
        <f t="shared" si="31"/>
        <v>1.5990897700798735E-2</v>
      </c>
      <c r="S178" s="6">
        <f t="shared" si="32"/>
        <v>1.2060392030645737E-2</v>
      </c>
      <c r="T178" s="6">
        <f t="shared" si="33"/>
        <v>0</v>
      </c>
      <c r="U178" s="6">
        <f t="shared" si="34"/>
        <v>1.0606916886751746E-2</v>
      </c>
      <c r="V178" s="6">
        <f t="shared" si="28"/>
        <v>7.3667363654632556E-3</v>
      </c>
      <c r="W178" s="6">
        <f t="shared" si="35"/>
        <v>1.0883479362833565E-2</v>
      </c>
      <c r="X178" s="6"/>
      <c r="AF178" s="38"/>
    </row>
    <row r="179" spans="1:32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29"/>
        <v>2.0165193919474689E-4</v>
      </c>
      <c r="J179" s="6">
        <f t="shared" si="37"/>
        <v>-1.8439790545778333E-2</v>
      </c>
      <c r="K179" s="6">
        <f t="shared" si="37"/>
        <v>-4.3615431401830369E-3</v>
      </c>
      <c r="L179" s="6">
        <f t="shared" si="37"/>
        <v>-7.9996022089060346E-3</v>
      </c>
      <c r="M179" s="6">
        <f t="shared" si="37"/>
        <v>-7.6674124514332052E-3</v>
      </c>
      <c r="N179" s="6">
        <f t="shared" si="37"/>
        <v>-1.5855554753445709E-2</v>
      </c>
      <c r="O179" s="6">
        <f t="shared" si="30"/>
        <v>-1.8846183460518033E-3</v>
      </c>
      <c r="P179" s="6"/>
      <c r="Q179" s="6">
        <f t="shared" si="36"/>
        <v>-9.8530188220604595E-3</v>
      </c>
      <c r="R179" s="6">
        <f t="shared" si="31"/>
        <v>-7.6674124514332052E-3</v>
      </c>
      <c r="S179" s="6">
        <f t="shared" si="32"/>
        <v>-9.9512383341314216E-3</v>
      </c>
      <c r="T179" s="6">
        <f t="shared" si="33"/>
        <v>1.289908186968632E-4</v>
      </c>
      <c r="U179" s="6">
        <f t="shared" si="34"/>
        <v>-1.1527740612763706E-2</v>
      </c>
      <c r="V179" s="6">
        <f t="shared" si="28"/>
        <v>2.7720572628331767E-3</v>
      </c>
      <c r="W179" s="6">
        <f t="shared" si="35"/>
        <v>-7.661563127639456E-3</v>
      </c>
      <c r="X179" s="6"/>
      <c r="AF179" s="38"/>
    </row>
    <row r="180" spans="1:32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29"/>
        <v>2.0127150788695758E-4</v>
      </c>
      <c r="J180" s="6">
        <f t="shared" si="37"/>
        <v>-6.0654683058762593E-3</v>
      </c>
      <c r="K180" s="6">
        <f t="shared" si="37"/>
        <v>2.5869042305606007E-3</v>
      </c>
      <c r="L180" s="6">
        <f t="shared" si="37"/>
        <v>6.2565312240965142E-4</v>
      </c>
      <c r="M180" s="6">
        <f t="shared" si="37"/>
        <v>1.7746003431574375E-3</v>
      </c>
      <c r="N180" s="6">
        <f t="shared" si="37"/>
        <v>-3.4413923648739225E-3</v>
      </c>
      <c r="O180" s="6">
        <f t="shared" si="30"/>
        <v>-1.8883558333109205E-3</v>
      </c>
      <c r="P180" s="6"/>
      <c r="Q180" s="6">
        <f t="shared" si="36"/>
        <v>-2.3717059005747476E-4</v>
      </c>
      <c r="R180" s="6">
        <f t="shared" si="31"/>
        <v>1.7746003431574375E-3</v>
      </c>
      <c r="S180" s="6">
        <f t="shared" si="32"/>
        <v>-1.8982088952154274E-4</v>
      </c>
      <c r="T180" s="6">
        <f t="shared" si="33"/>
        <v>2.5472002170695827E-6</v>
      </c>
      <c r="U180" s="6">
        <f t="shared" si="34"/>
        <v>-1.4762409813490716E-3</v>
      </c>
      <c r="V180" s="6">
        <f t="shared" si="28"/>
        <v>1.792210415570053E-3</v>
      </c>
      <c r="W180" s="6">
        <f t="shared" si="35"/>
        <v>1.4411447149832758E-3</v>
      </c>
      <c r="X180" s="6"/>
      <c r="AF180" s="38"/>
    </row>
    <row r="181" spans="1:32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29"/>
        <v>2.0051053716385603E-4</v>
      </c>
      <c r="J181" s="6">
        <f t="shared" si="37"/>
        <v>2.1792612899963495E-2</v>
      </c>
      <c r="K181" s="6">
        <f t="shared" si="37"/>
        <v>9.683988994642935E-4</v>
      </c>
      <c r="L181" s="6">
        <f t="shared" si="37"/>
        <v>-1.0429762752333207E-3</v>
      </c>
      <c r="M181" s="6">
        <f t="shared" si="37"/>
        <v>-5.9277432873759113E-3</v>
      </c>
      <c r="N181" s="6">
        <f t="shared" si="37"/>
        <v>9.0870134013374317E-3</v>
      </c>
      <c r="O181" s="6">
        <f t="shared" si="30"/>
        <v>-3.7879822774249021E-3</v>
      </c>
      <c r="P181" s="6"/>
      <c r="Q181" s="6">
        <f t="shared" si="36"/>
        <v>1.5670797038191092E-3</v>
      </c>
      <c r="R181" s="6">
        <f t="shared" si="31"/>
        <v>-5.9277432873759113E-3</v>
      </c>
      <c r="S181" s="6">
        <f t="shared" si="32"/>
        <v>1.3077869686993768E-3</v>
      </c>
      <c r="T181" s="6">
        <f t="shared" si="33"/>
        <v>9.6800405815982681E-9</v>
      </c>
      <c r="U181" s="6">
        <f t="shared" si="34"/>
        <v>5.9664254737560995E-3</v>
      </c>
      <c r="V181" s="6">
        <f t="shared" si="28"/>
        <v>-1.6868713537296562E-3</v>
      </c>
      <c r="W181" s="6">
        <f t="shared" si="35"/>
        <v>-3.9294129061623112E-3</v>
      </c>
      <c r="X181" s="6"/>
      <c r="AF181" s="38"/>
    </row>
    <row r="182" spans="1:32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29"/>
        <v>2.0165193919474689E-4</v>
      </c>
      <c r="J182" s="6">
        <f t="shared" si="37"/>
        <v>5.8095544508652106E-2</v>
      </c>
      <c r="K182" s="6">
        <f t="shared" si="37"/>
        <v>2.8994529241732746E-3</v>
      </c>
      <c r="L182" s="6">
        <f t="shared" si="37"/>
        <v>-6.0183515082071516E-3</v>
      </c>
      <c r="M182" s="6">
        <f t="shared" si="37"/>
        <v>1.7820997373106853E-3</v>
      </c>
      <c r="N182" s="6">
        <f t="shared" si="37"/>
        <v>1.247858860899914E-2</v>
      </c>
      <c r="O182" s="6">
        <f t="shared" si="30"/>
        <v>5.6763381107358766E-3</v>
      </c>
      <c r="P182" s="6"/>
      <c r="Q182" s="6">
        <f t="shared" si="36"/>
        <v>8.780591632080675E-3</v>
      </c>
      <c r="R182" s="6">
        <f t="shared" si="31"/>
        <v>1.7820997373106853E-3</v>
      </c>
      <c r="S182" s="6">
        <f t="shared" si="32"/>
        <v>1.0610252547651017E-2</v>
      </c>
      <c r="T182" s="6">
        <f t="shared" si="33"/>
        <v>0</v>
      </c>
      <c r="U182" s="6">
        <f t="shared" si="34"/>
        <v>1.7322777895280736E-2</v>
      </c>
      <c r="V182" s="6">
        <f t="shared" si="28"/>
        <v>5.6016652126570808E-3</v>
      </c>
      <c r="W182" s="6">
        <f t="shared" si="35"/>
        <v>3.6852849962763627E-4</v>
      </c>
      <c r="X182" s="6"/>
      <c r="AF182" s="38"/>
    </row>
    <row r="183" spans="1:32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29"/>
        <v>2.0317330422892077E-4</v>
      </c>
      <c r="J183" s="6">
        <f t="shared" si="37"/>
        <v>-9.1483674173388676E-3</v>
      </c>
      <c r="K183" s="6">
        <f t="shared" si="37"/>
        <v>2.8910542328630683E-3</v>
      </c>
      <c r="L183" s="6">
        <f t="shared" si="37"/>
        <v>7.7907210062601899E-3</v>
      </c>
      <c r="M183" s="6">
        <f t="shared" si="37"/>
        <v>8.2741716697485573E-3</v>
      </c>
      <c r="N183" s="6">
        <f t="shared" si="37"/>
        <v>1.0273136069376812E-2</v>
      </c>
      <c r="O183" s="6">
        <f t="shared" si="30"/>
        <v>7.5161923378373003E-3</v>
      </c>
      <c r="P183" s="6"/>
      <c r="Q183" s="6">
        <f t="shared" si="36"/>
        <v>4.7642934321786628E-3</v>
      </c>
      <c r="R183" s="6">
        <f t="shared" si="31"/>
        <v>8.2741716697485573E-3</v>
      </c>
      <c r="S183" s="6">
        <f t="shared" si="32"/>
        <v>4.5777776179351309E-3</v>
      </c>
      <c r="T183" s="6">
        <f t="shared" si="33"/>
        <v>0</v>
      </c>
      <c r="U183" s="6">
        <f t="shared" si="34"/>
        <v>2.0569073468983037E-3</v>
      </c>
      <c r="V183" s="6">
        <f t="shared" si="28"/>
        <v>-7.9092246644029991E-3</v>
      </c>
      <c r="W183" s="6">
        <f t="shared" si="35"/>
        <v>7.6363074959801174E-3</v>
      </c>
      <c r="X183" s="6"/>
      <c r="AF183" s="38"/>
    </row>
    <row r="184" spans="1:32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29"/>
        <v>2.0317330422892077E-4</v>
      </c>
      <c r="J184" s="6">
        <f t="shared" si="37"/>
        <v>3.7898712813242458E-3</v>
      </c>
      <c r="K184" s="6">
        <f t="shared" si="37"/>
        <v>4.3210584019733201E-3</v>
      </c>
      <c r="L184" s="6">
        <f t="shared" si="37"/>
        <v>-1.3029561227812455E-3</v>
      </c>
      <c r="M184" s="6">
        <f t="shared" si="37"/>
        <v>5.283244107095986E-3</v>
      </c>
      <c r="N184" s="6">
        <f t="shared" si="37"/>
        <v>1.3425358193505205E-3</v>
      </c>
      <c r="O184" s="6">
        <f t="shared" si="30"/>
        <v>0</v>
      </c>
      <c r="P184" s="6"/>
      <c r="Q184" s="6">
        <f t="shared" si="36"/>
        <v>1.9444124536094434E-3</v>
      </c>
      <c r="R184" s="6">
        <f t="shared" si="31"/>
        <v>5.283244107095986E-3</v>
      </c>
      <c r="S184" s="6">
        <f t="shared" si="32"/>
        <v>2.8066758993997624E-3</v>
      </c>
      <c r="T184" s="6">
        <f t="shared" si="33"/>
        <v>0</v>
      </c>
      <c r="U184" s="6">
        <f t="shared" si="34"/>
        <v>1.5664850078578271E-3</v>
      </c>
      <c r="V184" s="6">
        <f t="shared" si="28"/>
        <v>3.7344949928157863E-4</v>
      </c>
      <c r="W184" s="6">
        <f t="shared" si="35"/>
        <v>3.4701616593994064E-3</v>
      </c>
      <c r="X184" s="6"/>
      <c r="AF184" s="38"/>
    </row>
    <row r="185" spans="1:32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29"/>
        <v>2.0279301698633567E-4</v>
      </c>
      <c r="J185" s="6">
        <f t="shared" si="37"/>
        <v>1.8624377821563668E-3</v>
      </c>
      <c r="K185" s="6">
        <f t="shared" si="37"/>
        <v>3.666217842342803E-3</v>
      </c>
      <c r="L185" s="6">
        <f t="shared" si="37"/>
        <v>2.0134915133947339E-2</v>
      </c>
      <c r="M185" s="6">
        <f t="shared" si="37"/>
        <v>1.7549955781686565E-3</v>
      </c>
      <c r="N185" s="6">
        <f t="shared" si="37"/>
        <v>-5.7829262956225704E-6</v>
      </c>
      <c r="O185" s="6">
        <f t="shared" si="30"/>
        <v>-1.8734921294941596E-3</v>
      </c>
      <c r="P185" s="6"/>
      <c r="Q185" s="6">
        <f t="shared" si="36"/>
        <v>1.0306946428237283E-2</v>
      </c>
      <c r="R185" s="6">
        <f t="shared" si="31"/>
        <v>1.7549955781686565E-3</v>
      </c>
      <c r="S185" s="6">
        <f t="shared" si="32"/>
        <v>7.8429683452229584E-3</v>
      </c>
      <c r="T185" s="6">
        <f t="shared" si="33"/>
        <v>0</v>
      </c>
      <c r="U185" s="6">
        <f t="shared" si="34"/>
        <v>1.0733211460410163E-2</v>
      </c>
      <c r="V185" s="6">
        <f t="shared" si="28"/>
        <v>1.0946976253773756E-2</v>
      </c>
      <c r="W185" s="6">
        <f t="shared" si="35"/>
        <v>6.7254318709192998E-3</v>
      </c>
      <c r="X185" s="6"/>
      <c r="AF185" s="38"/>
    </row>
    <row r="186" spans="1:32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29"/>
        <v>2.0469409327517063E-4</v>
      </c>
      <c r="J186" s="6">
        <f t="shared" si="37"/>
        <v>9.9644209184128335E-3</v>
      </c>
      <c r="K186" s="6">
        <f t="shared" si="37"/>
        <v>4.7729304993157585E-4</v>
      </c>
      <c r="L186" s="6">
        <f t="shared" si="37"/>
        <v>9.4112742907778765E-3</v>
      </c>
      <c r="M186" s="6">
        <f t="shared" si="37"/>
        <v>4.0827757174903999E-3</v>
      </c>
      <c r="N186" s="6">
        <f t="shared" si="37"/>
        <v>5.0780025958913483E-3</v>
      </c>
      <c r="O186" s="6">
        <f t="shared" si="30"/>
        <v>9.3307986135110887E-3</v>
      </c>
      <c r="P186" s="6"/>
      <c r="Q186" s="6">
        <f t="shared" si="36"/>
        <v>7.665322191569535E-3</v>
      </c>
      <c r="R186" s="6">
        <f t="shared" si="31"/>
        <v>4.0827757174903999E-3</v>
      </c>
      <c r="S186" s="6">
        <f t="shared" si="32"/>
        <v>7.024070718026687E-3</v>
      </c>
      <c r="T186" s="6">
        <f t="shared" si="33"/>
        <v>0</v>
      </c>
      <c r="U186" s="6">
        <f t="shared" si="34"/>
        <v>8.6944234892695708E-3</v>
      </c>
      <c r="V186" s="6">
        <f t="shared" si="28"/>
        <v>3.1428437141851067E-3</v>
      </c>
      <c r="W186" s="6">
        <f t="shared" si="35"/>
        <v>5.3271935217706051E-3</v>
      </c>
      <c r="X186" s="6"/>
      <c r="AF186" s="38"/>
    </row>
    <row r="187" spans="1:32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29"/>
        <v>2.0317330422892077E-4</v>
      </c>
      <c r="J187" s="6">
        <f t="shared" si="37"/>
        <v>-6.9140777525400921E-3</v>
      </c>
      <c r="K187" s="6">
        <f t="shared" si="37"/>
        <v>6.0250352963449492E-3</v>
      </c>
      <c r="L187" s="6">
        <f t="shared" si="37"/>
        <v>6.4097849393042125E-3</v>
      </c>
      <c r="M187" s="6">
        <f t="shared" si="37"/>
        <v>-5.8223411107649701E-4</v>
      </c>
      <c r="N187" s="6">
        <f t="shared" si="37"/>
        <v>1.6480214063461682E-3</v>
      </c>
      <c r="O187" s="6">
        <f t="shared" si="30"/>
        <v>-7.4573064840169363E-3</v>
      </c>
      <c r="P187" s="6"/>
      <c r="Q187" s="6">
        <f t="shared" si="36"/>
        <v>1.4693270284983578E-3</v>
      </c>
      <c r="R187" s="6">
        <f t="shared" si="31"/>
        <v>-5.8223411107649701E-4</v>
      </c>
      <c r="S187" s="6">
        <f t="shared" si="32"/>
        <v>4.5495936495285223E-4</v>
      </c>
      <c r="T187" s="6">
        <f t="shared" si="33"/>
        <v>9.0480959762410561E-7</v>
      </c>
      <c r="U187" s="6">
        <f t="shared" si="34"/>
        <v>6.4513411552793597E-4</v>
      </c>
      <c r="V187" s="6">
        <f t="shared" si="28"/>
        <v>1.105165195758491E-5</v>
      </c>
      <c r="W187" s="6">
        <f t="shared" si="35"/>
        <v>1.6058924526116672E-3</v>
      </c>
      <c r="X187" s="6"/>
      <c r="AF187" s="38"/>
    </row>
    <row r="188" spans="1:32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29"/>
        <v>2.0127150788695758E-4</v>
      </c>
      <c r="J188" s="6">
        <f t="shared" si="37"/>
        <v>1.7491613013872163E-2</v>
      </c>
      <c r="K188" s="6">
        <f t="shared" si="37"/>
        <v>5.0457831514656758E-3</v>
      </c>
      <c r="L188" s="6">
        <f t="shared" si="37"/>
        <v>-2.0125493872400897E-4</v>
      </c>
      <c r="M188" s="6">
        <f t="shared" si="37"/>
        <v>5.2280020464313707E-3</v>
      </c>
      <c r="N188" s="6">
        <f t="shared" si="37"/>
        <v>-2.4128455417182781E-4</v>
      </c>
      <c r="O188" s="6">
        <f t="shared" si="30"/>
        <v>-9.4045481711482436E-3</v>
      </c>
      <c r="P188" s="6"/>
      <c r="Q188" s="6">
        <f t="shared" si="36"/>
        <v>5.0204393806284192E-3</v>
      </c>
      <c r="R188" s="6">
        <f t="shared" si="31"/>
        <v>5.2280020464313707E-3</v>
      </c>
      <c r="S188" s="6">
        <f t="shared" si="32"/>
        <v>5.9192291262739564E-3</v>
      </c>
      <c r="T188" s="6">
        <f t="shared" si="33"/>
        <v>0</v>
      </c>
      <c r="U188" s="6">
        <f t="shared" si="34"/>
        <v>6.7975639391777585E-3</v>
      </c>
      <c r="V188" s="6">
        <f t="shared" si="28"/>
        <v>8.059238965394705E-3</v>
      </c>
      <c r="W188" s="6">
        <f t="shared" si="35"/>
        <v>3.9092303205777836E-3</v>
      </c>
      <c r="X188" s="6"/>
      <c r="AF188" s="38"/>
    </row>
    <row r="189" spans="1:32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29"/>
        <v>1.9974942225231551E-4</v>
      </c>
      <c r="J189" s="6">
        <f t="shared" si="37"/>
        <v>6.1545058292852206E-3</v>
      </c>
      <c r="K189" s="6">
        <f t="shared" si="37"/>
        <v>-7.578230471947678E-3</v>
      </c>
      <c r="L189" s="6">
        <f t="shared" si="37"/>
        <v>1.3891880096165623E-2</v>
      </c>
      <c r="M189" s="6">
        <f t="shared" si="37"/>
        <v>2.3147859350525577E-3</v>
      </c>
      <c r="N189" s="6">
        <f t="shared" si="37"/>
        <v>4.8261000617198218E-3</v>
      </c>
      <c r="O189" s="6">
        <f t="shared" si="30"/>
        <v>-7.5910897879736695E-3</v>
      </c>
      <c r="P189" s="6"/>
      <c r="Q189" s="6">
        <f t="shared" si="36"/>
        <v>8.4127816038800408E-3</v>
      </c>
      <c r="R189" s="6">
        <f t="shared" si="31"/>
        <v>2.3147859350525577E-3</v>
      </c>
      <c r="S189" s="6">
        <f t="shared" si="32"/>
        <v>6.8918684653575916E-3</v>
      </c>
      <c r="T189" s="6">
        <f t="shared" si="33"/>
        <v>0</v>
      </c>
      <c r="U189" s="6">
        <f t="shared" si="34"/>
        <v>9.2651026588087271E-3</v>
      </c>
      <c r="V189" s="6">
        <f t="shared" si="28"/>
        <v>5.8217394408405839E-3</v>
      </c>
      <c r="W189" s="6">
        <f t="shared" si="35"/>
        <v>4.8000107134819059E-3</v>
      </c>
      <c r="X189" s="6"/>
      <c r="AF189" s="38"/>
    </row>
    <row r="190" spans="1:32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29"/>
        <v>1.9974942225231551E-4</v>
      </c>
      <c r="J190" s="6">
        <f t="shared" si="37"/>
        <v>1.2143861705092206E-2</v>
      </c>
      <c r="K190" s="6">
        <f t="shared" si="37"/>
        <v>4.7533860586955039E-4</v>
      </c>
      <c r="L190" s="6">
        <f t="shared" si="37"/>
        <v>2.9731023414911141E-3</v>
      </c>
      <c r="M190" s="6">
        <f t="shared" si="37"/>
        <v>1.732579879352201E-3</v>
      </c>
      <c r="N190" s="6">
        <f t="shared" si="37"/>
        <v>1.1647879688045933E-2</v>
      </c>
      <c r="O190" s="6">
        <f t="shared" si="30"/>
        <v>0</v>
      </c>
      <c r="P190" s="6"/>
      <c r="Q190" s="6">
        <f t="shared" si="36"/>
        <v>4.2717270258639259E-3</v>
      </c>
      <c r="R190" s="6">
        <f t="shared" si="31"/>
        <v>1.732579879352201E-3</v>
      </c>
      <c r="S190" s="6">
        <f t="shared" si="32"/>
        <v>4.2468257522370566E-3</v>
      </c>
      <c r="T190" s="6">
        <f t="shared" si="33"/>
        <v>0</v>
      </c>
      <c r="U190" s="6">
        <f t="shared" si="34"/>
        <v>5.9108034745285441E-3</v>
      </c>
      <c r="V190" s="6">
        <f t="shared" si="28"/>
        <v>-4.4400071833095994E-3</v>
      </c>
      <c r="W190" s="6">
        <f t="shared" si="35"/>
        <v>2.0890989308159384E-3</v>
      </c>
      <c r="X190" s="6"/>
      <c r="AF190" s="38"/>
    </row>
    <row r="191" spans="1:32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29"/>
        <v>2.0012999773522111E-4</v>
      </c>
      <c r="J191" s="6">
        <f t="shared" si="37"/>
        <v>6.3229391275216771E-4</v>
      </c>
      <c r="K191" s="6">
        <f t="shared" si="37"/>
        <v>3.0051413878821489E-3</v>
      </c>
      <c r="L191" s="6">
        <f t="shared" si="37"/>
        <v>1.7796277524522572E-3</v>
      </c>
      <c r="M191" s="6">
        <f t="shared" si="37"/>
        <v>-1.732579879352136E-3</v>
      </c>
      <c r="N191" s="6">
        <f t="shared" si="37"/>
        <v>-2.08387430730016E-3</v>
      </c>
      <c r="O191" s="6">
        <f t="shared" si="30"/>
        <v>1.9034517846586623E-3</v>
      </c>
      <c r="P191" s="6"/>
      <c r="Q191" s="6">
        <f t="shared" si="36"/>
        <v>3.4369327068218874E-4</v>
      </c>
      <c r="R191" s="6">
        <f t="shared" si="31"/>
        <v>-1.732579879352136E-3</v>
      </c>
      <c r="S191" s="6">
        <f t="shared" si="32"/>
        <v>-8.6363351387619197E-5</v>
      </c>
      <c r="T191" s="6">
        <f t="shared" si="33"/>
        <v>2.2276682406416125E-6</v>
      </c>
      <c r="U191" s="6">
        <f t="shared" si="34"/>
        <v>7.8799873810917506E-4</v>
      </c>
      <c r="V191" s="6">
        <f t="shared" si="28"/>
        <v>2.4278577116548976E-3</v>
      </c>
      <c r="W191" s="6">
        <f t="shared" si="35"/>
        <v>-4.8920206154225133E-4</v>
      </c>
      <c r="X191" s="6"/>
      <c r="AF191" s="38"/>
    </row>
    <row r="192" spans="1:32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29"/>
        <v>2.0012999773522111E-4</v>
      </c>
      <c r="J192" s="6">
        <f t="shared" si="37"/>
        <v>1.5802948487189222E-4</v>
      </c>
      <c r="K192" s="6">
        <f t="shared" si="37"/>
        <v>-4.5904615610439566E-3</v>
      </c>
      <c r="L192" s="6">
        <f t="shared" si="37"/>
        <v>1.1393284747523526E-2</v>
      </c>
      <c r="M192" s="6">
        <f t="shared" si="37"/>
        <v>5.7637472026845571E-3</v>
      </c>
      <c r="N192" s="6">
        <f t="shared" si="37"/>
        <v>1.1641104408194052E-3</v>
      </c>
      <c r="O192" s="6">
        <f t="shared" si="30"/>
        <v>0</v>
      </c>
      <c r="P192" s="6"/>
      <c r="Q192" s="6">
        <f t="shared" si="36"/>
        <v>7.319794057533734E-3</v>
      </c>
      <c r="R192" s="6">
        <f t="shared" si="31"/>
        <v>5.7637472026845571E-3</v>
      </c>
      <c r="S192" s="6">
        <f t="shared" si="32"/>
        <v>6.4662108938163491E-3</v>
      </c>
      <c r="T192" s="6">
        <f t="shared" si="33"/>
        <v>0</v>
      </c>
      <c r="U192" s="6">
        <f t="shared" si="34"/>
        <v>6.5776230772243904E-3</v>
      </c>
      <c r="V192" s="6">
        <f t="shared" si="28"/>
        <v>5.5431440921692486E-3</v>
      </c>
      <c r="W192" s="6">
        <f t="shared" si="35"/>
        <v>6.5539406137304721E-3</v>
      </c>
      <c r="X192" s="6"/>
      <c r="AF192" s="38"/>
    </row>
    <row r="193" spans="1:32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29"/>
        <v>1.9974942225231551E-4</v>
      </c>
      <c r="J193" s="6">
        <f t="shared" si="37"/>
        <v>6.1431644627328542E-3</v>
      </c>
      <c r="K193" s="6">
        <f t="shared" si="37"/>
        <v>-7.3248867997968373E-3</v>
      </c>
      <c r="L193" s="6">
        <f t="shared" si="37"/>
        <v>-4.6015528245516947E-2</v>
      </c>
      <c r="M193" s="6">
        <f t="shared" si="37"/>
        <v>6.8728485226429662E-3</v>
      </c>
      <c r="N193" s="6">
        <f t="shared" si="37"/>
        <v>9.159960683443537E-4</v>
      </c>
      <c r="O193" s="6">
        <f t="shared" si="30"/>
        <v>-1.9034517846585846E-3</v>
      </c>
      <c r="P193" s="6"/>
      <c r="Q193" s="6">
        <f t="shared" si="36"/>
        <v>-1.7814763191262017E-2</v>
      </c>
      <c r="R193" s="6">
        <f t="shared" si="31"/>
        <v>6.8728485226429662E-3</v>
      </c>
      <c r="S193" s="6">
        <f t="shared" si="32"/>
        <v>-1.0747031228595372E-2</v>
      </c>
      <c r="T193" s="6">
        <f t="shared" si="33"/>
        <v>1.4770040136185422E-4</v>
      </c>
      <c r="U193" s="6">
        <f t="shared" si="34"/>
        <v>-1.9106431108873397E-2</v>
      </c>
      <c r="V193" s="6">
        <f t="shared" si="28"/>
        <v>-1.9708462868660452E-2</v>
      </c>
      <c r="W193" s="6">
        <f t="shared" si="35"/>
        <v>-7.9702010668901545E-3</v>
      </c>
      <c r="X193" s="6"/>
      <c r="AF193" s="38"/>
    </row>
    <row r="194" spans="1:32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29"/>
        <v>2.0165193919474689E-4</v>
      </c>
      <c r="J194" s="6">
        <f t="shared" si="37"/>
        <v>6.8338906269820778E-3</v>
      </c>
      <c r="K194" s="6">
        <f t="shared" si="37"/>
        <v>5.4192175886679812E-3</v>
      </c>
      <c r="L194" s="6">
        <f t="shared" si="37"/>
        <v>1.9944982273812171E-2</v>
      </c>
      <c r="M194" s="6">
        <f t="shared" si="37"/>
        <v>-1.4372182648414963E-2</v>
      </c>
      <c r="N194" s="6">
        <f t="shared" si="37"/>
        <v>2.498698327390512E-3</v>
      </c>
      <c r="O194" s="6">
        <f t="shared" si="30"/>
        <v>9.4794456212845372E-3</v>
      </c>
      <c r="P194" s="6"/>
      <c r="Q194" s="6">
        <f t="shared" si="36"/>
        <v>5.5562935571808443E-3</v>
      </c>
      <c r="R194" s="6">
        <f t="shared" si="31"/>
        <v>-1.4372182648414963E-2</v>
      </c>
      <c r="S194" s="6">
        <f t="shared" si="32"/>
        <v>1.2775062270807755E-3</v>
      </c>
      <c r="T194" s="6">
        <f t="shared" si="33"/>
        <v>1.6555438491239702E-8</v>
      </c>
      <c r="U194" s="6">
        <f t="shared" si="34"/>
        <v>9.6033403455613349E-3</v>
      </c>
      <c r="V194" s="6">
        <f t="shared" si="28"/>
        <v>6.3272892840153267E-3</v>
      </c>
      <c r="W194" s="6">
        <f t="shared" si="35"/>
        <v>-3.8766295857510288E-3</v>
      </c>
      <c r="X194" s="6"/>
      <c r="AF194" s="38"/>
    </row>
    <row r="195" spans="1:32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si="29"/>
        <v>2.0127150788695758E-4</v>
      </c>
      <c r="J195" s="6">
        <f t="shared" ref="J195:N226" si="38">LN(B195/B194)</f>
        <v>-7.5669526869904195E-3</v>
      </c>
      <c r="K195" s="6">
        <f t="shared" si="38"/>
        <v>1.4295762641888972E-3</v>
      </c>
      <c r="L195" s="6">
        <f t="shared" si="38"/>
        <v>-6.0830483624738684E-3</v>
      </c>
      <c r="M195" s="6">
        <f t="shared" si="38"/>
        <v>1.3229934834084765E-2</v>
      </c>
      <c r="N195" s="6">
        <f t="shared" si="38"/>
        <v>-2.7097176835470336E-3</v>
      </c>
      <c r="O195" s="6">
        <f t="shared" si="30"/>
        <v>-1.8883558333109205E-3</v>
      </c>
      <c r="P195" s="6"/>
      <c r="Q195" s="6">
        <f t="shared" si="36"/>
        <v>3.4334284752047476E-4</v>
      </c>
      <c r="R195" s="6">
        <f t="shared" si="31"/>
        <v>1.3229934834084765E-2</v>
      </c>
      <c r="S195" s="6">
        <f t="shared" si="32"/>
        <v>2.6273945021405699E-3</v>
      </c>
      <c r="T195" s="6">
        <f t="shared" si="33"/>
        <v>0</v>
      </c>
      <c r="U195" s="6">
        <f t="shared" si="34"/>
        <v>-3.3059713612313391E-3</v>
      </c>
      <c r="V195" s="6">
        <f t="shared" ref="V195:V254" si="39">+(U195-O195)-($Z$53*(N195-O195))</f>
        <v>-6.8771779364944544E-4</v>
      </c>
      <c r="W195" s="6">
        <f t="shared" si="35"/>
        <v>7.1916994171860003E-3</v>
      </c>
      <c r="X195" s="6"/>
      <c r="AF195" s="38"/>
    </row>
    <row r="196" spans="1:32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ref="H196:H254" si="40">+(1+G196)^(1/250)-1</f>
        <v>2.0127150788695758E-4</v>
      </c>
      <c r="J196" s="6">
        <f t="shared" si="38"/>
        <v>-2.128302424671985E-2</v>
      </c>
      <c r="K196" s="6">
        <f t="shared" si="38"/>
        <v>-1.454975939193497E-2</v>
      </c>
      <c r="L196" s="6">
        <f t="shared" si="38"/>
        <v>-7.0339066105817626E-3</v>
      </c>
      <c r="M196" s="6">
        <f t="shared" si="38"/>
        <v>-1.7157346722541096E-3</v>
      </c>
      <c r="N196" s="6">
        <f t="shared" si="38"/>
        <v>-7.4081767856449404E-3</v>
      </c>
      <c r="O196" s="6">
        <f t="shared" ref="O196:O254" si="41">+LN(H196/H195)</f>
        <v>0</v>
      </c>
      <c r="P196" s="6"/>
      <c r="Q196" s="6">
        <f t="shared" si="36"/>
        <v>-7.8742676455472293E-3</v>
      </c>
      <c r="R196" s="6">
        <f t="shared" ref="R196:R254" si="42">+SUMPRODUCT($Z$17:$AC$17,J196:M196)</f>
        <v>-1.7157346722541096E-3</v>
      </c>
      <c r="S196" s="6">
        <f t="shared" ref="S196:S254" si="43">+SUMPRODUCT($Z$18:$AC$18,J196:M196)</f>
        <v>-7.4551834531669005E-3</v>
      </c>
      <c r="T196" s="6">
        <f t="shared" ref="T196:T254" si="44">+MIN(S196-AVERAGE($S$3:$S$254),0)^2</f>
        <v>7.8523658853769943E-5</v>
      </c>
      <c r="U196" s="6">
        <f t="shared" ref="U196:U254" si="45">+SUMPRODUCT($Z$19:$AC$19,J196:M196)</f>
        <v>-1.102136415251786E-2</v>
      </c>
      <c r="V196" s="6">
        <f t="shared" si="39"/>
        <v>-4.4381372235258731E-3</v>
      </c>
      <c r="W196" s="6">
        <f t="shared" ref="W196:W254" si="46">+SUMPRODUCT($Z$20:$AC$20,J196:M196)</f>
        <v>-4.1110862709895337E-3</v>
      </c>
      <c r="X196" s="6"/>
      <c r="AF196" s="38"/>
    </row>
    <row r="197" spans="1:32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40"/>
        <v>1.9898816309771306E-4</v>
      </c>
      <c r="J197" s="6">
        <f t="shared" si="38"/>
        <v>1.6452046082168593E-2</v>
      </c>
      <c r="K197" s="6">
        <f t="shared" si="38"/>
        <v>-1.4505435120728959E-3</v>
      </c>
      <c r="L197" s="6">
        <f t="shared" si="38"/>
        <v>1.9063546062445577E-2</v>
      </c>
      <c r="M197" s="6">
        <f t="shared" si="38"/>
        <v>1.7157346722542091E-3</v>
      </c>
      <c r="N197" s="6">
        <f t="shared" si="38"/>
        <v>6.9765789150719763E-3</v>
      </c>
      <c r="O197" s="6">
        <f t="shared" si="41"/>
        <v>-1.1409441041977197E-2</v>
      </c>
      <c r="P197" s="6"/>
      <c r="Q197" s="6">
        <f t="shared" si="36"/>
        <v>1.2547245261363745E-2</v>
      </c>
      <c r="R197" s="6">
        <f t="shared" si="42"/>
        <v>1.7157346722542091E-3</v>
      </c>
      <c r="S197" s="6">
        <f t="shared" si="43"/>
        <v>1.0414780730700434E-2</v>
      </c>
      <c r="T197" s="6">
        <f t="shared" si="44"/>
        <v>0</v>
      </c>
      <c r="U197" s="6">
        <f t="shared" si="45"/>
        <v>1.5214722611495696E-2</v>
      </c>
      <c r="V197" s="6">
        <f t="shared" si="39"/>
        <v>1.0285549551718197E-2</v>
      </c>
      <c r="W197" s="6">
        <f t="shared" si="46"/>
        <v>6.2504608841517269E-3</v>
      </c>
      <c r="X197" s="6"/>
      <c r="AF197" s="38"/>
    </row>
    <row r="198" spans="1:32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40"/>
        <v>2.0012999773522111E-4</v>
      </c>
      <c r="J198" s="6">
        <f t="shared" si="38"/>
        <v>5.2749355993220789E-5</v>
      </c>
      <c r="K198" s="6">
        <f t="shared" si="38"/>
        <v>-2.907479760967422E-3</v>
      </c>
      <c r="L198" s="6">
        <f t="shared" si="38"/>
        <v>-6.0468730383955328E-3</v>
      </c>
      <c r="M198" s="6">
        <f t="shared" si="38"/>
        <v>-1.3229934834084642E-2</v>
      </c>
      <c r="N198" s="6">
        <f t="shared" si="38"/>
        <v>2.4880404548013993E-4</v>
      </c>
      <c r="O198" s="6">
        <f t="shared" si="41"/>
        <v>5.7218030386620624E-3</v>
      </c>
      <c r="P198" s="6"/>
      <c r="Q198" s="6">
        <f t="shared" ref="Q198:Q254" si="47">+SUMPRODUCT($Z$16:$AC$16,J198:M198)</f>
        <v>-7.3908711236580684E-3</v>
      </c>
      <c r="R198" s="6">
        <f t="shared" si="42"/>
        <v>-1.3229934834084642E-2</v>
      </c>
      <c r="S198" s="6">
        <f t="shared" si="43"/>
        <v>-8.1522706003163883E-3</v>
      </c>
      <c r="T198" s="6">
        <f t="shared" si="44"/>
        <v>9.1363866349645356E-5</v>
      </c>
      <c r="U198" s="6">
        <f t="shared" si="45"/>
        <v>-5.1749250577958275E-3</v>
      </c>
      <c r="V198" s="6">
        <f t="shared" si="39"/>
        <v>-6.0331840158039654E-3</v>
      </c>
      <c r="W198" s="6">
        <f t="shared" si="46"/>
        <v>-1.0561519611748513E-2</v>
      </c>
      <c r="X198" s="6"/>
      <c r="AF198" s="38"/>
    </row>
    <row r="199" spans="1:32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40"/>
        <v>2.0051053716385603E-4</v>
      </c>
      <c r="J199" s="6">
        <f t="shared" si="38"/>
        <v>1.5777000232845243E-3</v>
      </c>
      <c r="K199" s="6">
        <f t="shared" si="38"/>
        <v>-1.9429887302046369E-3</v>
      </c>
      <c r="L199" s="6">
        <f t="shared" si="38"/>
        <v>-6.99180300416376E-3</v>
      </c>
      <c r="M199" s="6">
        <f t="shared" si="38"/>
        <v>-8.7235267318123977E-3</v>
      </c>
      <c r="N199" s="6">
        <f t="shared" si="38"/>
        <v>-7.3943469365055463E-3</v>
      </c>
      <c r="O199" s="6">
        <f t="shared" si="41"/>
        <v>1.8996557258902202E-3</v>
      </c>
      <c r="P199" s="6"/>
      <c r="Q199" s="6">
        <f t="shared" si="47"/>
        <v>-5.9771248534301585E-3</v>
      </c>
      <c r="R199" s="6">
        <f t="shared" si="42"/>
        <v>-8.7235267318123977E-3</v>
      </c>
      <c r="S199" s="6">
        <f t="shared" si="43"/>
        <v>-6.0542297460382385E-3</v>
      </c>
      <c r="T199" s="6">
        <f t="shared" si="44"/>
        <v>5.5657626529915777E-5</v>
      </c>
      <c r="U199" s="6">
        <f t="shared" si="45"/>
        <v>-4.3441349571355873E-3</v>
      </c>
      <c r="V199" s="6">
        <f t="shared" si="39"/>
        <v>2.0152628433109604E-3</v>
      </c>
      <c r="W199" s="6">
        <f t="shared" si="46"/>
        <v>-7.7429229906884681E-3</v>
      </c>
      <c r="X199" s="6"/>
      <c r="AF199" s="38"/>
    </row>
    <row r="200" spans="1:32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40"/>
        <v>2.0089104054554774E-4</v>
      </c>
      <c r="J200" s="6">
        <f t="shared" si="38"/>
        <v>5.2413568168104213E-3</v>
      </c>
      <c r="K200" s="6">
        <f t="shared" si="38"/>
        <v>4.3664643547632167E-3</v>
      </c>
      <c r="L200" s="6">
        <f t="shared" si="38"/>
        <v>6.1393658971166812E-3</v>
      </c>
      <c r="M200" s="6">
        <f t="shared" si="38"/>
        <v>2.8787286268958209E-2</v>
      </c>
      <c r="N200" s="6">
        <f t="shared" si="38"/>
        <v>-5.9929167225422977E-3</v>
      </c>
      <c r="O200" s="6">
        <f t="shared" si="41"/>
        <v>1.8958744399290306E-3</v>
      </c>
      <c r="P200" s="6"/>
      <c r="Q200" s="6">
        <f t="shared" si="47"/>
        <v>1.3834262709941843E-2</v>
      </c>
      <c r="R200" s="6">
        <f t="shared" si="42"/>
        <v>2.8787286268958209E-2</v>
      </c>
      <c r="S200" s="6">
        <f t="shared" si="43"/>
        <v>1.6504226917127583E-2</v>
      </c>
      <c r="T200" s="6">
        <f t="shared" si="44"/>
        <v>0</v>
      </c>
      <c r="U200" s="6">
        <f t="shared" si="45"/>
        <v>9.685133422420323E-3</v>
      </c>
      <c r="V200" s="6">
        <f t="shared" si="39"/>
        <v>1.4799580674409989E-2</v>
      </c>
      <c r="W200" s="6">
        <f t="shared" si="46"/>
        <v>2.1062534767916918E-2</v>
      </c>
      <c r="X200" s="6"/>
      <c r="AF200" s="38"/>
    </row>
    <row r="201" spans="1:32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40"/>
        <v>2.0051053716385603E-4</v>
      </c>
      <c r="J201" s="6">
        <f t="shared" si="38"/>
        <v>5.0060225548219234E-3</v>
      </c>
      <c r="K201" s="6">
        <f t="shared" si="38"/>
        <v>1.537262663889283E-2</v>
      </c>
      <c r="L201" s="6">
        <f t="shared" si="38"/>
        <v>1.6419907185533298E-2</v>
      </c>
      <c r="M201" s="6">
        <f t="shared" si="38"/>
        <v>3.3485178750257492E-2</v>
      </c>
      <c r="N201" s="6">
        <f t="shared" si="38"/>
        <v>7.9958649115222311E-3</v>
      </c>
      <c r="O201" s="6">
        <f t="shared" si="41"/>
        <v>-1.8958744399290869E-3</v>
      </c>
      <c r="P201" s="6"/>
      <c r="Q201" s="6">
        <f t="shared" si="47"/>
        <v>2.0193252436246183E-2</v>
      </c>
      <c r="R201" s="6">
        <f t="shared" si="42"/>
        <v>3.3485178750257492E-2</v>
      </c>
      <c r="S201" s="6">
        <f t="shared" si="43"/>
        <v>2.2056973743022831E-2</v>
      </c>
      <c r="T201" s="6">
        <f t="shared" si="44"/>
        <v>0</v>
      </c>
      <c r="U201" s="6">
        <f t="shared" si="45"/>
        <v>1.5404993406158748E-2</v>
      </c>
      <c r="V201" s="6">
        <f t="shared" si="39"/>
        <v>8.5106395946200394E-3</v>
      </c>
      <c r="W201" s="6">
        <f t="shared" si="46"/>
        <v>2.7572425413891714E-2</v>
      </c>
      <c r="X201" s="6"/>
      <c r="AF201" s="38"/>
    </row>
    <row r="202" spans="1:32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40"/>
        <v>2.0127150788695758E-4</v>
      </c>
      <c r="J202" s="6">
        <f t="shared" si="38"/>
        <v>9.2161623911649945E-3</v>
      </c>
      <c r="K202" s="6">
        <f t="shared" si="38"/>
        <v>0</v>
      </c>
      <c r="L202" s="6">
        <f t="shared" si="38"/>
        <v>-4.0053977401266682E-3</v>
      </c>
      <c r="M202" s="6">
        <f t="shared" si="38"/>
        <v>-1.1592695309031092E-2</v>
      </c>
      <c r="N202" s="6">
        <f t="shared" si="38"/>
        <v>1.1154342969859781E-3</v>
      </c>
      <c r="O202" s="6">
        <f t="shared" si="41"/>
        <v>3.7879822774248887E-3</v>
      </c>
      <c r="P202" s="6"/>
      <c r="Q202" s="6">
        <f t="shared" si="47"/>
        <v>-4.1467378239734495E-3</v>
      </c>
      <c r="R202" s="6">
        <f t="shared" si="42"/>
        <v>-1.1592695309031092E-2</v>
      </c>
      <c r="S202" s="6">
        <f t="shared" si="43"/>
        <v>-4.8558245467150776E-3</v>
      </c>
      <c r="T202" s="6">
        <f t="shared" si="44"/>
        <v>3.921262787734051E-5</v>
      </c>
      <c r="U202" s="6">
        <f t="shared" si="45"/>
        <v>-7.5690264107118881E-4</v>
      </c>
      <c r="V202" s="6">
        <f t="shared" si="39"/>
        <v>-2.1699429667946793E-3</v>
      </c>
      <c r="W202" s="6">
        <f t="shared" si="46"/>
        <v>-8.6622139361986327E-3</v>
      </c>
      <c r="X202" s="6"/>
      <c r="AF202" s="38"/>
    </row>
    <row r="203" spans="1:32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40"/>
        <v>2.0279301698633567E-4</v>
      </c>
      <c r="J203" s="6">
        <f t="shared" si="38"/>
        <v>1.6479275844381797E-3</v>
      </c>
      <c r="K203" s="6">
        <f t="shared" si="38"/>
        <v>1.5922092232906072E-2</v>
      </c>
      <c r="L203" s="6">
        <f t="shared" si="38"/>
        <v>-1.3267754604042227E-2</v>
      </c>
      <c r="M203" s="6">
        <f t="shared" si="38"/>
        <v>1.8702397437831947E-2</v>
      </c>
      <c r="N203" s="6">
        <f t="shared" si="38"/>
        <v>1.5016920495655548E-3</v>
      </c>
      <c r="O203" s="6">
        <f t="shared" si="41"/>
        <v>7.5310560416541605E-3</v>
      </c>
      <c r="P203" s="6"/>
      <c r="Q203" s="6">
        <f t="shared" si="47"/>
        <v>6.4626181025234306E-4</v>
      </c>
      <c r="R203" s="6">
        <f t="shared" si="42"/>
        <v>1.8702397437831947E-2</v>
      </c>
      <c r="S203" s="6">
        <f t="shared" si="43"/>
        <v>4.6996307586698897E-3</v>
      </c>
      <c r="T203" s="6">
        <f t="shared" si="44"/>
        <v>0</v>
      </c>
      <c r="U203" s="6">
        <f t="shared" si="45"/>
        <v>-2.70590338055682E-3</v>
      </c>
      <c r="V203" s="6">
        <f t="shared" si="39"/>
        <v>-4.8790052931564345E-3</v>
      </c>
      <c r="W203" s="6">
        <f t="shared" si="46"/>
        <v>9.9176470862790446E-3</v>
      </c>
      <c r="X203" s="6"/>
      <c r="AF203" s="38"/>
    </row>
    <row r="204" spans="1:32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40"/>
        <v>2.0317330422892077E-4</v>
      </c>
      <c r="J204" s="6">
        <f t="shared" si="38"/>
        <v>7.7904722351031866E-3</v>
      </c>
      <c r="K204" s="6">
        <f t="shared" si="38"/>
        <v>-3.1287359214828865E-4</v>
      </c>
      <c r="L204" s="6">
        <f t="shared" si="38"/>
        <v>-9.5859227382981537E-3</v>
      </c>
      <c r="M204" s="6">
        <f t="shared" si="38"/>
        <v>-2.7285349047250127E-3</v>
      </c>
      <c r="N204" s="6">
        <f t="shared" si="38"/>
        <v>1.1778026448059028E-2</v>
      </c>
      <c r="O204" s="6">
        <f t="shared" si="41"/>
        <v>1.8734921294942879E-3</v>
      </c>
      <c r="P204" s="6"/>
      <c r="Q204" s="6">
        <f t="shared" si="47"/>
        <v>-3.928004913288337E-3</v>
      </c>
      <c r="R204" s="6">
        <f t="shared" si="42"/>
        <v>-2.7285349047250127E-3</v>
      </c>
      <c r="S204" s="6">
        <f t="shared" si="43"/>
        <v>-2.8565704973307925E-3</v>
      </c>
      <c r="T204" s="6">
        <f t="shared" si="44"/>
        <v>1.8170992064275378E-5</v>
      </c>
      <c r="U204" s="6">
        <f t="shared" si="45"/>
        <v>-2.4527341252761929E-3</v>
      </c>
      <c r="V204" s="6">
        <f t="shared" si="39"/>
        <v>-1.3127824668491946E-2</v>
      </c>
      <c r="W204" s="6">
        <f t="shared" si="46"/>
        <v>-4.2819642700875869E-3</v>
      </c>
      <c r="X204" s="6"/>
      <c r="AF204" s="38"/>
    </row>
    <row r="205" spans="1:32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40"/>
        <v>2.0317330422892077E-4</v>
      </c>
      <c r="J205" s="6">
        <f t="shared" si="38"/>
        <v>-7.121864915451831E-3</v>
      </c>
      <c r="K205" s="6">
        <f t="shared" si="38"/>
        <v>3.5918669636785371E-3</v>
      </c>
      <c r="L205" s="6">
        <f t="shared" si="38"/>
        <v>-1.7757906147097171E-3</v>
      </c>
      <c r="M205" s="6">
        <f t="shared" si="38"/>
        <v>-1.0934242170624129E-3</v>
      </c>
      <c r="N205" s="6">
        <f t="shared" si="38"/>
        <v>-1.9986943175659869E-4</v>
      </c>
      <c r="O205" s="6">
        <f t="shared" si="41"/>
        <v>0</v>
      </c>
      <c r="P205" s="6"/>
      <c r="Q205" s="6">
        <f t="shared" si="47"/>
        <v>-2.5469861461701964E-3</v>
      </c>
      <c r="R205" s="6">
        <f t="shared" si="42"/>
        <v>-1.0934242170624129E-3</v>
      </c>
      <c r="S205" s="6">
        <f t="shared" si="43"/>
        <v>-2.5298586456175558E-3</v>
      </c>
      <c r="T205" s="6">
        <f t="shared" si="44"/>
        <v>1.5492354293686999E-5</v>
      </c>
      <c r="U205" s="6">
        <f t="shared" si="45"/>
        <v>-3.4952591412153421E-3</v>
      </c>
      <c r="V205" s="6">
        <f t="shared" si="39"/>
        <v>-3.3176465027086577E-3</v>
      </c>
      <c r="W205" s="6">
        <f t="shared" si="46"/>
        <v>-1.0463933467500497E-3</v>
      </c>
      <c r="X205" s="6"/>
      <c r="AF205" s="38"/>
    </row>
    <row r="206" spans="1:32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40"/>
        <v>2.0317330422892077E-4</v>
      </c>
      <c r="J206" s="6">
        <f t="shared" si="38"/>
        <v>1.2315935510636394E-2</v>
      </c>
      <c r="K206" s="6">
        <f t="shared" si="38"/>
        <v>-3.748245865629597E-3</v>
      </c>
      <c r="L206" s="6">
        <f t="shared" si="38"/>
        <v>1.5320518573155651E-2</v>
      </c>
      <c r="M206" s="6">
        <f t="shared" si="38"/>
        <v>-9.8955551720559757E-3</v>
      </c>
      <c r="N206" s="6">
        <f t="shared" si="38"/>
        <v>-1.1158931807150971E-3</v>
      </c>
      <c r="O206" s="6">
        <f t="shared" si="41"/>
        <v>0</v>
      </c>
      <c r="P206" s="6"/>
      <c r="Q206" s="6">
        <f t="shared" si="47"/>
        <v>5.9979248995054059E-3</v>
      </c>
      <c r="R206" s="6">
        <f t="shared" si="42"/>
        <v>-9.8955551720559757E-3</v>
      </c>
      <c r="S206" s="6">
        <f t="shared" si="43"/>
        <v>2.9296886160030114E-3</v>
      </c>
      <c r="T206" s="6">
        <f t="shared" si="44"/>
        <v>0</v>
      </c>
      <c r="U206" s="6">
        <f t="shared" si="45"/>
        <v>9.9977502620905538E-3</v>
      </c>
      <c r="V206" s="6">
        <f t="shared" si="39"/>
        <v>1.0989381300296482E-2</v>
      </c>
      <c r="W206" s="6">
        <f t="shared" si="46"/>
        <v>-2.6332061129606191E-3</v>
      </c>
      <c r="X206" s="6"/>
      <c r="AF206" s="38"/>
    </row>
    <row r="207" spans="1:32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40"/>
        <v>2.0355355547230225E-4</v>
      </c>
      <c r="J207" s="6">
        <f t="shared" si="38"/>
        <v>-1.9333515601065478E-2</v>
      </c>
      <c r="K207" s="6">
        <f t="shared" si="38"/>
        <v>-5.0196004719991047E-3</v>
      </c>
      <c r="L207" s="6">
        <f t="shared" si="38"/>
        <v>-1.7018402117130581E-3</v>
      </c>
      <c r="M207" s="6">
        <f t="shared" si="38"/>
        <v>-1.3348415321843266E-2</v>
      </c>
      <c r="N207" s="6">
        <f t="shared" si="38"/>
        <v>2.5775665246065955E-3</v>
      </c>
      <c r="O207" s="6">
        <f t="shared" si="41"/>
        <v>1.8698118656184917E-3</v>
      </c>
      <c r="P207" s="6"/>
      <c r="Q207" s="6">
        <f t="shared" si="47"/>
        <v>-9.0708899573812094E-3</v>
      </c>
      <c r="R207" s="6">
        <f t="shared" si="42"/>
        <v>-1.3348415321843266E-2</v>
      </c>
      <c r="S207" s="6">
        <f t="shared" si="43"/>
        <v>-1.0702458252424808E-2</v>
      </c>
      <c r="T207" s="6">
        <f t="shared" si="44"/>
        <v>1.4661897904316541E-4</v>
      </c>
      <c r="U207" s="6">
        <f t="shared" si="45"/>
        <v>-9.737678273645833E-3</v>
      </c>
      <c r="V207" s="6">
        <f t="shared" si="39"/>
        <v>-1.2236431600164462E-2</v>
      </c>
      <c r="W207" s="6">
        <f t="shared" si="46"/>
        <v>-9.8219986040348744E-3</v>
      </c>
      <c r="X207" s="6"/>
      <c r="AF207" s="38"/>
    </row>
    <row r="208" spans="1:32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40"/>
        <v>2.0241269373766357E-4</v>
      </c>
      <c r="J208" s="6">
        <f t="shared" si="38"/>
        <v>7.0131414104475584E-2</v>
      </c>
      <c r="K208" s="6">
        <f t="shared" si="38"/>
        <v>-6.2929080548693986E-4</v>
      </c>
      <c r="L208" s="6">
        <f t="shared" si="38"/>
        <v>-2.6653349995766375E-2</v>
      </c>
      <c r="M208" s="6">
        <f t="shared" si="38"/>
        <v>0</v>
      </c>
      <c r="N208" s="6">
        <f t="shared" si="38"/>
        <v>2.7067548434573357E-3</v>
      </c>
      <c r="O208" s="6">
        <f t="shared" si="41"/>
        <v>-5.6204905711627999E-3</v>
      </c>
      <c r="P208" s="6"/>
      <c r="Q208" s="6">
        <f t="shared" si="47"/>
        <v>8.529852526261289E-4</v>
      </c>
      <c r="R208" s="6">
        <f t="shared" si="42"/>
        <v>0</v>
      </c>
      <c r="S208" s="6">
        <f t="shared" si="43"/>
        <v>5.4032695410369033E-3</v>
      </c>
      <c r="T208" s="6">
        <f t="shared" si="44"/>
        <v>0</v>
      </c>
      <c r="U208" s="6">
        <f t="shared" si="45"/>
        <v>1.1113700984841608E-2</v>
      </c>
      <c r="V208" s="6">
        <f t="shared" si="39"/>
        <v>9.3342404149788505E-3</v>
      </c>
      <c r="W208" s="6">
        <f t="shared" si="46"/>
        <v>-6.3561421907655912E-3</v>
      </c>
      <c r="X208" s="6"/>
      <c r="AF208" s="38"/>
    </row>
    <row r="209" spans="1:32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40"/>
        <v>2.0203233447624314E-4</v>
      </c>
      <c r="J209" s="6">
        <f t="shared" si="38"/>
        <v>2.8177683832117249E-2</v>
      </c>
      <c r="K209" s="6">
        <f t="shared" si="38"/>
        <v>-1.0598781521427382E-2</v>
      </c>
      <c r="L209" s="6">
        <f t="shared" si="38"/>
        <v>-1.4667664855327797E-2</v>
      </c>
      <c r="M209" s="6">
        <f t="shared" si="38"/>
        <v>-1.4096584264906203E-2</v>
      </c>
      <c r="N209" s="6">
        <f t="shared" si="38"/>
        <v>8.4677271718827819E-3</v>
      </c>
      <c r="O209" s="6">
        <f t="shared" si="41"/>
        <v>-1.8808952862412942E-3</v>
      </c>
      <c r="P209" s="6"/>
      <c r="Q209" s="6">
        <f t="shared" si="47"/>
        <v>-6.3897718111029234E-3</v>
      </c>
      <c r="R209" s="6">
        <f t="shared" si="42"/>
        <v>-1.4096584264906203E-2</v>
      </c>
      <c r="S209" s="6">
        <f t="shared" si="43"/>
        <v>-5.7211187200301395E-3</v>
      </c>
      <c r="T209" s="6">
        <f t="shared" si="44"/>
        <v>5.0798303882453655E-5</v>
      </c>
      <c r="U209" s="6">
        <f t="shared" si="45"/>
        <v>1.4059219656075437E-4</v>
      </c>
      <c r="V209" s="6">
        <f t="shared" si="39"/>
        <v>-7.1747468965267704E-3</v>
      </c>
      <c r="W209" s="6">
        <f t="shared" si="46"/>
        <v>-1.359888127828166E-2</v>
      </c>
      <c r="X209" s="6"/>
      <c r="AF209" s="38"/>
    </row>
    <row r="210" spans="1:32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40"/>
        <v>2.0051053716385603E-4</v>
      </c>
      <c r="J210" s="6">
        <f t="shared" si="38"/>
        <v>5.4761020107099078E-3</v>
      </c>
      <c r="K210" s="6">
        <f t="shared" si="38"/>
        <v>1.7478507559406556E-3</v>
      </c>
      <c r="L210" s="6">
        <f t="shared" si="38"/>
        <v>1.1059628683795456E-2</v>
      </c>
      <c r="M210" s="6">
        <f t="shared" si="38"/>
        <v>3.4012621492683047E-3</v>
      </c>
      <c r="N210" s="6">
        <f t="shared" si="38"/>
        <v>2.341828672305396E-3</v>
      </c>
      <c r="O210" s="6">
        <f t="shared" si="41"/>
        <v>-7.5609564567877055E-3</v>
      </c>
      <c r="P210" s="6"/>
      <c r="Q210" s="6">
        <f t="shared" si="47"/>
        <v>7.3474282749765854E-3</v>
      </c>
      <c r="R210" s="6">
        <f t="shared" si="42"/>
        <v>3.4012621492683047E-3</v>
      </c>
      <c r="S210" s="6">
        <f t="shared" si="43"/>
        <v>6.3442023801538565E-3</v>
      </c>
      <c r="T210" s="6">
        <f t="shared" si="44"/>
        <v>0</v>
      </c>
      <c r="U210" s="6">
        <f t="shared" si="45"/>
        <v>7.8392490419554005E-3</v>
      </c>
      <c r="V210" s="6">
        <f t="shared" si="39"/>
        <v>6.6001614905881918E-3</v>
      </c>
      <c r="W210" s="6">
        <f t="shared" si="46"/>
        <v>5.3420428199518963E-3</v>
      </c>
      <c r="X210" s="6"/>
      <c r="AF210" s="38"/>
    </row>
    <row r="211" spans="1:32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40"/>
        <v>1.9936881070892198E-4</v>
      </c>
      <c r="J211" s="6">
        <f t="shared" si="38"/>
        <v>-8.2019263390725322E-3</v>
      </c>
      <c r="K211" s="6">
        <f t="shared" si="38"/>
        <v>7.1958738958610062E-4</v>
      </c>
      <c r="L211" s="6">
        <f t="shared" si="38"/>
        <v>6.1937429460877716E-4</v>
      </c>
      <c r="M211" s="6">
        <f t="shared" si="38"/>
        <v>-1.6992713126116508E-3</v>
      </c>
      <c r="N211" s="6">
        <f t="shared" si="38"/>
        <v>-3.9391312700216223E-4</v>
      </c>
      <c r="O211" s="6">
        <f t="shared" si="41"/>
        <v>-5.7103702078565256E-3</v>
      </c>
      <c r="P211" s="6"/>
      <c r="Q211" s="6">
        <f t="shared" si="47"/>
        <v>-1.8492326562906392E-3</v>
      </c>
      <c r="R211" s="6">
        <f t="shared" si="42"/>
        <v>-1.6992713126116508E-3</v>
      </c>
      <c r="S211" s="6">
        <f t="shared" si="43"/>
        <v>-2.2461338247964347E-3</v>
      </c>
      <c r="T211" s="6">
        <f t="shared" si="44"/>
        <v>1.3339353659224423E-5</v>
      </c>
      <c r="U211" s="6">
        <f t="shared" si="45"/>
        <v>-2.8040192969566455E-3</v>
      </c>
      <c r="V211" s="6">
        <f t="shared" si="39"/>
        <v>-1.8180832426330255E-3</v>
      </c>
      <c r="W211" s="6">
        <f t="shared" si="46"/>
        <v>-1.0046910580169071E-3</v>
      </c>
      <c r="X211" s="6"/>
      <c r="AF211" s="38"/>
    </row>
    <row r="212" spans="1:32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40"/>
        <v>1.9822675964520364E-4</v>
      </c>
      <c r="J212" s="6">
        <f t="shared" si="38"/>
        <v>1.948047725735666E-2</v>
      </c>
      <c r="K212" s="6">
        <f t="shared" si="38"/>
        <v>1.1184790032108326E-3</v>
      </c>
      <c r="L212" s="6">
        <f t="shared" si="38"/>
        <v>6.1735082056717516E-3</v>
      </c>
      <c r="M212" s="6">
        <f t="shared" si="38"/>
        <v>1.6992713126115697E-3</v>
      </c>
      <c r="N212" s="6">
        <f t="shared" si="38"/>
        <v>7.6351859201040807E-3</v>
      </c>
      <c r="O212" s="6">
        <f t="shared" si="41"/>
        <v>-5.7448034624890849E-3</v>
      </c>
      <c r="P212" s="6"/>
      <c r="Q212" s="6">
        <f t="shared" si="47"/>
        <v>7.1292500086807126E-3</v>
      </c>
      <c r="R212" s="6">
        <f t="shared" si="42"/>
        <v>1.6992713126115697E-3</v>
      </c>
      <c r="S212" s="6">
        <f t="shared" si="43"/>
        <v>6.7732635119238547E-3</v>
      </c>
      <c r="T212" s="6">
        <f t="shared" si="44"/>
        <v>0</v>
      </c>
      <c r="U212" s="6">
        <f t="shared" si="45"/>
        <v>9.9810926592237108E-3</v>
      </c>
      <c r="V212" s="6">
        <f t="shared" si="39"/>
        <v>3.8358577274082203E-3</v>
      </c>
      <c r="W212" s="6">
        <f t="shared" si="46"/>
        <v>3.0265075886450644E-3</v>
      </c>
      <c r="X212" s="6"/>
      <c r="AF212" s="38"/>
    </row>
    <row r="213" spans="1:32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40"/>
        <v>1.9822675964520364E-4</v>
      </c>
      <c r="J213" s="6">
        <f t="shared" si="38"/>
        <v>-1.1045270681009117E-2</v>
      </c>
      <c r="K213" s="6">
        <f t="shared" si="38"/>
        <v>1.5971257518978638E-4</v>
      </c>
      <c r="L213" s="6">
        <f t="shared" si="38"/>
        <v>1.030672096955205E-2</v>
      </c>
      <c r="M213" s="6">
        <f t="shared" si="38"/>
        <v>2.1277351283956945E-2</v>
      </c>
      <c r="N213" s="6">
        <f t="shared" si="38"/>
        <v>2.5181897678469146E-3</v>
      </c>
      <c r="O213" s="6">
        <f t="shared" si="41"/>
        <v>0</v>
      </c>
      <c r="P213" s="6"/>
      <c r="Q213" s="6">
        <f t="shared" si="47"/>
        <v>1.0089684058280046E-2</v>
      </c>
      <c r="R213" s="6">
        <f t="shared" si="42"/>
        <v>2.1277351283956945E-2</v>
      </c>
      <c r="S213" s="6">
        <f t="shared" si="43"/>
        <v>1.1075734559102575E-2</v>
      </c>
      <c r="T213" s="6">
        <f t="shared" si="44"/>
        <v>0</v>
      </c>
      <c r="U213" s="6">
        <f t="shared" si="45"/>
        <v>4.8423762453274561E-3</v>
      </c>
      <c r="V213" s="6">
        <f t="shared" si="39"/>
        <v>2.6046036905302693E-3</v>
      </c>
      <c r="W213" s="6">
        <f t="shared" si="46"/>
        <v>1.674869763363622E-2</v>
      </c>
      <c r="X213" s="6"/>
      <c r="AF213" s="38"/>
    </row>
    <row r="214" spans="1:32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40"/>
        <v>2.0165193919474689E-4</v>
      </c>
      <c r="J214" s="6">
        <f t="shared" si="38"/>
        <v>-2.1747631659808291E-2</v>
      </c>
      <c r="K214" s="6">
        <f t="shared" si="38"/>
        <v>-7.2110078735026766E-3</v>
      </c>
      <c r="L214" s="6">
        <f t="shared" si="38"/>
        <v>8.4414315435738397E-3</v>
      </c>
      <c r="M214" s="6">
        <f t="shared" si="38"/>
        <v>3.3186565462668526E-3</v>
      </c>
      <c r="N214" s="6">
        <f t="shared" si="38"/>
        <v>-2.5291522760688338E-3</v>
      </c>
      <c r="O214" s="6">
        <f t="shared" si="41"/>
        <v>1.7131511781081622E-2</v>
      </c>
      <c r="P214" s="6"/>
      <c r="Q214" s="6">
        <f t="shared" si="47"/>
        <v>9.6968092913597486E-4</v>
      </c>
      <c r="R214" s="6">
        <f t="shared" si="42"/>
        <v>3.3186565462668526E-3</v>
      </c>
      <c r="S214" s="6">
        <f t="shared" si="43"/>
        <v>-8.5585214334295322E-5</v>
      </c>
      <c r="T214" s="6">
        <f t="shared" si="44"/>
        <v>2.2253460486474629E-6</v>
      </c>
      <c r="U214" s="6">
        <f t="shared" si="45"/>
        <v>-2.7958364319100623E-3</v>
      </c>
      <c r="V214" s="6">
        <f t="shared" si="39"/>
        <v>-2.4560301265092524E-3</v>
      </c>
      <c r="W214" s="6">
        <f t="shared" si="46"/>
        <v>3.765037129034414E-3</v>
      </c>
      <c r="X214" s="6"/>
      <c r="AF214" s="38"/>
    </row>
    <row r="215" spans="1:32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40"/>
        <v>2.0127150788695758E-4</v>
      </c>
      <c r="J215" s="6">
        <f t="shared" si="38"/>
        <v>-1.0499345697948081E-2</v>
      </c>
      <c r="K215" s="6">
        <f t="shared" si="38"/>
        <v>9.443847698832648E-3</v>
      </c>
      <c r="L215" s="6">
        <f t="shared" si="38"/>
        <v>-1.2001025271443897E-2</v>
      </c>
      <c r="M215" s="6">
        <f t="shared" si="38"/>
        <v>1.588635415691966E-2</v>
      </c>
      <c r="N215" s="6">
        <f t="shared" si="38"/>
        <v>-1.5633874377691908E-3</v>
      </c>
      <c r="O215" s="6">
        <f t="shared" si="41"/>
        <v>-1.8883558333109205E-3</v>
      </c>
      <c r="P215" s="6"/>
      <c r="Q215" s="6">
        <f t="shared" si="47"/>
        <v>-2.0342613642768655E-3</v>
      </c>
      <c r="R215" s="6">
        <f t="shared" si="42"/>
        <v>1.588635415691966E-2</v>
      </c>
      <c r="S215" s="6">
        <f t="shared" si="43"/>
        <v>1.3344775421725262E-3</v>
      </c>
      <c r="T215" s="6">
        <f t="shared" si="44"/>
        <v>5.1404058601888224E-9</v>
      </c>
      <c r="U215" s="6">
        <f t="shared" si="45"/>
        <v>-6.7396947304438175E-3</v>
      </c>
      <c r="V215" s="6">
        <f t="shared" si="39"/>
        <v>-5.1401198960889559E-3</v>
      </c>
      <c r="W215" s="6">
        <f t="shared" si="46"/>
        <v>7.8579617167708407E-3</v>
      </c>
      <c r="X215" s="6"/>
      <c r="AF215" s="38"/>
    </row>
    <row r="216" spans="1:32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40"/>
        <v>2.0165193919474689E-4</v>
      </c>
      <c r="J216" s="6">
        <f t="shared" si="38"/>
        <v>3.1277001097442104E-3</v>
      </c>
      <c r="K216" s="6">
        <f t="shared" si="38"/>
        <v>1.8936986764933515E-2</v>
      </c>
      <c r="L216" s="6">
        <f t="shared" si="38"/>
        <v>1.305751761044515E-2</v>
      </c>
      <c r="M216" s="6">
        <f t="shared" si="38"/>
        <v>1.3495526138129172E-2</v>
      </c>
      <c r="N216" s="6">
        <f t="shared" si="38"/>
        <v>-3.0698792218004059E-3</v>
      </c>
      <c r="O216" s="6">
        <f t="shared" si="41"/>
        <v>1.8883558333109866E-3</v>
      </c>
      <c r="P216" s="6"/>
      <c r="Q216" s="6">
        <f t="shared" si="47"/>
        <v>1.1337088931069723E-2</v>
      </c>
      <c r="R216" s="6">
        <f t="shared" si="42"/>
        <v>1.3495526138129172E-2</v>
      </c>
      <c r="S216" s="6">
        <f t="shared" si="43"/>
        <v>1.1262752589937666E-2</v>
      </c>
      <c r="T216" s="6">
        <f t="shared" si="44"/>
        <v>0</v>
      </c>
      <c r="U216" s="6">
        <f t="shared" si="45"/>
        <v>9.7226241704701788E-3</v>
      </c>
      <c r="V216" s="6">
        <f t="shared" si="39"/>
        <v>1.2240370874875523E-2</v>
      </c>
      <c r="W216" s="6">
        <f t="shared" si="46"/>
        <v>1.3609251763226471E-2</v>
      </c>
      <c r="X216" s="6"/>
      <c r="AF216" s="38"/>
    </row>
    <row r="217" spans="1:32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40"/>
        <v>2.0012999773522111E-4</v>
      </c>
      <c r="J217" s="6">
        <f t="shared" si="38"/>
        <v>4.4582669163491413E-3</v>
      </c>
      <c r="K217" s="6">
        <f t="shared" si="38"/>
        <v>-2.0342859528205111E-3</v>
      </c>
      <c r="L217" s="6">
        <f t="shared" si="38"/>
        <v>-4.0810762745116238E-3</v>
      </c>
      <c r="M217" s="6">
        <f t="shared" si="38"/>
        <v>2.1425562712271934E-3</v>
      </c>
      <c r="N217" s="6">
        <f t="shared" si="38"/>
        <v>3.9259309005764296E-3</v>
      </c>
      <c r="O217" s="6">
        <f t="shared" si="41"/>
        <v>-7.5759938366260346E-3</v>
      </c>
      <c r="P217" s="6"/>
      <c r="Q217" s="6">
        <f t="shared" si="47"/>
        <v>-3.0967618252215651E-4</v>
      </c>
      <c r="R217" s="6">
        <f t="shared" si="42"/>
        <v>2.1425562712271934E-3</v>
      </c>
      <c r="S217" s="6">
        <f t="shared" si="43"/>
        <v>5.5049482880241613E-4</v>
      </c>
      <c r="T217" s="6">
        <f t="shared" si="44"/>
        <v>7.3218712801058966E-7</v>
      </c>
      <c r="U217" s="6">
        <f t="shared" si="45"/>
        <v>-8.9963864533242717E-5</v>
      </c>
      <c r="V217" s="6">
        <f t="shared" si="39"/>
        <v>-2.735078791390684E-3</v>
      </c>
      <c r="W217" s="6">
        <f t="shared" si="46"/>
        <v>2.6597822717658423E-4</v>
      </c>
      <c r="X217" s="6"/>
      <c r="AF217" s="38"/>
    </row>
    <row r="218" spans="1:32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40"/>
        <v>1.9784600378991435E-4</v>
      </c>
      <c r="J218" s="6">
        <f t="shared" si="38"/>
        <v>1.9796003669469535E-2</v>
      </c>
      <c r="K218" s="6">
        <f t="shared" si="38"/>
        <v>3.2841220395962312E-3</v>
      </c>
      <c r="L218" s="6">
        <f t="shared" si="38"/>
        <v>-3.2364976607338002E-3</v>
      </c>
      <c r="M218" s="6">
        <f t="shared" si="38"/>
        <v>3.738273476931629E-3</v>
      </c>
      <c r="N218" s="6">
        <f t="shared" si="38"/>
        <v>1.5711783413408377E-3</v>
      </c>
      <c r="O218" s="6">
        <f t="shared" si="41"/>
        <v>-1.1478174626420291E-2</v>
      </c>
      <c r="P218" s="6"/>
      <c r="Q218" s="6">
        <f t="shared" si="47"/>
        <v>3.5287844338486307E-3</v>
      </c>
      <c r="R218" s="6">
        <f t="shared" si="42"/>
        <v>3.738273476931629E-3</v>
      </c>
      <c r="S218" s="6">
        <f t="shared" si="43"/>
        <v>4.6872046903352E-3</v>
      </c>
      <c r="T218" s="6">
        <f t="shared" si="44"/>
        <v>0</v>
      </c>
      <c r="U218" s="6">
        <f t="shared" si="45"/>
        <v>5.8587069878831468E-3</v>
      </c>
      <c r="V218" s="6">
        <f t="shared" si="39"/>
        <v>5.7406610665229115E-3</v>
      </c>
      <c r="W218" s="6">
        <f t="shared" si="46"/>
        <v>2.0336305421046028E-3</v>
      </c>
      <c r="X218" s="6"/>
      <c r="AF218" s="38"/>
    </row>
    <row r="219" spans="1:32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40"/>
        <v>1.9784600378991435E-4</v>
      </c>
      <c r="J219" s="6">
        <f t="shared" si="38"/>
        <v>3.9780687953256729E-3</v>
      </c>
      <c r="K219" s="6">
        <f t="shared" si="38"/>
        <v>-2.1882315189594016E-3</v>
      </c>
      <c r="L219" s="6">
        <f t="shared" si="38"/>
        <v>8.7746980951394233E-3</v>
      </c>
      <c r="M219" s="6">
        <f t="shared" si="38"/>
        <v>-5.3329250387106324E-4</v>
      </c>
      <c r="N219" s="6">
        <f t="shared" si="38"/>
        <v>9.068706560974762E-4</v>
      </c>
      <c r="O219" s="6">
        <f t="shared" si="41"/>
        <v>0</v>
      </c>
      <c r="P219" s="6"/>
      <c r="Q219" s="6">
        <f t="shared" si="47"/>
        <v>4.6380737241741759E-3</v>
      </c>
      <c r="R219" s="6">
        <f t="shared" si="42"/>
        <v>-5.3329250387106324E-4</v>
      </c>
      <c r="S219" s="6">
        <f t="shared" si="43"/>
        <v>3.4469721198521004E-3</v>
      </c>
      <c r="T219" s="6">
        <f t="shared" si="44"/>
        <v>0</v>
      </c>
      <c r="U219" s="6">
        <f t="shared" si="45"/>
        <v>5.5437777594018753E-3</v>
      </c>
      <c r="V219" s="6">
        <f t="shared" si="39"/>
        <v>4.7378931946730667E-3</v>
      </c>
      <c r="W219" s="6">
        <f t="shared" si="46"/>
        <v>1.8677677866089757E-3</v>
      </c>
      <c r="X219" s="6"/>
      <c r="AF219" s="38"/>
    </row>
    <row r="220" spans="1:32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40"/>
        <v>1.9936881070892198E-4</v>
      </c>
      <c r="J220" s="6">
        <f t="shared" si="38"/>
        <v>-1.6387734624486144E-2</v>
      </c>
      <c r="K220" s="6">
        <f t="shared" si="38"/>
        <v>-4.0764872369371159E-3</v>
      </c>
      <c r="L220" s="6">
        <f t="shared" si="38"/>
        <v>1.5395245178859948E-2</v>
      </c>
      <c r="M220" s="6">
        <f t="shared" si="38"/>
        <v>1.901802869604308E-2</v>
      </c>
      <c r="N220" s="6">
        <f t="shared" si="38"/>
        <v>-4.0919885121458088E-3</v>
      </c>
      <c r="O220" s="6">
        <f t="shared" si="41"/>
        <v>7.6674601444540157E-3</v>
      </c>
      <c r="P220" s="6"/>
      <c r="Q220" s="6">
        <f t="shared" si="47"/>
        <v>1.0659718954943709E-2</v>
      </c>
      <c r="R220" s="6">
        <f t="shared" si="42"/>
        <v>1.901802869604308E-2</v>
      </c>
      <c r="S220" s="6">
        <f t="shared" si="43"/>
        <v>1.061223116570356E-2</v>
      </c>
      <c r="T220" s="6">
        <f t="shared" si="44"/>
        <v>0</v>
      </c>
      <c r="U220" s="6">
        <f t="shared" si="45"/>
        <v>5.0989735628215235E-3</v>
      </c>
      <c r="V220" s="6">
        <f t="shared" si="39"/>
        <v>7.8814690965630322E-3</v>
      </c>
      <c r="W220" s="6">
        <f t="shared" si="46"/>
        <v>1.6275443214508245E-2</v>
      </c>
      <c r="X220" s="6"/>
      <c r="AF220" s="38"/>
    </row>
    <row r="221" spans="1:32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40"/>
        <v>1.9860747941202739E-4</v>
      </c>
      <c r="J221" s="6">
        <f t="shared" si="38"/>
        <v>2.8689111628198698E-2</v>
      </c>
      <c r="K221" s="6">
        <f t="shared" si="38"/>
        <v>-5.8300487686362692E-3</v>
      </c>
      <c r="L221" s="6">
        <f t="shared" si="38"/>
        <v>1.5648710168294964E-2</v>
      </c>
      <c r="M221" s="6">
        <f t="shared" si="38"/>
        <v>-6.8259836239331134E-3</v>
      </c>
      <c r="N221" s="6">
        <f t="shared" si="38"/>
        <v>2.6720159429360979E-3</v>
      </c>
      <c r="O221" s="6">
        <f t="shared" si="41"/>
        <v>-3.8260180041707849E-3</v>
      </c>
      <c r="P221" s="6"/>
      <c r="Q221" s="6">
        <f t="shared" si="47"/>
        <v>1.0303724513212488E-2</v>
      </c>
      <c r="R221" s="6">
        <f t="shared" si="42"/>
        <v>-6.8259836239331134E-3</v>
      </c>
      <c r="S221" s="6">
        <f t="shared" si="43"/>
        <v>7.778131827283841E-3</v>
      </c>
      <c r="T221" s="6">
        <f t="shared" si="44"/>
        <v>0</v>
      </c>
      <c r="U221" s="6">
        <f t="shared" si="45"/>
        <v>1.6301546736947094E-2</v>
      </c>
      <c r="V221" s="6">
        <f t="shared" si="39"/>
        <v>1.4353130179973164E-2</v>
      </c>
      <c r="W221" s="6">
        <f t="shared" si="46"/>
        <v>-4.6864069340812973E-4</v>
      </c>
      <c r="X221" s="6"/>
      <c r="AF221" s="38"/>
    </row>
    <row r="222" spans="1:32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40"/>
        <v>1.9860747941202739E-4</v>
      </c>
      <c r="J222" s="6">
        <f t="shared" si="38"/>
        <v>1.6109449297697549E-2</v>
      </c>
      <c r="K222" s="6">
        <f t="shared" si="38"/>
        <v>-2.0564271894918324E-3</v>
      </c>
      <c r="L222" s="6">
        <f t="shared" si="38"/>
        <v>1.6317826996333985E-2</v>
      </c>
      <c r="M222" s="6">
        <f t="shared" si="38"/>
        <v>-8.4656033871456007E-3</v>
      </c>
      <c r="N222" s="6">
        <f t="shared" si="38"/>
        <v>6.1762197767835335E-3</v>
      </c>
      <c r="O222" s="6">
        <f t="shared" si="41"/>
        <v>0</v>
      </c>
      <c r="P222" s="6"/>
      <c r="Q222" s="6">
        <f t="shared" si="47"/>
        <v>7.672760322897011E-3</v>
      </c>
      <c r="R222" s="6">
        <f t="shared" si="42"/>
        <v>-8.4656033871456007E-3</v>
      </c>
      <c r="S222" s="6">
        <f t="shared" si="43"/>
        <v>4.6958655982969871E-3</v>
      </c>
      <c r="T222" s="6">
        <f t="shared" si="44"/>
        <v>0</v>
      </c>
      <c r="U222" s="6">
        <f t="shared" si="45"/>
        <v>1.202876875914698E-2</v>
      </c>
      <c r="V222" s="6">
        <f t="shared" si="39"/>
        <v>6.5403122157392472E-3</v>
      </c>
      <c r="W222" s="6">
        <f t="shared" si="46"/>
        <v>-1.2771109909633822E-3</v>
      </c>
      <c r="X222" s="6"/>
      <c r="AF222" s="38"/>
    </row>
    <row r="223" spans="1:32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40"/>
        <v>1.9898816309771306E-4</v>
      </c>
      <c r="J223" s="6">
        <f t="shared" si="38"/>
        <v>5.7942259479230023E-3</v>
      </c>
      <c r="K223" s="6">
        <f t="shared" si="38"/>
        <v>2.8463016418229037E-3</v>
      </c>
      <c r="L223" s="6">
        <f t="shared" si="38"/>
        <v>-6.7059033946733737E-4</v>
      </c>
      <c r="M223" s="6">
        <f t="shared" si="38"/>
        <v>-7.466713020734231E-3</v>
      </c>
      <c r="N223" s="6">
        <f t="shared" si="38"/>
        <v>5.0715161981972666E-3</v>
      </c>
      <c r="O223" s="6">
        <f t="shared" si="41"/>
        <v>1.9149294474749643E-3</v>
      </c>
      <c r="P223" s="6"/>
      <c r="Q223" s="6">
        <f t="shared" si="47"/>
        <v>-1.8113614088010317E-3</v>
      </c>
      <c r="R223" s="6">
        <f t="shared" si="42"/>
        <v>-7.466713020734231E-3</v>
      </c>
      <c r="S223" s="6">
        <f t="shared" si="43"/>
        <v>-2.5210996386634578E-3</v>
      </c>
      <c r="T223" s="6">
        <f t="shared" si="44"/>
        <v>1.542347953635378E-5</v>
      </c>
      <c r="U223" s="6">
        <f t="shared" si="45"/>
        <v>3.9259523553492178E-4</v>
      </c>
      <c r="V223" s="6">
        <f t="shared" si="39"/>
        <v>-4.3274139909919495E-3</v>
      </c>
      <c r="W223" s="6">
        <f t="shared" si="46"/>
        <v>-4.9012376414995628E-3</v>
      </c>
      <c r="X223" s="6"/>
      <c r="AF223" s="38"/>
    </row>
    <row r="224" spans="1:32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40"/>
        <v>1.9898816309771306E-4</v>
      </c>
      <c r="J224" s="6">
        <f t="shared" si="38"/>
        <v>2.1389960415288217E-2</v>
      </c>
      <c r="K224" s="6">
        <f t="shared" si="38"/>
        <v>6.7668210053826762E-3</v>
      </c>
      <c r="L224" s="6">
        <f t="shared" si="38"/>
        <v>-1.3339105875401823E-2</v>
      </c>
      <c r="M224" s="6">
        <f t="shared" si="38"/>
        <v>4.8064098657813409E-3</v>
      </c>
      <c r="N224" s="6">
        <f t="shared" si="38"/>
        <v>5.4339884131971751E-3</v>
      </c>
      <c r="O224" s="6">
        <f t="shared" si="41"/>
        <v>0</v>
      </c>
      <c r="P224" s="6"/>
      <c r="Q224" s="6">
        <f t="shared" si="47"/>
        <v>-4.8921851397274634E-4</v>
      </c>
      <c r="R224" s="6">
        <f t="shared" si="42"/>
        <v>4.8064098657813409E-3</v>
      </c>
      <c r="S224" s="6">
        <f t="shared" si="43"/>
        <v>2.1817252019528405E-3</v>
      </c>
      <c r="T224" s="6">
        <f t="shared" si="44"/>
        <v>0</v>
      </c>
      <c r="U224" s="6">
        <f t="shared" si="45"/>
        <v>1.673125328539657E-3</v>
      </c>
      <c r="V224" s="6">
        <f t="shared" si="39"/>
        <v>-3.1557522601956584E-3</v>
      </c>
      <c r="W224" s="6">
        <f t="shared" si="46"/>
        <v>3.0742279813009317E-4</v>
      </c>
      <c r="X224" s="6"/>
      <c r="AF224" s="38"/>
    </row>
    <row r="225" spans="1:32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40"/>
        <v>1.9898816309771306E-4</v>
      </c>
      <c r="J225" s="6">
        <f t="shared" si="38"/>
        <v>6.5176077697273217E-3</v>
      </c>
      <c r="K225" s="6">
        <f t="shared" si="38"/>
        <v>-1.2626414888283227E-2</v>
      </c>
      <c r="L225" s="6">
        <f t="shared" si="38"/>
        <v>1.8538643632364745E-3</v>
      </c>
      <c r="M225" s="6">
        <f t="shared" si="38"/>
        <v>2.1287652308458159E-3</v>
      </c>
      <c r="N225" s="6">
        <f t="shared" si="38"/>
        <v>1.0161544279964853E-3</v>
      </c>
      <c r="O225" s="6">
        <f t="shared" si="41"/>
        <v>0</v>
      </c>
      <c r="P225" s="6"/>
      <c r="Q225" s="6">
        <f t="shared" si="47"/>
        <v>2.828789323767132E-3</v>
      </c>
      <c r="R225" s="6">
        <f t="shared" si="42"/>
        <v>2.1287652308458159E-3</v>
      </c>
      <c r="S225" s="6">
        <f t="shared" si="43"/>
        <v>2.8983821501399861E-3</v>
      </c>
      <c r="T225" s="6">
        <f t="shared" si="44"/>
        <v>0</v>
      </c>
      <c r="U225" s="6">
        <f t="shared" si="45"/>
        <v>3.5019552209605816E-3</v>
      </c>
      <c r="V225" s="6">
        <f t="shared" si="39"/>
        <v>2.59895636065213E-3</v>
      </c>
      <c r="W225" s="6">
        <f t="shared" si="46"/>
        <v>1.191429724355791E-3</v>
      </c>
      <c r="X225" s="6"/>
      <c r="AF225" s="38"/>
    </row>
    <row r="226" spans="1:32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40"/>
        <v>1.9898816309771306E-4</v>
      </c>
      <c r="J226" s="6">
        <f t="shared" si="38"/>
        <v>3.7677515857849927E-3</v>
      </c>
      <c r="K226" s="6">
        <f t="shared" si="38"/>
        <v>-4.2976588916777241E-3</v>
      </c>
      <c r="L226" s="6">
        <f t="shared" si="38"/>
        <v>1.1918779573079451E-2</v>
      </c>
      <c r="M226" s="6">
        <f t="shared" si="38"/>
        <v>-5.3176661708070883E-4</v>
      </c>
      <c r="N226" s="6">
        <f t="shared" si="38"/>
        <v>7.4081850375864739E-4</v>
      </c>
      <c r="O226" s="6">
        <f t="shared" si="41"/>
        <v>0</v>
      </c>
      <c r="P226" s="6"/>
      <c r="Q226" s="6">
        <f t="shared" si="47"/>
        <v>6.0583794979160496E-3</v>
      </c>
      <c r="R226" s="6">
        <f t="shared" si="42"/>
        <v>-5.3176661708070883E-4</v>
      </c>
      <c r="S226" s="6">
        <f t="shared" si="43"/>
        <v>4.4381632056561555E-3</v>
      </c>
      <c r="T226" s="6">
        <f t="shared" si="44"/>
        <v>0</v>
      </c>
      <c r="U226" s="6">
        <f t="shared" si="45"/>
        <v>7.0013335638796862E-3</v>
      </c>
      <c r="V226" s="6">
        <f t="shared" si="39"/>
        <v>6.3430101376772026E-3</v>
      </c>
      <c r="W226" s="6">
        <f t="shared" si="46"/>
        <v>2.5664763269433776E-3</v>
      </c>
      <c r="X226" s="6"/>
      <c r="AF226" s="38"/>
    </row>
    <row r="227" spans="1:32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40"/>
        <v>2.0012999773522111E-4</v>
      </c>
      <c r="J227" s="6">
        <f t="shared" ref="J227:N254" si="48">LN(B227/B226)</f>
        <v>1.8628964806476703E-2</v>
      </c>
      <c r="K227" s="6">
        <f t="shared" si="48"/>
        <v>2.2307689124128954E-3</v>
      </c>
      <c r="L227" s="6">
        <f t="shared" si="48"/>
        <v>8.1841949890559102E-4</v>
      </c>
      <c r="M227" s="6">
        <f t="shared" si="48"/>
        <v>1.1701116052050159E-2</v>
      </c>
      <c r="N227" s="6">
        <f t="shared" si="48"/>
        <v>1.0156283642139425E-2</v>
      </c>
      <c r="O227" s="6">
        <f t="shared" si="41"/>
        <v>5.7218030386620624E-3</v>
      </c>
      <c r="P227" s="6"/>
      <c r="Q227" s="6">
        <f t="shared" si="47"/>
        <v>7.9559513963637137E-3</v>
      </c>
      <c r="R227" s="6">
        <f t="shared" si="42"/>
        <v>1.1701116052050159E-2</v>
      </c>
      <c r="S227" s="6">
        <f t="shared" si="43"/>
        <v>9.4957806731406271E-3</v>
      </c>
      <c r="T227" s="6">
        <f t="shared" si="44"/>
        <v>0</v>
      </c>
      <c r="U227" s="6">
        <f t="shared" si="45"/>
        <v>8.7856803087425234E-3</v>
      </c>
      <c r="V227" s="6">
        <f t="shared" si="39"/>
        <v>-8.76794364737081E-4</v>
      </c>
      <c r="W227" s="6">
        <f t="shared" si="46"/>
        <v>8.3156025978360741E-3</v>
      </c>
      <c r="X227" s="6"/>
      <c r="AF227" s="38"/>
    </row>
    <row r="228" spans="1:32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40"/>
        <v>1.9898816309771306E-4</v>
      </c>
      <c r="J228" s="6">
        <f t="shared" si="48"/>
        <v>-2.3494672238777499E-2</v>
      </c>
      <c r="K228" s="6">
        <f t="shared" si="48"/>
        <v>4.2880396046633875E-3</v>
      </c>
      <c r="L228" s="6">
        <f t="shared" si="48"/>
        <v>-1.6857607845247413E-3</v>
      </c>
      <c r="M228" s="6">
        <f t="shared" si="48"/>
        <v>6.3830534173032645E-3</v>
      </c>
      <c r="N228" s="6">
        <f t="shared" si="48"/>
        <v>-8.8016292301766504E-3</v>
      </c>
      <c r="O228" s="6">
        <f t="shared" si="41"/>
        <v>-5.7218030386620858E-3</v>
      </c>
      <c r="P228" s="6"/>
      <c r="Q228" s="6">
        <f t="shared" si="47"/>
        <v>-2.9965851727684015E-3</v>
      </c>
      <c r="R228" s="6">
        <f t="shared" si="42"/>
        <v>6.3830534173032645E-3</v>
      </c>
      <c r="S228" s="6">
        <f t="shared" si="43"/>
        <v>-2.3302819464394993E-3</v>
      </c>
      <c r="T228" s="6">
        <f t="shared" si="44"/>
        <v>1.3961104279765958E-5</v>
      </c>
      <c r="U228" s="6">
        <f t="shared" si="45"/>
        <v>-7.8008057269579609E-3</v>
      </c>
      <c r="V228" s="6">
        <f t="shared" si="39"/>
        <v>6.5786433138451421E-4</v>
      </c>
      <c r="W228" s="6">
        <f t="shared" si="46"/>
        <v>3.8181911782163647E-3</v>
      </c>
      <c r="X228" s="6"/>
      <c r="AF228" s="38"/>
    </row>
    <row r="229" spans="1:32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40"/>
        <v>1.9860747941202739E-4</v>
      </c>
      <c r="J229" s="6">
        <f t="shared" si="48"/>
        <v>1.2966442042243119E-2</v>
      </c>
      <c r="K229" s="6">
        <f t="shared" si="48"/>
        <v>9.4638404252588466E-3</v>
      </c>
      <c r="L229" s="6">
        <f t="shared" si="48"/>
        <v>-1.2173069187035165E-2</v>
      </c>
      <c r="M229" s="6">
        <f t="shared" si="48"/>
        <v>-2.6547400778527642E-3</v>
      </c>
      <c r="N229" s="6">
        <f t="shared" si="48"/>
        <v>5.5018536287759819E-3</v>
      </c>
      <c r="O229" s="6">
        <f t="shared" si="41"/>
        <v>-1.9149294474749528E-3</v>
      </c>
      <c r="P229" s="6"/>
      <c r="Q229" s="6">
        <f t="shared" si="47"/>
        <v>-4.1272338916125712E-3</v>
      </c>
      <c r="R229" s="6">
        <f t="shared" si="42"/>
        <v>-2.6547400778527642E-3</v>
      </c>
      <c r="S229" s="6">
        <f t="shared" si="43"/>
        <v>-2.6092206163392303E-3</v>
      </c>
      <c r="T229" s="6">
        <f t="shared" si="44"/>
        <v>1.6123395257585184E-5</v>
      </c>
      <c r="U229" s="6">
        <f t="shared" si="45"/>
        <v>-1.9215675905648049E-3</v>
      </c>
      <c r="V229" s="6">
        <f t="shared" si="39"/>
        <v>-6.5975129948724915E-3</v>
      </c>
      <c r="W229" s="6">
        <f t="shared" si="46"/>
        <v>-4.2600912213990446E-3</v>
      </c>
      <c r="X229" s="6"/>
      <c r="AF229" s="38"/>
    </row>
    <row r="230" spans="1:32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40"/>
        <v>1.9898816309771306E-4</v>
      </c>
      <c r="J230" s="6">
        <f t="shared" si="48"/>
        <v>1.6604708169325119E-2</v>
      </c>
      <c r="K230" s="6">
        <f t="shared" si="48"/>
        <v>-4.563000564764429E-3</v>
      </c>
      <c r="L230" s="6">
        <f t="shared" si="48"/>
        <v>2.4628348767179134E-2</v>
      </c>
      <c r="M230" s="6">
        <f t="shared" si="48"/>
        <v>-1.2302856764034255E-2</v>
      </c>
      <c r="N230" s="6">
        <f t="shared" si="48"/>
        <v>2.822195662042845E-3</v>
      </c>
      <c r="O230" s="6">
        <f t="shared" si="41"/>
        <v>1.9149294474749643E-3</v>
      </c>
      <c r="P230" s="6"/>
      <c r="Q230" s="6">
        <f t="shared" si="47"/>
        <v>1.0291333046241986E-2</v>
      </c>
      <c r="R230" s="6">
        <f t="shared" si="42"/>
        <v>-1.2302856764034255E-2</v>
      </c>
      <c r="S230" s="6">
        <f t="shared" si="43"/>
        <v>5.7450577842224357E-3</v>
      </c>
      <c r="T230" s="6">
        <f t="shared" si="44"/>
        <v>0</v>
      </c>
      <c r="U230" s="6">
        <f t="shared" si="45"/>
        <v>1.5588654379723996E-2</v>
      </c>
      <c r="V230" s="6">
        <f t="shared" si="39"/>
        <v>1.2867488857121686E-2</v>
      </c>
      <c r="W230" s="6">
        <f t="shared" si="46"/>
        <v>-1.7814816512772254E-3</v>
      </c>
      <c r="X230" s="6"/>
      <c r="AF230" s="38"/>
    </row>
    <row r="231" spans="1:32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40"/>
        <v>1.9784600378991435E-4</v>
      </c>
      <c r="J231" s="6">
        <f t="shared" si="48"/>
        <v>1.7902506232981147E-3</v>
      </c>
      <c r="K231" s="6">
        <f t="shared" si="48"/>
        <v>1.3471334993176645E-2</v>
      </c>
      <c r="L231" s="6">
        <f t="shared" si="48"/>
        <v>1.6853100357796223E-2</v>
      </c>
      <c r="M231" s="6">
        <f t="shared" si="48"/>
        <v>1.4427180508327499E-2</v>
      </c>
      <c r="N231" s="6">
        <f t="shared" si="48"/>
        <v>6.3690536600414091E-3</v>
      </c>
      <c r="O231" s="6">
        <f t="shared" si="41"/>
        <v>-5.7563715877582003E-3</v>
      </c>
      <c r="P231" s="6"/>
      <c r="Q231" s="6">
        <f t="shared" si="47"/>
        <v>1.3170239121630194E-2</v>
      </c>
      <c r="R231" s="6">
        <f t="shared" si="42"/>
        <v>1.4427180508327499E-2</v>
      </c>
      <c r="S231" s="6">
        <f t="shared" si="43"/>
        <v>1.2667573248598431E-2</v>
      </c>
      <c r="T231" s="6">
        <f t="shared" si="44"/>
        <v>0</v>
      </c>
      <c r="U231" s="6">
        <f t="shared" si="45"/>
        <v>1.1268397587621999E-2</v>
      </c>
      <c r="V231" s="6">
        <f t="shared" si="39"/>
        <v>6.2495908384549714E-3</v>
      </c>
      <c r="W231" s="6">
        <f t="shared" si="46"/>
        <v>1.4879213840413314E-2</v>
      </c>
      <c r="X231" s="6"/>
      <c r="AF231" s="38"/>
    </row>
    <row r="232" spans="1:32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40"/>
        <v>1.9670351962641774E-4</v>
      </c>
      <c r="J232" s="6">
        <f t="shared" si="48"/>
        <v>-2.5621428783056767E-2</v>
      </c>
      <c r="K232" s="6">
        <f t="shared" si="48"/>
        <v>1.4519903364922418E-2</v>
      </c>
      <c r="L232" s="6">
        <f t="shared" si="48"/>
        <v>1.5099360369527649E-2</v>
      </c>
      <c r="M232" s="6">
        <f t="shared" si="48"/>
        <v>1.631185864869468E-2</v>
      </c>
      <c r="N232" s="6">
        <f t="shared" si="48"/>
        <v>-1.4025410555021933E-2</v>
      </c>
      <c r="O232" s="6">
        <f t="shared" si="41"/>
        <v>-5.7913508389068353E-3</v>
      </c>
      <c r="P232" s="6"/>
      <c r="Q232" s="6">
        <f t="shared" si="47"/>
        <v>7.8414356352753123E-3</v>
      </c>
      <c r="R232" s="6">
        <f t="shared" si="42"/>
        <v>1.631185864869468E-2</v>
      </c>
      <c r="S232" s="6">
        <f t="shared" si="43"/>
        <v>7.4203526475892538E-3</v>
      </c>
      <c r="T232" s="6">
        <f t="shared" si="44"/>
        <v>0</v>
      </c>
      <c r="U232" s="6">
        <f t="shared" si="45"/>
        <v>1.3240968190709507E-3</v>
      </c>
      <c r="V232" s="6">
        <f t="shared" si="39"/>
        <v>1.4432589949060125E-2</v>
      </c>
      <c r="W232" s="6">
        <f t="shared" si="46"/>
        <v>1.5452030007427196E-2</v>
      </c>
      <c r="X232" s="6"/>
      <c r="AF232" s="38"/>
    </row>
    <row r="233" spans="1:32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40"/>
        <v>1.9670351962641774E-4</v>
      </c>
      <c r="J233" s="6">
        <f t="shared" si="48"/>
        <v>-2.074860964039351E-2</v>
      </c>
      <c r="K233" s="6">
        <f t="shared" si="48"/>
        <v>-3.067024540397419E-4</v>
      </c>
      <c r="L233" s="6">
        <f t="shared" si="48"/>
        <v>-3.2285803587666854E-2</v>
      </c>
      <c r="M233" s="6">
        <f t="shared" si="48"/>
        <v>-5.2205691605959625E-4</v>
      </c>
      <c r="N233" s="6">
        <f t="shared" si="48"/>
        <v>-7.8470804696827295E-3</v>
      </c>
      <c r="O233" s="6">
        <f t="shared" si="41"/>
        <v>0</v>
      </c>
      <c r="P233" s="6"/>
      <c r="Q233" s="6">
        <f t="shared" si="47"/>
        <v>-1.9080559938207172E-2</v>
      </c>
      <c r="R233" s="6">
        <f t="shared" si="42"/>
        <v>-5.2205691605959625E-4</v>
      </c>
      <c r="S233" s="6">
        <f t="shared" si="43"/>
        <v>-1.5093130706085726E-2</v>
      </c>
      <c r="T233" s="6">
        <f t="shared" si="44"/>
        <v>2.7222706126017477E-4</v>
      </c>
      <c r="U233" s="6">
        <f t="shared" si="45"/>
        <v>-2.2919090970610841E-2</v>
      </c>
      <c r="V233" s="6">
        <f t="shared" si="39"/>
        <v>-1.5945835207859076E-2</v>
      </c>
      <c r="W233" s="6">
        <f t="shared" si="46"/>
        <v>-9.1001078051065644E-3</v>
      </c>
      <c r="X233" s="6"/>
      <c r="AF233" s="38"/>
    </row>
    <row r="234" spans="1:32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40"/>
        <v>1.9441757599203413E-4</v>
      </c>
      <c r="J234" s="6">
        <f t="shared" si="48"/>
        <v>5.7973336916425204E-4</v>
      </c>
      <c r="K234" s="6">
        <f t="shared" si="48"/>
        <v>1.5327868988235308E-3</v>
      </c>
      <c r="L234" s="6">
        <f t="shared" si="48"/>
        <v>-9.5291127080258486E-4</v>
      </c>
      <c r="M234" s="6">
        <f t="shared" si="48"/>
        <v>-1.5677557021459298E-3</v>
      </c>
      <c r="N234" s="6">
        <f t="shared" si="48"/>
        <v>-7.1659074070294041E-3</v>
      </c>
      <c r="O234" s="6">
        <f t="shared" si="41"/>
        <v>-1.1689319186543775E-2</v>
      </c>
      <c r="P234" s="6"/>
      <c r="Q234" s="6">
        <f t="shared" si="47"/>
        <v>-8.7738965332764514E-4</v>
      </c>
      <c r="R234" s="6">
        <f t="shared" si="42"/>
        <v>-1.5677557021459298E-3</v>
      </c>
      <c r="S234" s="6">
        <f t="shared" si="43"/>
        <v>-9.2435025178766873E-4</v>
      </c>
      <c r="T234" s="6">
        <f t="shared" si="44"/>
        <v>5.4313440616422522E-6</v>
      </c>
      <c r="U234" s="6">
        <f t="shared" si="45"/>
        <v>-5.3130425347982016E-4</v>
      </c>
      <c r="V234" s="6">
        <f t="shared" si="39"/>
        <v>7.1383152013402736E-3</v>
      </c>
      <c r="W234" s="6">
        <f t="shared" si="46"/>
        <v>-1.1923193302766531E-3</v>
      </c>
      <c r="X234" s="6"/>
      <c r="AF234" s="38"/>
    </row>
    <row r="235" spans="1:32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40"/>
        <v>1.9479865694971288E-4</v>
      </c>
      <c r="J235" s="6">
        <f t="shared" si="48"/>
        <v>-1.5614861566389346E-3</v>
      </c>
      <c r="K235" s="6">
        <f t="shared" si="48"/>
        <v>-7.9964136377382936E-3</v>
      </c>
      <c r="L235" s="6">
        <f t="shared" si="48"/>
        <v>2.3806134291241197E-3</v>
      </c>
      <c r="M235" s="6">
        <f t="shared" si="48"/>
        <v>-3.0265224779422156E-2</v>
      </c>
      <c r="N235" s="6">
        <f t="shared" si="48"/>
        <v>1.0734189165974961E-2</v>
      </c>
      <c r="O235" s="6">
        <f t="shared" si="41"/>
        <v>1.9581972548826181E-3</v>
      </c>
      <c r="P235" s="6"/>
      <c r="Q235" s="6">
        <f t="shared" si="47"/>
        <v>-9.6986764983629809E-3</v>
      </c>
      <c r="R235" s="6">
        <f t="shared" si="42"/>
        <v>-3.0265224779422156E-2</v>
      </c>
      <c r="S235" s="6">
        <f t="shared" si="43"/>
        <v>-1.3644421848366501E-2</v>
      </c>
      <c r="T235" s="6">
        <f t="shared" si="44"/>
        <v>2.2652044038597087E-4</v>
      </c>
      <c r="U235" s="6">
        <f t="shared" si="45"/>
        <v>-4.5284113113594976E-3</v>
      </c>
      <c r="V235" s="6">
        <f t="shared" si="39"/>
        <v>-1.4285335290700168E-2</v>
      </c>
      <c r="W235" s="6">
        <f t="shared" si="46"/>
        <v>-1.998133000819265E-2</v>
      </c>
      <c r="X235" s="6"/>
      <c r="AF235" s="38"/>
    </row>
    <row r="236" spans="1:32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40"/>
        <v>1.9594168295089531E-4</v>
      </c>
      <c r="J236" s="6">
        <f t="shared" si="48"/>
        <v>4.6772962161707281E-3</v>
      </c>
      <c r="K236" s="6">
        <f t="shared" si="48"/>
        <v>2.9291935822486634E-3</v>
      </c>
      <c r="L236" s="6">
        <f t="shared" si="48"/>
        <v>2.3776420016967354E-4</v>
      </c>
      <c r="M236" s="6">
        <f t="shared" si="48"/>
        <v>-1.8498896320453713E-2</v>
      </c>
      <c r="N236" s="6">
        <f t="shared" si="48"/>
        <v>-1.5593317997995005E-3</v>
      </c>
      <c r="O236" s="6">
        <f t="shared" si="41"/>
        <v>5.8505823170835261E-3</v>
      </c>
      <c r="P236" s="6"/>
      <c r="Q236" s="6">
        <f t="shared" si="47"/>
        <v>-5.4311457820506301E-3</v>
      </c>
      <c r="R236" s="6">
        <f t="shared" si="42"/>
        <v>-1.8498896320453713E-2</v>
      </c>
      <c r="S236" s="6">
        <f t="shared" si="43"/>
        <v>-7.5865007219361605E-3</v>
      </c>
      <c r="T236" s="6">
        <f t="shared" si="44"/>
        <v>8.0868201639105504E-5</v>
      </c>
      <c r="U236" s="6">
        <f t="shared" si="45"/>
        <v>-1.4264140383049432E-3</v>
      </c>
      <c r="V236" s="6">
        <f t="shared" si="39"/>
        <v>-6.9222555857014877E-4</v>
      </c>
      <c r="W236" s="6">
        <f t="shared" si="46"/>
        <v>-1.1994845174570886E-2</v>
      </c>
      <c r="X236" s="6"/>
      <c r="AF236" s="38"/>
    </row>
    <row r="237" spans="1:32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40"/>
        <v>1.9556071042226009E-4</v>
      </c>
      <c r="J237" s="6">
        <f t="shared" si="48"/>
        <v>-2.9175802186708118E-2</v>
      </c>
      <c r="K237" s="6">
        <f t="shared" si="48"/>
        <v>1.3000091618175304E-2</v>
      </c>
      <c r="L237" s="6">
        <f t="shared" si="48"/>
        <v>-8.307151793191617E-3</v>
      </c>
      <c r="M237" s="6">
        <f t="shared" si="48"/>
        <v>5.0853933718081321E-2</v>
      </c>
      <c r="N237" s="6">
        <f t="shared" si="48"/>
        <v>-2.3421178443889513E-2</v>
      </c>
      <c r="O237" s="6">
        <f t="shared" si="41"/>
        <v>-1.9462085307038084E-3</v>
      </c>
      <c r="P237" s="6"/>
      <c r="Q237" s="6">
        <f t="shared" si="47"/>
        <v>8.3005595282027653E-3</v>
      </c>
      <c r="R237" s="6">
        <f t="shared" si="42"/>
        <v>5.0853933718081321E-2</v>
      </c>
      <c r="S237" s="6">
        <f t="shared" si="43"/>
        <v>1.506801403185349E-2</v>
      </c>
      <c r="T237" s="6">
        <f t="shared" si="44"/>
        <v>0</v>
      </c>
      <c r="U237" s="6">
        <f t="shared" si="45"/>
        <v>-5.404746908641872E-3</v>
      </c>
      <c r="V237" s="6">
        <f t="shared" si="39"/>
        <v>1.5625050516123277E-2</v>
      </c>
      <c r="W237" s="6">
        <f t="shared" si="46"/>
        <v>3.2084831307773766E-2</v>
      </c>
      <c r="X237" s="6"/>
      <c r="AF237" s="38"/>
    </row>
    <row r="238" spans="1:32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40"/>
        <v>1.9174899651042132E-4</v>
      </c>
      <c r="J238" s="6">
        <f t="shared" si="48"/>
        <v>-4.8161042901711899E-3</v>
      </c>
      <c r="K238" s="6">
        <f t="shared" si="48"/>
        <v>3.943013964285107E-3</v>
      </c>
      <c r="L238" s="6">
        <f t="shared" si="48"/>
        <v>3.8346355812063522E-4</v>
      </c>
      <c r="M238" s="6">
        <f t="shared" si="48"/>
        <v>1.564589587366755E-3</v>
      </c>
      <c r="N238" s="6">
        <f t="shared" si="48"/>
        <v>-5.1559504042484414E-3</v>
      </c>
      <c r="O238" s="6">
        <f t="shared" si="41"/>
        <v>-1.9683663551158869E-2</v>
      </c>
      <c r="P238" s="6"/>
      <c r="Q238" s="6">
        <f t="shared" si="47"/>
        <v>-1.8691565858350962E-4</v>
      </c>
      <c r="R238" s="6">
        <f t="shared" si="42"/>
        <v>1.564589587366755E-3</v>
      </c>
      <c r="S238" s="6">
        <f t="shared" si="43"/>
        <v>-1.1205611942686805E-4</v>
      </c>
      <c r="T238" s="6">
        <f t="shared" si="44"/>
        <v>2.3050231994164725E-6</v>
      </c>
      <c r="U238" s="6">
        <f t="shared" si="45"/>
        <v>-1.200825319862966E-3</v>
      </c>
      <c r="V238" s="6">
        <f t="shared" si="39"/>
        <v>5.5728827628013042E-3</v>
      </c>
      <c r="W238" s="6">
        <f t="shared" si="46"/>
        <v>1.3341373053265607E-3</v>
      </c>
      <c r="X238" s="6"/>
      <c r="AF238" s="38"/>
    </row>
    <row r="239" spans="1:32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40"/>
        <v>1.9022329759033063E-4</v>
      </c>
      <c r="J239" s="6">
        <f t="shared" si="48"/>
        <v>2.1586660116600692E-3</v>
      </c>
      <c r="K239" s="6">
        <f t="shared" si="48"/>
        <v>1.4723868428621712E-2</v>
      </c>
      <c r="L239" s="6">
        <f t="shared" si="48"/>
        <v>1.6963686226937915E-2</v>
      </c>
      <c r="M239" s="6">
        <f t="shared" si="48"/>
        <v>-9.4242056297434203E-3</v>
      </c>
      <c r="N239" s="6">
        <f t="shared" si="48"/>
        <v>1.1029442312488889E-2</v>
      </c>
      <c r="O239" s="6">
        <f t="shared" si="41"/>
        <v>-7.9885743415427004E-3</v>
      </c>
      <c r="P239" s="6"/>
      <c r="Q239" s="6">
        <f t="shared" si="47"/>
        <v>5.0089159927437675E-3</v>
      </c>
      <c r="R239" s="6">
        <f t="shared" si="42"/>
        <v>-9.4242056297434203E-3</v>
      </c>
      <c r="S239" s="6">
        <f t="shared" si="43"/>
        <v>1.6703904258090303E-3</v>
      </c>
      <c r="T239" s="6">
        <f t="shared" si="44"/>
        <v>0</v>
      </c>
      <c r="U239" s="6">
        <f t="shared" si="45"/>
        <v>7.3897901850715287E-3</v>
      </c>
      <c r="V239" s="6">
        <f t="shared" si="39"/>
        <v>-1.521869227990913E-3</v>
      </c>
      <c r="W239" s="6">
        <f t="shared" si="46"/>
        <v>-8.5155391738702801E-4</v>
      </c>
      <c r="X239" s="6"/>
      <c r="AF239" s="38"/>
    </row>
    <row r="240" spans="1:32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40"/>
        <v>1.8946023076238383E-4</v>
      </c>
      <c r="J240" s="6">
        <f t="shared" si="48"/>
        <v>1.2838228252665619E-3</v>
      </c>
      <c r="K240" s="6">
        <f t="shared" si="48"/>
        <v>-3.2865430207580882E-3</v>
      </c>
      <c r="L240" s="6">
        <f t="shared" si="48"/>
        <v>-6.5707247389028478E-3</v>
      </c>
      <c r="M240" s="6">
        <f t="shared" si="48"/>
        <v>-5.8032344347412621E-3</v>
      </c>
      <c r="N240" s="6">
        <f t="shared" si="48"/>
        <v>8.129903108684501E-4</v>
      </c>
      <c r="O240" s="6">
        <f t="shared" si="41"/>
        <v>-4.0194941224900244E-3</v>
      </c>
      <c r="P240" s="6"/>
      <c r="Q240" s="6">
        <f t="shared" si="47"/>
        <v>-4.8230454237441697E-3</v>
      </c>
      <c r="R240" s="6">
        <f t="shared" si="42"/>
        <v>-5.8032344347412621E-3</v>
      </c>
      <c r="S240" s="6">
        <f t="shared" si="43"/>
        <v>-4.6170321556816005E-3</v>
      </c>
      <c r="T240" s="6">
        <f t="shared" si="44"/>
        <v>3.6279014392867279E-5</v>
      </c>
      <c r="U240" s="6">
        <f t="shared" si="45"/>
        <v>-3.7432358760074213E-3</v>
      </c>
      <c r="V240" s="6">
        <f t="shared" si="39"/>
        <v>-4.0180968392742348E-3</v>
      </c>
      <c r="W240" s="6">
        <f t="shared" si="46"/>
        <v>-5.7781009775941788E-3</v>
      </c>
      <c r="X240" s="6"/>
      <c r="AF240" s="38"/>
    </row>
    <row r="241" spans="1:32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40"/>
        <v>1.8946023076238383E-4</v>
      </c>
      <c r="J241" s="6">
        <f t="shared" si="48"/>
        <v>2.562716177992965E-3</v>
      </c>
      <c r="K241" s="6">
        <f t="shared" si="48"/>
        <v>1.2638603848310002E-2</v>
      </c>
      <c r="L241" s="6">
        <f t="shared" si="48"/>
        <v>2.0374359451747755E-2</v>
      </c>
      <c r="M241" s="6">
        <f t="shared" si="48"/>
        <v>4.2238711161852434E-3</v>
      </c>
      <c r="N241" s="6">
        <f t="shared" si="48"/>
        <v>-4.9724964337360253E-3</v>
      </c>
      <c r="O241" s="6">
        <f t="shared" si="41"/>
        <v>0</v>
      </c>
      <c r="P241" s="6"/>
      <c r="Q241" s="6">
        <f t="shared" si="47"/>
        <v>1.1407438153400395E-2</v>
      </c>
      <c r="R241" s="6">
        <f t="shared" si="42"/>
        <v>4.2238711161852434E-3</v>
      </c>
      <c r="S241" s="6">
        <f t="shared" si="43"/>
        <v>9.2308545579694035E-3</v>
      </c>
      <c r="T241" s="6">
        <f t="shared" si="44"/>
        <v>0</v>
      </c>
      <c r="U241" s="6">
        <f t="shared" si="45"/>
        <v>1.1510277121869292E-2</v>
      </c>
      <c r="V241" s="6">
        <f t="shared" si="39"/>
        <v>1.5929052938655874E-2</v>
      </c>
      <c r="W241" s="6">
        <f t="shared" si="46"/>
        <v>8.9886904398946664E-3</v>
      </c>
      <c r="X241" s="6"/>
      <c r="AF241" s="38"/>
    </row>
    <row r="242" spans="1:32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40"/>
        <v>1.8946023076238383E-4</v>
      </c>
      <c r="J242" s="6">
        <f t="shared" si="48"/>
        <v>1.4879566390620118E-2</v>
      </c>
      <c r="K242" s="6">
        <f t="shared" si="48"/>
        <v>-1.3986271941776691E-2</v>
      </c>
      <c r="L242" s="6">
        <f t="shared" si="48"/>
        <v>-1.1168596535331227E-2</v>
      </c>
      <c r="M242" s="6">
        <f t="shared" si="48"/>
        <v>1.4125267552011362E-2</v>
      </c>
      <c r="N242" s="6">
        <f t="shared" si="48"/>
        <v>1.567000529191805E-2</v>
      </c>
      <c r="O242" s="6">
        <f t="shared" si="41"/>
        <v>0</v>
      </c>
      <c r="P242" s="6"/>
      <c r="Q242" s="6">
        <f t="shared" si="47"/>
        <v>2.5264681837728182E-3</v>
      </c>
      <c r="R242" s="6">
        <f t="shared" si="42"/>
        <v>1.4125267552011362E-2</v>
      </c>
      <c r="S242" s="6">
        <f t="shared" si="43"/>
        <v>5.8812819563437129E-3</v>
      </c>
      <c r="T242" s="6">
        <f t="shared" si="44"/>
        <v>0</v>
      </c>
      <c r="U242" s="6">
        <f t="shared" si="45"/>
        <v>2.0794890989445512E-3</v>
      </c>
      <c r="V242" s="6">
        <f t="shared" si="39"/>
        <v>-1.1845556671439427E-2</v>
      </c>
      <c r="W242" s="6">
        <f t="shared" si="46"/>
        <v>5.7233357383259624E-3</v>
      </c>
      <c r="X242" s="6"/>
      <c r="AF242" s="38"/>
    </row>
    <row r="243" spans="1:32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40"/>
        <v>1.8984178229608517E-4</v>
      </c>
      <c r="J243" s="6">
        <f t="shared" si="48"/>
        <v>-1.6892595276606047E-2</v>
      </c>
      <c r="K243" s="6">
        <f t="shared" si="48"/>
        <v>1.8114838733001931E-2</v>
      </c>
      <c r="L243" s="6">
        <f t="shared" si="48"/>
        <v>-2.300698438939985E-2</v>
      </c>
      <c r="M243" s="6">
        <f t="shared" si="48"/>
        <v>1.1363707289245462E-2</v>
      </c>
      <c r="N243" s="6">
        <f t="shared" si="48"/>
        <v>-1.3788191433053192E-2</v>
      </c>
      <c r="O243" s="6">
        <f t="shared" si="41"/>
        <v>2.0118620479849911E-3</v>
      </c>
      <c r="P243" s="6"/>
      <c r="Q243" s="6">
        <f t="shared" si="47"/>
        <v>-9.9191171797789763E-3</v>
      </c>
      <c r="R243" s="6">
        <f t="shared" si="42"/>
        <v>1.1363707289245462E-2</v>
      </c>
      <c r="S243" s="6">
        <f t="shared" si="43"/>
        <v>-5.6802017196643162E-3</v>
      </c>
      <c r="T243" s="6">
        <f t="shared" si="44"/>
        <v>5.0216723192127143E-5</v>
      </c>
      <c r="U243" s="6">
        <f t="shared" si="45"/>
        <v>-1.5058571490753715E-2</v>
      </c>
      <c r="V243" s="6">
        <f t="shared" si="39"/>
        <v>-3.0298213117953676E-3</v>
      </c>
      <c r="W243" s="6">
        <f t="shared" si="46"/>
        <v>2.4182814684343386E-3</v>
      </c>
      <c r="X243" s="6"/>
      <c r="AF243" s="38"/>
    </row>
    <row r="244" spans="1:32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40"/>
        <v>1.9022329759033063E-4</v>
      </c>
      <c r="J244" s="6">
        <f t="shared" si="48"/>
        <v>6.8458769114516189E-3</v>
      </c>
      <c r="K244" s="6">
        <f t="shared" si="48"/>
        <v>1.9958459712746134E-2</v>
      </c>
      <c r="L244" s="6">
        <f t="shared" si="48"/>
        <v>-4.3337697237488322E-2</v>
      </c>
      <c r="M244" s="6">
        <f t="shared" si="48"/>
        <v>-5.1492389779095047E-3</v>
      </c>
      <c r="N244" s="6">
        <f t="shared" si="48"/>
        <v>-1.8552885294602865E-2</v>
      </c>
      <c r="O244" s="6">
        <f t="shared" si="41"/>
        <v>2.0076320745050212E-3</v>
      </c>
      <c r="P244" s="6"/>
      <c r="Q244" s="6">
        <f t="shared" si="47"/>
        <v>-2.061377543672066E-2</v>
      </c>
      <c r="R244" s="6">
        <f t="shared" si="42"/>
        <v>-5.1492389779095047E-3</v>
      </c>
      <c r="S244" s="6">
        <f t="shared" si="43"/>
        <v>-1.5269766192061787E-2</v>
      </c>
      <c r="T244" s="6">
        <f t="shared" si="44"/>
        <v>2.7808698682375697E-4</v>
      </c>
      <c r="U244" s="6">
        <f t="shared" si="45"/>
        <v>-1.9608315963958099E-2</v>
      </c>
      <c r="V244" s="6">
        <f t="shared" si="39"/>
        <v>-3.3449813033550532E-3</v>
      </c>
      <c r="W244" s="6">
        <f t="shared" si="46"/>
        <v>-1.3558564094878725E-2</v>
      </c>
      <c r="X244" s="6"/>
      <c r="AF244" s="38"/>
    </row>
    <row r="245" spans="1:32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40"/>
        <v>1.9060477665200359E-4</v>
      </c>
      <c r="J245" s="6">
        <f t="shared" si="48"/>
        <v>-4.936563304839342E-2</v>
      </c>
      <c r="K245" s="6">
        <f t="shared" si="48"/>
        <v>-1.7900558015048668E-2</v>
      </c>
      <c r="L245" s="6">
        <f t="shared" si="48"/>
        <v>-2.1521514209848672E-2</v>
      </c>
      <c r="M245" s="6">
        <f t="shared" si="48"/>
        <v>-2.4034646374763047E-2</v>
      </c>
      <c r="N245" s="6">
        <f t="shared" si="48"/>
        <v>-3.0427045496882188E-2</v>
      </c>
      <c r="O245" s="6">
        <f t="shared" si="41"/>
        <v>2.0034194696742034E-3</v>
      </c>
      <c r="P245" s="6"/>
      <c r="Q245" s="6">
        <f t="shared" si="47"/>
        <v>-2.7644895728941014E-2</v>
      </c>
      <c r="R245" s="6">
        <f t="shared" si="42"/>
        <v>-2.4034646374763047E-2</v>
      </c>
      <c r="S245" s="6">
        <f t="shared" si="43"/>
        <v>-2.8321521326939332E-2</v>
      </c>
      <c r="T245" s="6">
        <f t="shared" si="44"/>
        <v>8.8373587931757955E-4</v>
      </c>
      <c r="U245" s="6">
        <f t="shared" si="45"/>
        <v>-3.1509543787856434E-2</v>
      </c>
      <c r="V245" s="6">
        <f t="shared" si="39"/>
        <v>-4.693846696858732E-3</v>
      </c>
      <c r="W245" s="6">
        <f t="shared" si="46"/>
        <v>-2.3252433271913085E-2</v>
      </c>
      <c r="X245" s="6"/>
      <c r="AF245" s="38"/>
    </row>
    <row r="246" spans="1:32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40"/>
        <v>1.8946023076238383E-4</v>
      </c>
      <c r="J246" s="6">
        <f t="shared" si="48"/>
        <v>-9.7960810695936606E-3</v>
      </c>
      <c r="K246" s="6">
        <f t="shared" si="48"/>
        <v>-7.3441060418495512E-4</v>
      </c>
      <c r="L246" s="6">
        <f t="shared" si="48"/>
        <v>2.7529327489063685E-2</v>
      </c>
      <c r="M246" s="6">
        <f t="shared" si="48"/>
        <v>1.4698479459715275E-2</v>
      </c>
      <c r="N246" s="6">
        <f t="shared" si="48"/>
        <v>1.0300905557719547E-2</v>
      </c>
      <c r="O246" s="6">
        <f t="shared" si="41"/>
        <v>-6.0229135921643839E-3</v>
      </c>
      <c r="P246" s="6"/>
      <c r="Q246" s="6">
        <f t="shared" si="47"/>
        <v>1.6035292564615305E-2</v>
      </c>
      <c r="R246" s="6">
        <f t="shared" si="42"/>
        <v>1.4698479459715275E-2</v>
      </c>
      <c r="S246" s="6">
        <f t="shared" si="43"/>
        <v>1.3943124221604731E-2</v>
      </c>
      <c r="T246" s="6">
        <f t="shared" si="44"/>
        <v>0</v>
      </c>
      <c r="U246" s="6">
        <f t="shared" si="45"/>
        <v>1.2530056328995983E-2</v>
      </c>
      <c r="V246" s="6">
        <f t="shared" si="39"/>
        <v>4.0469168232178006E-3</v>
      </c>
      <c r="W246" s="6">
        <f t="shared" si="46"/>
        <v>1.6883010876987438E-2</v>
      </c>
      <c r="X246" s="6"/>
      <c r="AF246" s="38"/>
    </row>
    <row r="247" spans="1:32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40"/>
        <v>1.8831535865504456E-4</v>
      </c>
      <c r="J247" s="6">
        <f t="shared" si="48"/>
        <v>1.2420806909965328E-2</v>
      </c>
      <c r="K247" s="6">
        <f t="shared" si="48"/>
        <v>6.0068453122636119E-3</v>
      </c>
      <c r="L247" s="6">
        <f t="shared" si="48"/>
        <v>2.9943605302915484E-4</v>
      </c>
      <c r="M247" s="6">
        <f t="shared" si="48"/>
        <v>3.1216986037119246E-3</v>
      </c>
      <c r="N247" s="6">
        <f t="shared" si="48"/>
        <v>-7.7647563892511828E-3</v>
      </c>
      <c r="O247" s="6">
        <f t="shared" si="41"/>
        <v>-6.0611412932984471E-3</v>
      </c>
      <c r="P247" s="6"/>
      <c r="Q247" s="6">
        <f t="shared" si="47"/>
        <v>3.5652314630298726E-3</v>
      </c>
      <c r="R247" s="6">
        <f t="shared" si="42"/>
        <v>3.1216986037119246E-3</v>
      </c>
      <c r="S247" s="6">
        <f t="shared" si="43"/>
        <v>4.0786037446709326E-3</v>
      </c>
      <c r="T247" s="6">
        <f t="shared" si="44"/>
        <v>0</v>
      </c>
      <c r="U247" s="6">
        <f t="shared" si="45"/>
        <v>4.9416210693801138E-3</v>
      </c>
      <c r="V247" s="6">
        <f t="shared" si="39"/>
        <v>1.2516668564005387E-2</v>
      </c>
      <c r="W247" s="6">
        <f t="shared" si="46"/>
        <v>2.6498239679560026E-3</v>
      </c>
      <c r="X247" s="6"/>
      <c r="AF247" s="38"/>
    </row>
    <row r="248" spans="1:32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40"/>
        <v>1.8869701894863589E-4</v>
      </c>
      <c r="J248" s="6">
        <f t="shared" si="48"/>
        <v>1.6496471649674511E-2</v>
      </c>
      <c r="K248" s="6">
        <f t="shared" si="48"/>
        <v>3.9362102876051566E-3</v>
      </c>
      <c r="L248" s="6">
        <f t="shared" si="48"/>
        <v>1.8098719175530638E-2</v>
      </c>
      <c r="M248" s="6">
        <f t="shared" si="48"/>
        <v>7.7620053354891094E-3</v>
      </c>
      <c r="N248" s="6">
        <f t="shared" si="48"/>
        <v>2.2781128575607587E-2</v>
      </c>
      <c r="O248" s="6">
        <f t="shared" si="41"/>
        <v>2.0246572613530339E-3</v>
      </c>
      <c r="P248" s="6"/>
      <c r="Q248" s="6">
        <f t="shared" si="47"/>
        <v>1.4207264833236404E-2</v>
      </c>
      <c r="R248" s="6">
        <f t="shared" si="42"/>
        <v>7.7620053354891094E-3</v>
      </c>
      <c r="S248" s="6">
        <f t="shared" si="43"/>
        <v>1.2932301136284526E-2</v>
      </c>
      <c r="T248" s="6">
        <f t="shared" si="44"/>
        <v>0</v>
      </c>
      <c r="U248" s="6">
        <f t="shared" si="45"/>
        <v>1.5789536404105367E-2</v>
      </c>
      <c r="V248" s="6">
        <f t="shared" si="39"/>
        <v>-4.6802207597811448E-3</v>
      </c>
      <c r="W248" s="6">
        <f t="shared" si="46"/>
        <v>1.0343998610797782E-2</v>
      </c>
      <c r="X248" s="6"/>
      <c r="AF248" s="38"/>
    </row>
    <row r="249" spans="1:32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40"/>
        <v>1.8717016014413446E-4</v>
      </c>
      <c r="J249" s="6">
        <f t="shared" si="48"/>
        <v>1.3642429865120695E-2</v>
      </c>
      <c r="K249" s="6">
        <f t="shared" si="48"/>
        <v>-7.2779275329949461E-4</v>
      </c>
      <c r="L249" s="6">
        <f t="shared" si="48"/>
        <v>8.4907795310884548E-3</v>
      </c>
      <c r="M249" s="6">
        <f t="shared" si="48"/>
        <v>4.6284474501869788E-3</v>
      </c>
      <c r="N249" s="6">
        <f t="shared" si="48"/>
        <v>4.660780212150723E-3</v>
      </c>
      <c r="O249" s="6">
        <f t="shared" si="41"/>
        <v>-8.1245040168903531E-3</v>
      </c>
      <c r="P249" s="6"/>
      <c r="Q249" s="6">
        <f t="shared" si="47"/>
        <v>8.1211035641951188E-3</v>
      </c>
      <c r="R249" s="6">
        <f t="shared" si="42"/>
        <v>4.6284474501869788E-3</v>
      </c>
      <c r="S249" s="6">
        <f t="shared" si="43"/>
        <v>7.7168449125451059E-3</v>
      </c>
      <c r="T249" s="6">
        <f t="shared" si="44"/>
        <v>0</v>
      </c>
      <c r="U249" s="6">
        <f t="shared" si="45"/>
        <v>9.602342538560028E-3</v>
      </c>
      <c r="V249" s="6">
        <f t="shared" si="39"/>
        <v>6.3652889324552608E-3</v>
      </c>
      <c r="W249" s="6">
        <f t="shared" si="46"/>
        <v>5.4099888233190164E-3</v>
      </c>
      <c r="X249" s="6"/>
      <c r="AF249" s="38"/>
    </row>
    <row r="250" spans="1:32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40"/>
        <v>1.8717016014413446E-4</v>
      </c>
      <c r="J250" s="6">
        <f t="shared" si="48"/>
        <v>7.1046339891622338E-3</v>
      </c>
      <c r="K250" s="6">
        <f t="shared" si="48"/>
        <v>-7.4534799929999399E-3</v>
      </c>
      <c r="L250" s="6">
        <f t="shared" si="48"/>
        <v>1.8932455242062468E-3</v>
      </c>
      <c r="M250" s="6">
        <f t="shared" si="48"/>
        <v>-3.0832501301206196E-3</v>
      </c>
      <c r="N250" s="6">
        <f t="shared" si="48"/>
        <v>4.3036707511422095E-5</v>
      </c>
      <c r="O250" s="6">
        <f t="shared" si="41"/>
        <v>0</v>
      </c>
      <c r="P250" s="6"/>
      <c r="Q250" s="6">
        <f t="shared" si="47"/>
        <v>1.147953756630073E-3</v>
      </c>
      <c r="R250" s="6">
        <f t="shared" si="42"/>
        <v>-3.0832501301206196E-3</v>
      </c>
      <c r="S250" s="6">
        <f t="shared" si="43"/>
        <v>6.1215161187909276E-4</v>
      </c>
      <c r="T250" s="6">
        <f t="shared" si="44"/>
        <v>6.3047181636332174E-7</v>
      </c>
      <c r="U250" s="6">
        <f t="shared" si="45"/>
        <v>2.8357174140813384E-3</v>
      </c>
      <c r="V250" s="6">
        <f t="shared" si="39"/>
        <v>2.7974731307681563E-3</v>
      </c>
      <c r="W250" s="6">
        <f t="shared" si="46"/>
        <v>-1.9348089191965822E-3</v>
      </c>
      <c r="X250" s="6"/>
      <c r="AF250" s="38"/>
    </row>
    <row r="251" spans="1:32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40"/>
        <v>1.8678835474061906E-4</v>
      </c>
      <c r="J251" s="6">
        <f t="shared" si="48"/>
        <v>1.7046925905757491E-2</v>
      </c>
      <c r="K251" s="6">
        <f t="shared" si="48"/>
        <v>4.2450624586943594E-3</v>
      </c>
      <c r="L251" s="6">
        <f t="shared" si="48"/>
        <v>8.4515026665683331E-3</v>
      </c>
      <c r="M251" s="6">
        <f t="shared" si="48"/>
        <v>4.6213175955976916E-3</v>
      </c>
      <c r="N251" s="6">
        <f t="shared" si="48"/>
        <v>1.6707226654933075E-2</v>
      </c>
      <c r="O251" s="6">
        <f t="shared" si="41"/>
        <v>-2.0419673358617789E-3</v>
      </c>
      <c r="P251" s="6"/>
      <c r="Q251" s="6">
        <f t="shared" si="47"/>
        <v>8.7424012801683264E-3</v>
      </c>
      <c r="R251" s="6">
        <f t="shared" si="42"/>
        <v>4.6213175955976916E-3</v>
      </c>
      <c r="S251" s="6">
        <f t="shared" si="43"/>
        <v>8.3991776761004923E-3</v>
      </c>
      <c r="T251" s="6">
        <f t="shared" si="44"/>
        <v>0</v>
      </c>
      <c r="U251" s="6">
        <f t="shared" si="45"/>
        <v>1.0750965605069438E-2</v>
      </c>
      <c r="V251" s="6">
        <f t="shared" si="39"/>
        <v>-3.8684133455491529E-3</v>
      </c>
      <c r="W251" s="6">
        <f t="shared" si="46"/>
        <v>5.7363332965578301E-3</v>
      </c>
      <c r="X251" s="6"/>
      <c r="AF251" s="38"/>
    </row>
    <row r="252" spans="1:32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40"/>
        <v>1.8487878316397754E-4</v>
      </c>
      <c r="J252" s="6">
        <f t="shared" si="48"/>
        <v>2.0316357014954671E-3</v>
      </c>
      <c r="K252" s="6">
        <f t="shared" si="48"/>
        <v>1.751357702825767E-3</v>
      </c>
      <c r="L252" s="6">
        <f t="shared" si="48"/>
        <v>1.1000172910606301E-2</v>
      </c>
      <c r="M252" s="6">
        <f t="shared" si="48"/>
        <v>5.6193763609869146E-3</v>
      </c>
      <c r="N252" s="6">
        <f t="shared" si="48"/>
        <v>3.816476067632372E-3</v>
      </c>
      <c r="O252" s="6">
        <f t="shared" si="41"/>
        <v>-1.0275798879295729E-2</v>
      </c>
      <c r="P252" s="6"/>
      <c r="Q252" s="6">
        <f t="shared" si="47"/>
        <v>7.4405027205732728E-3</v>
      </c>
      <c r="R252" s="6">
        <f t="shared" si="42"/>
        <v>5.6193763609869146E-3</v>
      </c>
      <c r="S252" s="6">
        <f t="shared" si="43"/>
        <v>6.660624873436812E-3</v>
      </c>
      <c r="T252" s="6">
        <f t="shared" si="44"/>
        <v>0</v>
      </c>
      <c r="U252" s="6">
        <f t="shared" si="45"/>
        <v>7.0051248066515439E-3</v>
      </c>
      <c r="V252" s="6">
        <f t="shared" si="39"/>
        <v>4.7579174719021809E-3</v>
      </c>
      <c r="W252" s="6">
        <f t="shared" si="46"/>
        <v>6.7644673558596696E-3</v>
      </c>
      <c r="X252" s="6"/>
      <c r="AF252" s="38"/>
    </row>
    <row r="253" spans="1:32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40"/>
        <v>1.8067452749437329E-4</v>
      </c>
      <c r="J253" s="6">
        <f t="shared" si="48"/>
        <v>1.3439858184173351E-2</v>
      </c>
      <c r="K253" s="6">
        <f t="shared" si="48"/>
        <v>1.0201851494693278E-3</v>
      </c>
      <c r="L253" s="6">
        <f t="shared" si="48"/>
        <v>6.2116322685317679E-3</v>
      </c>
      <c r="M253" s="6">
        <f t="shared" si="48"/>
        <v>-2.7894319608277238E-2</v>
      </c>
      <c r="N253" s="6">
        <f t="shared" si="48"/>
        <v>1.6004444012785939E-2</v>
      </c>
      <c r="O253" s="6">
        <f t="shared" si="41"/>
        <v>-2.3003162241745385E-2</v>
      </c>
      <c r="P253" s="6"/>
      <c r="Q253" s="6">
        <f t="shared" si="47"/>
        <v>-4.2682140039660829E-3</v>
      </c>
      <c r="R253" s="6">
        <f t="shared" si="42"/>
        <v>-2.7894319608277238E-2</v>
      </c>
      <c r="S253" s="6">
        <f t="shared" si="43"/>
        <v>-8.2225864661647149E-3</v>
      </c>
      <c r="T253" s="6">
        <f t="shared" si="44"/>
        <v>9.2713031310441332E-5</v>
      </c>
      <c r="U253" s="6">
        <f t="shared" si="45"/>
        <v>2.8894965890757345E-3</v>
      </c>
      <c r="V253" s="6">
        <f t="shared" si="39"/>
        <v>-8.7711905022493999E-3</v>
      </c>
      <c r="W253" s="6">
        <f t="shared" si="46"/>
        <v>-1.6685982172108777E-2</v>
      </c>
      <c r="X253" s="6"/>
      <c r="AF253" s="38"/>
    </row>
    <row r="254" spans="1:32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40"/>
        <v>1.69569441239803E-4</v>
      </c>
      <c r="J254" s="6">
        <f t="shared" si="48"/>
        <v>5.9010397660438866E-3</v>
      </c>
      <c r="K254" s="6">
        <f t="shared" si="48"/>
        <v>7.6906421617582866E-3</v>
      </c>
      <c r="L254" s="6">
        <f t="shared" si="48"/>
        <v>1.1374431605290789E-2</v>
      </c>
      <c r="M254" s="6">
        <f t="shared" si="48"/>
        <v>1.3010852287492039E-2</v>
      </c>
      <c r="N254" s="6">
        <f t="shared" si="48"/>
        <v>0</v>
      </c>
      <c r="O254" s="6">
        <f t="shared" si="41"/>
        <v>-6.3434696187352618E-2</v>
      </c>
      <c r="P254" s="6"/>
      <c r="Q254" s="6">
        <f t="shared" si="47"/>
        <v>1.0910511863187641E-2</v>
      </c>
      <c r="R254" s="6">
        <f t="shared" si="42"/>
        <v>1.3010852287492039E-2</v>
      </c>
      <c r="S254" s="6">
        <f t="shared" si="43"/>
        <v>1.1021779162937239E-2</v>
      </c>
      <c r="T254" s="6">
        <f t="shared" si="44"/>
        <v>0</v>
      </c>
      <c r="U254" s="6">
        <f t="shared" si="45"/>
        <v>9.7736040731655587E-3</v>
      </c>
      <c r="V254" s="6">
        <f t="shared" si="39"/>
        <v>1.6837480252252235E-2</v>
      </c>
      <c r="W254" s="6">
        <f t="shared" si="46"/>
        <v>1.2178111262583762E-2</v>
      </c>
      <c r="X254" s="6"/>
      <c r="AF254" s="38"/>
    </row>
    <row r="255" spans="1:32" x14ac:dyDescent="0.2">
      <c r="AF255" s="38"/>
    </row>
    <row r="256" spans="1:32" x14ac:dyDescent="0.2">
      <c r="AF256" s="38"/>
    </row>
    <row r="257" spans="32:32" x14ac:dyDescent="0.2">
      <c r="AF257" s="38"/>
    </row>
    <row r="258" spans="32:32" x14ac:dyDescent="0.2">
      <c r="AF258" s="38"/>
    </row>
    <row r="259" spans="32:32" x14ac:dyDescent="0.2">
      <c r="AF259" s="38"/>
    </row>
    <row r="260" spans="32:32" x14ac:dyDescent="0.2">
      <c r="AF260" s="38"/>
    </row>
    <row r="261" spans="32:32" x14ac:dyDescent="0.2">
      <c r="AF261" s="38"/>
    </row>
    <row r="262" spans="32:32" x14ac:dyDescent="0.2">
      <c r="AF262" s="38"/>
    </row>
    <row r="263" spans="32:32" x14ac:dyDescent="0.2">
      <c r="AF263" s="38"/>
    </row>
    <row r="264" spans="32:32" x14ac:dyDescent="0.2">
      <c r="AF264" s="38"/>
    </row>
  </sheetData>
  <mergeCells count="6">
    <mergeCell ref="W1:W2"/>
    <mergeCell ref="J1:O1"/>
    <mergeCell ref="Q1:Q2"/>
    <mergeCell ref="R1:R2"/>
    <mergeCell ref="S1:T1"/>
    <mergeCell ref="U1:V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71C7-EF10-F941-BCFF-CCB0C07A5923}">
  <dimension ref="A1:Z254"/>
  <sheetViews>
    <sheetView showGridLines="0" tabSelected="1" zoomScale="130" zoomScaleNormal="130" workbookViewId="0">
      <selection activeCell="H19" sqref="H19:K19"/>
    </sheetView>
  </sheetViews>
  <sheetFormatPr baseColWidth="10" defaultRowHeight="14" x14ac:dyDescent="0.2"/>
  <cols>
    <col min="1" max="5" width="10.6640625" style="67" customWidth="1"/>
    <col min="6" max="6" width="10.83203125" style="67"/>
    <col min="7" max="7" width="19.83203125" style="67" bestFit="1" customWidth="1"/>
    <col min="8" max="21" width="10.83203125" style="67"/>
    <col min="22" max="22" width="12.83203125" style="67" bestFit="1" customWidth="1"/>
    <col min="23" max="25" width="10.83203125" style="67"/>
    <col min="26" max="26" width="13.33203125" style="67" bestFit="1" customWidth="1"/>
    <col min="27" max="16384" width="10.83203125" style="67"/>
  </cols>
  <sheetData>
    <row r="1" spans="1:26" ht="15" thickBot="1" x14ac:dyDescent="0.25">
      <c r="A1" s="82" t="s">
        <v>0</v>
      </c>
      <c r="B1" s="83" t="s">
        <v>86</v>
      </c>
      <c r="C1" s="83" t="s">
        <v>87</v>
      </c>
      <c r="D1" s="83" t="s">
        <v>88</v>
      </c>
      <c r="E1" s="83" t="s">
        <v>89</v>
      </c>
    </row>
    <row r="2" spans="1:26" ht="18" thickTop="1" thickBot="1" x14ac:dyDescent="0.25">
      <c r="A2" s="68">
        <v>45154</v>
      </c>
      <c r="B2" s="69">
        <v>-9.8350837056143635E-3</v>
      </c>
      <c r="C2" s="69">
        <v>-6.4035322871765967E-3</v>
      </c>
      <c r="D2" s="69">
        <v>-9.3907464529960002E-3</v>
      </c>
      <c r="E2" s="69">
        <v>-1.1203319916581501E-2</v>
      </c>
      <c r="G2" s="67" t="s">
        <v>104</v>
      </c>
      <c r="H2" s="70">
        <f>+(1+AVERAGE('Ratio de Sharpe'!G2:G254))^(1/250)-1</f>
        <v>1.9926650580459615E-4</v>
      </c>
      <c r="M2" s="71"/>
      <c r="V2" s="85"/>
      <c r="W2" s="85" t="s">
        <v>86</v>
      </c>
      <c r="X2" s="85" t="s">
        <v>87</v>
      </c>
      <c r="Y2" s="85" t="s">
        <v>88</v>
      </c>
      <c r="Z2" s="85" t="s">
        <v>89</v>
      </c>
    </row>
    <row r="3" spans="1:26" ht="17" thickTop="1" x14ac:dyDescent="0.2">
      <c r="A3" s="68">
        <v>45155</v>
      </c>
      <c r="B3" s="69">
        <v>2.5809540020426194E-3</v>
      </c>
      <c r="C3" s="69">
        <v>2.8511962146941443E-3</v>
      </c>
      <c r="D3" s="69">
        <v>2.6617128520546257E-3</v>
      </c>
      <c r="E3" s="69">
        <v>2.5622845321369575E-3</v>
      </c>
      <c r="G3" s="67" t="s">
        <v>103</v>
      </c>
      <c r="H3" s="67">
        <f>+COUNT(E2:E253)</f>
        <v>252</v>
      </c>
      <c r="V3" t="s">
        <v>86</v>
      </c>
      <c r="W3" s="84">
        <v>1</v>
      </c>
      <c r="X3" s="84"/>
      <c r="Y3" s="84"/>
      <c r="Z3" s="84"/>
    </row>
    <row r="4" spans="1:26" ht="16" x14ac:dyDescent="0.2">
      <c r="A4" s="68">
        <v>45156</v>
      </c>
      <c r="B4" s="69">
        <v>4.273332930691558E-3</v>
      </c>
      <c r="C4" s="69">
        <v>3.5523360724823969E-3</v>
      </c>
      <c r="D4" s="69">
        <v>4.3258538423877058E-3</v>
      </c>
      <c r="E4" s="69">
        <v>4.9133864189671887E-3</v>
      </c>
      <c r="V4" t="s">
        <v>87</v>
      </c>
      <c r="W4" s="84">
        <v>0.6777464888991811</v>
      </c>
      <c r="X4" s="84">
        <v>1</v>
      </c>
      <c r="Y4" s="84"/>
      <c r="Z4" s="84"/>
    </row>
    <row r="5" spans="1:26" ht="17" thickBot="1" x14ac:dyDescent="0.25">
      <c r="A5" s="68">
        <v>45159</v>
      </c>
      <c r="B5" s="69">
        <v>-4.3248246938818449E-3</v>
      </c>
      <c r="C5" s="69">
        <v>1.1283650762276005E-2</v>
      </c>
      <c r="D5" s="69">
        <v>-7.4151477011548048E-5</v>
      </c>
      <c r="E5" s="69">
        <v>-5.5711322840223069E-3</v>
      </c>
      <c r="G5" s="77"/>
      <c r="H5" s="77" t="s">
        <v>90</v>
      </c>
      <c r="I5" s="77" t="s">
        <v>91</v>
      </c>
      <c r="J5" s="77" t="s">
        <v>92</v>
      </c>
      <c r="K5" s="77" t="s">
        <v>93</v>
      </c>
      <c r="L5" s="77" t="s">
        <v>106</v>
      </c>
      <c r="V5" t="s">
        <v>88</v>
      </c>
      <c r="W5" s="84">
        <v>0.97126991323565059</v>
      </c>
      <c r="X5" s="84">
        <v>0.81669236960696934</v>
      </c>
      <c r="Y5" s="84">
        <v>1</v>
      </c>
      <c r="Z5" s="84"/>
    </row>
    <row r="6" spans="1:26" ht="17" thickTop="1" x14ac:dyDescent="0.2">
      <c r="A6" s="68">
        <v>45160</v>
      </c>
      <c r="B6" s="69">
        <v>4.7794071065958878E-3</v>
      </c>
      <c r="C6" s="69">
        <v>-7.0373473579131004E-3</v>
      </c>
      <c r="D6" s="69">
        <v>3.3466173131593852E-3</v>
      </c>
      <c r="E6" s="69">
        <v>9.5361442204330033E-3</v>
      </c>
      <c r="G6" s="67" t="s">
        <v>21</v>
      </c>
      <c r="H6" s="72" cm="1">
        <f t="array" ref="H6">+GEOMEAN(1+B2:B253)-1</f>
        <v>1.3790018413815108E-3</v>
      </c>
      <c r="I6" s="72" cm="1">
        <f t="array" ref="I6">+GEOMEAN(1+C2:C253)-1</f>
        <v>1.4280127654109354E-3</v>
      </c>
      <c r="J6" s="72" cm="1">
        <f t="array" ref="J6">+GEOMEAN(1+D2:D253)-1</f>
        <v>1.3706097612224966E-3</v>
      </c>
      <c r="K6" s="72" cm="1">
        <f t="array" ref="K6">+GEOMEAN(1+E2:E253)-1</f>
        <v>1.2987207596188988E-3</v>
      </c>
      <c r="L6" s="67" t="s">
        <v>107</v>
      </c>
      <c r="V6" s="86" t="s">
        <v>89</v>
      </c>
      <c r="W6" s="87">
        <v>0.92225208710082218</v>
      </c>
      <c r="X6" s="87">
        <v>0.39121574872631631</v>
      </c>
      <c r="Y6" s="87">
        <v>0.84945431574012575</v>
      </c>
      <c r="Z6" s="87">
        <v>1</v>
      </c>
    </row>
    <row r="7" spans="1:26" x14ac:dyDescent="0.2">
      <c r="A7" s="68">
        <v>45161</v>
      </c>
      <c r="B7" s="69">
        <v>-5.6873822385500863E-3</v>
      </c>
      <c r="C7" s="69">
        <v>-7.0654176800563693E-4</v>
      </c>
      <c r="D7" s="69">
        <v>-6.0157006774258564E-3</v>
      </c>
      <c r="E7" s="69">
        <v>-9.688014359098638E-3</v>
      </c>
      <c r="G7" s="67" t="s">
        <v>39</v>
      </c>
      <c r="H7" s="72">
        <f>+STDEV(B2:B253)</f>
        <v>8.2697217291625314E-3</v>
      </c>
      <c r="I7" s="72">
        <f>+STDEV(C2:C253)</f>
        <v>1.3397541042164431E-2</v>
      </c>
      <c r="J7" s="72">
        <f>+STDEV(D2:D253)</f>
        <v>8.4536414896524206E-3</v>
      </c>
      <c r="K7" s="72">
        <f>+STDEV(E2:E253)</f>
        <v>8.2739431051960539E-3</v>
      </c>
    </row>
    <row r="8" spans="1:26" x14ac:dyDescent="0.2">
      <c r="A8" s="68">
        <v>45162</v>
      </c>
      <c r="B8" s="69">
        <v>8.1844057171207496E-4</v>
      </c>
      <c r="C8" s="69">
        <v>-2.830866787178094E-3</v>
      </c>
      <c r="D8" s="69">
        <v>8.298663468141313E-4</v>
      </c>
      <c r="E8" s="69">
        <v>3.2370502904854005E-3</v>
      </c>
      <c r="G8" s="67" t="s">
        <v>98</v>
      </c>
      <c r="H8" s="73">
        <f>+(H6-$H2)/H7</f>
        <v>0.1426571986596199</v>
      </c>
      <c r="I8" s="73">
        <f t="shared" ref="I8:K8" si="0">+(I6-$H2)/I7</f>
        <v>9.1714312032279463E-2</v>
      </c>
      <c r="J8" s="73">
        <f t="shared" si="0"/>
        <v>0.13856079144729158</v>
      </c>
      <c r="K8" s="73">
        <f t="shared" si="0"/>
        <v>0.13288153421357743</v>
      </c>
      <c r="L8" s="67" t="s">
        <v>108</v>
      </c>
    </row>
    <row r="9" spans="1:26" x14ac:dyDescent="0.2">
      <c r="A9" s="68">
        <v>45163</v>
      </c>
      <c r="B9" s="69">
        <v>5.7202376124573387E-3</v>
      </c>
      <c r="C9" s="69">
        <v>7.0621975605345338E-3</v>
      </c>
      <c r="D9" s="69">
        <v>6.2199032924928708E-3</v>
      </c>
      <c r="E9" s="69">
        <v>5.9100944307894678E-3</v>
      </c>
      <c r="G9" s="67" t="s">
        <v>99</v>
      </c>
      <c r="H9" s="69">
        <f>+SKEW(B2:B253)</f>
        <v>-0.47469524117499429</v>
      </c>
      <c r="I9" s="69">
        <f t="shared" ref="I9:K9" si="1">+SKEW(C2:C253)</f>
        <v>0.55654665547677762</v>
      </c>
      <c r="J9" s="69">
        <f t="shared" si="1"/>
        <v>-0.10095456999919404</v>
      </c>
      <c r="K9" s="69">
        <f t="shared" si="1"/>
        <v>-0.60802959527827261</v>
      </c>
    </row>
    <row r="10" spans="1:26" x14ac:dyDescent="0.2">
      <c r="A10" s="68">
        <v>45166</v>
      </c>
      <c r="B10" s="69">
        <v>2.1249772828098801E-2</v>
      </c>
      <c r="C10" s="69">
        <v>3.8652123786868747E-2</v>
      </c>
      <c r="D10" s="69">
        <v>2.5042236563552426E-2</v>
      </c>
      <c r="E10" s="69">
        <v>1.7925808008002315E-2</v>
      </c>
      <c r="G10" s="67" t="s">
        <v>100</v>
      </c>
      <c r="H10" s="69">
        <f>+KURT(B2:B253)</f>
        <v>1.2169251446975835</v>
      </c>
      <c r="I10" s="69">
        <f t="shared" ref="I10:K10" si="2">+KURT(C2:C253)</f>
        <v>2.3858239469937246</v>
      </c>
      <c r="J10" s="69">
        <f t="shared" si="2"/>
        <v>0.79258957622371584</v>
      </c>
      <c r="K10" s="69">
        <f t="shared" si="2"/>
        <v>1.2051410270885352</v>
      </c>
      <c r="L10" s="67" t="s">
        <v>109</v>
      </c>
    </row>
    <row r="11" spans="1:26" x14ac:dyDescent="0.2">
      <c r="A11" s="68">
        <v>45167</v>
      </c>
      <c r="B11" s="69">
        <v>7.6354593416647749E-4</v>
      </c>
      <c r="C11" s="69">
        <v>-2.7118017809940271E-3</v>
      </c>
      <c r="D11" s="69">
        <v>1.2468609920760624E-3</v>
      </c>
      <c r="E11" s="69">
        <v>4.092975164792647E-3</v>
      </c>
      <c r="G11" s="67" t="s">
        <v>96</v>
      </c>
      <c r="H11" s="74">
        <f>+SQRT((1-H9*H8 + (H10+2)/4*H8^2)/($H3-1))</f>
        <v>6.5719604357227887E-2</v>
      </c>
      <c r="I11" s="74">
        <f t="shared" ref="I11:K11" si="3">+SQRT((1-I9*I8 + (I10+2)/4*I8^2)/($H3-1))</f>
        <v>6.1785503605208368E-2</v>
      </c>
      <c r="J11" s="74">
        <f t="shared" si="3"/>
        <v>6.3978088312485942E-2</v>
      </c>
      <c r="K11" s="74">
        <f t="shared" si="3"/>
        <v>6.6047930247963377E-2</v>
      </c>
    </row>
    <row r="12" spans="1:26" x14ac:dyDescent="0.2">
      <c r="A12" s="68">
        <v>45168</v>
      </c>
      <c r="B12" s="69">
        <v>-4.1365897546672597E-3</v>
      </c>
      <c r="C12" s="69">
        <v>4.0649860690958528E-3</v>
      </c>
      <c r="D12" s="69">
        <v>-1.9889772954951764E-3</v>
      </c>
      <c r="E12" s="69">
        <v>-4.9519861177823423E-3</v>
      </c>
      <c r="G12" s="78" t="s">
        <v>94</v>
      </c>
      <c r="H12" s="81">
        <f>_xlfn.NORM.S.DIST(H8/H11,1)</f>
        <v>0.98502287198194516</v>
      </c>
      <c r="I12" s="81">
        <f t="shared" ref="I12:K12" si="4">_xlfn.NORM.S.DIST(I8/I11,1)</f>
        <v>0.93114839053996934</v>
      </c>
      <c r="J12" s="81">
        <f t="shared" si="4"/>
        <v>0.98483499940244845</v>
      </c>
      <c r="K12" s="81">
        <f t="shared" si="4"/>
        <v>0.97788452351370314</v>
      </c>
      <c r="L12" s="78" t="s">
        <v>110</v>
      </c>
    </row>
    <row r="13" spans="1:26" x14ac:dyDescent="0.2">
      <c r="A13" s="68">
        <v>45169</v>
      </c>
      <c r="B13" s="69">
        <v>-1.6152064572379004E-4</v>
      </c>
      <c r="C13" s="69">
        <v>-9.5109702559868468E-3</v>
      </c>
      <c r="D13" s="69">
        <v>-1.6384437558458857E-3</v>
      </c>
      <c r="E13" s="69">
        <v>2.9014677982487497E-3</v>
      </c>
      <c r="H13" s="75"/>
      <c r="I13" s="75"/>
      <c r="J13" s="75"/>
      <c r="K13" s="75"/>
    </row>
    <row r="14" spans="1:26" x14ac:dyDescent="0.2">
      <c r="A14" s="68">
        <v>45170</v>
      </c>
      <c r="B14" s="69">
        <v>-8.9645462520043483E-3</v>
      </c>
      <c r="C14" s="69">
        <v>-1.1671910678181512E-2</v>
      </c>
      <c r="D14" s="69">
        <v>-8.8564430587738975E-3</v>
      </c>
      <c r="E14" s="69">
        <v>-6.9492177982723152E-3</v>
      </c>
      <c r="G14" s="67" t="s">
        <v>102</v>
      </c>
      <c r="H14" s="67">
        <v>4</v>
      </c>
    </row>
    <row r="15" spans="1:26" x14ac:dyDescent="0.2">
      <c r="A15" s="68">
        <v>45174</v>
      </c>
      <c r="B15" s="69">
        <v>-4.5376899249915444E-3</v>
      </c>
      <c r="C15" s="69">
        <v>8.9378657253624903E-3</v>
      </c>
      <c r="D15" s="69">
        <v>-3.7615067524092317E-3</v>
      </c>
      <c r="E15" s="69">
        <v>-1.1798702381171587E-2</v>
      </c>
      <c r="G15" s="67" t="s">
        <v>101</v>
      </c>
      <c r="H15" s="67">
        <v>0.57220000000000004</v>
      </c>
      <c r="I15" s="67" t="s">
        <v>112</v>
      </c>
    </row>
    <row r="16" spans="1:26" x14ac:dyDescent="0.2">
      <c r="A16" s="68">
        <v>45175</v>
      </c>
      <c r="B16" s="69">
        <v>-9.5858705769026106E-3</v>
      </c>
      <c r="C16" s="69">
        <v>0</v>
      </c>
      <c r="D16" s="69">
        <v>-8.857389227597854E-3</v>
      </c>
      <c r="E16" s="69">
        <v>-1.4372008616563483E-2</v>
      </c>
      <c r="G16" s="67" t="s">
        <v>105</v>
      </c>
      <c r="H16" s="76">
        <f>+_xlfn.VAR.P(H8:K8)</f>
        <v>4.1431929023557496E-4</v>
      </c>
    </row>
    <row r="17" spans="1:12" x14ac:dyDescent="0.2">
      <c r="A17" s="68">
        <v>45176</v>
      </c>
      <c r="B17" s="69">
        <v>-4.0148398500367694E-3</v>
      </c>
      <c r="C17" s="69">
        <v>-1.4477988707991517E-2</v>
      </c>
      <c r="D17" s="69">
        <v>-5.7862922901187443E-3</v>
      </c>
      <c r="E17" s="69">
        <v>-8.94764055903754E-4</v>
      </c>
      <c r="G17" s="67" t="s">
        <v>95</v>
      </c>
      <c r="H17" s="76">
        <f>+SQRT(H16) * ((1-H15)*_xlfn.NORM.S.INV(1 - 1/H14) + H15*_xlfn.NORM.S.INV(1-1/(H14*EXP(1))))</f>
        <v>2.1348993483053413E-2</v>
      </c>
      <c r="I17" s="67" t="s">
        <v>113</v>
      </c>
    </row>
    <row r="18" spans="1:12" x14ac:dyDescent="0.2">
      <c r="A18" s="68">
        <v>45177</v>
      </c>
      <c r="B18" s="69">
        <v>6.1551964844718567E-3</v>
      </c>
      <c r="C18" s="69">
        <v>8.2988273439278445E-3</v>
      </c>
      <c r="D18" s="69">
        <v>6.6614557501042861E-3</v>
      </c>
      <c r="E18" s="69">
        <v>5.8048178287225657E-3</v>
      </c>
    </row>
    <row r="19" spans="1:12" x14ac:dyDescent="0.2">
      <c r="A19" s="68">
        <v>45180</v>
      </c>
      <c r="B19" s="69">
        <v>1.3190988475126951E-3</v>
      </c>
      <c r="C19" s="69">
        <v>-4.1408787728015178E-3</v>
      </c>
      <c r="D19" s="69">
        <v>-1.1660336079980995E-3</v>
      </c>
      <c r="E19" s="69">
        <v>-3.2289533640778121E-4</v>
      </c>
      <c r="G19" s="79" t="s">
        <v>97</v>
      </c>
      <c r="H19" s="80">
        <f>+_xlfn.NORM.S.DIST((H8-$H17)/H11,1)</f>
        <v>0.96754264503298082</v>
      </c>
      <c r="I19" s="80">
        <f t="shared" ref="I19:K19" si="5">+_xlfn.NORM.S.DIST((I8-$H17)/I11,1)</f>
        <v>0.87262016917559238</v>
      </c>
      <c r="J19" s="80">
        <f t="shared" si="5"/>
        <v>0.96652887718466807</v>
      </c>
      <c r="K19" s="80">
        <f t="shared" si="5"/>
        <v>0.95435775954462843</v>
      </c>
      <c r="L19" s="67" t="s">
        <v>111</v>
      </c>
    </row>
    <row r="20" spans="1:12" x14ac:dyDescent="0.2">
      <c r="A20" s="68">
        <v>45181</v>
      </c>
      <c r="B20" s="69">
        <v>1.7942133115021147E-3</v>
      </c>
      <c r="C20" s="69">
        <v>1.1004270746853787E-2</v>
      </c>
      <c r="D20" s="69">
        <v>2.8744056041636939E-3</v>
      </c>
      <c r="E20" s="69">
        <v>-1.9894068883917096E-3</v>
      </c>
    </row>
    <row r="21" spans="1:12" x14ac:dyDescent="0.2">
      <c r="A21" s="68">
        <v>45182</v>
      </c>
      <c r="B21" s="69">
        <v>2.0862996343855279E-2</v>
      </c>
      <c r="C21" s="69">
        <v>2.9651713697862989E-2</v>
      </c>
      <c r="D21" s="69">
        <v>2.193524289172355E-2</v>
      </c>
      <c r="E21" s="69">
        <v>1.7394313120121713E-2</v>
      </c>
    </row>
    <row r="22" spans="1:12" x14ac:dyDescent="0.2">
      <c r="A22" s="68">
        <v>45183</v>
      </c>
      <c r="B22" s="69">
        <v>1.7422720406473332E-3</v>
      </c>
      <c r="C22" s="69">
        <v>1.1224978589028094E-2</v>
      </c>
      <c r="D22" s="69">
        <v>3.3954055579412052E-3</v>
      </c>
      <c r="E22" s="69">
        <v>-9.5535312746200573E-4</v>
      </c>
    </row>
    <row r="23" spans="1:12" x14ac:dyDescent="0.2">
      <c r="A23" s="68">
        <v>45184</v>
      </c>
      <c r="B23" s="69">
        <v>9.2204338368668181E-4</v>
      </c>
      <c r="C23" s="69">
        <v>-9.2349221157867391E-3</v>
      </c>
      <c r="D23" s="69">
        <v>-2.0867434805435514E-4</v>
      </c>
      <c r="E23" s="69">
        <v>5.1995042264563456E-3</v>
      </c>
    </row>
    <row r="24" spans="1:12" x14ac:dyDescent="0.2">
      <c r="A24" s="68">
        <v>45187</v>
      </c>
      <c r="B24" s="69">
        <v>3.3205765247499423E-3</v>
      </c>
      <c r="C24" s="69">
        <v>7.9209277625121085E-3</v>
      </c>
      <c r="D24" s="69">
        <v>4.5125725784718714E-3</v>
      </c>
      <c r="E24" s="69">
        <v>2.8433568578430006E-3</v>
      </c>
    </row>
    <row r="25" spans="1:12" x14ac:dyDescent="0.2">
      <c r="A25" s="68">
        <v>45188</v>
      </c>
      <c r="B25" s="69">
        <v>1.9006989268995113E-3</v>
      </c>
      <c r="C25" s="69">
        <v>2.2107528152630732E-2</v>
      </c>
      <c r="D25" s="69">
        <v>4.820740571523997E-3</v>
      </c>
      <c r="E25" s="69">
        <v>-5.2339063349536264E-3</v>
      </c>
    </row>
    <row r="26" spans="1:12" x14ac:dyDescent="0.2">
      <c r="A26" s="68">
        <v>45189</v>
      </c>
      <c r="B26" s="69">
        <v>-1.0730049412426886E-2</v>
      </c>
      <c r="C26" s="69">
        <v>-1.5554405482686634E-2</v>
      </c>
      <c r="D26" s="69">
        <v>-1.1672872561917326E-2</v>
      </c>
      <c r="E26" s="69">
        <v>-9.5329538901359236E-3</v>
      </c>
    </row>
    <row r="27" spans="1:12" x14ac:dyDescent="0.2">
      <c r="A27" s="68">
        <v>45190</v>
      </c>
      <c r="B27" s="69">
        <v>-7.8759145940440704E-3</v>
      </c>
      <c r="C27" s="69">
        <v>-1.2488017087223817E-2</v>
      </c>
      <c r="D27" s="69">
        <v>-7.9930339457301158E-3</v>
      </c>
      <c r="E27" s="69">
        <v>-5.1159515981923746E-3</v>
      </c>
    </row>
    <row r="28" spans="1:12" x14ac:dyDescent="0.2">
      <c r="A28" s="68">
        <v>45191</v>
      </c>
      <c r="B28" s="69">
        <v>2.293811043993611E-3</v>
      </c>
      <c r="C28" s="69">
        <v>-3.9760898184737319E-3</v>
      </c>
      <c r="D28" s="69">
        <v>1.2420539962739265E-3</v>
      </c>
      <c r="E28" s="69">
        <v>4.2457983437557828E-3</v>
      </c>
    </row>
    <row r="29" spans="1:12" x14ac:dyDescent="0.2">
      <c r="A29" s="68">
        <v>45194</v>
      </c>
      <c r="B29" s="69">
        <v>-1.0231271265189778E-2</v>
      </c>
      <c r="C29" s="69">
        <v>-2.6595130223768674E-3</v>
      </c>
      <c r="D29" s="69">
        <v>-9.4886488625041156E-3</v>
      </c>
      <c r="E29" s="69">
        <v>-1.3657486051490446E-2</v>
      </c>
    </row>
    <row r="30" spans="1:12" x14ac:dyDescent="0.2">
      <c r="A30" s="68">
        <v>45195</v>
      </c>
      <c r="B30" s="69">
        <v>-2.4561549228513087E-3</v>
      </c>
      <c r="C30" s="69">
        <v>-1.0036916003110012E-2</v>
      </c>
      <c r="D30" s="69">
        <v>-4.5753466239209697E-3</v>
      </c>
      <c r="E30" s="69">
        <v>-1.9319336765009074E-3</v>
      </c>
    </row>
    <row r="31" spans="1:12" x14ac:dyDescent="0.2">
      <c r="A31" s="68">
        <v>45196</v>
      </c>
      <c r="B31" s="69">
        <v>9.2693182775853162E-3</v>
      </c>
      <c r="C31" s="69">
        <v>9.370913321953802E-3</v>
      </c>
      <c r="D31" s="69">
        <v>8.7392590446055424E-3</v>
      </c>
      <c r="E31" s="69">
        <v>8.1210391675733511E-3</v>
      </c>
    </row>
    <row r="32" spans="1:12" x14ac:dyDescent="0.2">
      <c r="A32" s="68">
        <v>45197</v>
      </c>
      <c r="B32" s="69">
        <v>-7.3492792696295845E-3</v>
      </c>
      <c r="C32" s="69">
        <v>6.6600268115622394E-4</v>
      </c>
      <c r="D32" s="69">
        <v>-4.8625501453546816E-3</v>
      </c>
      <c r="E32" s="69">
        <v>-7.3879101425874229E-3</v>
      </c>
    </row>
    <row r="33" spans="1:5" x14ac:dyDescent="0.2">
      <c r="A33" s="68">
        <v>45198</v>
      </c>
      <c r="B33" s="69">
        <v>-9.4284978783766675E-3</v>
      </c>
      <c r="C33" s="69">
        <v>-2.3578125464621125E-2</v>
      </c>
      <c r="D33" s="69">
        <v>-1.0874859385383299E-2</v>
      </c>
      <c r="E33" s="69">
        <v>-3.1672443026387019E-3</v>
      </c>
    </row>
    <row r="34" spans="1:5" x14ac:dyDescent="0.2">
      <c r="A34" s="68">
        <v>45201</v>
      </c>
      <c r="B34" s="69">
        <v>-2.3119340326410377E-3</v>
      </c>
      <c r="C34" s="69">
        <v>7.470418425544037E-3</v>
      </c>
      <c r="D34" s="69">
        <v>-5.6061977232850198E-4</v>
      </c>
      <c r="E34" s="69">
        <v>-5.0068987660847244E-3</v>
      </c>
    </row>
    <row r="35" spans="1:5" x14ac:dyDescent="0.2">
      <c r="A35" s="68">
        <v>45202</v>
      </c>
      <c r="B35" s="69">
        <v>3.8242452117956231E-4</v>
      </c>
      <c r="C35" s="69">
        <v>-8.8346792935787202E-3</v>
      </c>
      <c r="D35" s="69">
        <v>-1.1599759863577634E-3</v>
      </c>
      <c r="E35" s="69">
        <v>3.1735543378925294E-3</v>
      </c>
    </row>
    <row r="36" spans="1:5" x14ac:dyDescent="0.2">
      <c r="A36" s="68">
        <v>45203</v>
      </c>
      <c r="B36" s="69">
        <v>7.546036033830892E-3</v>
      </c>
      <c r="C36" s="69">
        <v>1.2211857867236135E-2</v>
      </c>
      <c r="D36" s="69">
        <v>8.4339461912626493E-3</v>
      </c>
      <c r="E36" s="69">
        <v>6.5876193114958615E-3</v>
      </c>
    </row>
    <row r="37" spans="1:5" x14ac:dyDescent="0.2">
      <c r="A37" s="68">
        <v>45204</v>
      </c>
      <c r="B37" s="69">
        <v>7.4106788460420632E-3</v>
      </c>
      <c r="C37" s="69">
        <v>-7.0340122474886078E-3</v>
      </c>
      <c r="D37" s="69">
        <v>4.7542660395389026E-3</v>
      </c>
      <c r="E37" s="69">
        <v>1.126302757323502E-2</v>
      </c>
    </row>
    <row r="38" spans="1:5" x14ac:dyDescent="0.2">
      <c r="A38" s="68">
        <v>45205</v>
      </c>
      <c r="B38" s="69">
        <v>7.1942495184056108E-3</v>
      </c>
      <c r="C38" s="69">
        <v>1.919178660718069E-2</v>
      </c>
      <c r="D38" s="69">
        <v>9.883193925164159E-3</v>
      </c>
      <c r="E38" s="69">
        <v>5.047859338967702E-3</v>
      </c>
    </row>
    <row r="39" spans="1:5" x14ac:dyDescent="0.2">
      <c r="A39" s="68">
        <v>45208</v>
      </c>
      <c r="B39" s="69">
        <v>7.5598483942191531E-3</v>
      </c>
      <c r="C39" s="69">
        <v>1.5493841465178439E-2</v>
      </c>
      <c r="D39" s="69">
        <v>8.5776311861466351E-3</v>
      </c>
      <c r="E39" s="69">
        <v>4.431801484437445E-3</v>
      </c>
    </row>
    <row r="40" spans="1:5" x14ac:dyDescent="0.2">
      <c r="A40" s="68">
        <v>45209</v>
      </c>
      <c r="B40" s="69">
        <v>-1.362937231010072E-3</v>
      </c>
      <c r="C40" s="69">
        <v>-1.2781979492703863E-2</v>
      </c>
      <c r="D40" s="69">
        <v>-3.2414312583003342E-3</v>
      </c>
      <c r="E40" s="69">
        <v>2.1952248290932671E-3</v>
      </c>
    </row>
    <row r="41" spans="1:5" x14ac:dyDescent="0.2">
      <c r="A41" s="68">
        <v>45210</v>
      </c>
      <c r="B41" s="69">
        <v>-7.7349588540997268E-3</v>
      </c>
      <c r="C41" s="69">
        <v>-2.1903648579655197E-2</v>
      </c>
      <c r="D41" s="69">
        <v>-9.9818574053932643E-3</v>
      </c>
      <c r="E41" s="69">
        <v>-3.1271248266413329E-3</v>
      </c>
    </row>
    <row r="42" spans="1:5" x14ac:dyDescent="0.2">
      <c r="A42" s="68">
        <v>45211</v>
      </c>
      <c r="B42" s="69">
        <v>2.7995346192651849E-3</v>
      </c>
      <c r="C42" s="69">
        <v>-6.2479325408984904E-3</v>
      </c>
      <c r="D42" s="69">
        <v>-8.4453466739467346E-5</v>
      </c>
      <c r="E42" s="69">
        <v>2.6367328567495707E-3</v>
      </c>
    </row>
    <row r="43" spans="1:5" x14ac:dyDescent="0.2">
      <c r="A43" s="68">
        <v>45212</v>
      </c>
      <c r="B43" s="69">
        <v>5.991667264906524E-4</v>
      </c>
      <c r="C43" s="69">
        <v>3.47593227385585E-3</v>
      </c>
      <c r="D43" s="69">
        <v>1.1568707250246908E-3</v>
      </c>
      <c r="E43" s="69">
        <v>-1.5143529000831543E-4</v>
      </c>
    </row>
    <row r="44" spans="1:5" x14ac:dyDescent="0.2">
      <c r="A44" s="68">
        <v>45215</v>
      </c>
      <c r="B44" s="69">
        <v>1.40280618707462E-3</v>
      </c>
      <c r="C44" s="69">
        <v>1.1728316519177792E-2</v>
      </c>
      <c r="D44" s="69">
        <v>2.9852426952108949E-3</v>
      </c>
      <c r="E44" s="69">
        <v>-2.0878463244316508E-3</v>
      </c>
    </row>
    <row r="45" spans="1:5" x14ac:dyDescent="0.2">
      <c r="A45" s="68">
        <v>45216</v>
      </c>
      <c r="B45" s="69">
        <v>-1.2773014708979426E-2</v>
      </c>
      <c r="C45" s="69">
        <v>-1.7993646801684915E-2</v>
      </c>
      <c r="D45" s="69">
        <v>-1.3527043976388615E-2</v>
      </c>
      <c r="E45" s="69">
        <v>-1.0981871300385145E-2</v>
      </c>
    </row>
    <row r="46" spans="1:5" x14ac:dyDescent="0.2">
      <c r="A46" s="68">
        <v>45217</v>
      </c>
      <c r="B46" s="69">
        <v>1.9692109801849905E-2</v>
      </c>
      <c r="C46" s="69">
        <v>6.3577877182322051E-2</v>
      </c>
      <c r="D46" s="69">
        <v>2.7784335401774513E-2</v>
      </c>
      <c r="E46" s="69">
        <v>8.0050133061395704E-3</v>
      </c>
    </row>
    <row r="47" spans="1:5" x14ac:dyDescent="0.2">
      <c r="A47" s="68">
        <v>45218</v>
      </c>
      <c r="B47" s="69">
        <v>-7.6103871121983181E-3</v>
      </c>
      <c r="C47" s="69">
        <v>7.8330630368045693E-3</v>
      </c>
      <c r="D47" s="69">
        <v>-4.6976733637256393E-3</v>
      </c>
      <c r="E47" s="69">
        <v>-1.1651999796659011E-2</v>
      </c>
    </row>
    <row r="48" spans="1:5" x14ac:dyDescent="0.2">
      <c r="A48" s="68">
        <v>45219</v>
      </c>
      <c r="B48" s="69">
        <v>-1.6091317896349336E-2</v>
      </c>
      <c r="C48" s="69">
        <v>-2.8356670761467306E-2</v>
      </c>
      <c r="D48" s="69">
        <v>-1.7616520772199652E-2</v>
      </c>
      <c r="E48" s="69">
        <v>-1.1269086771998105E-2</v>
      </c>
    </row>
    <row r="49" spans="1:5" x14ac:dyDescent="0.2">
      <c r="A49" s="68">
        <v>45222</v>
      </c>
      <c r="B49" s="69">
        <v>1.4255034910361413E-2</v>
      </c>
      <c r="C49" s="69">
        <v>3.8062243981015008E-2</v>
      </c>
      <c r="D49" s="69">
        <v>1.8696217032811616E-2</v>
      </c>
      <c r="E49" s="69">
        <v>7.9355921904545913E-3</v>
      </c>
    </row>
    <row r="50" spans="1:5" x14ac:dyDescent="0.2">
      <c r="A50" s="68">
        <v>45223</v>
      </c>
      <c r="B50" s="69">
        <v>-1.2786975412665973E-2</v>
      </c>
      <c r="C50" s="69">
        <v>-2.2136321441816844E-2</v>
      </c>
      <c r="D50" s="69">
        <v>-1.4849028133815419E-2</v>
      </c>
      <c r="E50" s="69">
        <v>-1.1091749939879783E-2</v>
      </c>
    </row>
    <row r="51" spans="1:5" x14ac:dyDescent="0.2">
      <c r="A51" s="68">
        <v>45224</v>
      </c>
      <c r="B51" s="69">
        <v>-5.1131396996198716E-3</v>
      </c>
      <c r="C51" s="69">
        <v>-4.6189215703234801E-3</v>
      </c>
      <c r="D51" s="69">
        <v>-6.3614060937025058E-3</v>
      </c>
      <c r="E51" s="69">
        <v>-8.0942099840539978E-3</v>
      </c>
    </row>
    <row r="52" spans="1:5" x14ac:dyDescent="0.2">
      <c r="A52" s="68">
        <v>45225</v>
      </c>
      <c r="B52" s="69">
        <v>-2.24899314103712E-2</v>
      </c>
      <c r="C52" s="69">
        <v>-2.0040684628752883E-2</v>
      </c>
      <c r="D52" s="69">
        <v>-1.9847215169156013E-2</v>
      </c>
      <c r="E52" s="69">
        <v>-1.8530444357654326E-2</v>
      </c>
    </row>
    <row r="53" spans="1:5" x14ac:dyDescent="0.2">
      <c r="A53" s="68">
        <v>45226</v>
      </c>
      <c r="B53" s="69">
        <v>1.8346336930474313E-2</v>
      </c>
      <c r="C53" s="69">
        <v>2.9257291384540907E-2</v>
      </c>
      <c r="D53" s="69">
        <v>2.031442577462185E-2</v>
      </c>
      <c r="E53" s="69">
        <v>1.5341217891234549E-2</v>
      </c>
    </row>
    <row r="54" spans="1:5" x14ac:dyDescent="0.2">
      <c r="A54" s="68">
        <v>45229</v>
      </c>
      <c r="B54" s="69">
        <v>9.2088806798137253E-3</v>
      </c>
      <c r="C54" s="69">
        <v>9.1325041752728462E-3</v>
      </c>
      <c r="D54" s="69">
        <v>8.7486314962522474E-3</v>
      </c>
      <c r="E54" s="69">
        <v>8.2919173724700368E-3</v>
      </c>
    </row>
    <row r="55" spans="1:5" x14ac:dyDescent="0.2">
      <c r="A55" s="68">
        <v>45230</v>
      </c>
      <c r="B55" s="69">
        <v>7.1353552551786034E-3</v>
      </c>
      <c r="C55" s="69">
        <v>1.1620614661695866E-2</v>
      </c>
      <c r="D55" s="69">
        <v>8.8847409935393744E-3</v>
      </c>
      <c r="E55" s="69">
        <v>7.9320018541150193E-3</v>
      </c>
    </row>
    <row r="56" spans="1:5" x14ac:dyDescent="0.2">
      <c r="A56" s="68">
        <v>45231</v>
      </c>
      <c r="B56" s="69">
        <v>1.5401836834377028E-2</v>
      </c>
      <c r="C56" s="69">
        <v>9.581644883623272E-3</v>
      </c>
      <c r="D56" s="69">
        <v>1.4466808678214396E-2</v>
      </c>
      <c r="E56" s="69">
        <v>1.7269726785565213E-2</v>
      </c>
    </row>
    <row r="57" spans="1:5" x14ac:dyDescent="0.2">
      <c r="A57" s="68">
        <v>45232</v>
      </c>
      <c r="B57" s="69">
        <v>7.4733246954884567E-3</v>
      </c>
      <c r="C57" s="69">
        <v>9.4907076045383631E-3</v>
      </c>
      <c r="D57" s="69">
        <v>7.0226155633604584E-3</v>
      </c>
      <c r="E57" s="69">
        <v>5.236464197232598E-3</v>
      </c>
    </row>
    <row r="58" spans="1:5" x14ac:dyDescent="0.2">
      <c r="A58" s="68">
        <v>45233</v>
      </c>
      <c r="B58" s="69">
        <v>3.3724902743584089E-3</v>
      </c>
      <c r="C58" s="69">
        <v>-8.2201612246451568E-3</v>
      </c>
      <c r="D58" s="69">
        <v>1.5953579360402717E-3</v>
      </c>
      <c r="E58" s="69">
        <v>7.2398852820868692E-3</v>
      </c>
    </row>
    <row r="59" spans="1:5" x14ac:dyDescent="0.2">
      <c r="A59" s="68">
        <v>45236</v>
      </c>
      <c r="B59" s="69">
        <v>4.458493584148215E-3</v>
      </c>
      <c r="C59" s="69">
        <v>5.6981618175608508E-3</v>
      </c>
      <c r="D59" s="69">
        <v>5.4051804818547426E-3</v>
      </c>
      <c r="E59" s="69">
        <v>5.659348845626154E-3</v>
      </c>
    </row>
    <row r="60" spans="1:5" x14ac:dyDescent="0.2">
      <c r="A60" s="68">
        <v>45237</v>
      </c>
      <c r="B60" s="69">
        <v>-8.0082872350029956E-4</v>
      </c>
      <c r="C60" s="69">
        <v>-1.2067567354175589E-2</v>
      </c>
      <c r="D60" s="69">
        <v>-2.8143781658588928E-3</v>
      </c>
      <c r="E60" s="69">
        <v>2.3536877219701171E-3</v>
      </c>
    </row>
    <row r="61" spans="1:5" x14ac:dyDescent="0.2">
      <c r="A61" s="68">
        <v>45238</v>
      </c>
      <c r="B61" s="69">
        <v>-2.3209040884009467E-3</v>
      </c>
      <c r="C61" s="69">
        <v>-1.2787371052778911E-3</v>
      </c>
      <c r="D61" s="69">
        <v>-2.123566850111292E-3</v>
      </c>
      <c r="E61" s="69">
        <v>-2.5675437463039429E-3</v>
      </c>
    </row>
    <row r="62" spans="1:5" x14ac:dyDescent="0.2">
      <c r="A62" s="68">
        <v>45239</v>
      </c>
      <c r="B62" s="69">
        <v>1.1384658011959864E-2</v>
      </c>
      <c r="C62" s="69">
        <v>6.3967350467703291E-4</v>
      </c>
      <c r="D62" s="69">
        <v>9.8025818178982156E-3</v>
      </c>
      <c r="E62" s="69">
        <v>1.5152353309302997E-2</v>
      </c>
    </row>
    <row r="63" spans="1:5" x14ac:dyDescent="0.2">
      <c r="A63" s="68">
        <v>45240</v>
      </c>
      <c r="B63" s="69">
        <v>-5.0254535654663448E-3</v>
      </c>
      <c r="C63" s="69">
        <v>-3.8437221263010121E-3</v>
      </c>
      <c r="D63" s="69">
        <v>-4.9959374184038313E-3</v>
      </c>
      <c r="E63" s="69">
        <v>-5.7783116684323255E-3</v>
      </c>
    </row>
    <row r="64" spans="1:5" x14ac:dyDescent="0.2">
      <c r="A64" s="68">
        <v>45243</v>
      </c>
      <c r="B64" s="69">
        <v>1.2180971372904165E-2</v>
      </c>
      <c r="C64" s="69">
        <v>3.2040486216239152E-3</v>
      </c>
      <c r="D64" s="69">
        <v>1.0333874112097146E-2</v>
      </c>
      <c r="E64" s="69">
        <v>1.4212108141511132E-2</v>
      </c>
    </row>
    <row r="65" spans="1:5" x14ac:dyDescent="0.2">
      <c r="A65" s="68">
        <v>45244</v>
      </c>
      <c r="B65" s="69">
        <v>7.49632095917422E-3</v>
      </c>
      <c r="C65" s="69">
        <v>8.2829440398884853E-3</v>
      </c>
      <c r="D65" s="69">
        <v>7.3528950548051612E-3</v>
      </c>
      <c r="E65" s="69">
        <v>6.6940002300027394E-3</v>
      </c>
    </row>
    <row r="66" spans="1:5" x14ac:dyDescent="0.2">
      <c r="A66" s="68">
        <v>45245</v>
      </c>
      <c r="B66" s="69">
        <v>9.6022334731668026E-3</v>
      </c>
      <c r="C66" s="69">
        <v>7.5853598266493183E-3</v>
      </c>
      <c r="D66" s="69">
        <v>9.0989913976314007E-3</v>
      </c>
      <c r="E66" s="69">
        <v>9.9054375672125751E-3</v>
      </c>
    </row>
    <row r="67" spans="1:5" x14ac:dyDescent="0.2">
      <c r="A67" s="68">
        <v>45246</v>
      </c>
      <c r="B67" s="69">
        <v>4.5972836527201182E-3</v>
      </c>
      <c r="C67" s="69">
        <v>1.2586844676198644E-3</v>
      </c>
      <c r="D67" s="69">
        <v>3.5390116856243801E-3</v>
      </c>
      <c r="E67" s="69">
        <v>4.5587955513902495E-3</v>
      </c>
    </row>
    <row r="68" spans="1:5" x14ac:dyDescent="0.2">
      <c r="A68" s="68">
        <v>45247</v>
      </c>
      <c r="B68" s="69">
        <v>7.5075009992189795E-3</v>
      </c>
      <c r="C68" s="69">
        <v>1.250014351434138E-2</v>
      </c>
      <c r="D68" s="69">
        <v>8.7098723893561953E-3</v>
      </c>
      <c r="E68" s="69">
        <v>6.792051732384485E-3</v>
      </c>
    </row>
    <row r="69" spans="1:5" x14ac:dyDescent="0.2">
      <c r="A69" s="68">
        <v>45250</v>
      </c>
      <c r="B69" s="69">
        <v>1.6620514215626376E-4</v>
      </c>
      <c r="C69" s="69">
        <v>5.5745681417839043E-3</v>
      </c>
      <c r="D69" s="69">
        <v>1.070086270717004E-3</v>
      </c>
      <c r="E69" s="69">
        <v>-1.5236485382720951E-3</v>
      </c>
    </row>
    <row r="70" spans="1:5" x14ac:dyDescent="0.2">
      <c r="A70" s="68">
        <v>45251</v>
      </c>
      <c r="B70" s="69">
        <v>1.32341465712586E-3</v>
      </c>
      <c r="C70" s="69">
        <v>-1.2361893781621346E-3</v>
      </c>
      <c r="D70" s="69">
        <v>9.2237948672521252E-4</v>
      </c>
      <c r="E70" s="69">
        <v>2.1376919086382356E-3</v>
      </c>
    </row>
    <row r="71" spans="1:5" x14ac:dyDescent="0.2">
      <c r="A71" s="68">
        <v>45252</v>
      </c>
      <c r="B71" s="69">
        <v>1.6768504614934736E-4</v>
      </c>
      <c r="C71" s="69">
        <v>2.4706584385659168E-3</v>
      </c>
      <c r="D71" s="69">
        <v>1.8439622691682374E-4</v>
      </c>
      <c r="E71" s="69">
        <v>-1.3272016716758715E-3</v>
      </c>
    </row>
    <row r="72" spans="1:5" x14ac:dyDescent="0.2">
      <c r="A72" s="68">
        <v>45254</v>
      </c>
      <c r="B72" s="69">
        <v>-1.2380271626167083E-3</v>
      </c>
      <c r="C72" s="69">
        <v>0</v>
      </c>
      <c r="D72" s="69">
        <v>-9.4818251688017473E-4</v>
      </c>
      <c r="E72" s="69">
        <v>-1.435623141555426E-3</v>
      </c>
    </row>
    <row r="73" spans="1:5" x14ac:dyDescent="0.2">
      <c r="A73" s="68">
        <v>45257</v>
      </c>
      <c r="B73" s="69">
        <v>1.0211472244066248E-3</v>
      </c>
      <c r="C73" s="69">
        <v>-1.8524051289652865E-3</v>
      </c>
      <c r="D73" s="69">
        <v>5.4325586297747743E-4</v>
      </c>
      <c r="E73" s="69">
        <v>1.8966707838933461E-3</v>
      </c>
    </row>
    <row r="74" spans="1:5" x14ac:dyDescent="0.2">
      <c r="A74" s="68">
        <v>45258</v>
      </c>
      <c r="B74" s="69">
        <v>3.8951241960399649E-3</v>
      </c>
      <c r="C74" s="69">
        <v>7.3891849715765874E-3</v>
      </c>
      <c r="D74" s="69">
        <v>4.0041480692622217E-3</v>
      </c>
      <c r="E74" s="69">
        <v>1.8601458932801501E-3</v>
      </c>
    </row>
    <row r="75" spans="1:5" x14ac:dyDescent="0.2">
      <c r="A75" s="68">
        <v>45259</v>
      </c>
      <c r="B75" s="69">
        <v>1.1545330657310445E-2</v>
      </c>
      <c r="C75" s="69">
        <v>1.6428683176453563E-2</v>
      </c>
      <c r="D75" s="69">
        <v>1.2034453655022382E-2</v>
      </c>
      <c r="E75" s="69">
        <v>9.3624493560421924E-3</v>
      </c>
    </row>
    <row r="76" spans="1:5" x14ac:dyDescent="0.2">
      <c r="A76" s="68">
        <v>45260</v>
      </c>
      <c r="B76" s="69">
        <v>7.4901523845112821E-3</v>
      </c>
      <c r="C76" s="69">
        <v>1.1401293855996619E-2</v>
      </c>
      <c r="D76" s="69">
        <v>8.289867284730584E-3</v>
      </c>
      <c r="E76" s="69">
        <v>6.6272454866981925E-3</v>
      </c>
    </row>
    <row r="77" spans="1:5" x14ac:dyDescent="0.2">
      <c r="A77" s="68">
        <v>45261</v>
      </c>
      <c r="B77" s="69">
        <v>-4.8024530042513835E-4</v>
      </c>
      <c r="C77" s="69">
        <v>-5.9844807698541955E-3</v>
      </c>
      <c r="D77" s="69">
        <v>-2.3052657933244946E-3</v>
      </c>
      <c r="E77" s="69">
        <v>-7.296771576668058E-4</v>
      </c>
    </row>
    <row r="78" spans="1:5" x14ac:dyDescent="0.2">
      <c r="A78" s="68">
        <v>45264</v>
      </c>
      <c r="B78" s="69">
        <v>1.5352021252262333E-2</v>
      </c>
      <c r="C78" s="69">
        <v>3.306087505214772E-2</v>
      </c>
      <c r="D78" s="69">
        <v>1.9581163973832909E-2</v>
      </c>
      <c r="E78" s="69">
        <v>1.2721551763699839E-2</v>
      </c>
    </row>
    <row r="79" spans="1:5" x14ac:dyDescent="0.2">
      <c r="A79" s="68">
        <v>45265</v>
      </c>
      <c r="B79" s="69">
        <v>-1.1671602207538948E-2</v>
      </c>
      <c r="C79" s="69">
        <v>-1.6393661333646715E-2</v>
      </c>
      <c r="D79" s="69">
        <v>-1.2277484909399942E-2</v>
      </c>
      <c r="E79" s="69">
        <v>-9.887041433610055E-3</v>
      </c>
    </row>
    <row r="80" spans="1:5" x14ac:dyDescent="0.2">
      <c r="A80" s="68">
        <v>45266</v>
      </c>
      <c r="B80" s="69">
        <v>6.3867811484324341E-3</v>
      </c>
      <c r="C80" s="69">
        <v>8.8156554713472324E-3</v>
      </c>
      <c r="D80" s="69">
        <v>7.1645305522472849E-3</v>
      </c>
      <c r="E80" s="69">
        <v>6.4556026997496544E-3</v>
      </c>
    </row>
    <row r="81" spans="1:5" x14ac:dyDescent="0.2">
      <c r="A81" s="68">
        <v>45267</v>
      </c>
      <c r="B81" s="69">
        <v>3.014963954861837E-3</v>
      </c>
      <c r="C81" s="69">
        <v>-9.9971434933014119E-3</v>
      </c>
      <c r="D81" s="69">
        <v>4.5330147920907317E-4</v>
      </c>
      <c r="E81" s="69">
        <v>6.172700818091386E-3</v>
      </c>
    </row>
    <row r="82" spans="1:5" x14ac:dyDescent="0.2">
      <c r="A82" s="68">
        <v>45268</v>
      </c>
      <c r="B82" s="69">
        <v>-6.9702868819916334E-3</v>
      </c>
      <c r="C82" s="69">
        <v>-1.7889443279638567E-2</v>
      </c>
      <c r="D82" s="69">
        <v>-9.7486051209122043E-3</v>
      </c>
      <c r="E82" s="69">
        <v>-5.7352005216586757E-3</v>
      </c>
    </row>
    <row r="83" spans="1:5" x14ac:dyDescent="0.2">
      <c r="A83" s="68">
        <v>45271</v>
      </c>
      <c r="B83" s="69">
        <v>1.1967345560216849E-3</v>
      </c>
      <c r="C83" s="69">
        <v>-1.2715943603931842E-2</v>
      </c>
      <c r="D83" s="69">
        <v>-1.3834453278306338E-3</v>
      </c>
      <c r="E83" s="69">
        <v>4.8673370040161167E-3</v>
      </c>
    </row>
    <row r="84" spans="1:5" x14ac:dyDescent="0.2">
      <c r="A84" s="68">
        <v>45272</v>
      </c>
      <c r="B84" s="69">
        <v>5.5259495026416198E-3</v>
      </c>
      <c r="C84" s="69">
        <v>2.4346320782964847E-3</v>
      </c>
      <c r="D84" s="69">
        <v>5.6089619542267887E-3</v>
      </c>
      <c r="E84" s="69">
        <v>7.7318408304781708E-3</v>
      </c>
    </row>
    <row r="85" spans="1:5" x14ac:dyDescent="0.2">
      <c r="A85" s="68">
        <v>45273</v>
      </c>
      <c r="B85" s="69">
        <v>1.2707682893020591E-2</v>
      </c>
      <c r="C85" s="69">
        <v>1.208465691282283E-2</v>
      </c>
      <c r="D85" s="69">
        <v>1.1700869559622545E-2</v>
      </c>
      <c r="E85" s="69">
        <v>1.1086957659260053E-2</v>
      </c>
    </row>
    <row r="86" spans="1:5" x14ac:dyDescent="0.2">
      <c r="A86" s="68">
        <v>45274</v>
      </c>
      <c r="B86" s="69">
        <v>2.6015864589360978E-4</v>
      </c>
      <c r="C86" s="69">
        <v>-7.8383887172057826E-3</v>
      </c>
      <c r="D86" s="69">
        <v>-1.7333658615313829E-3</v>
      </c>
      <c r="E86" s="69">
        <v>1.3934790277953641E-3</v>
      </c>
    </row>
    <row r="87" spans="1:5" x14ac:dyDescent="0.2">
      <c r="A87" s="68">
        <v>45275</v>
      </c>
      <c r="B87" s="69">
        <v>-7.3028193631672483E-5</v>
      </c>
      <c r="C87" s="69">
        <v>-3.6386626067303612E-3</v>
      </c>
      <c r="D87" s="69">
        <v>-1.4197297845162749E-3</v>
      </c>
      <c r="E87" s="69">
        <v>-6.1601720160467865E-4</v>
      </c>
    </row>
    <row r="88" spans="1:5" x14ac:dyDescent="0.2">
      <c r="A88" s="68">
        <v>45278</v>
      </c>
      <c r="B88" s="69">
        <v>1.0316329317765691E-2</v>
      </c>
      <c r="C88" s="69">
        <v>9.0718253225267661E-3</v>
      </c>
      <c r="D88" s="69">
        <v>9.6778210539280578E-3</v>
      </c>
      <c r="E88" s="69">
        <v>9.8331238390122616E-3</v>
      </c>
    </row>
    <row r="89" spans="1:5" x14ac:dyDescent="0.2">
      <c r="A89" s="68">
        <v>45279</v>
      </c>
      <c r="B89" s="69">
        <v>-1.1714868854458861E-2</v>
      </c>
      <c r="C89" s="69">
        <v>-1.2723712230209391E-2</v>
      </c>
      <c r="D89" s="69">
        <v>-1.188895430156402E-2</v>
      </c>
      <c r="E89" s="69">
        <v>-1.1381979469899469E-2</v>
      </c>
    </row>
    <row r="90" spans="1:5" x14ac:dyDescent="0.2">
      <c r="A90" s="68">
        <v>45280</v>
      </c>
      <c r="B90" s="69">
        <v>4.395346928241577E-3</v>
      </c>
      <c r="C90" s="69">
        <v>5.4729367751170889E-3</v>
      </c>
      <c r="D90" s="69">
        <v>4.2821431480410321E-3</v>
      </c>
      <c r="E90" s="69">
        <v>3.4338193745081201E-3</v>
      </c>
    </row>
    <row r="91" spans="1:5" x14ac:dyDescent="0.2">
      <c r="A91" s="68">
        <v>45281</v>
      </c>
      <c r="B91" s="69">
        <v>-6.5136554108786342E-5</v>
      </c>
      <c r="C91" s="69">
        <v>3.6318010530331695E-3</v>
      </c>
      <c r="D91" s="69">
        <v>3.795666934250032E-4</v>
      </c>
      <c r="E91" s="69">
        <v>-1.5825194543011042E-3</v>
      </c>
    </row>
    <row r="92" spans="1:5" x14ac:dyDescent="0.2">
      <c r="A92" s="68">
        <v>45282</v>
      </c>
      <c r="B92" s="69">
        <v>2.6200078545804365E-3</v>
      </c>
      <c r="C92" s="69">
        <v>1.2077595132303129E-3</v>
      </c>
      <c r="D92" s="69">
        <v>1.9395375188459491E-3</v>
      </c>
      <c r="E92" s="69">
        <v>2.0972472806542312E-3</v>
      </c>
    </row>
    <row r="93" spans="1:5" x14ac:dyDescent="0.2">
      <c r="A93" s="68">
        <v>45286</v>
      </c>
      <c r="B93" s="69">
        <v>3.0830111575354999E-3</v>
      </c>
      <c r="C93" s="69">
        <v>6.0333319054379066E-4</v>
      </c>
      <c r="D93" s="69">
        <v>2.3632527980140456E-3</v>
      </c>
      <c r="E93" s="69">
        <v>3.1896046222422421E-3</v>
      </c>
    </row>
    <row r="94" spans="1:5" x14ac:dyDescent="0.2">
      <c r="A94" s="68">
        <v>45287</v>
      </c>
      <c r="B94" s="69">
        <v>6.2139009686934506E-3</v>
      </c>
      <c r="C94" s="69">
        <v>9.6039637827291333E-3</v>
      </c>
      <c r="D94" s="69">
        <v>6.6730601712573362E-3</v>
      </c>
      <c r="E94" s="69">
        <v>4.9756702859131505E-3</v>
      </c>
    </row>
    <row r="95" spans="1:5" x14ac:dyDescent="0.2">
      <c r="A95" s="68">
        <v>45288</v>
      </c>
      <c r="B95" s="69">
        <v>-7.4239380479156352E-4</v>
      </c>
      <c r="C95" s="69">
        <v>2.3866948027653455E-3</v>
      </c>
      <c r="D95" s="69">
        <v>-3.7096445250872439E-4</v>
      </c>
      <c r="E95" s="69">
        <v>-2.0330020869331997E-3</v>
      </c>
    </row>
    <row r="96" spans="1:5" x14ac:dyDescent="0.2">
      <c r="A96" s="68">
        <v>45289</v>
      </c>
      <c r="B96" s="69">
        <v>8.0920861969751706E-3</v>
      </c>
      <c r="C96" s="69">
        <v>2.7624383831125431E-2</v>
      </c>
      <c r="D96" s="69">
        <v>9.3373299130813867E-3</v>
      </c>
      <c r="E96" s="69">
        <v>-2.1817698346707944E-3</v>
      </c>
    </row>
    <row r="97" spans="1:5" x14ac:dyDescent="0.2">
      <c r="A97" s="68">
        <v>45293</v>
      </c>
      <c r="B97" s="69">
        <v>-3.8476673546012589E-3</v>
      </c>
      <c r="C97" s="69">
        <v>-1.1600607305661888E-3</v>
      </c>
      <c r="D97" s="69">
        <v>-3.4980581709425891E-3</v>
      </c>
      <c r="E97" s="69">
        <v>-4.9028872449485882E-3</v>
      </c>
    </row>
    <row r="98" spans="1:5" x14ac:dyDescent="0.2">
      <c r="A98" s="68">
        <v>45294</v>
      </c>
      <c r="B98" s="69">
        <v>-9.5611784243369163E-4</v>
      </c>
      <c r="C98" s="69">
        <v>-4.6539918884881352E-3</v>
      </c>
      <c r="D98" s="69">
        <v>-2.5798704906717196E-3</v>
      </c>
      <c r="E98" s="69">
        <v>-1.9629248227139686E-3</v>
      </c>
    </row>
    <row r="99" spans="1:5" x14ac:dyDescent="0.2">
      <c r="A99" s="68">
        <v>45295</v>
      </c>
      <c r="B99" s="69">
        <v>7.9842561238651182E-3</v>
      </c>
      <c r="C99" s="69">
        <v>1.8487103983690103E-2</v>
      </c>
      <c r="D99" s="69">
        <v>9.4457578474061339E-3</v>
      </c>
      <c r="E99" s="69">
        <v>4.2000282366423105E-3</v>
      </c>
    </row>
    <row r="100" spans="1:5" x14ac:dyDescent="0.2">
      <c r="A100" s="68">
        <v>45296</v>
      </c>
      <c r="B100" s="69">
        <v>8.3611215455604675E-4</v>
      </c>
      <c r="C100" s="69">
        <v>-8.62337357891769E-3</v>
      </c>
      <c r="D100" s="69">
        <v>3.5326303714999611E-4</v>
      </c>
      <c r="E100" s="69">
        <v>6.0278362669816737E-3</v>
      </c>
    </row>
    <row r="101" spans="1:5" x14ac:dyDescent="0.2">
      <c r="A101" s="68">
        <v>45299</v>
      </c>
      <c r="B101" s="69">
        <v>-5.9913850730428471E-3</v>
      </c>
      <c r="C101" s="69">
        <v>-5.4130016942953952E-3</v>
      </c>
      <c r="D101" s="69">
        <v>-5.6018618364457717E-3</v>
      </c>
      <c r="E101" s="69">
        <v>-5.5605621537046322E-3</v>
      </c>
    </row>
    <row r="102" spans="1:5" x14ac:dyDescent="0.2">
      <c r="A102" s="68">
        <v>45300</v>
      </c>
      <c r="B102" s="69">
        <v>4.0191080739984978E-4</v>
      </c>
      <c r="C102" s="69">
        <v>-4.7308269784354078E-3</v>
      </c>
      <c r="D102" s="69">
        <v>-3.5755480264217099E-4</v>
      </c>
      <c r="E102" s="69">
        <v>2.1618737515039996E-3</v>
      </c>
    </row>
    <row r="103" spans="1:5" x14ac:dyDescent="0.2">
      <c r="A103" s="68">
        <v>45301</v>
      </c>
      <c r="B103" s="69">
        <v>-1.5996735686896794E-2</v>
      </c>
      <c r="C103" s="69">
        <v>-3.8675610583800438E-2</v>
      </c>
      <c r="D103" s="69">
        <v>-2.007350589599214E-2</v>
      </c>
      <c r="E103" s="69">
        <v>-9.7422848134459741E-3</v>
      </c>
    </row>
    <row r="104" spans="1:5" x14ac:dyDescent="0.2">
      <c r="A104" s="68">
        <v>45302</v>
      </c>
      <c r="B104" s="69">
        <v>2.2232407243876406E-3</v>
      </c>
      <c r="C104" s="69">
        <v>1.5286157688589852E-2</v>
      </c>
      <c r="D104" s="69">
        <v>5.0686501199740108E-3</v>
      </c>
      <c r="E104" s="69">
        <v>-3.7261856668789574E-4</v>
      </c>
    </row>
    <row r="105" spans="1:5" x14ac:dyDescent="0.2">
      <c r="A105" s="68">
        <v>45303</v>
      </c>
      <c r="B105" s="69">
        <v>-6.1006921935836478E-3</v>
      </c>
      <c r="C105" s="69">
        <v>-2.4301095699120847E-3</v>
      </c>
      <c r="D105" s="69">
        <v>-5.7281332424120816E-3</v>
      </c>
      <c r="E105" s="69">
        <v>-7.7288390228054489E-3</v>
      </c>
    </row>
    <row r="106" spans="1:5" x14ac:dyDescent="0.2">
      <c r="A106" s="68">
        <v>45307</v>
      </c>
      <c r="B106" s="69">
        <v>-4.1059222954170039E-3</v>
      </c>
      <c r="C106" s="69">
        <v>-1.8264811991713004E-3</v>
      </c>
      <c r="D106" s="69">
        <v>-3.6726816246250397E-3</v>
      </c>
      <c r="E106" s="69">
        <v>-4.7050553901792323E-3</v>
      </c>
    </row>
    <row r="107" spans="1:5" x14ac:dyDescent="0.2">
      <c r="A107" s="68">
        <v>45308</v>
      </c>
      <c r="B107" s="69">
        <v>6.7483387090817347E-3</v>
      </c>
      <c r="C107" s="69">
        <v>-6.0961109656987951E-4</v>
      </c>
      <c r="D107" s="69">
        <v>6.8601128400547174E-3</v>
      </c>
      <c r="E107" s="69">
        <v>1.1861084285528418E-2</v>
      </c>
    </row>
    <row r="108" spans="1:5" x14ac:dyDescent="0.2">
      <c r="A108" s="68">
        <v>45309</v>
      </c>
      <c r="B108" s="69">
        <v>1.6521154749565455E-2</v>
      </c>
      <c r="C108" s="69">
        <v>1.6329333065123283E-2</v>
      </c>
      <c r="D108" s="69">
        <v>1.6361416344418126E-2</v>
      </c>
      <c r="E108" s="69">
        <v>1.6396922239584655E-2</v>
      </c>
    </row>
    <row r="109" spans="1:5" x14ac:dyDescent="0.2">
      <c r="A109" s="68">
        <v>45310</v>
      </c>
      <c r="B109" s="69">
        <v>4.4318630475850707E-3</v>
      </c>
      <c r="C109" s="69">
        <v>7.7681556093607577E-3</v>
      </c>
      <c r="D109" s="69">
        <v>5.6700058847885225E-3</v>
      </c>
      <c r="E109" s="69">
        <v>4.9014597163813652E-3</v>
      </c>
    </row>
    <row r="110" spans="1:5" x14ac:dyDescent="0.2">
      <c r="A110" s="68">
        <v>45313</v>
      </c>
      <c r="B110" s="69">
        <v>6.1530120217137075E-3</v>
      </c>
      <c r="C110" s="69">
        <v>2.2949014004003898E-2</v>
      </c>
      <c r="D110" s="69">
        <v>9.8626190954455868E-3</v>
      </c>
      <c r="E110" s="69">
        <v>2.9687030003467969E-3</v>
      </c>
    </row>
    <row r="111" spans="1:5" x14ac:dyDescent="0.2">
      <c r="A111" s="68">
        <v>45314</v>
      </c>
      <c r="B111" s="69">
        <v>-6.9867925877787011E-3</v>
      </c>
      <c r="C111" s="69">
        <v>-3.011736741564745E-2</v>
      </c>
      <c r="D111" s="69">
        <v>-1.1831844557870693E-2</v>
      </c>
      <c r="E111" s="69">
        <v>-1.9960013594923489E-3</v>
      </c>
    </row>
    <row r="112" spans="1:5" x14ac:dyDescent="0.2">
      <c r="A112" s="68">
        <v>45315</v>
      </c>
      <c r="B112" s="69">
        <v>1.6531453513034717E-2</v>
      </c>
      <c r="C112" s="69">
        <v>2.9535485641168389E-2</v>
      </c>
      <c r="D112" s="69">
        <v>1.8109718247863706E-2</v>
      </c>
      <c r="E112" s="69">
        <v>1.1355646062359209E-2</v>
      </c>
    </row>
    <row r="113" spans="1:5" x14ac:dyDescent="0.2">
      <c r="A113" s="68">
        <v>45316</v>
      </c>
      <c r="B113" s="69">
        <v>-1.2659407129283137E-3</v>
      </c>
      <c r="C113" s="69">
        <v>6.382391439619532E-3</v>
      </c>
      <c r="D113" s="69">
        <v>-1.1401556272811614E-4</v>
      </c>
      <c r="E113" s="69">
        <v>-3.8825573863608977E-3</v>
      </c>
    </row>
    <row r="114" spans="1:5" x14ac:dyDescent="0.2">
      <c r="A114" s="68">
        <v>45317</v>
      </c>
      <c r="B114" s="69">
        <v>-2.7082307297231201E-4</v>
      </c>
      <c r="C114" s="69">
        <v>-2.3161320398991719E-3</v>
      </c>
      <c r="D114" s="69">
        <v>-9.34138948945716E-4</v>
      </c>
      <c r="E114" s="69">
        <v>-3.5859636281731784E-4</v>
      </c>
    </row>
    <row r="115" spans="1:5" x14ac:dyDescent="0.2">
      <c r="A115" s="68">
        <v>45320</v>
      </c>
      <c r="B115" s="69">
        <v>1.1343504598070044E-2</v>
      </c>
      <c r="C115" s="69">
        <v>1.610156507641821E-2</v>
      </c>
      <c r="D115" s="69">
        <v>1.0263981188223758E-2</v>
      </c>
      <c r="E115" s="69">
        <v>5.9367952421018888E-3</v>
      </c>
    </row>
    <row r="116" spans="1:5" x14ac:dyDescent="0.2">
      <c r="A116" s="68">
        <v>45321</v>
      </c>
      <c r="B116" s="69">
        <v>-5.5884846030571271E-3</v>
      </c>
      <c r="C116" s="69">
        <v>9.08571462661973E-3</v>
      </c>
      <c r="D116" s="69">
        <v>-3.3311493718391283E-3</v>
      </c>
      <c r="E116" s="69">
        <v>-1.0465542958667029E-2</v>
      </c>
    </row>
    <row r="117" spans="1:5" x14ac:dyDescent="0.2">
      <c r="A117" s="68">
        <v>45322</v>
      </c>
      <c r="B117" s="69">
        <v>7.6220127598441512E-3</v>
      </c>
      <c r="C117" s="69">
        <v>1.9592162762490182E-2</v>
      </c>
      <c r="D117" s="69">
        <v>1.066226142417777E-2</v>
      </c>
      <c r="E117" s="69">
        <v>6.1234409467032201E-3</v>
      </c>
    </row>
    <row r="118" spans="1:5" x14ac:dyDescent="0.2">
      <c r="A118" s="68">
        <v>45323</v>
      </c>
      <c r="B118" s="69">
        <v>-2.4237102647811587E-3</v>
      </c>
      <c r="C118" s="69">
        <v>-1.1709175802896356E-2</v>
      </c>
      <c r="D118" s="69">
        <v>-4.6721421847717983E-3</v>
      </c>
      <c r="E118" s="69">
        <v>-1.06138356087372E-3</v>
      </c>
    </row>
    <row r="119" spans="1:5" x14ac:dyDescent="0.2">
      <c r="A119" s="68">
        <v>45324</v>
      </c>
      <c r="B119" s="69">
        <v>-7.1666681276645995E-4</v>
      </c>
      <c r="C119" s="69">
        <v>-5.6243984313423317E-3</v>
      </c>
      <c r="D119" s="69">
        <v>-1.0868464534784473E-3</v>
      </c>
      <c r="E119" s="69">
        <v>1.7664340915060054E-3</v>
      </c>
    </row>
    <row r="120" spans="1:5" x14ac:dyDescent="0.2">
      <c r="A120" s="68">
        <v>45327</v>
      </c>
      <c r="B120" s="69">
        <v>8.5593246041940681E-4</v>
      </c>
      <c r="C120" s="69">
        <v>-6.7910685184317367E-3</v>
      </c>
      <c r="D120" s="69">
        <v>-2.9470091645297444E-4</v>
      </c>
      <c r="E120" s="69">
        <v>3.4651477587675796E-3</v>
      </c>
    </row>
    <row r="121" spans="1:5" x14ac:dyDescent="0.2">
      <c r="A121" s="68">
        <v>45328</v>
      </c>
      <c r="B121" s="69">
        <v>-4.5820155289173891E-3</v>
      </c>
      <c r="C121" s="69">
        <v>-1.6027947235816124E-2</v>
      </c>
      <c r="D121" s="69">
        <v>-6.7260352950178669E-3</v>
      </c>
      <c r="E121" s="69">
        <v>-1.6121595978711969E-3</v>
      </c>
    </row>
    <row r="122" spans="1:5" x14ac:dyDescent="0.2">
      <c r="A122" s="68">
        <v>45329</v>
      </c>
      <c r="B122" s="69">
        <v>-1.3130424241780868E-2</v>
      </c>
      <c r="C122" s="69">
        <v>-2.9870396236716779E-2</v>
      </c>
      <c r="D122" s="69">
        <v>-1.6274400596543698E-2</v>
      </c>
      <c r="E122" s="69">
        <v>-8.8148914263509945E-3</v>
      </c>
    </row>
    <row r="123" spans="1:5" x14ac:dyDescent="0.2">
      <c r="A123" s="68">
        <v>45330</v>
      </c>
      <c r="B123" s="69">
        <v>1.740411461366909E-3</v>
      </c>
      <c r="C123" s="69">
        <v>1.1883725529783697E-3</v>
      </c>
      <c r="D123" s="69">
        <v>1.7680016570577361E-3</v>
      </c>
      <c r="E123" s="69">
        <v>2.1891152048570807E-3</v>
      </c>
    </row>
    <row r="124" spans="1:5" x14ac:dyDescent="0.2">
      <c r="A124" s="68">
        <v>45331</v>
      </c>
      <c r="B124" s="69">
        <v>4.0508974836156557E-3</v>
      </c>
      <c r="C124" s="69">
        <v>1.0632216336701443E-2</v>
      </c>
      <c r="D124" s="69">
        <v>4.5936416047036863E-3</v>
      </c>
      <c r="E124" s="69">
        <v>8.6782606265140634E-4</v>
      </c>
    </row>
    <row r="125" spans="1:5" x14ac:dyDescent="0.2">
      <c r="A125" s="68">
        <v>45334</v>
      </c>
      <c r="B125" s="69">
        <v>-8.6528196648794631E-3</v>
      </c>
      <c r="C125" s="69">
        <v>-7.075609674194675E-3</v>
      </c>
      <c r="D125" s="69">
        <v>-8.4857500077463784E-3</v>
      </c>
      <c r="E125" s="69">
        <v>-9.3497361001708378E-3</v>
      </c>
    </row>
    <row r="126" spans="1:5" x14ac:dyDescent="0.2">
      <c r="A126" s="68">
        <v>45335</v>
      </c>
      <c r="B126" s="69">
        <v>3.9872167977853725E-3</v>
      </c>
      <c r="C126" s="69">
        <v>5.9145856733030231E-4</v>
      </c>
      <c r="D126" s="69">
        <v>2.6310747161507287E-3</v>
      </c>
      <c r="E126" s="69">
        <v>3.3614810092752394E-3</v>
      </c>
    </row>
    <row r="127" spans="1:5" x14ac:dyDescent="0.2">
      <c r="A127" s="68">
        <v>45336</v>
      </c>
      <c r="B127" s="69">
        <v>1.3396652117563707E-2</v>
      </c>
      <c r="C127" s="69">
        <v>1.0588436740846002E-2</v>
      </c>
      <c r="D127" s="69">
        <v>1.173502861229412E-2</v>
      </c>
      <c r="E127" s="69">
        <v>1.1758848244189754E-2</v>
      </c>
    </row>
    <row r="128" spans="1:5" x14ac:dyDescent="0.2">
      <c r="A128" s="68">
        <v>45337</v>
      </c>
      <c r="B128" s="69">
        <v>-6.2162061897718729E-3</v>
      </c>
      <c r="C128" s="69">
        <v>-7.0465265167247411E-3</v>
      </c>
      <c r="D128" s="69">
        <v>-6.5405360621637581E-3</v>
      </c>
      <c r="E128" s="69">
        <v>-6.3832125850842511E-3</v>
      </c>
    </row>
    <row r="129" spans="1:5" x14ac:dyDescent="0.2">
      <c r="A129" s="68">
        <v>45338</v>
      </c>
      <c r="B129" s="69">
        <v>-1.9584133671974192E-4</v>
      </c>
      <c r="C129" s="69">
        <v>-3.5419102241213379E-3</v>
      </c>
      <c r="D129" s="69">
        <v>-1.1556234865505118E-3</v>
      </c>
      <c r="E129" s="69">
        <v>-1.1976153434838251E-4</v>
      </c>
    </row>
    <row r="130" spans="1:5" x14ac:dyDescent="0.2">
      <c r="A130" s="68">
        <v>45342</v>
      </c>
      <c r="B130" s="69">
        <v>5.6429472002317797E-3</v>
      </c>
      <c r="C130" s="69">
        <v>5.3082933634442889E-3</v>
      </c>
      <c r="D130" s="69">
        <v>5.4754703392946181E-3</v>
      </c>
      <c r="E130" s="69">
        <v>5.4941977574254671E-3</v>
      </c>
    </row>
    <row r="131" spans="1:5" x14ac:dyDescent="0.2">
      <c r="A131" s="68">
        <v>45343</v>
      </c>
      <c r="B131" s="69">
        <v>-8.3373707331232515E-4</v>
      </c>
      <c r="C131" s="69">
        <v>-2.4413339458236528E-2</v>
      </c>
      <c r="D131" s="69">
        <v>-5.1787283370247836E-3</v>
      </c>
      <c r="E131" s="69">
        <v>5.4853376581148914E-3</v>
      </c>
    </row>
    <row r="132" spans="1:5" x14ac:dyDescent="0.2">
      <c r="A132" s="68">
        <v>45344</v>
      </c>
      <c r="B132" s="69">
        <v>4.7929912586060722E-3</v>
      </c>
      <c r="C132" s="69">
        <v>1.2578760442407045E-2</v>
      </c>
      <c r="D132" s="69">
        <v>5.4732009718914745E-3</v>
      </c>
      <c r="E132" s="69">
        <v>1.1165650155920423E-3</v>
      </c>
    </row>
    <row r="133" spans="1:5" x14ac:dyDescent="0.2">
      <c r="A133" s="68">
        <v>45345</v>
      </c>
      <c r="B133" s="69">
        <v>-7.1611142638943444E-3</v>
      </c>
      <c r="C133" s="69">
        <v>-1.1976066753339242E-2</v>
      </c>
      <c r="D133" s="69">
        <v>-8.2394041843517063E-3</v>
      </c>
      <c r="E133" s="69">
        <v>-6.2746213733578561E-3</v>
      </c>
    </row>
    <row r="134" spans="1:5" x14ac:dyDescent="0.2">
      <c r="A134" s="68">
        <v>45348</v>
      </c>
      <c r="B134" s="69">
        <v>6.5299037436794254E-3</v>
      </c>
      <c r="C134" s="69">
        <v>1.3760308076745754E-2</v>
      </c>
      <c r="D134" s="69">
        <v>8.1960334490420676E-3</v>
      </c>
      <c r="E134" s="69">
        <v>5.3552303470420504E-3</v>
      </c>
    </row>
    <row r="135" spans="1:5" x14ac:dyDescent="0.2">
      <c r="A135" s="68">
        <v>45349</v>
      </c>
      <c r="B135" s="69">
        <v>3.7655227052556407E-3</v>
      </c>
      <c r="C135" s="69">
        <v>7.6945269621530249E-3</v>
      </c>
      <c r="D135" s="69">
        <v>3.9085613056583446E-3</v>
      </c>
      <c r="E135" s="69">
        <v>1.4869150405050588E-3</v>
      </c>
    </row>
    <row r="136" spans="1:5" x14ac:dyDescent="0.2">
      <c r="A136" s="68">
        <v>45350</v>
      </c>
      <c r="B136" s="69">
        <v>2.8978380231986737E-3</v>
      </c>
      <c r="C136" s="69">
        <v>-1.7703701935084114E-3</v>
      </c>
      <c r="D136" s="69">
        <v>1.406173315634124E-3</v>
      </c>
      <c r="E136" s="69">
        <v>2.8407932610466074E-3</v>
      </c>
    </row>
    <row r="137" spans="1:5" x14ac:dyDescent="0.2">
      <c r="A137" s="68">
        <v>45351</v>
      </c>
      <c r="B137" s="69">
        <v>-2.0415987907557494E-3</v>
      </c>
      <c r="C137" s="69">
        <v>2.9490604228386468E-3</v>
      </c>
      <c r="D137" s="69">
        <v>-1.2341217338552564E-3</v>
      </c>
      <c r="E137" s="69">
        <v>-3.5923828517214953E-3</v>
      </c>
    </row>
    <row r="138" spans="1:5" x14ac:dyDescent="0.2">
      <c r="A138" s="68">
        <v>45352</v>
      </c>
      <c r="B138" s="69">
        <v>-5.0795543687797836E-3</v>
      </c>
      <c r="C138" s="69">
        <v>-1.0657458514889893E-2</v>
      </c>
      <c r="D138" s="69">
        <v>-7.6944057291837217E-3</v>
      </c>
      <c r="E138" s="69">
        <v>-7.0050954250061616E-3</v>
      </c>
    </row>
    <row r="139" spans="1:5" x14ac:dyDescent="0.2">
      <c r="A139" s="68">
        <v>45355</v>
      </c>
      <c r="B139" s="69">
        <v>6.7502746215673875E-3</v>
      </c>
      <c r="C139" s="69">
        <v>2.1784911671504949E-2</v>
      </c>
      <c r="D139" s="69">
        <v>7.5859988146406033E-3</v>
      </c>
      <c r="E139" s="69">
        <v>-1.3507181511262672E-3</v>
      </c>
    </row>
    <row r="140" spans="1:5" x14ac:dyDescent="0.2">
      <c r="A140" s="68">
        <v>45356</v>
      </c>
      <c r="B140" s="69">
        <v>1.4967743990468556E-3</v>
      </c>
      <c r="C140" s="69">
        <v>5.8222055801986279E-4</v>
      </c>
      <c r="D140" s="69">
        <v>7.8873671287573712E-4</v>
      </c>
      <c r="E140" s="69">
        <v>5.9670619941972934E-4</v>
      </c>
    </row>
    <row r="141" spans="1:5" x14ac:dyDescent="0.2">
      <c r="A141" s="68">
        <v>45357</v>
      </c>
      <c r="B141" s="69">
        <v>-6.8548645882167344E-3</v>
      </c>
      <c r="C141" s="69">
        <v>-7.5957392761439417E-3</v>
      </c>
      <c r="D141" s="69">
        <v>-6.5871987697765358E-3</v>
      </c>
      <c r="E141" s="69">
        <v>-5.8158462099400397E-3</v>
      </c>
    </row>
    <row r="142" spans="1:5" x14ac:dyDescent="0.2">
      <c r="A142" s="68">
        <v>45358</v>
      </c>
      <c r="B142" s="69">
        <v>5.8260784609180851E-3</v>
      </c>
      <c r="C142" s="69">
        <v>8.7592244143747111E-3</v>
      </c>
      <c r="D142" s="69">
        <v>6.7583447784387357E-3</v>
      </c>
      <c r="E142" s="69">
        <v>5.8929544826913788E-3</v>
      </c>
    </row>
    <row r="143" spans="1:5" x14ac:dyDescent="0.2">
      <c r="A143" s="68">
        <v>45359</v>
      </c>
      <c r="B143" s="69">
        <v>5.0052202792779093E-3</v>
      </c>
      <c r="C143" s="69">
        <v>7.5296267385311973E-3</v>
      </c>
      <c r="D143" s="69">
        <v>6.033944648351686E-3</v>
      </c>
      <c r="E143" s="69">
        <v>5.5008029930362495E-3</v>
      </c>
    </row>
    <row r="144" spans="1:5" x14ac:dyDescent="0.2">
      <c r="A144" s="68">
        <v>45362</v>
      </c>
      <c r="B144" s="69">
        <v>1.714199946329556E-3</v>
      </c>
      <c r="C144" s="69">
        <v>-7.5296267385311115E-3</v>
      </c>
      <c r="D144" s="69">
        <v>-2.3345173747845024E-4</v>
      </c>
      <c r="E144" s="69">
        <v>3.6595917931087486E-3</v>
      </c>
    </row>
    <row r="145" spans="1:5" x14ac:dyDescent="0.2">
      <c r="A145" s="68">
        <v>45363</v>
      </c>
      <c r="B145" s="69">
        <v>1.2483842483247353E-3</v>
      </c>
      <c r="C145" s="69">
        <v>-5.8160336375158385E-4</v>
      </c>
      <c r="D145" s="69">
        <v>-5.5385565079562867E-5</v>
      </c>
      <c r="E145" s="69">
        <v>-3.5632038166756163E-4</v>
      </c>
    </row>
    <row r="146" spans="1:5" x14ac:dyDescent="0.2">
      <c r="A146" s="68">
        <v>45364</v>
      </c>
      <c r="B146" s="69">
        <v>-9.9511428587036217E-3</v>
      </c>
      <c r="C146" s="69">
        <v>-1.0526393935028697E-2</v>
      </c>
      <c r="D146" s="69">
        <v>-8.6380257672317353E-3</v>
      </c>
      <c r="E146" s="69">
        <v>-6.8058523475406614E-3</v>
      </c>
    </row>
    <row r="147" spans="1:5" x14ac:dyDescent="0.2">
      <c r="A147" s="68">
        <v>45365</v>
      </c>
      <c r="B147" s="69">
        <v>6.1194368045373706E-3</v>
      </c>
      <c r="C147" s="69">
        <v>2.3487728844055851E-3</v>
      </c>
      <c r="D147" s="69">
        <v>4.6929459957695159E-3</v>
      </c>
      <c r="E147" s="69">
        <v>5.6377611175527278E-3</v>
      </c>
    </row>
    <row r="148" spans="1:5" x14ac:dyDescent="0.2">
      <c r="A148" s="68">
        <v>45366</v>
      </c>
      <c r="B148" s="69">
        <v>1.1973577196072956E-2</v>
      </c>
      <c r="C148" s="69">
        <v>1.455631158926427E-2</v>
      </c>
      <c r="D148" s="69">
        <v>1.2139924831688229E-2</v>
      </c>
      <c r="E148" s="69">
        <v>1.0654042013296419E-2</v>
      </c>
    </row>
    <row r="149" spans="1:5" x14ac:dyDescent="0.2">
      <c r="A149" s="68">
        <v>45369</v>
      </c>
      <c r="B149" s="69">
        <v>2.6400162065576562E-3</v>
      </c>
      <c r="C149" s="69">
        <v>-7.5427928711403599E-3</v>
      </c>
      <c r="D149" s="69">
        <v>1.1498960313078431E-3</v>
      </c>
      <c r="E149" s="69">
        <v>6.1944195810560267E-3</v>
      </c>
    </row>
    <row r="150" spans="1:5" x14ac:dyDescent="0.2">
      <c r="A150" s="68">
        <v>45370</v>
      </c>
      <c r="B150" s="69">
        <v>9.6061362202355966E-3</v>
      </c>
      <c r="C150" s="69">
        <v>2.3269110502146303E-3</v>
      </c>
      <c r="D150" s="69">
        <v>8.3513013408148592E-3</v>
      </c>
      <c r="E150" s="69">
        <v>1.1744420693166256E-2</v>
      </c>
    </row>
    <row r="151" spans="1:5" x14ac:dyDescent="0.2">
      <c r="A151" s="68">
        <v>45371</v>
      </c>
      <c r="B151" s="69">
        <v>-2.4667842513876469E-3</v>
      </c>
      <c r="C151" s="69">
        <v>-2.9095910236789767E-3</v>
      </c>
      <c r="D151" s="69">
        <v>-5.2532705860461066E-3</v>
      </c>
      <c r="E151" s="69">
        <v>-8.1004542042217888E-3</v>
      </c>
    </row>
    <row r="152" spans="1:5" x14ac:dyDescent="0.2">
      <c r="A152" s="68">
        <v>45372</v>
      </c>
      <c r="B152" s="69">
        <v>-8.3877910255512993E-3</v>
      </c>
      <c r="C152" s="69">
        <v>-1.0544773183150766E-2</v>
      </c>
      <c r="D152" s="69">
        <v>-7.907499564894312E-3</v>
      </c>
      <c r="E152" s="69">
        <v>-5.9758488873514377E-3</v>
      </c>
    </row>
    <row r="153" spans="1:5" x14ac:dyDescent="0.2">
      <c r="A153" s="68">
        <v>45373</v>
      </c>
      <c r="B153" s="69">
        <v>-2.9896230471424937E-3</v>
      </c>
      <c r="C153" s="69">
        <v>8.2110739967389546E-3</v>
      </c>
      <c r="D153" s="69">
        <v>-8.9864253621446634E-4</v>
      </c>
      <c r="E153" s="69">
        <v>-5.938557976973638E-3</v>
      </c>
    </row>
    <row r="154" spans="1:5" x14ac:dyDescent="0.2">
      <c r="A154" s="68">
        <v>45376</v>
      </c>
      <c r="B154" s="69">
        <v>2.1154760609215298E-3</v>
      </c>
      <c r="C154" s="69">
        <v>3.4985997178958793E-3</v>
      </c>
      <c r="D154" s="69">
        <v>1.8160770985522492E-3</v>
      </c>
      <c r="E154" s="69">
        <v>5.6365038905560204E-4</v>
      </c>
    </row>
    <row r="155" spans="1:5" x14ac:dyDescent="0.2">
      <c r="A155" s="68">
        <v>45377</v>
      </c>
      <c r="B155" s="69">
        <v>2.0259629981212016E-2</v>
      </c>
      <c r="C155" s="69">
        <v>2.130803414272742E-2</v>
      </c>
      <c r="D155" s="69">
        <v>2.0516100948179822E-2</v>
      </c>
      <c r="E155" s="69">
        <v>2.0163042749652957E-2</v>
      </c>
    </row>
    <row r="156" spans="1:5" x14ac:dyDescent="0.2">
      <c r="A156" s="68">
        <v>45378</v>
      </c>
      <c r="B156" s="69">
        <v>7.9725617129435553E-4</v>
      </c>
      <c r="C156" s="69">
        <v>2.8449078782690519E-3</v>
      </c>
      <c r="D156" s="69">
        <v>4.6818337346712707E-4</v>
      </c>
      <c r="E156" s="69">
        <v>-1.2625013212248072E-3</v>
      </c>
    </row>
    <row r="157" spans="1:5" x14ac:dyDescent="0.2">
      <c r="A157" s="68">
        <v>45379</v>
      </c>
      <c r="B157" s="69">
        <v>-6.742394906951301E-3</v>
      </c>
      <c r="C157" s="69">
        <v>-5.697991304405129E-3</v>
      </c>
      <c r="D157" s="69">
        <v>-6.6360653652946921E-3</v>
      </c>
      <c r="E157" s="69">
        <v>-7.1996587328422941E-3</v>
      </c>
    </row>
    <row r="158" spans="1:5" x14ac:dyDescent="0.2">
      <c r="A158" s="68">
        <v>45383</v>
      </c>
      <c r="B158" s="69">
        <v>-1.1145589485677132E-3</v>
      </c>
      <c r="C158" s="69">
        <v>1.1421632595400733E-3</v>
      </c>
      <c r="D158" s="69">
        <v>-1.0390207719916875E-3</v>
      </c>
      <c r="E158" s="69">
        <v>-2.4128292340958512E-3</v>
      </c>
    </row>
    <row r="159" spans="1:5" x14ac:dyDescent="0.2">
      <c r="A159" s="68">
        <v>45384</v>
      </c>
      <c r="B159" s="69">
        <v>1.3727478444927024E-3</v>
      </c>
      <c r="C159" s="69">
        <v>5.12394513644681E-3</v>
      </c>
      <c r="D159" s="69">
        <v>2.4153196748404374E-3</v>
      </c>
      <c r="E159" s="69">
        <v>1.1433897732826194E-3</v>
      </c>
    </row>
    <row r="160" spans="1:5" x14ac:dyDescent="0.2">
      <c r="A160" s="68">
        <v>45385</v>
      </c>
      <c r="B160" s="69">
        <v>-5.2597203268845445E-3</v>
      </c>
      <c r="C160" s="69">
        <v>-2.2740551851044106E-3</v>
      </c>
      <c r="D160" s="69">
        <v>-4.5882307708226258E-3</v>
      </c>
      <c r="E160" s="69">
        <v>-5.7863602862634122E-3</v>
      </c>
    </row>
    <row r="161" spans="1:5" x14ac:dyDescent="0.2">
      <c r="A161" s="68">
        <v>45386</v>
      </c>
      <c r="B161" s="69">
        <v>2.1208462341008611E-3</v>
      </c>
      <c r="C161" s="69">
        <v>-8.5739149328683574E-3</v>
      </c>
      <c r="D161" s="69">
        <v>-5.7267411442941084E-5</v>
      </c>
      <c r="E161" s="69">
        <v>4.5382855103939593E-3</v>
      </c>
    </row>
    <row r="162" spans="1:5" x14ac:dyDescent="0.2">
      <c r="A162" s="68">
        <v>45387</v>
      </c>
      <c r="B162" s="69">
        <v>-2.2509497738294961E-3</v>
      </c>
      <c r="C162" s="69">
        <v>-9.8068295948848475E-3</v>
      </c>
      <c r="D162" s="69">
        <v>-4.2131291322646805E-3</v>
      </c>
      <c r="E162" s="69">
        <v>-1.433351842763649E-3</v>
      </c>
    </row>
    <row r="163" spans="1:5" x14ac:dyDescent="0.2">
      <c r="A163" s="68">
        <v>45390</v>
      </c>
      <c r="B163" s="69">
        <v>-3.2363572979015251E-3</v>
      </c>
      <c r="C163" s="69">
        <v>-4.2513463190354973E-3</v>
      </c>
      <c r="D163" s="69">
        <v>-2.7229862243316506E-3</v>
      </c>
      <c r="E163" s="69">
        <v>-1.5165132888278381E-3</v>
      </c>
    </row>
    <row r="164" spans="1:5" x14ac:dyDescent="0.2">
      <c r="A164" s="68">
        <v>45391</v>
      </c>
      <c r="B164" s="69">
        <v>-9.5954418665038614E-3</v>
      </c>
      <c r="C164" s="69">
        <v>-1.0110097057956752E-2</v>
      </c>
      <c r="D164" s="69">
        <v>-9.8255051433428237E-3</v>
      </c>
      <c r="E164" s="69">
        <v>-9.729811078934076E-3</v>
      </c>
    </row>
    <row r="165" spans="1:5" x14ac:dyDescent="0.2">
      <c r="A165" s="68">
        <v>45392</v>
      </c>
      <c r="B165" s="69">
        <v>1.3986433252985517E-3</v>
      </c>
      <c r="C165" s="69">
        <v>-1.8703414262897906E-2</v>
      </c>
      <c r="D165" s="69">
        <v>-2.0118397456890015E-4</v>
      </c>
      <c r="E165" s="69">
        <v>1.1262283867483337E-2</v>
      </c>
    </row>
    <row r="166" spans="1:5" x14ac:dyDescent="0.2">
      <c r="A166" s="68">
        <v>45393</v>
      </c>
      <c r="B166" s="69">
        <v>-3.1751665493877583E-2</v>
      </c>
      <c r="C166" s="69">
        <v>-6.7217247231749887E-3</v>
      </c>
      <c r="D166" s="69">
        <v>-2.3472500345368515E-2</v>
      </c>
      <c r="E166" s="69">
        <v>-3.0722213773377343E-2</v>
      </c>
    </row>
    <row r="167" spans="1:5" x14ac:dyDescent="0.2">
      <c r="A167" s="68">
        <v>45394</v>
      </c>
      <c r="B167" s="69">
        <v>-5.408262532863823E-3</v>
      </c>
      <c r="C167" s="69">
        <v>-4.3010263731349009E-3</v>
      </c>
      <c r="D167" s="69">
        <v>-6.3024239026598823E-3</v>
      </c>
      <c r="E167" s="69">
        <v>-8.0560346422209727E-3</v>
      </c>
    </row>
    <row r="168" spans="1:5" x14ac:dyDescent="0.2">
      <c r="A168" s="68">
        <v>45397</v>
      </c>
      <c r="B168" s="69">
        <v>-1.2206787209889861E-2</v>
      </c>
      <c r="C168" s="69">
        <v>-9.2793792839827582E-3</v>
      </c>
      <c r="D168" s="69">
        <v>-1.2033784506767127E-2</v>
      </c>
      <c r="E168" s="69">
        <v>-1.3815342991633499E-2</v>
      </c>
    </row>
    <row r="169" spans="1:5" x14ac:dyDescent="0.2">
      <c r="A169" s="68">
        <v>45398</v>
      </c>
      <c r="B169" s="69">
        <v>-2.7480697702392705E-3</v>
      </c>
      <c r="C169" s="69">
        <v>1.8628149729069926E-3</v>
      </c>
      <c r="D169" s="69">
        <v>-2.0896794936671008E-3</v>
      </c>
      <c r="E169" s="69">
        <v>-4.4330330001851647E-3</v>
      </c>
    </row>
    <row r="170" spans="1:5" x14ac:dyDescent="0.2">
      <c r="A170" s="68">
        <v>45399</v>
      </c>
      <c r="B170" s="69">
        <v>6.4197709950124119E-3</v>
      </c>
      <c r="C170" s="69">
        <v>1.2943127412559438E-2</v>
      </c>
      <c r="D170" s="69">
        <v>7.0183332644873963E-3</v>
      </c>
      <c r="E170" s="69">
        <v>3.3853556405930804E-3</v>
      </c>
    </row>
    <row r="171" spans="1:5" x14ac:dyDescent="0.2">
      <c r="A171" s="68">
        <v>45400</v>
      </c>
      <c r="B171" s="69">
        <v>1.2998195085247818E-2</v>
      </c>
      <c r="C171" s="69">
        <v>1.0962394432582713E-2</v>
      </c>
      <c r="D171" s="69">
        <v>1.0837688300914049E-2</v>
      </c>
      <c r="E171" s="69">
        <v>9.7078482948200189E-3</v>
      </c>
    </row>
    <row r="172" spans="1:5" x14ac:dyDescent="0.2">
      <c r="A172" s="68">
        <v>45401</v>
      </c>
      <c r="B172" s="69">
        <v>5.6578222734599698E-3</v>
      </c>
      <c r="C172" s="69">
        <v>-1.2187931160931781E-2</v>
      </c>
      <c r="D172" s="69">
        <v>1.7097035340701856E-3</v>
      </c>
      <c r="E172" s="69">
        <v>9.0306849465007707E-3</v>
      </c>
    </row>
    <row r="173" spans="1:5" x14ac:dyDescent="0.2">
      <c r="A173" s="68">
        <v>45404</v>
      </c>
      <c r="B173" s="69">
        <v>1.1865824901909329E-2</v>
      </c>
      <c r="C173" s="69">
        <v>1.1582000481511069E-2</v>
      </c>
      <c r="D173" s="69">
        <v>1.1407950087110739E-2</v>
      </c>
      <c r="E173" s="69">
        <v>1.112014394865507E-2</v>
      </c>
    </row>
    <row r="174" spans="1:5" x14ac:dyDescent="0.2">
      <c r="A174" s="68">
        <v>45405</v>
      </c>
      <c r="B174" s="69">
        <v>1.1109028470256506E-2</v>
      </c>
      <c r="C174" s="69">
        <v>1.8613569807513386E-2</v>
      </c>
      <c r="D174" s="69">
        <v>1.2863876116807173E-2</v>
      </c>
      <c r="E174" s="69">
        <v>9.8756501529068501E-3</v>
      </c>
    </row>
    <row r="175" spans="1:5" x14ac:dyDescent="0.2">
      <c r="A175" s="68">
        <v>45406</v>
      </c>
      <c r="B175" s="69">
        <v>-3.1190345182653184E-3</v>
      </c>
      <c r="C175" s="69">
        <v>-1.377680211997016E-2</v>
      </c>
      <c r="D175" s="69">
        <v>-4.8774602592387209E-3</v>
      </c>
      <c r="E175" s="69">
        <v>1.4843382175140293E-4</v>
      </c>
    </row>
    <row r="176" spans="1:5" x14ac:dyDescent="0.2">
      <c r="A176" s="68">
        <v>45407</v>
      </c>
      <c r="B176" s="69">
        <v>3.174219385139748E-3</v>
      </c>
      <c r="C176" s="69">
        <v>1.020115925682203E-2</v>
      </c>
      <c r="D176" s="69">
        <v>4.2524407185034613E-3</v>
      </c>
      <c r="E176" s="69">
        <v>8.4333875562065286E-4</v>
      </c>
    </row>
    <row r="177" spans="1:5" x14ac:dyDescent="0.2">
      <c r="A177" s="68">
        <v>45408</v>
      </c>
      <c r="B177" s="69">
        <v>9.6696815936590415E-3</v>
      </c>
      <c r="C177" s="69">
        <v>1.5990897700798735E-2</v>
      </c>
      <c r="D177" s="69">
        <v>1.2060392030645737E-2</v>
      </c>
      <c r="E177" s="69">
        <v>1.0606916886751746E-2</v>
      </c>
    </row>
    <row r="178" spans="1:5" x14ac:dyDescent="0.2">
      <c r="A178" s="68">
        <v>45411</v>
      </c>
      <c r="B178" s="69">
        <v>-9.8530188220604595E-3</v>
      </c>
      <c r="C178" s="69">
        <v>-7.6674124514332052E-3</v>
      </c>
      <c r="D178" s="69">
        <v>-9.9512383341314216E-3</v>
      </c>
      <c r="E178" s="69">
        <v>-1.1527740612763706E-2</v>
      </c>
    </row>
    <row r="179" spans="1:5" x14ac:dyDescent="0.2">
      <c r="A179" s="68">
        <v>45412</v>
      </c>
      <c r="B179" s="69">
        <v>-2.3717059005747476E-4</v>
      </c>
      <c r="C179" s="69">
        <v>1.7746003431574375E-3</v>
      </c>
      <c r="D179" s="69">
        <v>-1.8982088952154274E-4</v>
      </c>
      <c r="E179" s="69">
        <v>-1.4762409813490716E-3</v>
      </c>
    </row>
    <row r="180" spans="1:5" x14ac:dyDescent="0.2">
      <c r="A180" s="68">
        <v>45413</v>
      </c>
      <c r="B180" s="69">
        <v>1.5670797038191092E-3</v>
      </c>
      <c r="C180" s="69">
        <v>-5.9277432873759113E-3</v>
      </c>
      <c r="D180" s="69">
        <v>1.3077869686993768E-3</v>
      </c>
      <c r="E180" s="69">
        <v>5.9664254737560995E-3</v>
      </c>
    </row>
    <row r="181" spans="1:5" x14ac:dyDescent="0.2">
      <c r="A181" s="68">
        <v>45414</v>
      </c>
      <c r="B181" s="69">
        <v>8.780591632080675E-3</v>
      </c>
      <c r="C181" s="69">
        <v>1.7820997373106853E-3</v>
      </c>
      <c r="D181" s="69">
        <v>1.0610252547651017E-2</v>
      </c>
      <c r="E181" s="69">
        <v>1.7322777895280736E-2</v>
      </c>
    </row>
    <row r="182" spans="1:5" x14ac:dyDescent="0.2">
      <c r="A182" s="68">
        <v>45415</v>
      </c>
      <c r="B182" s="69">
        <v>4.7642934321786628E-3</v>
      </c>
      <c r="C182" s="69">
        <v>8.2741716697485573E-3</v>
      </c>
      <c r="D182" s="69">
        <v>4.5777776179351309E-3</v>
      </c>
      <c r="E182" s="69">
        <v>2.0569073468983037E-3</v>
      </c>
    </row>
    <row r="183" spans="1:5" x14ac:dyDescent="0.2">
      <c r="A183" s="68">
        <v>45418</v>
      </c>
      <c r="B183" s="69">
        <v>1.9444124536094434E-3</v>
      </c>
      <c r="C183" s="69">
        <v>5.283244107095986E-3</v>
      </c>
      <c r="D183" s="69">
        <v>2.8066758993997624E-3</v>
      </c>
      <c r="E183" s="69">
        <v>1.5664850078578271E-3</v>
      </c>
    </row>
    <row r="184" spans="1:5" x14ac:dyDescent="0.2">
      <c r="A184" s="68">
        <v>45419</v>
      </c>
      <c r="B184" s="69">
        <v>1.0306946428237283E-2</v>
      </c>
      <c r="C184" s="69">
        <v>1.7549955781686565E-3</v>
      </c>
      <c r="D184" s="69">
        <v>7.8429683452229584E-3</v>
      </c>
      <c r="E184" s="69">
        <v>1.0733211460410163E-2</v>
      </c>
    </row>
    <row r="185" spans="1:5" x14ac:dyDescent="0.2">
      <c r="A185" s="68">
        <v>45420</v>
      </c>
      <c r="B185" s="69">
        <v>7.665322191569535E-3</v>
      </c>
      <c r="C185" s="69">
        <v>4.0827757174903999E-3</v>
      </c>
      <c r="D185" s="69">
        <v>7.024070718026687E-3</v>
      </c>
      <c r="E185" s="69">
        <v>8.6944234892695708E-3</v>
      </c>
    </row>
    <row r="186" spans="1:5" x14ac:dyDescent="0.2">
      <c r="A186" s="68">
        <v>45421</v>
      </c>
      <c r="B186" s="69">
        <v>1.4693270284983578E-3</v>
      </c>
      <c r="C186" s="69">
        <v>-5.8223411107649701E-4</v>
      </c>
      <c r="D186" s="69">
        <v>4.5495936495285223E-4</v>
      </c>
      <c r="E186" s="69">
        <v>6.4513411552793597E-4</v>
      </c>
    </row>
    <row r="187" spans="1:5" x14ac:dyDescent="0.2">
      <c r="A187" s="68">
        <v>45422</v>
      </c>
      <c r="B187" s="69">
        <v>5.0204393806284192E-3</v>
      </c>
      <c r="C187" s="69">
        <v>5.2280020464313707E-3</v>
      </c>
      <c r="D187" s="69">
        <v>5.9192291262739564E-3</v>
      </c>
      <c r="E187" s="69">
        <v>6.7975639391777585E-3</v>
      </c>
    </row>
    <row r="188" spans="1:5" x14ac:dyDescent="0.2">
      <c r="A188" s="68">
        <v>45425</v>
      </c>
      <c r="B188" s="69">
        <v>8.4127816038800408E-3</v>
      </c>
      <c r="C188" s="69">
        <v>2.3147859350525577E-3</v>
      </c>
      <c r="D188" s="69">
        <v>6.8918684653575916E-3</v>
      </c>
      <c r="E188" s="69">
        <v>9.2651026588087271E-3</v>
      </c>
    </row>
    <row r="189" spans="1:5" x14ac:dyDescent="0.2">
      <c r="A189" s="68">
        <v>45426</v>
      </c>
      <c r="B189" s="69">
        <v>4.2717270258639259E-3</v>
      </c>
      <c r="C189" s="69">
        <v>1.732579879352201E-3</v>
      </c>
      <c r="D189" s="69">
        <v>4.2468257522370566E-3</v>
      </c>
      <c r="E189" s="69">
        <v>5.9108034745285441E-3</v>
      </c>
    </row>
    <row r="190" spans="1:5" x14ac:dyDescent="0.2">
      <c r="A190" s="68">
        <v>45427</v>
      </c>
      <c r="B190" s="69">
        <v>3.4369327068218874E-4</v>
      </c>
      <c r="C190" s="69">
        <v>-1.732579879352136E-3</v>
      </c>
      <c r="D190" s="69">
        <v>-8.6363351387619197E-5</v>
      </c>
      <c r="E190" s="69">
        <v>7.8799873810917506E-4</v>
      </c>
    </row>
    <row r="191" spans="1:5" x14ac:dyDescent="0.2">
      <c r="A191" s="68">
        <v>45428</v>
      </c>
      <c r="B191" s="69">
        <v>7.319794057533734E-3</v>
      </c>
      <c r="C191" s="69">
        <v>5.7637472026845571E-3</v>
      </c>
      <c r="D191" s="69">
        <v>6.4662108938163491E-3</v>
      </c>
      <c r="E191" s="69">
        <v>6.5776230772243904E-3</v>
      </c>
    </row>
    <row r="192" spans="1:5" x14ac:dyDescent="0.2">
      <c r="A192" s="68">
        <v>45429</v>
      </c>
      <c r="B192" s="69">
        <v>-1.7814763191262017E-2</v>
      </c>
      <c r="C192" s="69">
        <v>6.8728485226429662E-3</v>
      </c>
      <c r="D192" s="69">
        <v>-1.0747031228595372E-2</v>
      </c>
      <c r="E192" s="69">
        <v>-1.9106431108873397E-2</v>
      </c>
    </row>
    <row r="193" spans="1:5" x14ac:dyDescent="0.2">
      <c r="A193" s="68">
        <v>45432</v>
      </c>
      <c r="B193" s="69">
        <v>5.5562935571808443E-3</v>
      </c>
      <c r="C193" s="69">
        <v>-1.4372182648414963E-2</v>
      </c>
      <c r="D193" s="69">
        <v>1.2775062270807755E-3</v>
      </c>
      <c r="E193" s="69">
        <v>9.6033403455613349E-3</v>
      </c>
    </row>
    <row r="194" spans="1:5" x14ac:dyDescent="0.2">
      <c r="A194" s="68">
        <v>45433</v>
      </c>
      <c r="B194" s="69">
        <v>3.4334284752047476E-4</v>
      </c>
      <c r="C194" s="69">
        <v>1.3229934834084765E-2</v>
      </c>
      <c r="D194" s="69">
        <v>2.6273945021405699E-3</v>
      </c>
      <c r="E194" s="69">
        <v>-3.3059713612313391E-3</v>
      </c>
    </row>
    <row r="195" spans="1:5" x14ac:dyDescent="0.2">
      <c r="A195" s="68">
        <v>45434</v>
      </c>
      <c r="B195" s="69">
        <v>-7.8742676455472293E-3</v>
      </c>
      <c r="C195" s="69">
        <v>-1.7157346722541096E-3</v>
      </c>
      <c r="D195" s="69">
        <v>-7.4551834531669005E-3</v>
      </c>
      <c r="E195" s="69">
        <v>-1.102136415251786E-2</v>
      </c>
    </row>
    <row r="196" spans="1:5" x14ac:dyDescent="0.2">
      <c r="A196" s="68">
        <v>45435</v>
      </c>
      <c r="B196" s="69">
        <v>1.2547245261363745E-2</v>
      </c>
      <c r="C196" s="69">
        <v>1.7157346722542091E-3</v>
      </c>
      <c r="D196" s="69">
        <v>1.0414780730700434E-2</v>
      </c>
      <c r="E196" s="69">
        <v>1.5214722611495696E-2</v>
      </c>
    </row>
    <row r="197" spans="1:5" x14ac:dyDescent="0.2">
      <c r="A197" s="68">
        <v>45436</v>
      </c>
      <c r="B197" s="69">
        <v>-7.3908711236580684E-3</v>
      </c>
      <c r="C197" s="69">
        <v>-1.3229934834084642E-2</v>
      </c>
      <c r="D197" s="69">
        <v>-8.1522706003163883E-3</v>
      </c>
      <c r="E197" s="69">
        <v>-5.1749250577958275E-3</v>
      </c>
    </row>
    <row r="198" spans="1:5" x14ac:dyDescent="0.2">
      <c r="A198" s="68">
        <v>45440</v>
      </c>
      <c r="B198" s="69">
        <v>-5.9771248534301585E-3</v>
      </c>
      <c r="C198" s="69">
        <v>-8.7235267318123977E-3</v>
      </c>
      <c r="D198" s="69">
        <v>-6.0542297460382385E-3</v>
      </c>
      <c r="E198" s="69">
        <v>-4.3441349571355873E-3</v>
      </c>
    </row>
    <row r="199" spans="1:5" x14ac:dyDescent="0.2">
      <c r="A199" s="68">
        <v>45441</v>
      </c>
      <c r="B199" s="69">
        <v>1.3834262709941843E-2</v>
      </c>
      <c r="C199" s="69">
        <v>2.8787286268958209E-2</v>
      </c>
      <c r="D199" s="69">
        <v>1.6504226917127583E-2</v>
      </c>
      <c r="E199" s="69">
        <v>9.685133422420323E-3</v>
      </c>
    </row>
    <row r="200" spans="1:5" x14ac:dyDescent="0.2">
      <c r="A200" s="68">
        <v>45442</v>
      </c>
      <c r="B200" s="69">
        <v>2.0193252436246183E-2</v>
      </c>
      <c r="C200" s="69">
        <v>3.3485178750257492E-2</v>
      </c>
      <c r="D200" s="69">
        <v>2.2056973743022831E-2</v>
      </c>
      <c r="E200" s="69">
        <v>1.5404993406158748E-2</v>
      </c>
    </row>
    <row r="201" spans="1:5" x14ac:dyDescent="0.2">
      <c r="A201" s="68">
        <v>45443</v>
      </c>
      <c r="B201" s="69">
        <v>-4.1467378239734495E-3</v>
      </c>
      <c r="C201" s="69">
        <v>-1.1592695309031092E-2</v>
      </c>
      <c r="D201" s="69">
        <v>-4.8558245467150776E-3</v>
      </c>
      <c r="E201" s="69">
        <v>-7.5690264107118881E-4</v>
      </c>
    </row>
    <row r="202" spans="1:5" x14ac:dyDescent="0.2">
      <c r="A202" s="68">
        <v>45446</v>
      </c>
      <c r="B202" s="69">
        <v>6.4626181025234306E-4</v>
      </c>
      <c r="C202" s="69">
        <v>1.8702397437831947E-2</v>
      </c>
      <c r="D202" s="69">
        <v>4.6996307586698897E-3</v>
      </c>
      <c r="E202" s="69">
        <v>-2.70590338055682E-3</v>
      </c>
    </row>
    <row r="203" spans="1:5" x14ac:dyDescent="0.2">
      <c r="A203" s="68">
        <v>45447</v>
      </c>
      <c r="B203" s="69">
        <v>-3.928004913288337E-3</v>
      </c>
      <c r="C203" s="69">
        <v>-2.7285349047250127E-3</v>
      </c>
      <c r="D203" s="69">
        <v>-2.8565704973307925E-3</v>
      </c>
      <c r="E203" s="69">
        <v>-2.4527341252761929E-3</v>
      </c>
    </row>
    <row r="204" spans="1:5" x14ac:dyDescent="0.2">
      <c r="A204" s="68">
        <v>45448</v>
      </c>
      <c r="B204" s="69">
        <v>-2.5469861461701964E-3</v>
      </c>
      <c r="C204" s="69">
        <v>-1.0934242170624129E-3</v>
      </c>
      <c r="D204" s="69">
        <v>-2.5298586456175558E-3</v>
      </c>
      <c r="E204" s="69">
        <v>-3.4952591412153421E-3</v>
      </c>
    </row>
    <row r="205" spans="1:5" x14ac:dyDescent="0.2">
      <c r="A205" s="68">
        <v>45449</v>
      </c>
      <c r="B205" s="69">
        <v>5.9979248995054059E-3</v>
      </c>
      <c r="C205" s="69">
        <v>-9.8955551720559757E-3</v>
      </c>
      <c r="D205" s="69">
        <v>2.9296886160030114E-3</v>
      </c>
      <c r="E205" s="69">
        <v>9.9977502620905538E-3</v>
      </c>
    </row>
    <row r="206" spans="1:5" x14ac:dyDescent="0.2">
      <c r="A206" s="68">
        <v>45450</v>
      </c>
      <c r="B206" s="69">
        <v>-9.0708899573812094E-3</v>
      </c>
      <c r="C206" s="69">
        <v>-1.3348415321843266E-2</v>
      </c>
      <c r="D206" s="69">
        <v>-1.0702458252424808E-2</v>
      </c>
      <c r="E206" s="69">
        <v>-9.737678273645833E-3</v>
      </c>
    </row>
    <row r="207" spans="1:5" x14ac:dyDescent="0.2">
      <c r="A207" s="68">
        <v>45453</v>
      </c>
      <c r="B207" s="69">
        <v>8.529852526261289E-4</v>
      </c>
      <c r="C207" s="69">
        <v>0</v>
      </c>
      <c r="D207" s="69">
        <v>5.4032695410369033E-3</v>
      </c>
      <c r="E207" s="69">
        <v>1.1113700984841608E-2</v>
      </c>
    </row>
    <row r="208" spans="1:5" x14ac:dyDescent="0.2">
      <c r="A208" s="68">
        <v>45454</v>
      </c>
      <c r="B208" s="69">
        <v>-6.3897718111029234E-3</v>
      </c>
      <c r="C208" s="69">
        <v>-1.4096584264906203E-2</v>
      </c>
      <c r="D208" s="69">
        <v>-5.7211187200301395E-3</v>
      </c>
      <c r="E208" s="69">
        <v>1.4059219656075437E-4</v>
      </c>
    </row>
    <row r="209" spans="1:5" x14ac:dyDescent="0.2">
      <c r="A209" s="68">
        <v>45455</v>
      </c>
      <c r="B209" s="69">
        <v>7.3474282749765854E-3</v>
      </c>
      <c r="C209" s="69">
        <v>3.4012621492683047E-3</v>
      </c>
      <c r="D209" s="69">
        <v>6.3442023801538565E-3</v>
      </c>
      <c r="E209" s="69">
        <v>7.8392490419554005E-3</v>
      </c>
    </row>
    <row r="210" spans="1:5" x14ac:dyDescent="0.2">
      <c r="A210" s="68">
        <v>45456</v>
      </c>
      <c r="B210" s="69">
        <v>-1.8492326562906392E-3</v>
      </c>
      <c r="C210" s="69">
        <v>-1.6992713126116508E-3</v>
      </c>
      <c r="D210" s="69">
        <v>-2.2461338247964347E-3</v>
      </c>
      <c r="E210" s="69">
        <v>-2.8040192969566455E-3</v>
      </c>
    </row>
    <row r="211" spans="1:5" x14ac:dyDescent="0.2">
      <c r="A211" s="68">
        <v>45457</v>
      </c>
      <c r="B211" s="69">
        <v>7.1292500086807126E-3</v>
      </c>
      <c r="C211" s="69">
        <v>1.6992713126115697E-3</v>
      </c>
      <c r="D211" s="69">
        <v>6.7732635119238547E-3</v>
      </c>
      <c r="E211" s="69">
        <v>9.9810926592237108E-3</v>
      </c>
    </row>
    <row r="212" spans="1:5" x14ac:dyDescent="0.2">
      <c r="A212" s="68">
        <v>45460</v>
      </c>
      <c r="B212" s="69">
        <v>1.0089684058280046E-2</v>
      </c>
      <c r="C212" s="69">
        <v>2.1277351283956945E-2</v>
      </c>
      <c r="D212" s="69">
        <v>1.1075734559102575E-2</v>
      </c>
      <c r="E212" s="69">
        <v>4.8423762453274561E-3</v>
      </c>
    </row>
    <row r="213" spans="1:5" x14ac:dyDescent="0.2">
      <c r="A213" s="68">
        <v>45461</v>
      </c>
      <c r="B213" s="69">
        <v>9.6968092913597486E-4</v>
      </c>
      <c r="C213" s="69">
        <v>3.3186565462668526E-3</v>
      </c>
      <c r="D213" s="69">
        <v>-8.5585214334295322E-5</v>
      </c>
      <c r="E213" s="69">
        <v>-2.7958364319100623E-3</v>
      </c>
    </row>
    <row r="214" spans="1:5" x14ac:dyDescent="0.2">
      <c r="A214" s="68">
        <v>45463</v>
      </c>
      <c r="B214" s="69">
        <v>-2.0342613642768655E-3</v>
      </c>
      <c r="C214" s="69">
        <v>1.588635415691966E-2</v>
      </c>
      <c r="D214" s="69">
        <v>1.3344775421725262E-3</v>
      </c>
      <c r="E214" s="69">
        <v>-6.7396947304438175E-3</v>
      </c>
    </row>
    <row r="215" spans="1:5" x14ac:dyDescent="0.2">
      <c r="A215" s="68">
        <v>45464</v>
      </c>
      <c r="B215" s="69">
        <v>1.1337088931069723E-2</v>
      </c>
      <c r="C215" s="69">
        <v>1.3495526138129172E-2</v>
      </c>
      <c r="D215" s="69">
        <v>1.1262752589937666E-2</v>
      </c>
      <c r="E215" s="69">
        <v>9.7226241704701788E-3</v>
      </c>
    </row>
    <row r="216" spans="1:5" x14ac:dyDescent="0.2">
      <c r="A216" s="68">
        <v>45467</v>
      </c>
      <c r="B216" s="69">
        <v>-3.0967618252215651E-4</v>
      </c>
      <c r="C216" s="69">
        <v>2.1425562712271934E-3</v>
      </c>
      <c r="D216" s="69">
        <v>5.5049482880241613E-4</v>
      </c>
      <c r="E216" s="69">
        <v>-8.9963864533242717E-5</v>
      </c>
    </row>
    <row r="217" spans="1:5" x14ac:dyDescent="0.2">
      <c r="A217" s="68">
        <v>45468</v>
      </c>
      <c r="B217" s="69">
        <v>3.5287844338486307E-3</v>
      </c>
      <c r="C217" s="69">
        <v>3.738273476931629E-3</v>
      </c>
      <c r="D217" s="69">
        <v>4.6872046903352E-3</v>
      </c>
      <c r="E217" s="69">
        <v>5.8587069878831468E-3</v>
      </c>
    </row>
    <row r="218" spans="1:5" x14ac:dyDescent="0.2">
      <c r="A218" s="68">
        <v>45469</v>
      </c>
      <c r="B218" s="69">
        <v>4.6380737241741759E-3</v>
      </c>
      <c r="C218" s="69">
        <v>-5.3329250387106324E-4</v>
      </c>
      <c r="D218" s="69">
        <v>3.4469721198521004E-3</v>
      </c>
      <c r="E218" s="69">
        <v>5.5437777594018753E-3</v>
      </c>
    </row>
    <row r="219" spans="1:5" x14ac:dyDescent="0.2">
      <c r="A219" s="68">
        <v>45470</v>
      </c>
      <c r="B219" s="69">
        <v>1.0659718954943709E-2</v>
      </c>
      <c r="C219" s="69">
        <v>1.901802869604308E-2</v>
      </c>
      <c r="D219" s="69">
        <v>1.061223116570356E-2</v>
      </c>
      <c r="E219" s="69">
        <v>5.0989735628215235E-3</v>
      </c>
    </row>
    <row r="220" spans="1:5" x14ac:dyDescent="0.2">
      <c r="A220" s="68">
        <v>45471</v>
      </c>
      <c r="B220" s="69">
        <v>1.0303724513212488E-2</v>
      </c>
      <c r="C220" s="69">
        <v>-6.8259836239331134E-3</v>
      </c>
      <c r="D220" s="69">
        <v>7.778131827283841E-3</v>
      </c>
      <c r="E220" s="69">
        <v>1.6301546736947094E-2</v>
      </c>
    </row>
    <row r="221" spans="1:5" x14ac:dyDescent="0.2">
      <c r="A221" s="68">
        <v>45474</v>
      </c>
      <c r="B221" s="69">
        <v>7.672760322897011E-3</v>
      </c>
      <c r="C221" s="69">
        <v>-8.4656033871456007E-3</v>
      </c>
      <c r="D221" s="69">
        <v>4.6958655982969871E-3</v>
      </c>
      <c r="E221" s="69">
        <v>1.202876875914698E-2</v>
      </c>
    </row>
    <row r="222" spans="1:5" x14ac:dyDescent="0.2">
      <c r="A222" s="68">
        <v>45475</v>
      </c>
      <c r="B222" s="69">
        <v>-1.8113614088010317E-3</v>
      </c>
      <c r="C222" s="69">
        <v>-7.466713020734231E-3</v>
      </c>
      <c r="D222" s="69">
        <v>-2.5210996386634578E-3</v>
      </c>
      <c r="E222" s="69">
        <v>3.9259523553492178E-4</v>
      </c>
    </row>
    <row r="223" spans="1:5" x14ac:dyDescent="0.2">
      <c r="A223" s="68">
        <v>45476</v>
      </c>
      <c r="B223" s="69">
        <v>-4.8921851397274634E-4</v>
      </c>
      <c r="C223" s="69">
        <v>4.8064098657813409E-3</v>
      </c>
      <c r="D223" s="69">
        <v>2.1817252019528405E-3</v>
      </c>
      <c r="E223" s="69">
        <v>1.673125328539657E-3</v>
      </c>
    </row>
    <row r="224" spans="1:5" x14ac:dyDescent="0.2">
      <c r="A224" s="68">
        <v>45478</v>
      </c>
      <c r="B224" s="69">
        <v>2.828789323767132E-3</v>
      </c>
      <c r="C224" s="69">
        <v>2.1287652308458159E-3</v>
      </c>
      <c r="D224" s="69">
        <v>2.8983821501399861E-3</v>
      </c>
      <c r="E224" s="69">
        <v>3.5019552209605816E-3</v>
      </c>
    </row>
    <row r="225" spans="1:5" x14ac:dyDescent="0.2">
      <c r="A225" s="68">
        <v>45481</v>
      </c>
      <c r="B225" s="69">
        <v>6.0583794979160496E-3</v>
      </c>
      <c r="C225" s="69">
        <v>-5.3176661708070883E-4</v>
      </c>
      <c r="D225" s="69">
        <v>4.4381632056561555E-3</v>
      </c>
      <c r="E225" s="69">
        <v>7.0013335638796862E-3</v>
      </c>
    </row>
    <row r="226" spans="1:5" x14ac:dyDescent="0.2">
      <c r="A226" s="68">
        <v>45482</v>
      </c>
      <c r="B226" s="69">
        <v>7.9559513963637137E-3</v>
      </c>
      <c r="C226" s="69">
        <v>1.1701116052050159E-2</v>
      </c>
      <c r="D226" s="69">
        <v>9.4957806731406271E-3</v>
      </c>
      <c r="E226" s="69">
        <v>8.7856803087425234E-3</v>
      </c>
    </row>
    <row r="227" spans="1:5" x14ac:dyDescent="0.2">
      <c r="A227" s="68">
        <v>45483</v>
      </c>
      <c r="B227" s="69">
        <v>-2.9965851727684015E-3</v>
      </c>
      <c r="C227" s="69">
        <v>6.3830534173032645E-3</v>
      </c>
      <c r="D227" s="69">
        <v>-2.3302819464394993E-3</v>
      </c>
      <c r="E227" s="69">
        <v>-7.8008057269579609E-3</v>
      </c>
    </row>
    <row r="228" spans="1:5" x14ac:dyDescent="0.2">
      <c r="A228" s="68">
        <v>45484</v>
      </c>
      <c r="B228" s="69">
        <v>-4.1272338916125712E-3</v>
      </c>
      <c r="C228" s="69">
        <v>-2.6547400778527642E-3</v>
      </c>
      <c r="D228" s="69">
        <v>-2.6092206163392303E-3</v>
      </c>
      <c r="E228" s="69">
        <v>-1.9215675905648049E-3</v>
      </c>
    </row>
    <row r="229" spans="1:5" x14ac:dyDescent="0.2">
      <c r="A229" s="68">
        <v>45485</v>
      </c>
      <c r="B229" s="69">
        <v>1.0291333046241986E-2</v>
      </c>
      <c r="C229" s="69">
        <v>-1.2302856764034255E-2</v>
      </c>
      <c r="D229" s="69">
        <v>5.7450577842224357E-3</v>
      </c>
      <c r="E229" s="69">
        <v>1.5588654379723996E-2</v>
      </c>
    </row>
    <row r="230" spans="1:5" x14ac:dyDescent="0.2">
      <c r="A230" s="68">
        <v>45488</v>
      </c>
      <c r="B230" s="69">
        <v>1.3170239121630194E-2</v>
      </c>
      <c r="C230" s="69">
        <v>1.4427180508327499E-2</v>
      </c>
      <c r="D230" s="69">
        <v>1.2667573248598431E-2</v>
      </c>
      <c r="E230" s="69">
        <v>1.1268397587621999E-2</v>
      </c>
    </row>
    <row r="231" spans="1:5" x14ac:dyDescent="0.2">
      <c r="A231" s="68">
        <v>45489</v>
      </c>
      <c r="B231" s="69">
        <v>7.8414356352753123E-3</v>
      </c>
      <c r="C231" s="69">
        <v>1.631185864869468E-2</v>
      </c>
      <c r="D231" s="69">
        <v>7.4203526475892538E-3</v>
      </c>
      <c r="E231" s="69">
        <v>1.3240968190709507E-3</v>
      </c>
    </row>
    <row r="232" spans="1:5" x14ac:dyDescent="0.2">
      <c r="A232" s="68">
        <v>45490</v>
      </c>
      <c r="B232" s="69">
        <v>-1.9080559938207172E-2</v>
      </c>
      <c r="C232" s="69">
        <v>-5.2205691605959625E-4</v>
      </c>
      <c r="D232" s="69">
        <v>-1.5093130706085726E-2</v>
      </c>
      <c r="E232" s="69">
        <v>-2.2919090970610841E-2</v>
      </c>
    </row>
    <row r="233" spans="1:5" x14ac:dyDescent="0.2">
      <c r="A233" s="68">
        <v>45491</v>
      </c>
      <c r="B233" s="69">
        <v>-8.7738965332764514E-4</v>
      </c>
      <c r="C233" s="69">
        <v>-1.5677557021459298E-3</v>
      </c>
      <c r="D233" s="69">
        <v>-9.2435025178766873E-4</v>
      </c>
      <c r="E233" s="69">
        <v>-5.3130425347982016E-4</v>
      </c>
    </row>
    <row r="234" spans="1:5" x14ac:dyDescent="0.2">
      <c r="A234" s="68">
        <v>45492</v>
      </c>
      <c r="B234" s="69">
        <v>-9.6986764983629809E-3</v>
      </c>
      <c r="C234" s="69">
        <v>-3.0265224779422156E-2</v>
      </c>
      <c r="D234" s="69">
        <v>-1.3644421848366501E-2</v>
      </c>
      <c r="E234" s="69">
        <v>-4.5284113113594976E-3</v>
      </c>
    </row>
    <row r="235" spans="1:5" x14ac:dyDescent="0.2">
      <c r="A235" s="68">
        <v>45495</v>
      </c>
      <c r="B235" s="69">
        <v>-5.4311457820506301E-3</v>
      </c>
      <c r="C235" s="69">
        <v>-1.8498896320453713E-2</v>
      </c>
      <c r="D235" s="69">
        <v>-7.5865007219361605E-3</v>
      </c>
      <c r="E235" s="69">
        <v>-1.4264140383049432E-3</v>
      </c>
    </row>
    <row r="236" spans="1:5" x14ac:dyDescent="0.2">
      <c r="A236" s="68">
        <v>45496</v>
      </c>
      <c r="B236" s="69">
        <v>8.3005595282027653E-3</v>
      </c>
      <c r="C236" s="69">
        <v>5.0853933718081321E-2</v>
      </c>
      <c r="D236" s="69">
        <v>1.506801403185349E-2</v>
      </c>
      <c r="E236" s="69">
        <v>-5.404746908641872E-3</v>
      </c>
    </row>
    <row r="237" spans="1:5" x14ac:dyDescent="0.2">
      <c r="A237" s="68">
        <v>45497</v>
      </c>
      <c r="B237" s="69">
        <v>-1.8691565858350962E-4</v>
      </c>
      <c r="C237" s="69">
        <v>1.564589587366755E-3</v>
      </c>
      <c r="D237" s="69">
        <v>-1.1205611942686805E-4</v>
      </c>
      <c r="E237" s="69">
        <v>-1.200825319862966E-3</v>
      </c>
    </row>
    <row r="238" spans="1:5" x14ac:dyDescent="0.2">
      <c r="A238" s="68">
        <v>45498</v>
      </c>
      <c r="B238" s="69">
        <v>5.0089159927437675E-3</v>
      </c>
      <c r="C238" s="69">
        <v>-9.4242056297434203E-3</v>
      </c>
      <c r="D238" s="69">
        <v>1.6703904258090303E-3</v>
      </c>
      <c r="E238" s="69">
        <v>7.3897901850715287E-3</v>
      </c>
    </row>
    <row r="239" spans="1:5" x14ac:dyDescent="0.2">
      <c r="A239" s="68">
        <v>45499</v>
      </c>
      <c r="B239" s="69">
        <v>-4.8230454237441697E-3</v>
      </c>
      <c r="C239" s="69">
        <v>-5.8032344347412621E-3</v>
      </c>
      <c r="D239" s="69">
        <v>-4.6170321556816005E-3</v>
      </c>
      <c r="E239" s="69">
        <v>-3.7432358760074213E-3</v>
      </c>
    </row>
    <row r="240" spans="1:5" x14ac:dyDescent="0.2">
      <c r="A240" s="68">
        <v>45502</v>
      </c>
      <c r="B240" s="69">
        <v>1.1407438153400395E-2</v>
      </c>
      <c r="C240" s="69">
        <v>4.2238711161852434E-3</v>
      </c>
      <c r="D240" s="69">
        <v>9.2308545579694035E-3</v>
      </c>
      <c r="E240" s="69">
        <v>1.1510277121869292E-2</v>
      </c>
    </row>
    <row r="241" spans="1:5" x14ac:dyDescent="0.2">
      <c r="A241" s="68">
        <v>45503</v>
      </c>
      <c r="B241" s="69">
        <v>2.5264681837728182E-3</v>
      </c>
      <c r="C241" s="69">
        <v>1.4125267552011362E-2</v>
      </c>
      <c r="D241" s="69">
        <v>5.8812819563437129E-3</v>
      </c>
      <c r="E241" s="69">
        <v>2.0794890989445512E-3</v>
      </c>
    </row>
    <row r="242" spans="1:5" x14ac:dyDescent="0.2">
      <c r="A242" s="68">
        <v>45504</v>
      </c>
      <c r="B242" s="69">
        <v>-9.9191171797789763E-3</v>
      </c>
      <c r="C242" s="69">
        <v>1.1363707289245462E-2</v>
      </c>
      <c r="D242" s="69">
        <v>-5.6802017196643162E-3</v>
      </c>
      <c r="E242" s="69">
        <v>-1.5058571490753715E-2</v>
      </c>
    </row>
    <row r="243" spans="1:5" x14ac:dyDescent="0.2">
      <c r="A243" s="68">
        <v>45505</v>
      </c>
      <c r="B243" s="69">
        <v>-2.061377543672066E-2</v>
      </c>
      <c r="C243" s="69">
        <v>-5.1492389779095047E-3</v>
      </c>
      <c r="D243" s="69">
        <v>-1.5269766192061787E-2</v>
      </c>
      <c r="E243" s="69">
        <v>-1.9608315963958099E-2</v>
      </c>
    </row>
    <row r="244" spans="1:5" x14ac:dyDescent="0.2">
      <c r="A244" s="68">
        <v>45506</v>
      </c>
      <c r="B244" s="69">
        <v>-2.7644895728941014E-2</v>
      </c>
      <c r="C244" s="69">
        <v>-2.4034646374763047E-2</v>
      </c>
      <c r="D244" s="69">
        <v>-2.8321521326939332E-2</v>
      </c>
      <c r="E244" s="69">
        <v>-3.1509543787856434E-2</v>
      </c>
    </row>
    <row r="245" spans="1:5" x14ac:dyDescent="0.2">
      <c r="A245" s="68">
        <v>45509</v>
      </c>
      <c r="B245" s="69">
        <v>1.6035292564615305E-2</v>
      </c>
      <c r="C245" s="69">
        <v>1.4698479459715275E-2</v>
      </c>
      <c r="D245" s="69">
        <v>1.3943124221604731E-2</v>
      </c>
      <c r="E245" s="69">
        <v>1.2530056328995983E-2</v>
      </c>
    </row>
    <row r="246" spans="1:5" x14ac:dyDescent="0.2">
      <c r="A246" s="68">
        <v>45510</v>
      </c>
      <c r="B246" s="69">
        <v>3.5652314630298726E-3</v>
      </c>
      <c r="C246" s="69">
        <v>3.1216986037119246E-3</v>
      </c>
      <c r="D246" s="69">
        <v>4.0786037446709326E-3</v>
      </c>
      <c r="E246" s="69">
        <v>4.9416210693801138E-3</v>
      </c>
    </row>
    <row r="247" spans="1:5" x14ac:dyDescent="0.2">
      <c r="A247" s="68">
        <v>45511</v>
      </c>
      <c r="B247" s="69">
        <v>1.4207264833236404E-2</v>
      </c>
      <c r="C247" s="69">
        <v>7.7620053354891094E-3</v>
      </c>
      <c r="D247" s="69">
        <v>1.2932301136284526E-2</v>
      </c>
      <c r="E247" s="69">
        <v>1.5789536404105367E-2</v>
      </c>
    </row>
    <row r="248" spans="1:5" x14ac:dyDescent="0.2">
      <c r="A248" s="68">
        <v>45512</v>
      </c>
      <c r="B248" s="69">
        <v>8.1211035641951188E-3</v>
      </c>
      <c r="C248" s="69">
        <v>4.6284474501869788E-3</v>
      </c>
      <c r="D248" s="69">
        <v>7.7168449125451059E-3</v>
      </c>
      <c r="E248" s="69">
        <v>9.602342538560028E-3</v>
      </c>
    </row>
    <row r="249" spans="1:5" x14ac:dyDescent="0.2">
      <c r="A249" s="68">
        <v>45513</v>
      </c>
      <c r="B249" s="69">
        <v>1.147953756630073E-3</v>
      </c>
      <c r="C249" s="69">
        <v>-3.0832501301206196E-3</v>
      </c>
      <c r="D249" s="69">
        <v>6.1215161187909276E-4</v>
      </c>
      <c r="E249" s="69">
        <v>2.8357174140813384E-3</v>
      </c>
    </row>
    <row r="250" spans="1:5" x14ac:dyDescent="0.2">
      <c r="A250" s="68">
        <v>45516</v>
      </c>
      <c r="B250" s="69">
        <v>8.7424012801683264E-3</v>
      </c>
      <c r="C250" s="69">
        <v>4.6213175955976916E-3</v>
      </c>
      <c r="D250" s="69">
        <v>8.3991776761004923E-3</v>
      </c>
      <c r="E250" s="69">
        <v>1.0750965605069438E-2</v>
      </c>
    </row>
    <row r="251" spans="1:5" x14ac:dyDescent="0.2">
      <c r="A251" s="68">
        <v>45517</v>
      </c>
      <c r="B251" s="69">
        <v>7.4405027205732728E-3</v>
      </c>
      <c r="C251" s="69">
        <v>5.6193763609869146E-3</v>
      </c>
      <c r="D251" s="69">
        <v>6.660624873436812E-3</v>
      </c>
      <c r="E251" s="69">
        <v>7.0051248066515439E-3</v>
      </c>
    </row>
    <row r="252" spans="1:5" x14ac:dyDescent="0.2">
      <c r="A252" s="68">
        <v>45518</v>
      </c>
      <c r="B252" s="69">
        <v>-4.2682140039660829E-3</v>
      </c>
      <c r="C252" s="69">
        <v>-2.7894319608277238E-2</v>
      </c>
      <c r="D252" s="69">
        <v>-8.2225864661647149E-3</v>
      </c>
      <c r="E252" s="69">
        <v>2.8894965890757345E-3</v>
      </c>
    </row>
    <row r="253" spans="1:5" x14ac:dyDescent="0.2">
      <c r="A253" s="68">
        <v>45519</v>
      </c>
      <c r="B253" s="69">
        <v>1.0910511863187641E-2</v>
      </c>
      <c r="C253" s="69">
        <v>1.3010852287492039E-2</v>
      </c>
      <c r="D253" s="69">
        <v>1.1021779162937239E-2</v>
      </c>
      <c r="E253" s="69">
        <v>9.7736040731655587E-3</v>
      </c>
    </row>
    <row r="254" spans="1:5" x14ac:dyDescent="0.2">
      <c r="A254" s="68">
        <v>45520</v>
      </c>
    </row>
  </sheetData>
  <phoneticPr fontId="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CD35-F0E5-8147-80C5-F43F77EEF7AF}">
  <dimension ref="A1:AM264"/>
  <sheetViews>
    <sheetView showGridLines="0" topLeftCell="Q4" zoomScale="130" zoomScaleNormal="130" workbookViewId="0">
      <selection activeCell="AF33" sqref="AF33"/>
    </sheetView>
  </sheetViews>
  <sheetFormatPr baseColWidth="10" defaultColWidth="11.33203125" defaultRowHeight="16" x14ac:dyDescent="0.2"/>
  <cols>
    <col min="1" max="5" width="11.33203125" style="3"/>
    <col min="6" max="6" width="11.33203125" style="36"/>
    <col min="7" max="7" width="9.83203125" style="14" customWidth="1"/>
    <col min="8" max="8" width="11.33203125" style="3"/>
    <col min="9" max="9" width="2.1640625" customWidth="1"/>
    <col min="10" max="10" width="12" style="3" bestFit="1" customWidth="1"/>
    <col min="11" max="15" width="11.33203125" style="3"/>
    <col min="17" max="17" width="2.5" style="3" customWidth="1"/>
    <col min="18" max="22" width="11.33203125" style="3"/>
    <col min="23" max="23" width="3" style="3" customWidth="1"/>
    <col min="24" max="24" width="2.5" style="3" customWidth="1"/>
    <col min="25" max="29" width="11.33203125" style="3"/>
    <col min="30" max="30" width="3.1640625" style="3" customWidth="1"/>
    <col min="31" max="31" width="23.33203125" style="3" customWidth="1"/>
    <col min="32" max="32" width="11.6640625" style="3" bestFit="1" customWidth="1"/>
    <col min="33" max="33" width="11.33203125" style="3"/>
    <col min="34" max="34" width="11.6640625" style="3" bestFit="1" customWidth="1"/>
    <col min="35" max="35" width="13.6640625" style="3" bestFit="1" customWidth="1"/>
    <col min="36" max="36" width="11.33203125" style="3"/>
    <col min="37" max="37" width="13.6640625" style="3" bestFit="1" customWidth="1"/>
    <col min="38" max="38" width="16.5" bestFit="1" customWidth="1"/>
    <col min="39" max="39" width="8" style="20" bestFit="1" customWidth="1"/>
    <col min="40" max="16384" width="11.33203125" style="3"/>
  </cols>
  <sheetData>
    <row r="1" spans="1:39" ht="17" thickBot="1" x14ac:dyDescent="0.25">
      <c r="A1" s="4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15</v>
      </c>
      <c r="G1" s="48" t="s">
        <v>34</v>
      </c>
      <c r="H1" s="48" t="s">
        <v>37</v>
      </c>
      <c r="J1" s="90" t="s">
        <v>12</v>
      </c>
      <c r="K1" s="90"/>
      <c r="L1" s="90"/>
      <c r="M1" s="90"/>
      <c r="N1" s="90"/>
      <c r="O1" s="90"/>
      <c r="P1" s="90"/>
      <c r="Q1" s="56"/>
      <c r="R1" s="90" t="s">
        <v>44</v>
      </c>
      <c r="S1" s="90"/>
      <c r="T1" s="90"/>
      <c r="U1" s="90"/>
      <c r="V1" s="90"/>
      <c r="W1" s="13"/>
      <c r="X1" s="39"/>
      <c r="Y1" s="89" t="s">
        <v>52</v>
      </c>
      <c r="Z1" s="89"/>
      <c r="AA1" s="89"/>
      <c r="AB1" s="89"/>
      <c r="AC1" s="89"/>
      <c r="AD1" s="39"/>
      <c r="AE1" s="3" t="s">
        <v>35</v>
      </c>
      <c r="AG1" s="3" t="s">
        <v>43</v>
      </c>
      <c r="AL1" s="38"/>
      <c r="AM1" s="38"/>
    </row>
    <row r="2" spans="1:39" ht="18" thickTop="1" thickBot="1" x14ac:dyDescent="0.25">
      <c r="A2" s="43">
        <v>45154</v>
      </c>
      <c r="B2" s="19">
        <v>175.67108200000001</v>
      </c>
      <c r="C2" s="19">
        <v>58.602820999999999</v>
      </c>
      <c r="D2" s="19">
        <v>146.505066</v>
      </c>
      <c r="E2" s="19">
        <v>13.196151</v>
      </c>
      <c r="F2" s="44">
        <v>4404.33</v>
      </c>
      <c r="G2" s="45">
        <v>5.3699999999999998E-2</v>
      </c>
      <c r="H2" s="37">
        <f>+(1+G2)^(1/250)-1</f>
        <v>2.0925300885044074E-4</v>
      </c>
      <c r="J2" s="57" t="s">
        <v>1</v>
      </c>
      <c r="K2" s="57" t="s">
        <v>2</v>
      </c>
      <c r="L2" s="57" t="s">
        <v>3</v>
      </c>
      <c r="M2" s="57" t="s">
        <v>4</v>
      </c>
      <c r="N2" s="58" t="s">
        <v>15</v>
      </c>
      <c r="O2" s="48" t="s">
        <v>34</v>
      </c>
      <c r="P2" s="48" t="s">
        <v>5</v>
      </c>
      <c r="Q2" s="56"/>
      <c r="R2" s="57" t="s">
        <v>1</v>
      </c>
      <c r="S2" s="57" t="s">
        <v>2</v>
      </c>
      <c r="T2" s="57" t="s">
        <v>3</v>
      </c>
      <c r="U2" s="57" t="s">
        <v>4</v>
      </c>
      <c r="V2" s="58" t="s">
        <v>15</v>
      </c>
      <c r="W2" s="39"/>
      <c r="X2" s="52"/>
      <c r="Y2" s="41" t="s">
        <v>1</v>
      </c>
      <c r="Z2" s="41" t="s">
        <v>2</v>
      </c>
      <c r="AA2" s="41" t="s">
        <v>3</v>
      </c>
      <c r="AB2" s="41" t="s">
        <v>4</v>
      </c>
      <c r="AC2" s="42" t="s">
        <v>15</v>
      </c>
      <c r="AD2" s="52"/>
      <c r="AE2" s="3" t="s">
        <v>36</v>
      </c>
      <c r="AG2" s="3" t="s">
        <v>51</v>
      </c>
      <c r="AL2" s="38"/>
    </row>
    <row r="3" spans="1:39" ht="17" thickTop="1" x14ac:dyDescent="0.2">
      <c r="A3" s="43">
        <v>45155</v>
      </c>
      <c r="B3" s="19">
        <v>173.11415099999999</v>
      </c>
      <c r="C3" s="19">
        <v>58.728789999999996</v>
      </c>
      <c r="D3" s="19">
        <v>144.98335299999999</v>
      </c>
      <c r="E3" s="19">
        <v>13.111919</v>
      </c>
      <c r="F3" s="44">
        <v>4370.3599999999997</v>
      </c>
      <c r="G3" s="45">
        <v>5.3600000000000002E-2</v>
      </c>
      <c r="H3" s="37">
        <f t="shared" ref="H3:H66" si="0">+(1+G3)^(1/250)-1</f>
        <v>2.0887329677776734E-4</v>
      </c>
      <c r="J3" s="6">
        <f>LN(B3/B2)</f>
        <v>-1.4662185008184019E-2</v>
      </c>
      <c r="K3" s="6">
        <f>LN(C3/C2)</f>
        <v>2.1472312077841786E-3</v>
      </c>
      <c r="L3" s="6">
        <f>LN(D3/D2)</f>
        <v>-1.0441079130812173E-2</v>
      </c>
      <c r="M3" s="6">
        <f>LN(E3/E2)</f>
        <v>-6.4035322871765967E-3</v>
      </c>
      <c r="N3" s="6">
        <f>LN(F3/F2)</f>
        <v>-7.7427623561250646E-3</v>
      </c>
      <c r="O3" s="6">
        <f t="shared" ref="O3:O66" si="1">LN(H3/H2)</f>
        <v>-1.8162558630952245E-3</v>
      </c>
      <c r="Q3" s="6"/>
      <c r="R3" s="13">
        <f t="shared" ref="R3:V53" si="2">+J3-$H3</f>
        <v>-1.4871058304961786E-2</v>
      </c>
      <c r="S3" s="13">
        <f t="shared" si="2"/>
        <v>1.9383579110064113E-3</v>
      </c>
      <c r="T3" s="13">
        <f t="shared" si="2"/>
        <v>-1.064995242758994E-2</v>
      </c>
      <c r="U3" s="13">
        <f t="shared" si="2"/>
        <v>-6.612405583954364E-3</v>
      </c>
      <c r="V3" s="13">
        <f t="shared" si="2"/>
        <v>-7.9516356529028311E-3</v>
      </c>
      <c r="W3" s="13"/>
      <c r="X3" s="52"/>
      <c r="Y3" s="13">
        <f t="shared" ref="Y3:Y66" si="3">+IF(J3&lt;$O3,J3-$O3,"")</f>
        <v>-1.2845929145088794E-2</v>
      </c>
      <c r="Z3" s="13" t="str">
        <f t="shared" ref="Z3:Z66" si="4">+IF(K3&lt;$O3,K3-$O3,"")</f>
        <v/>
      </c>
      <c r="AA3" s="13">
        <f t="shared" ref="AA3:AA66" si="5">+IF(L3&lt;$O3,L3-$O3,"")</f>
        <v>-8.6248232677169478E-3</v>
      </c>
      <c r="AB3" s="13">
        <f t="shared" ref="AB3:AB66" si="6">+IF(M3&lt;$O3,M3-$O3,"")</f>
        <v>-4.587276424081372E-3</v>
      </c>
      <c r="AC3" s="13">
        <f t="shared" ref="AC3:AC66" si="7">+IF(N3&lt;$O3,N3-$O3,"")</f>
        <v>-5.9265064930298398E-3</v>
      </c>
      <c r="AD3" s="52"/>
      <c r="AL3" s="38"/>
    </row>
    <row r="4" spans="1:39" x14ac:dyDescent="0.2">
      <c r="A4" s="43">
        <v>45156</v>
      </c>
      <c r="B4" s="19">
        <v>173.601654</v>
      </c>
      <c r="C4" s="19">
        <v>59.058239</v>
      </c>
      <c r="D4" s="19">
        <v>145.31500199999999</v>
      </c>
      <c r="E4" s="19">
        <v>13.149357</v>
      </c>
      <c r="F4" s="44">
        <v>4369.71</v>
      </c>
      <c r="G4" s="45">
        <v>5.3499999999999999E-2</v>
      </c>
      <c r="H4" s="37">
        <f t="shared" si="0"/>
        <v>2.0849354880780879E-4</v>
      </c>
      <c r="J4" s="6">
        <f t="shared" ref="J4:N35" si="8">LN(B4/B3)</f>
        <v>2.8121205565770678E-3</v>
      </c>
      <c r="K4" s="6">
        <f t="shared" si="8"/>
        <v>5.5939921723177225E-3</v>
      </c>
      <c r="L4" s="6">
        <f t="shared" si="8"/>
        <v>2.2848847647558819E-3</v>
      </c>
      <c r="M4" s="6">
        <f t="shared" si="8"/>
        <v>2.8511962146941443E-3</v>
      </c>
      <c r="N4" s="6">
        <f t="shared" si="8"/>
        <v>-1.4874022775515319E-4</v>
      </c>
      <c r="O4" s="6">
        <f t="shared" si="1"/>
        <v>-1.8197328262530177E-3</v>
      </c>
      <c r="Q4" s="6"/>
      <c r="R4" s="13">
        <f t="shared" si="2"/>
        <v>2.603627007769259E-3</v>
      </c>
      <c r="S4" s="13">
        <f t="shared" si="2"/>
        <v>5.3854986235099137E-3</v>
      </c>
      <c r="T4" s="13">
        <f t="shared" si="2"/>
        <v>2.0763912159480731E-3</v>
      </c>
      <c r="U4" s="13">
        <f t="shared" si="2"/>
        <v>2.6427026658863355E-3</v>
      </c>
      <c r="V4" s="13">
        <f t="shared" si="2"/>
        <v>-3.5723377656296198E-4</v>
      </c>
      <c r="W4" s="13"/>
      <c r="X4" s="52"/>
      <c r="Y4" s="13" t="str">
        <f t="shared" si="3"/>
        <v/>
      </c>
      <c r="Z4" s="13" t="str">
        <f t="shared" si="4"/>
        <v/>
      </c>
      <c r="AA4" s="13" t="str">
        <f t="shared" si="5"/>
        <v/>
      </c>
      <c r="AB4" s="13" t="str">
        <f t="shared" si="6"/>
        <v/>
      </c>
      <c r="AC4" s="13" t="str">
        <f t="shared" si="7"/>
        <v/>
      </c>
      <c r="AD4" s="52"/>
      <c r="AE4" s="7" t="s">
        <v>6</v>
      </c>
      <c r="AF4" s="50" t="s">
        <v>1</v>
      </c>
      <c r="AG4" s="50" t="s">
        <v>2</v>
      </c>
      <c r="AH4" s="50" t="s">
        <v>3</v>
      </c>
      <c r="AI4" s="50" t="s">
        <v>4</v>
      </c>
      <c r="AJ4" s="50" t="s">
        <v>15</v>
      </c>
      <c r="AL4" s="38"/>
    </row>
    <row r="5" spans="1:39" x14ac:dyDescent="0.2">
      <c r="A5" s="43">
        <v>45159</v>
      </c>
      <c r="B5" s="19">
        <v>174.94477800000001</v>
      </c>
      <c r="C5" s="19">
        <v>58.554378999999997</v>
      </c>
      <c r="D5" s="19">
        <v>145.8125</v>
      </c>
      <c r="E5" s="19">
        <v>13.196151</v>
      </c>
      <c r="F5" s="44">
        <v>4399.7700000000004</v>
      </c>
      <c r="G5" s="45">
        <v>5.3699999999999998E-2</v>
      </c>
      <c r="H5" s="37">
        <f t="shared" si="0"/>
        <v>2.0925300885044074E-4</v>
      </c>
      <c r="J5" s="6">
        <f t="shared" si="8"/>
        <v>7.7070400094383651E-3</v>
      </c>
      <c r="K5" s="6">
        <f t="shared" si="8"/>
        <v>-8.568180711971048E-3</v>
      </c>
      <c r="L5" s="6">
        <f t="shared" si="8"/>
        <v>3.4177360836862881E-3</v>
      </c>
      <c r="M5" s="6">
        <f t="shared" si="8"/>
        <v>3.5523360724823969E-3</v>
      </c>
      <c r="N5" s="6">
        <f t="shared" si="8"/>
        <v>6.8556214812669266E-3</v>
      </c>
      <c r="O5" s="6">
        <f t="shared" si="1"/>
        <v>3.635988689348241E-3</v>
      </c>
      <c r="Q5" s="6"/>
      <c r="R5" s="13">
        <f t="shared" si="2"/>
        <v>7.4977870005879244E-3</v>
      </c>
      <c r="S5" s="13">
        <f t="shared" si="2"/>
        <v>-8.7774337208214887E-3</v>
      </c>
      <c r="T5" s="13">
        <f t="shared" si="2"/>
        <v>3.2084830748358474E-3</v>
      </c>
      <c r="U5" s="13">
        <f t="shared" si="2"/>
        <v>3.3430830636319562E-3</v>
      </c>
      <c r="V5" s="13">
        <f t="shared" si="2"/>
        <v>6.6463684724164859E-3</v>
      </c>
      <c r="W5" s="13"/>
      <c r="X5" s="52"/>
      <c r="Y5" s="13" t="str">
        <f t="shared" si="3"/>
        <v/>
      </c>
      <c r="Z5" s="13">
        <f t="shared" si="4"/>
        <v>-1.2204169401319289E-2</v>
      </c>
      <c r="AA5" s="13">
        <f t="shared" si="5"/>
        <v>-2.1825260566195282E-4</v>
      </c>
      <c r="AB5" s="13">
        <f t="shared" si="6"/>
        <v>-8.3652616865844028E-5</v>
      </c>
      <c r="AC5" s="13" t="str">
        <f t="shared" si="7"/>
        <v/>
      </c>
      <c r="AD5" s="52"/>
      <c r="AE5" s="55" t="s">
        <v>21</v>
      </c>
      <c r="AF5" s="8">
        <f>AVERAGE(J3:J254)</f>
        <v>1.0005667965467292E-3</v>
      </c>
      <c r="AG5" s="8">
        <f>AVERAGE(K3:K254)</f>
        <v>6.5844828632144513E-4</v>
      </c>
      <c r="AH5" s="8">
        <f>AVERAGE(L3:L254)</f>
        <v>1.5030786305094985E-3</v>
      </c>
      <c r="AI5" s="8">
        <f>AVERAGE(M3:M254)</f>
        <v>1.5168662454873357E-3</v>
      </c>
      <c r="AJ5" s="8">
        <f>AVERAGE(N3:N254)</f>
        <v>9.1264845799794573E-4</v>
      </c>
    </row>
    <row r="6" spans="1:39" x14ac:dyDescent="0.2">
      <c r="A6" s="43">
        <v>45160</v>
      </c>
      <c r="B6" s="19">
        <v>176.327698</v>
      </c>
      <c r="C6" s="19">
        <v>58.195861999999998</v>
      </c>
      <c r="D6" s="19">
        <v>142.78855899999999</v>
      </c>
      <c r="E6" s="19">
        <v>13.345895000000001</v>
      </c>
      <c r="F6" s="44">
        <v>4387.55</v>
      </c>
      <c r="G6" s="45">
        <v>5.3899999999999997E-2</v>
      </c>
      <c r="H6" s="37">
        <f t="shared" si="0"/>
        <v>2.1001232533235381E-4</v>
      </c>
      <c r="J6" s="6">
        <f t="shared" si="8"/>
        <v>7.8738144273404372E-3</v>
      </c>
      <c r="K6" s="6">
        <f t="shared" si="8"/>
        <v>-6.141625470814838E-3</v>
      </c>
      <c r="L6" s="6">
        <f t="shared" si="8"/>
        <v>-2.0956622133486116E-2</v>
      </c>
      <c r="M6" s="6">
        <f t="shared" si="8"/>
        <v>1.1283650762276005E-2</v>
      </c>
      <c r="N6" s="6">
        <f t="shared" si="8"/>
        <v>-2.7812820922299762E-3</v>
      </c>
      <c r="O6" s="6">
        <f t="shared" si="1"/>
        <v>3.6221325742041705E-3</v>
      </c>
      <c r="Q6" s="6"/>
      <c r="R6" s="13">
        <f t="shared" si="2"/>
        <v>7.6638021020080833E-3</v>
      </c>
      <c r="S6" s="13">
        <f t="shared" si="2"/>
        <v>-6.3516377961471918E-3</v>
      </c>
      <c r="T6" s="13">
        <f t="shared" si="2"/>
        <v>-2.1166634458818469E-2</v>
      </c>
      <c r="U6" s="13">
        <f t="shared" si="2"/>
        <v>1.1073638436943652E-2</v>
      </c>
      <c r="V6" s="13">
        <f t="shared" si="2"/>
        <v>-2.99129441756233E-3</v>
      </c>
      <c r="W6" s="13"/>
      <c r="X6" s="52"/>
      <c r="Y6" s="13" t="str">
        <f t="shared" si="3"/>
        <v/>
      </c>
      <c r="Z6" s="13">
        <f t="shared" si="4"/>
        <v>-9.7637580450190085E-3</v>
      </c>
      <c r="AA6" s="13">
        <f t="shared" si="5"/>
        <v>-2.4578754707690286E-2</v>
      </c>
      <c r="AB6" s="13" t="str">
        <f t="shared" si="6"/>
        <v/>
      </c>
      <c r="AC6" s="13">
        <f t="shared" si="7"/>
        <v>-6.4034146664341471E-3</v>
      </c>
      <c r="AD6" s="52"/>
      <c r="AE6" s="55" t="s">
        <v>39</v>
      </c>
      <c r="AF6" s="8">
        <f>STDEV(J3:J254)</f>
        <v>1.4317007168692672E-2</v>
      </c>
      <c r="AG6" s="8">
        <f>STDEV(K3:K254)</f>
        <v>8.4145554622722402E-3</v>
      </c>
      <c r="AH6" s="8">
        <f>STDEV(L3:L254)</f>
        <v>1.1640822805611175E-2</v>
      </c>
      <c r="AI6" s="8">
        <f>STDEV(M3:M254)</f>
        <v>1.3397541042164431E-2</v>
      </c>
      <c r="AJ6" s="8">
        <f>STDEV(N3:N254)</f>
        <v>7.8758266281572179E-3</v>
      </c>
      <c r="AL6" s="38"/>
    </row>
    <row r="7" spans="1:39" x14ac:dyDescent="0.2">
      <c r="A7" s="43">
        <v>45161</v>
      </c>
      <c r="B7" s="19">
        <v>180.19790599999999</v>
      </c>
      <c r="C7" s="19">
        <v>58.399344999999997</v>
      </c>
      <c r="D7" s="19">
        <v>143.754257</v>
      </c>
      <c r="E7" s="19">
        <v>13.252305</v>
      </c>
      <c r="F7" s="44">
        <v>4436.01</v>
      </c>
      <c r="G7" s="45">
        <v>5.3499999999999999E-2</v>
      </c>
      <c r="H7" s="37">
        <f t="shared" si="0"/>
        <v>2.0849354880780879E-4</v>
      </c>
      <c r="J7" s="6">
        <f t="shared" si="8"/>
        <v>2.1711540417555734E-2</v>
      </c>
      <c r="K7" s="6">
        <f t="shared" si="8"/>
        <v>3.4904214645253497E-3</v>
      </c>
      <c r="L7" s="6">
        <f t="shared" si="8"/>
        <v>6.740365503857486E-3</v>
      </c>
      <c r="M7" s="6">
        <f t="shared" si="8"/>
        <v>-7.0373473579131004E-3</v>
      </c>
      <c r="N7" s="6">
        <f t="shared" si="8"/>
        <v>1.0984339030271489E-2</v>
      </c>
      <c r="O7" s="6">
        <f t="shared" si="1"/>
        <v>-7.2581212635524379E-3</v>
      </c>
      <c r="Q7" s="6"/>
      <c r="R7" s="13">
        <f t="shared" si="2"/>
        <v>2.1503046868747926E-2</v>
      </c>
      <c r="S7" s="13">
        <f t="shared" si="2"/>
        <v>3.2819279157175409E-3</v>
      </c>
      <c r="T7" s="13">
        <f t="shared" si="2"/>
        <v>6.5318719550496772E-3</v>
      </c>
      <c r="U7" s="13">
        <f t="shared" si="2"/>
        <v>-7.2458409067209092E-3</v>
      </c>
      <c r="V7" s="13">
        <f t="shared" si="2"/>
        <v>1.0775845481463681E-2</v>
      </c>
      <c r="W7" s="13"/>
      <c r="X7" s="52"/>
      <c r="Y7" s="13" t="str">
        <f t="shared" si="3"/>
        <v/>
      </c>
      <c r="Z7" s="13" t="str">
        <f t="shared" si="4"/>
        <v/>
      </c>
      <c r="AA7" s="13" t="str">
        <f t="shared" si="5"/>
        <v/>
      </c>
      <c r="AB7" s="13" t="str">
        <f t="shared" si="6"/>
        <v/>
      </c>
      <c r="AC7" s="13" t="str">
        <f t="shared" si="7"/>
        <v/>
      </c>
      <c r="AD7" s="52"/>
      <c r="AL7" s="38"/>
    </row>
    <row r="8" spans="1:39" x14ac:dyDescent="0.2">
      <c r="A8" s="43">
        <v>45162</v>
      </c>
      <c r="B8" s="19">
        <v>175.48202499999999</v>
      </c>
      <c r="C8" s="19">
        <v>58.244312000000001</v>
      </c>
      <c r="D8" s="19">
        <v>143.61769100000001</v>
      </c>
      <c r="E8" s="19">
        <v>13.242945000000001</v>
      </c>
      <c r="F8" s="44">
        <v>4376.3100000000004</v>
      </c>
      <c r="G8" s="45">
        <v>5.3899999999999997E-2</v>
      </c>
      <c r="H8" s="37">
        <f t="shared" si="0"/>
        <v>2.1001232533235381E-4</v>
      </c>
      <c r="J8" s="6">
        <f t="shared" si="8"/>
        <v>-2.6519108676923038E-2</v>
      </c>
      <c r="K8" s="6">
        <f t="shared" si="8"/>
        <v>-2.6582344086022547E-3</v>
      </c>
      <c r="L8" s="6">
        <f t="shared" si="8"/>
        <v>-9.5044774711671462E-4</v>
      </c>
      <c r="M8" s="6">
        <f t="shared" si="8"/>
        <v>-7.0654176800563693E-4</v>
      </c>
      <c r="N8" s="6">
        <f t="shared" si="8"/>
        <v>-1.3549420207499292E-2</v>
      </c>
      <c r="O8" s="6">
        <f t="shared" si="1"/>
        <v>7.2581212635524119E-3</v>
      </c>
      <c r="Q8" s="6"/>
      <c r="R8" s="13">
        <f t="shared" si="2"/>
        <v>-2.6729121002255392E-2</v>
      </c>
      <c r="S8" s="13">
        <f t="shared" si="2"/>
        <v>-2.8682467339346085E-3</v>
      </c>
      <c r="T8" s="13">
        <f t="shared" si="2"/>
        <v>-1.1604600724490683E-3</v>
      </c>
      <c r="U8" s="13">
        <f t="shared" si="2"/>
        <v>-9.1655409333799075E-4</v>
      </c>
      <c r="V8" s="13">
        <f t="shared" si="2"/>
        <v>-1.3759432532831645E-2</v>
      </c>
      <c r="W8" s="13"/>
      <c r="X8" s="52"/>
      <c r="Y8" s="13">
        <f t="shared" si="3"/>
        <v>-3.3777229940475453E-2</v>
      </c>
      <c r="Z8" s="13">
        <f t="shared" si="4"/>
        <v>-9.916355672154667E-3</v>
      </c>
      <c r="AA8" s="13">
        <f t="shared" si="5"/>
        <v>-8.2085690106691259E-3</v>
      </c>
      <c r="AB8" s="13">
        <f t="shared" si="6"/>
        <v>-7.9646630315580481E-3</v>
      </c>
      <c r="AC8" s="13">
        <f t="shared" si="7"/>
        <v>-2.0807541471051703E-2</v>
      </c>
      <c r="AD8" s="52"/>
      <c r="AE8" s="7" t="s">
        <v>7</v>
      </c>
      <c r="AF8" s="50" t="s">
        <v>1</v>
      </c>
      <c r="AG8" s="50" t="s">
        <v>2</v>
      </c>
      <c r="AH8" s="50" t="s">
        <v>3</v>
      </c>
      <c r="AI8" s="50" t="s">
        <v>4</v>
      </c>
      <c r="AJ8" s="50" t="s">
        <v>15</v>
      </c>
      <c r="AL8" s="38"/>
    </row>
    <row r="9" spans="1:39" x14ac:dyDescent="0.2">
      <c r="A9" s="43">
        <v>45163</v>
      </c>
      <c r="B9" s="19">
        <v>177.70069899999999</v>
      </c>
      <c r="C9" s="19">
        <v>58.515616999999999</v>
      </c>
      <c r="D9" s="19">
        <v>143.44210799999999</v>
      </c>
      <c r="E9" s="19">
        <v>13.205508999999999</v>
      </c>
      <c r="F9" s="44">
        <v>4405.71</v>
      </c>
      <c r="G9" s="45">
        <v>5.4400000000000004E-2</v>
      </c>
      <c r="H9" s="37">
        <f t="shared" si="0"/>
        <v>2.1190998881470691E-4</v>
      </c>
      <c r="J9" s="6">
        <f t="shared" si="8"/>
        <v>1.2564052740774025E-2</v>
      </c>
      <c r="K9" s="6">
        <f t="shared" si="8"/>
        <v>4.6472362667604817E-3</v>
      </c>
      <c r="L9" s="6">
        <f t="shared" si="8"/>
        <v>-1.2233201758554283E-3</v>
      </c>
      <c r="M9" s="6">
        <f t="shared" si="8"/>
        <v>-2.830866787178094E-3</v>
      </c>
      <c r="N9" s="6">
        <f t="shared" si="8"/>
        <v>6.6955233154781116E-3</v>
      </c>
      <c r="O9" s="6">
        <f t="shared" si="1"/>
        <v>8.9953823952637728E-3</v>
      </c>
      <c r="Q9" s="6"/>
      <c r="R9" s="13">
        <f t="shared" si="2"/>
        <v>1.2352142751959318E-2</v>
      </c>
      <c r="S9" s="13">
        <f t="shared" si="2"/>
        <v>4.4353262779457748E-3</v>
      </c>
      <c r="T9" s="13">
        <f t="shared" si="2"/>
        <v>-1.4352301646701352E-3</v>
      </c>
      <c r="U9" s="13">
        <f t="shared" si="2"/>
        <v>-3.0427767759928009E-3</v>
      </c>
      <c r="V9" s="13">
        <f t="shared" si="2"/>
        <v>6.4836133266634047E-3</v>
      </c>
      <c r="W9" s="13"/>
      <c r="X9" s="52"/>
      <c r="Y9" s="13" t="str">
        <f t="shared" si="3"/>
        <v/>
      </c>
      <c r="Z9" s="13">
        <f t="shared" si="4"/>
        <v>-4.3481461285032911E-3</v>
      </c>
      <c r="AA9" s="13">
        <f t="shared" si="5"/>
        <v>-1.02187025711192E-2</v>
      </c>
      <c r="AB9" s="13">
        <f t="shared" si="6"/>
        <v>-1.1826249182441868E-2</v>
      </c>
      <c r="AC9" s="13">
        <f t="shared" si="7"/>
        <v>-2.2998590797856612E-3</v>
      </c>
      <c r="AD9" s="52"/>
      <c r="AE9" s="55" t="s">
        <v>21</v>
      </c>
      <c r="AF9" s="8">
        <f>((1+AF5)^250)-1</f>
        <v>0.28404678408841222</v>
      </c>
      <c r="AG9" s="8">
        <f>((1+AG5)^250)-1</f>
        <v>0.17887182553898695</v>
      </c>
      <c r="AH9" s="8">
        <f>((1+AH5)^250)-1</f>
        <v>0.45570094625533186</v>
      </c>
      <c r="AI9" s="8">
        <f>((1+AI5)^250)-1</f>
        <v>0.46071967373147737</v>
      </c>
      <c r="AJ9" s="8">
        <f>((1+AJ5)^250)-1</f>
        <v>0.25615825825352467</v>
      </c>
      <c r="AL9" s="54"/>
    </row>
    <row r="10" spans="1:39" x14ac:dyDescent="0.2">
      <c r="A10" s="43">
        <v>45166</v>
      </c>
      <c r="B10" s="19">
        <v>179.272659</v>
      </c>
      <c r="C10" s="19">
        <v>58.680340000000001</v>
      </c>
      <c r="D10" s="19">
        <v>143.939606</v>
      </c>
      <c r="E10" s="19">
        <v>13.299099</v>
      </c>
      <c r="F10" s="44">
        <v>4433.3100000000004</v>
      </c>
      <c r="G10" s="45">
        <v>5.4400000000000004E-2</v>
      </c>
      <c r="H10" s="37">
        <f t="shared" si="0"/>
        <v>2.1190998881470691E-4</v>
      </c>
      <c r="J10" s="6">
        <f t="shared" si="8"/>
        <v>8.8072127836774459E-3</v>
      </c>
      <c r="K10" s="6">
        <f t="shared" si="8"/>
        <v>2.811071519673288E-3</v>
      </c>
      <c r="L10" s="6">
        <f t="shared" si="8"/>
        <v>3.4622835952314748E-3</v>
      </c>
      <c r="M10" s="6">
        <f t="shared" si="8"/>
        <v>7.0621975605345338E-3</v>
      </c>
      <c r="N10" s="6">
        <f t="shared" si="8"/>
        <v>6.2450565111568821E-3</v>
      </c>
      <c r="O10" s="6">
        <f t="shared" si="1"/>
        <v>0</v>
      </c>
      <c r="Q10" s="6"/>
      <c r="R10" s="13">
        <f t="shared" si="2"/>
        <v>8.595302794862739E-3</v>
      </c>
      <c r="S10" s="13">
        <f t="shared" si="2"/>
        <v>2.5991615308585811E-3</v>
      </c>
      <c r="T10" s="13">
        <f t="shared" si="2"/>
        <v>3.2503736064167679E-3</v>
      </c>
      <c r="U10" s="13">
        <f t="shared" si="2"/>
        <v>6.8502875717198269E-3</v>
      </c>
      <c r="V10" s="13">
        <f t="shared" si="2"/>
        <v>6.0331465223421752E-3</v>
      </c>
      <c r="W10" s="13"/>
      <c r="X10" s="52"/>
      <c r="Y10" s="13" t="str">
        <f t="shared" si="3"/>
        <v/>
      </c>
      <c r="Z10" s="13" t="str">
        <f t="shared" si="4"/>
        <v/>
      </c>
      <c r="AA10" s="13" t="str">
        <f t="shared" si="5"/>
        <v/>
      </c>
      <c r="AB10" s="13" t="str">
        <f t="shared" si="6"/>
        <v/>
      </c>
      <c r="AC10" s="13" t="str">
        <f t="shared" si="7"/>
        <v/>
      </c>
      <c r="AD10" s="52"/>
      <c r="AE10" s="55" t="s">
        <v>39</v>
      </c>
      <c r="AF10" s="8">
        <f>AF6*SQRT(250)</f>
        <v>0.22637175965013689</v>
      </c>
      <c r="AG10" s="8">
        <f>AG6*SQRT(250)</f>
        <v>0.13304580379295658</v>
      </c>
      <c r="AH10" s="8">
        <f>AH6*SQRT(250)</f>
        <v>0.18405756952081409</v>
      </c>
      <c r="AI10" s="8">
        <f>AI6*SQRT(250)</f>
        <v>0.21183372369412781</v>
      </c>
      <c r="AJ10" s="8">
        <f>AJ6*SQRT(250)</f>
        <v>0.12452775300790411</v>
      </c>
      <c r="AL10" s="38"/>
    </row>
    <row r="11" spans="1:39" x14ac:dyDescent="0.2">
      <c r="A11" s="43">
        <v>45167</v>
      </c>
      <c r="B11" s="19">
        <v>183.18263200000001</v>
      </c>
      <c r="C11" s="19">
        <v>58.622204000000004</v>
      </c>
      <c r="D11" s="19">
        <v>145.110153</v>
      </c>
      <c r="E11" s="19">
        <v>13.823200999999999</v>
      </c>
      <c r="F11" s="44">
        <v>4497.63</v>
      </c>
      <c r="G11" s="45">
        <v>5.3699999999999998E-2</v>
      </c>
      <c r="H11" s="37">
        <f t="shared" si="0"/>
        <v>2.0925300885044074E-4</v>
      </c>
      <c r="J11" s="6">
        <f t="shared" si="8"/>
        <v>2.1575762719950167E-2</v>
      </c>
      <c r="K11" s="6">
        <f t="shared" si="8"/>
        <v>-9.9121473034572902E-4</v>
      </c>
      <c r="L11" s="6">
        <f t="shared" si="8"/>
        <v>8.0993210507113115E-3</v>
      </c>
      <c r="M11" s="6">
        <f t="shared" si="8"/>
        <v>3.8652123786868747E-2</v>
      </c>
      <c r="N11" s="6">
        <f t="shared" si="8"/>
        <v>1.4404107984150809E-2</v>
      </c>
      <c r="O11" s="6">
        <f t="shared" si="1"/>
        <v>-1.2617514969468103E-2</v>
      </c>
      <c r="Q11" s="6"/>
      <c r="R11" s="13">
        <f t="shared" si="2"/>
        <v>2.1366509711099727E-2</v>
      </c>
      <c r="S11" s="13">
        <f t="shared" si="2"/>
        <v>-1.2004677391961698E-3</v>
      </c>
      <c r="T11" s="13">
        <f t="shared" si="2"/>
        <v>7.8900680418608708E-3</v>
      </c>
      <c r="U11" s="13">
        <f t="shared" si="2"/>
        <v>3.8442870778018307E-2</v>
      </c>
      <c r="V11" s="13">
        <f t="shared" si="2"/>
        <v>1.4194854975300368E-2</v>
      </c>
      <c r="W11" s="13"/>
      <c r="X11" s="52"/>
      <c r="Y11" s="13" t="str">
        <f t="shared" si="3"/>
        <v/>
      </c>
      <c r="Z11" s="13" t="str">
        <f t="shared" si="4"/>
        <v/>
      </c>
      <c r="AA11" s="13" t="str">
        <f t="shared" si="5"/>
        <v/>
      </c>
      <c r="AB11" s="13" t="str">
        <f t="shared" si="6"/>
        <v/>
      </c>
      <c r="AC11" s="13" t="str">
        <f t="shared" si="7"/>
        <v/>
      </c>
      <c r="AD11" s="52"/>
      <c r="AL11" s="38"/>
    </row>
    <row r="12" spans="1:39" x14ac:dyDescent="0.2">
      <c r="A12" s="43">
        <v>45168</v>
      </c>
      <c r="B12" s="19">
        <v>186.69465600000001</v>
      </c>
      <c r="C12" s="19">
        <v>58.593136000000001</v>
      </c>
      <c r="D12" s="19">
        <v>144.52487199999999</v>
      </c>
      <c r="E12" s="19">
        <v>13.785766000000001</v>
      </c>
      <c r="F12" s="44">
        <v>4514.87</v>
      </c>
      <c r="G12" s="45">
        <v>5.3899999999999997E-2</v>
      </c>
      <c r="H12" s="37">
        <f t="shared" si="0"/>
        <v>2.1001232533235381E-4</v>
      </c>
      <c r="J12" s="6">
        <f t="shared" si="8"/>
        <v>1.899078242547661E-2</v>
      </c>
      <c r="K12" s="6">
        <f t="shared" si="8"/>
        <v>-4.9597604879833524E-4</v>
      </c>
      <c r="L12" s="6">
        <f t="shared" si="8"/>
        <v>-4.0415125667635282E-3</v>
      </c>
      <c r="M12" s="6">
        <f t="shared" si="8"/>
        <v>-2.7118017809940271E-3</v>
      </c>
      <c r="N12" s="6">
        <f t="shared" si="8"/>
        <v>3.8258021699069606E-3</v>
      </c>
      <c r="O12" s="6">
        <f t="shared" si="1"/>
        <v>3.6221325742041705E-3</v>
      </c>
      <c r="Q12" s="6"/>
      <c r="R12" s="13">
        <f t="shared" si="2"/>
        <v>1.8780770100144256E-2</v>
      </c>
      <c r="S12" s="13">
        <f t="shared" si="2"/>
        <v>-7.0598837413068905E-4</v>
      </c>
      <c r="T12" s="13">
        <f t="shared" si="2"/>
        <v>-4.251524892095882E-3</v>
      </c>
      <c r="U12" s="13">
        <f t="shared" si="2"/>
        <v>-2.9218141063263809E-3</v>
      </c>
      <c r="V12" s="13">
        <f t="shared" si="2"/>
        <v>3.6157898445746068E-3</v>
      </c>
      <c r="W12" s="13"/>
      <c r="X12" s="52"/>
      <c r="Y12" s="13" t="str">
        <f t="shared" si="3"/>
        <v/>
      </c>
      <c r="Z12" s="13">
        <f t="shared" si="4"/>
        <v>-4.118108623002506E-3</v>
      </c>
      <c r="AA12" s="13">
        <f t="shared" si="5"/>
        <v>-7.6636451409676986E-3</v>
      </c>
      <c r="AB12" s="13">
        <f t="shared" si="6"/>
        <v>-6.3339343551981975E-3</v>
      </c>
      <c r="AC12" s="13" t="str">
        <f t="shared" si="7"/>
        <v/>
      </c>
      <c r="AD12" s="52"/>
      <c r="AE12" s="3" t="s">
        <v>38</v>
      </c>
      <c r="AF12" s="9">
        <f>+AVERAGE($G$2:$G$254)</f>
        <v>5.1073122529644292E-2</v>
      </c>
      <c r="AG12" s="9">
        <f t="shared" ref="AG12:AJ12" si="9">+AVERAGE($G$2:$G$254)</f>
        <v>5.1073122529644292E-2</v>
      </c>
      <c r="AH12" s="9">
        <f t="shared" si="9"/>
        <v>5.1073122529644292E-2</v>
      </c>
      <c r="AI12" s="9">
        <f t="shared" si="9"/>
        <v>5.1073122529644292E-2</v>
      </c>
      <c r="AJ12" s="9">
        <f t="shared" si="9"/>
        <v>5.1073122529644292E-2</v>
      </c>
      <c r="AL12" s="38"/>
    </row>
    <row r="13" spans="1:39" x14ac:dyDescent="0.2">
      <c r="A13" s="43">
        <v>45169</v>
      </c>
      <c r="B13" s="19">
        <v>186.913544</v>
      </c>
      <c r="C13" s="19">
        <v>57.973002999999999</v>
      </c>
      <c r="D13" s="19">
        <v>142.739777</v>
      </c>
      <c r="E13" s="19">
        <v>13.841919000000001</v>
      </c>
      <c r="F13" s="44">
        <v>4507.66</v>
      </c>
      <c r="G13" s="45">
        <v>5.3699999999999998E-2</v>
      </c>
      <c r="H13" s="37">
        <f t="shared" si="0"/>
        <v>2.0925300885044074E-4</v>
      </c>
      <c r="J13" s="6">
        <f t="shared" si="8"/>
        <v>1.1717517176788328E-3</v>
      </c>
      <c r="K13" s="6">
        <f t="shared" si="8"/>
        <v>-1.0640119950070189E-2</v>
      </c>
      <c r="L13" s="6">
        <f t="shared" si="8"/>
        <v>-1.2428386047596607E-2</v>
      </c>
      <c r="M13" s="6">
        <f t="shared" si="8"/>
        <v>4.0649860690958528E-3</v>
      </c>
      <c r="N13" s="6">
        <f t="shared" si="8"/>
        <v>-1.5982216816604765E-3</v>
      </c>
      <c r="O13" s="6">
        <f t="shared" si="1"/>
        <v>-3.6221325742042767E-3</v>
      </c>
      <c r="Q13" s="6"/>
      <c r="R13" s="13">
        <f t="shared" si="2"/>
        <v>9.6249870882839203E-4</v>
      </c>
      <c r="S13" s="13">
        <f t="shared" si="2"/>
        <v>-1.084937295892063E-2</v>
      </c>
      <c r="T13" s="13">
        <f t="shared" si="2"/>
        <v>-1.2637639056447048E-2</v>
      </c>
      <c r="U13" s="13">
        <f t="shared" si="2"/>
        <v>3.855733060245412E-3</v>
      </c>
      <c r="V13" s="13">
        <f t="shared" si="2"/>
        <v>-1.8074746905109172E-3</v>
      </c>
      <c r="W13" s="13"/>
      <c r="X13" s="52"/>
      <c r="Y13" s="13" t="str">
        <f t="shared" si="3"/>
        <v/>
      </c>
      <c r="Z13" s="13">
        <f t="shared" si="4"/>
        <v>-7.0179873758659129E-3</v>
      </c>
      <c r="AA13" s="13">
        <f t="shared" si="5"/>
        <v>-8.8062534733923305E-3</v>
      </c>
      <c r="AB13" s="13" t="str">
        <f t="shared" si="6"/>
        <v/>
      </c>
      <c r="AC13" s="13" t="str">
        <f t="shared" si="7"/>
        <v/>
      </c>
      <c r="AD13" s="52"/>
      <c r="AE13" s="3" t="s">
        <v>40</v>
      </c>
      <c r="AF13" s="22">
        <f>+(AF9-AF12)/AF10</f>
        <v>1.0291639819332341</v>
      </c>
      <c r="AG13" s="22">
        <f>+(AG9-AG12)/AG10</f>
        <v>0.96056169654339962</v>
      </c>
      <c r="AH13" s="22">
        <f>+(AH9-AH12)/AH10</f>
        <v>2.1983764361287537</v>
      </c>
      <c r="AI13" s="22">
        <f>+(AI9-AI12)/AI10</f>
        <v>1.9338117843471057</v>
      </c>
      <c r="AJ13" s="22">
        <f>+(AJ9-AJ12)/AJ10</f>
        <v>1.6469030458685228</v>
      </c>
      <c r="AL13" s="38"/>
    </row>
    <row r="14" spans="1:39" x14ac:dyDescent="0.2">
      <c r="A14" s="43">
        <v>45170</v>
      </c>
      <c r="B14" s="19">
        <v>188.49546799999999</v>
      </c>
      <c r="C14" s="19">
        <v>57.469138999999998</v>
      </c>
      <c r="D14" s="19">
        <v>143.217758</v>
      </c>
      <c r="E14" s="19">
        <v>13.710893</v>
      </c>
      <c r="F14" s="44">
        <v>4515.7700000000004</v>
      </c>
      <c r="G14" s="45">
        <v>5.3600000000000002E-2</v>
      </c>
      <c r="H14" s="37">
        <f t="shared" si="0"/>
        <v>2.0887329677776734E-4</v>
      </c>
      <c r="J14" s="6">
        <f t="shared" si="8"/>
        <v>8.4277857631225358E-3</v>
      </c>
      <c r="K14" s="6">
        <f t="shared" si="8"/>
        <v>-8.7293459886518768E-3</v>
      </c>
      <c r="L14" s="6">
        <f t="shared" si="8"/>
        <v>3.3430239573994255E-3</v>
      </c>
      <c r="M14" s="6">
        <f t="shared" si="8"/>
        <v>-9.5109702559868468E-3</v>
      </c>
      <c r="N14" s="6">
        <f t="shared" si="8"/>
        <v>1.7975431036151848E-3</v>
      </c>
      <c r="O14" s="6">
        <f t="shared" si="1"/>
        <v>-1.8162558630952245E-3</v>
      </c>
      <c r="Q14" s="6"/>
      <c r="R14" s="13">
        <f t="shared" si="2"/>
        <v>8.2189124663447684E-3</v>
      </c>
      <c r="S14" s="13">
        <f t="shared" si="2"/>
        <v>-8.9382192854296442E-3</v>
      </c>
      <c r="T14" s="13">
        <f t="shared" si="2"/>
        <v>3.1341506606216581E-3</v>
      </c>
      <c r="U14" s="13">
        <f t="shared" si="2"/>
        <v>-9.7198435527646142E-3</v>
      </c>
      <c r="V14" s="13">
        <f t="shared" si="2"/>
        <v>1.5886698068374174E-3</v>
      </c>
      <c r="W14" s="13"/>
      <c r="X14" s="52"/>
      <c r="Y14" s="13" t="str">
        <f t="shared" si="3"/>
        <v/>
      </c>
      <c r="Z14" s="13">
        <f t="shared" si="4"/>
        <v>-6.9130901255566521E-3</v>
      </c>
      <c r="AA14" s="13" t="str">
        <f t="shared" si="5"/>
        <v/>
      </c>
      <c r="AB14" s="13">
        <f t="shared" si="6"/>
        <v>-7.6947143928916221E-3</v>
      </c>
      <c r="AC14" s="13" t="str">
        <f t="shared" si="7"/>
        <v/>
      </c>
      <c r="AD14" s="52"/>
      <c r="AL14" s="38"/>
    </row>
    <row r="15" spans="1:39" x14ac:dyDescent="0.2">
      <c r="A15" s="43">
        <v>45174</v>
      </c>
      <c r="B15" s="19">
        <v>188.734238</v>
      </c>
      <c r="C15" s="19">
        <v>56.994346999999998</v>
      </c>
      <c r="D15" s="19">
        <v>141.63748200000001</v>
      </c>
      <c r="E15" s="19">
        <v>13.551791</v>
      </c>
      <c r="F15" s="44">
        <v>4496.83</v>
      </c>
      <c r="G15" s="45">
        <v>5.3600000000000002E-2</v>
      </c>
      <c r="H15" s="37">
        <f t="shared" si="0"/>
        <v>2.0887329677776734E-4</v>
      </c>
      <c r="J15" s="6">
        <f t="shared" si="8"/>
        <v>1.2659131987154749E-3</v>
      </c>
      <c r="K15" s="6">
        <f t="shared" si="8"/>
        <v>-8.2960032000802229E-3</v>
      </c>
      <c r="L15" s="6">
        <f t="shared" si="8"/>
        <v>-1.1095405596341172E-2</v>
      </c>
      <c r="M15" s="6">
        <f t="shared" si="8"/>
        <v>-1.1671910678181512E-2</v>
      </c>
      <c r="N15" s="6">
        <f t="shared" si="8"/>
        <v>-4.203010869610265E-3</v>
      </c>
      <c r="O15" s="6">
        <f t="shared" si="1"/>
        <v>0</v>
      </c>
      <c r="Q15" s="6"/>
      <c r="R15" s="13">
        <f t="shared" si="2"/>
        <v>1.0570399019377075E-3</v>
      </c>
      <c r="S15" s="13">
        <f t="shared" si="2"/>
        <v>-8.5048764968579903E-3</v>
      </c>
      <c r="T15" s="13">
        <f t="shared" si="2"/>
        <v>-1.1304278893118939E-2</v>
      </c>
      <c r="U15" s="13">
        <f t="shared" si="2"/>
        <v>-1.1880783974959279E-2</v>
      </c>
      <c r="V15" s="13">
        <f t="shared" si="2"/>
        <v>-4.4118841663880323E-3</v>
      </c>
      <c r="W15" s="13"/>
      <c r="X15" s="52"/>
      <c r="Y15" s="13" t="str">
        <f t="shared" si="3"/>
        <v/>
      </c>
      <c r="Z15" s="13">
        <f t="shared" si="4"/>
        <v>-8.2960032000802229E-3</v>
      </c>
      <c r="AA15" s="13">
        <f t="shared" si="5"/>
        <v>-1.1095405596341172E-2</v>
      </c>
      <c r="AB15" s="13">
        <f t="shared" si="6"/>
        <v>-1.1671910678181512E-2</v>
      </c>
      <c r="AC15" s="13">
        <f t="shared" si="7"/>
        <v>-4.203010869610265E-3</v>
      </c>
      <c r="AD15" s="52"/>
      <c r="AE15" s="3" t="s">
        <v>13</v>
      </c>
      <c r="AF15" s="22">
        <f>+SLOPE(R3:R254,$V$3:$V$254)</f>
        <v>1.0608322342596959</v>
      </c>
      <c r="AG15" s="22">
        <f>+SLOPE(S3:S254,$V$3:$V$254)</f>
        <v>0.20160643912133763</v>
      </c>
      <c r="AH15" s="22">
        <f>+SLOPE(T3:T254,$V$3:$V$254)</f>
        <v>0.64384736790143815</v>
      </c>
      <c r="AI15" s="22">
        <f>+SLOPE(U3:U254,$V$3:$V$254)</f>
        <v>8.7047671691742143E-2</v>
      </c>
      <c r="AJ15" s="22">
        <f>+SLOPE(V3:V254,$V$3:$V$254)</f>
        <v>1</v>
      </c>
      <c r="AL15" s="38"/>
    </row>
    <row r="16" spans="1:39" x14ac:dyDescent="0.2">
      <c r="A16" s="43">
        <v>45175</v>
      </c>
      <c r="B16" s="19">
        <v>181.97880599999999</v>
      </c>
      <c r="C16" s="19">
        <v>56.955589000000003</v>
      </c>
      <c r="D16" s="19">
        <v>141.403412</v>
      </c>
      <c r="E16" s="19">
        <v>13.673458</v>
      </c>
      <c r="F16" s="44">
        <v>4465.4799999999996</v>
      </c>
      <c r="G16" s="45">
        <v>5.4199999999999998E-2</v>
      </c>
      <c r="H16" s="37">
        <f t="shared" si="0"/>
        <v>2.1115103099722532E-4</v>
      </c>
      <c r="J16" s="6">
        <f t="shared" si="8"/>
        <v>-3.6449647610985361E-2</v>
      </c>
      <c r="K16" s="6">
        <f t="shared" si="8"/>
        <v>-6.802636816685408E-4</v>
      </c>
      <c r="L16" s="6">
        <f t="shared" si="8"/>
        <v>-1.65396632304482E-3</v>
      </c>
      <c r="M16" s="6">
        <f t="shared" si="8"/>
        <v>8.9378657253624903E-3</v>
      </c>
      <c r="N16" s="6">
        <f t="shared" si="8"/>
        <v>-6.9959927442528732E-3</v>
      </c>
      <c r="O16" s="6">
        <f t="shared" si="1"/>
        <v>1.0845831522955813E-2</v>
      </c>
      <c r="Q16" s="6"/>
      <c r="R16" s="13">
        <f t="shared" si="2"/>
        <v>-3.6660798641982587E-2</v>
      </c>
      <c r="S16" s="13">
        <f t="shared" si="2"/>
        <v>-8.9141471266576612E-4</v>
      </c>
      <c r="T16" s="13">
        <f t="shared" si="2"/>
        <v>-1.8651173540420454E-3</v>
      </c>
      <c r="U16" s="13">
        <f t="shared" si="2"/>
        <v>8.7267146943652649E-3</v>
      </c>
      <c r="V16" s="13">
        <f t="shared" si="2"/>
        <v>-7.2071437752500985E-3</v>
      </c>
      <c r="W16" s="13"/>
      <c r="X16" s="52"/>
      <c r="Y16" s="13">
        <f t="shared" si="3"/>
        <v>-4.7295479133941172E-2</v>
      </c>
      <c r="Z16" s="13">
        <f t="shared" si="4"/>
        <v>-1.1526095204624354E-2</v>
      </c>
      <c r="AA16" s="13">
        <f t="shared" si="5"/>
        <v>-1.2499797846000632E-2</v>
      </c>
      <c r="AB16" s="13">
        <f t="shared" si="6"/>
        <v>-1.9079657975933223E-3</v>
      </c>
      <c r="AC16" s="13">
        <f t="shared" si="7"/>
        <v>-1.7841824267208685E-2</v>
      </c>
      <c r="AD16" s="52"/>
      <c r="AE16" s="3" t="s">
        <v>41</v>
      </c>
      <c r="AF16" s="25">
        <f>+(AF9-AF12)/AF15</f>
        <v>0.21961404832437911</v>
      </c>
      <c r="AG16" s="25">
        <f>+(AG9-AG12)/AG15</f>
        <v>0.6339018910622517</v>
      </c>
      <c r="AH16" s="25">
        <f>+(AH9-AH12)/AH15</f>
        <v>0.62845302147391713</v>
      </c>
      <c r="AI16" s="25">
        <f>+(AI9-AI12)/AI15</f>
        <v>4.7060023920283047</v>
      </c>
      <c r="AJ16" s="25">
        <f>+(AJ9-AJ12)/AJ15</f>
        <v>0.20508513572388037</v>
      </c>
      <c r="AL16" s="38"/>
    </row>
    <row r="17" spans="1:38" x14ac:dyDescent="0.2">
      <c r="A17" s="43">
        <v>45176</v>
      </c>
      <c r="B17" s="19">
        <v>176.656036</v>
      </c>
      <c r="C17" s="19">
        <v>56.519558000000004</v>
      </c>
      <c r="D17" s="19">
        <v>140.19380200000001</v>
      </c>
      <c r="E17" s="19">
        <v>13.673458</v>
      </c>
      <c r="F17" s="44">
        <v>4451.1400000000003</v>
      </c>
      <c r="G17" s="45">
        <v>5.4400000000000004E-2</v>
      </c>
      <c r="H17" s="37">
        <f t="shared" si="0"/>
        <v>2.1190998881470691E-4</v>
      </c>
      <c r="J17" s="6">
        <f t="shared" si="8"/>
        <v>-2.9685687263803755E-2</v>
      </c>
      <c r="K17" s="6">
        <f t="shared" si="8"/>
        <v>-7.685086250950387E-3</v>
      </c>
      <c r="L17" s="6">
        <f t="shared" si="8"/>
        <v>-8.5911179492632866E-3</v>
      </c>
      <c r="M17" s="6">
        <f t="shared" si="8"/>
        <v>0</v>
      </c>
      <c r="N17" s="6">
        <f t="shared" si="8"/>
        <v>-3.2164682050081963E-3</v>
      </c>
      <c r="O17" s="6">
        <f t="shared" si="1"/>
        <v>3.5879393096075289E-3</v>
      </c>
      <c r="Q17" s="6"/>
      <c r="R17" s="13">
        <f t="shared" si="2"/>
        <v>-2.9897597252618462E-2</v>
      </c>
      <c r="S17" s="13">
        <f t="shared" si="2"/>
        <v>-7.8969962397650931E-3</v>
      </c>
      <c r="T17" s="13">
        <f t="shared" si="2"/>
        <v>-8.8030279380779935E-3</v>
      </c>
      <c r="U17" s="13">
        <f t="shared" si="2"/>
        <v>-2.1190998881470691E-4</v>
      </c>
      <c r="V17" s="13">
        <f t="shared" si="2"/>
        <v>-3.4283781938229032E-3</v>
      </c>
      <c r="W17" s="13"/>
      <c r="X17" s="52"/>
      <c r="Y17" s="13">
        <f t="shared" si="3"/>
        <v>-3.3273626573411284E-2</v>
      </c>
      <c r="Z17" s="13">
        <f t="shared" si="4"/>
        <v>-1.1273025560557915E-2</v>
      </c>
      <c r="AA17" s="13">
        <f t="shared" si="5"/>
        <v>-1.2179057258870815E-2</v>
      </c>
      <c r="AB17" s="13">
        <f t="shared" si="6"/>
        <v>-3.5879393096075289E-3</v>
      </c>
      <c r="AC17" s="13">
        <f t="shared" si="7"/>
        <v>-6.8044075146157252E-3</v>
      </c>
      <c r="AD17" s="52"/>
      <c r="AL17" s="38"/>
    </row>
    <row r="18" spans="1:38" x14ac:dyDescent="0.2">
      <c r="A18" s="43">
        <v>45177</v>
      </c>
      <c r="B18" s="19">
        <v>177.27285800000001</v>
      </c>
      <c r="C18" s="19">
        <v>56.519558000000004</v>
      </c>
      <c r="D18" s="19">
        <v>140.301117</v>
      </c>
      <c r="E18" s="19">
        <v>13.47692</v>
      </c>
      <c r="F18" s="44">
        <v>4457.49</v>
      </c>
      <c r="G18" s="45">
        <v>5.4000000000000006E-2</v>
      </c>
      <c r="H18" s="37">
        <f t="shared" si="0"/>
        <v>2.1039192975491616E-4</v>
      </c>
      <c r="J18" s="6">
        <f t="shared" si="8"/>
        <v>3.4855737123982338E-3</v>
      </c>
      <c r="K18" s="6">
        <f t="shared" si="8"/>
        <v>0</v>
      </c>
      <c r="L18" s="6">
        <f t="shared" si="8"/>
        <v>7.6518323838956222E-4</v>
      </c>
      <c r="M18" s="6">
        <f t="shared" si="8"/>
        <v>-1.4477988707991517E-2</v>
      </c>
      <c r="N18" s="6">
        <f t="shared" si="8"/>
        <v>1.4255841976643817E-3</v>
      </c>
      <c r="O18" s="6">
        <f t="shared" si="1"/>
        <v>-7.1894799994851729E-3</v>
      </c>
      <c r="Q18" s="6"/>
      <c r="R18" s="13">
        <f t="shared" si="2"/>
        <v>3.2751817826433176E-3</v>
      </c>
      <c r="S18" s="13">
        <f t="shared" si="2"/>
        <v>-2.1039192975491616E-4</v>
      </c>
      <c r="T18" s="13">
        <f t="shared" si="2"/>
        <v>5.5479130863464606E-4</v>
      </c>
      <c r="U18" s="13">
        <f t="shared" si="2"/>
        <v>-1.4688380637746433E-2</v>
      </c>
      <c r="V18" s="13">
        <f t="shared" si="2"/>
        <v>1.2151922679094656E-3</v>
      </c>
      <c r="W18" s="13"/>
      <c r="X18" s="52"/>
      <c r="Y18" s="13" t="str">
        <f t="shared" si="3"/>
        <v/>
      </c>
      <c r="Z18" s="13" t="str">
        <f t="shared" si="4"/>
        <v/>
      </c>
      <c r="AA18" s="13" t="str">
        <f t="shared" si="5"/>
        <v/>
      </c>
      <c r="AB18" s="13">
        <f t="shared" si="6"/>
        <v>-7.2885087085063438E-3</v>
      </c>
      <c r="AC18" s="13" t="str">
        <f t="shared" si="7"/>
        <v/>
      </c>
      <c r="AD18" s="52"/>
      <c r="AE18" s="3" t="s">
        <v>53</v>
      </c>
      <c r="AF18" s="12">
        <f>+COUNT(Y3:Y254)</f>
        <v>111</v>
      </c>
      <c r="AG18" s="12">
        <f>+COUNT(Z3:Z254)</f>
        <v>119</v>
      </c>
      <c r="AH18" s="12">
        <f>+COUNT(AA3:AA254)</f>
        <v>112</v>
      </c>
      <c r="AI18" s="12">
        <f>+COUNT(AB3:AB254)</f>
        <v>120</v>
      </c>
      <c r="AJ18" s="12">
        <f>+COUNT(AC3:AC254)</f>
        <v>107</v>
      </c>
      <c r="AK18" s="14"/>
      <c r="AL18" s="38"/>
    </row>
    <row r="19" spans="1:38" x14ac:dyDescent="0.2">
      <c r="A19" s="43">
        <v>45180</v>
      </c>
      <c r="B19" s="19">
        <v>178.446854</v>
      </c>
      <c r="C19" s="19">
        <v>57.052486000000002</v>
      </c>
      <c r="D19" s="19">
        <v>140.91566499999999</v>
      </c>
      <c r="E19" s="19">
        <v>13.589228</v>
      </c>
      <c r="F19" s="44">
        <v>4487.46</v>
      </c>
      <c r="G19" s="45">
        <v>5.4199999999999998E-2</v>
      </c>
      <c r="H19" s="37">
        <f t="shared" si="0"/>
        <v>2.1115103099722532E-4</v>
      </c>
      <c r="J19" s="6">
        <f t="shared" si="8"/>
        <v>6.6007039975988667E-3</v>
      </c>
      <c r="K19" s="6">
        <f t="shared" si="8"/>
        <v>9.3849136242531647E-3</v>
      </c>
      <c r="L19" s="6">
        <f t="shared" si="8"/>
        <v>4.3706422775577902E-3</v>
      </c>
      <c r="M19" s="6">
        <f t="shared" si="8"/>
        <v>8.2988273439278445E-3</v>
      </c>
      <c r="N19" s="6">
        <f t="shared" si="8"/>
        <v>6.7010127829867268E-3</v>
      </c>
      <c r="O19" s="6">
        <f t="shared" si="1"/>
        <v>3.6015406898777364E-3</v>
      </c>
      <c r="Q19" s="6"/>
      <c r="R19" s="13">
        <f t="shared" si="2"/>
        <v>6.3895529666016413E-3</v>
      </c>
      <c r="S19" s="13">
        <f t="shared" si="2"/>
        <v>9.1737625932559394E-3</v>
      </c>
      <c r="T19" s="13">
        <f t="shared" si="2"/>
        <v>4.1594912465605649E-3</v>
      </c>
      <c r="U19" s="13">
        <f t="shared" si="2"/>
        <v>8.0876763129306192E-3</v>
      </c>
      <c r="V19" s="13">
        <f t="shared" si="2"/>
        <v>6.4898617519895015E-3</v>
      </c>
      <c r="W19" s="13"/>
      <c r="X19" s="52"/>
      <c r="Y19" s="13" t="str">
        <f t="shared" si="3"/>
        <v/>
      </c>
      <c r="Z19" s="13" t="str">
        <f t="shared" si="4"/>
        <v/>
      </c>
      <c r="AA19" s="13" t="str">
        <f t="shared" si="5"/>
        <v/>
      </c>
      <c r="AB19" s="13" t="str">
        <f t="shared" si="6"/>
        <v/>
      </c>
      <c r="AC19" s="13" t="str">
        <f t="shared" si="7"/>
        <v/>
      </c>
      <c r="AD19" s="52"/>
      <c r="AE19" s="3" t="s">
        <v>54</v>
      </c>
      <c r="AF19" s="13">
        <f>-SUM(Y3:Y254)/AF18</f>
        <v>1.2736658591260403E-2</v>
      </c>
      <c r="AG19" s="13">
        <f>-SUM(Z3:Z254)/AG18</f>
        <v>8.3163874938009617E-3</v>
      </c>
      <c r="AH19" s="13">
        <f>-SUM(AA3:AA254)/AH18</f>
        <v>1.0022341474626859E-2</v>
      </c>
      <c r="AI19" s="13">
        <f>-SUM(AB3:AB254)/AI18</f>
        <v>1.021754798088061E-2</v>
      </c>
      <c r="AJ19" s="13">
        <f>-SUM(AC3:AC254)/AJ18</f>
        <v>8.7193647735058083E-3</v>
      </c>
      <c r="AL19" s="38"/>
    </row>
    <row r="20" spans="1:38" x14ac:dyDescent="0.2">
      <c r="A20" s="43">
        <v>45181</v>
      </c>
      <c r="B20" s="19">
        <v>175.40245100000001</v>
      </c>
      <c r="C20" s="19">
        <v>56.490485999999997</v>
      </c>
      <c r="D20" s="19">
        <v>142.74954199999999</v>
      </c>
      <c r="E20" s="19">
        <v>13.533073</v>
      </c>
      <c r="F20" s="44">
        <v>4461.8999999999996</v>
      </c>
      <c r="G20" s="45">
        <v>5.4000000000000006E-2</v>
      </c>
      <c r="H20" s="37">
        <f t="shared" si="0"/>
        <v>2.1039192975491616E-4</v>
      </c>
      <c r="J20" s="6">
        <f t="shared" si="8"/>
        <v>-1.7207766577965616E-2</v>
      </c>
      <c r="K20" s="6">
        <f t="shared" si="8"/>
        <v>-9.8994165765982269E-3</v>
      </c>
      <c r="L20" s="6">
        <f t="shared" si="8"/>
        <v>1.2930049259339658E-2</v>
      </c>
      <c r="M20" s="6">
        <f t="shared" si="8"/>
        <v>-4.1408787728015178E-3</v>
      </c>
      <c r="N20" s="6">
        <f t="shared" si="8"/>
        <v>-5.7121558411206055E-3</v>
      </c>
      <c r="O20" s="6">
        <f t="shared" si="1"/>
        <v>-3.6015406898777602E-3</v>
      </c>
      <c r="Q20" s="6"/>
      <c r="R20" s="13">
        <f t="shared" si="2"/>
        <v>-1.7418158507720532E-2</v>
      </c>
      <c r="S20" s="13">
        <f t="shared" si="2"/>
        <v>-1.0109808506353143E-2</v>
      </c>
      <c r="T20" s="13">
        <f t="shared" si="2"/>
        <v>1.2719657329584742E-2</v>
      </c>
      <c r="U20" s="13">
        <f t="shared" si="2"/>
        <v>-4.351270702556434E-3</v>
      </c>
      <c r="V20" s="13">
        <f t="shared" si="2"/>
        <v>-5.9225477708755216E-3</v>
      </c>
      <c r="W20" s="13"/>
      <c r="X20" s="52"/>
      <c r="Y20" s="13">
        <f t="shared" si="3"/>
        <v>-1.3606225888087856E-2</v>
      </c>
      <c r="Z20" s="13">
        <f t="shared" si="4"/>
        <v>-6.2978758867204667E-3</v>
      </c>
      <c r="AA20" s="13" t="str">
        <f t="shared" si="5"/>
        <v/>
      </c>
      <c r="AB20" s="13">
        <f t="shared" si="6"/>
        <v>-5.3933808292375759E-4</v>
      </c>
      <c r="AC20" s="13">
        <f t="shared" si="7"/>
        <v>-2.1106151512428452E-3</v>
      </c>
      <c r="AD20" s="52"/>
      <c r="AE20" s="3" t="s">
        <v>55</v>
      </c>
      <c r="AF20" s="13">
        <f>+AF19*SQRT(250)</f>
        <v>0.20138425464167217</v>
      </c>
      <c r="AG20" s="13">
        <f t="shared" ref="AG20:AJ20" si="10">+AG19*SQRT(250)</f>
        <v>0.13149363192475239</v>
      </c>
      <c r="AH20" s="13">
        <f t="shared" si="10"/>
        <v>0.15846713273895763</v>
      </c>
      <c r="AI20" s="13">
        <f t="shared" si="10"/>
        <v>0.1615536186081864</v>
      </c>
      <c r="AJ20" s="13">
        <f t="shared" si="10"/>
        <v>0.13786526217058268</v>
      </c>
      <c r="AL20" s="38"/>
    </row>
    <row r="21" spans="1:38" x14ac:dyDescent="0.2">
      <c r="A21" s="43">
        <v>45182</v>
      </c>
      <c r="B21" s="19">
        <v>173.32309000000001</v>
      </c>
      <c r="C21" s="19">
        <v>56.626140999999997</v>
      </c>
      <c r="D21" s="19">
        <v>142.817825</v>
      </c>
      <c r="E21" s="19">
        <v>13.682817</v>
      </c>
      <c r="F21" s="44">
        <v>4467.4399999999996</v>
      </c>
      <c r="G21" s="45">
        <v>5.4199999999999998E-2</v>
      </c>
      <c r="H21" s="37">
        <f t="shared" si="0"/>
        <v>2.1115103099722532E-4</v>
      </c>
      <c r="J21" s="6">
        <f t="shared" si="8"/>
        <v>-1.1925628607410014E-2</v>
      </c>
      <c r="K21" s="6">
        <f t="shared" si="8"/>
        <v>2.3984991177818894E-3</v>
      </c>
      <c r="L21" s="6">
        <f t="shared" si="8"/>
        <v>4.7822692080471709E-4</v>
      </c>
      <c r="M21" s="6">
        <f t="shared" si="8"/>
        <v>1.1004270746853787E-2</v>
      </c>
      <c r="N21" s="6">
        <f t="shared" si="8"/>
        <v>1.2408533465711885E-3</v>
      </c>
      <c r="O21" s="6">
        <f t="shared" si="1"/>
        <v>3.6015406898777364E-3</v>
      </c>
      <c r="Q21" s="6"/>
      <c r="R21" s="13">
        <f t="shared" si="2"/>
        <v>-1.2136779638407239E-2</v>
      </c>
      <c r="S21" s="13">
        <f t="shared" si="2"/>
        <v>2.1873480867846641E-3</v>
      </c>
      <c r="T21" s="13">
        <f t="shared" si="2"/>
        <v>2.6707588980749177E-4</v>
      </c>
      <c r="U21" s="13">
        <f t="shared" si="2"/>
        <v>1.0793119715856562E-2</v>
      </c>
      <c r="V21" s="13">
        <f t="shared" si="2"/>
        <v>1.0297023155739632E-3</v>
      </c>
      <c r="W21" s="13"/>
      <c r="X21" s="52"/>
      <c r="Y21" s="13">
        <f t="shared" si="3"/>
        <v>-1.552716929728775E-2</v>
      </c>
      <c r="Z21" s="13">
        <f t="shared" si="4"/>
        <v>-1.203041572095847E-3</v>
      </c>
      <c r="AA21" s="13">
        <f t="shared" si="5"/>
        <v>-3.1233137690730192E-3</v>
      </c>
      <c r="AB21" s="13" t="str">
        <f t="shared" si="6"/>
        <v/>
      </c>
      <c r="AC21" s="13">
        <f t="shared" si="7"/>
        <v>-2.3606873433065479E-3</v>
      </c>
      <c r="AD21" s="52"/>
      <c r="AE21" s="3" t="s">
        <v>46</v>
      </c>
      <c r="AF21" s="19">
        <f>+(AF9-AF12)/AF20</f>
        <v>1.1568613542965587</v>
      </c>
      <c r="AG21" s="19">
        <f>+(AG9-AG12)/AG20</f>
        <v>0.97190032048453745</v>
      </c>
      <c r="AH21" s="19">
        <f>+(AH9-AH12)/AH20</f>
        <v>2.5533864135235516</v>
      </c>
      <c r="AI21" s="19">
        <f>+(AI9-AI12)/AI20</f>
        <v>2.5356693011955542</v>
      </c>
      <c r="AJ21" s="19">
        <f>+(AJ9-AJ12)/AJ20</f>
        <v>1.4875765837961819</v>
      </c>
      <c r="AL21" s="38"/>
    </row>
    <row r="22" spans="1:38" x14ac:dyDescent="0.2">
      <c r="A22" s="43">
        <v>45183</v>
      </c>
      <c r="B22" s="19">
        <v>174.84530599999999</v>
      </c>
      <c r="C22" s="19">
        <v>57.094935999999997</v>
      </c>
      <c r="D22" s="19">
        <v>145.58813499999999</v>
      </c>
      <c r="E22" s="19">
        <v>14.094611</v>
      </c>
      <c r="F22" s="44">
        <v>4505.1000000000004</v>
      </c>
      <c r="G22" s="45">
        <v>5.4199999999999998E-2</v>
      </c>
      <c r="H22" s="37">
        <f t="shared" si="0"/>
        <v>2.1115103099722532E-4</v>
      </c>
      <c r="J22" s="6">
        <f t="shared" si="8"/>
        <v>8.744192273870471E-3</v>
      </c>
      <c r="K22" s="6">
        <f t="shared" si="8"/>
        <v>8.2446925036342867E-3</v>
      </c>
      <c r="L22" s="6">
        <f t="shared" si="8"/>
        <v>1.9211775011975799E-2</v>
      </c>
      <c r="M22" s="6">
        <f t="shared" si="8"/>
        <v>2.9651713697862989E-2</v>
      </c>
      <c r="N22" s="6">
        <f t="shared" si="8"/>
        <v>8.394550741111827E-3</v>
      </c>
      <c r="O22" s="6">
        <f t="shared" si="1"/>
        <v>0</v>
      </c>
      <c r="Q22" s="6"/>
      <c r="R22" s="13">
        <f t="shared" si="2"/>
        <v>8.5330412428732457E-3</v>
      </c>
      <c r="S22" s="13">
        <f t="shared" si="2"/>
        <v>8.0335414726370614E-3</v>
      </c>
      <c r="T22" s="13">
        <f t="shared" si="2"/>
        <v>1.9000623980978574E-2</v>
      </c>
      <c r="U22" s="13">
        <f t="shared" si="2"/>
        <v>2.9440562666865764E-2</v>
      </c>
      <c r="V22" s="13">
        <f t="shared" si="2"/>
        <v>8.1833997101146017E-3</v>
      </c>
      <c r="W22" s="13"/>
      <c r="X22" s="52"/>
      <c r="Y22" s="13" t="str">
        <f t="shared" si="3"/>
        <v/>
      </c>
      <c r="Z22" s="13" t="str">
        <f t="shared" si="4"/>
        <v/>
      </c>
      <c r="AA22" s="13" t="str">
        <f t="shared" si="5"/>
        <v/>
      </c>
      <c r="AB22" s="13" t="str">
        <f t="shared" si="6"/>
        <v/>
      </c>
      <c r="AC22" s="13" t="str">
        <f t="shared" si="7"/>
        <v/>
      </c>
      <c r="AD22" s="52"/>
      <c r="AL22" s="38"/>
    </row>
    <row r="23" spans="1:38" x14ac:dyDescent="0.2">
      <c r="A23" s="43">
        <v>45184</v>
      </c>
      <c r="B23" s="19">
        <v>174.11900299999999</v>
      </c>
      <c r="C23" s="19">
        <v>56.587074000000001</v>
      </c>
      <c r="D23" s="19">
        <v>145.15891999999999</v>
      </c>
      <c r="E23" s="19">
        <v>14.253714</v>
      </c>
      <c r="F23" s="44">
        <v>4450.32</v>
      </c>
      <c r="G23" s="45">
        <v>5.4199999999999998E-2</v>
      </c>
      <c r="H23" s="37">
        <f t="shared" si="0"/>
        <v>2.1115103099722532E-4</v>
      </c>
      <c r="J23" s="6">
        <f t="shared" si="8"/>
        <v>-4.1626265495737849E-3</v>
      </c>
      <c r="K23" s="6">
        <f t="shared" si="8"/>
        <v>-8.9348416448038568E-3</v>
      </c>
      <c r="L23" s="6">
        <f t="shared" si="8"/>
        <v>-2.9524998063902006E-3</v>
      </c>
      <c r="M23" s="6">
        <f t="shared" si="8"/>
        <v>1.1224978589028094E-2</v>
      </c>
      <c r="N23" s="6">
        <f t="shared" si="8"/>
        <v>-1.2234084667107637E-2</v>
      </c>
      <c r="O23" s="6">
        <f t="shared" si="1"/>
        <v>0</v>
      </c>
      <c r="Q23" s="6"/>
      <c r="R23" s="13">
        <f t="shared" si="2"/>
        <v>-4.3737775805710102E-3</v>
      </c>
      <c r="S23" s="13">
        <f t="shared" si="2"/>
        <v>-9.1459926758010821E-3</v>
      </c>
      <c r="T23" s="13">
        <f t="shared" si="2"/>
        <v>-3.1636508373874259E-3</v>
      </c>
      <c r="U23" s="13">
        <f t="shared" si="2"/>
        <v>1.1013827558030868E-2</v>
      </c>
      <c r="V23" s="13">
        <f t="shared" si="2"/>
        <v>-1.2445235698104863E-2</v>
      </c>
      <c r="W23" s="13"/>
      <c r="X23" s="52"/>
      <c r="Y23" s="13">
        <f t="shared" si="3"/>
        <v>-4.1626265495737849E-3</v>
      </c>
      <c r="Z23" s="13">
        <f t="shared" si="4"/>
        <v>-8.9348416448038568E-3</v>
      </c>
      <c r="AA23" s="13">
        <f t="shared" si="5"/>
        <v>-2.9524998063902006E-3</v>
      </c>
      <c r="AB23" s="13" t="str">
        <f t="shared" si="6"/>
        <v/>
      </c>
      <c r="AC23" s="13">
        <f t="shared" si="7"/>
        <v>-1.2234084667107637E-2</v>
      </c>
      <c r="AD23" s="52"/>
      <c r="AE23" s="3" t="s">
        <v>56</v>
      </c>
      <c r="AF23" s="25">
        <v>0.1</v>
      </c>
      <c r="AG23" s="13"/>
      <c r="AH23" s="13"/>
      <c r="AI23" s="13"/>
      <c r="AJ23" s="13"/>
      <c r="AL23" s="38"/>
    </row>
    <row r="24" spans="1:38" x14ac:dyDescent="0.2">
      <c r="A24" s="43">
        <v>45187</v>
      </c>
      <c r="B24" s="19">
        <v>177.06393399999999</v>
      </c>
      <c r="C24" s="19">
        <v>56.938667000000002</v>
      </c>
      <c r="D24" s="19">
        <v>145.461319</v>
      </c>
      <c r="E24" s="19">
        <v>14.122688</v>
      </c>
      <c r="F24" s="44">
        <v>4453.53</v>
      </c>
      <c r="G24" s="45">
        <v>5.4299999999999994E-2</v>
      </c>
      <c r="H24" s="37">
        <f t="shared" si="0"/>
        <v>2.1153052783073889E-4</v>
      </c>
      <c r="J24" s="6">
        <f t="shared" si="8"/>
        <v>1.6771885661529522E-2</v>
      </c>
      <c r="K24" s="6">
        <f t="shared" si="8"/>
        <v>6.1940863988089057E-3</v>
      </c>
      <c r="L24" s="6">
        <f t="shared" si="8"/>
        <v>2.081060219182381E-3</v>
      </c>
      <c r="M24" s="6">
        <f t="shared" si="8"/>
        <v>-9.2349221157867391E-3</v>
      </c>
      <c r="N24" s="6">
        <f t="shared" si="8"/>
        <v>7.2103643683838804E-4</v>
      </c>
      <c r="O24" s="6">
        <f t="shared" si="1"/>
        <v>1.795663555972895E-3</v>
      </c>
      <c r="Q24" s="6"/>
      <c r="R24" s="13">
        <f t="shared" si="2"/>
        <v>1.6560355133698784E-2</v>
      </c>
      <c r="S24" s="13">
        <f t="shared" si="2"/>
        <v>5.9825558709781668E-3</v>
      </c>
      <c r="T24" s="13">
        <f t="shared" si="2"/>
        <v>1.8695296913516421E-3</v>
      </c>
      <c r="U24" s="13">
        <f t="shared" si="2"/>
        <v>-9.446452643617478E-3</v>
      </c>
      <c r="V24" s="13">
        <f t="shared" si="2"/>
        <v>5.0950590900764915E-4</v>
      </c>
      <c r="W24" s="13"/>
      <c r="X24" s="52"/>
      <c r="Y24" s="13" t="str">
        <f t="shared" si="3"/>
        <v/>
      </c>
      <c r="Z24" s="13" t="str">
        <f t="shared" si="4"/>
        <v/>
      </c>
      <c r="AA24" s="13" t="str">
        <f t="shared" si="5"/>
        <v/>
      </c>
      <c r="AB24" s="13">
        <f t="shared" si="6"/>
        <v>-1.1030585671759635E-2</v>
      </c>
      <c r="AC24" s="13">
        <f t="shared" si="7"/>
        <v>-1.0746271191345068E-3</v>
      </c>
      <c r="AD24" s="52"/>
      <c r="AE24" s="3" t="s">
        <v>57</v>
      </c>
      <c r="AF24" s="13">
        <f>+(1+AF23)^(0.004)-1</f>
        <v>3.8131340069647024E-4</v>
      </c>
      <c r="AG24" s="53"/>
      <c r="AH24" s="53"/>
      <c r="AI24" s="53"/>
      <c r="AJ24" s="53"/>
      <c r="AL24" s="38"/>
    </row>
    <row r="25" spans="1:38" x14ac:dyDescent="0.2">
      <c r="A25" s="43">
        <v>45188</v>
      </c>
      <c r="B25" s="19">
        <v>178.15834000000001</v>
      </c>
      <c r="C25" s="19">
        <v>56.821472</v>
      </c>
      <c r="D25" s="19">
        <v>145.27597</v>
      </c>
      <c r="E25" s="19">
        <v>14.234997</v>
      </c>
      <c r="F25" s="44">
        <v>4443.95</v>
      </c>
      <c r="G25" s="45">
        <v>5.4400000000000004E-2</v>
      </c>
      <c r="H25" s="37">
        <f t="shared" si="0"/>
        <v>2.1190998881470691E-4</v>
      </c>
      <c r="J25" s="6">
        <f t="shared" si="8"/>
        <v>6.1618290451625419E-3</v>
      </c>
      <c r="K25" s="6">
        <f t="shared" si="8"/>
        <v>-2.0603885067279927E-3</v>
      </c>
      <c r="L25" s="6">
        <f t="shared" si="8"/>
        <v>-1.2750275394505101E-3</v>
      </c>
      <c r="M25" s="6">
        <f t="shared" si="8"/>
        <v>7.9209277625121085E-3</v>
      </c>
      <c r="N25" s="6">
        <f t="shared" si="8"/>
        <v>-2.1534195529618974E-3</v>
      </c>
      <c r="O25" s="6">
        <f t="shared" si="1"/>
        <v>1.7922757536344568E-3</v>
      </c>
      <c r="Q25" s="6"/>
      <c r="R25" s="13">
        <f t="shared" si="2"/>
        <v>5.9499190563478349E-3</v>
      </c>
      <c r="S25" s="13">
        <f t="shared" si="2"/>
        <v>-2.2722984955426996E-3</v>
      </c>
      <c r="T25" s="13">
        <f t="shared" si="2"/>
        <v>-1.486937528265217E-3</v>
      </c>
      <c r="U25" s="13">
        <f t="shared" si="2"/>
        <v>7.7090177736974016E-3</v>
      </c>
      <c r="V25" s="13">
        <f t="shared" si="2"/>
        <v>-2.3653295417766043E-3</v>
      </c>
      <c r="W25" s="13"/>
      <c r="X25" s="52"/>
      <c r="Y25" s="13" t="str">
        <f t="shared" si="3"/>
        <v/>
      </c>
      <c r="Z25" s="13">
        <f t="shared" si="4"/>
        <v>-3.8526642603624495E-3</v>
      </c>
      <c r="AA25" s="13">
        <f t="shared" si="5"/>
        <v>-3.0673032930849668E-3</v>
      </c>
      <c r="AB25" s="13" t="str">
        <f t="shared" si="6"/>
        <v/>
      </c>
      <c r="AC25" s="13">
        <f t="shared" si="7"/>
        <v>-3.9456953065963541E-3</v>
      </c>
      <c r="AD25" s="52"/>
      <c r="AE25" s="3" t="s">
        <v>58</v>
      </c>
      <c r="AF25" s="13"/>
      <c r="AL25" s="38"/>
    </row>
    <row r="26" spans="1:38" x14ac:dyDescent="0.2">
      <c r="A26" s="43">
        <v>45189</v>
      </c>
      <c r="B26" s="19">
        <v>174.59657300000001</v>
      </c>
      <c r="C26" s="19">
        <v>57.075400999999999</v>
      </c>
      <c r="D26" s="19">
        <v>144.66145299999999</v>
      </c>
      <c r="E26" s="19">
        <v>14.553202000000001</v>
      </c>
      <c r="F26" s="44">
        <v>4402.2</v>
      </c>
      <c r="G26" s="45">
        <v>5.45E-2</v>
      </c>
      <c r="H26" s="37">
        <f t="shared" si="0"/>
        <v>2.1228941395579071E-4</v>
      </c>
      <c r="J26" s="6">
        <f t="shared" si="8"/>
        <v>-2.0194689945887755E-2</v>
      </c>
      <c r="K26" s="6">
        <f t="shared" si="8"/>
        <v>4.4589357728930948E-3</v>
      </c>
      <c r="L26" s="6">
        <f t="shared" si="8"/>
        <v>-4.2389693184284203E-3</v>
      </c>
      <c r="M26" s="6">
        <f t="shared" si="8"/>
        <v>2.2107528152630732E-2</v>
      </c>
      <c r="N26" s="6">
        <f t="shared" si="8"/>
        <v>-9.4392046231101256E-3</v>
      </c>
      <c r="O26" s="6">
        <f t="shared" si="1"/>
        <v>1.7889004076430007E-3</v>
      </c>
      <c r="Q26" s="6"/>
      <c r="R26" s="13">
        <f t="shared" si="2"/>
        <v>-2.0406979359843546E-2</v>
      </c>
      <c r="S26" s="13">
        <f t="shared" si="2"/>
        <v>4.2466463589373041E-3</v>
      </c>
      <c r="T26" s="13">
        <f t="shared" si="2"/>
        <v>-4.451258732384211E-3</v>
      </c>
      <c r="U26" s="13">
        <f t="shared" si="2"/>
        <v>2.1895238738674942E-2</v>
      </c>
      <c r="V26" s="13">
        <f t="shared" si="2"/>
        <v>-9.6514940370659164E-3</v>
      </c>
      <c r="W26" s="13"/>
      <c r="X26" s="52"/>
      <c r="Y26" s="13">
        <f t="shared" si="3"/>
        <v>-2.1983590353530758E-2</v>
      </c>
      <c r="Z26" s="13" t="str">
        <f t="shared" si="4"/>
        <v/>
      </c>
      <c r="AA26" s="13">
        <f t="shared" si="5"/>
        <v>-6.0278697260714208E-3</v>
      </c>
      <c r="AB26" s="13" t="str">
        <f t="shared" si="6"/>
        <v/>
      </c>
      <c r="AC26" s="13">
        <f t="shared" si="7"/>
        <v>-1.1228105030753126E-2</v>
      </c>
      <c r="AD26" s="52"/>
      <c r="AL26" s="38"/>
    </row>
    <row r="27" spans="1:38" x14ac:dyDescent="0.2">
      <c r="A27" s="43">
        <v>45190</v>
      </c>
      <c r="B27" s="19">
        <v>173.04452499999999</v>
      </c>
      <c r="C27" s="19">
        <v>56.196418999999999</v>
      </c>
      <c r="D27" s="19">
        <v>143.52990700000001</v>
      </c>
      <c r="E27" s="19">
        <v>14.328587000000001</v>
      </c>
      <c r="F27" s="44">
        <v>4330</v>
      </c>
      <c r="G27" s="45">
        <v>5.4699999999999999E-2</v>
      </c>
      <c r="H27" s="37">
        <f t="shared" si="0"/>
        <v>2.1304815673750532E-4</v>
      </c>
      <c r="J27" s="6">
        <f t="shared" si="8"/>
        <v>-8.9290841663582452E-3</v>
      </c>
      <c r="K27" s="6">
        <f t="shared" si="8"/>
        <v>-1.5520182226064388E-2</v>
      </c>
      <c r="L27" s="6">
        <f t="shared" si="8"/>
        <v>-7.8527809774467452E-3</v>
      </c>
      <c r="M27" s="6">
        <f t="shared" si="8"/>
        <v>-1.5554405482686634E-2</v>
      </c>
      <c r="N27" s="6">
        <f t="shared" si="8"/>
        <v>-1.653687395146802E-2</v>
      </c>
      <c r="O27" s="6">
        <f t="shared" si="1"/>
        <v>3.567724268008604E-3</v>
      </c>
      <c r="Q27" s="6"/>
      <c r="R27" s="13">
        <f t="shared" si="2"/>
        <v>-9.1421323230957505E-3</v>
      </c>
      <c r="S27" s="13">
        <f t="shared" si="2"/>
        <v>-1.5733230382801895E-2</v>
      </c>
      <c r="T27" s="13">
        <f t="shared" si="2"/>
        <v>-8.0658291341842506E-3</v>
      </c>
      <c r="U27" s="13">
        <f t="shared" si="2"/>
        <v>-1.5767453639424139E-2</v>
      </c>
      <c r="V27" s="13">
        <f t="shared" si="2"/>
        <v>-1.6749922108205525E-2</v>
      </c>
      <c r="W27" s="13"/>
      <c r="X27" s="52"/>
      <c r="Y27" s="13">
        <f t="shared" si="3"/>
        <v>-1.249680843436685E-2</v>
      </c>
      <c r="Z27" s="13">
        <f t="shared" si="4"/>
        <v>-1.9087906494072993E-2</v>
      </c>
      <c r="AA27" s="13">
        <f t="shared" si="5"/>
        <v>-1.142050524545535E-2</v>
      </c>
      <c r="AB27" s="13">
        <f t="shared" si="6"/>
        <v>-1.9122129750695237E-2</v>
      </c>
      <c r="AC27" s="13">
        <f t="shared" si="7"/>
        <v>-2.0104598219476622E-2</v>
      </c>
      <c r="AD27" s="52"/>
      <c r="AL27" s="38"/>
    </row>
    <row r="28" spans="1:38" x14ac:dyDescent="0.2">
      <c r="A28" s="43">
        <v>45191</v>
      </c>
      <c r="B28" s="19">
        <v>173.900116</v>
      </c>
      <c r="C28" s="19">
        <v>56.255015999999998</v>
      </c>
      <c r="D28" s="19">
        <v>142.15448000000001</v>
      </c>
      <c r="E28" s="19">
        <v>14.150764000000001</v>
      </c>
      <c r="F28" s="44">
        <v>4320.0600000000004</v>
      </c>
      <c r="G28" s="45">
        <v>5.4600000000000003E-2</v>
      </c>
      <c r="H28" s="37">
        <f t="shared" si="0"/>
        <v>2.1266880326109572E-4</v>
      </c>
      <c r="J28" s="6">
        <f t="shared" si="8"/>
        <v>4.932157084030179E-3</v>
      </c>
      <c r="K28" s="6">
        <f t="shared" si="8"/>
        <v>1.0421744338548341E-3</v>
      </c>
      <c r="L28" s="6">
        <f t="shared" si="8"/>
        <v>-9.6290710303040105E-3</v>
      </c>
      <c r="M28" s="6">
        <f t="shared" si="8"/>
        <v>-1.2488017087223817E-2</v>
      </c>
      <c r="N28" s="6">
        <f t="shared" si="8"/>
        <v>-2.2982509659402743E-3</v>
      </c>
      <c r="O28" s="6">
        <f t="shared" si="1"/>
        <v>-1.7821868164193909E-3</v>
      </c>
      <c r="Q28" s="6"/>
      <c r="R28" s="13">
        <f t="shared" si="2"/>
        <v>4.7194882807690833E-3</v>
      </c>
      <c r="S28" s="13">
        <f t="shared" si="2"/>
        <v>8.2950563059373838E-4</v>
      </c>
      <c r="T28" s="13">
        <f t="shared" si="2"/>
        <v>-9.8417398335651062E-3</v>
      </c>
      <c r="U28" s="13">
        <f t="shared" si="2"/>
        <v>-1.2700685890484913E-2</v>
      </c>
      <c r="V28" s="13">
        <f t="shared" si="2"/>
        <v>-2.51091976920137E-3</v>
      </c>
      <c r="W28" s="13"/>
      <c r="X28" s="52"/>
      <c r="Y28" s="13" t="str">
        <f t="shared" si="3"/>
        <v/>
      </c>
      <c r="Z28" s="13" t="str">
        <f t="shared" si="4"/>
        <v/>
      </c>
      <c r="AA28" s="13">
        <f t="shared" si="5"/>
        <v>-7.8468842138846202E-3</v>
      </c>
      <c r="AB28" s="13">
        <f t="shared" si="6"/>
        <v>-1.0705830270804427E-2</v>
      </c>
      <c r="AC28" s="13">
        <f t="shared" si="7"/>
        <v>-5.1606414952088341E-4</v>
      </c>
      <c r="AD28" s="52"/>
      <c r="AL28" s="38"/>
    </row>
    <row r="29" spans="1:38" x14ac:dyDescent="0.2">
      <c r="A29" s="43">
        <v>45194</v>
      </c>
      <c r="B29" s="19">
        <v>175.18356299999999</v>
      </c>
      <c r="C29" s="19">
        <v>55.669029000000002</v>
      </c>
      <c r="D29" s="19">
        <v>142.856842</v>
      </c>
      <c r="E29" s="19">
        <v>14.094611</v>
      </c>
      <c r="F29" s="44">
        <v>4337.4399999999996</v>
      </c>
      <c r="G29" s="45">
        <v>5.4600000000000003E-2</v>
      </c>
      <c r="H29" s="37">
        <f t="shared" si="0"/>
        <v>2.1266880326109572E-4</v>
      </c>
      <c r="J29" s="6">
        <f t="shared" si="8"/>
        <v>7.3532671978666295E-3</v>
      </c>
      <c r="K29" s="6">
        <f t="shared" si="8"/>
        <v>-1.0471250468192831E-2</v>
      </c>
      <c r="L29" s="6">
        <f t="shared" si="8"/>
        <v>4.9286703199951359E-3</v>
      </c>
      <c r="M29" s="6">
        <f t="shared" si="8"/>
        <v>-3.9760898184737319E-3</v>
      </c>
      <c r="N29" s="6">
        <f t="shared" si="8"/>
        <v>4.0150212758186272E-3</v>
      </c>
      <c r="O29" s="6">
        <f t="shared" si="1"/>
        <v>0</v>
      </c>
      <c r="Q29" s="6"/>
      <c r="R29" s="13">
        <f t="shared" si="2"/>
        <v>7.1405983946055337E-3</v>
      </c>
      <c r="S29" s="13">
        <f t="shared" si="2"/>
        <v>-1.0683919271453927E-2</v>
      </c>
      <c r="T29" s="13">
        <f t="shared" si="2"/>
        <v>4.7160015167340402E-3</v>
      </c>
      <c r="U29" s="13">
        <f t="shared" si="2"/>
        <v>-4.1887586217348276E-3</v>
      </c>
      <c r="V29" s="13">
        <f t="shared" si="2"/>
        <v>3.8023524725575315E-3</v>
      </c>
      <c r="W29" s="13"/>
      <c r="X29" s="52"/>
      <c r="Y29" s="13" t="str">
        <f t="shared" si="3"/>
        <v/>
      </c>
      <c r="Z29" s="13">
        <f t="shared" si="4"/>
        <v>-1.0471250468192831E-2</v>
      </c>
      <c r="AA29" s="13" t="str">
        <f t="shared" si="5"/>
        <v/>
      </c>
      <c r="AB29" s="13">
        <f t="shared" si="6"/>
        <v>-3.9760898184737319E-3</v>
      </c>
      <c r="AC29" s="13" t="str">
        <f t="shared" si="7"/>
        <v/>
      </c>
      <c r="AD29" s="52"/>
      <c r="AL29" s="38"/>
    </row>
    <row r="30" spans="1:38" x14ac:dyDescent="0.2">
      <c r="A30" s="43">
        <v>45195</v>
      </c>
      <c r="B30" s="19">
        <v>171.08453399999999</v>
      </c>
      <c r="C30" s="19">
        <v>55.209999000000003</v>
      </c>
      <c r="D30" s="19">
        <v>141.37413000000001</v>
      </c>
      <c r="E30" s="19">
        <v>14.057176</v>
      </c>
      <c r="F30" s="44">
        <v>4273.53</v>
      </c>
      <c r="G30" s="45">
        <v>5.45E-2</v>
      </c>
      <c r="H30" s="37">
        <f t="shared" si="0"/>
        <v>2.1228941395579071E-4</v>
      </c>
      <c r="J30" s="6">
        <f t="shared" si="8"/>
        <v>-2.3676570379196956E-2</v>
      </c>
      <c r="K30" s="6">
        <f t="shared" si="8"/>
        <v>-8.2798817906721903E-3</v>
      </c>
      <c r="L30" s="6">
        <f t="shared" si="8"/>
        <v>-1.0433243353410393E-2</v>
      </c>
      <c r="M30" s="6">
        <f t="shared" si="8"/>
        <v>-2.6595130223768674E-3</v>
      </c>
      <c r="N30" s="6">
        <f t="shared" si="8"/>
        <v>-1.4844128717961364E-2</v>
      </c>
      <c r="O30" s="6">
        <f t="shared" si="1"/>
        <v>-1.7855374515891788E-3</v>
      </c>
      <c r="Q30" s="6"/>
      <c r="R30" s="13">
        <f t="shared" si="2"/>
        <v>-2.3888859793152747E-2</v>
      </c>
      <c r="S30" s="13">
        <f t="shared" si="2"/>
        <v>-8.492171204627981E-3</v>
      </c>
      <c r="T30" s="13">
        <f t="shared" si="2"/>
        <v>-1.0645532767366184E-2</v>
      </c>
      <c r="U30" s="13">
        <f t="shared" si="2"/>
        <v>-2.8718024363326581E-3</v>
      </c>
      <c r="V30" s="13">
        <f t="shared" si="2"/>
        <v>-1.5056418131917155E-2</v>
      </c>
      <c r="W30" s="13"/>
      <c r="X30" s="52"/>
      <c r="Y30" s="13">
        <f t="shared" si="3"/>
        <v>-2.1891032927607777E-2</v>
      </c>
      <c r="Z30" s="13">
        <f t="shared" si="4"/>
        <v>-6.4943443390830117E-3</v>
      </c>
      <c r="AA30" s="13">
        <f t="shared" si="5"/>
        <v>-8.6477059018212135E-3</v>
      </c>
      <c r="AB30" s="13">
        <f t="shared" si="6"/>
        <v>-8.7397557078768852E-4</v>
      </c>
      <c r="AC30" s="13">
        <f t="shared" si="7"/>
        <v>-1.3058591266372184E-2</v>
      </c>
      <c r="AD30" s="52"/>
      <c r="AL30" s="38"/>
    </row>
    <row r="31" spans="1:38" x14ac:dyDescent="0.2">
      <c r="A31" s="43">
        <v>45196</v>
      </c>
      <c r="B31" s="19">
        <v>169.56231700000001</v>
      </c>
      <c r="C31" s="19">
        <v>54.643543000000001</v>
      </c>
      <c r="D31" s="19">
        <v>142.203262</v>
      </c>
      <c r="E31" s="19">
        <v>13.916791</v>
      </c>
      <c r="F31" s="44">
        <v>4274.51</v>
      </c>
      <c r="G31" s="45">
        <v>5.45E-2</v>
      </c>
      <c r="H31" s="37">
        <f t="shared" si="0"/>
        <v>2.1228941395579071E-4</v>
      </c>
      <c r="J31" s="6">
        <f t="shared" si="8"/>
        <v>-8.9372740582099996E-3</v>
      </c>
      <c r="K31" s="6">
        <f t="shared" si="8"/>
        <v>-1.0313022416799286E-2</v>
      </c>
      <c r="L31" s="6">
        <f t="shared" si="8"/>
        <v>5.8476760566381946E-3</v>
      </c>
      <c r="M31" s="6">
        <f t="shared" si="8"/>
        <v>-1.0036916003110012E-2</v>
      </c>
      <c r="N31" s="6">
        <f t="shared" si="8"/>
        <v>2.2929233000634007E-4</v>
      </c>
      <c r="O31" s="6">
        <f t="shared" si="1"/>
        <v>0</v>
      </c>
      <c r="Q31" s="6"/>
      <c r="R31" s="13">
        <f t="shared" si="2"/>
        <v>-9.1495634721657903E-3</v>
      </c>
      <c r="S31" s="13">
        <f t="shared" si="2"/>
        <v>-1.0525311830755077E-2</v>
      </c>
      <c r="T31" s="13">
        <f t="shared" si="2"/>
        <v>5.6353866426824039E-3</v>
      </c>
      <c r="U31" s="13">
        <f t="shared" si="2"/>
        <v>-1.0249205417065803E-2</v>
      </c>
      <c r="V31" s="13">
        <f t="shared" si="2"/>
        <v>1.7002916050549364E-5</v>
      </c>
      <c r="W31" s="13"/>
      <c r="X31" s="52"/>
      <c r="Y31" s="13">
        <f t="shared" si="3"/>
        <v>-8.9372740582099996E-3</v>
      </c>
      <c r="Z31" s="13">
        <f t="shared" si="4"/>
        <v>-1.0313022416799286E-2</v>
      </c>
      <c r="AA31" s="13" t="str">
        <f t="shared" si="5"/>
        <v/>
      </c>
      <c r="AB31" s="13">
        <f t="shared" si="6"/>
        <v>-1.0036916003110012E-2</v>
      </c>
      <c r="AC31" s="13" t="str">
        <f t="shared" si="7"/>
        <v/>
      </c>
      <c r="AD31" s="52"/>
      <c r="AE31" s="10" t="s">
        <v>8</v>
      </c>
      <c r="AF31" s="50" t="s">
        <v>1</v>
      </c>
      <c r="AG31" s="50" t="s">
        <v>2</v>
      </c>
      <c r="AH31" s="50" t="s">
        <v>3</v>
      </c>
      <c r="AI31" s="50" t="s">
        <v>4</v>
      </c>
      <c r="AL31" s="38"/>
    </row>
    <row r="32" spans="1:38" x14ac:dyDescent="0.2">
      <c r="A32" s="43">
        <v>45197</v>
      </c>
      <c r="B32" s="19">
        <v>169.82101399999999</v>
      </c>
      <c r="C32" s="19">
        <v>54.506816999999998</v>
      </c>
      <c r="D32" s="19">
        <v>143.968872</v>
      </c>
      <c r="E32" s="19">
        <v>14.047817</v>
      </c>
      <c r="F32" s="44">
        <v>4299.7</v>
      </c>
      <c r="G32" s="45">
        <v>5.4900000000000004E-2</v>
      </c>
      <c r="H32" s="37">
        <f t="shared" si="0"/>
        <v>2.1380675622961753E-4</v>
      </c>
      <c r="J32" s="6">
        <f t="shared" si="8"/>
        <v>1.5245124110350558E-3</v>
      </c>
      <c r="K32" s="6">
        <f t="shared" si="8"/>
        <v>-2.5052793506595878E-3</v>
      </c>
      <c r="L32" s="6">
        <f t="shared" si="8"/>
        <v>1.2339652914118577E-2</v>
      </c>
      <c r="M32" s="6">
        <f t="shared" si="8"/>
        <v>9.370913321953802E-3</v>
      </c>
      <c r="N32" s="6">
        <f t="shared" si="8"/>
        <v>5.8757768874731896E-3</v>
      </c>
      <c r="O32" s="6">
        <f t="shared" si="1"/>
        <v>7.1220949345627872E-3</v>
      </c>
      <c r="Q32" s="6"/>
      <c r="R32" s="13">
        <f t="shared" si="2"/>
        <v>1.3107056548054383E-3</v>
      </c>
      <c r="S32" s="13">
        <f t="shared" si="2"/>
        <v>-2.7190861068892053E-3</v>
      </c>
      <c r="T32" s="13">
        <f t="shared" si="2"/>
        <v>1.212584615788896E-2</v>
      </c>
      <c r="U32" s="13">
        <f t="shared" si="2"/>
        <v>9.1571065657241844E-3</v>
      </c>
      <c r="V32" s="13">
        <f t="shared" si="2"/>
        <v>5.6619701312435721E-3</v>
      </c>
      <c r="W32" s="13"/>
      <c r="X32" s="52"/>
      <c r="Y32" s="13">
        <f t="shared" si="3"/>
        <v>-5.5975825235277318E-3</v>
      </c>
      <c r="Z32" s="13">
        <f t="shared" si="4"/>
        <v>-9.6273742852223745E-3</v>
      </c>
      <c r="AA32" s="13" t="str">
        <f t="shared" si="5"/>
        <v/>
      </c>
      <c r="AB32" s="13" t="str">
        <f t="shared" si="6"/>
        <v/>
      </c>
      <c r="AC32" s="13">
        <f t="shared" si="7"/>
        <v>-1.2463180470895976E-3</v>
      </c>
      <c r="AD32" s="52"/>
      <c r="AE32" s="11" t="s">
        <v>45</v>
      </c>
      <c r="AF32" s="51">
        <v>0.19932091707623201</v>
      </c>
      <c r="AG32" s="51">
        <v>4.0838545135725303E-2</v>
      </c>
      <c r="AH32" s="51">
        <v>0.4375436963131189</v>
      </c>
      <c r="AI32" s="51">
        <v>0.32229684147492393</v>
      </c>
      <c r="AJ32" s="49">
        <f>SUM(AF32:AI32)</f>
        <v>1.0000000000000002</v>
      </c>
      <c r="AL32" s="38"/>
    </row>
    <row r="33" spans="1:38" x14ac:dyDescent="0.2">
      <c r="A33" s="43">
        <v>45198</v>
      </c>
      <c r="B33" s="19">
        <v>170.33836400000001</v>
      </c>
      <c r="C33" s="19">
        <v>54.672840000000001</v>
      </c>
      <c r="D33" s="19">
        <v>141.46191400000001</v>
      </c>
      <c r="E33" s="19">
        <v>14.057176</v>
      </c>
      <c r="F33" s="44">
        <v>4288.05</v>
      </c>
      <c r="G33" s="45">
        <v>5.4600000000000003E-2</v>
      </c>
      <c r="H33" s="37">
        <f t="shared" si="0"/>
        <v>2.1266880326109572E-4</v>
      </c>
      <c r="J33" s="6">
        <f t="shared" si="8"/>
        <v>3.0418117645047292E-3</v>
      </c>
      <c r="K33" s="6">
        <f t="shared" si="8"/>
        <v>3.0412831937692204E-3</v>
      </c>
      <c r="L33" s="6">
        <f t="shared" si="8"/>
        <v>-1.7566587699048578E-2</v>
      </c>
      <c r="M33" s="6">
        <f t="shared" si="8"/>
        <v>6.6600268115622394E-4</v>
      </c>
      <c r="N33" s="6">
        <f t="shared" si="8"/>
        <v>-2.7131686755154211E-3</v>
      </c>
      <c r="O33" s="6">
        <f t="shared" si="1"/>
        <v>-5.3365574829737777E-3</v>
      </c>
      <c r="Q33" s="6"/>
      <c r="R33" s="13">
        <f t="shared" si="2"/>
        <v>2.8291429612436335E-3</v>
      </c>
      <c r="S33" s="13">
        <f t="shared" si="2"/>
        <v>2.8286143905081247E-3</v>
      </c>
      <c r="T33" s="13">
        <f t="shared" si="2"/>
        <v>-1.7779256502309673E-2</v>
      </c>
      <c r="U33" s="13">
        <f t="shared" si="2"/>
        <v>4.5333387789512822E-4</v>
      </c>
      <c r="V33" s="13">
        <f t="shared" si="2"/>
        <v>-2.9258374787765168E-3</v>
      </c>
      <c r="W33" s="13"/>
      <c r="X33" s="52"/>
      <c r="Y33" s="13" t="str">
        <f t="shared" si="3"/>
        <v/>
      </c>
      <c r="Z33" s="13" t="str">
        <f t="shared" si="4"/>
        <v/>
      </c>
      <c r="AA33" s="13">
        <f t="shared" si="5"/>
        <v>-1.22300302160748E-2</v>
      </c>
      <c r="AB33" s="13" t="str">
        <f t="shared" si="6"/>
        <v/>
      </c>
      <c r="AC33" s="13" t="str">
        <f t="shared" si="7"/>
        <v/>
      </c>
      <c r="AD33" s="52"/>
      <c r="AL33" s="38"/>
    </row>
    <row r="34" spans="1:38" x14ac:dyDescent="0.2">
      <c r="A34" s="43">
        <v>45201</v>
      </c>
      <c r="B34" s="19">
        <v>172.865433</v>
      </c>
      <c r="C34" s="19">
        <v>54.184517</v>
      </c>
      <c r="D34" s="19">
        <v>140.24259900000001</v>
      </c>
      <c r="E34" s="19">
        <v>13.729611</v>
      </c>
      <c r="F34" s="44">
        <v>4288.3900000000003</v>
      </c>
      <c r="G34" s="45">
        <v>5.4600000000000003E-2</v>
      </c>
      <c r="H34" s="37">
        <f t="shared" si="0"/>
        <v>2.1266880326109572E-4</v>
      </c>
      <c r="J34" s="6">
        <f t="shared" si="8"/>
        <v>1.4726612543542477E-2</v>
      </c>
      <c r="K34" s="6">
        <f t="shared" si="8"/>
        <v>-8.9718561804357604E-3</v>
      </c>
      <c r="L34" s="6">
        <f t="shared" si="8"/>
        <v>-8.6567488859623613E-3</v>
      </c>
      <c r="M34" s="6">
        <f t="shared" si="8"/>
        <v>-2.3578125464621125E-2</v>
      </c>
      <c r="N34" s="6">
        <f t="shared" si="8"/>
        <v>7.9286976922361474E-5</v>
      </c>
      <c r="O34" s="6">
        <f t="shared" si="1"/>
        <v>0</v>
      </c>
      <c r="Q34" s="6"/>
      <c r="R34" s="13">
        <f t="shared" si="2"/>
        <v>1.4513943740281381E-2</v>
      </c>
      <c r="S34" s="13">
        <f t="shared" si="2"/>
        <v>-9.1845249836968561E-3</v>
      </c>
      <c r="T34" s="13">
        <f t="shared" si="2"/>
        <v>-8.8694176892234571E-3</v>
      </c>
      <c r="U34" s="13">
        <f t="shared" si="2"/>
        <v>-2.379079426788222E-2</v>
      </c>
      <c r="V34" s="13">
        <f t="shared" si="2"/>
        <v>-1.3338182633873424E-4</v>
      </c>
      <c r="W34" s="13"/>
      <c r="X34" s="52"/>
      <c r="Y34" s="13" t="str">
        <f t="shared" si="3"/>
        <v/>
      </c>
      <c r="Z34" s="13">
        <f t="shared" si="4"/>
        <v>-8.9718561804357604E-3</v>
      </c>
      <c r="AA34" s="13">
        <f t="shared" si="5"/>
        <v>-8.6567488859623613E-3</v>
      </c>
      <c r="AB34" s="13">
        <f t="shared" si="6"/>
        <v>-2.3578125464621125E-2</v>
      </c>
      <c r="AC34" s="13" t="str">
        <f t="shared" si="7"/>
        <v/>
      </c>
      <c r="AD34" s="52"/>
      <c r="AL34" s="38"/>
    </row>
    <row r="35" spans="1:38" x14ac:dyDescent="0.2">
      <c r="A35" s="43">
        <v>45202</v>
      </c>
      <c r="B35" s="19">
        <v>171.52229299999999</v>
      </c>
      <c r="C35" s="19">
        <v>53.598529999999997</v>
      </c>
      <c r="D35" s="19">
        <v>139.208618</v>
      </c>
      <c r="E35" s="19">
        <v>13.832561</v>
      </c>
      <c r="F35" s="44">
        <v>4229.45</v>
      </c>
      <c r="G35" s="45">
        <v>5.4900000000000004E-2</v>
      </c>
      <c r="H35" s="37">
        <f t="shared" si="0"/>
        <v>2.1380675622961753E-4</v>
      </c>
      <c r="J35" s="6">
        <f t="shared" si="8"/>
        <v>-7.8002013931504684E-3</v>
      </c>
      <c r="K35" s="6">
        <f t="shared" si="8"/>
        <v>-1.0873561101627389E-2</v>
      </c>
      <c r="L35" s="6">
        <f t="shared" si="8"/>
        <v>-7.4001160534839551E-3</v>
      </c>
      <c r="M35" s="6">
        <f t="shared" si="8"/>
        <v>7.470418425544037E-3</v>
      </c>
      <c r="N35" s="6">
        <f t="shared" si="8"/>
        <v>-1.3839410161483797E-2</v>
      </c>
      <c r="O35" s="6">
        <f t="shared" si="1"/>
        <v>5.3365574829737977E-3</v>
      </c>
      <c r="Q35" s="6"/>
      <c r="R35" s="13">
        <f t="shared" si="2"/>
        <v>-8.014008149380086E-3</v>
      </c>
      <c r="S35" s="13">
        <f t="shared" si="2"/>
        <v>-1.1087367857857007E-2</v>
      </c>
      <c r="T35" s="13">
        <f t="shared" si="2"/>
        <v>-7.6139228097135726E-3</v>
      </c>
      <c r="U35" s="13">
        <f t="shared" si="2"/>
        <v>7.2566116693144195E-3</v>
      </c>
      <c r="V35" s="13">
        <f t="shared" si="2"/>
        <v>-1.4053216917713414E-2</v>
      </c>
      <c r="W35" s="13"/>
      <c r="X35" s="52"/>
      <c r="Y35" s="13">
        <f t="shared" si="3"/>
        <v>-1.3136758876124265E-2</v>
      </c>
      <c r="Z35" s="13">
        <f t="shared" si="4"/>
        <v>-1.6210118584601186E-2</v>
      </c>
      <c r="AA35" s="13">
        <f t="shared" si="5"/>
        <v>-1.2736673536457754E-2</v>
      </c>
      <c r="AB35" s="13" t="str">
        <f t="shared" si="6"/>
        <v/>
      </c>
      <c r="AC35" s="13">
        <f t="shared" si="7"/>
        <v>-1.9175967644457594E-2</v>
      </c>
      <c r="AD35" s="52"/>
      <c r="AE35" s="7" t="s">
        <v>10</v>
      </c>
      <c r="AF35" s="15" t="str">
        <f>AF8</f>
        <v>Apple</v>
      </c>
      <c r="AG35" s="15" t="str">
        <f>AG8</f>
        <v>Coca-Cola</v>
      </c>
      <c r="AH35" s="15" t="str">
        <f>AH8</f>
        <v>JPMorgan</v>
      </c>
      <c r="AI35" s="15" t="str">
        <f>AI8</f>
        <v>AT&amp;T</v>
      </c>
      <c r="AL35" s="38"/>
    </row>
    <row r="36" spans="1:38" x14ac:dyDescent="0.2">
      <c r="A36" s="43">
        <v>45203</v>
      </c>
      <c r="B36" s="19">
        <v>172.77589399999999</v>
      </c>
      <c r="C36" s="19">
        <v>53.754795000000001</v>
      </c>
      <c r="D36" s="19">
        <v>139.832886</v>
      </c>
      <c r="E36" s="19">
        <v>13.710893</v>
      </c>
      <c r="F36" s="44">
        <v>4263.75</v>
      </c>
      <c r="G36" s="45">
        <v>5.4900000000000004E-2</v>
      </c>
      <c r="H36" s="37">
        <f t="shared" si="0"/>
        <v>2.1380675622961753E-4</v>
      </c>
      <c r="J36" s="6">
        <f t="shared" ref="J36:N67" si="11">LN(B36/B35)</f>
        <v>7.2820978273525263E-3</v>
      </c>
      <c r="K36" s="6">
        <f t="shared" si="11"/>
        <v>2.9112300036451422E-3</v>
      </c>
      <c r="L36" s="6">
        <f t="shared" si="11"/>
        <v>4.4743812840926343E-3</v>
      </c>
      <c r="M36" s="6">
        <f t="shared" si="11"/>
        <v>-8.8346792935787202E-3</v>
      </c>
      <c r="N36" s="6">
        <f t="shared" si="11"/>
        <v>8.0770937870001339E-3</v>
      </c>
      <c r="O36" s="6">
        <f t="shared" si="1"/>
        <v>0</v>
      </c>
      <c r="Q36" s="6"/>
      <c r="R36" s="13">
        <f t="shared" si="2"/>
        <v>7.0682910711229088E-3</v>
      </c>
      <c r="S36" s="13">
        <f t="shared" si="2"/>
        <v>2.6974232474155247E-3</v>
      </c>
      <c r="T36" s="13">
        <f t="shared" si="2"/>
        <v>4.2605745278630168E-3</v>
      </c>
      <c r="U36" s="13">
        <f t="shared" si="2"/>
        <v>-9.0484860498083377E-3</v>
      </c>
      <c r="V36" s="13">
        <f t="shared" si="2"/>
        <v>7.8632870307705164E-3</v>
      </c>
      <c r="W36" s="13"/>
      <c r="X36" s="52"/>
      <c r="Y36" s="13" t="str">
        <f t="shared" si="3"/>
        <v/>
      </c>
      <c r="Z36" s="13" t="str">
        <f t="shared" si="4"/>
        <v/>
      </c>
      <c r="AA36" s="13" t="str">
        <f t="shared" si="5"/>
        <v/>
      </c>
      <c r="AB36" s="13">
        <f t="shared" si="6"/>
        <v>-8.8346792935787202E-3</v>
      </c>
      <c r="AC36" s="13" t="str">
        <f t="shared" si="7"/>
        <v/>
      </c>
      <c r="AD36" s="52"/>
      <c r="AE36" s="16" t="str">
        <f>AF35</f>
        <v>Apple</v>
      </c>
      <c r="AF36" s="17">
        <f>VARP([1]Portafolio!$F$3:$F$254)</f>
        <v>2.0416329468796719E-4</v>
      </c>
      <c r="AG36" s="17">
        <f>AF37</f>
        <v>1.114837388610517E-5</v>
      </c>
      <c r="AH36" s="17">
        <f>AF38</f>
        <v>7.9387037462506825E-6</v>
      </c>
      <c r="AI36" s="17">
        <f>AF39</f>
        <v>-2.2006229590220094E-6</v>
      </c>
      <c r="AL36" s="38"/>
    </row>
    <row r="37" spans="1:38" x14ac:dyDescent="0.2">
      <c r="A37" s="43">
        <v>45204</v>
      </c>
      <c r="B37" s="19">
        <v>174.019531</v>
      </c>
      <c r="C37" s="19">
        <v>51.156905999999999</v>
      </c>
      <c r="D37" s="19">
        <v>140.42248499999999</v>
      </c>
      <c r="E37" s="19">
        <v>13.879355</v>
      </c>
      <c r="F37" s="44">
        <v>4258.1899999999996</v>
      </c>
      <c r="G37" s="45">
        <v>5.4199999999999998E-2</v>
      </c>
      <c r="H37" s="37">
        <f t="shared" si="0"/>
        <v>2.1115103099722532E-4</v>
      </c>
      <c r="J37" s="6">
        <f t="shared" si="11"/>
        <v>7.1721957179410305E-3</v>
      </c>
      <c r="K37" s="6">
        <f t="shared" si="11"/>
        <v>-4.9535374384451825E-2</v>
      </c>
      <c r="L37" s="6">
        <f t="shared" si="11"/>
        <v>4.2075901542361687E-3</v>
      </c>
      <c r="M37" s="6">
        <f t="shared" si="11"/>
        <v>1.2211857867236135E-2</v>
      </c>
      <c r="N37" s="6">
        <f t="shared" si="11"/>
        <v>-1.3048673867472557E-3</v>
      </c>
      <c r="O37" s="6">
        <f t="shared" si="1"/>
        <v>-1.2498934651813405E-2</v>
      </c>
      <c r="Q37" s="6"/>
      <c r="R37" s="13">
        <f t="shared" si="2"/>
        <v>6.9610446869438052E-3</v>
      </c>
      <c r="S37" s="13">
        <f t="shared" si="2"/>
        <v>-4.974652541544905E-2</v>
      </c>
      <c r="T37" s="13">
        <f t="shared" si="2"/>
        <v>3.9964391232389434E-3</v>
      </c>
      <c r="U37" s="13">
        <f t="shared" si="2"/>
        <v>1.200070683623891E-2</v>
      </c>
      <c r="V37" s="13">
        <f t="shared" si="2"/>
        <v>-1.516018417744481E-3</v>
      </c>
      <c r="W37" s="13"/>
      <c r="X37" s="52"/>
      <c r="Y37" s="13" t="str">
        <f t="shared" si="3"/>
        <v/>
      </c>
      <c r="Z37" s="13">
        <f t="shared" si="4"/>
        <v>-3.703643973263842E-2</v>
      </c>
      <c r="AA37" s="13" t="str">
        <f t="shared" si="5"/>
        <v/>
      </c>
      <c r="AB37" s="13" t="str">
        <f t="shared" si="6"/>
        <v/>
      </c>
      <c r="AC37" s="13" t="str">
        <f t="shared" si="7"/>
        <v/>
      </c>
      <c r="AD37" s="52"/>
      <c r="AE37" s="16" t="str">
        <f>AG35</f>
        <v>Coca-Cola</v>
      </c>
      <c r="AF37" s="18">
        <f>_xlfn.COVARIANCE.P($J$3:$J$254,K3:K254)</f>
        <v>1.114837388610517E-5</v>
      </c>
      <c r="AG37" s="17">
        <f>VARP([1]Portafolio!$G$3:$G$254)</f>
        <v>7.052377242278394E-5</v>
      </c>
      <c r="AH37" s="17">
        <f>AG38</f>
        <v>1.8170255662120506E-5</v>
      </c>
      <c r="AI37" s="17">
        <f>AG39</f>
        <v>3.9163359961956121E-5</v>
      </c>
      <c r="AL37" s="38"/>
    </row>
    <row r="38" spans="1:38" x14ac:dyDescent="0.2">
      <c r="A38" s="43">
        <v>45205</v>
      </c>
      <c r="B38" s="19">
        <v>176.586411</v>
      </c>
      <c r="C38" s="19">
        <v>51.899158</v>
      </c>
      <c r="D38" s="19">
        <v>142.584351</v>
      </c>
      <c r="E38" s="19">
        <v>13.782069999999999</v>
      </c>
      <c r="F38" s="44">
        <v>4308.5</v>
      </c>
      <c r="G38" s="45">
        <v>5.3899999999999997E-2</v>
      </c>
      <c r="H38" s="37">
        <f t="shared" si="0"/>
        <v>2.1001232533235381E-4</v>
      </c>
      <c r="J38" s="6">
        <f t="shared" si="11"/>
        <v>1.4642797262619538E-2</v>
      </c>
      <c r="K38" s="6">
        <f t="shared" si="11"/>
        <v>1.4405068586763934E-2</v>
      </c>
      <c r="L38" s="6">
        <f t="shared" si="11"/>
        <v>1.5278133083516892E-2</v>
      </c>
      <c r="M38" s="6">
        <f t="shared" si="11"/>
        <v>-7.0340122474886078E-3</v>
      </c>
      <c r="N38" s="6">
        <f t="shared" si="11"/>
        <v>1.1745628333713317E-2</v>
      </c>
      <c r="O38" s="6">
        <f t="shared" si="1"/>
        <v>-5.4074430856563748E-3</v>
      </c>
      <c r="Q38" s="6"/>
      <c r="R38" s="13">
        <f t="shared" si="2"/>
        <v>1.4432784937287184E-2</v>
      </c>
      <c r="S38" s="13">
        <f t="shared" si="2"/>
        <v>1.4195056261431581E-2</v>
      </c>
      <c r="T38" s="13">
        <f t="shared" si="2"/>
        <v>1.5068120758184539E-2</v>
      </c>
      <c r="U38" s="13">
        <f t="shared" si="2"/>
        <v>-7.2440245728209616E-3</v>
      </c>
      <c r="V38" s="13">
        <f t="shared" si="2"/>
        <v>1.1535616008380963E-2</v>
      </c>
      <c r="W38" s="13"/>
      <c r="X38" s="52"/>
      <c r="Y38" s="13" t="str">
        <f t="shared" si="3"/>
        <v/>
      </c>
      <c r="Z38" s="13" t="str">
        <f t="shared" si="4"/>
        <v/>
      </c>
      <c r="AA38" s="13" t="str">
        <f t="shared" si="5"/>
        <v/>
      </c>
      <c r="AB38" s="13">
        <f t="shared" si="6"/>
        <v>-1.626569161832233E-3</v>
      </c>
      <c r="AC38" s="13" t="str">
        <f t="shared" si="7"/>
        <v/>
      </c>
      <c r="AD38" s="52"/>
      <c r="AE38" s="16" t="str">
        <f>AH35</f>
        <v>JPMorgan</v>
      </c>
      <c r="AF38" s="18">
        <f>_xlfn.COVARIANCE.P($J$3:$J$254,L3:L254)</f>
        <v>7.9387037462506825E-6</v>
      </c>
      <c r="AG38" s="18">
        <f>_xlfn.COVARIANCE.P($K$3:$K$254,L3:L254)</f>
        <v>1.8170255662120506E-5</v>
      </c>
      <c r="AH38" s="17">
        <f>VARP([1]Portafolio!$H$3:$H$254)</f>
        <v>1.3497102243452755E-4</v>
      </c>
      <c r="AI38" s="17">
        <f>AH39</f>
        <v>2.8925886198153199E-5</v>
      </c>
      <c r="AL38" s="38"/>
    </row>
    <row r="39" spans="1:38" x14ac:dyDescent="0.2">
      <c r="A39" s="43">
        <v>45208</v>
      </c>
      <c r="B39" s="19">
        <v>178.07875100000001</v>
      </c>
      <c r="C39" s="19">
        <v>51.645232999999998</v>
      </c>
      <c r="D39" s="19">
        <v>142.260086</v>
      </c>
      <c r="E39" s="19">
        <v>14.049127</v>
      </c>
      <c r="F39" s="44">
        <v>4335.66</v>
      </c>
      <c r="G39" s="45">
        <v>5.4299999999999994E-2</v>
      </c>
      <c r="H39" s="37">
        <f t="shared" si="0"/>
        <v>2.1153052783073889E-4</v>
      </c>
      <c r="J39" s="6">
        <f t="shared" si="11"/>
        <v>8.4155364965835446E-3</v>
      </c>
      <c r="K39" s="6">
        <f t="shared" si="11"/>
        <v>-4.9046695157092994E-3</v>
      </c>
      <c r="L39" s="6">
        <f t="shared" si="11"/>
        <v>-2.2767875931944174E-3</v>
      </c>
      <c r="M39" s="6">
        <f t="shared" si="11"/>
        <v>1.919178660718069E-2</v>
      </c>
      <c r="N39" s="6">
        <f t="shared" si="11"/>
        <v>6.2840320810455159E-3</v>
      </c>
      <c r="O39" s="6">
        <f t="shared" si="1"/>
        <v>7.2031066416294353E-3</v>
      </c>
      <c r="Q39" s="6"/>
      <c r="R39" s="13">
        <f t="shared" si="2"/>
        <v>8.2040059687528057E-3</v>
      </c>
      <c r="S39" s="13">
        <f t="shared" si="2"/>
        <v>-5.1162000435400383E-3</v>
      </c>
      <c r="T39" s="13">
        <f t="shared" si="2"/>
        <v>-2.4883181210251563E-3</v>
      </c>
      <c r="U39" s="13">
        <f t="shared" si="2"/>
        <v>1.8980256079349951E-2</v>
      </c>
      <c r="V39" s="13">
        <f t="shared" si="2"/>
        <v>6.0725015532147771E-3</v>
      </c>
      <c r="W39" s="13"/>
      <c r="X39" s="52"/>
      <c r="Y39" s="13" t="str">
        <f t="shared" si="3"/>
        <v/>
      </c>
      <c r="Z39" s="13">
        <f t="shared" si="4"/>
        <v>-1.2107776157338735E-2</v>
      </c>
      <c r="AA39" s="13">
        <f t="shared" si="5"/>
        <v>-9.4798942348238522E-3</v>
      </c>
      <c r="AB39" s="13" t="str">
        <f t="shared" si="6"/>
        <v/>
      </c>
      <c r="AC39" s="13">
        <f t="shared" si="7"/>
        <v>-9.1907456058391932E-4</v>
      </c>
      <c r="AD39" s="52"/>
      <c r="AE39" s="16" t="str">
        <f>AI35</f>
        <v>AT&amp;T</v>
      </c>
      <c r="AF39" s="18">
        <f>_xlfn.COVARIANCE.P($J$3:$J$254,M5:M256)</f>
        <v>-2.2006229590220094E-6</v>
      </c>
      <c r="AG39" s="18">
        <f>_xlfn.COVARIANCE.P($K$3:$K$254,M3:M254)</f>
        <v>3.9163359961956121E-5</v>
      </c>
      <c r="AH39" s="18">
        <f>_xlfn.COVARIANCE.P($L$3:$L$254,M3:M254)</f>
        <v>2.8925886198153199E-5</v>
      </c>
      <c r="AI39" s="17">
        <f>VARP([1]Portafolio!$I$3:$I$254)</f>
        <v>1.7878182777816105E-4</v>
      </c>
      <c r="AL39" s="38"/>
    </row>
    <row r="40" spans="1:38" x14ac:dyDescent="0.2">
      <c r="A40" s="43">
        <v>45209</v>
      </c>
      <c r="B40" s="19">
        <v>177.48181199999999</v>
      </c>
      <c r="C40" s="19">
        <v>52.768374999999999</v>
      </c>
      <c r="D40" s="19">
        <v>143.12480199999999</v>
      </c>
      <c r="E40" s="19">
        <v>14.268497</v>
      </c>
      <c r="F40" s="44">
        <v>4358.24</v>
      </c>
      <c r="G40" s="45">
        <v>5.4299999999999994E-2</v>
      </c>
      <c r="H40" s="37">
        <f t="shared" si="0"/>
        <v>2.1153052783073889E-4</v>
      </c>
      <c r="J40" s="6">
        <f t="shared" si="11"/>
        <v>-3.3577377412587176E-3</v>
      </c>
      <c r="K40" s="6">
        <f t="shared" si="11"/>
        <v>2.1514155913894644E-2</v>
      </c>
      <c r="L40" s="6">
        <f t="shared" si="11"/>
        <v>6.0600170693245765E-3</v>
      </c>
      <c r="M40" s="6">
        <f t="shared" si="11"/>
        <v>1.5493841465178439E-2</v>
      </c>
      <c r="N40" s="6">
        <f t="shared" si="11"/>
        <v>5.1944583608864153E-3</v>
      </c>
      <c r="O40" s="6">
        <f t="shared" si="1"/>
        <v>0</v>
      </c>
      <c r="Q40" s="6"/>
      <c r="R40" s="13">
        <f t="shared" si="2"/>
        <v>-3.5692682690894565E-3</v>
      </c>
      <c r="S40" s="13">
        <f t="shared" si="2"/>
        <v>2.1302625386063905E-2</v>
      </c>
      <c r="T40" s="13">
        <f t="shared" si="2"/>
        <v>5.8484865414938376E-3</v>
      </c>
      <c r="U40" s="13">
        <f t="shared" si="2"/>
        <v>1.52823109373477E-2</v>
      </c>
      <c r="V40" s="13">
        <f t="shared" si="2"/>
        <v>4.9829278330556764E-3</v>
      </c>
      <c r="W40" s="13"/>
      <c r="X40" s="52"/>
      <c r="Y40" s="13">
        <f t="shared" si="3"/>
        <v>-3.3577377412587176E-3</v>
      </c>
      <c r="Z40" s="13" t="str">
        <f t="shared" si="4"/>
        <v/>
      </c>
      <c r="AA40" s="13" t="str">
        <f t="shared" si="5"/>
        <v/>
      </c>
      <c r="AB40" s="13" t="str">
        <f t="shared" si="6"/>
        <v/>
      </c>
      <c r="AC40" s="13" t="str">
        <f t="shared" si="7"/>
        <v/>
      </c>
      <c r="AD40" s="52"/>
      <c r="AL40" s="38"/>
    </row>
    <row r="41" spans="1:38" x14ac:dyDescent="0.2">
      <c r="A41" s="43">
        <v>45210</v>
      </c>
      <c r="B41" s="19">
        <v>178.88462799999999</v>
      </c>
      <c r="C41" s="19">
        <v>52.455849000000001</v>
      </c>
      <c r="D41" s="19">
        <v>143.61615</v>
      </c>
      <c r="E41" s="19">
        <v>14.087278</v>
      </c>
      <c r="F41" s="44">
        <v>4376.95</v>
      </c>
      <c r="G41" s="45">
        <v>5.3699999999999998E-2</v>
      </c>
      <c r="H41" s="37">
        <f t="shared" si="0"/>
        <v>2.0925300885044074E-4</v>
      </c>
      <c r="J41" s="6">
        <f t="shared" si="11"/>
        <v>7.8729256654077838E-3</v>
      </c>
      <c r="K41" s="6">
        <f t="shared" si="11"/>
        <v>-5.9402085775266582E-3</v>
      </c>
      <c r="L41" s="6">
        <f t="shared" si="11"/>
        <v>3.4271245700145075E-3</v>
      </c>
      <c r="M41" s="6">
        <f t="shared" si="11"/>
        <v>-1.2781979492703863E-2</v>
      </c>
      <c r="N41" s="6">
        <f t="shared" si="11"/>
        <v>4.2838286545689866E-3</v>
      </c>
      <c r="O41" s="6">
        <f t="shared" si="1"/>
        <v>-1.0825239215833657E-2</v>
      </c>
      <c r="Q41" s="6"/>
      <c r="R41" s="13">
        <f t="shared" si="2"/>
        <v>7.6636726565573431E-3</v>
      </c>
      <c r="S41" s="13">
        <f t="shared" si="2"/>
        <v>-6.1494615863770989E-3</v>
      </c>
      <c r="T41" s="13">
        <f t="shared" si="2"/>
        <v>3.2178715611640668E-3</v>
      </c>
      <c r="U41" s="13">
        <f t="shared" si="2"/>
        <v>-1.2991232501554303E-2</v>
      </c>
      <c r="V41" s="13">
        <f t="shared" si="2"/>
        <v>4.0745756457185459E-3</v>
      </c>
      <c r="W41" s="13"/>
      <c r="X41" s="52"/>
      <c r="Y41" s="13" t="str">
        <f t="shared" si="3"/>
        <v/>
      </c>
      <c r="Z41" s="13" t="str">
        <f t="shared" si="4"/>
        <v/>
      </c>
      <c r="AA41" s="13" t="str">
        <f t="shared" si="5"/>
        <v/>
      </c>
      <c r="AB41" s="13">
        <f t="shared" si="6"/>
        <v>-1.9567402768702058E-3</v>
      </c>
      <c r="AC41" s="13" t="str">
        <f t="shared" si="7"/>
        <v/>
      </c>
      <c r="AD41" s="52"/>
      <c r="AL41" s="38"/>
    </row>
    <row r="42" spans="1:38" x14ac:dyDescent="0.2">
      <c r="A42" s="43">
        <v>45211</v>
      </c>
      <c r="B42" s="19">
        <v>179.790009</v>
      </c>
      <c r="C42" s="19">
        <v>51.576866000000003</v>
      </c>
      <c r="D42" s="19">
        <v>143.282028</v>
      </c>
      <c r="E42" s="19">
        <v>13.782069999999999</v>
      </c>
      <c r="F42" s="44">
        <v>4349.6099999999997</v>
      </c>
      <c r="G42" s="45">
        <v>5.3800000000000001E-2</v>
      </c>
      <c r="H42" s="37">
        <f t="shared" si="0"/>
        <v>2.0963268503315646E-4</v>
      </c>
      <c r="J42" s="6">
        <f t="shared" si="11"/>
        <v>5.0484914715231101E-3</v>
      </c>
      <c r="K42" s="6">
        <f t="shared" si="11"/>
        <v>-1.6898605731409447E-2</v>
      </c>
      <c r="L42" s="6">
        <f t="shared" si="11"/>
        <v>-2.3292037153074849E-3</v>
      </c>
      <c r="M42" s="6">
        <f t="shared" si="11"/>
        <v>-2.1903648579655197E-2</v>
      </c>
      <c r="N42" s="6">
        <f t="shared" si="11"/>
        <v>-6.2659488852716012E-3</v>
      </c>
      <c r="O42" s="6">
        <f t="shared" si="1"/>
        <v>1.8127918534072056E-3</v>
      </c>
      <c r="Q42" s="6"/>
      <c r="R42" s="13">
        <f t="shared" si="2"/>
        <v>4.8388587864899536E-3</v>
      </c>
      <c r="S42" s="13">
        <f t="shared" si="2"/>
        <v>-1.7108238416442604E-2</v>
      </c>
      <c r="T42" s="13">
        <f t="shared" si="2"/>
        <v>-2.5388364003406413E-3</v>
      </c>
      <c r="U42" s="13">
        <f t="shared" si="2"/>
        <v>-2.2113281264688353E-2</v>
      </c>
      <c r="V42" s="13">
        <f t="shared" si="2"/>
        <v>-6.4755815703047576E-3</v>
      </c>
      <c r="W42" s="13"/>
      <c r="X42" s="52"/>
      <c r="Y42" s="13" t="str">
        <f t="shared" si="3"/>
        <v/>
      </c>
      <c r="Z42" s="13">
        <f t="shared" si="4"/>
        <v>-1.8711397584816655E-2</v>
      </c>
      <c r="AA42" s="13">
        <f t="shared" si="5"/>
        <v>-4.1419955687146907E-3</v>
      </c>
      <c r="AB42" s="13">
        <f t="shared" si="6"/>
        <v>-2.3716440433062404E-2</v>
      </c>
      <c r="AC42" s="13">
        <f t="shared" si="7"/>
        <v>-8.0787407386788065E-3</v>
      </c>
      <c r="AD42" s="52"/>
      <c r="AL42" s="38"/>
    </row>
    <row r="43" spans="1:38" x14ac:dyDescent="0.2">
      <c r="A43" s="43">
        <v>45212</v>
      </c>
      <c r="B43" s="19">
        <v>177.93946800000001</v>
      </c>
      <c r="C43" s="19">
        <v>51.654995</v>
      </c>
      <c r="D43" s="19">
        <v>145.43408199999999</v>
      </c>
      <c r="E43" s="19">
        <v>13.696229000000001</v>
      </c>
      <c r="F43" s="44">
        <v>4327.78</v>
      </c>
      <c r="G43" s="45">
        <v>5.4299999999999994E-2</v>
      </c>
      <c r="H43" s="37">
        <f t="shared" si="0"/>
        <v>2.1153052783073889E-4</v>
      </c>
      <c r="J43" s="6">
        <f t="shared" si="11"/>
        <v>-1.0346128156285038E-2</v>
      </c>
      <c r="K43" s="6">
        <f t="shared" si="11"/>
        <v>1.5136608826072475E-3</v>
      </c>
      <c r="L43" s="6">
        <f t="shared" si="11"/>
        <v>1.490802752612275E-2</v>
      </c>
      <c r="M43" s="6">
        <f t="shared" si="11"/>
        <v>-6.2479325408984904E-3</v>
      </c>
      <c r="N43" s="6">
        <f t="shared" si="11"/>
        <v>-5.0314774496886677E-3</v>
      </c>
      <c r="O43" s="6">
        <f t="shared" si="1"/>
        <v>9.0124473624263561E-3</v>
      </c>
      <c r="Q43" s="6"/>
      <c r="R43" s="13">
        <f t="shared" si="2"/>
        <v>-1.0557658684115777E-2</v>
      </c>
      <c r="S43" s="13">
        <f t="shared" si="2"/>
        <v>1.3021303547765086E-3</v>
      </c>
      <c r="T43" s="13">
        <f t="shared" si="2"/>
        <v>1.4696496998292011E-2</v>
      </c>
      <c r="U43" s="13">
        <f t="shared" si="2"/>
        <v>-6.4594630687292293E-3</v>
      </c>
      <c r="V43" s="13">
        <f t="shared" si="2"/>
        <v>-5.2430079775194066E-3</v>
      </c>
      <c r="W43" s="13"/>
      <c r="X43" s="52"/>
      <c r="Y43" s="13">
        <f t="shared" si="3"/>
        <v>-1.9358575518711396E-2</v>
      </c>
      <c r="Z43" s="13">
        <f t="shared" si="4"/>
        <v>-7.4987864798191084E-3</v>
      </c>
      <c r="AA43" s="13" t="str">
        <f t="shared" si="5"/>
        <v/>
      </c>
      <c r="AB43" s="13">
        <f t="shared" si="6"/>
        <v>-1.5260379903324846E-2</v>
      </c>
      <c r="AC43" s="13">
        <f t="shared" si="7"/>
        <v>-1.4043924812115024E-2</v>
      </c>
      <c r="AD43" s="52"/>
      <c r="AL43" s="38"/>
    </row>
    <row r="44" spans="1:38" x14ac:dyDescent="0.2">
      <c r="A44" s="43">
        <v>45215</v>
      </c>
      <c r="B44" s="19">
        <v>177.810135</v>
      </c>
      <c r="C44" s="19">
        <v>52.182383999999999</v>
      </c>
      <c r="D44" s="19">
        <v>145.28668200000001</v>
      </c>
      <c r="E44" s="19">
        <v>13.743919</v>
      </c>
      <c r="F44" s="44">
        <v>4373.63</v>
      </c>
      <c r="G44" s="45">
        <v>5.4100000000000002E-2</v>
      </c>
      <c r="H44" s="37">
        <f t="shared" si="0"/>
        <v>2.107714983077269E-4</v>
      </c>
      <c r="J44" s="6">
        <f t="shared" si="11"/>
        <v>-7.2710133536225421E-4</v>
      </c>
      <c r="K44" s="6">
        <f t="shared" si="11"/>
        <v>1.0158067162630343E-2</v>
      </c>
      <c r="L44" s="6">
        <f t="shared" si="11"/>
        <v>-1.0140315442376808E-3</v>
      </c>
      <c r="M44" s="6">
        <f t="shared" si="11"/>
        <v>3.47593227385585E-3</v>
      </c>
      <c r="N44" s="6">
        <f t="shared" si="11"/>
        <v>1.0538619453747615E-2</v>
      </c>
      <c r="O44" s="6">
        <f t="shared" si="1"/>
        <v>-3.5947274385814774E-3</v>
      </c>
      <c r="Q44" s="6"/>
      <c r="R44" s="13">
        <f t="shared" si="2"/>
        <v>-9.3787283366998111E-4</v>
      </c>
      <c r="S44" s="13">
        <f t="shared" si="2"/>
        <v>9.9472956643226161E-3</v>
      </c>
      <c r="T44" s="13">
        <f t="shared" si="2"/>
        <v>-1.2248030425454077E-3</v>
      </c>
      <c r="U44" s="13">
        <f t="shared" si="2"/>
        <v>3.2651607755481231E-3</v>
      </c>
      <c r="V44" s="13">
        <f t="shared" si="2"/>
        <v>1.0327847955439888E-2</v>
      </c>
      <c r="W44" s="13"/>
      <c r="X44" s="52"/>
      <c r="Y44" s="13" t="str">
        <f t="shared" si="3"/>
        <v/>
      </c>
      <c r="Z44" s="13" t="str">
        <f t="shared" si="4"/>
        <v/>
      </c>
      <c r="AA44" s="13" t="str">
        <f t="shared" si="5"/>
        <v/>
      </c>
      <c r="AB44" s="13" t="str">
        <f t="shared" si="6"/>
        <v/>
      </c>
      <c r="AC44" s="13" t="str">
        <f t="shared" si="7"/>
        <v/>
      </c>
      <c r="AD44" s="52"/>
      <c r="AL44" s="38"/>
    </row>
    <row r="45" spans="1:38" x14ac:dyDescent="0.2">
      <c r="A45" s="43">
        <v>45216</v>
      </c>
      <c r="B45" s="19">
        <v>176.248108</v>
      </c>
      <c r="C45" s="19">
        <v>52.807445999999999</v>
      </c>
      <c r="D45" s="19">
        <v>144.97221400000001</v>
      </c>
      <c r="E45" s="19">
        <v>13.906060999999999</v>
      </c>
      <c r="F45" s="44">
        <v>4373.2</v>
      </c>
      <c r="G45" s="45">
        <v>5.4199999999999998E-2</v>
      </c>
      <c r="H45" s="37">
        <f t="shared" si="0"/>
        <v>2.1115103099722532E-4</v>
      </c>
      <c r="J45" s="6">
        <f t="shared" si="11"/>
        <v>-8.8236168219693739E-3</v>
      </c>
      <c r="K45" s="6">
        <f t="shared" si="11"/>
        <v>1.1907236828734701E-2</v>
      </c>
      <c r="L45" s="6">
        <f t="shared" si="11"/>
        <v>-2.1668112665697982E-3</v>
      </c>
      <c r="M45" s="6">
        <f t="shared" si="11"/>
        <v>1.1728316519177792E-2</v>
      </c>
      <c r="N45" s="6">
        <f t="shared" si="11"/>
        <v>-9.8321334779938874E-5</v>
      </c>
      <c r="O45" s="6">
        <f t="shared" si="1"/>
        <v>1.799063882608539E-3</v>
      </c>
      <c r="Q45" s="6"/>
      <c r="R45" s="13">
        <f t="shared" si="2"/>
        <v>-9.0347678529665992E-3</v>
      </c>
      <c r="S45" s="13">
        <f t="shared" si="2"/>
        <v>1.1696085797737475E-2</v>
      </c>
      <c r="T45" s="13">
        <f t="shared" si="2"/>
        <v>-2.3779622975670235E-3</v>
      </c>
      <c r="U45" s="13">
        <f t="shared" si="2"/>
        <v>1.1517165488180566E-2</v>
      </c>
      <c r="V45" s="13">
        <f t="shared" si="2"/>
        <v>-3.0947236577716418E-4</v>
      </c>
      <c r="W45" s="13"/>
      <c r="X45" s="52"/>
      <c r="Y45" s="13">
        <f t="shared" si="3"/>
        <v>-1.0622680704577912E-2</v>
      </c>
      <c r="Z45" s="13" t="str">
        <f t="shared" si="4"/>
        <v/>
      </c>
      <c r="AA45" s="13">
        <f t="shared" si="5"/>
        <v>-3.965875149178337E-3</v>
      </c>
      <c r="AB45" s="13" t="str">
        <f t="shared" si="6"/>
        <v/>
      </c>
      <c r="AC45" s="13">
        <f t="shared" si="7"/>
        <v>-1.897385217388478E-3</v>
      </c>
      <c r="AD45" s="52"/>
      <c r="AL45" s="38"/>
    </row>
    <row r="46" spans="1:38" x14ac:dyDescent="0.2">
      <c r="A46" s="43">
        <v>45217</v>
      </c>
      <c r="B46" s="19">
        <v>174.94477800000001</v>
      </c>
      <c r="C46" s="19">
        <v>52.787909999999997</v>
      </c>
      <c r="D46" s="19">
        <v>143.380325</v>
      </c>
      <c r="E46" s="19">
        <v>13.658078</v>
      </c>
      <c r="F46" s="44">
        <v>4314.6000000000004</v>
      </c>
      <c r="G46" s="45">
        <v>5.4800000000000001E-2</v>
      </c>
      <c r="H46" s="37">
        <f t="shared" si="0"/>
        <v>2.1342747439123677E-4</v>
      </c>
      <c r="J46" s="6">
        <f t="shared" si="11"/>
        <v>-7.4223370429170512E-3</v>
      </c>
      <c r="K46" s="6">
        <f t="shared" si="11"/>
        <v>-3.7001627652822851E-4</v>
      </c>
      <c r="L46" s="6">
        <f t="shared" si="11"/>
        <v>-1.1041381345434621E-2</v>
      </c>
      <c r="M46" s="6">
        <f t="shared" si="11"/>
        <v>-1.7993646801684915E-2</v>
      </c>
      <c r="N46" s="6">
        <f t="shared" si="11"/>
        <v>-1.349038622382619E-2</v>
      </c>
      <c r="O46" s="6">
        <f t="shared" si="1"/>
        <v>1.0723412416764824E-2</v>
      </c>
      <c r="Q46" s="6"/>
      <c r="R46" s="13">
        <f t="shared" si="2"/>
        <v>-7.635764517308288E-3</v>
      </c>
      <c r="S46" s="13">
        <f t="shared" si="2"/>
        <v>-5.8344375091946528E-4</v>
      </c>
      <c r="T46" s="13">
        <f t="shared" si="2"/>
        <v>-1.1254808819825858E-2</v>
      </c>
      <c r="U46" s="13">
        <f t="shared" si="2"/>
        <v>-1.8207074276076152E-2</v>
      </c>
      <c r="V46" s="13">
        <f t="shared" si="2"/>
        <v>-1.3703813698217427E-2</v>
      </c>
      <c r="W46" s="13"/>
      <c r="X46" s="52"/>
      <c r="Y46" s="13">
        <f t="shared" si="3"/>
        <v>-1.8145749459681875E-2</v>
      </c>
      <c r="Z46" s="13">
        <f t="shared" si="4"/>
        <v>-1.1093428693293052E-2</v>
      </c>
      <c r="AA46" s="13">
        <f t="shared" si="5"/>
        <v>-2.1764793762199447E-2</v>
      </c>
      <c r="AB46" s="13">
        <f t="shared" si="6"/>
        <v>-2.8717059218449741E-2</v>
      </c>
      <c r="AC46" s="13">
        <f t="shared" si="7"/>
        <v>-2.4213798640591012E-2</v>
      </c>
      <c r="AD46" s="52"/>
      <c r="AL46" s="38"/>
    </row>
    <row r="47" spans="1:38" x14ac:dyDescent="0.2">
      <c r="A47" s="43">
        <v>45218</v>
      </c>
      <c r="B47" s="19">
        <v>174.566742</v>
      </c>
      <c r="C47" s="19">
        <v>53.080902000000002</v>
      </c>
      <c r="D47" s="19">
        <v>142.77105700000001</v>
      </c>
      <c r="E47" s="19">
        <v>14.554627999999999</v>
      </c>
      <c r="F47" s="44">
        <v>4278</v>
      </c>
      <c r="G47" s="45">
        <v>5.4699999999999999E-2</v>
      </c>
      <c r="H47" s="37">
        <f t="shared" si="0"/>
        <v>2.1304815673750532E-4</v>
      </c>
      <c r="J47" s="6">
        <f t="shared" si="11"/>
        <v>-2.1632256780532658E-3</v>
      </c>
      <c r="K47" s="6">
        <f t="shared" si="11"/>
        <v>5.5350153172178456E-3</v>
      </c>
      <c r="L47" s="6">
        <f t="shared" si="11"/>
        <v>-4.2583678361532767E-3</v>
      </c>
      <c r="M47" s="6">
        <f t="shared" si="11"/>
        <v>6.3577877182322051E-2</v>
      </c>
      <c r="N47" s="6">
        <f t="shared" si="11"/>
        <v>-8.5190096941524674E-3</v>
      </c>
      <c r="O47" s="6">
        <f t="shared" si="1"/>
        <v>-1.7788484315057955E-3</v>
      </c>
      <c r="Q47" s="6"/>
      <c r="R47" s="13">
        <f t="shared" si="2"/>
        <v>-2.3762738347907712E-3</v>
      </c>
      <c r="S47" s="13">
        <f t="shared" si="2"/>
        <v>5.3219671604803403E-3</v>
      </c>
      <c r="T47" s="13">
        <f t="shared" si="2"/>
        <v>-4.471415992890782E-3</v>
      </c>
      <c r="U47" s="13">
        <f t="shared" si="2"/>
        <v>6.3364829025584546E-2</v>
      </c>
      <c r="V47" s="13">
        <f t="shared" si="2"/>
        <v>-8.7320578508899727E-3</v>
      </c>
      <c r="W47" s="13"/>
      <c r="X47" s="52"/>
      <c r="Y47" s="13">
        <f t="shared" si="3"/>
        <v>-3.8437724654747036E-4</v>
      </c>
      <c r="Z47" s="13" t="str">
        <f t="shared" si="4"/>
        <v/>
      </c>
      <c r="AA47" s="13">
        <f t="shared" si="5"/>
        <v>-2.4795194046474812E-3</v>
      </c>
      <c r="AB47" s="13" t="str">
        <f t="shared" si="6"/>
        <v/>
      </c>
      <c r="AC47" s="13">
        <f t="shared" si="7"/>
        <v>-6.7401612626466715E-3</v>
      </c>
      <c r="AD47" s="52"/>
      <c r="AL47" s="38"/>
    </row>
    <row r="48" spans="1:38" x14ac:dyDescent="0.2">
      <c r="A48" s="43">
        <v>45219</v>
      </c>
      <c r="B48" s="19">
        <v>171.999863</v>
      </c>
      <c r="C48" s="19">
        <v>53.295769</v>
      </c>
      <c r="D48" s="19">
        <v>140.47163399999999</v>
      </c>
      <c r="E48" s="19">
        <v>14.669083000000001</v>
      </c>
      <c r="F48" s="44">
        <v>4224.16</v>
      </c>
      <c r="G48" s="45">
        <v>5.4400000000000004E-2</v>
      </c>
      <c r="H48" s="37">
        <f t="shared" si="0"/>
        <v>2.1190998881470691E-4</v>
      </c>
      <c r="J48" s="6">
        <f t="shared" si="11"/>
        <v>-1.48134638605088E-2</v>
      </c>
      <c r="K48" s="6">
        <f t="shared" si="11"/>
        <v>4.0397446205238134E-3</v>
      </c>
      <c r="L48" s="6">
        <f t="shared" si="11"/>
        <v>-1.623677213768495E-2</v>
      </c>
      <c r="M48" s="6">
        <f t="shared" si="11"/>
        <v>7.8330630368045693E-3</v>
      </c>
      <c r="N48" s="6">
        <f t="shared" si="11"/>
        <v>-1.2665186185757991E-2</v>
      </c>
      <c r="O48" s="6">
        <f t="shared" si="1"/>
        <v>-5.3566246756515997E-3</v>
      </c>
      <c r="Q48" s="6"/>
      <c r="R48" s="13">
        <f t="shared" si="2"/>
        <v>-1.5025373849323507E-2</v>
      </c>
      <c r="S48" s="13">
        <f t="shared" si="2"/>
        <v>3.8278346317091065E-3</v>
      </c>
      <c r="T48" s="13">
        <f t="shared" si="2"/>
        <v>-1.6448682126499657E-2</v>
      </c>
      <c r="U48" s="13">
        <f t="shared" si="2"/>
        <v>7.6211530479898624E-3</v>
      </c>
      <c r="V48" s="13">
        <f t="shared" si="2"/>
        <v>-1.2877096174572698E-2</v>
      </c>
      <c r="W48" s="13"/>
      <c r="X48" s="52"/>
      <c r="Y48" s="13">
        <f t="shared" si="3"/>
        <v>-9.4568391848572006E-3</v>
      </c>
      <c r="Z48" s="13" t="str">
        <f t="shared" si="4"/>
        <v/>
      </c>
      <c r="AA48" s="13">
        <f t="shared" si="5"/>
        <v>-1.0880147462033351E-2</v>
      </c>
      <c r="AB48" s="13" t="str">
        <f t="shared" si="6"/>
        <v/>
      </c>
      <c r="AC48" s="13">
        <f t="shared" si="7"/>
        <v>-7.308561510106391E-3</v>
      </c>
      <c r="AD48" s="52"/>
      <c r="AL48" s="38"/>
    </row>
    <row r="49" spans="1:38" x14ac:dyDescent="0.2">
      <c r="A49" s="43">
        <v>45222</v>
      </c>
      <c r="B49" s="19">
        <v>172.119247</v>
      </c>
      <c r="C49" s="19">
        <v>52.817211</v>
      </c>
      <c r="D49" s="19">
        <v>138.55543499999999</v>
      </c>
      <c r="E49" s="19">
        <v>14.258959000000001</v>
      </c>
      <c r="F49" s="44">
        <v>4217.04</v>
      </c>
      <c r="G49" s="45">
        <v>5.4100000000000002E-2</v>
      </c>
      <c r="H49" s="37">
        <f t="shared" si="0"/>
        <v>2.107714983077269E-4</v>
      </c>
      <c r="J49" s="6">
        <f t="shared" si="11"/>
        <v>6.9385280456884656E-4</v>
      </c>
      <c r="K49" s="6">
        <f t="shared" si="11"/>
        <v>-9.01984365197008E-3</v>
      </c>
      <c r="L49" s="6">
        <f t="shared" si="11"/>
        <v>-1.3735076896956099E-2</v>
      </c>
      <c r="M49" s="6">
        <f t="shared" si="11"/>
        <v>-2.8356670761467306E-2</v>
      </c>
      <c r="N49" s="6">
        <f t="shared" si="11"/>
        <v>-1.6869643388467898E-3</v>
      </c>
      <c r="O49" s="6">
        <f t="shared" si="1"/>
        <v>-5.3870031922159129E-3</v>
      </c>
      <c r="Q49" s="6"/>
      <c r="R49" s="13">
        <f t="shared" si="2"/>
        <v>4.8308130626111966E-4</v>
      </c>
      <c r="S49" s="13">
        <f t="shared" si="2"/>
        <v>-9.2306151502778069E-3</v>
      </c>
      <c r="T49" s="13">
        <f t="shared" si="2"/>
        <v>-1.3945848395263825E-2</v>
      </c>
      <c r="U49" s="13">
        <f t="shared" si="2"/>
        <v>-2.8567442259775033E-2</v>
      </c>
      <c r="V49" s="13">
        <f t="shared" si="2"/>
        <v>-1.8977358371545167E-3</v>
      </c>
      <c r="W49" s="13"/>
      <c r="X49" s="52"/>
      <c r="Y49" s="13" t="str">
        <f t="shared" si="3"/>
        <v/>
      </c>
      <c r="Z49" s="13">
        <f t="shared" si="4"/>
        <v>-3.6328404597541671E-3</v>
      </c>
      <c r="AA49" s="13">
        <f t="shared" si="5"/>
        <v>-8.3480737047401856E-3</v>
      </c>
      <c r="AB49" s="13">
        <f t="shared" si="6"/>
        <v>-2.2969667569251395E-2</v>
      </c>
      <c r="AC49" s="13" t="str">
        <f t="shared" si="7"/>
        <v/>
      </c>
      <c r="AD49" s="52"/>
      <c r="AL49" s="38"/>
    </row>
    <row r="50" spans="1:38" x14ac:dyDescent="0.2">
      <c r="A50" s="43">
        <v>45223</v>
      </c>
      <c r="B50" s="19">
        <v>172.55702199999999</v>
      </c>
      <c r="C50" s="19">
        <v>54.340781999999997</v>
      </c>
      <c r="D50" s="19">
        <v>138.722488</v>
      </c>
      <c r="E50" s="19">
        <v>14.812148000000001</v>
      </c>
      <c r="F50" s="44">
        <v>4247.68</v>
      </c>
      <c r="G50" s="45">
        <v>5.4199999999999998E-2</v>
      </c>
      <c r="H50" s="37">
        <f t="shared" si="0"/>
        <v>2.1115103099722532E-4</v>
      </c>
      <c r="J50" s="6">
        <f t="shared" si="11"/>
        <v>2.5402110604923374E-3</v>
      </c>
      <c r="K50" s="6">
        <f t="shared" si="11"/>
        <v>2.8437891260977562E-2</v>
      </c>
      <c r="L50" s="6">
        <f t="shared" si="11"/>
        <v>1.2049500256252955E-3</v>
      </c>
      <c r="M50" s="6">
        <f t="shared" si="11"/>
        <v>3.8062243981015008E-2</v>
      </c>
      <c r="N50" s="6">
        <f t="shared" si="11"/>
        <v>7.2394913997594025E-3</v>
      </c>
      <c r="O50" s="6">
        <f t="shared" si="1"/>
        <v>1.799063882608539E-3</v>
      </c>
      <c r="Q50" s="6"/>
      <c r="R50" s="13">
        <f t="shared" si="2"/>
        <v>2.3290600294951121E-3</v>
      </c>
      <c r="S50" s="13">
        <f t="shared" si="2"/>
        <v>2.8226740229980337E-2</v>
      </c>
      <c r="T50" s="13">
        <f t="shared" si="2"/>
        <v>9.9379899462807017E-4</v>
      </c>
      <c r="U50" s="13">
        <f t="shared" si="2"/>
        <v>3.7851092950017783E-2</v>
      </c>
      <c r="V50" s="13">
        <f t="shared" si="2"/>
        <v>7.0283403687621772E-3</v>
      </c>
      <c r="W50" s="13"/>
      <c r="X50" s="52"/>
      <c r="Y50" s="13" t="str">
        <f t="shared" si="3"/>
        <v/>
      </c>
      <c r="Z50" s="13" t="str">
        <f t="shared" si="4"/>
        <v/>
      </c>
      <c r="AA50" s="13">
        <f t="shared" si="5"/>
        <v>-5.9411385698324355E-4</v>
      </c>
      <c r="AB50" s="13" t="str">
        <f t="shared" si="6"/>
        <v/>
      </c>
      <c r="AC50" s="13" t="str">
        <f t="shared" si="7"/>
        <v/>
      </c>
      <c r="AD50" s="52"/>
      <c r="AL50" s="38"/>
    </row>
    <row r="51" spans="1:38" x14ac:dyDescent="0.2">
      <c r="A51" s="43">
        <v>45224</v>
      </c>
      <c r="B51" s="19">
        <v>170.228928</v>
      </c>
      <c r="C51" s="19">
        <v>54.809573999999998</v>
      </c>
      <c r="D51" s="19">
        <v>137.96582000000001</v>
      </c>
      <c r="E51" s="19">
        <v>14.487864</v>
      </c>
      <c r="F51" s="44">
        <v>4186.7700000000004</v>
      </c>
      <c r="G51" s="45">
        <v>5.4100000000000002E-2</v>
      </c>
      <c r="H51" s="37">
        <f t="shared" si="0"/>
        <v>2.107714983077269E-4</v>
      </c>
      <c r="J51" s="6">
        <f t="shared" si="11"/>
        <v>-1.3583577722310494E-2</v>
      </c>
      <c r="K51" s="6">
        <f t="shared" si="11"/>
        <v>8.5898919565569297E-3</v>
      </c>
      <c r="L51" s="6">
        <f t="shared" si="11"/>
        <v>-5.4694749611117069E-3</v>
      </c>
      <c r="M51" s="6">
        <f t="shared" si="11"/>
        <v>-2.2136321441816844E-2</v>
      </c>
      <c r="N51" s="6">
        <f t="shared" si="11"/>
        <v>-1.4443397939346892E-2</v>
      </c>
      <c r="O51" s="6">
        <f t="shared" si="1"/>
        <v>-1.7990638826084831E-3</v>
      </c>
      <c r="Q51" s="6"/>
      <c r="R51" s="13">
        <f t="shared" si="2"/>
        <v>-1.3794349220618221E-2</v>
      </c>
      <c r="S51" s="13">
        <f t="shared" si="2"/>
        <v>8.3791204582492028E-3</v>
      </c>
      <c r="T51" s="13">
        <f t="shared" si="2"/>
        <v>-5.6802464594194338E-3</v>
      </c>
      <c r="U51" s="13">
        <f t="shared" si="2"/>
        <v>-2.2347092940124571E-2</v>
      </c>
      <c r="V51" s="13">
        <f t="shared" si="2"/>
        <v>-1.4654169437654619E-2</v>
      </c>
      <c r="W51" s="13"/>
      <c r="X51" s="52"/>
      <c r="Y51" s="13">
        <f t="shared" si="3"/>
        <v>-1.1784513839702011E-2</v>
      </c>
      <c r="Z51" s="13" t="str">
        <f t="shared" si="4"/>
        <v/>
      </c>
      <c r="AA51" s="13">
        <f t="shared" si="5"/>
        <v>-3.670411078503224E-3</v>
      </c>
      <c r="AB51" s="13">
        <f t="shared" si="6"/>
        <v>-2.0337257559208361E-2</v>
      </c>
      <c r="AC51" s="13">
        <f t="shared" si="7"/>
        <v>-1.2644334056738409E-2</v>
      </c>
      <c r="AD51" s="52"/>
      <c r="AL51" s="38"/>
    </row>
    <row r="52" spans="1:38" x14ac:dyDescent="0.2">
      <c r="A52" s="43">
        <v>45225</v>
      </c>
      <c r="B52" s="19">
        <v>166.04037500000001</v>
      </c>
      <c r="C52" s="19">
        <v>54.477511999999997</v>
      </c>
      <c r="D52" s="19">
        <v>138.31959499999999</v>
      </c>
      <c r="E52" s="19">
        <v>14.421099999999999</v>
      </c>
      <c r="F52" s="44">
        <v>4137.2299999999996</v>
      </c>
      <c r="G52" s="45">
        <v>5.4299999999999994E-2</v>
      </c>
      <c r="H52" s="37">
        <f t="shared" si="0"/>
        <v>2.1153052783073889E-4</v>
      </c>
      <c r="J52" s="6">
        <f t="shared" si="11"/>
        <v>-2.4913184770041188E-2</v>
      </c>
      <c r="K52" s="6">
        <f t="shared" si="11"/>
        <v>-6.0768940601561034E-3</v>
      </c>
      <c r="L52" s="6">
        <f t="shared" si="11"/>
        <v>2.5609400579485304E-3</v>
      </c>
      <c r="M52" s="6">
        <f t="shared" si="11"/>
        <v>-4.6189215703234801E-3</v>
      </c>
      <c r="N52" s="6">
        <f t="shared" si="11"/>
        <v>-1.1903071819740901E-2</v>
      </c>
      <c r="O52" s="6">
        <f t="shared" si="1"/>
        <v>3.5947274385814149E-3</v>
      </c>
      <c r="Q52" s="6"/>
      <c r="R52" s="13">
        <f t="shared" si="2"/>
        <v>-2.5124715297871927E-2</v>
      </c>
      <c r="S52" s="13">
        <f t="shared" si="2"/>
        <v>-6.2884245879868423E-3</v>
      </c>
      <c r="T52" s="13">
        <f t="shared" si="2"/>
        <v>2.3494095301177915E-3</v>
      </c>
      <c r="U52" s="13">
        <f t="shared" si="2"/>
        <v>-4.830452098154219E-3</v>
      </c>
      <c r="V52" s="13">
        <f t="shared" si="2"/>
        <v>-1.211460234757164E-2</v>
      </c>
      <c r="W52" s="13"/>
      <c r="X52" s="52"/>
      <c r="Y52" s="13">
        <f t="shared" si="3"/>
        <v>-2.8507912208622602E-2</v>
      </c>
      <c r="Z52" s="13">
        <f t="shared" si="4"/>
        <v>-9.6716214987375183E-3</v>
      </c>
      <c r="AA52" s="13">
        <f t="shared" si="5"/>
        <v>-1.0337873806328846E-3</v>
      </c>
      <c r="AB52" s="13">
        <f t="shared" si="6"/>
        <v>-8.2136490089048941E-3</v>
      </c>
      <c r="AC52" s="13">
        <f t="shared" si="7"/>
        <v>-1.5497799258322316E-2</v>
      </c>
      <c r="AD52" s="52"/>
      <c r="AL52" s="38"/>
    </row>
    <row r="53" spans="1:38" x14ac:dyDescent="0.2">
      <c r="A53" s="43">
        <v>45226</v>
      </c>
      <c r="B53" s="19">
        <v>167.363586</v>
      </c>
      <c r="C53" s="19">
        <v>53.950127000000002</v>
      </c>
      <c r="D53" s="19">
        <v>133.33750900000001</v>
      </c>
      <c r="E53" s="19">
        <v>14.134968000000001</v>
      </c>
      <c r="F53" s="44">
        <v>4117.37</v>
      </c>
      <c r="G53" s="45">
        <v>5.3899999999999997E-2</v>
      </c>
      <c r="H53" s="37">
        <f t="shared" si="0"/>
        <v>2.1001232533235381E-4</v>
      </c>
      <c r="J53" s="6">
        <f t="shared" si="11"/>
        <v>7.9376258370334254E-3</v>
      </c>
      <c r="K53" s="6">
        <f t="shared" si="11"/>
        <v>-9.7279469304567372E-3</v>
      </c>
      <c r="L53" s="6">
        <f t="shared" si="11"/>
        <v>-3.6683337928199083E-2</v>
      </c>
      <c r="M53" s="6">
        <f t="shared" si="11"/>
        <v>-2.0040684628752883E-2</v>
      </c>
      <c r="N53" s="6">
        <f t="shared" si="11"/>
        <v>-4.811871761208667E-3</v>
      </c>
      <c r="O53" s="6">
        <f t="shared" si="1"/>
        <v>-7.2031066416293607E-3</v>
      </c>
      <c r="Q53" s="6"/>
      <c r="R53" s="13">
        <f t="shared" si="2"/>
        <v>7.7276135117010716E-3</v>
      </c>
      <c r="S53" s="13">
        <f t="shared" si="2"/>
        <v>-9.937959255789091E-3</v>
      </c>
      <c r="T53" s="13">
        <f t="shared" si="2"/>
        <v>-3.6893350253531437E-2</v>
      </c>
      <c r="U53" s="13">
        <f t="shared" si="2"/>
        <v>-2.0250696954085236E-2</v>
      </c>
      <c r="V53" s="13">
        <f t="shared" si="2"/>
        <v>-5.0218840865410208E-3</v>
      </c>
      <c r="W53" s="13"/>
      <c r="X53" s="52"/>
      <c r="Y53" s="13" t="str">
        <f t="shared" si="3"/>
        <v/>
      </c>
      <c r="Z53" s="13">
        <f t="shared" si="4"/>
        <v>-2.5248402888273765E-3</v>
      </c>
      <c r="AA53" s="13">
        <f t="shared" si="5"/>
        <v>-2.9480231286569722E-2</v>
      </c>
      <c r="AB53" s="13">
        <f t="shared" si="6"/>
        <v>-1.2837577987123521E-2</v>
      </c>
      <c r="AC53" s="13" t="str">
        <f t="shared" si="7"/>
        <v/>
      </c>
      <c r="AD53" s="52"/>
      <c r="AL53" s="38"/>
    </row>
    <row r="54" spans="1:38" x14ac:dyDescent="0.2">
      <c r="A54" s="43">
        <v>45229</v>
      </c>
      <c r="B54" s="19">
        <v>169.423035</v>
      </c>
      <c r="C54" s="19">
        <v>54.838875000000002</v>
      </c>
      <c r="D54" s="19">
        <v>135.03750600000001</v>
      </c>
      <c r="E54" s="19">
        <v>14.554627999999999</v>
      </c>
      <c r="F54" s="44">
        <v>4166.82</v>
      </c>
      <c r="G54" s="45">
        <v>5.3899999999999997E-2</v>
      </c>
      <c r="H54" s="37">
        <f t="shared" si="0"/>
        <v>2.1001232533235381E-4</v>
      </c>
      <c r="J54" s="6">
        <f t="shared" si="11"/>
        <v>1.2230145391432332E-2</v>
      </c>
      <c r="K54" s="6">
        <f t="shared" si="11"/>
        <v>1.6339294527615768E-2</v>
      </c>
      <c r="L54" s="6">
        <f t="shared" si="11"/>
        <v>1.26689866257148E-2</v>
      </c>
      <c r="M54" s="6">
        <f t="shared" si="11"/>
        <v>2.9257291384540907E-2</v>
      </c>
      <c r="N54" s="6">
        <f t="shared" si="11"/>
        <v>1.1938544947970331E-2</v>
      </c>
      <c r="O54" s="6">
        <f t="shared" si="1"/>
        <v>0</v>
      </c>
      <c r="Q54" s="6"/>
      <c r="R54" s="13">
        <f t="shared" ref="R54:V104" si="12">+J54-$H54</f>
        <v>1.2020133066099978E-2</v>
      </c>
      <c r="S54" s="13">
        <f t="shared" si="12"/>
        <v>1.6129282202283414E-2</v>
      </c>
      <c r="T54" s="13">
        <f t="shared" si="12"/>
        <v>1.2458974300382446E-2</v>
      </c>
      <c r="U54" s="13">
        <f t="shared" si="12"/>
        <v>2.9047279059208553E-2</v>
      </c>
      <c r="V54" s="13">
        <f t="shared" si="12"/>
        <v>1.1728532622637977E-2</v>
      </c>
      <c r="W54" s="13"/>
      <c r="X54" s="52"/>
      <c r="Y54" s="13" t="str">
        <f t="shared" si="3"/>
        <v/>
      </c>
      <c r="Z54" s="13" t="str">
        <f t="shared" si="4"/>
        <v/>
      </c>
      <c r="AA54" s="13" t="str">
        <f t="shared" si="5"/>
        <v/>
      </c>
      <c r="AB54" s="13" t="str">
        <f t="shared" si="6"/>
        <v/>
      </c>
      <c r="AC54" s="13" t="str">
        <f t="shared" si="7"/>
        <v/>
      </c>
      <c r="AD54" s="52"/>
      <c r="AL54" s="38"/>
    </row>
    <row r="55" spans="1:38" x14ac:dyDescent="0.2">
      <c r="A55" s="43">
        <v>45230</v>
      </c>
      <c r="B55" s="19">
        <v>169.90060399999999</v>
      </c>
      <c r="C55" s="19">
        <v>55.170937000000002</v>
      </c>
      <c r="D55" s="19">
        <v>136.649078</v>
      </c>
      <c r="E55" s="19">
        <v>14.688157</v>
      </c>
      <c r="F55" s="44">
        <v>4193.8</v>
      </c>
      <c r="G55" s="45">
        <v>5.4100000000000002E-2</v>
      </c>
      <c r="H55" s="37">
        <f t="shared" si="0"/>
        <v>2.107714983077269E-4</v>
      </c>
      <c r="J55" s="6">
        <f t="shared" si="11"/>
        <v>2.8148308012558494E-3</v>
      </c>
      <c r="K55" s="6">
        <f t="shared" si="11"/>
        <v>6.0369707476601144E-3</v>
      </c>
      <c r="L55" s="6">
        <f t="shared" si="11"/>
        <v>1.1863603111821981E-2</v>
      </c>
      <c r="M55" s="6">
        <f t="shared" si="11"/>
        <v>9.1325041752728462E-3</v>
      </c>
      <c r="N55" s="6">
        <f t="shared" si="11"/>
        <v>6.4540892074659807E-3</v>
      </c>
      <c r="O55" s="6">
        <f t="shared" si="1"/>
        <v>3.6083792030479219E-3</v>
      </c>
      <c r="Q55" s="6"/>
      <c r="R55" s="13">
        <f t="shared" si="12"/>
        <v>2.6040593029481225E-3</v>
      </c>
      <c r="S55" s="13">
        <f t="shared" si="12"/>
        <v>5.8261992493523875E-3</v>
      </c>
      <c r="T55" s="13">
        <f t="shared" si="12"/>
        <v>1.1652831613514254E-2</v>
      </c>
      <c r="U55" s="13">
        <f t="shared" si="12"/>
        <v>8.9217326769651193E-3</v>
      </c>
      <c r="V55" s="13">
        <f t="shared" si="12"/>
        <v>6.2433177091582538E-3</v>
      </c>
      <c r="W55" s="13"/>
      <c r="X55" s="52"/>
      <c r="Y55" s="13">
        <f t="shared" si="3"/>
        <v>-7.9354840179207253E-4</v>
      </c>
      <c r="Z55" s="13" t="str">
        <f t="shared" si="4"/>
        <v/>
      </c>
      <c r="AA55" s="13" t="str">
        <f t="shared" si="5"/>
        <v/>
      </c>
      <c r="AB55" s="13" t="str">
        <f t="shared" si="6"/>
        <v/>
      </c>
      <c r="AC55" s="13" t="str">
        <f t="shared" si="7"/>
        <v/>
      </c>
      <c r="AD55" s="52"/>
      <c r="AL55" s="38"/>
    </row>
    <row r="56" spans="1:38" x14ac:dyDescent="0.2">
      <c r="A56" s="43">
        <v>45231</v>
      </c>
      <c r="B56" s="19">
        <v>173.08431999999999</v>
      </c>
      <c r="C56" s="19">
        <v>55.122101000000001</v>
      </c>
      <c r="D56" s="19">
        <v>136.531158</v>
      </c>
      <c r="E56" s="19">
        <v>14.859838</v>
      </c>
      <c r="F56" s="44">
        <v>4237.8599999999997</v>
      </c>
      <c r="G56" s="45">
        <v>5.4400000000000004E-2</v>
      </c>
      <c r="H56" s="37">
        <f t="shared" si="0"/>
        <v>2.1190998881470691E-4</v>
      </c>
      <c r="J56" s="6">
        <f t="shared" si="11"/>
        <v>1.8565290897534802E-2</v>
      </c>
      <c r="K56" s="6">
        <f t="shared" si="11"/>
        <v>-8.8556819319023528E-4</v>
      </c>
      <c r="L56" s="6">
        <f t="shared" si="11"/>
        <v>-8.6331287395108823E-4</v>
      </c>
      <c r="M56" s="6">
        <f t="shared" si="11"/>
        <v>1.1620614661695866E-2</v>
      </c>
      <c r="N56" s="6">
        <f t="shared" si="11"/>
        <v>1.0451180679737281E-2</v>
      </c>
      <c r="O56" s="6">
        <f t="shared" si="1"/>
        <v>5.3870031922159962E-3</v>
      </c>
      <c r="Q56" s="6"/>
      <c r="R56" s="13">
        <f t="shared" si="12"/>
        <v>1.8353380908720095E-2</v>
      </c>
      <c r="S56" s="13">
        <f t="shared" si="12"/>
        <v>-1.0974781820049422E-3</v>
      </c>
      <c r="T56" s="13">
        <f t="shared" si="12"/>
        <v>-1.0752228627657952E-3</v>
      </c>
      <c r="U56" s="13">
        <f t="shared" si="12"/>
        <v>1.1408704672881159E-2</v>
      </c>
      <c r="V56" s="13">
        <f t="shared" si="12"/>
        <v>1.0239270690922574E-2</v>
      </c>
      <c r="W56" s="13"/>
      <c r="X56" s="52"/>
      <c r="Y56" s="13" t="str">
        <f t="shared" si="3"/>
        <v/>
      </c>
      <c r="Z56" s="13">
        <f t="shared" si="4"/>
        <v>-6.2725713854062315E-3</v>
      </c>
      <c r="AA56" s="13">
        <f t="shared" si="5"/>
        <v>-6.2503160661670845E-3</v>
      </c>
      <c r="AB56" s="13" t="str">
        <f t="shared" si="6"/>
        <v/>
      </c>
      <c r="AC56" s="13" t="str">
        <f t="shared" si="7"/>
        <v/>
      </c>
      <c r="AD56" s="52"/>
      <c r="AL56" s="38"/>
    </row>
    <row r="57" spans="1:38" x14ac:dyDescent="0.2">
      <c r="A57" s="43">
        <v>45232</v>
      </c>
      <c r="B57" s="19">
        <v>176.666</v>
      </c>
      <c r="C57" s="19">
        <v>55.756923999999998</v>
      </c>
      <c r="D57" s="19">
        <v>138.96814000000001</v>
      </c>
      <c r="E57" s="19">
        <v>15.002903999999999</v>
      </c>
      <c r="F57" s="44">
        <v>4317.78</v>
      </c>
      <c r="G57" s="45">
        <v>5.3699999999999998E-2</v>
      </c>
      <c r="H57" s="37">
        <f t="shared" si="0"/>
        <v>2.0925300885044074E-4</v>
      </c>
      <c r="J57" s="6">
        <f t="shared" si="11"/>
        <v>2.0482069684558096E-2</v>
      </c>
      <c r="K57" s="6">
        <f t="shared" si="11"/>
        <v>1.1450857122828546E-2</v>
      </c>
      <c r="L57" s="6">
        <f t="shared" si="11"/>
        <v>1.7691845912209535E-2</v>
      </c>
      <c r="M57" s="6">
        <f t="shared" si="11"/>
        <v>9.581644883623272E-3</v>
      </c>
      <c r="N57" s="6">
        <f t="shared" si="11"/>
        <v>1.8682956430735833E-2</v>
      </c>
      <c r="O57" s="6">
        <f t="shared" si="1"/>
        <v>-1.2617514969468103E-2</v>
      </c>
      <c r="Q57" s="6"/>
      <c r="R57" s="13">
        <f t="shared" si="12"/>
        <v>2.0272816675707656E-2</v>
      </c>
      <c r="S57" s="13">
        <f t="shared" si="12"/>
        <v>1.1241604113978105E-2</v>
      </c>
      <c r="T57" s="13">
        <f t="shared" si="12"/>
        <v>1.7482592903359094E-2</v>
      </c>
      <c r="U57" s="13">
        <f t="shared" si="12"/>
        <v>9.3723918747728313E-3</v>
      </c>
      <c r="V57" s="13">
        <f t="shared" si="12"/>
        <v>1.8473703421885392E-2</v>
      </c>
      <c r="W57" s="13"/>
      <c r="X57" s="52"/>
      <c r="Y57" s="13" t="str">
        <f t="shared" si="3"/>
        <v/>
      </c>
      <c r="Z57" s="13" t="str">
        <f t="shared" si="4"/>
        <v/>
      </c>
      <c r="AA57" s="13" t="str">
        <f t="shared" si="5"/>
        <v/>
      </c>
      <c r="AB57" s="13" t="str">
        <f t="shared" si="6"/>
        <v/>
      </c>
      <c r="AC57" s="13" t="str">
        <f t="shared" si="7"/>
        <v/>
      </c>
      <c r="AD57" s="52"/>
      <c r="AL57" s="38"/>
    </row>
    <row r="58" spans="1:38" x14ac:dyDescent="0.2">
      <c r="A58" s="43">
        <v>45233</v>
      </c>
      <c r="B58" s="19">
        <v>175.75065599999999</v>
      </c>
      <c r="C58" s="19">
        <v>55.415095999999998</v>
      </c>
      <c r="D58" s="19">
        <v>140.52076700000001</v>
      </c>
      <c r="E58" s="19">
        <v>15.14597</v>
      </c>
      <c r="F58" s="44">
        <v>4358.34</v>
      </c>
      <c r="G58" s="45">
        <v>5.3800000000000001E-2</v>
      </c>
      <c r="H58" s="37">
        <f t="shared" si="0"/>
        <v>2.0963268503315646E-4</v>
      </c>
      <c r="J58" s="6">
        <f t="shared" si="11"/>
        <v>-5.1946810275440517E-3</v>
      </c>
      <c r="K58" s="6">
        <f t="shared" si="11"/>
        <v>-6.1495523287532295E-3</v>
      </c>
      <c r="L58" s="6">
        <f t="shared" si="11"/>
        <v>1.1110587455196269E-2</v>
      </c>
      <c r="M58" s="6">
        <f t="shared" si="11"/>
        <v>9.4907076045383631E-3</v>
      </c>
      <c r="N58" s="6">
        <f t="shared" si="11"/>
        <v>9.3498696374369732E-3</v>
      </c>
      <c r="O58" s="6">
        <f t="shared" si="1"/>
        <v>1.8127918534072056E-3</v>
      </c>
      <c r="Q58" s="6"/>
      <c r="R58" s="13">
        <f t="shared" si="12"/>
        <v>-5.4043137125772082E-3</v>
      </c>
      <c r="S58" s="13">
        <f t="shared" si="12"/>
        <v>-6.3591850137863859E-3</v>
      </c>
      <c r="T58" s="13">
        <f t="shared" si="12"/>
        <v>1.0900954770163113E-2</v>
      </c>
      <c r="U58" s="13">
        <f t="shared" si="12"/>
        <v>9.2810749195052066E-3</v>
      </c>
      <c r="V58" s="13">
        <f t="shared" si="12"/>
        <v>9.1402369524038168E-3</v>
      </c>
      <c r="W58" s="13"/>
      <c r="X58" s="52"/>
      <c r="Y58" s="13">
        <f t="shared" si="3"/>
        <v>-7.0074728809512571E-3</v>
      </c>
      <c r="Z58" s="13">
        <f t="shared" si="4"/>
        <v>-7.9623441821604357E-3</v>
      </c>
      <c r="AA58" s="13" t="str">
        <f t="shared" si="5"/>
        <v/>
      </c>
      <c r="AB58" s="13" t="str">
        <f t="shared" si="6"/>
        <v/>
      </c>
      <c r="AC58" s="13" t="str">
        <f t="shared" si="7"/>
        <v/>
      </c>
      <c r="AD58" s="52"/>
      <c r="AL58" s="38"/>
    </row>
    <row r="59" spans="1:38" x14ac:dyDescent="0.2">
      <c r="A59" s="43">
        <v>45236</v>
      </c>
      <c r="B59" s="19">
        <v>178.31753499999999</v>
      </c>
      <c r="C59" s="19">
        <v>55.639729000000003</v>
      </c>
      <c r="D59" s="19">
        <v>141.58204699999999</v>
      </c>
      <c r="E59" s="19">
        <v>15.021978000000001</v>
      </c>
      <c r="F59" s="44">
        <v>4365.9799999999996</v>
      </c>
      <c r="G59" s="45">
        <v>5.2900000000000003E-2</v>
      </c>
      <c r="H59" s="37">
        <f t="shared" si="0"/>
        <v>2.0621430676981412E-4</v>
      </c>
      <c r="J59" s="6">
        <f t="shared" si="11"/>
        <v>1.44996022601437E-2</v>
      </c>
      <c r="K59" s="6">
        <f t="shared" si="11"/>
        <v>4.0454488376433064E-3</v>
      </c>
      <c r="L59" s="6">
        <f t="shared" si="11"/>
        <v>7.5241008178584595E-3</v>
      </c>
      <c r="M59" s="6">
        <f t="shared" si="11"/>
        <v>-8.2201612246451568E-3</v>
      </c>
      <c r="N59" s="6">
        <f t="shared" si="11"/>
        <v>1.7514263468030517E-3</v>
      </c>
      <c r="O59" s="6">
        <f t="shared" si="1"/>
        <v>-1.6440928180425498E-2</v>
      </c>
      <c r="Q59" s="6"/>
      <c r="R59" s="13">
        <f t="shared" si="12"/>
        <v>1.4293387953373886E-2</v>
      </c>
      <c r="S59" s="13">
        <f t="shared" si="12"/>
        <v>3.8392345308734923E-3</v>
      </c>
      <c r="T59" s="13">
        <f t="shared" si="12"/>
        <v>7.3178865110886454E-3</v>
      </c>
      <c r="U59" s="13">
        <f t="shared" si="12"/>
        <v>-8.4263755314149709E-3</v>
      </c>
      <c r="V59" s="13">
        <f t="shared" si="12"/>
        <v>1.5452120400332376E-3</v>
      </c>
      <c r="W59" s="13"/>
      <c r="X59" s="52"/>
      <c r="Y59" s="13" t="str">
        <f t="shared" si="3"/>
        <v/>
      </c>
      <c r="Z59" s="13" t="str">
        <f t="shared" si="4"/>
        <v/>
      </c>
      <c r="AA59" s="13" t="str">
        <f t="shared" si="5"/>
        <v/>
      </c>
      <c r="AB59" s="13" t="str">
        <f t="shared" si="6"/>
        <v/>
      </c>
      <c r="AC59" s="13" t="str">
        <f t="shared" si="7"/>
        <v/>
      </c>
      <c r="AD59" s="52"/>
      <c r="AL59" s="38"/>
    </row>
    <row r="60" spans="1:38" x14ac:dyDescent="0.2">
      <c r="A60" s="43">
        <v>45237</v>
      </c>
      <c r="B60" s="19">
        <v>180.89434800000001</v>
      </c>
      <c r="C60" s="19">
        <v>55.844822000000001</v>
      </c>
      <c r="D60" s="19">
        <v>141.513229</v>
      </c>
      <c r="E60" s="19">
        <v>15.10782</v>
      </c>
      <c r="F60" s="44">
        <v>4378.38</v>
      </c>
      <c r="G60" s="45">
        <v>5.33E-2</v>
      </c>
      <c r="H60" s="37">
        <f t="shared" si="0"/>
        <v>2.0773394514983501E-4</v>
      </c>
      <c r="J60" s="6">
        <f t="shared" si="11"/>
        <v>1.4347282613426004E-2</v>
      </c>
      <c r="K60" s="6">
        <f t="shared" si="11"/>
        <v>3.6793121473435051E-3</v>
      </c>
      <c r="L60" s="6">
        <f t="shared" si="11"/>
        <v>-4.8618261899616047E-4</v>
      </c>
      <c r="M60" s="6">
        <f t="shared" si="11"/>
        <v>5.6981618175608508E-3</v>
      </c>
      <c r="N60" s="6">
        <f t="shared" si="11"/>
        <v>2.8361156932399829E-3</v>
      </c>
      <c r="O60" s="6">
        <f t="shared" si="1"/>
        <v>7.3421989327175866E-3</v>
      </c>
      <c r="Q60" s="6"/>
      <c r="R60" s="13">
        <f t="shared" si="12"/>
        <v>1.4139548668276169E-2</v>
      </c>
      <c r="S60" s="13">
        <f t="shared" si="12"/>
        <v>3.4715782021936701E-3</v>
      </c>
      <c r="T60" s="13">
        <f t="shared" si="12"/>
        <v>-6.9391656414599548E-4</v>
      </c>
      <c r="U60" s="13">
        <f t="shared" si="12"/>
        <v>5.4904278724110158E-3</v>
      </c>
      <c r="V60" s="13">
        <f t="shared" si="12"/>
        <v>2.6283817480901479E-3</v>
      </c>
      <c r="W60" s="13"/>
      <c r="X60" s="52"/>
      <c r="Y60" s="13" t="str">
        <f t="shared" si="3"/>
        <v/>
      </c>
      <c r="Z60" s="13">
        <f t="shared" si="4"/>
        <v>-3.6628867853740815E-3</v>
      </c>
      <c r="AA60" s="13">
        <f t="shared" si="5"/>
        <v>-7.8283815517137464E-3</v>
      </c>
      <c r="AB60" s="13">
        <f t="shared" si="6"/>
        <v>-1.6440371151567358E-3</v>
      </c>
      <c r="AC60" s="13">
        <f t="shared" si="7"/>
        <v>-4.5060832394776037E-3</v>
      </c>
      <c r="AD60" s="52"/>
      <c r="AL60" s="38"/>
    </row>
    <row r="61" spans="1:38" x14ac:dyDescent="0.2">
      <c r="A61" s="43">
        <v>45238</v>
      </c>
      <c r="B61" s="19">
        <v>181.958878</v>
      </c>
      <c r="C61" s="19">
        <v>55.756923999999998</v>
      </c>
      <c r="D61" s="19">
        <v>142.21095299999999</v>
      </c>
      <c r="E61" s="19">
        <v>14.926601</v>
      </c>
      <c r="F61" s="44">
        <v>4382.78</v>
      </c>
      <c r="G61" s="45">
        <v>5.33E-2</v>
      </c>
      <c r="H61" s="37">
        <f t="shared" si="0"/>
        <v>2.0773394514983501E-4</v>
      </c>
      <c r="J61" s="6">
        <f t="shared" si="11"/>
        <v>5.8675683603629037E-3</v>
      </c>
      <c r="K61" s="6">
        <f t="shared" si="11"/>
        <v>-1.5752086562333767E-3</v>
      </c>
      <c r="L61" s="6">
        <f t="shared" si="11"/>
        <v>4.9183358399554396E-3</v>
      </c>
      <c r="M61" s="6">
        <f t="shared" si="11"/>
        <v>-1.2067567354175589E-2</v>
      </c>
      <c r="N61" s="6">
        <f t="shared" si="11"/>
        <v>1.0044332873557552E-3</v>
      </c>
      <c r="O61" s="6">
        <f t="shared" si="1"/>
        <v>0</v>
      </c>
      <c r="Q61" s="6"/>
      <c r="R61" s="13">
        <f t="shared" si="12"/>
        <v>5.6598344152130687E-3</v>
      </c>
      <c r="S61" s="13">
        <f t="shared" si="12"/>
        <v>-1.7829426013832117E-3</v>
      </c>
      <c r="T61" s="13">
        <f t="shared" si="12"/>
        <v>4.7106018948056046E-3</v>
      </c>
      <c r="U61" s="13">
        <f t="shared" si="12"/>
        <v>-1.2275301299325424E-2</v>
      </c>
      <c r="V61" s="13">
        <f t="shared" si="12"/>
        <v>7.9669934220592017E-4</v>
      </c>
      <c r="W61" s="13"/>
      <c r="X61" s="52"/>
      <c r="Y61" s="13" t="str">
        <f t="shared" si="3"/>
        <v/>
      </c>
      <c r="Z61" s="13">
        <f t="shared" si="4"/>
        <v>-1.5752086562333767E-3</v>
      </c>
      <c r="AA61" s="13" t="str">
        <f t="shared" si="5"/>
        <v/>
      </c>
      <c r="AB61" s="13">
        <f t="shared" si="6"/>
        <v>-1.2067567354175589E-2</v>
      </c>
      <c r="AC61" s="13" t="str">
        <f t="shared" si="7"/>
        <v/>
      </c>
      <c r="AD61" s="52"/>
      <c r="AL61" s="38"/>
    </row>
    <row r="62" spans="1:38" x14ac:dyDescent="0.2">
      <c r="A62" s="43">
        <v>45239</v>
      </c>
      <c r="B62" s="19">
        <v>181.48133899999999</v>
      </c>
      <c r="C62" s="19">
        <v>55.336967000000001</v>
      </c>
      <c r="D62" s="19">
        <v>141.78839099999999</v>
      </c>
      <c r="E62" s="19">
        <v>14.907526000000001</v>
      </c>
      <c r="F62" s="44">
        <v>4347.3500000000004</v>
      </c>
      <c r="G62" s="45">
        <v>5.3399999999999996E-2</v>
      </c>
      <c r="H62" s="37">
        <f t="shared" si="0"/>
        <v>2.0811376493412581E-4</v>
      </c>
      <c r="J62" s="6">
        <f t="shared" si="11"/>
        <v>-2.6278835003809412E-3</v>
      </c>
      <c r="K62" s="6">
        <f t="shared" si="11"/>
        <v>-7.5604337307585206E-3</v>
      </c>
      <c r="L62" s="6">
        <f t="shared" si="11"/>
        <v>-2.9757978020443572E-3</v>
      </c>
      <c r="M62" s="6">
        <f t="shared" si="11"/>
        <v>-1.2787371052778911E-3</v>
      </c>
      <c r="N62" s="6">
        <f t="shared" si="11"/>
        <v>-8.1167621824379983E-3</v>
      </c>
      <c r="O62" s="6">
        <f t="shared" si="1"/>
        <v>1.8267258936371892E-3</v>
      </c>
      <c r="Q62" s="6"/>
      <c r="R62" s="13">
        <f t="shared" si="12"/>
        <v>-2.835997265315067E-3</v>
      </c>
      <c r="S62" s="13">
        <f t="shared" si="12"/>
        <v>-7.7685474956926464E-3</v>
      </c>
      <c r="T62" s="13">
        <f t="shared" si="12"/>
        <v>-3.183911566978483E-3</v>
      </c>
      <c r="U62" s="13">
        <f t="shared" si="12"/>
        <v>-1.4868508702120169E-3</v>
      </c>
      <c r="V62" s="13">
        <f t="shared" si="12"/>
        <v>-8.3248759473721241E-3</v>
      </c>
      <c r="W62" s="13"/>
      <c r="X62" s="52"/>
      <c r="Y62" s="13">
        <f t="shared" si="3"/>
        <v>-4.4546093940181306E-3</v>
      </c>
      <c r="Z62" s="13">
        <f t="shared" si="4"/>
        <v>-9.3871596243957096E-3</v>
      </c>
      <c r="AA62" s="13">
        <f t="shared" si="5"/>
        <v>-4.8025236956815466E-3</v>
      </c>
      <c r="AB62" s="13">
        <f t="shared" si="6"/>
        <v>-3.1054629989150802E-3</v>
      </c>
      <c r="AC62" s="13">
        <f t="shared" si="7"/>
        <v>-9.9434880760751881E-3</v>
      </c>
      <c r="AD62" s="52"/>
      <c r="AL62" s="38"/>
    </row>
    <row r="63" spans="1:38" x14ac:dyDescent="0.2">
      <c r="A63" s="43">
        <v>45240</v>
      </c>
      <c r="B63" s="19">
        <v>185.69534300000001</v>
      </c>
      <c r="C63" s="19">
        <v>55.395564999999998</v>
      </c>
      <c r="D63" s="19">
        <v>143.89128099999999</v>
      </c>
      <c r="E63" s="19">
        <v>14.917064999999999</v>
      </c>
      <c r="F63" s="44">
        <v>4415.24</v>
      </c>
      <c r="G63" s="45">
        <v>5.3899999999999997E-2</v>
      </c>
      <c r="H63" s="37">
        <f t="shared" si="0"/>
        <v>2.1001232533235381E-4</v>
      </c>
      <c r="J63" s="6">
        <f t="shared" si="11"/>
        <v>2.2954556969230551E-2</v>
      </c>
      <c r="K63" s="6">
        <f t="shared" si="11"/>
        <v>1.0583701900695479E-3</v>
      </c>
      <c r="L63" s="6">
        <f t="shared" si="11"/>
        <v>1.4722279452399911E-2</v>
      </c>
      <c r="M63" s="6">
        <f t="shared" si="11"/>
        <v>6.3967350467703291E-4</v>
      </c>
      <c r="N63" s="6">
        <f t="shared" si="11"/>
        <v>1.5495728650985885E-2</v>
      </c>
      <c r="O63" s="6">
        <f t="shared" si="1"/>
        <v>9.0813440748678219E-3</v>
      </c>
      <c r="Q63" s="6"/>
      <c r="R63" s="13">
        <f t="shared" si="12"/>
        <v>2.2744544643898197E-2</v>
      </c>
      <c r="S63" s="13">
        <f t="shared" si="12"/>
        <v>8.4835786473719406E-4</v>
      </c>
      <c r="T63" s="13">
        <f t="shared" si="12"/>
        <v>1.4512267127067557E-2</v>
      </c>
      <c r="U63" s="13">
        <f t="shared" si="12"/>
        <v>4.296611793446791E-4</v>
      </c>
      <c r="V63" s="13">
        <f t="shared" si="12"/>
        <v>1.5285716325653531E-2</v>
      </c>
      <c r="W63" s="13"/>
      <c r="X63" s="52"/>
      <c r="Y63" s="13" t="str">
        <f t="shared" si="3"/>
        <v/>
      </c>
      <c r="Z63" s="13">
        <f t="shared" si="4"/>
        <v>-8.0229738847982738E-3</v>
      </c>
      <c r="AA63" s="13" t="str">
        <f t="shared" si="5"/>
        <v/>
      </c>
      <c r="AB63" s="13">
        <f t="shared" si="6"/>
        <v>-8.4416705701907888E-3</v>
      </c>
      <c r="AC63" s="13" t="str">
        <f t="shared" si="7"/>
        <v/>
      </c>
      <c r="AD63" s="52"/>
      <c r="AL63" s="38"/>
    </row>
    <row r="64" spans="1:38" x14ac:dyDescent="0.2">
      <c r="A64" s="43">
        <v>45243</v>
      </c>
      <c r="B64" s="19">
        <v>184.101395</v>
      </c>
      <c r="C64" s="19">
        <v>55.600662</v>
      </c>
      <c r="D64" s="19">
        <v>143.25254799999999</v>
      </c>
      <c r="E64" s="19">
        <v>14.859838</v>
      </c>
      <c r="F64" s="44">
        <v>4411.55</v>
      </c>
      <c r="G64" s="45">
        <v>5.3800000000000001E-2</v>
      </c>
      <c r="H64" s="37">
        <f t="shared" si="0"/>
        <v>2.0963268503315646E-4</v>
      </c>
      <c r="J64" s="6">
        <f t="shared" si="11"/>
        <v>-8.6207243473615386E-3</v>
      </c>
      <c r="K64" s="6">
        <f t="shared" si="11"/>
        <v>3.6955712633663846E-3</v>
      </c>
      <c r="L64" s="6">
        <f t="shared" si="11"/>
        <v>-4.4488788474790633E-3</v>
      </c>
      <c r="M64" s="6">
        <f t="shared" si="11"/>
        <v>-3.8437221263010121E-3</v>
      </c>
      <c r="N64" s="6">
        <f t="shared" si="11"/>
        <v>-8.3609108519786131E-4</v>
      </c>
      <c r="O64" s="6">
        <f t="shared" si="1"/>
        <v>-1.8093407207971416E-3</v>
      </c>
      <c r="Q64" s="6"/>
      <c r="R64" s="13">
        <f t="shared" si="12"/>
        <v>-8.830357032394695E-3</v>
      </c>
      <c r="S64" s="13">
        <f t="shared" si="12"/>
        <v>3.4859385783332282E-3</v>
      </c>
      <c r="T64" s="13">
        <f t="shared" si="12"/>
        <v>-4.6585115325122198E-3</v>
      </c>
      <c r="U64" s="13">
        <f t="shared" si="12"/>
        <v>-4.0533548113341686E-3</v>
      </c>
      <c r="V64" s="13">
        <f t="shared" si="12"/>
        <v>-1.0457237702310178E-3</v>
      </c>
      <c r="W64" s="13"/>
      <c r="X64" s="52"/>
      <c r="Y64" s="13">
        <f t="shared" si="3"/>
        <v>-6.8113836265643966E-3</v>
      </c>
      <c r="Z64" s="13" t="str">
        <f t="shared" si="4"/>
        <v/>
      </c>
      <c r="AA64" s="13">
        <f t="shared" si="5"/>
        <v>-2.6395381266819218E-3</v>
      </c>
      <c r="AB64" s="13">
        <f t="shared" si="6"/>
        <v>-2.0343814055038705E-3</v>
      </c>
      <c r="AC64" s="13" t="str">
        <f t="shared" si="7"/>
        <v/>
      </c>
      <c r="AD64" s="52"/>
      <c r="AL64" s="38"/>
    </row>
    <row r="65" spans="1:38" x14ac:dyDescent="0.2">
      <c r="A65" s="43">
        <v>45244</v>
      </c>
      <c r="B65" s="19">
        <v>186.731415</v>
      </c>
      <c r="C65" s="19">
        <v>55.766689</v>
      </c>
      <c r="D65" s="19">
        <v>145.86644000000001</v>
      </c>
      <c r="E65" s="19">
        <v>14.907526000000001</v>
      </c>
      <c r="F65" s="44">
        <v>4495.7</v>
      </c>
      <c r="G65" s="45">
        <v>5.3699999999999998E-2</v>
      </c>
      <c r="H65" s="37">
        <f t="shared" si="0"/>
        <v>2.0925300885044074E-4</v>
      </c>
      <c r="J65" s="6">
        <f t="shared" si="11"/>
        <v>1.4184635374476782E-2</v>
      </c>
      <c r="K65" s="6">
        <f t="shared" si="11"/>
        <v>2.981612142296002E-3</v>
      </c>
      <c r="L65" s="6">
        <f t="shared" si="11"/>
        <v>1.8082265985749042E-2</v>
      </c>
      <c r="M65" s="6">
        <f t="shared" si="11"/>
        <v>3.2040486216239152E-3</v>
      </c>
      <c r="N65" s="6">
        <f t="shared" si="11"/>
        <v>1.8895282757298078E-2</v>
      </c>
      <c r="O65" s="6">
        <f t="shared" si="1"/>
        <v>-1.8127918534071839E-3</v>
      </c>
      <c r="Q65" s="6"/>
      <c r="R65" s="13">
        <f t="shared" si="12"/>
        <v>1.3975382365626341E-2</v>
      </c>
      <c r="S65" s="13">
        <f t="shared" si="12"/>
        <v>2.7723591334455613E-3</v>
      </c>
      <c r="T65" s="13">
        <f t="shared" si="12"/>
        <v>1.7873012976898601E-2</v>
      </c>
      <c r="U65" s="13">
        <f t="shared" si="12"/>
        <v>2.9947956127734745E-3</v>
      </c>
      <c r="V65" s="13">
        <f t="shared" si="12"/>
        <v>1.8686029748447637E-2</v>
      </c>
      <c r="W65" s="13"/>
      <c r="X65" s="52"/>
      <c r="Y65" s="13" t="str">
        <f t="shared" si="3"/>
        <v/>
      </c>
      <c r="Z65" s="13" t="str">
        <f t="shared" si="4"/>
        <v/>
      </c>
      <c r="AA65" s="13" t="str">
        <f t="shared" si="5"/>
        <v/>
      </c>
      <c r="AB65" s="13" t="str">
        <f t="shared" si="6"/>
        <v/>
      </c>
      <c r="AC65" s="13" t="str">
        <f t="shared" si="7"/>
        <v/>
      </c>
      <c r="AD65" s="52"/>
      <c r="AL65" s="38"/>
    </row>
    <row r="66" spans="1:38" x14ac:dyDescent="0.2">
      <c r="A66" s="43">
        <v>45245</v>
      </c>
      <c r="B66" s="19">
        <v>187.29925499999999</v>
      </c>
      <c r="C66" s="19">
        <v>55.874122999999997</v>
      </c>
      <c r="D66" s="19">
        <v>147.14392100000001</v>
      </c>
      <c r="E66" s="19">
        <v>15.031516999999999</v>
      </c>
      <c r="F66" s="44">
        <v>4502.88</v>
      </c>
      <c r="G66" s="45">
        <v>5.2400000000000002E-2</v>
      </c>
      <c r="H66" s="37">
        <f t="shared" si="0"/>
        <v>2.043139499885438E-4</v>
      </c>
      <c r="J66" s="6">
        <f t="shared" si="11"/>
        <v>3.0363308776654089E-3</v>
      </c>
      <c r="K66" s="6">
        <f t="shared" si="11"/>
        <v>1.9246372583412658E-3</v>
      </c>
      <c r="L66" s="6">
        <f t="shared" si="11"/>
        <v>8.7197537313942614E-3</v>
      </c>
      <c r="M66" s="6">
        <f t="shared" si="11"/>
        <v>8.2829440398884853E-3</v>
      </c>
      <c r="N66" s="6">
        <f t="shared" si="11"/>
        <v>1.5958076771483444E-3</v>
      </c>
      <c r="O66" s="6">
        <f t="shared" si="1"/>
        <v>-2.3886307105055279E-2</v>
      </c>
      <c r="Q66" s="6"/>
      <c r="R66" s="13">
        <f t="shared" si="12"/>
        <v>2.8320169276768651E-3</v>
      </c>
      <c r="S66" s="13">
        <f t="shared" si="12"/>
        <v>1.720323308352722E-3</v>
      </c>
      <c r="T66" s="13">
        <f t="shared" si="12"/>
        <v>8.5154397814057176E-3</v>
      </c>
      <c r="U66" s="13">
        <f t="shared" si="12"/>
        <v>8.0786300898999415E-3</v>
      </c>
      <c r="V66" s="13">
        <f t="shared" si="12"/>
        <v>1.3914937271598006E-3</v>
      </c>
      <c r="W66" s="13"/>
      <c r="X66" s="52"/>
      <c r="Y66" s="13" t="str">
        <f t="shared" si="3"/>
        <v/>
      </c>
      <c r="Z66" s="13" t="str">
        <f t="shared" si="4"/>
        <v/>
      </c>
      <c r="AA66" s="13" t="str">
        <f t="shared" si="5"/>
        <v/>
      </c>
      <c r="AB66" s="13" t="str">
        <f t="shared" si="6"/>
        <v/>
      </c>
      <c r="AC66" s="13" t="str">
        <f t="shared" si="7"/>
        <v/>
      </c>
      <c r="AD66" s="52"/>
      <c r="AL66" s="38"/>
    </row>
    <row r="67" spans="1:38" x14ac:dyDescent="0.2">
      <c r="A67" s="43">
        <v>45246</v>
      </c>
      <c r="B67" s="19">
        <v>188.99284399999999</v>
      </c>
      <c r="C67" s="19">
        <v>55.815520999999997</v>
      </c>
      <c r="D67" s="19">
        <v>148.824265</v>
      </c>
      <c r="E67" s="19">
        <v>15.14597</v>
      </c>
      <c r="F67" s="44">
        <v>4508.24</v>
      </c>
      <c r="G67" s="45">
        <v>5.2699999999999997E-2</v>
      </c>
      <c r="H67" s="37">
        <f t="shared" ref="H67:H130" si="13">+(1+G67)^(1/250)-1</f>
        <v>2.0545427193918719E-4</v>
      </c>
      <c r="J67" s="6">
        <f t="shared" si="11"/>
        <v>9.0015200429287429E-3</v>
      </c>
      <c r="K67" s="6">
        <f t="shared" si="11"/>
        <v>-1.0493722296692307E-3</v>
      </c>
      <c r="L67" s="6">
        <f t="shared" si="11"/>
        <v>1.1355018101563337E-2</v>
      </c>
      <c r="M67" s="6">
        <f t="shared" si="11"/>
        <v>7.5853598266493183E-3</v>
      </c>
      <c r="N67" s="6">
        <f t="shared" si="11"/>
        <v>1.1896413835666805E-3</v>
      </c>
      <c r="O67" s="6">
        <f t="shared" ref="O67:O130" si="14">LN(H67/H66)</f>
        <v>5.565706822906585E-3</v>
      </c>
      <c r="Q67" s="6"/>
      <c r="R67" s="13">
        <f t="shared" si="12"/>
        <v>8.7960657709895557E-3</v>
      </c>
      <c r="S67" s="13">
        <f t="shared" si="12"/>
        <v>-1.2548265016084179E-3</v>
      </c>
      <c r="T67" s="13">
        <f t="shared" si="12"/>
        <v>1.114956382962415E-2</v>
      </c>
      <c r="U67" s="13">
        <f t="shared" si="12"/>
        <v>7.3799055547101311E-3</v>
      </c>
      <c r="V67" s="13">
        <f t="shared" si="12"/>
        <v>9.8418711162749336E-4</v>
      </c>
      <c r="W67" s="13"/>
      <c r="X67" s="52"/>
      <c r="Y67" s="13" t="str">
        <f t="shared" ref="Y67:Y130" si="15">+IF(J67&lt;$O67,J67-$O67,"")</f>
        <v/>
      </c>
      <c r="Z67" s="13">
        <f t="shared" ref="Z67:Z130" si="16">+IF(K67&lt;$O67,K67-$O67,"")</f>
        <v>-6.6150790525758155E-3</v>
      </c>
      <c r="AA67" s="13" t="str">
        <f t="shared" ref="AA67:AA130" si="17">+IF(L67&lt;$O67,L67-$O67,"")</f>
        <v/>
      </c>
      <c r="AB67" s="13" t="str">
        <f t="shared" ref="AB67:AB130" si="18">+IF(M67&lt;$O67,M67-$O67,"")</f>
        <v/>
      </c>
      <c r="AC67" s="13">
        <f t="shared" ref="AC67:AC130" si="19">+IF(N67&lt;$O67,N67-$O67,"")</f>
        <v>-4.3760654393399049E-3</v>
      </c>
      <c r="AD67" s="52"/>
      <c r="AL67" s="38"/>
    </row>
    <row r="68" spans="1:38" x14ac:dyDescent="0.2">
      <c r="A68" s="43">
        <v>45247</v>
      </c>
      <c r="B68" s="19">
        <v>188.972916</v>
      </c>
      <c r="C68" s="19">
        <v>55.922955000000002</v>
      </c>
      <c r="D68" s="19">
        <v>150.17051699999999</v>
      </c>
      <c r="E68" s="19">
        <v>15.165046</v>
      </c>
      <c r="F68" s="44">
        <v>4514.0200000000004</v>
      </c>
      <c r="G68" s="45">
        <v>5.2300000000000006E-2</v>
      </c>
      <c r="H68" s="37">
        <f t="shared" si="13"/>
        <v>2.0393377072314145E-4</v>
      </c>
      <c r="J68" s="6">
        <f t="shared" ref="J68:N99" si="20">LN(B68/B67)</f>
        <v>-1.0544870529251719E-4</v>
      </c>
      <c r="K68" s="6">
        <f t="shared" si="20"/>
        <v>1.9229550455904989E-3</v>
      </c>
      <c r="L68" s="6">
        <f t="shared" si="20"/>
        <v>9.0052481102475771E-3</v>
      </c>
      <c r="M68" s="6">
        <f t="shared" si="20"/>
        <v>1.2586844676198644E-3</v>
      </c>
      <c r="N68" s="6">
        <f t="shared" si="20"/>
        <v>1.2812755985166719E-3</v>
      </c>
      <c r="O68" s="6">
        <f t="shared" si="14"/>
        <v>-7.4282003826470254E-3</v>
      </c>
      <c r="Q68" s="6"/>
      <c r="R68" s="13">
        <f t="shared" si="12"/>
        <v>-3.0938247601565861E-4</v>
      </c>
      <c r="S68" s="13">
        <f t="shared" si="12"/>
        <v>1.7190212748673574E-3</v>
      </c>
      <c r="T68" s="13">
        <f t="shared" si="12"/>
        <v>8.8013143395244357E-3</v>
      </c>
      <c r="U68" s="13">
        <f t="shared" si="12"/>
        <v>1.054750696896723E-3</v>
      </c>
      <c r="V68" s="13">
        <f t="shared" si="12"/>
        <v>1.0773418277935304E-3</v>
      </c>
      <c r="W68" s="13"/>
      <c r="X68" s="52"/>
      <c r="Y68" s="13" t="str">
        <f t="shared" si="15"/>
        <v/>
      </c>
      <c r="Z68" s="13" t="str">
        <f t="shared" si="16"/>
        <v/>
      </c>
      <c r="AA68" s="13" t="str">
        <f t="shared" si="17"/>
        <v/>
      </c>
      <c r="AB68" s="13" t="str">
        <f t="shared" si="18"/>
        <v/>
      </c>
      <c r="AC68" s="13" t="str">
        <f t="shared" si="19"/>
        <v/>
      </c>
      <c r="AD68" s="52"/>
      <c r="AL68" s="38"/>
    </row>
    <row r="69" spans="1:38" x14ac:dyDescent="0.2">
      <c r="A69" s="43">
        <v>45250</v>
      </c>
      <c r="B69" s="19">
        <v>190.726257</v>
      </c>
      <c r="C69" s="19">
        <v>56.059688999999999</v>
      </c>
      <c r="D69" s="19">
        <v>150.63235499999999</v>
      </c>
      <c r="E69" s="19">
        <v>15.355801</v>
      </c>
      <c r="F69" s="44">
        <v>4547.38</v>
      </c>
      <c r="G69" s="45">
        <v>5.2400000000000002E-2</v>
      </c>
      <c r="H69" s="37">
        <f t="shared" si="13"/>
        <v>2.043139499885438E-4</v>
      </c>
      <c r="J69" s="6">
        <f t="shared" si="20"/>
        <v>9.2354873918627962E-3</v>
      </c>
      <c r="K69" s="6">
        <f t="shared" si="20"/>
        <v>2.4420582166783792E-3</v>
      </c>
      <c r="L69" s="6">
        <f t="shared" si="20"/>
        <v>3.0707044771690309E-3</v>
      </c>
      <c r="M69" s="6">
        <f t="shared" si="20"/>
        <v>1.250014351434138E-2</v>
      </c>
      <c r="N69" s="6">
        <f t="shared" si="20"/>
        <v>7.3631338909269815E-3</v>
      </c>
      <c r="O69" s="6">
        <f t="shared" si="14"/>
        <v>1.86249355974044E-3</v>
      </c>
      <c r="Q69" s="6"/>
      <c r="R69" s="13">
        <f t="shared" si="12"/>
        <v>9.0311734418742524E-3</v>
      </c>
      <c r="S69" s="13">
        <f t="shared" si="12"/>
        <v>2.2377442666898354E-3</v>
      </c>
      <c r="T69" s="13">
        <f t="shared" si="12"/>
        <v>2.8663905271804871E-3</v>
      </c>
      <c r="U69" s="13">
        <f t="shared" si="12"/>
        <v>1.2295829564352836E-2</v>
      </c>
      <c r="V69" s="13">
        <f t="shared" si="12"/>
        <v>7.1588199409384377E-3</v>
      </c>
      <c r="W69" s="13"/>
      <c r="X69" s="52"/>
      <c r="Y69" s="13" t="str">
        <f t="shared" si="15"/>
        <v/>
      </c>
      <c r="Z69" s="13" t="str">
        <f t="shared" si="16"/>
        <v/>
      </c>
      <c r="AA69" s="13" t="str">
        <f t="shared" si="17"/>
        <v/>
      </c>
      <c r="AB69" s="13" t="str">
        <f t="shared" si="18"/>
        <v/>
      </c>
      <c r="AC69" s="13" t="str">
        <f t="shared" si="19"/>
        <v/>
      </c>
      <c r="AD69" s="52"/>
      <c r="AL69" s="38"/>
    </row>
    <row r="70" spans="1:38" x14ac:dyDescent="0.2">
      <c r="A70" s="43">
        <v>45251</v>
      </c>
      <c r="B70" s="19">
        <v>189.91932700000001</v>
      </c>
      <c r="C70" s="19">
        <v>56.674973000000001</v>
      </c>
      <c r="D70" s="19">
        <v>150.31791699999999</v>
      </c>
      <c r="E70" s="19">
        <v>15.441642</v>
      </c>
      <c r="F70" s="44">
        <v>4538.1899999999996</v>
      </c>
      <c r="G70" s="45">
        <v>5.2499999999999998E-2</v>
      </c>
      <c r="H70" s="37">
        <f t="shared" si="13"/>
        <v>2.0469409327517063E-4</v>
      </c>
      <c r="J70" s="6">
        <f t="shared" si="20"/>
        <v>-4.2398033377747738E-3</v>
      </c>
      <c r="K70" s="6">
        <f t="shared" si="20"/>
        <v>1.0915721899237774E-2</v>
      </c>
      <c r="L70" s="6">
        <f t="shared" si="20"/>
        <v>-2.089635023942204E-3</v>
      </c>
      <c r="M70" s="6">
        <f t="shared" si="20"/>
        <v>5.5745681417839043E-3</v>
      </c>
      <c r="N70" s="6">
        <f t="shared" si="20"/>
        <v>-2.0229887908321687E-3</v>
      </c>
      <c r="O70" s="6">
        <f t="shared" si="14"/>
        <v>1.8588553567499826E-3</v>
      </c>
      <c r="Q70" s="6"/>
      <c r="R70" s="13">
        <f t="shared" si="12"/>
        <v>-4.4444974310499444E-3</v>
      </c>
      <c r="S70" s="13">
        <f t="shared" si="12"/>
        <v>1.0711027805962604E-2</v>
      </c>
      <c r="T70" s="13">
        <f t="shared" si="12"/>
        <v>-2.2943291172173746E-3</v>
      </c>
      <c r="U70" s="13">
        <f t="shared" si="12"/>
        <v>5.3698740485087337E-3</v>
      </c>
      <c r="V70" s="13">
        <f t="shared" si="12"/>
        <v>-2.2276828841073393E-3</v>
      </c>
      <c r="W70" s="13"/>
      <c r="X70" s="52"/>
      <c r="Y70" s="13">
        <f t="shared" si="15"/>
        <v>-6.0986586945247561E-3</v>
      </c>
      <c r="Z70" s="13" t="str">
        <f t="shared" si="16"/>
        <v/>
      </c>
      <c r="AA70" s="13">
        <f t="shared" si="17"/>
        <v>-3.9484903806921868E-3</v>
      </c>
      <c r="AB70" s="13" t="str">
        <f t="shared" si="18"/>
        <v/>
      </c>
      <c r="AC70" s="13">
        <f t="shared" si="19"/>
        <v>-3.8818441475821511E-3</v>
      </c>
      <c r="AD70" s="52"/>
      <c r="AL70" s="38"/>
    </row>
    <row r="71" spans="1:38" x14ac:dyDescent="0.2">
      <c r="A71" s="43">
        <v>45252</v>
      </c>
      <c r="B71" s="19">
        <v>190.586792</v>
      </c>
      <c r="C71" s="19">
        <v>57.055866000000002</v>
      </c>
      <c r="D71" s="19">
        <v>150.671661</v>
      </c>
      <c r="E71" s="19">
        <v>15.422565000000001</v>
      </c>
      <c r="F71" s="44">
        <v>4556.62</v>
      </c>
      <c r="G71" s="45">
        <v>5.2400000000000002E-2</v>
      </c>
      <c r="H71" s="37">
        <f t="shared" si="13"/>
        <v>2.043139499885438E-4</v>
      </c>
      <c r="J71" s="6">
        <f t="shared" si="20"/>
        <v>3.5083046042034536E-3</v>
      </c>
      <c r="K71" s="6">
        <f t="shared" si="20"/>
        <v>6.698173115196048E-3</v>
      </c>
      <c r="L71" s="6">
        <f t="shared" si="20"/>
        <v>2.3505409404632072E-3</v>
      </c>
      <c r="M71" s="6">
        <f t="shared" si="20"/>
        <v>-1.2361893781621346E-3</v>
      </c>
      <c r="N71" s="6">
        <f t="shared" si="20"/>
        <v>4.0528664649777243E-3</v>
      </c>
      <c r="O71" s="6">
        <f t="shared" si="14"/>
        <v>-1.8588553567499557E-3</v>
      </c>
      <c r="Q71" s="6"/>
      <c r="R71" s="13">
        <f t="shared" si="12"/>
        <v>3.3039906542149098E-3</v>
      </c>
      <c r="S71" s="13">
        <f t="shared" si="12"/>
        <v>6.4938591652075042E-3</v>
      </c>
      <c r="T71" s="13">
        <f t="shared" si="12"/>
        <v>2.1462269904746634E-3</v>
      </c>
      <c r="U71" s="13">
        <f t="shared" si="12"/>
        <v>-1.4405033281506784E-3</v>
      </c>
      <c r="V71" s="13">
        <f t="shared" si="12"/>
        <v>3.8485525149891805E-3</v>
      </c>
      <c r="W71" s="13"/>
      <c r="X71" s="52"/>
      <c r="Y71" s="13" t="str">
        <f t="shared" si="15"/>
        <v/>
      </c>
      <c r="Z71" s="13" t="str">
        <f t="shared" si="16"/>
        <v/>
      </c>
      <c r="AA71" s="13" t="str">
        <f t="shared" si="17"/>
        <v/>
      </c>
      <c r="AB71" s="13" t="str">
        <f t="shared" si="18"/>
        <v/>
      </c>
      <c r="AC71" s="13" t="str">
        <f t="shared" si="19"/>
        <v/>
      </c>
      <c r="AD71" s="52"/>
      <c r="AL71" s="38"/>
    </row>
    <row r="72" spans="1:38" x14ac:dyDescent="0.2">
      <c r="A72" s="43">
        <v>45254</v>
      </c>
      <c r="B72" s="19">
        <v>189.25186199999999</v>
      </c>
      <c r="C72" s="19">
        <v>57.202365999999998</v>
      </c>
      <c r="D72" s="19">
        <v>150.878006</v>
      </c>
      <c r="E72" s="19">
        <v>15.460716</v>
      </c>
      <c r="F72" s="44">
        <v>4559.34</v>
      </c>
      <c r="G72" s="45">
        <v>5.2600000000000001E-2</v>
      </c>
      <c r="H72" s="37">
        <f t="shared" si="13"/>
        <v>2.0507420058968329E-4</v>
      </c>
      <c r="J72" s="6">
        <f t="shared" si="20"/>
        <v>-7.0289607553052254E-3</v>
      </c>
      <c r="K72" s="6">
        <f t="shared" si="20"/>
        <v>2.564368058518235E-3</v>
      </c>
      <c r="L72" s="6">
        <f t="shared" si="20"/>
        <v>1.3685641523619864E-3</v>
      </c>
      <c r="M72" s="6">
        <f t="shared" si="20"/>
        <v>2.4706584385659168E-3</v>
      </c>
      <c r="N72" s="6">
        <f t="shared" si="20"/>
        <v>5.9675559803246874E-4</v>
      </c>
      <c r="O72" s="6">
        <f t="shared" si="14"/>
        <v>3.7140863701174238E-3</v>
      </c>
      <c r="Q72" s="6"/>
      <c r="R72" s="13">
        <f t="shared" si="12"/>
        <v>-7.2340349558949087E-3</v>
      </c>
      <c r="S72" s="13">
        <f t="shared" si="12"/>
        <v>2.3592938579285517E-3</v>
      </c>
      <c r="T72" s="13">
        <f t="shared" si="12"/>
        <v>1.1634899517723031E-3</v>
      </c>
      <c r="U72" s="13">
        <f t="shared" si="12"/>
        <v>2.2655842379762335E-3</v>
      </c>
      <c r="V72" s="13">
        <f t="shared" si="12"/>
        <v>3.9168139744278545E-4</v>
      </c>
      <c r="W72" s="13"/>
      <c r="X72" s="52"/>
      <c r="Y72" s="13">
        <f t="shared" si="15"/>
        <v>-1.074304712542265E-2</v>
      </c>
      <c r="Z72" s="13">
        <f t="shared" si="16"/>
        <v>-1.1497183115991888E-3</v>
      </c>
      <c r="AA72" s="13">
        <f t="shared" si="17"/>
        <v>-2.3455222177554374E-3</v>
      </c>
      <c r="AB72" s="13">
        <f t="shared" si="18"/>
        <v>-1.243427931551507E-3</v>
      </c>
      <c r="AC72" s="13">
        <f t="shared" si="19"/>
        <v>-3.1173307720849552E-3</v>
      </c>
      <c r="AD72" s="52"/>
      <c r="AL72" s="38"/>
    </row>
    <row r="73" spans="1:38" x14ac:dyDescent="0.2">
      <c r="A73" s="43">
        <v>45257</v>
      </c>
      <c r="B73" s="19">
        <v>189.07252500000001</v>
      </c>
      <c r="C73" s="19">
        <v>57.094935999999997</v>
      </c>
      <c r="D73" s="19">
        <v>150.53410299999999</v>
      </c>
      <c r="E73" s="19">
        <v>15.460716</v>
      </c>
      <c r="F73" s="44">
        <v>4550.43</v>
      </c>
      <c r="G73" s="45">
        <v>5.2600000000000001E-2</v>
      </c>
      <c r="H73" s="37">
        <f t="shared" si="13"/>
        <v>2.0507420058968329E-4</v>
      </c>
      <c r="J73" s="6">
        <f t="shared" si="20"/>
        <v>-9.4805949388913479E-4</v>
      </c>
      <c r="K73" s="6">
        <f t="shared" si="20"/>
        <v>-1.8798349524674102E-3</v>
      </c>
      <c r="L73" s="6">
        <f t="shared" si="20"/>
        <v>-2.2819464710573719E-3</v>
      </c>
      <c r="M73" s="6">
        <f t="shared" si="20"/>
        <v>0</v>
      </c>
      <c r="N73" s="6">
        <f t="shared" si="20"/>
        <v>-1.9561422168003027E-3</v>
      </c>
      <c r="O73" s="6">
        <f t="shared" si="14"/>
        <v>0</v>
      </c>
      <c r="Q73" s="6"/>
      <c r="R73" s="13">
        <f t="shared" si="12"/>
        <v>-1.153133694478818E-3</v>
      </c>
      <c r="S73" s="13">
        <f t="shared" si="12"/>
        <v>-2.0849091530570933E-3</v>
      </c>
      <c r="T73" s="13">
        <f t="shared" si="12"/>
        <v>-2.4870206716470552E-3</v>
      </c>
      <c r="U73" s="13">
        <f t="shared" si="12"/>
        <v>-2.0507420058968329E-4</v>
      </c>
      <c r="V73" s="13">
        <f t="shared" si="12"/>
        <v>-2.1612164173899859E-3</v>
      </c>
      <c r="W73" s="13"/>
      <c r="X73" s="52"/>
      <c r="Y73" s="13">
        <f t="shared" si="15"/>
        <v>-9.4805949388913479E-4</v>
      </c>
      <c r="Z73" s="13">
        <f t="shared" si="16"/>
        <v>-1.8798349524674102E-3</v>
      </c>
      <c r="AA73" s="13">
        <f t="shared" si="17"/>
        <v>-2.2819464710573719E-3</v>
      </c>
      <c r="AB73" s="13" t="str">
        <f t="shared" si="18"/>
        <v/>
      </c>
      <c r="AC73" s="13">
        <f t="shared" si="19"/>
        <v>-1.9561422168003027E-3</v>
      </c>
      <c r="AD73" s="52"/>
      <c r="AL73" s="38"/>
    </row>
    <row r="74" spans="1:38" x14ac:dyDescent="0.2">
      <c r="A74" s="43">
        <v>45258</v>
      </c>
      <c r="B74" s="19">
        <v>189.68022199999999</v>
      </c>
      <c r="C74" s="19">
        <v>57.212135000000004</v>
      </c>
      <c r="D74" s="19">
        <v>150.878006</v>
      </c>
      <c r="E74" s="19">
        <v>15.432103</v>
      </c>
      <c r="F74" s="44">
        <v>4554.8900000000003</v>
      </c>
      <c r="G74" s="45">
        <v>5.2699999999999997E-2</v>
      </c>
      <c r="H74" s="37">
        <f t="shared" si="13"/>
        <v>2.0545427193918719E-4</v>
      </c>
      <c r="J74" s="6">
        <f t="shared" si="20"/>
        <v>3.2089405359202782E-3</v>
      </c>
      <c r="K74" s="6">
        <f t="shared" si="20"/>
        <v>2.0506000205027385E-3</v>
      </c>
      <c r="L74" s="6">
        <f t="shared" si="20"/>
        <v>2.2819464710573632E-3</v>
      </c>
      <c r="M74" s="6">
        <f t="shared" si="20"/>
        <v>-1.8524051289652865E-3</v>
      </c>
      <c r="N74" s="6">
        <f t="shared" si="20"/>
        <v>9.7964714182290037E-4</v>
      </c>
      <c r="O74" s="6">
        <f t="shared" si="14"/>
        <v>1.8516204527893802E-3</v>
      </c>
      <c r="Q74" s="6"/>
      <c r="R74" s="13">
        <f t="shared" si="12"/>
        <v>3.003486263981091E-3</v>
      </c>
      <c r="S74" s="13">
        <f t="shared" si="12"/>
        <v>1.8451457485635513E-3</v>
      </c>
      <c r="T74" s="13">
        <f t="shared" si="12"/>
        <v>2.076492199118176E-3</v>
      </c>
      <c r="U74" s="13">
        <f t="shared" si="12"/>
        <v>-2.0578594009044737E-3</v>
      </c>
      <c r="V74" s="13">
        <f t="shared" si="12"/>
        <v>7.7419286988371317E-4</v>
      </c>
      <c r="W74" s="13"/>
      <c r="X74" s="52"/>
      <c r="Y74" s="13" t="str">
        <f t="shared" si="15"/>
        <v/>
      </c>
      <c r="Z74" s="13" t="str">
        <f t="shared" si="16"/>
        <v/>
      </c>
      <c r="AA74" s="13" t="str">
        <f t="shared" si="17"/>
        <v/>
      </c>
      <c r="AB74" s="13">
        <f t="shared" si="18"/>
        <v>-3.7040255817546667E-3</v>
      </c>
      <c r="AC74" s="13">
        <f t="shared" si="19"/>
        <v>-8.7197331096647984E-4</v>
      </c>
      <c r="AD74" s="52"/>
      <c r="AL74" s="38"/>
    </row>
    <row r="75" spans="1:38" x14ac:dyDescent="0.2">
      <c r="A75" s="43">
        <v>45259</v>
      </c>
      <c r="B75" s="19">
        <v>188.65412900000001</v>
      </c>
      <c r="C75" s="19">
        <v>56.870308000000001</v>
      </c>
      <c r="D75" s="19">
        <v>151.64450099999999</v>
      </c>
      <c r="E75" s="19">
        <v>15.546556000000001</v>
      </c>
      <c r="F75" s="44">
        <v>4550.58</v>
      </c>
      <c r="G75" s="45">
        <v>5.2400000000000002E-2</v>
      </c>
      <c r="H75" s="37">
        <f t="shared" si="13"/>
        <v>2.043139499885438E-4</v>
      </c>
      <c r="J75" s="6">
        <f t="shared" si="20"/>
        <v>-5.4242788854046205E-3</v>
      </c>
      <c r="K75" s="6">
        <f t="shared" si="20"/>
        <v>-5.9926490699218782E-3</v>
      </c>
      <c r="L75" s="6">
        <f t="shared" si="20"/>
        <v>5.0673693523613879E-3</v>
      </c>
      <c r="M75" s="6">
        <f t="shared" si="20"/>
        <v>7.3891849715765874E-3</v>
      </c>
      <c r="N75" s="6">
        <f t="shared" si="20"/>
        <v>-9.4668376742538802E-4</v>
      </c>
      <c r="O75" s="6">
        <f t="shared" si="14"/>
        <v>-5.5657068229066041E-3</v>
      </c>
      <c r="Q75" s="6"/>
      <c r="R75" s="13">
        <f t="shared" si="12"/>
        <v>-5.6285928353931643E-3</v>
      </c>
      <c r="S75" s="13">
        <f t="shared" si="12"/>
        <v>-6.196963019910422E-3</v>
      </c>
      <c r="T75" s="13">
        <f t="shared" si="12"/>
        <v>4.8630554023728441E-3</v>
      </c>
      <c r="U75" s="13">
        <f t="shared" si="12"/>
        <v>7.1848710215880436E-3</v>
      </c>
      <c r="V75" s="13">
        <f t="shared" si="12"/>
        <v>-1.1509977174139318E-3</v>
      </c>
      <c r="W75" s="13"/>
      <c r="X75" s="52"/>
      <c r="Y75" s="13" t="str">
        <f t="shared" si="15"/>
        <v/>
      </c>
      <c r="Z75" s="13">
        <f t="shared" si="16"/>
        <v>-4.2694224701527415E-4</v>
      </c>
      <c r="AA75" s="13" t="str">
        <f t="shared" si="17"/>
        <v/>
      </c>
      <c r="AB75" s="13" t="str">
        <f t="shared" si="18"/>
        <v/>
      </c>
      <c r="AC75" s="13" t="str">
        <f t="shared" si="19"/>
        <v/>
      </c>
      <c r="AD75" s="52"/>
      <c r="AL75" s="38"/>
    </row>
    <row r="76" spans="1:38" x14ac:dyDescent="0.2">
      <c r="A76" s="43">
        <v>45260</v>
      </c>
      <c r="B76" s="19">
        <v>189.23191800000001</v>
      </c>
      <c r="C76" s="19">
        <v>57.529868999999998</v>
      </c>
      <c r="D76" s="19">
        <v>153.37397799999999</v>
      </c>
      <c r="E76" s="19">
        <v>15.804074999999999</v>
      </c>
      <c r="F76" s="44">
        <v>4567.8</v>
      </c>
      <c r="G76" s="45">
        <v>5.21E-2</v>
      </c>
      <c r="H76" s="37">
        <f t="shared" si="13"/>
        <v>2.0317330422892077E-4</v>
      </c>
      <c r="J76" s="6">
        <f t="shared" si="20"/>
        <v>3.0580089148523034E-3</v>
      </c>
      <c r="K76" s="6">
        <f t="shared" si="20"/>
        <v>1.1530896635000211E-2</v>
      </c>
      <c r="L76" s="6">
        <f t="shared" si="20"/>
        <v>1.1340267252648781E-2</v>
      </c>
      <c r="M76" s="6">
        <f t="shared" si="20"/>
        <v>1.6428683176453563E-2</v>
      </c>
      <c r="N76" s="6">
        <f t="shared" si="20"/>
        <v>3.7769911916856066E-3</v>
      </c>
      <c r="O76" s="6">
        <f t="shared" si="14"/>
        <v>-5.5984511272670423E-3</v>
      </c>
      <c r="Q76" s="6"/>
      <c r="R76" s="13">
        <f t="shared" si="12"/>
        <v>2.8548356106233826E-3</v>
      </c>
      <c r="S76" s="13">
        <f t="shared" si="12"/>
        <v>1.132772333077129E-2</v>
      </c>
      <c r="T76" s="13">
        <f t="shared" si="12"/>
        <v>1.1137093948419861E-2</v>
      </c>
      <c r="U76" s="13">
        <f t="shared" si="12"/>
        <v>1.6225509872224642E-2</v>
      </c>
      <c r="V76" s="13">
        <f t="shared" si="12"/>
        <v>3.5738178874566858E-3</v>
      </c>
      <c r="W76" s="13"/>
      <c r="X76" s="52"/>
      <c r="Y76" s="13" t="str">
        <f t="shared" si="15"/>
        <v/>
      </c>
      <c r="Z76" s="13" t="str">
        <f t="shared" si="16"/>
        <v/>
      </c>
      <c r="AA76" s="13" t="str">
        <f t="shared" si="17"/>
        <v/>
      </c>
      <c r="AB76" s="13" t="str">
        <f t="shared" si="18"/>
        <v/>
      </c>
      <c r="AC76" s="13" t="str">
        <f t="shared" si="19"/>
        <v/>
      </c>
      <c r="AD76" s="52"/>
      <c r="AL76" s="38"/>
    </row>
    <row r="77" spans="1:38" x14ac:dyDescent="0.2">
      <c r="A77" s="43">
        <v>45261</v>
      </c>
      <c r="B77" s="19">
        <v>190.51705899999999</v>
      </c>
      <c r="C77" s="19">
        <v>57.726756999999999</v>
      </c>
      <c r="D77" s="19">
        <v>154.12081900000001</v>
      </c>
      <c r="E77" s="19">
        <v>15.985293</v>
      </c>
      <c r="F77" s="44">
        <v>4594.63</v>
      </c>
      <c r="G77" s="45">
        <v>5.1200000000000002E-2</v>
      </c>
      <c r="H77" s="37">
        <f t="shared" si="13"/>
        <v>1.9974942225231551E-4</v>
      </c>
      <c r="J77" s="6">
        <f t="shared" si="20"/>
        <v>6.7683969358011721E-3</v>
      </c>
      <c r="K77" s="6">
        <f t="shared" si="20"/>
        <v>3.4165183963682714E-3</v>
      </c>
      <c r="L77" s="6">
        <f t="shared" si="20"/>
        <v>4.857594182652576E-3</v>
      </c>
      <c r="M77" s="6">
        <f t="shared" si="20"/>
        <v>1.1401293855996619E-2</v>
      </c>
      <c r="N77" s="6">
        <f t="shared" si="20"/>
        <v>5.8565417006152948E-3</v>
      </c>
      <c r="O77" s="6">
        <f t="shared" si="14"/>
        <v>-1.6995637959121939E-2</v>
      </c>
      <c r="Q77" s="6"/>
      <c r="R77" s="13">
        <f t="shared" si="12"/>
        <v>6.5686475135488566E-3</v>
      </c>
      <c r="S77" s="13">
        <f t="shared" si="12"/>
        <v>3.2167689741159559E-3</v>
      </c>
      <c r="T77" s="13">
        <f t="shared" si="12"/>
        <v>4.6578447604002605E-3</v>
      </c>
      <c r="U77" s="13">
        <f t="shared" si="12"/>
        <v>1.1201544433744303E-2</v>
      </c>
      <c r="V77" s="13">
        <f t="shared" si="12"/>
        <v>5.6567922783629793E-3</v>
      </c>
      <c r="W77" s="13"/>
      <c r="X77" s="52"/>
      <c r="Y77" s="13" t="str">
        <f t="shared" si="15"/>
        <v/>
      </c>
      <c r="Z77" s="13" t="str">
        <f t="shared" si="16"/>
        <v/>
      </c>
      <c r="AA77" s="13" t="str">
        <f t="shared" si="17"/>
        <v/>
      </c>
      <c r="AB77" s="13" t="str">
        <f t="shared" si="18"/>
        <v/>
      </c>
      <c r="AC77" s="13" t="str">
        <f t="shared" si="19"/>
        <v/>
      </c>
      <c r="AD77" s="52"/>
      <c r="AL77" s="38"/>
    </row>
    <row r="78" spans="1:38" x14ac:dyDescent="0.2">
      <c r="A78" s="43">
        <v>45264</v>
      </c>
      <c r="B78" s="19">
        <v>188.71388200000001</v>
      </c>
      <c r="C78" s="19">
        <v>57.657845000000002</v>
      </c>
      <c r="D78" s="19">
        <v>155.25086999999999</v>
      </c>
      <c r="E78" s="19">
        <v>15.889915</v>
      </c>
      <c r="F78" s="44">
        <v>4569.78</v>
      </c>
      <c r="G78" s="45">
        <v>5.16E-2</v>
      </c>
      <c r="H78" s="37">
        <f t="shared" si="13"/>
        <v>2.0127150788695758E-4</v>
      </c>
      <c r="J78" s="6">
        <f t="shared" si="20"/>
        <v>-9.5097229376474839E-3</v>
      </c>
      <c r="K78" s="6">
        <f t="shared" si="20"/>
        <v>-1.1944749472458554E-3</v>
      </c>
      <c r="L78" s="6">
        <f t="shared" si="20"/>
        <v>7.3054908777762974E-3</v>
      </c>
      <c r="M78" s="6">
        <f t="shared" si="20"/>
        <v>-5.9844807698541955E-3</v>
      </c>
      <c r="N78" s="6">
        <f t="shared" si="20"/>
        <v>-5.4231665551195962E-3</v>
      </c>
      <c r="O78" s="6">
        <f t="shared" si="14"/>
        <v>7.5910897879737701E-3</v>
      </c>
      <c r="Q78" s="6"/>
      <c r="R78" s="13">
        <f t="shared" si="12"/>
        <v>-9.7109944455344415E-3</v>
      </c>
      <c r="S78" s="13">
        <f t="shared" si="12"/>
        <v>-1.395746455132813E-3</v>
      </c>
      <c r="T78" s="13">
        <f t="shared" si="12"/>
        <v>7.1042193698893398E-3</v>
      </c>
      <c r="U78" s="13">
        <f t="shared" si="12"/>
        <v>-6.1857522777411531E-3</v>
      </c>
      <c r="V78" s="13">
        <f t="shared" si="12"/>
        <v>-5.6244380630065538E-3</v>
      </c>
      <c r="W78" s="13"/>
      <c r="X78" s="52"/>
      <c r="Y78" s="13">
        <f t="shared" si="15"/>
        <v>-1.7100812725621254E-2</v>
      </c>
      <c r="Z78" s="13">
        <f t="shared" si="16"/>
        <v>-8.7855647352196257E-3</v>
      </c>
      <c r="AA78" s="13">
        <f t="shared" si="17"/>
        <v>-2.855989101974727E-4</v>
      </c>
      <c r="AB78" s="13">
        <f t="shared" si="18"/>
        <v>-1.3575570557827966E-2</v>
      </c>
      <c r="AC78" s="13">
        <f t="shared" si="19"/>
        <v>-1.3014256343093366E-2</v>
      </c>
      <c r="AD78" s="52"/>
      <c r="AL78" s="38"/>
    </row>
    <row r="79" spans="1:38" x14ac:dyDescent="0.2">
      <c r="A79" s="43">
        <v>45265</v>
      </c>
      <c r="B79" s="19">
        <v>192.68881200000001</v>
      </c>
      <c r="C79" s="19">
        <v>57.746445000000001</v>
      </c>
      <c r="D79" s="19">
        <v>155.23121599999999</v>
      </c>
      <c r="E79" s="19">
        <v>16.424029999999998</v>
      </c>
      <c r="F79" s="44">
        <v>4567.18</v>
      </c>
      <c r="G79" s="45">
        <v>5.0499999999999996E-2</v>
      </c>
      <c r="H79" s="37">
        <f t="shared" si="13"/>
        <v>1.970843837875158E-4</v>
      </c>
      <c r="J79" s="6">
        <f t="shared" si="20"/>
        <v>2.084449839920156E-2</v>
      </c>
      <c r="K79" s="6">
        <f t="shared" si="20"/>
        <v>1.5354718166455639E-3</v>
      </c>
      <c r="L79" s="6">
        <f t="shared" si="20"/>
        <v>-1.266031176191559E-4</v>
      </c>
      <c r="M79" s="6">
        <f t="shared" si="20"/>
        <v>3.306087505214772E-2</v>
      </c>
      <c r="N79" s="6">
        <f t="shared" si="20"/>
        <v>-5.691170958779145E-4</v>
      </c>
      <c r="O79" s="6">
        <f t="shared" si="14"/>
        <v>-2.1022800952401315E-2</v>
      </c>
      <c r="Q79" s="6"/>
      <c r="R79" s="13">
        <f t="shared" si="12"/>
        <v>2.0647414015414044E-2</v>
      </c>
      <c r="S79" s="13">
        <f t="shared" si="12"/>
        <v>1.3383874328580481E-3</v>
      </c>
      <c r="T79" s="13">
        <f t="shared" si="12"/>
        <v>-3.2368750140667174E-4</v>
      </c>
      <c r="U79" s="13">
        <f t="shared" si="12"/>
        <v>3.2863790668360204E-2</v>
      </c>
      <c r="V79" s="13">
        <f t="shared" si="12"/>
        <v>-7.6620147966543031E-4</v>
      </c>
      <c r="W79" s="13"/>
      <c r="X79" s="52"/>
      <c r="Y79" s="13" t="str">
        <f t="shared" si="15"/>
        <v/>
      </c>
      <c r="Z79" s="13" t="str">
        <f t="shared" si="16"/>
        <v/>
      </c>
      <c r="AA79" s="13" t="str">
        <f t="shared" si="17"/>
        <v/>
      </c>
      <c r="AB79" s="13" t="str">
        <f t="shared" si="18"/>
        <v/>
      </c>
      <c r="AC79" s="13" t="str">
        <f t="shared" si="19"/>
        <v/>
      </c>
      <c r="AD79" s="52"/>
      <c r="AL79" s="38"/>
    </row>
    <row r="80" spans="1:38" x14ac:dyDescent="0.2">
      <c r="A80" s="43">
        <v>45266</v>
      </c>
      <c r="B80" s="19">
        <v>191.59298699999999</v>
      </c>
      <c r="C80" s="19">
        <v>57.687378000000002</v>
      </c>
      <c r="D80" s="19">
        <v>153.60000600000001</v>
      </c>
      <c r="E80" s="19">
        <v>16.156974999999999</v>
      </c>
      <c r="F80" s="44">
        <v>4549.34</v>
      </c>
      <c r="G80" s="45">
        <v>5.0999999999999997E-2</v>
      </c>
      <c r="H80" s="37">
        <f t="shared" si="13"/>
        <v>1.9898816309771306E-4</v>
      </c>
      <c r="J80" s="6">
        <f t="shared" si="20"/>
        <v>-5.7032520050787593E-3</v>
      </c>
      <c r="K80" s="6">
        <f t="shared" si="20"/>
        <v>-1.0233916476147672E-3</v>
      </c>
      <c r="L80" s="6">
        <f t="shared" si="20"/>
        <v>-1.0563861768930536E-2</v>
      </c>
      <c r="M80" s="6">
        <f t="shared" si="20"/>
        <v>-1.6393661333646715E-2</v>
      </c>
      <c r="N80" s="6">
        <f t="shared" si="20"/>
        <v>-3.9137791113844191E-3</v>
      </c>
      <c r="O80" s="6">
        <f t="shared" si="14"/>
        <v>9.6133599104239326E-3</v>
      </c>
      <c r="Q80" s="6"/>
      <c r="R80" s="13">
        <f t="shared" si="12"/>
        <v>-5.9022401681764723E-3</v>
      </c>
      <c r="S80" s="13">
        <f t="shared" si="12"/>
        <v>-1.2223798107124802E-3</v>
      </c>
      <c r="T80" s="13">
        <f t="shared" si="12"/>
        <v>-1.0762849932028249E-2</v>
      </c>
      <c r="U80" s="13">
        <f t="shared" si="12"/>
        <v>-1.6592649496744428E-2</v>
      </c>
      <c r="V80" s="13">
        <f t="shared" si="12"/>
        <v>-4.1127672744821321E-3</v>
      </c>
      <c r="W80" s="13"/>
      <c r="X80" s="52"/>
      <c r="Y80" s="13">
        <f t="shared" si="15"/>
        <v>-1.5316611915502692E-2</v>
      </c>
      <c r="Z80" s="13">
        <f t="shared" si="16"/>
        <v>-1.06367515580387E-2</v>
      </c>
      <c r="AA80" s="13">
        <f t="shared" si="17"/>
        <v>-2.0177221679354471E-2</v>
      </c>
      <c r="AB80" s="13">
        <f t="shared" si="18"/>
        <v>-2.6007021244070647E-2</v>
      </c>
      <c r="AC80" s="13">
        <f t="shared" si="19"/>
        <v>-1.3527139021808351E-2</v>
      </c>
      <c r="AD80" s="52"/>
      <c r="AL80" s="38"/>
    </row>
    <row r="81" spans="1:38" x14ac:dyDescent="0.2">
      <c r="A81" s="43">
        <v>45267</v>
      </c>
      <c r="B81" s="19">
        <v>193.53559899999999</v>
      </c>
      <c r="C81" s="19">
        <v>57.825203000000002</v>
      </c>
      <c r="D81" s="19">
        <v>154.071686</v>
      </c>
      <c r="E81" s="19">
        <v>16.300039000000002</v>
      </c>
      <c r="F81" s="44">
        <v>4585.59</v>
      </c>
      <c r="G81" s="45">
        <v>5.0599999999999999E-2</v>
      </c>
      <c r="H81" s="37">
        <f t="shared" si="13"/>
        <v>1.9746521183972021E-4</v>
      </c>
      <c r="J81" s="6">
        <f t="shared" si="20"/>
        <v>1.0088207138443817E-2</v>
      </c>
      <c r="K81" s="6">
        <f t="shared" si="20"/>
        <v>2.3863212857141401E-3</v>
      </c>
      <c r="L81" s="6">
        <f t="shared" si="20"/>
        <v>3.0661278355592595E-3</v>
      </c>
      <c r="M81" s="6">
        <f t="shared" si="20"/>
        <v>8.8156554713472324E-3</v>
      </c>
      <c r="N81" s="6">
        <f t="shared" si="20"/>
        <v>7.9366104133129379E-3</v>
      </c>
      <c r="O81" s="6">
        <f t="shared" si="14"/>
        <v>-7.6829147917782045E-3</v>
      </c>
      <c r="Q81" s="6"/>
      <c r="R81" s="13">
        <f t="shared" si="12"/>
        <v>9.890741926604097E-3</v>
      </c>
      <c r="S81" s="13">
        <f t="shared" si="12"/>
        <v>2.1888560738744199E-3</v>
      </c>
      <c r="T81" s="13">
        <f t="shared" si="12"/>
        <v>2.8686626237195392E-3</v>
      </c>
      <c r="U81" s="13">
        <f t="shared" si="12"/>
        <v>8.6181902595075122E-3</v>
      </c>
      <c r="V81" s="13">
        <f t="shared" si="12"/>
        <v>7.7391452014732177E-3</v>
      </c>
      <c r="W81" s="13"/>
      <c r="X81" s="52"/>
      <c r="Y81" s="13" t="str">
        <f t="shared" si="15"/>
        <v/>
      </c>
      <c r="Z81" s="13" t="str">
        <f t="shared" si="16"/>
        <v/>
      </c>
      <c r="AA81" s="13" t="str">
        <f t="shared" si="17"/>
        <v/>
      </c>
      <c r="AB81" s="13" t="str">
        <f t="shared" si="18"/>
        <v/>
      </c>
      <c r="AC81" s="13" t="str">
        <f t="shared" si="19"/>
        <v/>
      </c>
      <c r="AD81" s="52"/>
      <c r="AL81" s="38"/>
    </row>
    <row r="82" spans="1:38" x14ac:dyDescent="0.2">
      <c r="A82" s="43">
        <v>45268</v>
      </c>
      <c r="B82" s="19">
        <v>194.97015400000001</v>
      </c>
      <c r="C82" s="19">
        <v>57.697223999999999</v>
      </c>
      <c r="D82" s="19">
        <v>155.77169799999999</v>
      </c>
      <c r="E82" s="19">
        <v>16.137896999999999</v>
      </c>
      <c r="F82" s="44">
        <v>4604.37</v>
      </c>
      <c r="G82" s="45">
        <v>5.0700000000000002E-2</v>
      </c>
      <c r="H82" s="37">
        <f t="shared" si="13"/>
        <v>1.9784600378991435E-4</v>
      </c>
      <c r="J82" s="6">
        <f t="shared" si="20"/>
        <v>7.3850207302899578E-3</v>
      </c>
      <c r="K82" s="6">
        <f t="shared" si="20"/>
        <v>-2.2156572655028478E-3</v>
      </c>
      <c r="L82" s="6">
        <f t="shared" si="20"/>
        <v>1.0973473354382132E-2</v>
      </c>
      <c r="M82" s="6">
        <f t="shared" si="20"/>
        <v>-9.9971434933014119E-3</v>
      </c>
      <c r="N82" s="6">
        <f t="shared" si="20"/>
        <v>4.0870746210065929E-3</v>
      </c>
      <c r="O82" s="6">
        <f t="shared" si="14"/>
        <v>1.9265432040200135E-3</v>
      </c>
      <c r="Q82" s="6"/>
      <c r="R82" s="13">
        <f t="shared" si="12"/>
        <v>7.1871747265000435E-3</v>
      </c>
      <c r="S82" s="13">
        <f t="shared" si="12"/>
        <v>-2.4135032692927621E-3</v>
      </c>
      <c r="T82" s="13">
        <f t="shared" si="12"/>
        <v>1.0775627350592218E-2</v>
      </c>
      <c r="U82" s="13">
        <f t="shared" si="12"/>
        <v>-1.0194989497091326E-2</v>
      </c>
      <c r="V82" s="13">
        <f t="shared" si="12"/>
        <v>3.8892286172166786E-3</v>
      </c>
      <c r="W82" s="13"/>
      <c r="X82" s="52"/>
      <c r="Y82" s="13" t="str">
        <f t="shared" si="15"/>
        <v/>
      </c>
      <c r="Z82" s="13">
        <f t="shared" si="16"/>
        <v>-4.1422004695228611E-3</v>
      </c>
      <c r="AA82" s="13" t="str">
        <f t="shared" si="17"/>
        <v/>
      </c>
      <c r="AB82" s="13">
        <f t="shared" si="18"/>
        <v>-1.1923686697321426E-2</v>
      </c>
      <c r="AC82" s="13" t="str">
        <f t="shared" si="19"/>
        <v/>
      </c>
      <c r="AD82" s="52"/>
      <c r="AL82" s="38"/>
    </row>
    <row r="83" spans="1:38" x14ac:dyDescent="0.2">
      <c r="A83" s="43">
        <v>45271</v>
      </c>
      <c r="B83" s="19">
        <v>192.44972200000001</v>
      </c>
      <c r="C83" s="19">
        <v>58.120525000000001</v>
      </c>
      <c r="D83" s="19">
        <v>156.341644</v>
      </c>
      <c r="E83" s="19">
        <v>15.851766</v>
      </c>
      <c r="F83" s="44">
        <v>4622.4399999999996</v>
      </c>
      <c r="G83" s="45">
        <v>5.0499999999999996E-2</v>
      </c>
      <c r="H83" s="37">
        <f t="shared" si="13"/>
        <v>1.970843837875158E-4</v>
      </c>
      <c r="J83" s="6">
        <f t="shared" si="20"/>
        <v>-1.301155524149791E-2</v>
      </c>
      <c r="K83" s="6">
        <f t="shared" si="20"/>
        <v>7.3098102582420726E-3</v>
      </c>
      <c r="L83" s="6">
        <f t="shared" si="20"/>
        <v>3.6521773139312004E-3</v>
      </c>
      <c r="M83" s="6">
        <f t="shared" si="20"/>
        <v>-1.7889443279638567E-2</v>
      </c>
      <c r="N83" s="6">
        <f t="shared" si="20"/>
        <v>3.9168516750811289E-3</v>
      </c>
      <c r="O83" s="6">
        <f t="shared" si="14"/>
        <v>-3.8569883226658797E-3</v>
      </c>
      <c r="Q83" s="6"/>
      <c r="R83" s="13">
        <f t="shared" si="12"/>
        <v>-1.3208639625285425E-2</v>
      </c>
      <c r="S83" s="13">
        <f t="shared" si="12"/>
        <v>7.1127258744545568E-3</v>
      </c>
      <c r="T83" s="13">
        <f t="shared" si="12"/>
        <v>3.4550929301436846E-3</v>
      </c>
      <c r="U83" s="13">
        <f t="shared" si="12"/>
        <v>-1.8086527663426083E-2</v>
      </c>
      <c r="V83" s="13">
        <f t="shared" si="12"/>
        <v>3.7197672912936131E-3</v>
      </c>
      <c r="W83" s="13"/>
      <c r="X83" s="52"/>
      <c r="Y83" s="13">
        <f t="shared" si="15"/>
        <v>-9.1545669188320307E-3</v>
      </c>
      <c r="Z83" s="13" t="str">
        <f t="shared" si="16"/>
        <v/>
      </c>
      <c r="AA83" s="13" t="str">
        <f t="shared" si="17"/>
        <v/>
      </c>
      <c r="AB83" s="13">
        <f t="shared" si="18"/>
        <v>-1.4032454956972688E-2</v>
      </c>
      <c r="AC83" s="13" t="str">
        <f t="shared" si="19"/>
        <v/>
      </c>
      <c r="AD83" s="52"/>
      <c r="AL83" s="38"/>
    </row>
    <row r="84" spans="1:38" x14ac:dyDescent="0.2">
      <c r="A84" s="43">
        <v>45272</v>
      </c>
      <c r="B84" s="19">
        <v>193.97395299999999</v>
      </c>
      <c r="C84" s="19">
        <v>58.494605999999997</v>
      </c>
      <c r="D84" s="19">
        <v>157.73701500000001</v>
      </c>
      <c r="E84" s="19">
        <v>15.651472</v>
      </c>
      <c r="F84" s="44">
        <v>4643.7</v>
      </c>
      <c r="G84" s="45">
        <v>5.1299999999999998E-2</v>
      </c>
      <c r="H84" s="37">
        <f t="shared" si="13"/>
        <v>2.0012999773522111E-4</v>
      </c>
      <c r="J84" s="6">
        <f t="shared" si="20"/>
        <v>7.8889519649972505E-3</v>
      </c>
      <c r="K84" s="6">
        <f t="shared" si="20"/>
        <v>6.4156731620670822E-3</v>
      </c>
      <c r="L84" s="6">
        <f t="shared" si="20"/>
        <v>8.8855459657744724E-3</v>
      </c>
      <c r="M84" s="6">
        <f t="shared" si="20"/>
        <v>-1.2715943603931842E-2</v>
      </c>
      <c r="N84" s="6">
        <f t="shared" si="20"/>
        <v>4.5887580600857377E-3</v>
      </c>
      <c r="O84" s="6">
        <f t="shared" si="14"/>
        <v>1.5335162949086231E-2</v>
      </c>
      <c r="Q84" s="6"/>
      <c r="R84" s="13">
        <f t="shared" si="12"/>
        <v>7.6888219672620293E-3</v>
      </c>
      <c r="S84" s="13">
        <f t="shared" si="12"/>
        <v>6.2155431643318611E-3</v>
      </c>
      <c r="T84" s="13">
        <f t="shared" si="12"/>
        <v>8.6854159680392513E-3</v>
      </c>
      <c r="U84" s="13">
        <f t="shared" si="12"/>
        <v>-1.2916073601667064E-2</v>
      </c>
      <c r="V84" s="13">
        <f t="shared" si="12"/>
        <v>4.3886280623505166E-3</v>
      </c>
      <c r="W84" s="13"/>
      <c r="X84" s="52"/>
      <c r="Y84" s="13">
        <f t="shared" si="15"/>
        <v>-7.4462109840889804E-3</v>
      </c>
      <c r="Z84" s="13">
        <f t="shared" si="16"/>
        <v>-8.9194897870191487E-3</v>
      </c>
      <c r="AA84" s="13">
        <f t="shared" si="17"/>
        <v>-6.4496169833117584E-3</v>
      </c>
      <c r="AB84" s="13">
        <f t="shared" si="18"/>
        <v>-2.8051106553018075E-2</v>
      </c>
      <c r="AC84" s="13">
        <f t="shared" si="19"/>
        <v>-1.0746404889000492E-2</v>
      </c>
      <c r="AD84" s="52"/>
      <c r="AL84" s="38"/>
    </row>
    <row r="85" spans="1:38" x14ac:dyDescent="0.2">
      <c r="A85" s="43">
        <v>45273</v>
      </c>
      <c r="B85" s="19">
        <v>197.21165500000001</v>
      </c>
      <c r="C85" s="19">
        <v>58.996665999999998</v>
      </c>
      <c r="D85" s="19">
        <v>158.26765399999999</v>
      </c>
      <c r="E85" s="19">
        <v>15.689624</v>
      </c>
      <c r="F85" s="44">
        <v>4707.09</v>
      </c>
      <c r="G85" s="45">
        <v>5.1399999999999994E-2</v>
      </c>
      <c r="H85" s="37">
        <f t="shared" si="13"/>
        <v>2.0051053716385603E-4</v>
      </c>
      <c r="J85" s="6">
        <f t="shared" si="20"/>
        <v>1.6553655693470191E-2</v>
      </c>
      <c r="K85" s="6">
        <f t="shared" si="20"/>
        <v>8.5463889760277086E-3</v>
      </c>
      <c r="L85" s="6">
        <f t="shared" si="20"/>
        <v>3.3584282184013106E-3</v>
      </c>
      <c r="M85" s="6">
        <f t="shared" si="20"/>
        <v>2.4346320782964847E-3</v>
      </c>
      <c r="N85" s="6">
        <f t="shared" si="20"/>
        <v>1.3558420429298217E-2</v>
      </c>
      <c r="O85" s="6">
        <f t="shared" si="14"/>
        <v>1.8996557258902202E-3</v>
      </c>
      <c r="Q85" s="6"/>
      <c r="R85" s="13">
        <f t="shared" si="12"/>
        <v>1.6353145156306335E-2</v>
      </c>
      <c r="S85" s="13">
        <f t="shared" si="12"/>
        <v>8.3458784388638525E-3</v>
      </c>
      <c r="T85" s="13">
        <f t="shared" si="12"/>
        <v>3.1579176812374546E-3</v>
      </c>
      <c r="U85" s="13">
        <f t="shared" si="12"/>
        <v>2.2341215411326287E-3</v>
      </c>
      <c r="V85" s="13">
        <f t="shared" si="12"/>
        <v>1.3357909892134361E-2</v>
      </c>
      <c r="W85" s="13"/>
      <c r="X85" s="52"/>
      <c r="Y85" s="13" t="str">
        <f t="shared" si="15"/>
        <v/>
      </c>
      <c r="Z85" s="13" t="str">
        <f t="shared" si="16"/>
        <v/>
      </c>
      <c r="AA85" s="13" t="str">
        <f t="shared" si="17"/>
        <v/>
      </c>
      <c r="AB85" s="13" t="str">
        <f t="shared" si="18"/>
        <v/>
      </c>
      <c r="AC85" s="13" t="str">
        <f t="shared" si="19"/>
        <v/>
      </c>
      <c r="AD85" s="52"/>
      <c r="AL85" s="38"/>
    </row>
    <row r="86" spans="1:38" x14ac:dyDescent="0.2">
      <c r="A86" s="43">
        <v>45274</v>
      </c>
      <c r="B86" s="19">
        <v>197.36108400000001</v>
      </c>
      <c r="C86" s="19">
        <v>58.120525000000001</v>
      </c>
      <c r="D86" s="19">
        <v>161.14686599999999</v>
      </c>
      <c r="E86" s="19">
        <v>15.880378</v>
      </c>
      <c r="F86" s="44">
        <v>4719.55</v>
      </c>
      <c r="G86" s="45">
        <v>5.1399999999999994E-2</v>
      </c>
      <c r="H86" s="37">
        <f t="shared" si="13"/>
        <v>2.0051053716385603E-4</v>
      </c>
      <c r="J86" s="6">
        <f t="shared" si="20"/>
        <v>7.5742185089877612E-4</v>
      </c>
      <c r="K86" s="6">
        <f t="shared" si="20"/>
        <v>-1.4962062138094838E-2</v>
      </c>
      <c r="L86" s="6">
        <f t="shared" si="20"/>
        <v>1.8028547888701854E-2</v>
      </c>
      <c r="M86" s="6">
        <f t="shared" si="20"/>
        <v>1.208465691282283E-2</v>
      </c>
      <c r="N86" s="6">
        <f t="shared" si="20"/>
        <v>2.6435733742609306E-3</v>
      </c>
      <c r="O86" s="6">
        <f t="shared" si="14"/>
        <v>0</v>
      </c>
      <c r="Q86" s="6"/>
      <c r="R86" s="13">
        <f t="shared" si="12"/>
        <v>5.5691131373492009E-4</v>
      </c>
      <c r="S86" s="13">
        <f t="shared" si="12"/>
        <v>-1.5162572675258694E-2</v>
      </c>
      <c r="T86" s="13">
        <f t="shared" si="12"/>
        <v>1.7828037351537998E-2</v>
      </c>
      <c r="U86" s="13">
        <f t="shared" si="12"/>
        <v>1.1884146375658974E-2</v>
      </c>
      <c r="V86" s="13">
        <f t="shared" si="12"/>
        <v>2.4430628370970746E-3</v>
      </c>
      <c r="W86" s="13"/>
      <c r="X86" s="52"/>
      <c r="Y86" s="13" t="str">
        <f t="shared" si="15"/>
        <v/>
      </c>
      <c r="Z86" s="13">
        <f t="shared" si="16"/>
        <v>-1.4962062138094838E-2</v>
      </c>
      <c r="AA86" s="13" t="str">
        <f t="shared" si="17"/>
        <v/>
      </c>
      <c r="AB86" s="13" t="str">
        <f t="shared" si="18"/>
        <v/>
      </c>
      <c r="AC86" s="13" t="str">
        <f t="shared" si="19"/>
        <v/>
      </c>
      <c r="AD86" s="52"/>
      <c r="AL86" s="38"/>
    </row>
    <row r="87" spans="1:38" x14ac:dyDescent="0.2">
      <c r="A87" s="43">
        <v>45275</v>
      </c>
      <c r="B87" s="19">
        <v>196.82311999999999</v>
      </c>
      <c r="C87" s="19">
        <v>57.687378000000002</v>
      </c>
      <c r="D87" s="19">
        <v>162.36535599999999</v>
      </c>
      <c r="E87" s="19">
        <v>15.756387999999999</v>
      </c>
      <c r="F87" s="44">
        <v>4719.1899999999996</v>
      </c>
      <c r="G87" s="45">
        <v>4.9400000000000006E-2</v>
      </c>
      <c r="H87" s="37">
        <f t="shared" si="13"/>
        <v>1.9289289052348835E-4</v>
      </c>
      <c r="J87" s="6">
        <f t="shared" si="20"/>
        <v>-2.7295073142777661E-3</v>
      </c>
      <c r="K87" s="6">
        <f t="shared" si="20"/>
        <v>-7.4804742784532674E-3</v>
      </c>
      <c r="L87" s="6">
        <f t="shared" si="20"/>
        <v>7.5329194945627474E-3</v>
      </c>
      <c r="M87" s="6">
        <f t="shared" si="20"/>
        <v>-7.8383887172057826E-3</v>
      </c>
      <c r="N87" s="6">
        <f t="shared" si="20"/>
        <v>-7.6281368101049259E-5</v>
      </c>
      <c r="O87" s="6">
        <f t="shared" si="14"/>
        <v>-3.8731736328505399E-2</v>
      </c>
      <c r="Q87" s="6"/>
      <c r="R87" s="13">
        <f t="shared" si="12"/>
        <v>-2.9224002048012544E-3</v>
      </c>
      <c r="S87" s="13">
        <f t="shared" si="12"/>
        <v>-7.6733671689767557E-3</v>
      </c>
      <c r="T87" s="13">
        <f t="shared" si="12"/>
        <v>7.3400266040392591E-3</v>
      </c>
      <c r="U87" s="13">
        <f t="shared" si="12"/>
        <v>-8.0312816077292709E-3</v>
      </c>
      <c r="V87" s="13">
        <f t="shared" si="12"/>
        <v>-2.6917425862453759E-4</v>
      </c>
      <c r="W87" s="13"/>
      <c r="X87" s="52"/>
      <c r="Y87" s="13" t="str">
        <f t="shared" si="15"/>
        <v/>
      </c>
      <c r="Z87" s="13" t="str">
        <f t="shared" si="16"/>
        <v/>
      </c>
      <c r="AA87" s="13" t="str">
        <f t="shared" si="17"/>
        <v/>
      </c>
      <c r="AB87" s="13" t="str">
        <f t="shared" si="18"/>
        <v/>
      </c>
      <c r="AC87" s="13" t="str">
        <f t="shared" si="19"/>
        <v/>
      </c>
      <c r="AD87" s="52"/>
      <c r="AL87" s="38"/>
    </row>
    <row r="88" spans="1:38" x14ac:dyDescent="0.2">
      <c r="A88" s="43">
        <v>45278</v>
      </c>
      <c r="B88" s="19">
        <v>195.149475</v>
      </c>
      <c r="C88" s="19">
        <v>58.100842</v>
      </c>
      <c r="D88" s="19">
        <v>163.348007</v>
      </c>
      <c r="E88" s="19">
        <v>15.699159999999999</v>
      </c>
      <c r="F88" s="44">
        <v>4740.5600000000004</v>
      </c>
      <c r="G88" s="45">
        <v>4.9000000000000002E-2</v>
      </c>
      <c r="H88" s="37">
        <f t="shared" si="13"/>
        <v>1.9136762610516556E-4</v>
      </c>
      <c r="J88" s="6">
        <f t="shared" si="20"/>
        <v>-8.53965400802611E-3</v>
      </c>
      <c r="K88" s="6">
        <f t="shared" si="20"/>
        <v>7.1417585896560408E-3</v>
      </c>
      <c r="L88" s="6">
        <f t="shared" si="20"/>
        <v>6.0338573294274594E-3</v>
      </c>
      <c r="M88" s="6">
        <f t="shared" si="20"/>
        <v>-3.6386626067303612E-3</v>
      </c>
      <c r="N88" s="6">
        <f t="shared" si="20"/>
        <v>4.5180974872495441E-3</v>
      </c>
      <c r="O88" s="6">
        <f t="shared" si="14"/>
        <v>-7.938741363990285E-3</v>
      </c>
      <c r="Q88" s="6"/>
      <c r="R88" s="13">
        <f t="shared" si="12"/>
        <v>-8.7310216341312755E-3</v>
      </c>
      <c r="S88" s="13">
        <f t="shared" si="12"/>
        <v>6.9503909635508752E-3</v>
      </c>
      <c r="T88" s="13">
        <f t="shared" si="12"/>
        <v>5.8424897033222938E-3</v>
      </c>
      <c r="U88" s="13">
        <f t="shared" si="12"/>
        <v>-3.8300302328355268E-3</v>
      </c>
      <c r="V88" s="13">
        <f t="shared" si="12"/>
        <v>4.3267298611443785E-3</v>
      </c>
      <c r="W88" s="13"/>
      <c r="X88" s="52"/>
      <c r="Y88" s="13">
        <f t="shared" si="15"/>
        <v>-6.0091264403582499E-4</v>
      </c>
      <c r="Z88" s="13" t="str">
        <f t="shared" si="16"/>
        <v/>
      </c>
      <c r="AA88" s="13" t="str">
        <f t="shared" si="17"/>
        <v/>
      </c>
      <c r="AB88" s="13" t="str">
        <f t="shared" si="18"/>
        <v/>
      </c>
      <c r="AC88" s="13" t="str">
        <f t="shared" si="19"/>
        <v/>
      </c>
      <c r="AD88" s="52"/>
      <c r="AL88" s="38"/>
    </row>
    <row r="89" spans="1:38" x14ac:dyDescent="0.2">
      <c r="A89" s="43">
        <v>45279</v>
      </c>
      <c r="B89" s="19">
        <v>196.19551100000001</v>
      </c>
      <c r="C89" s="19">
        <v>57.913798999999997</v>
      </c>
      <c r="D89" s="19">
        <v>165.52950999999999</v>
      </c>
      <c r="E89" s="19">
        <v>15.842228</v>
      </c>
      <c r="F89" s="44">
        <v>4768.37</v>
      </c>
      <c r="G89" s="45">
        <v>4.9500000000000002E-2</v>
      </c>
      <c r="H89" s="37">
        <f t="shared" si="13"/>
        <v>1.9327411614988854E-4</v>
      </c>
      <c r="J89" s="6">
        <f t="shared" si="20"/>
        <v>5.3458637702141027E-3</v>
      </c>
      <c r="K89" s="6">
        <f t="shared" si="20"/>
        <v>-3.2244751257021888E-3</v>
      </c>
      <c r="L89" s="6">
        <f t="shared" si="20"/>
        <v>1.3266549902395489E-2</v>
      </c>
      <c r="M89" s="6">
        <f t="shared" si="20"/>
        <v>9.0718253225267661E-3</v>
      </c>
      <c r="N89" s="6">
        <f t="shared" si="20"/>
        <v>5.8492552349014293E-3</v>
      </c>
      <c r="O89" s="6">
        <f t="shared" si="14"/>
        <v>9.9131500713952395E-3</v>
      </c>
      <c r="Q89" s="6"/>
      <c r="R89" s="13">
        <f t="shared" si="12"/>
        <v>5.1525896540642142E-3</v>
      </c>
      <c r="S89" s="13">
        <f t="shared" si="12"/>
        <v>-3.4177492418520773E-3</v>
      </c>
      <c r="T89" s="13">
        <f t="shared" si="12"/>
        <v>1.30732757862456E-2</v>
      </c>
      <c r="U89" s="13">
        <f t="shared" si="12"/>
        <v>8.8785512063768775E-3</v>
      </c>
      <c r="V89" s="13">
        <f t="shared" si="12"/>
        <v>5.6559811187515407E-3</v>
      </c>
      <c r="W89" s="13"/>
      <c r="X89" s="52"/>
      <c r="Y89" s="13">
        <f t="shared" si="15"/>
        <v>-4.5672863011811367E-3</v>
      </c>
      <c r="Z89" s="13">
        <f t="shared" si="16"/>
        <v>-1.3137625197097429E-2</v>
      </c>
      <c r="AA89" s="13" t="str">
        <f t="shared" si="17"/>
        <v/>
      </c>
      <c r="AB89" s="13">
        <f t="shared" si="18"/>
        <v>-8.4132474886847337E-4</v>
      </c>
      <c r="AC89" s="13">
        <f t="shared" si="19"/>
        <v>-4.0638948364938102E-3</v>
      </c>
      <c r="AD89" s="52"/>
      <c r="AL89" s="38"/>
    </row>
    <row r="90" spans="1:38" x14ac:dyDescent="0.2">
      <c r="A90" s="43">
        <v>45280</v>
      </c>
      <c r="B90" s="19">
        <v>194.093491</v>
      </c>
      <c r="C90" s="19">
        <v>56.712798999999997</v>
      </c>
      <c r="D90" s="19">
        <v>163.66246000000001</v>
      </c>
      <c r="E90" s="19">
        <v>15.641933</v>
      </c>
      <c r="F90" s="44">
        <v>4698.3500000000004</v>
      </c>
      <c r="G90" s="45">
        <v>4.9500000000000002E-2</v>
      </c>
      <c r="H90" s="37">
        <f t="shared" si="13"/>
        <v>1.9327411614988854E-4</v>
      </c>
      <c r="J90" s="6">
        <f t="shared" si="20"/>
        <v>-1.0771711802952852E-2</v>
      </c>
      <c r="K90" s="6">
        <f t="shared" si="20"/>
        <v>-2.0955763699396959E-2</v>
      </c>
      <c r="L90" s="6">
        <f t="shared" si="20"/>
        <v>-1.1343350930772851E-2</v>
      </c>
      <c r="M90" s="6">
        <f t="shared" si="20"/>
        <v>-1.2723712230209391E-2</v>
      </c>
      <c r="N90" s="6">
        <f t="shared" si="20"/>
        <v>-1.4793144174519959E-2</v>
      </c>
      <c r="O90" s="6">
        <f t="shared" si="14"/>
        <v>0</v>
      </c>
      <c r="Q90" s="6"/>
      <c r="R90" s="13">
        <f t="shared" si="12"/>
        <v>-1.096498591910274E-2</v>
      </c>
      <c r="S90" s="13">
        <f t="shared" si="12"/>
        <v>-2.1149037815546848E-2</v>
      </c>
      <c r="T90" s="13">
        <f t="shared" si="12"/>
        <v>-1.153662504692274E-2</v>
      </c>
      <c r="U90" s="13">
        <f t="shared" si="12"/>
        <v>-1.291698634635928E-2</v>
      </c>
      <c r="V90" s="13">
        <f t="shared" si="12"/>
        <v>-1.4986418290669847E-2</v>
      </c>
      <c r="W90" s="13"/>
      <c r="X90" s="52"/>
      <c r="Y90" s="13">
        <f t="shared" si="15"/>
        <v>-1.0771711802952852E-2</v>
      </c>
      <c r="Z90" s="13">
        <f t="shared" si="16"/>
        <v>-2.0955763699396959E-2</v>
      </c>
      <c r="AA90" s="13">
        <f t="shared" si="17"/>
        <v>-1.1343350930772851E-2</v>
      </c>
      <c r="AB90" s="13">
        <f t="shared" si="18"/>
        <v>-1.2723712230209391E-2</v>
      </c>
      <c r="AC90" s="13">
        <f t="shared" si="19"/>
        <v>-1.4793144174519959E-2</v>
      </c>
      <c r="AD90" s="52"/>
      <c r="AL90" s="38"/>
    </row>
    <row r="91" spans="1:38" x14ac:dyDescent="0.2">
      <c r="A91" s="43">
        <v>45281</v>
      </c>
      <c r="B91" s="19">
        <v>193.944031</v>
      </c>
      <c r="C91" s="19">
        <v>57.086883999999998</v>
      </c>
      <c r="D91" s="19">
        <v>164.59599299999999</v>
      </c>
      <c r="E91" s="19">
        <v>15.727774999999999</v>
      </c>
      <c r="F91" s="44">
        <v>4746.75</v>
      </c>
      <c r="G91" s="45">
        <v>4.9299999999999997E-2</v>
      </c>
      <c r="H91" s="37">
        <f t="shared" si="13"/>
        <v>1.9251162871269933E-4</v>
      </c>
      <c r="J91" s="6">
        <f t="shared" si="20"/>
        <v>-7.7033791279105483E-4</v>
      </c>
      <c r="K91" s="6">
        <f t="shared" si="20"/>
        <v>6.5744708171604086E-3</v>
      </c>
      <c r="L91" s="6">
        <f t="shared" si="20"/>
        <v>5.6878079343058051E-3</v>
      </c>
      <c r="M91" s="6">
        <f t="shared" si="20"/>
        <v>5.4729367751170889E-3</v>
      </c>
      <c r="N91" s="6">
        <f t="shared" si="20"/>
        <v>1.024879009249407E-2</v>
      </c>
      <c r="O91" s="6">
        <f t="shared" si="14"/>
        <v>-3.9529113773502057E-3</v>
      </c>
      <c r="Q91" s="6"/>
      <c r="R91" s="13">
        <f t="shared" si="12"/>
        <v>-9.6284954150375416E-4</v>
      </c>
      <c r="S91" s="13">
        <f t="shared" si="12"/>
        <v>6.3819591884477092E-3</v>
      </c>
      <c r="T91" s="13">
        <f t="shared" si="12"/>
        <v>5.4952963055931057E-3</v>
      </c>
      <c r="U91" s="13">
        <f t="shared" si="12"/>
        <v>5.2804251464043895E-3</v>
      </c>
      <c r="V91" s="13">
        <f t="shared" si="12"/>
        <v>1.0056278463781371E-2</v>
      </c>
      <c r="W91" s="13"/>
      <c r="X91" s="52"/>
      <c r="Y91" s="13" t="str">
        <f t="shared" si="15"/>
        <v/>
      </c>
      <c r="Z91" s="13" t="str">
        <f t="shared" si="16"/>
        <v/>
      </c>
      <c r="AA91" s="13" t="str">
        <f t="shared" si="17"/>
        <v/>
      </c>
      <c r="AB91" s="13" t="str">
        <f t="shared" si="18"/>
        <v/>
      </c>
      <c r="AC91" s="13" t="str">
        <f t="shared" si="19"/>
        <v/>
      </c>
      <c r="AD91" s="52"/>
      <c r="AL91" s="38"/>
    </row>
    <row r="92" spans="1:38" x14ac:dyDescent="0.2">
      <c r="A92" s="43">
        <v>45282</v>
      </c>
      <c r="B92" s="19">
        <v>192.868134</v>
      </c>
      <c r="C92" s="19">
        <v>57.411738999999997</v>
      </c>
      <c r="D92" s="19">
        <v>164.497726</v>
      </c>
      <c r="E92" s="19">
        <v>15.784998999999999</v>
      </c>
      <c r="F92" s="44">
        <v>4754.63</v>
      </c>
      <c r="G92" s="45">
        <v>4.8799999999999996E-2</v>
      </c>
      <c r="H92" s="37">
        <f t="shared" si="13"/>
        <v>1.9060477665200359E-4</v>
      </c>
      <c r="J92" s="6">
        <f t="shared" si="20"/>
        <v>-5.5629055748559423E-3</v>
      </c>
      <c r="K92" s="6">
        <f t="shared" si="20"/>
        <v>5.6744066112261139E-3</v>
      </c>
      <c r="L92" s="6">
        <f t="shared" si="20"/>
        <v>-5.9719768106862266E-4</v>
      </c>
      <c r="M92" s="6">
        <f t="shared" si="20"/>
        <v>3.6318010530331695E-3</v>
      </c>
      <c r="N92" s="6">
        <f t="shared" si="20"/>
        <v>1.6587067997896167E-3</v>
      </c>
      <c r="O92" s="6">
        <f t="shared" si="14"/>
        <v>-9.9545087610752991E-3</v>
      </c>
      <c r="Q92" s="6"/>
      <c r="R92" s="13">
        <f t="shared" si="12"/>
        <v>-5.7535103515079459E-3</v>
      </c>
      <c r="S92" s="13">
        <f t="shared" si="12"/>
        <v>5.4838018345741103E-3</v>
      </c>
      <c r="T92" s="13">
        <f t="shared" si="12"/>
        <v>-7.8780245772062626E-4</v>
      </c>
      <c r="U92" s="13">
        <f t="shared" si="12"/>
        <v>3.4411962763811659E-3</v>
      </c>
      <c r="V92" s="13">
        <f t="shared" si="12"/>
        <v>1.4681020231376131E-3</v>
      </c>
      <c r="W92" s="13"/>
      <c r="X92" s="52"/>
      <c r="Y92" s="13" t="str">
        <f t="shared" si="15"/>
        <v/>
      </c>
      <c r="Z92" s="13" t="str">
        <f t="shared" si="16"/>
        <v/>
      </c>
      <c r="AA92" s="13" t="str">
        <f t="shared" si="17"/>
        <v/>
      </c>
      <c r="AB92" s="13" t="str">
        <f t="shared" si="18"/>
        <v/>
      </c>
      <c r="AC92" s="13" t="str">
        <f t="shared" si="19"/>
        <v/>
      </c>
      <c r="AD92" s="52"/>
      <c r="AL92" s="38"/>
    </row>
    <row r="93" spans="1:38" x14ac:dyDescent="0.2">
      <c r="A93" s="43">
        <v>45286</v>
      </c>
      <c r="B93" s="19">
        <v>192.320221</v>
      </c>
      <c r="C93" s="19">
        <v>57.648003000000003</v>
      </c>
      <c r="D93" s="19">
        <v>165.47056599999999</v>
      </c>
      <c r="E93" s="19">
        <v>15.804074999999999</v>
      </c>
      <c r="F93" s="44">
        <v>4774.75</v>
      </c>
      <c r="G93" s="45">
        <v>4.8399999999999999E-2</v>
      </c>
      <c r="H93" s="37">
        <f t="shared" si="13"/>
        <v>1.8907864298212118E-4</v>
      </c>
      <c r="J93" s="6">
        <f t="shared" si="20"/>
        <v>-2.8449113917028523E-3</v>
      </c>
      <c r="K93" s="6">
        <f t="shared" si="20"/>
        <v>4.1068114348282283E-3</v>
      </c>
      <c r="L93" s="6">
        <f t="shared" si="20"/>
        <v>5.8965836558493075E-3</v>
      </c>
      <c r="M93" s="6">
        <f t="shared" si="20"/>
        <v>1.2077595132303129E-3</v>
      </c>
      <c r="N93" s="6">
        <f t="shared" si="20"/>
        <v>4.2227363999498384E-3</v>
      </c>
      <c r="O93" s="6">
        <f t="shared" si="14"/>
        <v>-8.0390230909918731E-3</v>
      </c>
      <c r="Q93" s="6"/>
      <c r="R93" s="13">
        <f t="shared" si="12"/>
        <v>-3.0339900346849735E-3</v>
      </c>
      <c r="S93" s="13">
        <f t="shared" si="12"/>
        <v>3.9177327918461071E-3</v>
      </c>
      <c r="T93" s="13">
        <f t="shared" si="12"/>
        <v>5.7075050128671864E-3</v>
      </c>
      <c r="U93" s="13">
        <f t="shared" si="12"/>
        <v>1.0186808702481918E-3</v>
      </c>
      <c r="V93" s="13">
        <f t="shared" si="12"/>
        <v>4.0336577569677172E-3</v>
      </c>
      <c r="W93" s="13"/>
      <c r="X93" s="52"/>
      <c r="Y93" s="13" t="str">
        <f t="shared" si="15"/>
        <v/>
      </c>
      <c r="Z93" s="13" t="str">
        <f t="shared" si="16"/>
        <v/>
      </c>
      <c r="AA93" s="13" t="str">
        <f t="shared" si="17"/>
        <v/>
      </c>
      <c r="AB93" s="13" t="str">
        <f t="shared" si="18"/>
        <v/>
      </c>
      <c r="AC93" s="13" t="str">
        <f t="shared" si="19"/>
        <v/>
      </c>
      <c r="AD93" s="52"/>
      <c r="AL93" s="38"/>
    </row>
    <row r="94" spans="1:38" x14ac:dyDescent="0.2">
      <c r="A94" s="43">
        <v>45287</v>
      </c>
      <c r="B94" s="19">
        <v>192.41982999999999</v>
      </c>
      <c r="C94" s="19">
        <v>57.795662</v>
      </c>
      <c r="D94" s="19">
        <v>166.46305799999999</v>
      </c>
      <c r="E94" s="19">
        <v>15.813613</v>
      </c>
      <c r="F94" s="44">
        <v>4781.58</v>
      </c>
      <c r="G94" s="45">
        <v>4.82E-2</v>
      </c>
      <c r="H94" s="37">
        <f t="shared" si="13"/>
        <v>1.8831535865504456E-4</v>
      </c>
      <c r="J94" s="6">
        <f t="shared" si="20"/>
        <v>5.1779897604456546E-4</v>
      </c>
      <c r="K94" s="6">
        <f t="shared" si="20"/>
        <v>2.5581149129798759E-3</v>
      </c>
      <c r="L94" s="6">
        <f t="shared" si="20"/>
        <v>5.9800808714544585E-3</v>
      </c>
      <c r="M94" s="6">
        <f t="shared" si="20"/>
        <v>6.0333319054379066E-4</v>
      </c>
      <c r="N94" s="6">
        <f t="shared" si="20"/>
        <v>1.429419277681746E-3</v>
      </c>
      <c r="O94" s="6">
        <f t="shared" si="14"/>
        <v>-4.0450317944709362E-3</v>
      </c>
      <c r="Q94" s="6"/>
      <c r="R94" s="13">
        <f t="shared" si="12"/>
        <v>3.294836173895209E-4</v>
      </c>
      <c r="S94" s="13">
        <f t="shared" si="12"/>
        <v>2.3697995543248314E-3</v>
      </c>
      <c r="T94" s="13">
        <f t="shared" si="12"/>
        <v>5.791765512799414E-3</v>
      </c>
      <c r="U94" s="13">
        <f t="shared" si="12"/>
        <v>4.150178318887461E-4</v>
      </c>
      <c r="V94" s="13">
        <f t="shared" si="12"/>
        <v>1.2411039190267014E-3</v>
      </c>
      <c r="W94" s="13"/>
      <c r="X94" s="52"/>
      <c r="Y94" s="13" t="str">
        <f t="shared" si="15"/>
        <v/>
      </c>
      <c r="Z94" s="13" t="str">
        <f t="shared" si="16"/>
        <v/>
      </c>
      <c r="AA94" s="13" t="str">
        <f t="shared" si="17"/>
        <v/>
      </c>
      <c r="AB94" s="13" t="str">
        <f t="shared" si="18"/>
        <v/>
      </c>
      <c r="AC94" s="13" t="str">
        <f t="shared" si="19"/>
        <v/>
      </c>
      <c r="AD94" s="52"/>
      <c r="AL94" s="38"/>
    </row>
    <row r="95" spans="1:38" x14ac:dyDescent="0.2">
      <c r="A95" s="43">
        <v>45288</v>
      </c>
      <c r="B95" s="19">
        <v>192.848206</v>
      </c>
      <c r="C95" s="19">
        <v>57.835045000000001</v>
      </c>
      <c r="D95" s="19">
        <v>167.34747300000001</v>
      </c>
      <c r="E95" s="19">
        <v>15.966218</v>
      </c>
      <c r="F95" s="44">
        <v>4783.3500000000004</v>
      </c>
      <c r="G95" s="45">
        <v>4.82E-2</v>
      </c>
      <c r="H95" s="37">
        <f t="shared" si="13"/>
        <v>1.8831535865504456E-4</v>
      </c>
      <c r="J95" s="6">
        <f t="shared" si="20"/>
        <v>2.2237825955231019E-3</v>
      </c>
      <c r="K95" s="6">
        <f t="shared" si="20"/>
        <v>6.811858639393253E-4</v>
      </c>
      <c r="L95" s="6">
        <f t="shared" si="20"/>
        <v>5.2989165247204857E-3</v>
      </c>
      <c r="M95" s="6">
        <f t="shared" si="20"/>
        <v>9.6039637827291333E-3</v>
      </c>
      <c r="N95" s="6">
        <f t="shared" si="20"/>
        <v>3.7010203319937546E-4</v>
      </c>
      <c r="O95" s="6">
        <f t="shared" si="14"/>
        <v>0</v>
      </c>
      <c r="Q95" s="6"/>
      <c r="R95" s="13">
        <f t="shared" si="12"/>
        <v>2.0354672368680573E-3</v>
      </c>
      <c r="S95" s="13">
        <f t="shared" si="12"/>
        <v>4.9287050528428074E-4</v>
      </c>
      <c r="T95" s="13">
        <f t="shared" si="12"/>
        <v>5.1106011660654411E-3</v>
      </c>
      <c r="U95" s="13">
        <f t="shared" si="12"/>
        <v>9.4156484240740888E-3</v>
      </c>
      <c r="V95" s="13">
        <f t="shared" si="12"/>
        <v>1.817866745443309E-4</v>
      </c>
      <c r="W95" s="13"/>
      <c r="X95" s="52"/>
      <c r="Y95" s="13" t="str">
        <f t="shared" si="15"/>
        <v/>
      </c>
      <c r="Z95" s="13" t="str">
        <f t="shared" si="16"/>
        <v/>
      </c>
      <c r="AA95" s="13" t="str">
        <f t="shared" si="17"/>
        <v/>
      </c>
      <c r="AB95" s="13" t="str">
        <f t="shared" si="18"/>
        <v/>
      </c>
      <c r="AC95" s="13" t="str">
        <f t="shared" si="19"/>
        <v/>
      </c>
      <c r="AD95" s="52"/>
      <c r="AL95" s="38"/>
    </row>
    <row r="96" spans="1:38" x14ac:dyDescent="0.2">
      <c r="A96" s="43">
        <v>45289</v>
      </c>
      <c r="B96" s="19">
        <v>191.80216999999999</v>
      </c>
      <c r="C96" s="19">
        <v>58.012238000000004</v>
      </c>
      <c r="D96" s="19">
        <v>167.150925</v>
      </c>
      <c r="E96" s="19">
        <v>16.004370000000002</v>
      </c>
      <c r="F96" s="44">
        <v>4769.83</v>
      </c>
      <c r="G96" s="45">
        <v>4.8300000000000003E-2</v>
      </c>
      <c r="H96" s="37">
        <f t="shared" si="13"/>
        <v>1.8869701894863589E-4</v>
      </c>
      <c r="J96" s="6">
        <f t="shared" si="20"/>
        <v>-5.4389057902563941E-3</v>
      </c>
      <c r="K96" s="6">
        <f t="shared" si="20"/>
        <v>3.0590814664282501E-3</v>
      </c>
      <c r="L96" s="6">
        <f t="shared" si="20"/>
        <v>-1.1751806513597941E-3</v>
      </c>
      <c r="M96" s="6">
        <f t="shared" si="20"/>
        <v>2.3866948027653455E-3</v>
      </c>
      <c r="N96" s="6">
        <f t="shared" si="20"/>
        <v>-2.8304729998547477E-3</v>
      </c>
      <c r="O96" s="6">
        <f t="shared" si="14"/>
        <v>2.0246572613530339E-3</v>
      </c>
      <c r="Q96" s="6"/>
      <c r="R96" s="13">
        <f t="shared" si="12"/>
        <v>-5.62760280920503E-3</v>
      </c>
      <c r="S96" s="13">
        <f t="shared" si="12"/>
        <v>2.8703844474796143E-3</v>
      </c>
      <c r="T96" s="13">
        <f t="shared" si="12"/>
        <v>-1.36387767030843E-3</v>
      </c>
      <c r="U96" s="13">
        <f t="shared" si="12"/>
        <v>2.1979977838167096E-3</v>
      </c>
      <c r="V96" s="13">
        <f t="shared" si="12"/>
        <v>-3.0191700188033836E-3</v>
      </c>
      <c r="W96" s="13"/>
      <c r="X96" s="52"/>
      <c r="Y96" s="13">
        <f t="shared" si="15"/>
        <v>-7.463563051609428E-3</v>
      </c>
      <c r="Z96" s="13" t="str">
        <f t="shared" si="16"/>
        <v/>
      </c>
      <c r="AA96" s="13">
        <f t="shared" si="17"/>
        <v>-3.1998379127128277E-3</v>
      </c>
      <c r="AB96" s="13" t="str">
        <f t="shared" si="18"/>
        <v/>
      </c>
      <c r="AC96" s="13">
        <f t="shared" si="19"/>
        <v>-4.855130261207782E-3</v>
      </c>
      <c r="AD96" s="52"/>
      <c r="AL96" s="38"/>
    </row>
    <row r="97" spans="1:38" x14ac:dyDescent="0.2">
      <c r="A97" s="43">
        <v>45293</v>
      </c>
      <c r="B97" s="19">
        <v>184.93821700000001</v>
      </c>
      <c r="C97" s="19">
        <v>58.888378000000003</v>
      </c>
      <c r="D97" s="19">
        <v>169.09660299999999</v>
      </c>
      <c r="E97" s="19">
        <v>16.452643999999999</v>
      </c>
      <c r="F97" s="44">
        <v>4742.83</v>
      </c>
      <c r="G97" s="45">
        <v>4.7899999999999998E-2</v>
      </c>
      <c r="H97" s="37">
        <f t="shared" si="13"/>
        <v>1.8717016014413446E-4</v>
      </c>
      <c r="J97" s="6">
        <f t="shared" si="20"/>
        <v>-3.6442669115568614E-2</v>
      </c>
      <c r="K97" s="6">
        <f t="shared" si="20"/>
        <v>1.4989765411567772E-2</v>
      </c>
      <c r="L97" s="6">
        <f t="shared" si="20"/>
        <v>1.1573020195509662E-2</v>
      </c>
      <c r="M97" s="6">
        <f t="shared" si="20"/>
        <v>2.7624383831125431E-2</v>
      </c>
      <c r="N97" s="6">
        <f t="shared" si="20"/>
        <v>-5.6766608929654707E-3</v>
      </c>
      <c r="O97" s="6">
        <f t="shared" si="14"/>
        <v>-8.1245040168903531E-3</v>
      </c>
      <c r="Q97" s="6"/>
      <c r="R97" s="13">
        <f t="shared" si="12"/>
        <v>-3.6629839275712749E-2</v>
      </c>
      <c r="S97" s="13">
        <f t="shared" si="12"/>
        <v>1.4802595251423637E-2</v>
      </c>
      <c r="T97" s="13">
        <f t="shared" si="12"/>
        <v>1.1385850035365528E-2</v>
      </c>
      <c r="U97" s="13">
        <f t="shared" si="12"/>
        <v>2.7437213670981297E-2</v>
      </c>
      <c r="V97" s="13">
        <f t="shared" si="12"/>
        <v>-5.8638310531096052E-3</v>
      </c>
      <c r="W97" s="13"/>
      <c r="X97" s="52"/>
      <c r="Y97" s="13">
        <f t="shared" si="15"/>
        <v>-2.8318165098678259E-2</v>
      </c>
      <c r="Z97" s="13" t="str">
        <f t="shared" si="16"/>
        <v/>
      </c>
      <c r="AA97" s="13" t="str">
        <f t="shared" si="17"/>
        <v/>
      </c>
      <c r="AB97" s="13" t="str">
        <f t="shared" si="18"/>
        <v/>
      </c>
      <c r="AC97" s="13" t="str">
        <f t="shared" si="19"/>
        <v/>
      </c>
      <c r="AD97" s="52"/>
      <c r="AL97" s="38"/>
    </row>
    <row r="98" spans="1:38" x14ac:dyDescent="0.2">
      <c r="A98" s="43">
        <v>45294</v>
      </c>
      <c r="B98" s="19">
        <v>183.55346700000001</v>
      </c>
      <c r="C98" s="19">
        <v>59.026195999999999</v>
      </c>
      <c r="D98" s="19">
        <v>168.35960399999999</v>
      </c>
      <c r="E98" s="19">
        <v>16.433568999999999</v>
      </c>
      <c r="F98" s="44">
        <v>4704.8100000000004</v>
      </c>
      <c r="G98" s="45">
        <v>4.82E-2</v>
      </c>
      <c r="H98" s="37">
        <f t="shared" si="13"/>
        <v>1.8831535865504456E-4</v>
      </c>
      <c r="J98" s="6">
        <f t="shared" si="20"/>
        <v>-7.5158087877084971E-3</v>
      </c>
      <c r="K98" s="6">
        <f t="shared" si="20"/>
        <v>2.3375916662677874E-3</v>
      </c>
      <c r="L98" s="6">
        <f t="shared" si="20"/>
        <v>-4.3679752008790812E-3</v>
      </c>
      <c r="M98" s="6">
        <f t="shared" si="20"/>
        <v>-1.1600607305661888E-3</v>
      </c>
      <c r="N98" s="6">
        <f t="shared" si="20"/>
        <v>-8.0486143089745707E-3</v>
      </c>
      <c r="O98" s="6">
        <f t="shared" si="14"/>
        <v>6.0998467555371874E-3</v>
      </c>
      <c r="Q98" s="6"/>
      <c r="R98" s="13">
        <f t="shared" si="12"/>
        <v>-7.7041241463635416E-3</v>
      </c>
      <c r="S98" s="13">
        <f t="shared" si="12"/>
        <v>2.1492763076127429E-3</v>
      </c>
      <c r="T98" s="13">
        <f t="shared" si="12"/>
        <v>-4.5562905595341258E-3</v>
      </c>
      <c r="U98" s="13">
        <f t="shared" si="12"/>
        <v>-1.3483760892212334E-3</v>
      </c>
      <c r="V98" s="13">
        <f t="shared" si="12"/>
        <v>-8.2369296676296153E-3</v>
      </c>
      <c r="W98" s="13"/>
      <c r="X98" s="52"/>
      <c r="Y98" s="13">
        <f t="shared" si="15"/>
        <v>-1.3615655543245685E-2</v>
      </c>
      <c r="Z98" s="13">
        <f t="shared" si="16"/>
        <v>-3.7622550892694E-3</v>
      </c>
      <c r="AA98" s="13">
        <f t="shared" si="17"/>
        <v>-1.0467821956416268E-2</v>
      </c>
      <c r="AB98" s="13">
        <f t="shared" si="18"/>
        <v>-7.2599074861033758E-3</v>
      </c>
      <c r="AC98" s="13">
        <f t="shared" si="19"/>
        <v>-1.4148461064511758E-2</v>
      </c>
      <c r="AD98" s="52"/>
      <c r="AL98" s="38"/>
    </row>
    <row r="99" spans="1:38" x14ac:dyDescent="0.2">
      <c r="A99" s="43">
        <v>45295</v>
      </c>
      <c r="B99" s="19">
        <v>181.22232099999999</v>
      </c>
      <c r="C99" s="19">
        <v>58.829310999999997</v>
      </c>
      <c r="D99" s="19">
        <v>169.47685200000001</v>
      </c>
      <c r="E99" s="19">
        <v>16.357265000000002</v>
      </c>
      <c r="F99" s="44">
        <v>4688.68</v>
      </c>
      <c r="G99" s="45">
        <v>4.7899999999999998E-2</v>
      </c>
      <c r="H99" s="37">
        <f t="shared" si="13"/>
        <v>1.8717016014413446E-4</v>
      </c>
      <c r="J99" s="6">
        <f t="shared" si="20"/>
        <v>-1.2781428001649012E-2</v>
      </c>
      <c r="K99" s="6">
        <f t="shared" si="20"/>
        <v>-3.3411282708156569E-3</v>
      </c>
      <c r="L99" s="6">
        <f t="shared" si="20"/>
        <v>6.6141593258210608E-3</v>
      </c>
      <c r="M99" s="6">
        <f t="shared" si="20"/>
        <v>-4.6539918884881352E-3</v>
      </c>
      <c r="N99" s="6">
        <f t="shared" si="20"/>
        <v>-3.434296699869414E-3</v>
      </c>
      <c r="O99" s="6">
        <f t="shared" si="14"/>
        <v>-6.0998467555372334E-3</v>
      </c>
      <c r="Q99" s="6"/>
      <c r="R99" s="13">
        <f t="shared" si="12"/>
        <v>-1.2968598161793146E-2</v>
      </c>
      <c r="S99" s="13">
        <f t="shared" si="12"/>
        <v>-3.5282984309597913E-3</v>
      </c>
      <c r="T99" s="13">
        <f t="shared" si="12"/>
        <v>6.4269891656769263E-3</v>
      </c>
      <c r="U99" s="13">
        <f t="shared" si="12"/>
        <v>-4.8411620486322696E-3</v>
      </c>
      <c r="V99" s="13">
        <f t="shared" si="12"/>
        <v>-3.6214668600135485E-3</v>
      </c>
      <c r="W99" s="13"/>
      <c r="X99" s="52"/>
      <c r="Y99" s="13">
        <f t="shared" si="15"/>
        <v>-6.6815812461117783E-3</v>
      </c>
      <c r="Z99" s="13" t="str">
        <f t="shared" si="16"/>
        <v/>
      </c>
      <c r="AA99" s="13" t="str">
        <f t="shared" si="17"/>
        <v/>
      </c>
      <c r="AB99" s="13" t="str">
        <f t="shared" si="18"/>
        <v/>
      </c>
      <c r="AC99" s="13" t="str">
        <f t="shared" si="19"/>
        <v/>
      </c>
      <c r="AD99" s="52"/>
      <c r="AL99" s="38"/>
    </row>
    <row r="100" spans="1:38" x14ac:dyDescent="0.2">
      <c r="A100" s="43">
        <v>45296</v>
      </c>
      <c r="B100" s="19">
        <v>180.49508700000001</v>
      </c>
      <c r="C100" s="19">
        <v>58.740715000000002</v>
      </c>
      <c r="D100" s="19">
        <v>170.32714799999999</v>
      </c>
      <c r="E100" s="19">
        <v>16.662476000000002</v>
      </c>
      <c r="F100" s="44">
        <v>4697.24</v>
      </c>
      <c r="G100" s="45">
        <v>4.7899999999999998E-2</v>
      </c>
      <c r="H100" s="37">
        <f t="shared" si="13"/>
        <v>1.8717016014413446E-4</v>
      </c>
      <c r="J100" s="6">
        <f t="shared" ref="J100:N130" si="21">LN(B100/B99)</f>
        <v>-4.0210117830922973E-3</v>
      </c>
      <c r="K100" s="6">
        <f t="shared" si="21"/>
        <v>-1.5071191150336566E-3</v>
      </c>
      <c r="L100" s="6">
        <f t="shared" si="21"/>
        <v>5.0046366419241994E-3</v>
      </c>
      <c r="M100" s="6">
        <f t="shared" si="21"/>
        <v>1.8487103983690103E-2</v>
      </c>
      <c r="N100" s="6">
        <f t="shared" si="21"/>
        <v>1.8240092336748459E-3</v>
      </c>
      <c r="O100" s="6">
        <f t="shared" si="14"/>
        <v>0</v>
      </c>
      <c r="Q100" s="6"/>
      <c r="R100" s="13">
        <f t="shared" si="12"/>
        <v>-4.2081819432364317E-3</v>
      </c>
      <c r="S100" s="13">
        <f t="shared" si="12"/>
        <v>-1.694289275177791E-3</v>
      </c>
      <c r="T100" s="13">
        <f t="shared" si="12"/>
        <v>4.8174664817800649E-3</v>
      </c>
      <c r="U100" s="13">
        <f t="shared" si="12"/>
        <v>1.8299933823545968E-2</v>
      </c>
      <c r="V100" s="13">
        <f t="shared" si="12"/>
        <v>1.6368390735307114E-3</v>
      </c>
      <c r="W100" s="13"/>
      <c r="X100" s="52"/>
      <c r="Y100" s="13">
        <f t="shared" si="15"/>
        <v>-4.0210117830922973E-3</v>
      </c>
      <c r="Z100" s="13">
        <f t="shared" si="16"/>
        <v>-1.5071191150336566E-3</v>
      </c>
      <c r="AA100" s="13" t="str">
        <f t="shared" si="17"/>
        <v/>
      </c>
      <c r="AB100" s="13" t="str">
        <f t="shared" si="18"/>
        <v/>
      </c>
      <c r="AC100" s="13" t="str">
        <f t="shared" si="19"/>
        <v/>
      </c>
      <c r="AD100" s="52"/>
      <c r="AL100" s="38"/>
    </row>
    <row r="101" spans="1:38" x14ac:dyDescent="0.2">
      <c r="A101" s="43">
        <v>45299</v>
      </c>
      <c r="B101" s="19">
        <v>184.858521</v>
      </c>
      <c r="C101" s="19">
        <v>59.173865999999997</v>
      </c>
      <c r="D101" s="19">
        <v>170.07998699999999</v>
      </c>
      <c r="E101" s="19">
        <v>16.519407000000001</v>
      </c>
      <c r="F101" s="44">
        <v>4763.54</v>
      </c>
      <c r="G101" s="45">
        <v>4.8000000000000001E-2</v>
      </c>
      <c r="H101" s="37">
        <f t="shared" si="13"/>
        <v>1.8755192925978825E-4</v>
      </c>
      <c r="J101" s="6">
        <f t="shared" si="21"/>
        <v>2.3887222589555022E-2</v>
      </c>
      <c r="K101" s="6">
        <f t="shared" si="21"/>
        <v>7.3468937372898847E-3</v>
      </c>
      <c r="L101" s="6">
        <f t="shared" si="21"/>
        <v>-1.4521496056958624E-3</v>
      </c>
      <c r="M101" s="6">
        <f t="shared" si="21"/>
        <v>-8.62337357891769E-3</v>
      </c>
      <c r="N101" s="6">
        <f t="shared" si="21"/>
        <v>1.4015987132365047E-2</v>
      </c>
      <c r="O101" s="6">
        <f t="shared" si="14"/>
        <v>2.0376127190629861E-3</v>
      </c>
      <c r="Q101" s="6"/>
      <c r="R101" s="13">
        <f t="shared" si="12"/>
        <v>2.3699670660295234E-2</v>
      </c>
      <c r="S101" s="13">
        <f t="shared" si="12"/>
        <v>7.1593418080300964E-3</v>
      </c>
      <c r="T101" s="13">
        <f t="shared" si="12"/>
        <v>-1.6397015349556507E-3</v>
      </c>
      <c r="U101" s="13">
        <f t="shared" si="12"/>
        <v>-8.8109255081774782E-3</v>
      </c>
      <c r="V101" s="13">
        <f t="shared" si="12"/>
        <v>1.3828435203105258E-2</v>
      </c>
      <c r="W101" s="13"/>
      <c r="X101" s="52"/>
      <c r="Y101" s="13" t="str">
        <f t="shared" si="15"/>
        <v/>
      </c>
      <c r="Z101" s="13" t="str">
        <f t="shared" si="16"/>
        <v/>
      </c>
      <c r="AA101" s="13">
        <f t="shared" si="17"/>
        <v>-3.4897623247588487E-3</v>
      </c>
      <c r="AB101" s="13">
        <f t="shared" si="18"/>
        <v>-1.0660986297980676E-2</v>
      </c>
      <c r="AC101" s="13" t="str">
        <f t="shared" si="19"/>
        <v/>
      </c>
      <c r="AD101" s="52"/>
      <c r="AL101" s="38"/>
    </row>
    <row r="102" spans="1:38" x14ac:dyDescent="0.2">
      <c r="A102" s="43">
        <v>45300</v>
      </c>
      <c r="B102" s="19">
        <v>184.44010900000001</v>
      </c>
      <c r="C102" s="19">
        <v>59.065578000000002</v>
      </c>
      <c r="D102" s="19">
        <v>168.735321</v>
      </c>
      <c r="E102" s="19">
        <v>16.430229000000001</v>
      </c>
      <c r="F102" s="44">
        <v>4756.5</v>
      </c>
      <c r="G102" s="45">
        <v>4.8099999999999997E-2</v>
      </c>
      <c r="H102" s="37">
        <f t="shared" si="13"/>
        <v>1.8793366209446383E-4</v>
      </c>
      <c r="J102" s="6">
        <f t="shared" si="21"/>
        <v>-2.2659828390601978E-3</v>
      </c>
      <c r="K102" s="6">
        <f t="shared" si="21"/>
        <v>-1.8316735365529078E-3</v>
      </c>
      <c r="L102" s="6">
        <f t="shared" si="21"/>
        <v>-7.9374988566027482E-3</v>
      </c>
      <c r="M102" s="6">
        <f t="shared" si="21"/>
        <v>-5.4130016942953952E-3</v>
      </c>
      <c r="N102" s="6">
        <f t="shared" si="21"/>
        <v>-1.4789856520085827E-3</v>
      </c>
      <c r="O102" s="6">
        <f t="shared" si="14"/>
        <v>2.0332762427048251E-3</v>
      </c>
      <c r="Q102" s="6"/>
      <c r="R102" s="13">
        <f t="shared" si="12"/>
        <v>-2.4539165011546616E-3</v>
      </c>
      <c r="S102" s="13">
        <f t="shared" si="12"/>
        <v>-2.0196071986473716E-3</v>
      </c>
      <c r="T102" s="13">
        <f t="shared" si="12"/>
        <v>-8.1254325186972121E-3</v>
      </c>
      <c r="U102" s="13">
        <f t="shared" si="12"/>
        <v>-5.6009353563898591E-3</v>
      </c>
      <c r="V102" s="13">
        <f t="shared" si="12"/>
        <v>-1.6669193141030465E-3</v>
      </c>
      <c r="W102" s="13"/>
      <c r="X102" s="52"/>
      <c r="Y102" s="13">
        <f t="shared" si="15"/>
        <v>-4.2992590817650233E-3</v>
      </c>
      <c r="Z102" s="13">
        <f t="shared" si="16"/>
        <v>-3.8649497792577329E-3</v>
      </c>
      <c r="AA102" s="13">
        <f t="shared" si="17"/>
        <v>-9.9707750993075737E-3</v>
      </c>
      <c r="AB102" s="13">
        <f t="shared" si="18"/>
        <v>-7.4462779370002199E-3</v>
      </c>
      <c r="AC102" s="13">
        <f t="shared" si="19"/>
        <v>-3.5122618947134076E-3</v>
      </c>
      <c r="AD102" s="52"/>
      <c r="AL102" s="38"/>
    </row>
    <row r="103" spans="1:38" x14ac:dyDescent="0.2">
      <c r="A103" s="43">
        <v>45301</v>
      </c>
      <c r="B103" s="19">
        <v>185.48616000000001</v>
      </c>
      <c r="C103" s="19">
        <v>59.262462999999997</v>
      </c>
      <c r="D103" s="19">
        <v>169.091263</v>
      </c>
      <c r="E103" s="19">
        <v>16.352684</v>
      </c>
      <c r="F103" s="44">
        <v>4783.45</v>
      </c>
      <c r="G103" s="45">
        <v>4.8499999999999995E-2</v>
      </c>
      <c r="H103" s="37">
        <f t="shared" si="13"/>
        <v>1.8946023076238383E-4</v>
      </c>
      <c r="J103" s="6">
        <f t="shared" si="21"/>
        <v>5.655471783241264E-3</v>
      </c>
      <c r="K103" s="6">
        <f t="shared" si="21"/>
        <v>3.3277857054118689E-3</v>
      </c>
      <c r="L103" s="6">
        <f t="shared" si="21"/>
        <v>2.1072476150256008E-3</v>
      </c>
      <c r="M103" s="6">
        <f t="shared" si="21"/>
        <v>-4.7308269784354078E-3</v>
      </c>
      <c r="N103" s="6">
        <f t="shared" si="21"/>
        <v>5.6499398196109933E-3</v>
      </c>
      <c r="O103" s="6">
        <f t="shared" si="14"/>
        <v>8.0900990870679586E-3</v>
      </c>
      <c r="Q103" s="6"/>
      <c r="R103" s="13">
        <f t="shared" si="12"/>
        <v>5.4660115524788801E-3</v>
      </c>
      <c r="S103" s="13">
        <f t="shared" si="12"/>
        <v>3.138325474649485E-3</v>
      </c>
      <c r="T103" s="13">
        <f t="shared" si="12"/>
        <v>1.917787384263217E-3</v>
      </c>
      <c r="U103" s="13">
        <f t="shared" si="12"/>
        <v>-4.9202872091977917E-3</v>
      </c>
      <c r="V103" s="13">
        <f t="shared" si="12"/>
        <v>5.4604795888486095E-3</v>
      </c>
      <c r="W103" s="13"/>
      <c r="X103" s="52"/>
      <c r="Y103" s="13">
        <f t="shared" si="15"/>
        <v>-2.4346273038266947E-3</v>
      </c>
      <c r="Z103" s="13">
        <f t="shared" si="16"/>
        <v>-4.7623133816560893E-3</v>
      </c>
      <c r="AA103" s="13">
        <f t="shared" si="17"/>
        <v>-5.9828514720423574E-3</v>
      </c>
      <c r="AB103" s="13">
        <f t="shared" si="18"/>
        <v>-1.2820926065503366E-2</v>
      </c>
      <c r="AC103" s="13">
        <f t="shared" si="19"/>
        <v>-2.4401592674569653E-3</v>
      </c>
      <c r="AD103" s="52"/>
      <c r="AL103" s="38"/>
    </row>
    <row r="104" spans="1:38" x14ac:dyDescent="0.2">
      <c r="A104" s="43">
        <v>45302</v>
      </c>
      <c r="B104" s="19">
        <v>184.88841199999999</v>
      </c>
      <c r="C104" s="19">
        <v>58.878535999999997</v>
      </c>
      <c r="D104" s="19">
        <v>168.379379</v>
      </c>
      <c r="E104" s="19">
        <v>15.732308</v>
      </c>
      <c r="F104" s="44">
        <v>4780.24</v>
      </c>
      <c r="G104" s="45">
        <v>4.8399999999999999E-2</v>
      </c>
      <c r="H104" s="37">
        <f t="shared" si="13"/>
        <v>1.8907864298212118E-4</v>
      </c>
      <c r="J104" s="6">
        <f t="shared" si="21"/>
        <v>-3.2278053849822972E-3</v>
      </c>
      <c r="K104" s="6">
        <f t="shared" si="21"/>
        <v>-6.4994939061170766E-3</v>
      </c>
      <c r="L104" s="6">
        <f t="shared" si="21"/>
        <v>-4.2189451011928857E-3</v>
      </c>
      <c r="M104" s="6">
        <f t="shared" si="21"/>
        <v>-3.8675610583800438E-2</v>
      </c>
      <c r="N104" s="6">
        <f t="shared" si="21"/>
        <v>-6.7128903604016395E-4</v>
      </c>
      <c r="O104" s="6">
        <f t="shared" si="14"/>
        <v>-2.0161094988275217E-3</v>
      </c>
      <c r="Q104" s="6"/>
      <c r="R104" s="13">
        <f t="shared" si="12"/>
        <v>-3.4168840279644183E-3</v>
      </c>
      <c r="S104" s="13">
        <f t="shared" si="12"/>
        <v>-6.6885725490991978E-3</v>
      </c>
      <c r="T104" s="13">
        <f t="shared" si="12"/>
        <v>-4.4080237441750068E-3</v>
      </c>
      <c r="U104" s="13">
        <f t="shared" si="12"/>
        <v>-3.8864689226782559E-2</v>
      </c>
      <c r="V104" s="13">
        <f t="shared" si="12"/>
        <v>-8.6036767902228513E-4</v>
      </c>
      <c r="W104" s="13"/>
      <c r="X104" s="52"/>
      <c r="Y104" s="13">
        <f t="shared" si="15"/>
        <v>-1.2116958861547755E-3</v>
      </c>
      <c r="Z104" s="13">
        <f t="shared" si="16"/>
        <v>-4.4833844072895545E-3</v>
      </c>
      <c r="AA104" s="13">
        <f t="shared" si="17"/>
        <v>-2.202835602365364E-3</v>
      </c>
      <c r="AB104" s="13">
        <f t="shared" si="18"/>
        <v>-3.6659501084972915E-2</v>
      </c>
      <c r="AC104" s="13" t="str">
        <f t="shared" si="19"/>
        <v/>
      </c>
      <c r="AD104" s="52"/>
      <c r="AL104" s="38"/>
    </row>
    <row r="105" spans="1:38" x14ac:dyDescent="0.2">
      <c r="A105" s="43">
        <v>45303</v>
      </c>
      <c r="B105" s="19">
        <v>185.217163</v>
      </c>
      <c r="C105" s="19">
        <v>59.449500999999998</v>
      </c>
      <c r="D105" s="19">
        <v>167.143463</v>
      </c>
      <c r="E105" s="19">
        <v>15.974641999999999</v>
      </c>
      <c r="F105" s="44">
        <v>4783.83</v>
      </c>
      <c r="G105" s="45">
        <v>4.82E-2</v>
      </c>
      <c r="H105" s="37">
        <f t="shared" si="13"/>
        <v>1.8831535865504456E-4</v>
      </c>
      <c r="J105" s="6">
        <f t="shared" si="21"/>
        <v>1.776525989713901E-3</v>
      </c>
      <c r="K105" s="6">
        <f t="shared" si="21"/>
        <v>9.6506195124218454E-3</v>
      </c>
      <c r="L105" s="6">
        <f t="shared" si="21"/>
        <v>-7.3671383000021009E-3</v>
      </c>
      <c r="M105" s="6">
        <f t="shared" si="21"/>
        <v>1.5286157688589852E-2</v>
      </c>
      <c r="N105" s="6">
        <f t="shared" si="21"/>
        <v>7.5072645194105983E-4</v>
      </c>
      <c r="O105" s="6">
        <f t="shared" si="14"/>
        <v>-4.0450317944709362E-3</v>
      </c>
      <c r="Q105" s="6"/>
      <c r="R105" s="13">
        <f t="shared" ref="R105:V155" si="22">+J105-$H105</f>
        <v>1.5882106310588565E-3</v>
      </c>
      <c r="S105" s="13">
        <f t="shared" si="22"/>
        <v>9.4623041537668009E-3</v>
      </c>
      <c r="T105" s="13">
        <f t="shared" si="22"/>
        <v>-7.5554536586571455E-3</v>
      </c>
      <c r="U105" s="13">
        <f t="shared" si="22"/>
        <v>1.5097842329934807E-2</v>
      </c>
      <c r="V105" s="13">
        <f t="shared" si="22"/>
        <v>5.6241109328601527E-4</v>
      </c>
      <c r="W105" s="13"/>
      <c r="X105" s="52"/>
      <c r="Y105" s="13" t="str">
        <f t="shared" si="15"/>
        <v/>
      </c>
      <c r="Z105" s="13" t="str">
        <f t="shared" si="16"/>
        <v/>
      </c>
      <c r="AA105" s="13">
        <f t="shared" si="17"/>
        <v>-3.3221065055311647E-3</v>
      </c>
      <c r="AB105" s="13" t="str">
        <f t="shared" si="18"/>
        <v/>
      </c>
      <c r="AC105" s="13" t="str">
        <f t="shared" si="19"/>
        <v/>
      </c>
      <c r="AD105" s="52"/>
      <c r="AL105" s="38"/>
    </row>
    <row r="106" spans="1:38" x14ac:dyDescent="0.2">
      <c r="A106" s="43">
        <v>45307</v>
      </c>
      <c r="B106" s="19">
        <v>182.935822</v>
      </c>
      <c r="C106" s="19">
        <v>59.055732999999996</v>
      </c>
      <c r="D106" s="19">
        <v>166.095428</v>
      </c>
      <c r="E106" s="19">
        <v>15.935869</v>
      </c>
      <c r="F106" s="44">
        <v>4765.9799999999996</v>
      </c>
      <c r="G106" s="45">
        <v>4.82E-2</v>
      </c>
      <c r="H106" s="37">
        <f t="shared" si="13"/>
        <v>1.8831535865504456E-4</v>
      </c>
      <c r="J106" s="6">
        <f t="shared" si="21"/>
        <v>-1.2393598825964395E-2</v>
      </c>
      <c r="K106" s="6">
        <f t="shared" si="21"/>
        <v>-6.6456043485522889E-3</v>
      </c>
      <c r="L106" s="6">
        <f t="shared" si="21"/>
        <v>-6.2900128628262742E-3</v>
      </c>
      <c r="M106" s="6">
        <f t="shared" si="21"/>
        <v>-2.4301095699120847E-3</v>
      </c>
      <c r="N106" s="6">
        <f t="shared" si="21"/>
        <v>-3.7382986232446964E-3</v>
      </c>
      <c r="O106" s="6">
        <f t="shared" si="14"/>
        <v>0</v>
      </c>
      <c r="Q106" s="6"/>
      <c r="R106" s="13">
        <f t="shared" si="22"/>
        <v>-1.2581914184619439E-2</v>
      </c>
      <c r="S106" s="13">
        <f t="shared" si="22"/>
        <v>-6.8339197072073334E-3</v>
      </c>
      <c r="T106" s="13">
        <f t="shared" si="22"/>
        <v>-6.4783282214813187E-3</v>
      </c>
      <c r="U106" s="13">
        <f t="shared" si="22"/>
        <v>-2.6184249285671293E-3</v>
      </c>
      <c r="V106" s="13">
        <f t="shared" si="22"/>
        <v>-3.926613981899741E-3</v>
      </c>
      <c r="W106" s="13"/>
      <c r="X106" s="52"/>
      <c r="Y106" s="13">
        <f t="shared" si="15"/>
        <v>-1.2393598825964395E-2</v>
      </c>
      <c r="Z106" s="13">
        <f t="shared" si="16"/>
        <v>-6.6456043485522889E-3</v>
      </c>
      <c r="AA106" s="13">
        <f t="shared" si="17"/>
        <v>-6.2900128628262742E-3</v>
      </c>
      <c r="AB106" s="13">
        <f t="shared" si="18"/>
        <v>-2.4301095699120847E-3</v>
      </c>
      <c r="AC106" s="13">
        <f t="shared" si="19"/>
        <v>-3.7382986232446964E-3</v>
      </c>
      <c r="AD106" s="52"/>
      <c r="AL106" s="38"/>
    </row>
    <row r="107" spans="1:38" x14ac:dyDescent="0.2">
      <c r="A107" s="43">
        <v>45308</v>
      </c>
      <c r="B107" s="19">
        <v>181.98940999999999</v>
      </c>
      <c r="C107" s="19">
        <v>59.055732999999996</v>
      </c>
      <c r="D107" s="19">
        <v>165.205566</v>
      </c>
      <c r="E107" s="19">
        <v>15.906789</v>
      </c>
      <c r="F107" s="44">
        <v>4739.21</v>
      </c>
      <c r="G107" s="45">
        <v>4.82E-2</v>
      </c>
      <c r="H107" s="37">
        <f t="shared" si="13"/>
        <v>1.8831535865504456E-4</v>
      </c>
      <c r="J107" s="6">
        <f t="shared" si="21"/>
        <v>-5.186893307744119E-3</v>
      </c>
      <c r="K107" s="6">
        <f t="shared" si="21"/>
        <v>0</v>
      </c>
      <c r="L107" s="6">
        <f t="shared" si="21"/>
        <v>-5.371937640172391E-3</v>
      </c>
      <c r="M107" s="6">
        <f t="shared" si="21"/>
        <v>-1.8264811991713004E-3</v>
      </c>
      <c r="N107" s="6">
        <f t="shared" si="21"/>
        <v>-5.6327271267556144E-3</v>
      </c>
      <c r="O107" s="6">
        <f t="shared" si="14"/>
        <v>0</v>
      </c>
      <c r="Q107" s="6"/>
      <c r="R107" s="13">
        <f t="shared" si="22"/>
        <v>-5.3752086663991635E-3</v>
      </c>
      <c r="S107" s="13">
        <f t="shared" si="22"/>
        <v>-1.8831535865504456E-4</v>
      </c>
      <c r="T107" s="13">
        <f t="shared" si="22"/>
        <v>-5.5602529988274356E-3</v>
      </c>
      <c r="U107" s="13">
        <f t="shared" si="22"/>
        <v>-2.0147965578263451E-3</v>
      </c>
      <c r="V107" s="13">
        <f t="shared" si="22"/>
        <v>-5.8210424854106589E-3</v>
      </c>
      <c r="W107" s="13"/>
      <c r="X107" s="52"/>
      <c r="Y107" s="13">
        <f t="shared" si="15"/>
        <v>-5.186893307744119E-3</v>
      </c>
      <c r="Z107" s="13" t="str">
        <f t="shared" si="16"/>
        <v/>
      </c>
      <c r="AA107" s="13">
        <f t="shared" si="17"/>
        <v>-5.371937640172391E-3</v>
      </c>
      <c r="AB107" s="13">
        <f t="shared" si="18"/>
        <v>-1.8264811991713004E-3</v>
      </c>
      <c r="AC107" s="13">
        <f t="shared" si="19"/>
        <v>-5.6327271267556144E-3</v>
      </c>
      <c r="AD107" s="52"/>
      <c r="AL107" s="38"/>
    </row>
    <row r="108" spans="1:38" x14ac:dyDescent="0.2">
      <c r="A108" s="43">
        <v>45309</v>
      </c>
      <c r="B108" s="19">
        <v>187.91691599999999</v>
      </c>
      <c r="C108" s="19">
        <v>59.223083000000003</v>
      </c>
      <c r="D108" s="19">
        <v>165.53185999999999</v>
      </c>
      <c r="E108" s="19">
        <v>15.897095</v>
      </c>
      <c r="F108" s="44">
        <v>4780.9399999999996</v>
      </c>
      <c r="G108" s="45">
        <v>4.7500000000000001E-2</v>
      </c>
      <c r="H108" s="37">
        <f t="shared" si="13"/>
        <v>1.8564272073429144E-4</v>
      </c>
      <c r="J108" s="6">
        <f t="shared" si="21"/>
        <v>3.205143040647615E-2</v>
      </c>
      <c r="K108" s="6">
        <f t="shared" si="21"/>
        <v>2.8297562882526783E-3</v>
      </c>
      <c r="L108" s="6">
        <f t="shared" si="21"/>
        <v>1.9731308295413211E-3</v>
      </c>
      <c r="M108" s="6">
        <f t="shared" si="21"/>
        <v>-6.0961109656987951E-4</v>
      </c>
      <c r="N108" s="6">
        <f t="shared" si="21"/>
        <v>8.7667247395320728E-3</v>
      </c>
      <c r="O108" s="6">
        <f t="shared" si="14"/>
        <v>-1.4294026918207711E-2</v>
      </c>
      <c r="Q108" s="6"/>
      <c r="R108" s="13">
        <f t="shared" si="22"/>
        <v>3.1865787685741859E-2</v>
      </c>
      <c r="S108" s="13">
        <f t="shared" si="22"/>
        <v>2.6441135675183869E-3</v>
      </c>
      <c r="T108" s="13">
        <f t="shared" si="22"/>
        <v>1.7874881088070296E-3</v>
      </c>
      <c r="U108" s="13">
        <f t="shared" si="22"/>
        <v>-7.9525381730417095E-4</v>
      </c>
      <c r="V108" s="13">
        <f t="shared" si="22"/>
        <v>8.5810820187977813E-3</v>
      </c>
      <c r="W108" s="13"/>
      <c r="X108" s="52"/>
      <c r="Y108" s="13" t="str">
        <f t="shared" si="15"/>
        <v/>
      </c>
      <c r="Z108" s="13" t="str">
        <f t="shared" si="16"/>
        <v/>
      </c>
      <c r="AA108" s="13" t="str">
        <f t="shared" si="17"/>
        <v/>
      </c>
      <c r="AB108" s="13" t="str">
        <f t="shared" si="18"/>
        <v/>
      </c>
      <c r="AC108" s="13" t="str">
        <f t="shared" si="19"/>
        <v/>
      </c>
      <c r="AD108" s="52"/>
      <c r="AL108" s="38"/>
    </row>
    <row r="109" spans="1:38" x14ac:dyDescent="0.2">
      <c r="A109" s="43">
        <v>45310</v>
      </c>
      <c r="B109" s="19">
        <v>190.83583100000001</v>
      </c>
      <c r="C109" s="19">
        <v>58.898228000000003</v>
      </c>
      <c r="D109" s="19">
        <v>168.389252</v>
      </c>
      <c r="E109" s="19">
        <v>16.158815000000001</v>
      </c>
      <c r="F109" s="44">
        <v>4839.8100000000004</v>
      </c>
      <c r="G109" s="45">
        <v>4.6500000000000007E-2</v>
      </c>
      <c r="H109" s="37">
        <f t="shared" si="13"/>
        <v>1.8182157915558328E-4</v>
      </c>
      <c r="J109" s="6">
        <f t="shared" si="21"/>
        <v>1.5413605907075779E-2</v>
      </c>
      <c r="K109" s="6">
        <f t="shared" si="21"/>
        <v>-5.5003761178523645E-3</v>
      </c>
      <c r="L109" s="6">
        <f t="shared" si="21"/>
        <v>1.7114591700558776E-2</v>
      </c>
      <c r="M109" s="6">
        <f t="shared" si="21"/>
        <v>1.6329333065123283E-2</v>
      </c>
      <c r="N109" s="6">
        <f t="shared" si="21"/>
        <v>1.2238283870230153E-2</v>
      </c>
      <c r="O109" s="6">
        <f t="shared" si="14"/>
        <v>-2.0798098310837867E-2</v>
      </c>
      <c r="Q109" s="6"/>
      <c r="R109" s="13">
        <f t="shared" si="22"/>
        <v>1.5231784327920196E-2</v>
      </c>
      <c r="S109" s="13">
        <f t="shared" si="22"/>
        <v>-5.6821976970079478E-3</v>
      </c>
      <c r="T109" s="13">
        <f t="shared" si="22"/>
        <v>1.6932770121403193E-2</v>
      </c>
      <c r="U109" s="13">
        <f t="shared" si="22"/>
        <v>1.61475114859677E-2</v>
      </c>
      <c r="V109" s="13">
        <f t="shared" si="22"/>
        <v>1.2056462291074569E-2</v>
      </c>
      <c r="W109" s="13"/>
      <c r="X109" s="52"/>
      <c r="Y109" s="13" t="str">
        <f t="shared" si="15"/>
        <v/>
      </c>
      <c r="Z109" s="13" t="str">
        <f t="shared" si="16"/>
        <v/>
      </c>
      <c r="AA109" s="13" t="str">
        <f t="shared" si="17"/>
        <v/>
      </c>
      <c r="AB109" s="13" t="str">
        <f t="shared" si="18"/>
        <v/>
      </c>
      <c r="AC109" s="13" t="str">
        <f t="shared" si="19"/>
        <v/>
      </c>
      <c r="AD109" s="52"/>
      <c r="AL109" s="38"/>
    </row>
    <row r="110" spans="1:38" x14ac:dyDescent="0.2">
      <c r="A110" s="43">
        <v>45313</v>
      </c>
      <c r="B110" s="19">
        <v>193.157028</v>
      </c>
      <c r="C110" s="19">
        <v>58.642273000000003</v>
      </c>
      <c r="D110" s="19">
        <v>168.19151299999999</v>
      </c>
      <c r="E110" s="19">
        <v>16.284828000000001</v>
      </c>
      <c r="F110" s="44">
        <v>4850.43</v>
      </c>
      <c r="G110" s="45">
        <v>4.6500000000000007E-2</v>
      </c>
      <c r="H110" s="37">
        <f t="shared" si="13"/>
        <v>1.8182157915558328E-4</v>
      </c>
      <c r="J110" s="6">
        <f t="shared" si="21"/>
        <v>1.2089939794405298E-2</v>
      </c>
      <c r="K110" s="6">
        <f t="shared" si="21"/>
        <v>-4.3551865509223759E-3</v>
      </c>
      <c r="L110" s="6">
        <f t="shared" si="21"/>
        <v>-1.1749870658817193E-3</v>
      </c>
      <c r="M110" s="6">
        <f t="shared" si="21"/>
        <v>7.7681556093607577E-3</v>
      </c>
      <c r="N110" s="6">
        <f t="shared" si="21"/>
        <v>2.1918970535104105E-3</v>
      </c>
      <c r="O110" s="6">
        <f t="shared" si="14"/>
        <v>0</v>
      </c>
      <c r="Q110" s="6"/>
      <c r="R110" s="13">
        <f t="shared" si="22"/>
        <v>1.1908118215249714E-2</v>
      </c>
      <c r="S110" s="13">
        <f t="shared" si="22"/>
        <v>-4.5370081300779592E-3</v>
      </c>
      <c r="T110" s="13">
        <f t="shared" si="22"/>
        <v>-1.3568086450373026E-3</v>
      </c>
      <c r="U110" s="13">
        <f t="shared" si="22"/>
        <v>7.5863340302051744E-3</v>
      </c>
      <c r="V110" s="13">
        <f t="shared" si="22"/>
        <v>2.0100754743548272E-3</v>
      </c>
      <c r="W110" s="13"/>
      <c r="X110" s="52"/>
      <c r="Y110" s="13" t="str">
        <f t="shared" si="15"/>
        <v/>
      </c>
      <c r="Z110" s="13">
        <f t="shared" si="16"/>
        <v>-4.3551865509223759E-3</v>
      </c>
      <c r="AA110" s="13">
        <f t="shared" si="17"/>
        <v>-1.1749870658817193E-3</v>
      </c>
      <c r="AB110" s="13" t="str">
        <f t="shared" si="18"/>
        <v/>
      </c>
      <c r="AC110" s="13" t="str">
        <f t="shared" si="19"/>
        <v/>
      </c>
      <c r="AD110" s="52"/>
      <c r="AL110" s="38"/>
    </row>
    <row r="111" spans="1:38" x14ac:dyDescent="0.2">
      <c r="A111" s="43">
        <v>45314</v>
      </c>
      <c r="B111" s="19">
        <v>194.44215399999999</v>
      </c>
      <c r="C111" s="19">
        <v>58.917907999999997</v>
      </c>
      <c r="D111" s="19">
        <v>167.08415199999999</v>
      </c>
      <c r="E111" s="19">
        <v>16.662870000000002</v>
      </c>
      <c r="F111" s="44">
        <v>4864.6000000000004</v>
      </c>
      <c r="G111" s="45">
        <v>4.7E-2</v>
      </c>
      <c r="H111" s="37">
        <f t="shared" si="13"/>
        <v>1.8373260432147376E-4</v>
      </c>
      <c r="J111" s="6">
        <f t="shared" si="21"/>
        <v>6.6312354047433934E-3</v>
      </c>
      <c r="K111" s="6">
        <f t="shared" si="21"/>
        <v>4.6892664291325829E-3</v>
      </c>
      <c r="L111" s="6">
        <f t="shared" si="21"/>
        <v>-6.605698786174531E-3</v>
      </c>
      <c r="M111" s="6">
        <f t="shared" si="21"/>
        <v>2.2949014004003898E-2</v>
      </c>
      <c r="N111" s="6">
        <f t="shared" si="21"/>
        <v>2.917131506229948E-3</v>
      </c>
      <c r="O111" s="6">
        <f t="shared" si="14"/>
        <v>1.0455591327247448E-2</v>
      </c>
      <c r="Q111" s="6"/>
      <c r="R111" s="13">
        <f t="shared" si="22"/>
        <v>6.4475028004219196E-3</v>
      </c>
      <c r="S111" s="13">
        <f t="shared" si="22"/>
        <v>4.5055338248111091E-3</v>
      </c>
      <c r="T111" s="13">
        <f t="shared" si="22"/>
        <v>-6.7894313904960047E-3</v>
      </c>
      <c r="U111" s="13">
        <f t="shared" si="22"/>
        <v>2.2765281399682424E-2</v>
      </c>
      <c r="V111" s="13">
        <f t="shared" si="22"/>
        <v>2.7333989019084743E-3</v>
      </c>
      <c r="W111" s="13"/>
      <c r="X111" s="52"/>
      <c r="Y111" s="13">
        <f t="shared" si="15"/>
        <v>-3.8243559225040547E-3</v>
      </c>
      <c r="Z111" s="13">
        <f t="shared" si="16"/>
        <v>-5.7663248981148652E-3</v>
      </c>
      <c r="AA111" s="13">
        <f t="shared" si="17"/>
        <v>-1.706129011342198E-2</v>
      </c>
      <c r="AB111" s="13" t="str">
        <f t="shared" si="18"/>
        <v/>
      </c>
      <c r="AC111" s="13">
        <f t="shared" si="19"/>
        <v>-7.5384598210174996E-3</v>
      </c>
      <c r="AD111" s="52"/>
      <c r="AL111" s="38"/>
    </row>
    <row r="112" spans="1:38" x14ac:dyDescent="0.2">
      <c r="A112" s="43">
        <v>45315</v>
      </c>
      <c r="B112" s="19">
        <v>193.764725</v>
      </c>
      <c r="C112" s="19">
        <v>57.992553999999998</v>
      </c>
      <c r="D112" s="19">
        <v>168.57711800000001</v>
      </c>
      <c r="E112" s="19">
        <v>16.168510000000001</v>
      </c>
      <c r="F112" s="44">
        <v>4868.55</v>
      </c>
      <c r="G112" s="45">
        <v>4.8000000000000001E-2</v>
      </c>
      <c r="H112" s="37">
        <f t="shared" si="13"/>
        <v>1.8755192925978825E-4</v>
      </c>
      <c r="J112" s="6">
        <f t="shared" si="21"/>
        <v>-3.4900447377881711E-3</v>
      </c>
      <c r="K112" s="6">
        <f t="shared" si="21"/>
        <v>-1.5830462198802939E-2</v>
      </c>
      <c r="L112" s="6">
        <f t="shared" si="21"/>
        <v>8.8957289910188905E-3</v>
      </c>
      <c r="M112" s="6">
        <f t="shared" si="21"/>
        <v>-3.011736741564745E-2</v>
      </c>
      <c r="N112" s="6">
        <f t="shared" si="21"/>
        <v>8.1165916827587409E-4</v>
      </c>
      <c r="O112" s="6">
        <f t="shared" si="14"/>
        <v>2.0574299865323647E-2</v>
      </c>
      <c r="Q112" s="6"/>
      <c r="R112" s="13">
        <f t="shared" si="22"/>
        <v>-3.6775966670479594E-3</v>
      </c>
      <c r="S112" s="13">
        <f t="shared" si="22"/>
        <v>-1.6018014128062728E-2</v>
      </c>
      <c r="T112" s="13">
        <f t="shared" si="22"/>
        <v>8.7081770617591023E-3</v>
      </c>
      <c r="U112" s="13">
        <f t="shared" si="22"/>
        <v>-3.0304919344907238E-2</v>
      </c>
      <c r="V112" s="13">
        <f t="shared" si="22"/>
        <v>6.2410723901608583E-4</v>
      </c>
      <c r="W112" s="13"/>
      <c r="X112" s="52"/>
      <c r="Y112" s="13">
        <f t="shared" si="15"/>
        <v>-2.4064344603111819E-2</v>
      </c>
      <c r="Z112" s="13">
        <f t="shared" si="16"/>
        <v>-3.6404762064126586E-2</v>
      </c>
      <c r="AA112" s="13">
        <f t="shared" si="17"/>
        <v>-1.1678570874304756E-2</v>
      </c>
      <c r="AB112" s="13">
        <f t="shared" si="18"/>
        <v>-5.0691667280971096E-2</v>
      </c>
      <c r="AC112" s="13">
        <f t="shared" si="19"/>
        <v>-1.9762640697047772E-2</v>
      </c>
      <c r="AD112" s="52"/>
      <c r="AL112" s="38"/>
    </row>
    <row r="113" spans="1:38" x14ac:dyDescent="0.2">
      <c r="A113" s="43">
        <v>45316</v>
      </c>
      <c r="B113" s="19">
        <v>193.43598900000001</v>
      </c>
      <c r="C113" s="19">
        <v>58.238658999999998</v>
      </c>
      <c r="D113" s="19">
        <v>170.98959400000001</v>
      </c>
      <c r="E113" s="19">
        <v>16.653176999999999</v>
      </c>
      <c r="F113" s="44">
        <v>4894.16</v>
      </c>
      <c r="G113" s="45">
        <v>4.8000000000000001E-2</v>
      </c>
      <c r="H113" s="37">
        <f t="shared" si="13"/>
        <v>1.8755192925978825E-4</v>
      </c>
      <c r="J113" s="6">
        <f t="shared" si="21"/>
        <v>-1.6980138057580752E-3</v>
      </c>
      <c r="K113" s="6">
        <f t="shared" si="21"/>
        <v>4.2347552165082781E-3</v>
      </c>
      <c r="L113" s="6">
        <f t="shared" si="21"/>
        <v>1.4209382167514918E-2</v>
      </c>
      <c r="M113" s="6">
        <f t="shared" si="21"/>
        <v>2.9535485641168389E-2</v>
      </c>
      <c r="N113" s="6">
        <f t="shared" si="21"/>
        <v>5.2465060919916033E-3</v>
      </c>
      <c r="O113" s="6">
        <f t="shared" si="14"/>
        <v>0</v>
      </c>
      <c r="Q113" s="6"/>
      <c r="R113" s="13">
        <f t="shared" si="22"/>
        <v>-1.8855657350178635E-3</v>
      </c>
      <c r="S113" s="13">
        <f t="shared" si="22"/>
        <v>4.0472032872484898E-3</v>
      </c>
      <c r="T113" s="13">
        <f t="shared" si="22"/>
        <v>1.402183023825513E-2</v>
      </c>
      <c r="U113" s="13">
        <f t="shared" si="22"/>
        <v>2.9347933711908601E-2</v>
      </c>
      <c r="V113" s="13">
        <f t="shared" si="22"/>
        <v>5.0589541627318151E-3</v>
      </c>
      <c r="W113" s="13"/>
      <c r="X113" s="52"/>
      <c r="Y113" s="13">
        <f t="shared" si="15"/>
        <v>-1.6980138057580752E-3</v>
      </c>
      <c r="Z113" s="13" t="str">
        <f t="shared" si="16"/>
        <v/>
      </c>
      <c r="AA113" s="13" t="str">
        <f t="shared" si="17"/>
        <v/>
      </c>
      <c r="AB113" s="13" t="str">
        <f t="shared" si="18"/>
        <v/>
      </c>
      <c r="AC113" s="13" t="str">
        <f t="shared" si="19"/>
        <v/>
      </c>
      <c r="AD113" s="52"/>
      <c r="AL113" s="38"/>
    </row>
    <row r="114" spans="1:38" x14ac:dyDescent="0.2">
      <c r="A114" s="43">
        <v>45317</v>
      </c>
      <c r="B114" s="19">
        <v>191.69258099999999</v>
      </c>
      <c r="C114" s="19">
        <v>58.445385000000002</v>
      </c>
      <c r="D114" s="19">
        <v>170.337051</v>
      </c>
      <c r="E114" s="19">
        <v>16.759803999999999</v>
      </c>
      <c r="F114" s="44">
        <v>4890.97</v>
      </c>
      <c r="G114" s="45">
        <v>4.8399999999999999E-2</v>
      </c>
      <c r="H114" s="37">
        <f t="shared" si="13"/>
        <v>1.8907864298212118E-4</v>
      </c>
      <c r="J114" s="6">
        <f t="shared" si="21"/>
        <v>-9.053703332614238E-3</v>
      </c>
      <c r="K114" s="6">
        <f t="shared" si="21"/>
        <v>3.5433502166368901E-3</v>
      </c>
      <c r="L114" s="6">
        <f t="shared" si="21"/>
        <v>-3.8235737207052796E-3</v>
      </c>
      <c r="M114" s="6">
        <f t="shared" si="21"/>
        <v>6.382391439619532E-3</v>
      </c>
      <c r="N114" s="6">
        <f t="shared" si="21"/>
        <v>-6.52009756234213E-4</v>
      </c>
      <c r="O114" s="6">
        <f t="shared" si="14"/>
        <v>8.1072658309452785E-3</v>
      </c>
      <c r="Q114" s="6"/>
      <c r="R114" s="13">
        <f t="shared" si="22"/>
        <v>-9.2427819755963592E-3</v>
      </c>
      <c r="S114" s="13">
        <f t="shared" si="22"/>
        <v>3.3542715736547689E-3</v>
      </c>
      <c r="T114" s="13">
        <f t="shared" si="22"/>
        <v>-4.0126523636874007E-3</v>
      </c>
      <c r="U114" s="13">
        <f t="shared" si="22"/>
        <v>6.1933127966374108E-3</v>
      </c>
      <c r="V114" s="13">
        <f t="shared" si="22"/>
        <v>-8.4108839921633418E-4</v>
      </c>
      <c r="W114" s="13"/>
      <c r="X114" s="52"/>
      <c r="Y114" s="13">
        <f t="shared" si="15"/>
        <v>-1.7160969163559518E-2</v>
      </c>
      <c r="Z114" s="13">
        <f t="shared" si="16"/>
        <v>-4.5639156143083889E-3</v>
      </c>
      <c r="AA114" s="13">
        <f t="shared" si="17"/>
        <v>-1.1930839551650557E-2</v>
      </c>
      <c r="AB114" s="13">
        <f t="shared" si="18"/>
        <v>-1.7248743913257465E-3</v>
      </c>
      <c r="AC114" s="13">
        <f t="shared" si="19"/>
        <v>-8.7592755871794912E-3</v>
      </c>
      <c r="AD114" s="52"/>
      <c r="AL114" s="38"/>
    </row>
    <row r="115" spans="1:38" x14ac:dyDescent="0.2">
      <c r="A115" s="43">
        <v>45320</v>
      </c>
      <c r="B115" s="19">
        <v>191.005188</v>
      </c>
      <c r="C115" s="19">
        <v>58.799782</v>
      </c>
      <c r="D115" s="19">
        <v>170.78196700000001</v>
      </c>
      <c r="E115" s="19">
        <v>16.721031</v>
      </c>
      <c r="F115" s="44">
        <v>4927.93</v>
      </c>
      <c r="G115" s="45">
        <v>4.8300000000000003E-2</v>
      </c>
      <c r="H115" s="37">
        <f t="shared" si="13"/>
        <v>1.8869701894863589E-4</v>
      </c>
      <c r="J115" s="6">
        <f t="shared" si="21"/>
        <v>-3.5923582258243084E-3</v>
      </c>
      <c r="K115" s="6">
        <f t="shared" si="21"/>
        <v>6.045418986824742E-3</v>
      </c>
      <c r="L115" s="6">
        <f t="shared" si="21"/>
        <v>2.608569026138582E-3</v>
      </c>
      <c r="M115" s="6">
        <f t="shared" si="21"/>
        <v>-2.3161320398991719E-3</v>
      </c>
      <c r="N115" s="6">
        <f t="shared" si="21"/>
        <v>7.5283737614565433E-3</v>
      </c>
      <c r="O115" s="6">
        <f t="shared" si="14"/>
        <v>-2.020374533117761E-3</v>
      </c>
      <c r="Q115" s="6"/>
      <c r="R115" s="13">
        <f t="shared" si="22"/>
        <v>-3.7810552447729443E-3</v>
      </c>
      <c r="S115" s="13">
        <f t="shared" si="22"/>
        <v>5.8567219678761061E-3</v>
      </c>
      <c r="T115" s="13">
        <f t="shared" si="22"/>
        <v>2.4198720071899461E-3</v>
      </c>
      <c r="U115" s="13">
        <f t="shared" si="22"/>
        <v>-2.5048290588478078E-3</v>
      </c>
      <c r="V115" s="13">
        <f t="shared" si="22"/>
        <v>7.3396767425079074E-3</v>
      </c>
      <c r="W115" s="13"/>
      <c r="X115" s="52"/>
      <c r="Y115" s="13">
        <f t="shared" si="15"/>
        <v>-1.5719836927065474E-3</v>
      </c>
      <c r="Z115" s="13" t="str">
        <f t="shared" si="16"/>
        <v/>
      </c>
      <c r="AA115" s="13" t="str">
        <f t="shared" si="17"/>
        <v/>
      </c>
      <c r="AB115" s="13">
        <f t="shared" si="18"/>
        <v>-2.957575067814109E-4</v>
      </c>
      <c r="AC115" s="13" t="str">
        <f t="shared" si="19"/>
        <v/>
      </c>
      <c r="AD115" s="52"/>
      <c r="AL115" s="38"/>
    </row>
    <row r="116" spans="1:38" x14ac:dyDescent="0.2">
      <c r="A116" s="43">
        <v>45321</v>
      </c>
      <c r="B116" s="19">
        <v>187.32914700000001</v>
      </c>
      <c r="C116" s="19">
        <v>58.967132999999997</v>
      </c>
      <c r="D116" s="19">
        <v>174.282059</v>
      </c>
      <c r="E116" s="19">
        <v>16.992445</v>
      </c>
      <c r="F116" s="44">
        <v>4924.97</v>
      </c>
      <c r="G116" s="45">
        <v>4.8099999999999997E-2</v>
      </c>
      <c r="H116" s="37">
        <f t="shared" si="13"/>
        <v>1.8793366209446383E-4</v>
      </c>
      <c r="J116" s="6">
        <f t="shared" si="21"/>
        <v>-1.9433375980611085E-2</v>
      </c>
      <c r="K116" s="6">
        <f t="shared" si="21"/>
        <v>2.842073474480988E-3</v>
      </c>
      <c r="L116" s="6">
        <f t="shared" si="21"/>
        <v>2.0287319345977977E-2</v>
      </c>
      <c r="M116" s="6">
        <f t="shared" si="21"/>
        <v>1.610156507641821E-2</v>
      </c>
      <c r="N116" s="6">
        <f t="shared" si="21"/>
        <v>-6.0083834993726029E-4</v>
      </c>
      <c r="O116" s="6">
        <f t="shared" si="14"/>
        <v>-4.0536150551227449E-3</v>
      </c>
      <c r="Q116" s="6"/>
      <c r="R116" s="13">
        <f t="shared" si="22"/>
        <v>-1.9621309642705548E-2</v>
      </c>
      <c r="S116" s="13">
        <f t="shared" si="22"/>
        <v>2.6541398123865242E-3</v>
      </c>
      <c r="T116" s="13">
        <f t="shared" si="22"/>
        <v>2.0099385683883513E-2</v>
      </c>
      <c r="U116" s="13">
        <f t="shared" si="22"/>
        <v>1.5913631414323746E-2</v>
      </c>
      <c r="V116" s="13">
        <f t="shared" si="22"/>
        <v>-7.8877201203172412E-4</v>
      </c>
      <c r="W116" s="13"/>
      <c r="X116" s="52"/>
      <c r="Y116" s="13">
        <f t="shared" si="15"/>
        <v>-1.537976092548834E-2</v>
      </c>
      <c r="Z116" s="13" t="str">
        <f t="shared" si="16"/>
        <v/>
      </c>
      <c r="AA116" s="13" t="str">
        <f t="shared" si="17"/>
        <v/>
      </c>
      <c r="AB116" s="13" t="str">
        <f t="shared" si="18"/>
        <v/>
      </c>
      <c r="AC116" s="13" t="str">
        <f t="shared" si="19"/>
        <v/>
      </c>
      <c r="AD116" s="52"/>
      <c r="AL116" s="38"/>
    </row>
    <row r="117" spans="1:38" x14ac:dyDescent="0.2">
      <c r="A117" s="43">
        <v>45322</v>
      </c>
      <c r="B117" s="19">
        <v>183.702911</v>
      </c>
      <c r="C117" s="19">
        <v>58.563518999999999</v>
      </c>
      <c r="D117" s="19">
        <v>172.393585</v>
      </c>
      <c r="E117" s="19">
        <v>17.147537</v>
      </c>
      <c r="F117" s="44">
        <v>4845.6499999999996</v>
      </c>
      <c r="G117" s="45">
        <v>4.8300000000000003E-2</v>
      </c>
      <c r="H117" s="37">
        <f t="shared" si="13"/>
        <v>1.8869701894863589E-4</v>
      </c>
      <c r="J117" s="6">
        <f t="shared" si="21"/>
        <v>-1.9547375416428876E-2</v>
      </c>
      <c r="K117" s="6">
        <f t="shared" si="21"/>
        <v>-6.8682608284900979E-3</v>
      </c>
      <c r="L117" s="6">
        <f t="shared" si="21"/>
        <v>-1.0894867940747696E-2</v>
      </c>
      <c r="M117" s="6">
        <f t="shared" si="21"/>
        <v>9.08571462661973E-3</v>
      </c>
      <c r="N117" s="6">
        <f t="shared" si="21"/>
        <v>-1.6236787963987382E-2</v>
      </c>
      <c r="O117" s="6">
        <f t="shared" si="14"/>
        <v>4.053615055122829E-3</v>
      </c>
      <c r="Q117" s="6"/>
      <c r="R117" s="13">
        <f t="shared" si="22"/>
        <v>-1.9736072435377512E-2</v>
      </c>
      <c r="S117" s="13">
        <f t="shared" si="22"/>
        <v>-7.0569578474387338E-3</v>
      </c>
      <c r="T117" s="13">
        <f t="shared" si="22"/>
        <v>-1.1083564959696332E-2</v>
      </c>
      <c r="U117" s="13">
        <f t="shared" si="22"/>
        <v>8.8970176076710941E-3</v>
      </c>
      <c r="V117" s="13">
        <f t="shared" si="22"/>
        <v>-1.6425484982936018E-2</v>
      </c>
      <c r="W117" s="13"/>
      <c r="X117" s="52"/>
      <c r="Y117" s="13">
        <f t="shared" si="15"/>
        <v>-2.3600990471551706E-2</v>
      </c>
      <c r="Z117" s="13">
        <f t="shared" si="16"/>
        <v>-1.0921875883612927E-2</v>
      </c>
      <c r="AA117" s="13">
        <f t="shared" si="17"/>
        <v>-1.4948482995870524E-2</v>
      </c>
      <c r="AB117" s="13" t="str">
        <f t="shared" si="18"/>
        <v/>
      </c>
      <c r="AC117" s="13">
        <f t="shared" si="19"/>
        <v>-2.0290403019110212E-2</v>
      </c>
      <c r="AD117" s="52"/>
      <c r="AL117" s="38"/>
    </row>
    <row r="118" spans="1:38" x14ac:dyDescent="0.2">
      <c r="A118" s="43">
        <v>45323</v>
      </c>
      <c r="B118" s="19">
        <v>186.15362500000001</v>
      </c>
      <c r="C118" s="19">
        <v>60.030315000000002</v>
      </c>
      <c r="D118" s="19">
        <v>171.770691</v>
      </c>
      <c r="E118" s="19">
        <v>17.486806999999999</v>
      </c>
      <c r="F118" s="44">
        <v>4906.1899999999996</v>
      </c>
      <c r="G118" s="45">
        <v>4.7599999999999996E-2</v>
      </c>
      <c r="H118" s="37">
        <f t="shared" si="13"/>
        <v>1.8602463504269195E-4</v>
      </c>
      <c r="J118" s="6">
        <f t="shared" si="21"/>
        <v>1.3252435087594459E-2</v>
      </c>
      <c r="K118" s="6">
        <f t="shared" si="21"/>
        <v>2.4737724565590001E-2</v>
      </c>
      <c r="L118" s="6">
        <f t="shared" si="21"/>
        <v>-3.6197520984293389E-3</v>
      </c>
      <c r="M118" s="6">
        <f t="shared" si="21"/>
        <v>1.9592162762490182E-2</v>
      </c>
      <c r="N118" s="6">
        <f t="shared" si="21"/>
        <v>1.2416277903485802E-2</v>
      </c>
      <c r="O118" s="6">
        <f t="shared" si="14"/>
        <v>-1.4263543006221244E-2</v>
      </c>
      <c r="Q118" s="6"/>
      <c r="R118" s="13">
        <f t="shared" si="22"/>
        <v>1.3066410452551767E-2</v>
      </c>
      <c r="S118" s="13">
        <f t="shared" si="22"/>
        <v>2.4551699930547309E-2</v>
      </c>
      <c r="T118" s="13">
        <f t="shared" si="22"/>
        <v>-3.8057767334720308E-3</v>
      </c>
      <c r="U118" s="13">
        <f t="shared" si="22"/>
        <v>1.940613812744749E-2</v>
      </c>
      <c r="V118" s="13">
        <f t="shared" si="22"/>
        <v>1.223025326844311E-2</v>
      </c>
      <c r="W118" s="13"/>
      <c r="X118" s="52"/>
      <c r="Y118" s="13" t="str">
        <f t="shared" si="15"/>
        <v/>
      </c>
      <c r="Z118" s="13" t="str">
        <f t="shared" si="16"/>
        <v/>
      </c>
      <c r="AA118" s="13" t="str">
        <f t="shared" si="17"/>
        <v/>
      </c>
      <c r="AB118" s="13" t="str">
        <f t="shared" si="18"/>
        <v/>
      </c>
      <c r="AC118" s="13" t="str">
        <f t="shared" si="19"/>
        <v/>
      </c>
      <c r="AD118" s="52"/>
      <c r="AL118" s="38"/>
    </row>
    <row r="119" spans="1:38" x14ac:dyDescent="0.2">
      <c r="A119" s="43">
        <v>45324</v>
      </c>
      <c r="B119" s="19">
        <v>185.14743000000001</v>
      </c>
      <c r="C119" s="19">
        <v>59.597168000000003</v>
      </c>
      <c r="D119" s="19">
        <v>172.75941499999999</v>
      </c>
      <c r="E119" s="19">
        <v>17.283245000000001</v>
      </c>
      <c r="F119" s="44">
        <v>4958.6099999999997</v>
      </c>
      <c r="G119" s="45">
        <v>4.7800000000000002E-2</v>
      </c>
      <c r="H119" s="37">
        <f t="shared" si="13"/>
        <v>1.8678835474061906E-4</v>
      </c>
      <c r="J119" s="6">
        <f t="shared" si="21"/>
        <v>-5.4198470459970276E-3</v>
      </c>
      <c r="K119" s="6">
        <f t="shared" si="21"/>
        <v>-7.2416284624734579E-3</v>
      </c>
      <c r="L119" s="6">
        <f t="shared" si="21"/>
        <v>5.7395664242008678E-3</v>
      </c>
      <c r="M119" s="6">
        <f t="shared" si="21"/>
        <v>-1.1709175802896356E-2</v>
      </c>
      <c r="N119" s="6">
        <f t="shared" si="21"/>
        <v>1.0627786351803241E-2</v>
      </c>
      <c r="O119" s="6">
        <f t="shared" si="14"/>
        <v>4.0970716534691276E-3</v>
      </c>
      <c r="Q119" s="6"/>
      <c r="R119" s="13">
        <f t="shared" si="22"/>
        <v>-5.6066354007376466E-3</v>
      </c>
      <c r="S119" s="13">
        <f t="shared" si="22"/>
        <v>-7.428416817214077E-3</v>
      </c>
      <c r="T119" s="13">
        <f t="shared" si="22"/>
        <v>5.5527780694602487E-3</v>
      </c>
      <c r="U119" s="13">
        <f t="shared" si="22"/>
        <v>-1.1895964157636975E-2</v>
      </c>
      <c r="V119" s="13">
        <f t="shared" si="22"/>
        <v>1.0440997997062622E-2</v>
      </c>
      <c r="W119" s="13"/>
      <c r="X119" s="52"/>
      <c r="Y119" s="13">
        <f t="shared" si="15"/>
        <v>-9.5169186994661543E-3</v>
      </c>
      <c r="Z119" s="13">
        <f t="shared" si="16"/>
        <v>-1.1338700115942586E-2</v>
      </c>
      <c r="AA119" s="13" t="str">
        <f t="shared" si="17"/>
        <v/>
      </c>
      <c r="AB119" s="13">
        <f t="shared" si="18"/>
        <v>-1.5806247456365483E-2</v>
      </c>
      <c r="AC119" s="13" t="str">
        <f t="shared" si="19"/>
        <v/>
      </c>
      <c r="AD119" s="52"/>
      <c r="AL119" s="38"/>
    </row>
    <row r="120" spans="1:38" x14ac:dyDescent="0.2">
      <c r="A120" s="43">
        <v>45327</v>
      </c>
      <c r="B120" s="19">
        <v>186.970505</v>
      </c>
      <c r="C120" s="19">
        <v>59.104953999999999</v>
      </c>
      <c r="D120" s="19">
        <v>172.53201300000001</v>
      </c>
      <c r="E120" s="19">
        <v>17.186309999999999</v>
      </c>
      <c r="F120" s="44">
        <v>4942.8100000000004</v>
      </c>
      <c r="G120" s="45">
        <v>4.7599999999999996E-2</v>
      </c>
      <c r="H120" s="37">
        <f t="shared" si="13"/>
        <v>1.8602463504269195E-4</v>
      </c>
      <c r="J120" s="6">
        <f t="shared" si="21"/>
        <v>9.7984505156412712E-3</v>
      </c>
      <c r="K120" s="6">
        <f t="shared" si="21"/>
        <v>-8.2933112377348989E-3</v>
      </c>
      <c r="L120" s="6">
        <f t="shared" si="21"/>
        <v>-1.3171600244696804E-3</v>
      </c>
      <c r="M120" s="6">
        <f t="shared" si="21"/>
        <v>-5.6243984313423317E-3</v>
      </c>
      <c r="N120" s="6">
        <f t="shared" si="21"/>
        <v>-3.191464135615035E-3</v>
      </c>
      <c r="O120" s="6">
        <f t="shared" si="14"/>
        <v>-4.0970716534690834E-3</v>
      </c>
      <c r="Q120" s="6"/>
      <c r="R120" s="13">
        <f t="shared" si="22"/>
        <v>9.6124258805985793E-3</v>
      </c>
      <c r="S120" s="13">
        <f t="shared" si="22"/>
        <v>-8.4793358727775908E-3</v>
      </c>
      <c r="T120" s="13">
        <f t="shared" si="22"/>
        <v>-1.5031846595123723E-3</v>
      </c>
      <c r="U120" s="13">
        <f t="shared" si="22"/>
        <v>-5.8104230663850237E-3</v>
      </c>
      <c r="V120" s="13">
        <f t="shared" si="22"/>
        <v>-3.377488770657727E-3</v>
      </c>
      <c r="W120" s="13"/>
      <c r="X120" s="52"/>
      <c r="Y120" s="13" t="str">
        <f t="shared" si="15"/>
        <v/>
      </c>
      <c r="Z120" s="13">
        <f t="shared" si="16"/>
        <v>-4.1962395842658155E-3</v>
      </c>
      <c r="AA120" s="13" t="str">
        <f t="shared" si="17"/>
        <v/>
      </c>
      <c r="AB120" s="13">
        <f t="shared" si="18"/>
        <v>-1.5273267778732483E-3</v>
      </c>
      <c r="AC120" s="13" t="str">
        <f t="shared" si="19"/>
        <v/>
      </c>
      <c r="AD120" s="52"/>
      <c r="AL120" s="38"/>
    </row>
    <row r="121" spans="1:38" x14ac:dyDescent="0.2">
      <c r="A121" s="43">
        <v>45328</v>
      </c>
      <c r="B121" s="19">
        <v>188.58438100000001</v>
      </c>
      <c r="C121" s="19">
        <v>59.006512000000001</v>
      </c>
      <c r="D121" s="19">
        <v>173.12524400000001</v>
      </c>
      <c r="E121" s="19">
        <v>17.069991999999999</v>
      </c>
      <c r="F121" s="44">
        <v>4954.2299999999996</v>
      </c>
      <c r="G121" s="45">
        <v>4.8000000000000001E-2</v>
      </c>
      <c r="H121" s="37">
        <f t="shared" si="13"/>
        <v>1.8755192925978825E-4</v>
      </c>
      <c r="J121" s="6">
        <f t="shared" si="21"/>
        <v>8.5946741458582179E-3</v>
      </c>
      <c r="K121" s="6">
        <f t="shared" si="21"/>
        <v>-1.6669342296507035E-3</v>
      </c>
      <c r="L121" s="6">
        <f t="shared" si="21"/>
        <v>3.4324844651034197E-3</v>
      </c>
      <c r="M121" s="6">
        <f t="shared" si="21"/>
        <v>-6.7910685184317367E-3</v>
      </c>
      <c r="N121" s="6">
        <f t="shared" si="21"/>
        <v>2.3077617284261594E-3</v>
      </c>
      <c r="O121" s="6">
        <f t="shared" si="14"/>
        <v>8.1766517083937465E-3</v>
      </c>
      <c r="Q121" s="6"/>
      <c r="R121" s="13">
        <f t="shared" si="22"/>
        <v>8.4071222165984297E-3</v>
      </c>
      <c r="S121" s="13">
        <f t="shared" si="22"/>
        <v>-1.8544861589104918E-3</v>
      </c>
      <c r="T121" s="13">
        <f t="shared" si="22"/>
        <v>3.2449325358436315E-3</v>
      </c>
      <c r="U121" s="13">
        <f t="shared" si="22"/>
        <v>-6.978620447691525E-3</v>
      </c>
      <c r="V121" s="13">
        <f t="shared" si="22"/>
        <v>2.1202097991663712E-3</v>
      </c>
      <c r="W121" s="13"/>
      <c r="X121" s="52"/>
      <c r="Y121" s="13" t="str">
        <f t="shared" si="15"/>
        <v/>
      </c>
      <c r="Z121" s="13">
        <f t="shared" si="16"/>
        <v>-9.8435859380444496E-3</v>
      </c>
      <c r="AA121" s="13">
        <f t="shared" si="17"/>
        <v>-4.7441672432903268E-3</v>
      </c>
      <c r="AB121" s="13">
        <f t="shared" si="18"/>
        <v>-1.4967720226825482E-2</v>
      </c>
      <c r="AC121" s="13">
        <f t="shared" si="19"/>
        <v>-5.8688899799675866E-3</v>
      </c>
      <c r="AD121" s="52"/>
      <c r="AL121" s="38"/>
    </row>
    <row r="122" spans="1:38" x14ac:dyDescent="0.2">
      <c r="A122" s="43">
        <v>45329</v>
      </c>
      <c r="B122" s="19">
        <v>188.69397000000001</v>
      </c>
      <c r="C122" s="19">
        <v>59.055732999999996</v>
      </c>
      <c r="D122" s="19">
        <v>173.45150799999999</v>
      </c>
      <c r="E122" s="19">
        <v>16.798576000000001</v>
      </c>
      <c r="F122" s="44">
        <v>4995.0600000000004</v>
      </c>
      <c r="G122" s="45">
        <v>4.7300000000000002E-2</v>
      </c>
      <c r="H122" s="37">
        <f t="shared" si="13"/>
        <v>1.8487878316397754E-4</v>
      </c>
      <c r="J122" s="6">
        <f t="shared" si="21"/>
        <v>5.8094509155742779E-4</v>
      </c>
      <c r="K122" s="6">
        <f t="shared" si="21"/>
        <v>8.3381444850086286E-4</v>
      </c>
      <c r="L122" s="6">
        <f t="shared" si="21"/>
        <v>1.8827811992427708E-3</v>
      </c>
      <c r="M122" s="6">
        <f t="shared" si="21"/>
        <v>-1.6027947235816124E-2</v>
      </c>
      <c r="N122" s="6">
        <f t="shared" si="21"/>
        <v>8.2076669213310503E-3</v>
      </c>
      <c r="O122" s="6">
        <f t="shared" si="14"/>
        <v>-1.4355378934220285E-2</v>
      </c>
      <c r="Q122" s="6"/>
      <c r="R122" s="13">
        <f t="shared" si="22"/>
        <v>3.9606630839345025E-4</v>
      </c>
      <c r="S122" s="13">
        <f t="shared" si="22"/>
        <v>6.4893566533688531E-4</v>
      </c>
      <c r="T122" s="13">
        <f t="shared" si="22"/>
        <v>1.6979024160787932E-3</v>
      </c>
      <c r="U122" s="13">
        <f t="shared" si="22"/>
        <v>-1.6212826018980102E-2</v>
      </c>
      <c r="V122" s="13">
        <f t="shared" si="22"/>
        <v>8.0227881381670727E-3</v>
      </c>
      <c r="W122" s="13"/>
      <c r="X122" s="52"/>
      <c r="Y122" s="13" t="str">
        <f t="shared" si="15"/>
        <v/>
      </c>
      <c r="Z122" s="13" t="str">
        <f t="shared" si="16"/>
        <v/>
      </c>
      <c r="AA122" s="13" t="str">
        <f t="shared" si="17"/>
        <v/>
      </c>
      <c r="AB122" s="13">
        <f t="shared" si="18"/>
        <v>-1.6725683015958396E-3</v>
      </c>
      <c r="AC122" s="13" t="str">
        <f t="shared" si="19"/>
        <v/>
      </c>
      <c r="AD122" s="52"/>
      <c r="AL122" s="38"/>
    </row>
    <row r="123" spans="1:38" x14ac:dyDescent="0.2">
      <c r="A123" s="43">
        <v>45330</v>
      </c>
      <c r="B123" s="19">
        <v>187.608093</v>
      </c>
      <c r="C123" s="19">
        <v>58.898228000000003</v>
      </c>
      <c r="D123" s="19">
        <v>172.82862900000001</v>
      </c>
      <c r="E123" s="19">
        <v>16.304216</v>
      </c>
      <c r="F123" s="44">
        <v>4997.91</v>
      </c>
      <c r="G123" s="45">
        <v>4.6799999999999994E-2</v>
      </c>
      <c r="H123" s="37">
        <f t="shared" si="13"/>
        <v>1.8296830335384762E-4</v>
      </c>
      <c r="J123" s="6">
        <f t="shared" si="21"/>
        <v>-5.7713210785359176E-3</v>
      </c>
      <c r="K123" s="6">
        <f t="shared" si="21"/>
        <v>-2.670619829599635E-3</v>
      </c>
      <c r="L123" s="6">
        <f t="shared" si="21"/>
        <v>-3.5975477957779409E-3</v>
      </c>
      <c r="M123" s="6">
        <f t="shared" si="21"/>
        <v>-2.9870396236716779E-2</v>
      </c>
      <c r="N123" s="6">
        <f t="shared" si="21"/>
        <v>5.7040100736248747E-4</v>
      </c>
      <c r="O123" s="6">
        <f t="shared" si="14"/>
        <v>-1.0387452060302784E-2</v>
      </c>
      <c r="Q123" s="6"/>
      <c r="R123" s="13">
        <f t="shared" si="22"/>
        <v>-5.9542893818897652E-3</v>
      </c>
      <c r="S123" s="13">
        <f t="shared" si="22"/>
        <v>-2.8535881329534826E-3</v>
      </c>
      <c r="T123" s="13">
        <f t="shared" si="22"/>
        <v>-3.7805160991317885E-3</v>
      </c>
      <c r="U123" s="13">
        <f t="shared" si="22"/>
        <v>-3.0053364540070626E-2</v>
      </c>
      <c r="V123" s="13">
        <f t="shared" si="22"/>
        <v>3.8743270400863985E-4</v>
      </c>
      <c r="W123" s="13"/>
      <c r="X123" s="52"/>
      <c r="Y123" s="13" t="str">
        <f t="shared" si="15"/>
        <v/>
      </c>
      <c r="Z123" s="13" t="str">
        <f t="shared" si="16"/>
        <v/>
      </c>
      <c r="AA123" s="13" t="str">
        <f t="shared" si="17"/>
        <v/>
      </c>
      <c r="AB123" s="13">
        <f t="shared" si="18"/>
        <v>-1.9482944176413997E-2</v>
      </c>
      <c r="AC123" s="13" t="str">
        <f t="shared" si="19"/>
        <v/>
      </c>
      <c r="AD123" s="52"/>
      <c r="AL123" s="38"/>
    </row>
    <row r="124" spans="1:38" x14ac:dyDescent="0.2">
      <c r="A124" s="43">
        <v>45331</v>
      </c>
      <c r="B124" s="19">
        <v>188.37616</v>
      </c>
      <c r="C124" s="19">
        <v>58.632430999999997</v>
      </c>
      <c r="D124" s="19">
        <v>173.03625500000001</v>
      </c>
      <c r="E124" s="19">
        <v>16.323602999999999</v>
      </c>
      <c r="F124" s="44">
        <v>5026.6099999999997</v>
      </c>
      <c r="G124" s="45">
        <v>4.8099999999999997E-2</v>
      </c>
      <c r="H124" s="37">
        <f t="shared" si="13"/>
        <v>1.8793366209446383E-4</v>
      </c>
      <c r="J124" s="6">
        <f t="shared" si="21"/>
        <v>4.0856395568765842E-3</v>
      </c>
      <c r="K124" s="6">
        <f t="shared" si="21"/>
        <v>-4.5230317841640829E-3</v>
      </c>
      <c r="L124" s="6">
        <f t="shared" si="21"/>
        <v>1.200619285424928E-3</v>
      </c>
      <c r="M124" s="6">
        <f t="shared" si="21"/>
        <v>1.1883725529783697E-3</v>
      </c>
      <c r="N124" s="6">
        <f t="shared" si="21"/>
        <v>5.7259755908601927E-3</v>
      </c>
      <c r="O124" s="6">
        <f t="shared" si="14"/>
        <v>2.6776107237227904E-2</v>
      </c>
      <c r="Q124" s="6"/>
      <c r="R124" s="13">
        <f t="shared" si="22"/>
        <v>3.8977058947821204E-3</v>
      </c>
      <c r="S124" s="13">
        <f t="shared" si="22"/>
        <v>-4.7109654462585467E-3</v>
      </c>
      <c r="T124" s="13">
        <f t="shared" si="22"/>
        <v>1.0126856233304642E-3</v>
      </c>
      <c r="U124" s="13">
        <f t="shared" si="22"/>
        <v>1.0004388908839059E-3</v>
      </c>
      <c r="V124" s="13">
        <f t="shared" si="22"/>
        <v>5.5380419287657289E-3</v>
      </c>
      <c r="W124" s="13"/>
      <c r="X124" s="52"/>
      <c r="Y124" s="13">
        <f t="shared" si="15"/>
        <v>-2.2690467680351319E-2</v>
      </c>
      <c r="Z124" s="13">
        <f t="shared" si="16"/>
        <v>-3.1299139021391989E-2</v>
      </c>
      <c r="AA124" s="13">
        <f t="shared" si="17"/>
        <v>-2.5575487951802978E-2</v>
      </c>
      <c r="AB124" s="13">
        <f t="shared" si="18"/>
        <v>-2.5587734684249533E-2</v>
      </c>
      <c r="AC124" s="13">
        <f t="shared" si="19"/>
        <v>-2.1050131646367713E-2</v>
      </c>
      <c r="AD124" s="52"/>
      <c r="AL124" s="38"/>
    </row>
    <row r="125" spans="1:38" x14ac:dyDescent="0.2">
      <c r="A125" s="43">
        <v>45334</v>
      </c>
      <c r="B125" s="19">
        <v>186.68042</v>
      </c>
      <c r="C125" s="19">
        <v>58.770248000000002</v>
      </c>
      <c r="D125" s="19">
        <v>173.80744899999999</v>
      </c>
      <c r="E125" s="19">
        <v>16.498085</v>
      </c>
      <c r="F125" s="44">
        <v>5021.84</v>
      </c>
      <c r="G125" s="45">
        <v>4.87E-2</v>
      </c>
      <c r="H125" s="37">
        <f t="shared" si="13"/>
        <v>1.9022329759033063E-4</v>
      </c>
      <c r="J125" s="6">
        <f t="shared" si="21"/>
        <v>-9.0426439389799818E-3</v>
      </c>
      <c r="K125" s="6">
        <f t="shared" si="21"/>
        <v>2.3477669245357624E-3</v>
      </c>
      <c r="L125" s="6">
        <f t="shared" si="21"/>
        <v>4.4469325058092328E-3</v>
      </c>
      <c r="M125" s="6">
        <f t="shared" si="21"/>
        <v>1.0632216336701443E-2</v>
      </c>
      <c r="N125" s="6">
        <f t="shared" si="21"/>
        <v>-9.4940022755554091E-4</v>
      </c>
      <c r="O125" s="6">
        <f t="shared" si="14"/>
        <v>1.2109593209557942E-2</v>
      </c>
      <c r="Q125" s="6"/>
      <c r="R125" s="13">
        <f t="shared" si="22"/>
        <v>-9.2328672365703125E-3</v>
      </c>
      <c r="S125" s="13">
        <f t="shared" si="22"/>
        <v>2.1575436269454318E-3</v>
      </c>
      <c r="T125" s="13">
        <f t="shared" si="22"/>
        <v>4.2567092082189022E-3</v>
      </c>
      <c r="U125" s="13">
        <f t="shared" si="22"/>
        <v>1.0441993039111112E-2</v>
      </c>
      <c r="V125" s="13">
        <f t="shared" si="22"/>
        <v>-1.1396235251458714E-3</v>
      </c>
      <c r="W125" s="13"/>
      <c r="X125" s="52"/>
      <c r="Y125" s="13">
        <f t="shared" si="15"/>
        <v>-2.1152237148537922E-2</v>
      </c>
      <c r="Z125" s="13">
        <f t="shared" si="16"/>
        <v>-9.7618262850221807E-3</v>
      </c>
      <c r="AA125" s="13">
        <f t="shared" si="17"/>
        <v>-7.6626607037487094E-3</v>
      </c>
      <c r="AB125" s="13">
        <f t="shared" si="18"/>
        <v>-1.4773768728564996E-3</v>
      </c>
      <c r="AC125" s="13">
        <f t="shared" si="19"/>
        <v>-1.3058993437113484E-2</v>
      </c>
      <c r="AD125" s="52"/>
      <c r="AL125" s="38"/>
    </row>
    <row r="126" spans="1:38" x14ac:dyDescent="0.2">
      <c r="A126" s="43">
        <v>45335</v>
      </c>
      <c r="B126" s="19">
        <v>184.575714</v>
      </c>
      <c r="C126" s="19">
        <v>58.425697</v>
      </c>
      <c r="D126" s="19">
        <v>172.29470800000001</v>
      </c>
      <c r="E126" s="19">
        <v>16.381762999999999</v>
      </c>
      <c r="F126" s="44">
        <v>4953.17</v>
      </c>
      <c r="G126" s="45">
        <v>4.82E-2</v>
      </c>
      <c r="H126" s="37">
        <f t="shared" si="13"/>
        <v>1.8831535865504456E-4</v>
      </c>
      <c r="J126" s="6">
        <f t="shared" si="21"/>
        <v>-1.133841763443315E-2</v>
      </c>
      <c r="K126" s="6">
        <f t="shared" si="21"/>
        <v>-5.8799302773867674E-3</v>
      </c>
      <c r="L126" s="6">
        <f t="shared" si="21"/>
        <v>-8.7416423305419957E-3</v>
      </c>
      <c r="M126" s="6">
        <f t="shared" si="21"/>
        <v>-7.075609674194675E-3</v>
      </c>
      <c r="N126" s="6">
        <f t="shared" si="21"/>
        <v>-1.3768624761212093E-2</v>
      </c>
      <c r="O126" s="6">
        <f t="shared" si="14"/>
        <v>-1.0080635415788465E-2</v>
      </c>
      <c r="Q126" s="6"/>
      <c r="R126" s="13">
        <f t="shared" si="22"/>
        <v>-1.1526732993088195E-2</v>
      </c>
      <c r="S126" s="13">
        <f t="shared" si="22"/>
        <v>-6.068245636041812E-3</v>
      </c>
      <c r="T126" s="13">
        <f t="shared" si="22"/>
        <v>-8.9299576891970402E-3</v>
      </c>
      <c r="U126" s="13">
        <f t="shared" si="22"/>
        <v>-7.2639250328497195E-3</v>
      </c>
      <c r="V126" s="13">
        <f t="shared" si="22"/>
        <v>-1.3956940119867138E-2</v>
      </c>
      <c r="W126" s="13"/>
      <c r="X126" s="52"/>
      <c r="Y126" s="13">
        <f t="shared" si="15"/>
        <v>-1.2577822186446846E-3</v>
      </c>
      <c r="Z126" s="13" t="str">
        <f t="shared" si="16"/>
        <v/>
      </c>
      <c r="AA126" s="13" t="str">
        <f t="shared" si="17"/>
        <v/>
      </c>
      <c r="AB126" s="13" t="str">
        <f t="shared" si="18"/>
        <v/>
      </c>
      <c r="AC126" s="13">
        <f t="shared" si="19"/>
        <v>-3.6879893454236281E-3</v>
      </c>
      <c r="AD126" s="52"/>
      <c r="AL126" s="38"/>
    </row>
    <row r="127" spans="1:38" x14ac:dyDescent="0.2">
      <c r="A127" s="43">
        <v>45336</v>
      </c>
      <c r="B127" s="19">
        <v>183.68794299999999</v>
      </c>
      <c r="C127" s="19">
        <v>58.366633999999998</v>
      </c>
      <c r="D127" s="19">
        <v>174.04473899999999</v>
      </c>
      <c r="E127" s="19">
        <v>16.391455000000001</v>
      </c>
      <c r="F127" s="44">
        <v>5000.62</v>
      </c>
      <c r="G127" s="45">
        <v>4.8300000000000003E-2</v>
      </c>
      <c r="H127" s="37">
        <f t="shared" si="13"/>
        <v>1.8869701894863589E-4</v>
      </c>
      <c r="J127" s="6">
        <f t="shared" si="21"/>
        <v>-4.8213974030586366E-3</v>
      </c>
      <c r="K127" s="6">
        <f t="shared" si="21"/>
        <v>-1.0114192349661964E-3</v>
      </c>
      <c r="L127" s="6">
        <f t="shared" si="21"/>
        <v>1.0105957663276266E-2</v>
      </c>
      <c r="M127" s="6">
        <f t="shared" si="21"/>
        <v>5.9145856733030231E-4</v>
      </c>
      <c r="N127" s="6">
        <f t="shared" si="21"/>
        <v>9.5341290968955009E-3</v>
      </c>
      <c r="O127" s="6">
        <f t="shared" si="14"/>
        <v>2.0246572613530339E-3</v>
      </c>
      <c r="Q127" s="6"/>
      <c r="R127" s="13">
        <f t="shared" si="22"/>
        <v>-5.0100944220072725E-3</v>
      </c>
      <c r="S127" s="13">
        <f t="shared" si="22"/>
        <v>-1.2001162539148323E-3</v>
      </c>
      <c r="T127" s="13">
        <f t="shared" si="22"/>
        <v>9.9172606443276301E-3</v>
      </c>
      <c r="U127" s="13">
        <f t="shared" si="22"/>
        <v>4.0276154838166643E-4</v>
      </c>
      <c r="V127" s="13">
        <f t="shared" si="22"/>
        <v>9.345432077946865E-3</v>
      </c>
      <c r="W127" s="13"/>
      <c r="X127" s="52"/>
      <c r="Y127" s="13">
        <f t="shared" si="15"/>
        <v>-6.8460546644116705E-3</v>
      </c>
      <c r="Z127" s="13">
        <f t="shared" si="16"/>
        <v>-3.03607649631923E-3</v>
      </c>
      <c r="AA127" s="13" t="str">
        <f t="shared" si="17"/>
        <v/>
      </c>
      <c r="AB127" s="13">
        <f t="shared" si="18"/>
        <v>-1.4331986940227315E-3</v>
      </c>
      <c r="AC127" s="13" t="str">
        <f t="shared" si="19"/>
        <v/>
      </c>
      <c r="AD127" s="52"/>
      <c r="AL127" s="38"/>
    </row>
    <row r="128" spans="1:38" x14ac:dyDescent="0.2">
      <c r="A128" s="43">
        <v>45337</v>
      </c>
      <c r="B128" s="19">
        <v>183.39868200000001</v>
      </c>
      <c r="C128" s="19">
        <v>58.474921999999999</v>
      </c>
      <c r="D128" s="19">
        <v>177.84144599999999</v>
      </c>
      <c r="E128" s="19">
        <v>16.565937000000002</v>
      </c>
      <c r="F128" s="44">
        <v>5029.7299999999996</v>
      </c>
      <c r="G128" s="45">
        <v>4.8300000000000003E-2</v>
      </c>
      <c r="H128" s="37">
        <f t="shared" si="13"/>
        <v>1.8869701894863589E-4</v>
      </c>
      <c r="J128" s="6">
        <f t="shared" si="21"/>
        <v>-1.5759825619922172E-3</v>
      </c>
      <c r="K128" s="6">
        <f t="shared" si="21"/>
        <v>1.8535876226185115E-3</v>
      </c>
      <c r="L128" s="6">
        <f t="shared" si="21"/>
        <v>2.1580013672744289E-2</v>
      </c>
      <c r="M128" s="6">
        <f t="shared" si="21"/>
        <v>1.0588436740846002E-2</v>
      </c>
      <c r="N128" s="6">
        <f t="shared" si="21"/>
        <v>5.8043999917945753E-3</v>
      </c>
      <c r="O128" s="6">
        <f t="shared" si="14"/>
        <v>0</v>
      </c>
      <c r="Q128" s="6"/>
      <c r="R128" s="13">
        <f t="shared" si="22"/>
        <v>-1.764679580940853E-3</v>
      </c>
      <c r="S128" s="13">
        <f t="shared" si="22"/>
        <v>1.6648906036698756E-3</v>
      </c>
      <c r="T128" s="13">
        <f t="shared" si="22"/>
        <v>2.1391316653795654E-2</v>
      </c>
      <c r="U128" s="13">
        <f t="shared" si="22"/>
        <v>1.0399739721897366E-2</v>
      </c>
      <c r="V128" s="13">
        <f t="shared" si="22"/>
        <v>5.6157029728459394E-3</v>
      </c>
      <c r="W128" s="13"/>
      <c r="X128" s="52"/>
      <c r="Y128" s="13">
        <f t="shared" si="15"/>
        <v>-1.5759825619922172E-3</v>
      </c>
      <c r="Z128" s="13" t="str">
        <f t="shared" si="16"/>
        <v/>
      </c>
      <c r="AA128" s="13" t="str">
        <f t="shared" si="17"/>
        <v/>
      </c>
      <c r="AB128" s="13" t="str">
        <f t="shared" si="18"/>
        <v/>
      </c>
      <c r="AC128" s="13" t="str">
        <f t="shared" si="19"/>
        <v/>
      </c>
      <c r="AD128" s="52"/>
      <c r="AL128" s="38"/>
    </row>
    <row r="129" spans="1:38" x14ac:dyDescent="0.2">
      <c r="A129" s="43">
        <v>45338</v>
      </c>
      <c r="B129" s="19">
        <v>181.852554</v>
      </c>
      <c r="C129" s="19">
        <v>58.465076000000003</v>
      </c>
      <c r="D129" s="19">
        <v>177.01091</v>
      </c>
      <c r="E129" s="19">
        <v>16.449615000000001</v>
      </c>
      <c r="F129" s="44">
        <v>5005.57</v>
      </c>
      <c r="G129" s="45">
        <v>4.8600000000000004E-2</v>
      </c>
      <c r="H129" s="37">
        <f t="shared" si="13"/>
        <v>1.8984178229608517E-4</v>
      </c>
      <c r="J129" s="6">
        <f t="shared" si="21"/>
        <v>-8.4661574423176515E-3</v>
      </c>
      <c r="K129" s="6">
        <f t="shared" si="21"/>
        <v>-1.6839405150777205E-4</v>
      </c>
      <c r="L129" s="6">
        <f t="shared" si="21"/>
        <v>-4.6810314347300336E-3</v>
      </c>
      <c r="M129" s="6">
        <f t="shared" si="21"/>
        <v>-7.0465265167247411E-3</v>
      </c>
      <c r="N129" s="6">
        <f t="shared" si="21"/>
        <v>-4.8150123419915631E-3</v>
      </c>
      <c r="O129" s="6">
        <f t="shared" si="14"/>
        <v>6.0483460799302426E-3</v>
      </c>
      <c r="Q129" s="6"/>
      <c r="R129" s="13">
        <f t="shared" si="22"/>
        <v>-8.6559992246137366E-3</v>
      </c>
      <c r="S129" s="13">
        <f t="shared" si="22"/>
        <v>-3.5823583380385722E-4</v>
      </c>
      <c r="T129" s="13">
        <f t="shared" si="22"/>
        <v>-4.8708732170261188E-3</v>
      </c>
      <c r="U129" s="13">
        <f t="shared" si="22"/>
        <v>-7.2363682990208263E-3</v>
      </c>
      <c r="V129" s="13">
        <f t="shared" si="22"/>
        <v>-5.0048541242876483E-3</v>
      </c>
      <c r="W129" s="13"/>
      <c r="X129" s="52"/>
      <c r="Y129" s="13">
        <f t="shared" si="15"/>
        <v>-1.4514503522247894E-2</v>
      </c>
      <c r="Z129" s="13">
        <f t="shared" si="16"/>
        <v>-6.2167401314380142E-3</v>
      </c>
      <c r="AA129" s="13">
        <f t="shared" si="17"/>
        <v>-1.0729377514660276E-2</v>
      </c>
      <c r="AB129" s="13">
        <f t="shared" si="18"/>
        <v>-1.3094872596654983E-2</v>
      </c>
      <c r="AC129" s="13">
        <f t="shared" si="19"/>
        <v>-1.0863358421921807E-2</v>
      </c>
      <c r="AD129" s="52"/>
      <c r="AL129" s="38"/>
    </row>
    <row r="130" spans="1:38" x14ac:dyDescent="0.2">
      <c r="A130" s="43">
        <v>45342</v>
      </c>
      <c r="B130" s="19">
        <v>181.104446</v>
      </c>
      <c r="C130" s="19">
        <v>59.754677000000001</v>
      </c>
      <c r="D130" s="19">
        <v>177.70301799999999</v>
      </c>
      <c r="E130" s="19">
        <v>16.391455000000001</v>
      </c>
      <c r="F130" s="44">
        <v>4975.51</v>
      </c>
      <c r="G130" s="45">
        <v>4.87E-2</v>
      </c>
      <c r="H130" s="37">
        <f t="shared" si="13"/>
        <v>1.9022329759033063E-4</v>
      </c>
      <c r="J130" s="6">
        <f t="shared" si="21"/>
        <v>-4.1223013161664603E-3</v>
      </c>
      <c r="K130" s="6">
        <f t="shared" si="21"/>
        <v>2.181787938436186E-2</v>
      </c>
      <c r="L130" s="6">
        <f t="shared" si="21"/>
        <v>3.9023496044056838E-3</v>
      </c>
      <c r="M130" s="6">
        <f t="shared" si="21"/>
        <v>-3.5419102241213379E-3</v>
      </c>
      <c r="N130" s="6">
        <f t="shared" si="21"/>
        <v>-6.0234144772223523E-3</v>
      </c>
      <c r="O130" s="6">
        <f t="shared" si="14"/>
        <v>2.0076320745050212E-3</v>
      </c>
      <c r="Q130" s="6"/>
      <c r="R130" s="13">
        <f t="shared" si="22"/>
        <v>-4.3125246137567909E-3</v>
      </c>
      <c r="S130" s="13">
        <f t="shared" si="22"/>
        <v>2.162765608677153E-2</v>
      </c>
      <c r="T130" s="13">
        <f t="shared" si="22"/>
        <v>3.7121263068153531E-3</v>
      </c>
      <c r="U130" s="13">
        <f t="shared" si="22"/>
        <v>-3.7321335217116685E-3</v>
      </c>
      <c r="V130" s="13">
        <f t="shared" si="22"/>
        <v>-6.2136377748126829E-3</v>
      </c>
      <c r="W130" s="13"/>
      <c r="X130" s="52"/>
      <c r="Y130" s="13">
        <f t="shared" si="15"/>
        <v>-6.1299333906714819E-3</v>
      </c>
      <c r="Z130" s="13" t="str">
        <f t="shared" si="16"/>
        <v/>
      </c>
      <c r="AA130" s="13" t="str">
        <f t="shared" si="17"/>
        <v/>
      </c>
      <c r="AB130" s="13">
        <f t="shared" si="18"/>
        <v>-5.5495422986263591E-3</v>
      </c>
      <c r="AC130" s="13">
        <f t="shared" si="19"/>
        <v>-8.0310465517273739E-3</v>
      </c>
      <c r="AD130" s="52"/>
      <c r="AL130" s="38"/>
    </row>
    <row r="131" spans="1:38" x14ac:dyDescent="0.2">
      <c r="A131" s="43">
        <v>45343</v>
      </c>
      <c r="B131" s="19">
        <v>181.862549</v>
      </c>
      <c r="C131" s="19">
        <v>60.286265999999998</v>
      </c>
      <c r="D131" s="19">
        <v>178.85983300000001</v>
      </c>
      <c r="E131" s="19">
        <v>16.478697</v>
      </c>
      <c r="F131" s="44">
        <v>4981.8</v>
      </c>
      <c r="G131" s="45">
        <v>4.99E-2</v>
      </c>
      <c r="H131" s="37">
        <f t="shared" ref="H131:H194" si="23">+(1+G131)^(1/250)-1</f>
        <v>1.9479865694971288E-4</v>
      </c>
      <c r="J131" s="6">
        <f t="shared" ref="J131:N162" si="24">LN(B131/B130)</f>
        <v>4.1772619153831059E-3</v>
      </c>
      <c r="K131" s="6">
        <f t="shared" si="24"/>
        <v>8.8568526987604264E-3</v>
      </c>
      <c r="L131" s="6">
        <f t="shared" si="24"/>
        <v>6.4887245296995355E-3</v>
      </c>
      <c r="M131" s="6">
        <f t="shared" si="24"/>
        <v>5.3082933634442889E-3</v>
      </c>
      <c r="N131" s="6">
        <f t="shared" si="24"/>
        <v>1.2633935945864823E-3</v>
      </c>
      <c r="O131" s="6">
        <f t="shared" ref="O131:O194" si="25">LN(H131/H130)</f>
        <v>2.3767864106321954E-2</v>
      </c>
      <c r="Q131" s="6"/>
      <c r="R131" s="13">
        <f t="shared" si="22"/>
        <v>3.9824632584333931E-3</v>
      </c>
      <c r="S131" s="13">
        <f t="shared" si="22"/>
        <v>8.6620540418107135E-3</v>
      </c>
      <c r="T131" s="13">
        <f t="shared" si="22"/>
        <v>6.2939258727498226E-3</v>
      </c>
      <c r="U131" s="13">
        <f t="shared" si="22"/>
        <v>5.1134947064945761E-3</v>
      </c>
      <c r="V131" s="13">
        <f t="shared" si="22"/>
        <v>1.0685949376367694E-3</v>
      </c>
      <c r="W131" s="13"/>
      <c r="X131" s="52"/>
      <c r="Y131" s="13">
        <f t="shared" ref="Y131:Y194" si="26">+IF(J131&lt;$O131,J131-$O131,"")</f>
        <v>-1.9590602190938847E-2</v>
      </c>
      <c r="Z131" s="13">
        <f t="shared" ref="Z131:Z194" si="27">+IF(K131&lt;$O131,K131-$O131,"")</f>
        <v>-1.4911011407561528E-2</v>
      </c>
      <c r="AA131" s="13">
        <f t="shared" ref="AA131:AA194" si="28">+IF(L131&lt;$O131,L131-$O131,"")</f>
        <v>-1.7279139576622419E-2</v>
      </c>
      <c r="AB131" s="13">
        <f t="shared" ref="AB131:AB194" si="29">+IF(M131&lt;$O131,M131-$O131,"")</f>
        <v>-1.8459570742877664E-2</v>
      </c>
      <c r="AC131" s="13">
        <f t="shared" ref="AC131:AC194" si="30">+IF(N131&lt;$O131,N131-$O131,"")</f>
        <v>-2.2504470511735472E-2</v>
      </c>
      <c r="AD131" s="52"/>
      <c r="AL131" s="38"/>
    </row>
    <row r="132" spans="1:38" x14ac:dyDescent="0.2">
      <c r="A132" s="43">
        <v>45344</v>
      </c>
      <c r="B132" s="19">
        <v>183.90739400000001</v>
      </c>
      <c r="C132" s="19">
        <v>60.197665999999998</v>
      </c>
      <c r="D132" s="19">
        <v>181.00535600000001</v>
      </c>
      <c r="E132" s="19">
        <v>16.081268000000001</v>
      </c>
      <c r="F132" s="44">
        <v>5087.03</v>
      </c>
      <c r="G132" s="45">
        <v>4.9400000000000006E-2</v>
      </c>
      <c r="H132" s="37">
        <f t="shared" si="23"/>
        <v>1.9289289052348835E-4</v>
      </c>
      <c r="J132" s="6">
        <f t="shared" si="24"/>
        <v>1.118116096025438E-2</v>
      </c>
      <c r="K132" s="6">
        <f t="shared" si="24"/>
        <v>-1.4707357985398316E-3</v>
      </c>
      <c r="L132" s="6">
        <f t="shared" si="24"/>
        <v>1.1924178761792791E-2</v>
      </c>
      <c r="M132" s="6">
        <f t="shared" si="24"/>
        <v>-2.4413339458236528E-2</v>
      </c>
      <c r="N132" s="6">
        <f t="shared" si="24"/>
        <v>2.0902891694828028E-2</v>
      </c>
      <c r="O132" s="6">
        <f t="shared" si="25"/>
        <v>-9.8314332056269067E-3</v>
      </c>
      <c r="Q132" s="6"/>
      <c r="R132" s="13">
        <f t="shared" si="22"/>
        <v>1.0988268069730892E-2</v>
      </c>
      <c r="S132" s="13">
        <f t="shared" si="22"/>
        <v>-1.66362868906332E-3</v>
      </c>
      <c r="T132" s="13">
        <f t="shared" si="22"/>
        <v>1.1731285871269303E-2</v>
      </c>
      <c r="U132" s="13">
        <f t="shared" si="22"/>
        <v>-2.4606232348760016E-2</v>
      </c>
      <c r="V132" s="13">
        <f t="shared" si="22"/>
        <v>2.070999880430454E-2</v>
      </c>
      <c r="W132" s="13"/>
      <c r="X132" s="52"/>
      <c r="Y132" s="13" t="str">
        <f t="shared" si="26"/>
        <v/>
      </c>
      <c r="Z132" s="13" t="str">
        <f t="shared" si="27"/>
        <v/>
      </c>
      <c r="AA132" s="13" t="str">
        <f t="shared" si="28"/>
        <v/>
      </c>
      <c r="AB132" s="13">
        <f t="shared" si="29"/>
        <v>-1.4581906252609621E-2</v>
      </c>
      <c r="AC132" s="13" t="str">
        <f t="shared" si="30"/>
        <v/>
      </c>
      <c r="AD132" s="52"/>
      <c r="AL132" s="38"/>
    </row>
    <row r="133" spans="1:38" x14ac:dyDescent="0.2">
      <c r="A133" s="43">
        <v>45345</v>
      </c>
      <c r="B133" s="19">
        <v>182.06204199999999</v>
      </c>
      <c r="C133" s="19">
        <v>60.246890999999998</v>
      </c>
      <c r="D133" s="19">
        <v>181.91499300000001</v>
      </c>
      <c r="E133" s="19">
        <v>16.284828000000001</v>
      </c>
      <c r="F133" s="44">
        <v>5088.8</v>
      </c>
      <c r="G133" s="45">
        <v>4.9299999999999997E-2</v>
      </c>
      <c r="H133" s="37">
        <f t="shared" si="23"/>
        <v>1.9251162871269933E-4</v>
      </c>
      <c r="J133" s="6">
        <f t="shared" si="24"/>
        <v>-1.0084818339197638E-2</v>
      </c>
      <c r="K133" s="6">
        <f t="shared" si="24"/>
        <v>8.1738858055153973E-4</v>
      </c>
      <c r="L133" s="6">
        <f t="shared" si="24"/>
        <v>5.0128845481506338E-3</v>
      </c>
      <c r="M133" s="6">
        <f t="shared" si="24"/>
        <v>1.2578760442407045E-2</v>
      </c>
      <c r="N133" s="6">
        <f t="shared" si="24"/>
        <v>3.4788317372660206E-4</v>
      </c>
      <c r="O133" s="6">
        <f t="shared" si="25"/>
        <v>-1.9785026699455054E-3</v>
      </c>
      <c r="Q133" s="6"/>
      <c r="R133" s="13">
        <f t="shared" si="22"/>
        <v>-1.0277329967910337E-2</v>
      </c>
      <c r="S133" s="13">
        <f t="shared" si="22"/>
        <v>6.248769518388404E-4</v>
      </c>
      <c r="T133" s="13">
        <f t="shared" si="22"/>
        <v>4.8203729194379345E-3</v>
      </c>
      <c r="U133" s="13">
        <f t="shared" si="22"/>
        <v>1.2386248813694345E-2</v>
      </c>
      <c r="V133" s="13">
        <f t="shared" si="22"/>
        <v>1.5537154501390273E-4</v>
      </c>
      <c r="W133" s="13"/>
      <c r="X133" s="52"/>
      <c r="Y133" s="13">
        <f t="shared" si="26"/>
        <v>-8.1063156692521322E-3</v>
      </c>
      <c r="Z133" s="13" t="str">
        <f t="shared" si="27"/>
        <v/>
      </c>
      <c r="AA133" s="13" t="str">
        <f t="shared" si="28"/>
        <v/>
      </c>
      <c r="AB133" s="13" t="str">
        <f t="shared" si="29"/>
        <v/>
      </c>
      <c r="AC133" s="13" t="str">
        <f t="shared" si="30"/>
        <v/>
      </c>
      <c r="AD133" s="52"/>
      <c r="AL133" s="38"/>
    </row>
    <row r="134" spans="1:38" x14ac:dyDescent="0.2">
      <c r="A134" s="43">
        <v>45348</v>
      </c>
      <c r="B134" s="19">
        <v>180.70545999999999</v>
      </c>
      <c r="C134" s="19">
        <v>59.764519</v>
      </c>
      <c r="D134" s="19">
        <v>181.29208399999999</v>
      </c>
      <c r="E134" s="19">
        <v>16.090962999999999</v>
      </c>
      <c r="F134" s="44">
        <v>5069.53</v>
      </c>
      <c r="G134" s="45">
        <v>4.9800000000000004E-2</v>
      </c>
      <c r="H134" s="37">
        <f t="shared" si="23"/>
        <v>1.9441757599203413E-4</v>
      </c>
      <c r="J134" s="6">
        <f t="shared" si="24"/>
        <v>-7.479106127821062E-3</v>
      </c>
      <c r="K134" s="6">
        <f t="shared" si="24"/>
        <v>-8.0388122707836501E-3</v>
      </c>
      <c r="L134" s="6">
        <f t="shared" si="24"/>
        <v>-3.4300521667624483E-3</v>
      </c>
      <c r="M134" s="6">
        <f t="shared" si="24"/>
        <v>-1.1976066753339242E-2</v>
      </c>
      <c r="N134" s="6">
        <f t="shared" si="24"/>
        <v>-3.7939352461026604E-3</v>
      </c>
      <c r="O134" s="6">
        <f t="shared" si="25"/>
        <v>9.8517386206897241E-3</v>
      </c>
      <c r="Q134" s="6"/>
      <c r="R134" s="13">
        <f t="shared" si="22"/>
        <v>-7.6735237038130961E-3</v>
      </c>
      <c r="S134" s="13">
        <f t="shared" si="22"/>
        <v>-8.2332298467756842E-3</v>
      </c>
      <c r="T134" s="13">
        <f t="shared" si="22"/>
        <v>-3.6244697427544824E-3</v>
      </c>
      <c r="U134" s="13">
        <f t="shared" si="22"/>
        <v>-1.2170484329331276E-2</v>
      </c>
      <c r="V134" s="13">
        <f t="shared" si="22"/>
        <v>-3.988352822094695E-3</v>
      </c>
      <c r="W134" s="13"/>
      <c r="X134" s="52"/>
      <c r="Y134" s="13">
        <f t="shared" si="26"/>
        <v>-1.7330844748510786E-2</v>
      </c>
      <c r="Z134" s="13">
        <f t="shared" si="27"/>
        <v>-1.7890550891473372E-2</v>
      </c>
      <c r="AA134" s="13">
        <f t="shared" si="28"/>
        <v>-1.3281790787452173E-2</v>
      </c>
      <c r="AB134" s="13">
        <f t="shared" si="29"/>
        <v>-2.1827805374028966E-2</v>
      </c>
      <c r="AC134" s="13">
        <f t="shared" si="30"/>
        <v>-1.3645673866792385E-2</v>
      </c>
      <c r="AD134" s="52"/>
      <c r="AL134" s="38"/>
    </row>
    <row r="135" spans="1:38" x14ac:dyDescent="0.2">
      <c r="A135" s="43">
        <v>45349</v>
      </c>
      <c r="B135" s="19">
        <v>182.17176799999999</v>
      </c>
      <c r="C135" s="19">
        <v>59.400280000000002</v>
      </c>
      <c r="D135" s="19">
        <v>181.38107299999999</v>
      </c>
      <c r="E135" s="19">
        <v>16.31391</v>
      </c>
      <c r="F135" s="44">
        <v>5078.18</v>
      </c>
      <c r="G135" s="45">
        <v>4.9800000000000004E-2</v>
      </c>
      <c r="H135" s="37">
        <f t="shared" si="23"/>
        <v>1.9441757599203413E-4</v>
      </c>
      <c r="J135" s="6">
        <f t="shared" si="24"/>
        <v>8.0816092470088127E-3</v>
      </c>
      <c r="K135" s="6">
        <f t="shared" si="24"/>
        <v>-6.1132169466150627E-3</v>
      </c>
      <c r="L135" s="6">
        <f t="shared" si="24"/>
        <v>4.9073938927271261E-4</v>
      </c>
      <c r="M135" s="6">
        <f t="shared" si="24"/>
        <v>1.3760308076745754E-2</v>
      </c>
      <c r="N135" s="6">
        <f t="shared" si="24"/>
        <v>1.7048185442892359E-3</v>
      </c>
      <c r="O135" s="6">
        <f t="shared" si="25"/>
        <v>0</v>
      </c>
      <c r="Q135" s="6"/>
      <c r="R135" s="13">
        <f t="shared" si="22"/>
        <v>7.8871916710167786E-3</v>
      </c>
      <c r="S135" s="13">
        <f t="shared" si="22"/>
        <v>-6.3076345226070968E-3</v>
      </c>
      <c r="T135" s="13">
        <f t="shared" si="22"/>
        <v>2.9632181328067848E-4</v>
      </c>
      <c r="U135" s="13">
        <f t="shared" si="22"/>
        <v>1.356589050075372E-2</v>
      </c>
      <c r="V135" s="13">
        <f t="shared" si="22"/>
        <v>1.5104009682972018E-3</v>
      </c>
      <c r="W135" s="13"/>
      <c r="X135" s="52"/>
      <c r="Y135" s="13" t="str">
        <f t="shared" si="26"/>
        <v/>
      </c>
      <c r="Z135" s="13">
        <f t="shared" si="27"/>
        <v>-6.1132169466150627E-3</v>
      </c>
      <c r="AA135" s="13" t="str">
        <f t="shared" si="28"/>
        <v/>
      </c>
      <c r="AB135" s="13" t="str">
        <f t="shared" si="29"/>
        <v/>
      </c>
      <c r="AC135" s="13" t="str">
        <f t="shared" si="30"/>
        <v/>
      </c>
      <c r="AD135" s="52"/>
      <c r="AL135" s="38"/>
    </row>
    <row r="136" spans="1:38" x14ac:dyDescent="0.2">
      <c r="A136" s="43">
        <v>45350</v>
      </c>
      <c r="B136" s="19">
        <v>180.964798</v>
      </c>
      <c r="C136" s="19">
        <v>59.459347000000001</v>
      </c>
      <c r="D136" s="19">
        <v>182.30058299999999</v>
      </c>
      <c r="E136" s="19">
        <v>16.439921999999999</v>
      </c>
      <c r="F136" s="44">
        <v>5069.76</v>
      </c>
      <c r="G136" s="45">
        <v>4.9699999999999994E-2</v>
      </c>
      <c r="H136" s="37">
        <f t="shared" si="23"/>
        <v>1.9403645887727805E-4</v>
      </c>
      <c r="J136" s="6">
        <f t="shared" si="24"/>
        <v>-6.647496052951337E-3</v>
      </c>
      <c r="K136" s="6">
        <f t="shared" si="24"/>
        <v>9.9389517455469021E-4</v>
      </c>
      <c r="L136" s="6">
        <f t="shared" si="24"/>
        <v>5.0566859458387667E-3</v>
      </c>
      <c r="M136" s="6">
        <f t="shared" si="24"/>
        <v>7.6945269621530249E-3</v>
      </c>
      <c r="N136" s="6">
        <f t="shared" si="24"/>
        <v>-1.659450476103029E-3</v>
      </c>
      <c r="O136" s="6">
        <f t="shared" si="25"/>
        <v>-1.9622256577658012E-3</v>
      </c>
      <c r="Q136" s="6"/>
      <c r="R136" s="13">
        <f t="shared" si="22"/>
        <v>-6.8415325118286151E-3</v>
      </c>
      <c r="S136" s="13">
        <f t="shared" si="22"/>
        <v>7.9985871567741216E-4</v>
      </c>
      <c r="T136" s="13">
        <f t="shared" si="22"/>
        <v>4.8626494869614886E-3</v>
      </c>
      <c r="U136" s="13">
        <f t="shared" si="22"/>
        <v>7.5004905032757469E-3</v>
      </c>
      <c r="V136" s="13">
        <f t="shared" si="22"/>
        <v>-1.853486934980307E-3</v>
      </c>
      <c r="W136" s="13"/>
      <c r="X136" s="52"/>
      <c r="Y136" s="13">
        <f t="shared" si="26"/>
        <v>-4.6852703951855354E-3</v>
      </c>
      <c r="Z136" s="13" t="str">
        <f t="shared" si="27"/>
        <v/>
      </c>
      <c r="AA136" s="13" t="str">
        <f t="shared" si="28"/>
        <v/>
      </c>
      <c r="AB136" s="13" t="str">
        <f t="shared" si="29"/>
        <v/>
      </c>
      <c r="AC136" s="13" t="str">
        <f t="shared" si="30"/>
        <v/>
      </c>
      <c r="AD136" s="52"/>
      <c r="AL136" s="38"/>
    </row>
    <row r="137" spans="1:38" x14ac:dyDescent="0.2">
      <c r="A137" s="43">
        <v>45351</v>
      </c>
      <c r="B137" s="19">
        <v>180.29647800000001</v>
      </c>
      <c r="C137" s="19">
        <v>59.085262</v>
      </c>
      <c r="D137" s="19">
        <v>183.961624</v>
      </c>
      <c r="E137" s="19">
        <v>16.410843</v>
      </c>
      <c r="F137" s="44">
        <v>5096.2700000000004</v>
      </c>
      <c r="G137" s="45">
        <v>4.9800000000000004E-2</v>
      </c>
      <c r="H137" s="37">
        <f t="shared" si="23"/>
        <v>1.9441757599203413E-4</v>
      </c>
      <c r="J137" s="6">
        <f t="shared" si="24"/>
        <v>-3.6999302544279294E-3</v>
      </c>
      <c r="K137" s="6">
        <f t="shared" si="24"/>
        <v>-6.311315966027564E-3</v>
      </c>
      <c r="L137" s="6">
        <f t="shared" si="24"/>
        <v>9.0702909341080495E-3</v>
      </c>
      <c r="M137" s="6">
        <f t="shared" si="24"/>
        <v>-1.7703701935084114E-3</v>
      </c>
      <c r="N137" s="6">
        <f t="shared" si="24"/>
        <v>5.2154203933401618E-3</v>
      </c>
      <c r="O137" s="6">
        <f t="shared" si="25"/>
        <v>1.9622256577658281E-3</v>
      </c>
      <c r="Q137" s="6"/>
      <c r="R137" s="13">
        <f t="shared" si="22"/>
        <v>-3.8943478304199635E-3</v>
      </c>
      <c r="S137" s="13">
        <f t="shared" si="22"/>
        <v>-6.5057335420195981E-3</v>
      </c>
      <c r="T137" s="13">
        <f t="shared" si="22"/>
        <v>8.8758733581160154E-3</v>
      </c>
      <c r="U137" s="13">
        <f t="shared" si="22"/>
        <v>-1.9647877695004455E-3</v>
      </c>
      <c r="V137" s="13">
        <f t="shared" si="22"/>
        <v>5.0210028173481277E-3</v>
      </c>
      <c r="W137" s="13"/>
      <c r="X137" s="52"/>
      <c r="Y137" s="13">
        <f t="shared" si="26"/>
        <v>-5.6621559121937575E-3</v>
      </c>
      <c r="Z137" s="13">
        <f t="shared" si="27"/>
        <v>-8.2735416237933925E-3</v>
      </c>
      <c r="AA137" s="13" t="str">
        <f t="shared" si="28"/>
        <v/>
      </c>
      <c r="AB137" s="13">
        <f t="shared" si="29"/>
        <v>-3.7325958512742395E-3</v>
      </c>
      <c r="AC137" s="13" t="str">
        <f t="shared" si="30"/>
        <v/>
      </c>
      <c r="AD137" s="52"/>
      <c r="AL137" s="38"/>
    </row>
    <row r="138" spans="1:38" x14ac:dyDescent="0.2">
      <c r="A138" s="43">
        <v>45352</v>
      </c>
      <c r="B138" s="19">
        <v>179.20922899999999</v>
      </c>
      <c r="C138" s="19">
        <v>58.602893999999999</v>
      </c>
      <c r="D138" s="19">
        <v>183.20030199999999</v>
      </c>
      <c r="E138" s="19">
        <v>16.459311</v>
      </c>
      <c r="F138" s="44">
        <v>5137.08</v>
      </c>
      <c r="G138" s="45">
        <v>5.0199999999999995E-2</v>
      </c>
      <c r="H138" s="37">
        <f t="shared" si="23"/>
        <v>1.9594168295089531E-4</v>
      </c>
      <c r="J138" s="6">
        <f t="shared" si="24"/>
        <v>-6.0485955778969338E-3</v>
      </c>
      <c r="K138" s="6">
        <f t="shared" si="24"/>
        <v>-8.1974383416661724E-3</v>
      </c>
      <c r="L138" s="6">
        <f t="shared" si="24"/>
        <v>-4.1470699285579005E-3</v>
      </c>
      <c r="M138" s="6">
        <f t="shared" si="24"/>
        <v>2.9490604228386468E-3</v>
      </c>
      <c r="N138" s="6">
        <f t="shared" si="24"/>
        <v>7.9759250577916968E-3</v>
      </c>
      <c r="O138" s="6">
        <f t="shared" si="25"/>
        <v>7.8087795719660449E-3</v>
      </c>
      <c r="Q138" s="6"/>
      <c r="R138" s="13">
        <f t="shared" si="22"/>
        <v>-6.2445372608478291E-3</v>
      </c>
      <c r="S138" s="13">
        <f t="shared" si="22"/>
        <v>-8.3933800246170677E-3</v>
      </c>
      <c r="T138" s="13">
        <f t="shared" si="22"/>
        <v>-4.3430116115087958E-3</v>
      </c>
      <c r="U138" s="13">
        <f t="shared" si="22"/>
        <v>2.7531187398877515E-3</v>
      </c>
      <c r="V138" s="13">
        <f t="shared" si="22"/>
        <v>7.7799833748408015E-3</v>
      </c>
      <c r="W138" s="13"/>
      <c r="X138" s="52"/>
      <c r="Y138" s="13">
        <f t="shared" si="26"/>
        <v>-1.3857375149862978E-2</v>
      </c>
      <c r="Z138" s="13">
        <f t="shared" si="27"/>
        <v>-1.6006217913632218E-2</v>
      </c>
      <c r="AA138" s="13">
        <f t="shared" si="28"/>
        <v>-1.1955849500523946E-2</v>
      </c>
      <c r="AB138" s="13">
        <f t="shared" si="29"/>
        <v>-4.8597191491273981E-3</v>
      </c>
      <c r="AC138" s="13" t="str">
        <f t="shared" si="30"/>
        <v/>
      </c>
      <c r="AD138" s="52"/>
      <c r="AL138" s="38"/>
    </row>
    <row r="139" spans="1:38" x14ac:dyDescent="0.2">
      <c r="A139" s="43">
        <v>45355</v>
      </c>
      <c r="B139" s="19">
        <v>174.66066000000001</v>
      </c>
      <c r="C139" s="19">
        <v>58.878535999999997</v>
      </c>
      <c r="D139" s="19">
        <v>184.57463100000001</v>
      </c>
      <c r="E139" s="19">
        <v>16.284828000000001</v>
      </c>
      <c r="F139" s="44">
        <v>5130.95</v>
      </c>
      <c r="G139" s="45">
        <v>0.05</v>
      </c>
      <c r="H139" s="37">
        <f t="shared" si="23"/>
        <v>1.9517970175764177E-4</v>
      </c>
      <c r="J139" s="6">
        <f t="shared" si="24"/>
        <v>-2.5708994582135079E-2</v>
      </c>
      <c r="K139" s="6">
        <f t="shared" si="24"/>
        <v>4.6925289520041878E-3</v>
      </c>
      <c r="L139" s="6">
        <f t="shared" si="24"/>
        <v>7.4737850456217817E-3</v>
      </c>
      <c r="M139" s="6">
        <f t="shared" si="24"/>
        <v>-1.0657458514889893E-2</v>
      </c>
      <c r="N139" s="6">
        <f t="shared" si="24"/>
        <v>-1.1939974324694175E-3</v>
      </c>
      <c r="O139" s="6">
        <f t="shared" si="25"/>
        <v>-3.8963973184373184E-3</v>
      </c>
      <c r="Q139" s="6"/>
      <c r="R139" s="13">
        <f t="shared" si="22"/>
        <v>-2.590417428389272E-2</v>
      </c>
      <c r="S139" s="13">
        <f t="shared" si="22"/>
        <v>4.497349250246546E-3</v>
      </c>
      <c r="T139" s="13">
        <f t="shared" si="22"/>
        <v>7.2786053438641399E-3</v>
      </c>
      <c r="U139" s="13">
        <f t="shared" si="22"/>
        <v>-1.0852638216647535E-2</v>
      </c>
      <c r="V139" s="13">
        <f t="shared" si="22"/>
        <v>-1.3891771342270593E-3</v>
      </c>
      <c r="W139" s="13"/>
      <c r="X139" s="52"/>
      <c r="Y139" s="13">
        <f t="shared" si="26"/>
        <v>-2.1812597263697761E-2</v>
      </c>
      <c r="Z139" s="13" t="str">
        <f t="shared" si="27"/>
        <v/>
      </c>
      <c r="AA139" s="13" t="str">
        <f t="shared" si="28"/>
        <v/>
      </c>
      <c r="AB139" s="13">
        <f t="shared" si="29"/>
        <v>-6.7610611964525743E-3</v>
      </c>
      <c r="AC139" s="13" t="str">
        <f t="shared" si="30"/>
        <v/>
      </c>
      <c r="AD139" s="52"/>
      <c r="AL139" s="38"/>
    </row>
    <row r="140" spans="1:38" x14ac:dyDescent="0.2">
      <c r="A140" s="43">
        <v>45356</v>
      </c>
      <c r="B140" s="19">
        <v>169.693161</v>
      </c>
      <c r="C140" s="19">
        <v>58.593048000000003</v>
      </c>
      <c r="D140" s="19">
        <v>186.423553</v>
      </c>
      <c r="E140" s="19">
        <v>16.643484000000001</v>
      </c>
      <c r="F140" s="44">
        <v>5078.6499999999996</v>
      </c>
      <c r="G140" s="45">
        <v>5.0300000000000004E-2</v>
      </c>
      <c r="H140" s="37">
        <f t="shared" si="23"/>
        <v>1.9632261934998674E-4</v>
      </c>
      <c r="J140" s="6">
        <f t="shared" si="24"/>
        <v>-2.8853134850884594E-2</v>
      </c>
      <c r="K140" s="6">
        <f t="shared" si="24"/>
        <v>-4.8605552480539922E-3</v>
      </c>
      <c r="L140" s="6">
        <f t="shared" si="24"/>
        <v>9.9673658093087422E-3</v>
      </c>
      <c r="M140" s="6">
        <f t="shared" si="24"/>
        <v>2.1784911671504949E-2</v>
      </c>
      <c r="N140" s="6">
        <f t="shared" si="24"/>
        <v>-1.0245348981574391E-2</v>
      </c>
      <c r="O140" s="6">
        <f t="shared" si="25"/>
        <v>5.8386414462251674E-3</v>
      </c>
      <c r="Q140" s="6"/>
      <c r="R140" s="13">
        <f t="shared" si="22"/>
        <v>-2.9049457470234581E-2</v>
      </c>
      <c r="S140" s="13">
        <f t="shared" si="22"/>
        <v>-5.0568778674039789E-3</v>
      </c>
      <c r="T140" s="13">
        <f t="shared" si="22"/>
        <v>9.7710431899587554E-3</v>
      </c>
      <c r="U140" s="13">
        <f t="shared" si="22"/>
        <v>2.1588589052154963E-2</v>
      </c>
      <c r="V140" s="13">
        <f t="shared" si="22"/>
        <v>-1.0441671600924378E-2</v>
      </c>
      <c r="W140" s="13"/>
      <c r="X140" s="52"/>
      <c r="Y140" s="13">
        <f t="shared" si="26"/>
        <v>-3.4691776297109761E-2</v>
      </c>
      <c r="Z140" s="13">
        <f t="shared" si="27"/>
        <v>-1.069919669427916E-2</v>
      </c>
      <c r="AA140" s="13" t="str">
        <f t="shared" si="28"/>
        <v/>
      </c>
      <c r="AB140" s="13" t="str">
        <f t="shared" si="29"/>
        <v/>
      </c>
      <c r="AC140" s="13">
        <f t="shared" si="30"/>
        <v>-1.6083990427799559E-2</v>
      </c>
      <c r="AD140" s="52"/>
      <c r="AL140" s="38"/>
    </row>
    <row r="141" spans="1:38" x14ac:dyDescent="0.2">
      <c r="A141" s="43">
        <v>45357</v>
      </c>
      <c r="B141" s="19">
        <v>168.69564800000001</v>
      </c>
      <c r="C141" s="19">
        <v>58.622585000000001</v>
      </c>
      <c r="D141" s="19">
        <v>187.39250200000001</v>
      </c>
      <c r="E141" s="19">
        <v>16.653176999999999</v>
      </c>
      <c r="F141" s="44">
        <v>5104.76</v>
      </c>
      <c r="G141" s="45">
        <v>5.0300000000000004E-2</v>
      </c>
      <c r="H141" s="37">
        <f t="shared" si="23"/>
        <v>1.9632261934998674E-4</v>
      </c>
      <c r="J141" s="6">
        <f t="shared" si="24"/>
        <v>-5.8956789518436912E-3</v>
      </c>
      <c r="K141" s="6">
        <f t="shared" si="24"/>
        <v>5.0397715508103207E-4</v>
      </c>
      <c r="L141" s="6">
        <f t="shared" si="24"/>
        <v>5.1841067662975826E-3</v>
      </c>
      <c r="M141" s="6">
        <f t="shared" si="24"/>
        <v>5.8222055801986279E-4</v>
      </c>
      <c r="N141" s="6">
        <f t="shared" si="24"/>
        <v>5.1279595372516517E-3</v>
      </c>
      <c r="O141" s="6">
        <f t="shared" si="25"/>
        <v>0</v>
      </c>
      <c r="Q141" s="6"/>
      <c r="R141" s="13">
        <f t="shared" si="22"/>
        <v>-6.092001571193678E-3</v>
      </c>
      <c r="S141" s="13">
        <f t="shared" si="22"/>
        <v>3.0765453573104533E-4</v>
      </c>
      <c r="T141" s="13">
        <f t="shared" si="22"/>
        <v>4.9877841469475959E-3</v>
      </c>
      <c r="U141" s="13">
        <f t="shared" si="22"/>
        <v>3.8589793866987605E-4</v>
      </c>
      <c r="V141" s="13">
        <f t="shared" si="22"/>
        <v>4.9316369179016649E-3</v>
      </c>
      <c r="W141" s="13"/>
      <c r="X141" s="52"/>
      <c r="Y141" s="13">
        <f t="shared" si="26"/>
        <v>-5.8956789518436912E-3</v>
      </c>
      <c r="Z141" s="13" t="str">
        <f t="shared" si="27"/>
        <v/>
      </c>
      <c r="AA141" s="13" t="str">
        <f t="shared" si="28"/>
        <v/>
      </c>
      <c r="AB141" s="13" t="str">
        <f t="shared" si="29"/>
        <v/>
      </c>
      <c r="AC141" s="13" t="str">
        <f t="shared" si="30"/>
        <v/>
      </c>
      <c r="AD141" s="52"/>
      <c r="AL141" s="38"/>
    </row>
    <row r="142" spans="1:38" x14ac:dyDescent="0.2">
      <c r="A142" s="43">
        <v>45358</v>
      </c>
      <c r="B142" s="19">
        <v>168.57595800000001</v>
      </c>
      <c r="C142" s="19">
        <v>58.514296999999999</v>
      </c>
      <c r="D142" s="19">
        <v>185.75122099999999</v>
      </c>
      <c r="E142" s="19">
        <v>16.527163000000002</v>
      </c>
      <c r="F142" s="44">
        <v>5157.3599999999997</v>
      </c>
      <c r="G142" s="45">
        <v>0.05</v>
      </c>
      <c r="H142" s="37">
        <f t="shared" si="23"/>
        <v>1.9517970175764177E-4</v>
      </c>
      <c r="J142" s="6">
        <f t="shared" si="24"/>
        <v>-7.0975441095678829E-4</v>
      </c>
      <c r="K142" s="6">
        <f t="shared" si="24"/>
        <v>-1.848914347035491E-3</v>
      </c>
      <c r="L142" s="6">
        <f t="shared" si="24"/>
        <v>-8.7971014039722271E-3</v>
      </c>
      <c r="M142" s="6">
        <f t="shared" si="24"/>
        <v>-7.5957392761439417E-3</v>
      </c>
      <c r="N142" s="6">
        <f t="shared" si="24"/>
        <v>1.0251382881397443E-2</v>
      </c>
      <c r="O142" s="6">
        <f t="shared" si="25"/>
        <v>-5.8386414462252264E-3</v>
      </c>
      <c r="Q142" s="6"/>
      <c r="R142" s="13">
        <f t="shared" si="22"/>
        <v>-9.0493411271443005E-4</v>
      </c>
      <c r="S142" s="13">
        <f t="shared" si="22"/>
        <v>-2.0440940487931325E-3</v>
      </c>
      <c r="T142" s="13">
        <f t="shared" si="22"/>
        <v>-8.9922811057298688E-3</v>
      </c>
      <c r="U142" s="13">
        <f t="shared" si="22"/>
        <v>-7.7909189779015835E-3</v>
      </c>
      <c r="V142" s="13">
        <f t="shared" si="22"/>
        <v>1.0056203179639801E-2</v>
      </c>
      <c r="W142" s="13"/>
      <c r="X142" s="52"/>
      <c r="Y142" s="13" t="str">
        <f t="shared" si="26"/>
        <v/>
      </c>
      <c r="Z142" s="13" t="str">
        <f t="shared" si="27"/>
        <v/>
      </c>
      <c r="AA142" s="13">
        <f t="shared" si="28"/>
        <v>-2.9584599577470007E-3</v>
      </c>
      <c r="AB142" s="13">
        <f t="shared" si="29"/>
        <v>-1.7570978299187153E-3</v>
      </c>
      <c r="AC142" s="13" t="str">
        <f t="shared" si="30"/>
        <v/>
      </c>
      <c r="AD142" s="52"/>
      <c r="AL142" s="38"/>
    </row>
    <row r="143" spans="1:38" x14ac:dyDescent="0.2">
      <c r="A143" s="43">
        <v>45359</v>
      </c>
      <c r="B143" s="19">
        <v>170.301605</v>
      </c>
      <c r="C143" s="19">
        <v>58.593048000000003</v>
      </c>
      <c r="D143" s="19">
        <v>186.097275</v>
      </c>
      <c r="E143" s="19">
        <v>16.672564000000001</v>
      </c>
      <c r="F143" s="44">
        <v>5123.6899999999996</v>
      </c>
      <c r="G143" s="45">
        <v>5.0099999999999999E-2</v>
      </c>
      <c r="H143" s="37">
        <f t="shared" si="23"/>
        <v>1.9556071042226009E-4</v>
      </c>
      <c r="J143" s="6">
        <f t="shared" si="24"/>
        <v>1.0184574634208254E-2</v>
      </c>
      <c r="K143" s="6">
        <f t="shared" si="24"/>
        <v>1.3449371919544843E-3</v>
      </c>
      <c r="L143" s="6">
        <f t="shared" si="24"/>
        <v>1.8612639482236896E-3</v>
      </c>
      <c r="M143" s="6">
        <f t="shared" si="24"/>
        <v>8.7592244143747111E-3</v>
      </c>
      <c r="N143" s="6">
        <f t="shared" si="24"/>
        <v>-6.5499380656454595E-3</v>
      </c>
      <c r="O143" s="6">
        <f t="shared" si="25"/>
        <v>1.950188787733562E-3</v>
      </c>
      <c r="Q143" s="6"/>
      <c r="R143" s="13">
        <f t="shared" si="22"/>
        <v>9.9890139237859936E-3</v>
      </c>
      <c r="S143" s="13">
        <f t="shared" si="22"/>
        <v>1.1493764815322242E-3</v>
      </c>
      <c r="T143" s="13">
        <f t="shared" si="22"/>
        <v>1.6657032378014295E-3</v>
      </c>
      <c r="U143" s="13">
        <f t="shared" si="22"/>
        <v>8.563663703952451E-3</v>
      </c>
      <c r="V143" s="13">
        <f t="shared" si="22"/>
        <v>-6.7454987760677196E-3</v>
      </c>
      <c r="W143" s="13"/>
      <c r="X143" s="52"/>
      <c r="Y143" s="13" t="str">
        <f t="shared" si="26"/>
        <v/>
      </c>
      <c r="Z143" s="13">
        <f t="shared" si="27"/>
        <v>-6.0525159577907777E-4</v>
      </c>
      <c r="AA143" s="13">
        <f t="shared" si="28"/>
        <v>-8.8924839509872417E-5</v>
      </c>
      <c r="AB143" s="13" t="str">
        <f t="shared" si="29"/>
        <v/>
      </c>
      <c r="AC143" s="13">
        <f t="shared" si="30"/>
        <v>-8.5001268533790222E-3</v>
      </c>
      <c r="AD143" s="52"/>
      <c r="AL143" s="38"/>
    </row>
    <row r="144" spans="1:38" x14ac:dyDescent="0.2">
      <c r="A144" s="43">
        <v>45362</v>
      </c>
      <c r="B144" s="19">
        <v>172.31655900000001</v>
      </c>
      <c r="C144" s="19">
        <v>59.301837999999996</v>
      </c>
      <c r="D144" s="19">
        <v>186.166473</v>
      </c>
      <c r="E144" s="19">
        <v>16.798576000000001</v>
      </c>
      <c r="F144" s="44">
        <v>5117.9399999999996</v>
      </c>
      <c r="G144" s="45">
        <v>4.9400000000000006E-2</v>
      </c>
      <c r="H144" s="37">
        <f t="shared" si="23"/>
        <v>1.9289289052348835E-4</v>
      </c>
      <c r="J144" s="6">
        <f t="shared" si="24"/>
        <v>1.1762232376596935E-2</v>
      </c>
      <c r="K144" s="6">
        <f t="shared" si="24"/>
        <v>1.2024245731310248E-2</v>
      </c>
      <c r="L144" s="6">
        <f t="shared" si="24"/>
        <v>3.7176867835657829E-4</v>
      </c>
      <c r="M144" s="6">
        <f t="shared" si="24"/>
        <v>7.5296267385311973E-3</v>
      </c>
      <c r="N144" s="6">
        <f t="shared" si="24"/>
        <v>-1.1228682551799477E-3</v>
      </c>
      <c r="O144" s="6">
        <f t="shared" si="25"/>
        <v>-1.3735806992006525E-2</v>
      </c>
      <c r="Q144" s="6"/>
      <c r="R144" s="13">
        <f t="shared" si="22"/>
        <v>1.1569339486073447E-2</v>
      </c>
      <c r="S144" s="13">
        <f t="shared" si="22"/>
        <v>1.183135284078676E-2</v>
      </c>
      <c r="T144" s="13">
        <f t="shared" si="22"/>
        <v>1.7887578783308994E-4</v>
      </c>
      <c r="U144" s="13">
        <f t="shared" si="22"/>
        <v>7.336733848007709E-3</v>
      </c>
      <c r="V144" s="13">
        <f t="shared" si="22"/>
        <v>-1.315761145703436E-3</v>
      </c>
      <c r="W144" s="13"/>
      <c r="X144" s="52"/>
      <c r="Y144" s="13" t="str">
        <f t="shared" si="26"/>
        <v/>
      </c>
      <c r="Z144" s="13" t="str">
        <f t="shared" si="27"/>
        <v/>
      </c>
      <c r="AA144" s="13" t="str">
        <f t="shared" si="28"/>
        <v/>
      </c>
      <c r="AB144" s="13" t="str">
        <f t="shared" si="29"/>
        <v/>
      </c>
      <c r="AC144" s="13" t="str">
        <f t="shared" si="30"/>
        <v/>
      </c>
      <c r="AD144" s="52"/>
      <c r="AL144" s="38"/>
    </row>
    <row r="145" spans="1:38" x14ac:dyDescent="0.2">
      <c r="A145" s="43">
        <v>45363</v>
      </c>
      <c r="B145" s="19">
        <v>172.795334</v>
      </c>
      <c r="C145" s="19">
        <v>59.557789</v>
      </c>
      <c r="D145" s="19">
        <v>187.699005</v>
      </c>
      <c r="E145" s="19">
        <v>16.672564000000001</v>
      </c>
      <c r="F145" s="44">
        <v>5175.2700000000004</v>
      </c>
      <c r="G145" s="45">
        <v>4.9800000000000004E-2</v>
      </c>
      <c r="H145" s="37">
        <f t="shared" si="23"/>
        <v>1.9441757599203413E-4</v>
      </c>
      <c r="J145" s="6">
        <f t="shared" si="24"/>
        <v>2.7746091448219968E-3</v>
      </c>
      <c r="K145" s="6">
        <f t="shared" si="24"/>
        <v>4.3067844327523246E-3</v>
      </c>
      <c r="L145" s="6">
        <f t="shared" si="24"/>
        <v>8.1983530120362299E-3</v>
      </c>
      <c r="M145" s="6">
        <f t="shared" si="24"/>
        <v>-7.5296267385311115E-3</v>
      </c>
      <c r="N145" s="6">
        <f t="shared" si="24"/>
        <v>1.1139497364012345E-2</v>
      </c>
      <c r="O145" s="6">
        <f t="shared" si="25"/>
        <v>7.8732359507442031E-3</v>
      </c>
      <c r="Q145" s="6"/>
      <c r="R145" s="13">
        <f t="shared" si="22"/>
        <v>2.5801915688299626E-3</v>
      </c>
      <c r="S145" s="13">
        <f t="shared" si="22"/>
        <v>4.1123668567602904E-3</v>
      </c>
      <c r="T145" s="13">
        <f t="shared" si="22"/>
        <v>8.0039354360441958E-3</v>
      </c>
      <c r="U145" s="13">
        <f t="shared" si="22"/>
        <v>-7.7240443145231456E-3</v>
      </c>
      <c r="V145" s="13">
        <f t="shared" si="22"/>
        <v>1.094507978802031E-2</v>
      </c>
      <c r="W145" s="13"/>
      <c r="X145" s="52"/>
      <c r="Y145" s="13">
        <f t="shared" si="26"/>
        <v>-5.0986268059222059E-3</v>
      </c>
      <c r="Z145" s="13">
        <f t="shared" si="27"/>
        <v>-3.5664515179918786E-3</v>
      </c>
      <c r="AA145" s="13" t="str">
        <f t="shared" si="28"/>
        <v/>
      </c>
      <c r="AB145" s="13">
        <f t="shared" si="29"/>
        <v>-1.5402862689275314E-2</v>
      </c>
      <c r="AC145" s="13" t="str">
        <f t="shared" si="30"/>
        <v/>
      </c>
      <c r="AD145" s="52"/>
      <c r="AL145" s="38"/>
    </row>
    <row r="146" spans="1:38" x14ac:dyDescent="0.2">
      <c r="A146" s="43">
        <v>45364</v>
      </c>
      <c r="B146" s="19">
        <v>170.70062300000001</v>
      </c>
      <c r="C146" s="19">
        <v>60.168132999999997</v>
      </c>
      <c r="D146" s="19">
        <v>189.22163399999999</v>
      </c>
      <c r="E146" s="19">
        <v>16.662870000000002</v>
      </c>
      <c r="F146" s="44">
        <v>5165.3100000000004</v>
      </c>
      <c r="G146" s="45">
        <v>4.9400000000000006E-2</v>
      </c>
      <c r="H146" s="37">
        <f t="shared" si="23"/>
        <v>1.9289289052348835E-4</v>
      </c>
      <c r="J146" s="6">
        <f t="shared" si="24"/>
        <v>-1.2196574219039144E-2</v>
      </c>
      <c r="K146" s="6">
        <f t="shared" si="24"/>
        <v>1.0195775101912073E-2</v>
      </c>
      <c r="L146" s="6">
        <f t="shared" si="24"/>
        <v>8.079352123651724E-3</v>
      </c>
      <c r="M146" s="6">
        <f t="shared" si="24"/>
        <v>-5.8160336375158385E-4</v>
      </c>
      <c r="N146" s="6">
        <f t="shared" si="24"/>
        <v>-1.926391571868686E-3</v>
      </c>
      <c r="O146" s="6">
        <f t="shared" si="25"/>
        <v>-7.8732359507443037E-3</v>
      </c>
      <c r="Q146" s="6"/>
      <c r="R146" s="13">
        <f t="shared" si="22"/>
        <v>-1.2389467109562633E-2</v>
      </c>
      <c r="S146" s="13">
        <f t="shared" si="22"/>
        <v>1.0002882211388585E-2</v>
      </c>
      <c r="T146" s="13">
        <f t="shared" si="22"/>
        <v>7.8864592331282356E-3</v>
      </c>
      <c r="U146" s="13">
        <f t="shared" si="22"/>
        <v>-7.744962542750722E-4</v>
      </c>
      <c r="V146" s="13">
        <f t="shared" si="22"/>
        <v>-2.1192844623921744E-3</v>
      </c>
      <c r="W146" s="13"/>
      <c r="X146" s="52"/>
      <c r="Y146" s="13">
        <f t="shared" si="26"/>
        <v>-4.3233382682948407E-3</v>
      </c>
      <c r="Z146" s="13" t="str">
        <f t="shared" si="27"/>
        <v/>
      </c>
      <c r="AA146" s="13" t="str">
        <f t="shared" si="28"/>
        <v/>
      </c>
      <c r="AB146" s="13" t="str">
        <f t="shared" si="29"/>
        <v/>
      </c>
      <c r="AC146" s="13" t="str">
        <f t="shared" si="30"/>
        <v/>
      </c>
      <c r="AD146" s="52"/>
      <c r="AL146" s="38"/>
    </row>
    <row r="147" spans="1:38" x14ac:dyDescent="0.2">
      <c r="A147" s="43">
        <v>45365</v>
      </c>
      <c r="B147" s="19">
        <v>172.565933</v>
      </c>
      <c r="C147" s="19">
        <v>60.034171999999998</v>
      </c>
      <c r="D147" s="19">
        <v>185.85008199999999</v>
      </c>
      <c r="E147" s="19">
        <v>16.488389999999999</v>
      </c>
      <c r="F147" s="44">
        <v>5150.4799999999996</v>
      </c>
      <c r="G147" s="45">
        <v>4.9500000000000002E-2</v>
      </c>
      <c r="H147" s="37">
        <f t="shared" si="23"/>
        <v>1.9327411614988854E-4</v>
      </c>
      <c r="J147" s="6">
        <f t="shared" si="24"/>
        <v>1.0868104262170121E-2</v>
      </c>
      <c r="K147" s="6">
        <f t="shared" si="24"/>
        <v>-2.2289265661106588E-3</v>
      </c>
      <c r="L147" s="6">
        <f t="shared" si="24"/>
        <v>-1.7978656730612674E-2</v>
      </c>
      <c r="M147" s="6">
        <f t="shared" si="24"/>
        <v>-1.0526393935028697E-2</v>
      </c>
      <c r="N147" s="6">
        <f t="shared" si="24"/>
        <v>-2.8752059156686048E-3</v>
      </c>
      <c r="O147" s="6">
        <f t="shared" si="25"/>
        <v>1.9744087074048946E-3</v>
      </c>
      <c r="Q147" s="6"/>
      <c r="R147" s="13">
        <f t="shared" si="22"/>
        <v>1.0674830146020232E-2</v>
      </c>
      <c r="S147" s="13">
        <f t="shared" si="22"/>
        <v>-2.4222006822605473E-3</v>
      </c>
      <c r="T147" s="13">
        <f t="shared" si="22"/>
        <v>-1.8171930846762562E-2</v>
      </c>
      <c r="U147" s="13">
        <f t="shared" si="22"/>
        <v>-1.0719668051178586E-2</v>
      </c>
      <c r="V147" s="13">
        <f t="shared" si="22"/>
        <v>-3.0684800318184933E-3</v>
      </c>
      <c r="W147" s="13"/>
      <c r="X147" s="52"/>
      <c r="Y147" s="13" t="str">
        <f t="shared" si="26"/>
        <v/>
      </c>
      <c r="Z147" s="13">
        <f t="shared" si="27"/>
        <v>-4.203335273515553E-3</v>
      </c>
      <c r="AA147" s="13">
        <f t="shared" si="28"/>
        <v>-1.9953065438017569E-2</v>
      </c>
      <c r="AB147" s="13">
        <f t="shared" si="29"/>
        <v>-1.2500802642433591E-2</v>
      </c>
      <c r="AC147" s="13">
        <f t="shared" si="30"/>
        <v>-4.8496146230734994E-3</v>
      </c>
      <c r="AD147" s="52"/>
      <c r="AL147" s="38"/>
    </row>
    <row r="148" spans="1:38" x14ac:dyDescent="0.2">
      <c r="A148" s="43">
        <v>45366</v>
      </c>
      <c r="B148" s="19">
        <v>172.18687399999999</v>
      </c>
      <c r="C148" s="19">
        <v>59.418948999999998</v>
      </c>
      <c r="D148" s="19">
        <v>188.15382399999999</v>
      </c>
      <c r="E148" s="19">
        <v>16.527163000000002</v>
      </c>
      <c r="F148" s="44">
        <v>5117.09</v>
      </c>
      <c r="G148" s="45">
        <v>4.9299999999999997E-2</v>
      </c>
      <c r="H148" s="37">
        <f t="shared" si="23"/>
        <v>1.9251162871269933E-4</v>
      </c>
      <c r="J148" s="6">
        <f t="shared" si="24"/>
        <v>-2.1990199647653258E-3</v>
      </c>
      <c r="K148" s="6">
        <f t="shared" si="24"/>
        <v>-1.0300751202101817E-2</v>
      </c>
      <c r="L148" s="6">
        <f t="shared" si="24"/>
        <v>1.2319503083121451E-2</v>
      </c>
      <c r="M148" s="6">
        <f t="shared" si="24"/>
        <v>2.3487728844055851E-3</v>
      </c>
      <c r="N148" s="6">
        <f t="shared" si="24"/>
        <v>-6.5039961169264899E-3</v>
      </c>
      <c r="O148" s="6">
        <f t="shared" si="25"/>
        <v>-3.9529113773502057E-3</v>
      </c>
      <c r="Q148" s="6"/>
      <c r="R148" s="13">
        <f t="shared" si="22"/>
        <v>-2.3915315934780251E-3</v>
      </c>
      <c r="S148" s="13">
        <f t="shared" si="22"/>
        <v>-1.0493262830814516E-2</v>
      </c>
      <c r="T148" s="13">
        <f t="shared" si="22"/>
        <v>1.2126991454408752E-2</v>
      </c>
      <c r="U148" s="13">
        <f t="shared" si="22"/>
        <v>2.1562612556928857E-3</v>
      </c>
      <c r="V148" s="13">
        <f t="shared" si="22"/>
        <v>-6.6965077456391893E-3</v>
      </c>
      <c r="W148" s="13"/>
      <c r="X148" s="52"/>
      <c r="Y148" s="13" t="str">
        <f t="shared" si="26"/>
        <v/>
      </c>
      <c r="Z148" s="13">
        <f t="shared" si="27"/>
        <v>-6.3478398247516108E-3</v>
      </c>
      <c r="AA148" s="13" t="str">
        <f t="shared" si="28"/>
        <v/>
      </c>
      <c r="AB148" s="13" t="str">
        <f t="shared" si="29"/>
        <v/>
      </c>
      <c r="AC148" s="13">
        <f t="shared" si="30"/>
        <v>-2.5510847395762842E-3</v>
      </c>
      <c r="AD148" s="52"/>
      <c r="AL148" s="38"/>
    </row>
    <row r="149" spans="1:38" x14ac:dyDescent="0.2">
      <c r="A149" s="43">
        <v>45369</v>
      </c>
      <c r="B149" s="19">
        <v>173.284119</v>
      </c>
      <c r="C149" s="19">
        <v>59.667023</v>
      </c>
      <c r="D149" s="19">
        <v>190.487213</v>
      </c>
      <c r="E149" s="19">
        <v>16.769497000000001</v>
      </c>
      <c r="F149" s="44">
        <v>5149.42</v>
      </c>
      <c r="G149" s="45">
        <v>4.9200000000000001E-2</v>
      </c>
      <c r="H149" s="37">
        <f t="shared" si="23"/>
        <v>1.9213033071063812E-4</v>
      </c>
      <c r="J149" s="6">
        <f t="shared" si="24"/>
        <v>6.3521899768463532E-3</v>
      </c>
      <c r="K149" s="6">
        <f t="shared" si="24"/>
        <v>4.1663069910752798E-3</v>
      </c>
      <c r="L149" s="6">
        <f t="shared" si="24"/>
        <v>1.2325227911982373E-2</v>
      </c>
      <c r="M149" s="6">
        <f t="shared" si="24"/>
        <v>1.455631158926427E-2</v>
      </c>
      <c r="N149" s="6">
        <f t="shared" si="24"/>
        <v>6.2981688751588584E-3</v>
      </c>
      <c r="O149" s="6">
        <f t="shared" si="25"/>
        <v>-1.9826132725194968E-3</v>
      </c>
      <c r="Q149" s="6"/>
      <c r="R149" s="13">
        <f t="shared" si="22"/>
        <v>6.1600596461357151E-3</v>
      </c>
      <c r="S149" s="13">
        <f t="shared" si="22"/>
        <v>3.9741766603646417E-3</v>
      </c>
      <c r="T149" s="13">
        <f t="shared" si="22"/>
        <v>1.2133097581271735E-2</v>
      </c>
      <c r="U149" s="13">
        <f t="shared" si="22"/>
        <v>1.4364181258553632E-2</v>
      </c>
      <c r="V149" s="13">
        <f t="shared" si="22"/>
        <v>6.1060385444482203E-3</v>
      </c>
      <c r="W149" s="13"/>
      <c r="X149" s="52"/>
      <c r="Y149" s="13" t="str">
        <f t="shared" si="26"/>
        <v/>
      </c>
      <c r="Z149" s="13" t="str">
        <f t="shared" si="27"/>
        <v/>
      </c>
      <c r="AA149" s="13" t="str">
        <f t="shared" si="28"/>
        <v/>
      </c>
      <c r="AB149" s="13" t="str">
        <f t="shared" si="29"/>
        <v/>
      </c>
      <c r="AC149" s="13" t="str">
        <f t="shared" si="30"/>
        <v/>
      </c>
      <c r="AD149" s="52"/>
      <c r="AL149" s="38"/>
    </row>
    <row r="150" spans="1:38" x14ac:dyDescent="0.2">
      <c r="A150" s="43">
        <v>45370</v>
      </c>
      <c r="B150" s="19">
        <v>175.63819899999999</v>
      </c>
      <c r="C150" s="19">
        <v>59.766250999999997</v>
      </c>
      <c r="D150" s="19">
        <v>191.60446200000001</v>
      </c>
      <c r="E150" s="19">
        <v>16.643484000000001</v>
      </c>
      <c r="F150" s="44">
        <v>5178.51</v>
      </c>
      <c r="G150" s="45">
        <v>4.9500000000000002E-2</v>
      </c>
      <c r="H150" s="37">
        <f t="shared" si="23"/>
        <v>1.9327411614988854E-4</v>
      </c>
      <c r="J150" s="6">
        <f t="shared" si="24"/>
        <v>1.3493637966671364E-2</v>
      </c>
      <c r="K150" s="6">
        <f t="shared" si="24"/>
        <v>1.6616478726241028E-3</v>
      </c>
      <c r="L150" s="6">
        <f t="shared" si="24"/>
        <v>5.8480844115032697E-3</v>
      </c>
      <c r="M150" s="6">
        <f t="shared" si="24"/>
        <v>-7.5427928711403599E-3</v>
      </c>
      <c r="N150" s="6">
        <f t="shared" si="24"/>
        <v>5.6332831318901015E-3</v>
      </c>
      <c r="O150" s="6">
        <f t="shared" si="25"/>
        <v>5.9355246498698326E-3</v>
      </c>
      <c r="Q150" s="6"/>
      <c r="R150" s="13">
        <f t="shared" si="22"/>
        <v>1.3300363850521475E-2</v>
      </c>
      <c r="S150" s="13">
        <f t="shared" si="22"/>
        <v>1.4683737564742142E-3</v>
      </c>
      <c r="T150" s="13">
        <f t="shared" si="22"/>
        <v>5.6548102953533812E-3</v>
      </c>
      <c r="U150" s="13">
        <f t="shared" si="22"/>
        <v>-7.7360669872902485E-3</v>
      </c>
      <c r="V150" s="13">
        <f t="shared" si="22"/>
        <v>5.4400090157402129E-3</v>
      </c>
      <c r="W150" s="13"/>
      <c r="X150" s="52"/>
      <c r="Y150" s="13" t="str">
        <f t="shared" si="26"/>
        <v/>
      </c>
      <c r="Z150" s="13">
        <f t="shared" si="27"/>
        <v>-4.2738767772457298E-3</v>
      </c>
      <c r="AA150" s="13">
        <f t="shared" si="28"/>
        <v>-8.744023836656286E-5</v>
      </c>
      <c r="AB150" s="13">
        <f t="shared" si="29"/>
        <v>-1.3478317521010193E-2</v>
      </c>
      <c r="AC150" s="13">
        <f t="shared" si="30"/>
        <v>-3.0224151797973112E-4</v>
      </c>
      <c r="AD150" s="52"/>
      <c r="AL150" s="38"/>
    </row>
    <row r="151" spans="1:38" x14ac:dyDescent="0.2">
      <c r="A151" s="43">
        <v>45371</v>
      </c>
      <c r="B151" s="19">
        <v>178.22171</v>
      </c>
      <c r="C151" s="19">
        <v>60.282249</v>
      </c>
      <c r="D151" s="19">
        <v>194.115814</v>
      </c>
      <c r="E151" s="19">
        <v>16.682257</v>
      </c>
      <c r="F151" s="44">
        <v>5224.62</v>
      </c>
      <c r="G151" s="45">
        <v>0.05</v>
      </c>
      <c r="H151" s="37">
        <f t="shared" si="23"/>
        <v>1.9517970175764177E-4</v>
      </c>
      <c r="J151" s="6">
        <f t="shared" si="24"/>
        <v>1.4602145308817756E-2</v>
      </c>
      <c r="K151" s="6">
        <f t="shared" si="24"/>
        <v>8.5965451914703454E-3</v>
      </c>
      <c r="L151" s="6">
        <f t="shared" si="24"/>
        <v>1.3021806957661381E-2</v>
      </c>
      <c r="M151" s="6">
        <f t="shared" si="24"/>
        <v>2.3269110502146303E-3</v>
      </c>
      <c r="N151" s="6">
        <f t="shared" si="24"/>
        <v>8.8646978273410684E-3</v>
      </c>
      <c r="O151" s="6">
        <f t="shared" si="25"/>
        <v>9.8112094968681833E-3</v>
      </c>
      <c r="Q151" s="6"/>
      <c r="R151" s="13">
        <f t="shared" si="22"/>
        <v>1.4406965607060115E-2</v>
      </c>
      <c r="S151" s="13">
        <f t="shared" si="22"/>
        <v>8.4013654897127036E-3</v>
      </c>
      <c r="T151" s="13">
        <f t="shared" si="22"/>
        <v>1.2826627255903739E-2</v>
      </c>
      <c r="U151" s="13">
        <f t="shared" si="22"/>
        <v>2.1317313484569885E-3</v>
      </c>
      <c r="V151" s="13">
        <f t="shared" si="22"/>
        <v>8.6695181255834267E-3</v>
      </c>
      <c r="W151" s="13"/>
      <c r="X151" s="52"/>
      <c r="Y151" s="13" t="str">
        <f t="shared" si="26"/>
        <v/>
      </c>
      <c r="Z151" s="13">
        <f t="shared" si="27"/>
        <v>-1.2146643053978379E-3</v>
      </c>
      <c r="AA151" s="13" t="str">
        <f t="shared" si="28"/>
        <v/>
      </c>
      <c r="AB151" s="13">
        <f t="shared" si="29"/>
        <v>-7.484298446653553E-3</v>
      </c>
      <c r="AC151" s="13">
        <f t="shared" si="30"/>
        <v>-9.4651166952711488E-4</v>
      </c>
      <c r="AD151" s="52"/>
      <c r="AL151" s="38"/>
    </row>
    <row r="152" spans="1:38" x14ac:dyDescent="0.2">
      <c r="A152" s="43">
        <v>45372</v>
      </c>
      <c r="B152" s="19">
        <v>170.94001800000001</v>
      </c>
      <c r="C152" s="19">
        <v>60.004406000000003</v>
      </c>
      <c r="D152" s="19">
        <v>196.81501800000001</v>
      </c>
      <c r="E152" s="19">
        <v>16.633789</v>
      </c>
      <c r="F152" s="44">
        <v>5241.53</v>
      </c>
      <c r="G152" s="45">
        <v>5.0099999999999999E-2</v>
      </c>
      <c r="H152" s="37">
        <f t="shared" si="23"/>
        <v>1.9556071042226009E-4</v>
      </c>
      <c r="J152" s="6">
        <f t="shared" si="24"/>
        <v>-4.1715613983300662E-2</v>
      </c>
      <c r="K152" s="6">
        <f t="shared" si="24"/>
        <v>-4.6196894266072042E-3</v>
      </c>
      <c r="L152" s="6">
        <f t="shared" si="24"/>
        <v>1.3809332358761774E-2</v>
      </c>
      <c r="M152" s="6">
        <f t="shared" si="24"/>
        <v>-2.9095910236789767E-3</v>
      </c>
      <c r="N152" s="6">
        <f t="shared" si="24"/>
        <v>3.2313725131378058E-3</v>
      </c>
      <c r="O152" s="6">
        <f t="shared" si="25"/>
        <v>1.950188787733562E-3</v>
      </c>
      <c r="Q152" s="6"/>
      <c r="R152" s="13">
        <f t="shared" si="22"/>
        <v>-4.1911174693722922E-2</v>
      </c>
      <c r="S152" s="13">
        <f t="shared" si="22"/>
        <v>-4.8152501370294643E-3</v>
      </c>
      <c r="T152" s="13">
        <f t="shared" si="22"/>
        <v>1.3613771648339514E-2</v>
      </c>
      <c r="U152" s="13">
        <f t="shared" si="22"/>
        <v>-3.1051517341012368E-3</v>
      </c>
      <c r="V152" s="13">
        <f t="shared" si="22"/>
        <v>3.0358118027155457E-3</v>
      </c>
      <c r="W152" s="13"/>
      <c r="X152" s="52"/>
      <c r="Y152" s="13">
        <f t="shared" si="26"/>
        <v>-4.3665802771034226E-2</v>
      </c>
      <c r="Z152" s="13">
        <f t="shared" si="27"/>
        <v>-6.569878214340766E-3</v>
      </c>
      <c r="AA152" s="13" t="str">
        <f t="shared" si="28"/>
        <v/>
      </c>
      <c r="AB152" s="13">
        <f t="shared" si="29"/>
        <v>-4.8597798114125386E-3</v>
      </c>
      <c r="AC152" s="13" t="str">
        <f t="shared" si="30"/>
        <v/>
      </c>
      <c r="AD152" s="52"/>
      <c r="AL152" s="38"/>
    </row>
    <row r="153" spans="1:38" x14ac:dyDescent="0.2">
      <c r="A153" s="43">
        <v>45373</v>
      </c>
      <c r="B153" s="19">
        <v>171.84773300000001</v>
      </c>
      <c r="C153" s="19">
        <v>60.024253999999999</v>
      </c>
      <c r="D153" s="19">
        <v>194.40254200000001</v>
      </c>
      <c r="E153" s="19">
        <v>16.459311</v>
      </c>
      <c r="F153" s="44">
        <v>5234.18</v>
      </c>
      <c r="G153" s="45">
        <v>5.04E-2</v>
      </c>
      <c r="H153" s="37">
        <f t="shared" si="23"/>
        <v>1.9670351962641774E-4</v>
      </c>
      <c r="J153" s="6">
        <f t="shared" si="24"/>
        <v>5.2960884338796171E-3</v>
      </c>
      <c r="K153" s="6">
        <f t="shared" si="24"/>
        <v>3.3072101581254086E-4</v>
      </c>
      <c r="L153" s="6">
        <f t="shared" si="24"/>
        <v>-1.2333324609694349E-2</v>
      </c>
      <c r="M153" s="6">
        <f t="shared" si="24"/>
        <v>-1.0544773183150766E-2</v>
      </c>
      <c r="N153" s="6">
        <f t="shared" si="24"/>
        <v>-1.4032464064151588E-3</v>
      </c>
      <c r="O153" s="6">
        <f t="shared" si="25"/>
        <v>5.8267481452814176E-3</v>
      </c>
      <c r="Q153" s="6"/>
      <c r="R153" s="13">
        <f t="shared" si="22"/>
        <v>5.0993849142531994E-3</v>
      </c>
      <c r="S153" s="13">
        <f t="shared" si="22"/>
        <v>1.3401749618612311E-4</v>
      </c>
      <c r="T153" s="13">
        <f t="shared" si="22"/>
        <v>-1.2530028129320766E-2</v>
      </c>
      <c r="U153" s="13">
        <f t="shared" si="22"/>
        <v>-1.0741476702777183E-2</v>
      </c>
      <c r="V153" s="13">
        <f t="shared" si="22"/>
        <v>-1.5999499260415766E-3</v>
      </c>
      <c r="W153" s="13"/>
      <c r="X153" s="52"/>
      <c r="Y153" s="13">
        <f t="shared" si="26"/>
        <v>-5.3065971140180048E-4</v>
      </c>
      <c r="Z153" s="13">
        <f t="shared" si="27"/>
        <v>-5.4960271294688771E-3</v>
      </c>
      <c r="AA153" s="13">
        <f t="shared" si="28"/>
        <v>-1.8160072754975765E-2</v>
      </c>
      <c r="AB153" s="13">
        <f t="shared" si="29"/>
        <v>-1.6371521328432184E-2</v>
      </c>
      <c r="AC153" s="13">
        <f t="shared" si="30"/>
        <v>-7.2299945516965764E-3</v>
      </c>
      <c r="AD153" s="52"/>
      <c r="AL153" s="38"/>
    </row>
    <row r="154" spans="1:38" x14ac:dyDescent="0.2">
      <c r="A154" s="43">
        <v>45376</v>
      </c>
      <c r="B154" s="19">
        <v>170.42132599999999</v>
      </c>
      <c r="C154" s="19">
        <v>59.934944000000002</v>
      </c>
      <c r="D154" s="19">
        <v>192.622849</v>
      </c>
      <c r="E154" s="19">
        <v>16.595016000000001</v>
      </c>
      <c r="F154" s="44">
        <v>5218.1899999999996</v>
      </c>
      <c r="G154" s="45">
        <v>5.0499999999999996E-2</v>
      </c>
      <c r="H154" s="37">
        <f t="shared" si="23"/>
        <v>1.970843837875158E-4</v>
      </c>
      <c r="J154" s="6">
        <f t="shared" si="24"/>
        <v>-8.3350523254073824E-3</v>
      </c>
      <c r="K154" s="6">
        <f t="shared" si="24"/>
        <v>-1.4890065620656438E-3</v>
      </c>
      <c r="L154" s="6">
        <f t="shared" si="24"/>
        <v>-9.1968412694247506E-3</v>
      </c>
      <c r="M154" s="6">
        <f t="shared" si="24"/>
        <v>8.2110739967389546E-3</v>
      </c>
      <c r="N154" s="6">
        <f t="shared" si="24"/>
        <v>-3.0595955699421543E-3</v>
      </c>
      <c r="O154" s="6">
        <f t="shared" si="25"/>
        <v>1.9343625162409541E-3</v>
      </c>
      <c r="Q154" s="6"/>
      <c r="R154" s="13">
        <f t="shared" si="22"/>
        <v>-8.5321367091948982E-3</v>
      </c>
      <c r="S154" s="13">
        <f t="shared" si="22"/>
        <v>-1.6860909458531596E-3</v>
      </c>
      <c r="T154" s="13">
        <f t="shared" si="22"/>
        <v>-9.3939256532122664E-3</v>
      </c>
      <c r="U154" s="13">
        <f t="shared" si="22"/>
        <v>8.0139896129514387E-3</v>
      </c>
      <c r="V154" s="13">
        <f t="shared" si="22"/>
        <v>-3.2566799537296701E-3</v>
      </c>
      <c r="W154" s="13"/>
      <c r="X154" s="52"/>
      <c r="Y154" s="13">
        <f t="shared" si="26"/>
        <v>-1.0269414841648337E-2</v>
      </c>
      <c r="Z154" s="13">
        <f t="shared" si="27"/>
        <v>-3.4233690783065981E-3</v>
      </c>
      <c r="AA154" s="13">
        <f t="shared" si="28"/>
        <v>-1.1131203785665705E-2</v>
      </c>
      <c r="AB154" s="13" t="str">
        <f t="shared" si="29"/>
        <v/>
      </c>
      <c r="AC154" s="13">
        <f t="shared" si="30"/>
        <v>-4.9939580861831081E-3</v>
      </c>
      <c r="AD154" s="52"/>
      <c r="AL154" s="38"/>
    </row>
    <row r="155" spans="1:38" x14ac:dyDescent="0.2">
      <c r="A155" s="43">
        <v>45377</v>
      </c>
      <c r="B155" s="19">
        <v>169.28419500000001</v>
      </c>
      <c r="C155" s="19">
        <v>60.073867999999997</v>
      </c>
      <c r="D155" s="19">
        <v>193.52256800000001</v>
      </c>
      <c r="E155" s="19">
        <v>16.653176999999999</v>
      </c>
      <c r="F155" s="44">
        <v>5203.58</v>
      </c>
      <c r="G155" s="45">
        <v>5.0599999999999999E-2</v>
      </c>
      <c r="H155" s="37">
        <f t="shared" si="23"/>
        <v>1.9746521183972021E-4</v>
      </c>
      <c r="J155" s="6">
        <f t="shared" si="24"/>
        <v>-6.6948293563426041E-3</v>
      </c>
      <c r="K155" s="6">
        <f t="shared" si="24"/>
        <v>2.3152310191375206E-3</v>
      </c>
      <c r="L155" s="6">
        <f t="shared" si="24"/>
        <v>4.6600093568763086E-3</v>
      </c>
      <c r="M155" s="6">
        <f t="shared" si="24"/>
        <v>3.4985997178958793E-3</v>
      </c>
      <c r="N155" s="6">
        <f t="shared" si="24"/>
        <v>-2.8037482252575453E-3</v>
      </c>
      <c r="O155" s="6">
        <f t="shared" si="25"/>
        <v>1.9304451186456823E-3</v>
      </c>
      <c r="Q155" s="6"/>
      <c r="R155" s="13">
        <f t="shared" si="22"/>
        <v>-6.8922945681823243E-3</v>
      </c>
      <c r="S155" s="13">
        <f t="shared" si="22"/>
        <v>2.1177658072978004E-3</v>
      </c>
      <c r="T155" s="13">
        <f t="shared" si="22"/>
        <v>4.4625441450365884E-3</v>
      </c>
      <c r="U155" s="13">
        <f t="shared" si="22"/>
        <v>3.3011345060561591E-3</v>
      </c>
      <c r="V155" s="13">
        <f t="shared" si="22"/>
        <v>-3.0012134370972655E-3</v>
      </c>
      <c r="W155" s="13"/>
      <c r="X155" s="52"/>
      <c r="Y155" s="13">
        <f t="shared" si="26"/>
        <v>-8.625274474988287E-3</v>
      </c>
      <c r="Z155" s="13" t="str">
        <f t="shared" si="27"/>
        <v/>
      </c>
      <c r="AA155" s="13" t="str">
        <f t="shared" si="28"/>
        <v/>
      </c>
      <c r="AB155" s="13" t="str">
        <f t="shared" si="29"/>
        <v/>
      </c>
      <c r="AC155" s="13">
        <f t="shared" si="30"/>
        <v>-4.7341933439032273E-3</v>
      </c>
      <c r="AD155" s="52"/>
      <c r="AL155" s="38"/>
    </row>
    <row r="156" spans="1:38" x14ac:dyDescent="0.2">
      <c r="A156" s="43">
        <v>45378</v>
      </c>
      <c r="B156" s="19">
        <v>172.875137</v>
      </c>
      <c r="C156" s="19">
        <v>60.560093000000002</v>
      </c>
      <c r="D156" s="19">
        <v>197.269836</v>
      </c>
      <c r="E156" s="19">
        <v>17.011831000000001</v>
      </c>
      <c r="F156" s="44">
        <v>5248.49</v>
      </c>
      <c r="G156" s="45">
        <v>5.0599999999999999E-2</v>
      </c>
      <c r="H156" s="37">
        <f t="shared" si="23"/>
        <v>1.9746521183972021E-4</v>
      </c>
      <c r="J156" s="6">
        <f t="shared" si="24"/>
        <v>2.0990652674622658E-2</v>
      </c>
      <c r="K156" s="6">
        <f t="shared" si="24"/>
        <v>8.0612064628980545E-3</v>
      </c>
      <c r="L156" s="6">
        <f t="shared" si="24"/>
        <v>1.9178381247547345E-2</v>
      </c>
      <c r="M156" s="6">
        <f t="shared" si="24"/>
        <v>2.130803414272742E-2</v>
      </c>
      <c r="N156" s="6">
        <f t="shared" si="24"/>
        <v>8.5935659407079552E-3</v>
      </c>
      <c r="O156" s="6">
        <f t="shared" si="25"/>
        <v>0</v>
      </c>
      <c r="Q156" s="6"/>
      <c r="R156" s="13">
        <f t="shared" ref="R156:V206" si="31">+J156-$H156</f>
        <v>2.0793187462782938E-2</v>
      </c>
      <c r="S156" s="13">
        <f t="shared" si="31"/>
        <v>7.8637412510583343E-3</v>
      </c>
      <c r="T156" s="13">
        <f t="shared" si="31"/>
        <v>1.8980916035707625E-2</v>
      </c>
      <c r="U156" s="13">
        <f t="shared" si="31"/>
        <v>2.11105689308877E-2</v>
      </c>
      <c r="V156" s="13">
        <f t="shared" si="31"/>
        <v>8.396100728868235E-3</v>
      </c>
      <c r="W156" s="13"/>
      <c r="X156" s="52"/>
      <c r="Y156" s="13" t="str">
        <f t="shared" si="26"/>
        <v/>
      </c>
      <c r="Z156" s="13" t="str">
        <f t="shared" si="27"/>
        <v/>
      </c>
      <c r="AA156" s="13" t="str">
        <f t="shared" si="28"/>
        <v/>
      </c>
      <c r="AB156" s="13" t="str">
        <f t="shared" si="29"/>
        <v/>
      </c>
      <c r="AC156" s="13" t="str">
        <f t="shared" si="30"/>
        <v/>
      </c>
      <c r="AD156" s="52"/>
      <c r="AL156" s="38"/>
    </row>
    <row r="157" spans="1:38" x14ac:dyDescent="0.2">
      <c r="A157" s="43">
        <v>45379</v>
      </c>
      <c r="B157" s="19">
        <v>171.049744</v>
      </c>
      <c r="C157" s="19">
        <v>60.708939000000001</v>
      </c>
      <c r="D157" s="19">
        <v>198.04104599999999</v>
      </c>
      <c r="E157" s="19">
        <v>17.060296999999998</v>
      </c>
      <c r="F157" s="44">
        <v>5254.35</v>
      </c>
      <c r="G157" s="45">
        <v>5.0099999999999999E-2</v>
      </c>
      <c r="H157" s="37">
        <f t="shared" si="23"/>
        <v>1.9556071042226009E-4</v>
      </c>
      <c r="J157" s="6">
        <f t="shared" si="24"/>
        <v>-1.0615167680639992E-2</v>
      </c>
      <c r="K157" s="6">
        <f t="shared" si="24"/>
        <v>2.4548076667502516E-3</v>
      </c>
      <c r="L157" s="6">
        <f t="shared" si="24"/>
        <v>3.9017948330012063E-3</v>
      </c>
      <c r="M157" s="6">
        <f t="shared" si="24"/>
        <v>2.8449078782690519E-3</v>
      </c>
      <c r="N157" s="6">
        <f t="shared" si="24"/>
        <v>1.1158887706710923E-3</v>
      </c>
      <c r="O157" s="6">
        <f t="shared" si="25"/>
        <v>-9.6915557801681984E-3</v>
      </c>
      <c r="Q157" s="6"/>
      <c r="R157" s="13">
        <f t="shared" si="31"/>
        <v>-1.0810728391062252E-2</v>
      </c>
      <c r="S157" s="13">
        <f t="shared" si="31"/>
        <v>2.2592469563279915E-3</v>
      </c>
      <c r="T157" s="13">
        <f t="shared" si="31"/>
        <v>3.7062341225789462E-3</v>
      </c>
      <c r="U157" s="13">
        <f t="shared" si="31"/>
        <v>2.6493471678467918E-3</v>
      </c>
      <c r="V157" s="13">
        <f t="shared" si="31"/>
        <v>9.2032806024883217E-4</v>
      </c>
      <c r="W157" s="13"/>
      <c r="X157" s="52"/>
      <c r="Y157" s="13">
        <f t="shared" si="26"/>
        <v>-9.2361190047179388E-4</v>
      </c>
      <c r="Z157" s="13" t="str">
        <f t="shared" si="27"/>
        <v/>
      </c>
      <c r="AA157" s="13" t="str">
        <f t="shared" si="28"/>
        <v/>
      </c>
      <c r="AB157" s="13" t="str">
        <f t="shared" si="29"/>
        <v/>
      </c>
      <c r="AC157" s="13" t="str">
        <f t="shared" si="30"/>
        <v/>
      </c>
      <c r="AD157" s="52"/>
      <c r="AL157" s="38"/>
    </row>
    <row r="158" spans="1:38" x14ac:dyDescent="0.2">
      <c r="A158" s="43">
        <v>45383</v>
      </c>
      <c r="B158" s="19">
        <v>169.60337799999999</v>
      </c>
      <c r="C158" s="19">
        <v>60.212788000000003</v>
      </c>
      <c r="D158" s="19">
        <v>196.696381</v>
      </c>
      <c r="E158" s="19">
        <v>16.963363999999999</v>
      </c>
      <c r="F158" s="44">
        <v>5243.77</v>
      </c>
      <c r="G158" s="45">
        <v>5.0099999999999999E-2</v>
      </c>
      <c r="H158" s="37">
        <f t="shared" si="23"/>
        <v>1.9556071042226009E-4</v>
      </c>
      <c r="J158" s="6">
        <f t="shared" si="24"/>
        <v>-8.4917741718009161E-3</v>
      </c>
      <c r="K158" s="6">
        <f t="shared" si="24"/>
        <v>-8.2061974569752581E-3</v>
      </c>
      <c r="L158" s="6">
        <f t="shared" si="24"/>
        <v>-6.8129855912890617E-3</v>
      </c>
      <c r="M158" s="6">
        <f t="shared" si="24"/>
        <v>-5.697991304405129E-3</v>
      </c>
      <c r="N158" s="6">
        <f t="shared" si="24"/>
        <v>-2.0155996658250933E-3</v>
      </c>
      <c r="O158" s="6">
        <f t="shared" si="25"/>
        <v>0</v>
      </c>
      <c r="Q158" s="6"/>
      <c r="R158" s="13">
        <f t="shared" si="31"/>
        <v>-8.6873348822231761E-3</v>
      </c>
      <c r="S158" s="13">
        <f t="shared" si="31"/>
        <v>-8.4017581673975182E-3</v>
      </c>
      <c r="T158" s="13">
        <f t="shared" si="31"/>
        <v>-7.0085463017113218E-3</v>
      </c>
      <c r="U158" s="13">
        <f t="shared" si="31"/>
        <v>-5.8935520148273891E-3</v>
      </c>
      <c r="V158" s="13">
        <f t="shared" si="31"/>
        <v>-2.2111603762473534E-3</v>
      </c>
      <c r="W158" s="13"/>
      <c r="X158" s="52"/>
      <c r="Y158" s="13">
        <f t="shared" si="26"/>
        <v>-8.4917741718009161E-3</v>
      </c>
      <c r="Z158" s="13">
        <f t="shared" si="27"/>
        <v>-8.2061974569752581E-3</v>
      </c>
      <c r="AA158" s="13">
        <f t="shared" si="28"/>
        <v>-6.8129855912890617E-3</v>
      </c>
      <c r="AB158" s="13">
        <f t="shared" si="29"/>
        <v>-5.697991304405129E-3</v>
      </c>
      <c r="AC158" s="13">
        <f t="shared" si="30"/>
        <v>-2.0155996658250933E-3</v>
      </c>
      <c r="AD158" s="52"/>
      <c r="AL158" s="38"/>
    </row>
    <row r="159" spans="1:38" x14ac:dyDescent="0.2">
      <c r="A159" s="43">
        <v>45384</v>
      </c>
      <c r="B159" s="19">
        <v>168.41635099999999</v>
      </c>
      <c r="C159" s="19">
        <v>59.686870999999996</v>
      </c>
      <c r="D159" s="19">
        <v>196.617279</v>
      </c>
      <c r="E159" s="19">
        <v>16.982749999999999</v>
      </c>
      <c r="F159" s="44">
        <v>5205.8100000000004</v>
      </c>
      <c r="G159" s="45">
        <v>4.9800000000000004E-2</v>
      </c>
      <c r="H159" s="37">
        <f t="shared" si="23"/>
        <v>1.9441757599203413E-4</v>
      </c>
      <c r="J159" s="6">
        <f t="shared" si="24"/>
        <v>-7.0234473180625914E-3</v>
      </c>
      <c r="K159" s="6">
        <f t="shared" si="24"/>
        <v>-8.7726750393700287E-3</v>
      </c>
      <c r="L159" s="6">
        <f t="shared" si="24"/>
        <v>-4.0223368324664339E-4</v>
      </c>
      <c r="M159" s="6">
        <f t="shared" si="24"/>
        <v>1.1421632595400733E-3</v>
      </c>
      <c r="N159" s="6">
        <f t="shared" si="24"/>
        <v>-7.2653957344673645E-3</v>
      </c>
      <c r="O159" s="6">
        <f t="shared" si="25"/>
        <v>-5.8625710412623351E-3</v>
      </c>
      <c r="Q159" s="6"/>
      <c r="R159" s="13">
        <f t="shared" si="31"/>
        <v>-7.2178648940546255E-3</v>
      </c>
      <c r="S159" s="13">
        <f t="shared" si="31"/>
        <v>-8.9670926153620628E-3</v>
      </c>
      <c r="T159" s="13">
        <f t="shared" si="31"/>
        <v>-5.9665125923867753E-4</v>
      </c>
      <c r="U159" s="13">
        <f t="shared" si="31"/>
        <v>9.4774568354803919E-4</v>
      </c>
      <c r="V159" s="13">
        <f t="shared" si="31"/>
        <v>-7.4598133104593987E-3</v>
      </c>
      <c r="W159" s="13"/>
      <c r="X159" s="52"/>
      <c r="Y159" s="13">
        <f t="shared" si="26"/>
        <v>-1.1608762768002562E-3</v>
      </c>
      <c r="Z159" s="13">
        <f t="shared" si="27"/>
        <v>-2.9101039981076935E-3</v>
      </c>
      <c r="AA159" s="13" t="str">
        <f t="shared" si="28"/>
        <v/>
      </c>
      <c r="AB159" s="13" t="str">
        <f t="shared" si="29"/>
        <v/>
      </c>
      <c r="AC159" s="13">
        <f t="shared" si="30"/>
        <v>-1.4028246932050294E-3</v>
      </c>
      <c r="AD159" s="52"/>
      <c r="AL159" s="38"/>
    </row>
    <row r="160" spans="1:38" x14ac:dyDescent="0.2">
      <c r="A160" s="43">
        <v>45385</v>
      </c>
      <c r="B160" s="19">
        <v>169.22431900000001</v>
      </c>
      <c r="C160" s="19">
        <v>59.369335</v>
      </c>
      <c r="D160" s="19">
        <v>196.06359900000001</v>
      </c>
      <c r="E160" s="19">
        <v>17.069991999999999</v>
      </c>
      <c r="F160" s="44">
        <v>5211.49</v>
      </c>
      <c r="G160" s="45">
        <v>0.05</v>
      </c>
      <c r="H160" s="37">
        <f t="shared" si="23"/>
        <v>1.9517970175764177E-4</v>
      </c>
      <c r="J160" s="6">
        <f t="shared" si="24"/>
        <v>4.7859728642550272E-3</v>
      </c>
      <c r="K160" s="6">
        <f t="shared" si="24"/>
        <v>-5.3342326889105063E-3</v>
      </c>
      <c r="L160" s="6">
        <f t="shared" si="24"/>
        <v>-2.8200016753762752E-3</v>
      </c>
      <c r="M160" s="6">
        <f t="shared" si="24"/>
        <v>5.12394513644681E-3</v>
      </c>
      <c r="N160" s="6">
        <f t="shared" si="24"/>
        <v>1.0904938060488179E-3</v>
      </c>
      <c r="O160" s="6">
        <f t="shared" si="25"/>
        <v>3.91238225352871E-3</v>
      </c>
      <c r="Q160" s="6"/>
      <c r="R160" s="13">
        <f t="shared" si="31"/>
        <v>4.5907931624973855E-3</v>
      </c>
      <c r="S160" s="13">
        <f t="shared" si="31"/>
        <v>-5.529412390668148E-3</v>
      </c>
      <c r="T160" s="13">
        <f t="shared" si="31"/>
        <v>-3.015181377133917E-3</v>
      </c>
      <c r="U160" s="13">
        <f t="shared" si="31"/>
        <v>4.9287654346891682E-3</v>
      </c>
      <c r="V160" s="13">
        <f t="shared" si="31"/>
        <v>8.9531410429117609E-4</v>
      </c>
      <c r="W160" s="13"/>
      <c r="X160" s="52"/>
      <c r="Y160" s="13" t="str">
        <f t="shared" si="26"/>
        <v/>
      </c>
      <c r="Z160" s="13">
        <f t="shared" si="27"/>
        <v>-9.2466149424392172E-3</v>
      </c>
      <c r="AA160" s="13">
        <f t="shared" si="28"/>
        <v>-6.7323839289049857E-3</v>
      </c>
      <c r="AB160" s="13" t="str">
        <f t="shared" si="29"/>
        <v/>
      </c>
      <c r="AC160" s="13">
        <f t="shared" si="30"/>
        <v>-2.8218884474798924E-3</v>
      </c>
      <c r="AD160" s="52"/>
      <c r="AL160" s="38"/>
    </row>
    <row r="161" spans="1:38" x14ac:dyDescent="0.2">
      <c r="A161" s="43">
        <v>45386</v>
      </c>
      <c r="B161" s="19">
        <v>168.396423</v>
      </c>
      <c r="C161" s="19">
        <v>58.843414000000003</v>
      </c>
      <c r="D161" s="19">
        <v>194.571854</v>
      </c>
      <c r="E161" s="19">
        <v>17.031217999999999</v>
      </c>
      <c r="F161" s="44">
        <v>5147.21</v>
      </c>
      <c r="G161" s="45">
        <v>0.05</v>
      </c>
      <c r="H161" s="37">
        <f t="shared" si="23"/>
        <v>1.9517970175764177E-4</v>
      </c>
      <c r="J161" s="6">
        <f t="shared" si="24"/>
        <v>-4.9043056684808586E-3</v>
      </c>
      <c r="K161" s="6">
        <f t="shared" si="24"/>
        <v>-8.8979314726668046E-3</v>
      </c>
      <c r="L161" s="6">
        <f t="shared" si="24"/>
        <v>-7.637567148412871E-3</v>
      </c>
      <c r="M161" s="6">
        <f t="shared" si="24"/>
        <v>-2.2740551851044106E-3</v>
      </c>
      <c r="N161" s="6">
        <f t="shared" si="24"/>
        <v>-1.2410983057457463E-2</v>
      </c>
      <c r="O161" s="6">
        <f t="shared" si="25"/>
        <v>0</v>
      </c>
      <c r="Q161" s="6"/>
      <c r="R161" s="13">
        <f t="shared" si="31"/>
        <v>-5.0994853702385004E-3</v>
      </c>
      <c r="S161" s="13">
        <f t="shared" si="31"/>
        <v>-9.0931111744244463E-3</v>
      </c>
      <c r="T161" s="13">
        <f t="shared" si="31"/>
        <v>-7.8327468501705119E-3</v>
      </c>
      <c r="U161" s="13">
        <f t="shared" si="31"/>
        <v>-2.4692348868620524E-3</v>
      </c>
      <c r="V161" s="13">
        <f t="shared" si="31"/>
        <v>-1.2606162759215105E-2</v>
      </c>
      <c r="W161" s="13"/>
      <c r="X161" s="52"/>
      <c r="Y161" s="13">
        <f t="shared" si="26"/>
        <v>-4.9043056684808586E-3</v>
      </c>
      <c r="Z161" s="13">
        <f t="shared" si="27"/>
        <v>-8.8979314726668046E-3</v>
      </c>
      <c r="AA161" s="13">
        <f t="shared" si="28"/>
        <v>-7.637567148412871E-3</v>
      </c>
      <c r="AB161" s="13">
        <f t="shared" si="29"/>
        <v>-2.2740551851044106E-3</v>
      </c>
      <c r="AC161" s="13">
        <f t="shared" si="30"/>
        <v>-1.2410983057457463E-2</v>
      </c>
      <c r="AD161" s="52"/>
      <c r="AL161" s="38"/>
    </row>
    <row r="162" spans="1:38" x14ac:dyDescent="0.2">
      <c r="A162" s="43">
        <v>45387</v>
      </c>
      <c r="B162" s="19">
        <v>169.154495</v>
      </c>
      <c r="C162" s="19">
        <v>59.051796000000003</v>
      </c>
      <c r="D162" s="19">
        <v>196.36193800000001</v>
      </c>
      <c r="E162" s="19">
        <v>16.885818</v>
      </c>
      <c r="F162" s="44">
        <v>5204.34</v>
      </c>
      <c r="G162" s="45">
        <v>4.99E-2</v>
      </c>
      <c r="H162" s="37">
        <f t="shared" si="23"/>
        <v>1.9479865694971288E-4</v>
      </c>
      <c r="J162" s="6">
        <f t="shared" si="24"/>
        <v>4.4916084303433098E-3</v>
      </c>
      <c r="K162" s="6">
        <f t="shared" si="24"/>
        <v>3.5350412795235415E-3</v>
      </c>
      <c r="L162" s="6">
        <f t="shared" si="24"/>
        <v>9.1580546261534317E-3</v>
      </c>
      <c r="M162" s="6">
        <f t="shared" si="24"/>
        <v>-8.5739149328683574E-3</v>
      </c>
      <c r="N162" s="6">
        <f t="shared" si="24"/>
        <v>1.1038072569656417E-2</v>
      </c>
      <c r="O162" s="6">
        <f t="shared" si="25"/>
        <v>-1.9541849986461348E-3</v>
      </c>
      <c r="Q162" s="6"/>
      <c r="R162" s="13">
        <f t="shared" si="31"/>
        <v>4.296809773393597E-3</v>
      </c>
      <c r="S162" s="13">
        <f t="shared" si="31"/>
        <v>3.3402426225738286E-3</v>
      </c>
      <c r="T162" s="13">
        <f t="shared" si="31"/>
        <v>8.9632559692037189E-3</v>
      </c>
      <c r="U162" s="13">
        <f t="shared" si="31"/>
        <v>-8.7687135898180703E-3</v>
      </c>
      <c r="V162" s="13">
        <f t="shared" si="31"/>
        <v>1.0843273912706704E-2</v>
      </c>
      <c r="W162" s="13"/>
      <c r="X162" s="52"/>
      <c r="Y162" s="13" t="str">
        <f t="shared" si="26"/>
        <v/>
      </c>
      <c r="Z162" s="13" t="str">
        <f t="shared" si="27"/>
        <v/>
      </c>
      <c r="AA162" s="13" t="str">
        <f t="shared" si="28"/>
        <v/>
      </c>
      <c r="AB162" s="13">
        <f t="shared" si="29"/>
        <v>-6.6197299342222226E-3</v>
      </c>
      <c r="AC162" s="13" t="str">
        <f t="shared" si="30"/>
        <v/>
      </c>
      <c r="AD162" s="52"/>
      <c r="AL162" s="38"/>
    </row>
    <row r="163" spans="1:38" x14ac:dyDescent="0.2">
      <c r="A163" s="43">
        <v>45390</v>
      </c>
      <c r="B163" s="19">
        <v>168.027344</v>
      </c>
      <c r="C163" s="19">
        <v>58.813643999999996</v>
      </c>
      <c r="D163" s="19">
        <v>197.38626099999999</v>
      </c>
      <c r="E163" s="19">
        <v>16.721031</v>
      </c>
      <c r="F163" s="44">
        <v>5202.3900000000003</v>
      </c>
      <c r="G163" s="45">
        <v>5.0300000000000004E-2</v>
      </c>
      <c r="H163" s="37">
        <f t="shared" si="23"/>
        <v>1.9632261934998674E-4</v>
      </c>
      <c r="J163" s="6">
        <f t="shared" ref="J163:N194" si="32">LN(B163/B162)</f>
        <v>-6.685740856598745E-3</v>
      </c>
      <c r="K163" s="6">
        <f t="shared" si="32"/>
        <v>-4.0410882798711488E-3</v>
      </c>
      <c r="L163" s="6">
        <f t="shared" si="32"/>
        <v>5.202946011474462E-3</v>
      </c>
      <c r="M163" s="6">
        <f t="shared" si="32"/>
        <v>-9.8068295948848475E-3</v>
      </c>
      <c r="N163" s="6">
        <f t="shared" si="32"/>
        <v>-3.747574930495873E-4</v>
      </c>
      <c r="O163" s="6">
        <f t="shared" si="25"/>
        <v>7.7928264448712302E-3</v>
      </c>
      <c r="Q163" s="6"/>
      <c r="R163" s="13">
        <f t="shared" si="31"/>
        <v>-6.8820634759487317E-3</v>
      </c>
      <c r="S163" s="13">
        <f t="shared" si="31"/>
        <v>-4.2374108992211355E-3</v>
      </c>
      <c r="T163" s="13">
        <f t="shared" si="31"/>
        <v>5.0066233921244752E-3</v>
      </c>
      <c r="U163" s="13">
        <f t="shared" si="31"/>
        <v>-1.0003152214234834E-2</v>
      </c>
      <c r="V163" s="13">
        <f t="shared" si="31"/>
        <v>-5.7108011239957409E-4</v>
      </c>
      <c r="W163" s="13"/>
      <c r="X163" s="52"/>
      <c r="Y163" s="13">
        <f t="shared" si="26"/>
        <v>-1.4478567301469975E-2</v>
      </c>
      <c r="Z163" s="13">
        <f t="shared" si="27"/>
        <v>-1.1833914724742378E-2</v>
      </c>
      <c r="AA163" s="13">
        <f t="shared" si="28"/>
        <v>-2.5898804333967683E-3</v>
      </c>
      <c r="AB163" s="13">
        <f t="shared" si="29"/>
        <v>-1.7599656039756079E-2</v>
      </c>
      <c r="AC163" s="13">
        <f t="shared" si="30"/>
        <v>-8.1675839379208182E-3</v>
      </c>
      <c r="AD163" s="52"/>
      <c r="AL163" s="38"/>
    </row>
    <row r="164" spans="1:38" x14ac:dyDescent="0.2">
      <c r="A164" s="43">
        <v>45391</v>
      </c>
      <c r="B164" s="19">
        <v>169.24427800000001</v>
      </c>
      <c r="C164" s="19">
        <v>59.260181000000003</v>
      </c>
      <c r="D164" s="19">
        <v>196.06358299999999</v>
      </c>
      <c r="E164" s="19">
        <v>16.650095</v>
      </c>
      <c r="F164" s="44">
        <v>5209.91</v>
      </c>
      <c r="G164" s="45">
        <v>5.0300000000000004E-2</v>
      </c>
      <c r="H164" s="37">
        <f t="shared" si="23"/>
        <v>1.9632261934998674E-4</v>
      </c>
      <c r="J164" s="6">
        <f t="shared" si="32"/>
        <v>7.2163751807764352E-3</v>
      </c>
      <c r="K164" s="6">
        <f t="shared" si="32"/>
        <v>7.5637276739742845E-3</v>
      </c>
      <c r="L164" s="6">
        <f t="shared" si="32"/>
        <v>-6.7235150953914692E-3</v>
      </c>
      <c r="M164" s="6">
        <f t="shared" si="32"/>
        <v>-4.2513463190354973E-3</v>
      </c>
      <c r="N164" s="6">
        <f t="shared" si="32"/>
        <v>1.4444457627020377E-3</v>
      </c>
      <c r="O164" s="6">
        <f t="shared" si="25"/>
        <v>0</v>
      </c>
      <c r="Q164" s="6"/>
      <c r="R164" s="13">
        <f t="shared" si="31"/>
        <v>7.0200525614264484E-3</v>
      </c>
      <c r="S164" s="13">
        <f t="shared" si="31"/>
        <v>7.3674050546242978E-3</v>
      </c>
      <c r="T164" s="13">
        <f t="shared" si="31"/>
        <v>-6.919837714741456E-3</v>
      </c>
      <c r="U164" s="13">
        <f t="shared" si="31"/>
        <v>-4.447668938385484E-3</v>
      </c>
      <c r="V164" s="13">
        <f t="shared" si="31"/>
        <v>1.248123143352051E-3</v>
      </c>
      <c r="W164" s="13"/>
      <c r="X164" s="52"/>
      <c r="Y164" s="13" t="str">
        <f t="shared" si="26"/>
        <v/>
      </c>
      <c r="Z164" s="13" t="str">
        <f t="shared" si="27"/>
        <v/>
      </c>
      <c r="AA164" s="13">
        <f t="shared" si="28"/>
        <v>-6.7235150953914692E-3</v>
      </c>
      <c r="AB164" s="13">
        <f t="shared" si="29"/>
        <v>-4.2513463190354973E-3</v>
      </c>
      <c r="AC164" s="13" t="str">
        <f t="shared" si="30"/>
        <v/>
      </c>
      <c r="AD164" s="52"/>
      <c r="AL164" s="38"/>
    </row>
    <row r="165" spans="1:38" x14ac:dyDescent="0.2">
      <c r="A165" s="43">
        <v>45392</v>
      </c>
      <c r="B165" s="19">
        <v>167.35902400000001</v>
      </c>
      <c r="C165" s="19">
        <v>58.466338999999998</v>
      </c>
      <c r="D165" s="19">
        <v>194.392853</v>
      </c>
      <c r="E165" s="19">
        <v>16.482609</v>
      </c>
      <c r="F165" s="44">
        <v>5160.6400000000003</v>
      </c>
      <c r="G165" s="45">
        <v>5.0599999999999999E-2</v>
      </c>
      <c r="H165" s="37">
        <f t="shared" si="23"/>
        <v>1.9746521183972021E-4</v>
      </c>
      <c r="J165" s="6">
        <f t="shared" si="32"/>
        <v>-1.120175412492392E-2</v>
      </c>
      <c r="K165" s="6">
        <f t="shared" si="32"/>
        <v>-1.348640955626019E-2</v>
      </c>
      <c r="L165" s="6">
        <f t="shared" si="32"/>
        <v>-8.557882737226321E-3</v>
      </c>
      <c r="M165" s="6">
        <f t="shared" si="32"/>
        <v>-1.0110097057956752E-2</v>
      </c>
      <c r="N165" s="6">
        <f t="shared" si="32"/>
        <v>-9.5019783338873547E-3</v>
      </c>
      <c r="O165" s="6">
        <f t="shared" si="25"/>
        <v>5.8031031216765087E-3</v>
      </c>
      <c r="Q165" s="6"/>
      <c r="R165" s="13">
        <f t="shared" si="31"/>
        <v>-1.139921933676364E-2</v>
      </c>
      <c r="S165" s="13">
        <f t="shared" si="31"/>
        <v>-1.368387476809991E-2</v>
      </c>
      <c r="T165" s="13">
        <f t="shared" si="31"/>
        <v>-8.7553479490660412E-3</v>
      </c>
      <c r="U165" s="13">
        <f t="shared" si="31"/>
        <v>-1.0307562269796473E-2</v>
      </c>
      <c r="V165" s="13">
        <f t="shared" si="31"/>
        <v>-9.6994435457270749E-3</v>
      </c>
      <c r="W165" s="13"/>
      <c r="X165" s="52"/>
      <c r="Y165" s="13">
        <f t="shared" si="26"/>
        <v>-1.7004857246600429E-2</v>
      </c>
      <c r="Z165" s="13">
        <f t="shared" si="27"/>
        <v>-1.9289512677936698E-2</v>
      </c>
      <c r="AA165" s="13">
        <f t="shared" si="28"/>
        <v>-1.4360985858902831E-2</v>
      </c>
      <c r="AB165" s="13">
        <f t="shared" si="29"/>
        <v>-1.5913200179633262E-2</v>
      </c>
      <c r="AC165" s="13">
        <f t="shared" si="30"/>
        <v>-1.5305081455563863E-2</v>
      </c>
      <c r="AD165" s="52"/>
      <c r="AL165" s="38"/>
    </row>
    <row r="166" spans="1:38" x14ac:dyDescent="0.2">
      <c r="A166" s="43">
        <v>45393</v>
      </c>
      <c r="B166" s="19">
        <v>174.60079999999999</v>
      </c>
      <c r="C166" s="19">
        <v>58.595337000000001</v>
      </c>
      <c r="D166" s="19">
        <v>194.353058</v>
      </c>
      <c r="E166" s="19">
        <v>16.177192999999999</v>
      </c>
      <c r="F166" s="44">
        <v>5199.0600000000004</v>
      </c>
      <c r="G166" s="45">
        <v>5.0499999999999996E-2</v>
      </c>
      <c r="H166" s="37">
        <f t="shared" si="23"/>
        <v>1.970843837875158E-4</v>
      </c>
      <c r="J166" s="6">
        <f t="shared" si="32"/>
        <v>4.236087617690229E-2</v>
      </c>
      <c r="K166" s="6">
        <f t="shared" si="32"/>
        <v>2.2039331166826617E-3</v>
      </c>
      <c r="L166" s="6">
        <f t="shared" si="32"/>
        <v>-2.0473527315899678E-4</v>
      </c>
      <c r="M166" s="6">
        <f t="shared" si="32"/>
        <v>-1.8703414262897906E-2</v>
      </c>
      <c r="N166" s="6">
        <f t="shared" si="32"/>
        <v>7.4172372058720279E-3</v>
      </c>
      <c r="O166" s="6">
        <f t="shared" si="25"/>
        <v>-1.9304451186457814E-3</v>
      </c>
      <c r="Q166" s="6"/>
      <c r="R166" s="13">
        <f t="shared" si="31"/>
        <v>4.2163791793114774E-2</v>
      </c>
      <c r="S166" s="13">
        <f t="shared" si="31"/>
        <v>2.0068487328951459E-3</v>
      </c>
      <c r="T166" s="13">
        <f t="shared" si="31"/>
        <v>-4.0181965694651258E-4</v>
      </c>
      <c r="U166" s="13">
        <f t="shared" si="31"/>
        <v>-1.8900498646685422E-2</v>
      </c>
      <c r="V166" s="13">
        <f t="shared" si="31"/>
        <v>7.2201528220845121E-3</v>
      </c>
      <c r="W166" s="13"/>
      <c r="X166" s="52"/>
      <c r="Y166" s="13" t="str">
        <f t="shared" si="26"/>
        <v/>
      </c>
      <c r="Z166" s="13" t="str">
        <f t="shared" si="27"/>
        <v/>
      </c>
      <c r="AA166" s="13" t="str">
        <f t="shared" si="28"/>
        <v/>
      </c>
      <c r="AB166" s="13">
        <f t="shared" si="29"/>
        <v>-1.6772969144252126E-2</v>
      </c>
      <c r="AC166" s="13" t="str">
        <f t="shared" si="30"/>
        <v/>
      </c>
      <c r="AD166" s="52"/>
      <c r="AL166" s="38"/>
    </row>
    <row r="167" spans="1:38" x14ac:dyDescent="0.2">
      <c r="A167" s="43">
        <v>45394</v>
      </c>
      <c r="B167" s="19">
        <v>176.10702499999999</v>
      </c>
      <c r="C167" s="19">
        <v>57.831263999999997</v>
      </c>
      <c r="D167" s="19">
        <v>181.782715</v>
      </c>
      <c r="E167" s="19">
        <v>16.068819000000001</v>
      </c>
      <c r="F167" s="44">
        <v>5123.41</v>
      </c>
      <c r="G167" s="45">
        <v>5.0300000000000004E-2</v>
      </c>
      <c r="H167" s="37">
        <f t="shared" si="23"/>
        <v>1.9632261934998674E-4</v>
      </c>
      <c r="J167" s="6">
        <f t="shared" si="32"/>
        <v>8.5896815167550832E-3</v>
      </c>
      <c r="K167" s="6">
        <f t="shared" si="32"/>
        <v>-1.3125590939175541E-2</v>
      </c>
      <c r="L167" s="6">
        <f t="shared" si="32"/>
        <v>-6.6864291458487934E-2</v>
      </c>
      <c r="M167" s="6">
        <f t="shared" si="32"/>
        <v>-6.7217247231749887E-3</v>
      </c>
      <c r="N167" s="6">
        <f t="shared" si="32"/>
        <v>-1.4657607029448559E-2</v>
      </c>
      <c r="O167" s="6">
        <f t="shared" si="25"/>
        <v>-3.8726580030308149E-3</v>
      </c>
      <c r="Q167" s="6"/>
      <c r="R167" s="13">
        <f t="shared" si="31"/>
        <v>8.3933588974050965E-3</v>
      </c>
      <c r="S167" s="13">
        <f t="shared" si="31"/>
        <v>-1.3321913558525527E-2</v>
      </c>
      <c r="T167" s="13">
        <f t="shared" si="31"/>
        <v>-6.7060614077837921E-2</v>
      </c>
      <c r="U167" s="13">
        <f t="shared" si="31"/>
        <v>-6.9180473425249755E-3</v>
      </c>
      <c r="V167" s="13">
        <f t="shared" si="31"/>
        <v>-1.4853929648798546E-2</v>
      </c>
      <c r="W167" s="13"/>
      <c r="X167" s="52"/>
      <c r="Y167" s="13" t="str">
        <f t="shared" si="26"/>
        <v/>
      </c>
      <c r="Z167" s="13">
        <f t="shared" si="27"/>
        <v>-9.2529329361447261E-3</v>
      </c>
      <c r="AA167" s="13">
        <f t="shared" si="28"/>
        <v>-6.2991633455457122E-2</v>
      </c>
      <c r="AB167" s="13">
        <f t="shared" si="29"/>
        <v>-2.8490667201441738E-3</v>
      </c>
      <c r="AC167" s="13">
        <f t="shared" si="30"/>
        <v>-1.0784949026417745E-2</v>
      </c>
      <c r="AD167" s="52"/>
      <c r="AL167" s="38"/>
    </row>
    <row r="168" spans="1:38" x14ac:dyDescent="0.2">
      <c r="A168" s="43">
        <v>45397</v>
      </c>
      <c r="B168" s="19">
        <v>172.256699</v>
      </c>
      <c r="C168" s="19">
        <v>57.692345000000003</v>
      </c>
      <c r="D168" s="19">
        <v>181.882172</v>
      </c>
      <c r="E168" s="19">
        <v>15.999855</v>
      </c>
      <c r="F168" s="44">
        <v>5061.82</v>
      </c>
      <c r="G168" s="45">
        <v>0.05</v>
      </c>
      <c r="H168" s="37">
        <f t="shared" si="23"/>
        <v>1.9517970175764177E-4</v>
      </c>
      <c r="J168" s="6">
        <f t="shared" si="32"/>
        <v>-2.2106106529132866E-2</v>
      </c>
      <c r="K168" s="6">
        <f t="shared" si="32"/>
        <v>-2.4050333635455131E-3</v>
      </c>
      <c r="L168" s="6">
        <f t="shared" si="32"/>
        <v>5.4697060967347623E-4</v>
      </c>
      <c r="M168" s="6">
        <f t="shared" si="32"/>
        <v>-4.3010263731349009E-3</v>
      </c>
      <c r="N168" s="6">
        <f t="shared" si="32"/>
        <v>-1.2094130563305876E-2</v>
      </c>
      <c r="O168" s="6">
        <f t="shared" si="25"/>
        <v>-5.8386414462252264E-3</v>
      </c>
      <c r="Q168" s="6"/>
      <c r="R168" s="13">
        <f t="shared" si="31"/>
        <v>-2.2301286230890508E-2</v>
      </c>
      <c r="S168" s="13">
        <f t="shared" si="31"/>
        <v>-2.6002130653031549E-3</v>
      </c>
      <c r="T168" s="13">
        <f t="shared" si="31"/>
        <v>3.5179090791583446E-4</v>
      </c>
      <c r="U168" s="13">
        <f t="shared" si="31"/>
        <v>-4.4962060748925427E-3</v>
      </c>
      <c r="V168" s="13">
        <f t="shared" si="31"/>
        <v>-1.2289310265063517E-2</v>
      </c>
      <c r="W168" s="13"/>
      <c r="X168" s="52"/>
      <c r="Y168" s="13">
        <f t="shared" si="26"/>
        <v>-1.6267465082907641E-2</v>
      </c>
      <c r="Z168" s="13" t="str">
        <f t="shared" si="27"/>
        <v/>
      </c>
      <c r="AA168" s="13" t="str">
        <f t="shared" si="28"/>
        <v/>
      </c>
      <c r="AB168" s="13" t="str">
        <f t="shared" si="29"/>
        <v/>
      </c>
      <c r="AC168" s="13">
        <f t="shared" si="30"/>
        <v>-6.2554891170806494E-3</v>
      </c>
      <c r="AD168" s="52"/>
      <c r="AL168" s="38"/>
    </row>
    <row r="169" spans="1:38" x14ac:dyDescent="0.2">
      <c r="A169" s="43">
        <v>45398</v>
      </c>
      <c r="B169" s="19">
        <v>168.955017</v>
      </c>
      <c r="C169" s="19">
        <v>57.612960999999999</v>
      </c>
      <c r="D169" s="19">
        <v>179.803696</v>
      </c>
      <c r="E169" s="19">
        <v>15.852073000000001</v>
      </c>
      <c r="F169" s="44">
        <v>5051.41</v>
      </c>
      <c r="G169" s="45">
        <v>5.0499999999999996E-2</v>
      </c>
      <c r="H169" s="37">
        <f t="shared" si="23"/>
        <v>1.970843837875158E-4</v>
      </c>
      <c r="J169" s="6">
        <f t="shared" si="32"/>
        <v>-1.9353292388622649E-2</v>
      </c>
      <c r="K169" s="6">
        <f t="shared" si="32"/>
        <v>-1.3769359849297128E-3</v>
      </c>
      <c r="L169" s="6">
        <f t="shared" si="32"/>
        <v>-1.1493392825475091E-2</v>
      </c>
      <c r="M169" s="6">
        <f t="shared" si="32"/>
        <v>-9.2793792839827582E-3</v>
      </c>
      <c r="N169" s="6">
        <f t="shared" si="32"/>
        <v>-2.0586901863485071E-3</v>
      </c>
      <c r="O169" s="6">
        <f t="shared" si="25"/>
        <v>9.7112994492560816E-3</v>
      </c>
      <c r="Q169" s="6"/>
      <c r="R169" s="13">
        <f t="shared" si="31"/>
        <v>-1.9550376772410165E-2</v>
      </c>
      <c r="S169" s="13">
        <f t="shared" si="31"/>
        <v>-1.5740203687172286E-3</v>
      </c>
      <c r="T169" s="13">
        <f t="shared" si="31"/>
        <v>-1.1690477209262607E-2</v>
      </c>
      <c r="U169" s="13">
        <f t="shared" si="31"/>
        <v>-9.476463667770274E-3</v>
      </c>
      <c r="V169" s="13">
        <f t="shared" si="31"/>
        <v>-2.2557745701360229E-3</v>
      </c>
      <c r="W169" s="13"/>
      <c r="X169" s="52"/>
      <c r="Y169" s="13">
        <f t="shared" si="26"/>
        <v>-2.9064591837878732E-2</v>
      </c>
      <c r="Z169" s="13">
        <f t="shared" si="27"/>
        <v>-1.1088235434185795E-2</v>
      </c>
      <c r="AA169" s="13">
        <f t="shared" si="28"/>
        <v>-2.1204692274731173E-2</v>
      </c>
      <c r="AB169" s="13">
        <f t="shared" si="29"/>
        <v>-1.8990678733238842E-2</v>
      </c>
      <c r="AC169" s="13">
        <f t="shared" si="30"/>
        <v>-1.1769989635604588E-2</v>
      </c>
      <c r="AD169" s="52"/>
      <c r="AL169" s="38"/>
    </row>
    <row r="170" spans="1:38" x14ac:dyDescent="0.2">
      <c r="A170" s="43">
        <v>45399</v>
      </c>
      <c r="B170" s="19">
        <v>167.57847599999999</v>
      </c>
      <c r="C170" s="19">
        <v>58.059494000000001</v>
      </c>
      <c r="D170" s="19">
        <v>179.08766199999999</v>
      </c>
      <c r="E170" s="19">
        <v>15.881629999999999</v>
      </c>
      <c r="F170" s="44">
        <v>5022.21</v>
      </c>
      <c r="G170" s="45">
        <v>5.0700000000000002E-2</v>
      </c>
      <c r="H170" s="37">
        <f t="shared" si="23"/>
        <v>1.9784600378991435E-4</v>
      </c>
      <c r="J170" s="6">
        <f t="shared" si="32"/>
        <v>-8.1807529156866562E-3</v>
      </c>
      <c r="K170" s="6">
        <f t="shared" si="32"/>
        <v>7.7206836858722564E-3</v>
      </c>
      <c r="L170" s="6">
        <f t="shared" si="32"/>
        <v>-3.9902601949420831E-3</v>
      </c>
      <c r="M170" s="6">
        <f t="shared" si="32"/>
        <v>1.8628149729069926E-3</v>
      </c>
      <c r="N170" s="6">
        <f t="shared" si="32"/>
        <v>-5.797336366096615E-3</v>
      </c>
      <c r="O170" s="6">
        <f t="shared" si="25"/>
        <v>3.8569883226659335E-3</v>
      </c>
      <c r="Q170" s="6"/>
      <c r="R170" s="13">
        <f t="shared" si="31"/>
        <v>-8.3785989194765705E-3</v>
      </c>
      <c r="S170" s="13">
        <f t="shared" si="31"/>
        <v>7.5228376820823421E-3</v>
      </c>
      <c r="T170" s="13">
        <f t="shared" si="31"/>
        <v>-4.1881061987319975E-3</v>
      </c>
      <c r="U170" s="13">
        <f t="shared" si="31"/>
        <v>1.6649689691170782E-3</v>
      </c>
      <c r="V170" s="13">
        <f t="shared" si="31"/>
        <v>-5.9951823698865293E-3</v>
      </c>
      <c r="W170" s="13"/>
      <c r="X170" s="52"/>
      <c r="Y170" s="13">
        <f t="shared" si="26"/>
        <v>-1.2037741238352589E-2</v>
      </c>
      <c r="Z170" s="13" t="str">
        <f t="shared" si="27"/>
        <v/>
      </c>
      <c r="AA170" s="13">
        <f t="shared" si="28"/>
        <v>-7.8472485176080166E-3</v>
      </c>
      <c r="AB170" s="13">
        <f t="shared" si="29"/>
        <v>-1.9941733497589407E-3</v>
      </c>
      <c r="AC170" s="13">
        <f t="shared" si="30"/>
        <v>-9.6543246887625493E-3</v>
      </c>
      <c r="AD170" s="52"/>
      <c r="AL170" s="38"/>
    </row>
    <row r="171" spans="1:38" x14ac:dyDescent="0.2">
      <c r="A171" s="43">
        <v>45400</v>
      </c>
      <c r="B171" s="19">
        <v>166.62088</v>
      </c>
      <c r="C171" s="19">
        <v>58.456417000000002</v>
      </c>
      <c r="D171" s="19">
        <v>180.251205</v>
      </c>
      <c r="E171" s="19">
        <v>16.088524</v>
      </c>
      <c r="F171" s="44">
        <v>5011.12</v>
      </c>
      <c r="G171" s="45">
        <v>5.0300000000000004E-2</v>
      </c>
      <c r="H171" s="37">
        <f t="shared" si="23"/>
        <v>1.9632261934998674E-4</v>
      </c>
      <c r="J171" s="6">
        <f t="shared" si="32"/>
        <v>-5.7307029681765223E-3</v>
      </c>
      <c r="K171" s="6">
        <f t="shared" si="32"/>
        <v>6.8132245978021052E-3</v>
      </c>
      <c r="L171" s="6">
        <f t="shared" si="32"/>
        <v>6.4760434973849422E-3</v>
      </c>
      <c r="M171" s="6">
        <f t="shared" si="32"/>
        <v>1.2943127412559438E-2</v>
      </c>
      <c r="N171" s="6">
        <f t="shared" si="32"/>
        <v>-2.2106328639260849E-3</v>
      </c>
      <c r="O171" s="6">
        <f t="shared" si="25"/>
        <v>-7.7296463256966716E-3</v>
      </c>
      <c r="Q171" s="6"/>
      <c r="R171" s="13">
        <f t="shared" si="31"/>
        <v>-5.927025587526509E-3</v>
      </c>
      <c r="S171" s="13">
        <f t="shared" si="31"/>
        <v>6.6169019784521185E-3</v>
      </c>
      <c r="T171" s="13">
        <f t="shared" si="31"/>
        <v>6.2797208780349554E-3</v>
      </c>
      <c r="U171" s="13">
        <f t="shared" si="31"/>
        <v>1.2746804793209452E-2</v>
      </c>
      <c r="V171" s="13">
        <f t="shared" si="31"/>
        <v>-2.4069554832760716E-3</v>
      </c>
      <c r="W171" s="13"/>
      <c r="X171" s="52"/>
      <c r="Y171" s="13" t="str">
        <f t="shared" si="26"/>
        <v/>
      </c>
      <c r="Z171" s="13" t="str">
        <f t="shared" si="27"/>
        <v/>
      </c>
      <c r="AA171" s="13" t="str">
        <f t="shared" si="28"/>
        <v/>
      </c>
      <c r="AB171" s="13" t="str">
        <f t="shared" si="29"/>
        <v/>
      </c>
      <c r="AC171" s="13" t="str">
        <f t="shared" si="30"/>
        <v/>
      </c>
      <c r="AD171" s="52"/>
      <c r="AL171" s="38"/>
    </row>
    <row r="172" spans="1:38" x14ac:dyDescent="0.2">
      <c r="A172" s="43">
        <v>45401</v>
      </c>
      <c r="B172" s="19">
        <v>164.58599899999999</v>
      </c>
      <c r="C172" s="19">
        <v>59.706710999999999</v>
      </c>
      <c r="D172" s="19">
        <v>184.776138</v>
      </c>
      <c r="E172" s="19">
        <v>16.265863</v>
      </c>
      <c r="F172" s="44">
        <v>4967.2299999999996</v>
      </c>
      <c r="G172" s="45">
        <v>5.1900000000000002E-2</v>
      </c>
      <c r="H172" s="37">
        <f t="shared" si="23"/>
        <v>2.0241269373766357E-4</v>
      </c>
      <c r="J172" s="6">
        <f t="shared" si="32"/>
        <v>-1.2287828139873455E-2</v>
      </c>
      <c r="K172" s="6">
        <f t="shared" si="32"/>
        <v>2.1162958107073866E-2</v>
      </c>
      <c r="L172" s="6">
        <f t="shared" si="32"/>
        <v>2.4793566191605932E-2</v>
      </c>
      <c r="M172" s="6">
        <f t="shared" si="32"/>
        <v>1.0962394432582713E-2</v>
      </c>
      <c r="N172" s="6">
        <f t="shared" si="32"/>
        <v>-8.7971023365461913E-3</v>
      </c>
      <c r="O172" s="6">
        <f t="shared" si="25"/>
        <v>3.0549328421036113E-2</v>
      </c>
      <c r="Q172" s="6"/>
      <c r="R172" s="13">
        <f t="shared" si="31"/>
        <v>-1.2490240833611119E-2</v>
      </c>
      <c r="S172" s="13">
        <f t="shared" si="31"/>
        <v>2.0960545413336203E-2</v>
      </c>
      <c r="T172" s="13">
        <f t="shared" si="31"/>
        <v>2.4591153497868268E-2</v>
      </c>
      <c r="U172" s="13">
        <f t="shared" si="31"/>
        <v>1.0759981738845049E-2</v>
      </c>
      <c r="V172" s="13">
        <f t="shared" si="31"/>
        <v>-8.9995150302838549E-3</v>
      </c>
      <c r="W172" s="13"/>
      <c r="X172" s="52"/>
      <c r="Y172" s="13">
        <f t="shared" si="26"/>
        <v>-4.283715656090957E-2</v>
      </c>
      <c r="Z172" s="13">
        <f t="shared" si="27"/>
        <v>-9.3863703139622466E-3</v>
      </c>
      <c r="AA172" s="13">
        <f t="shared" si="28"/>
        <v>-5.7557622294301808E-3</v>
      </c>
      <c r="AB172" s="13">
        <f t="shared" si="29"/>
        <v>-1.95869339884534E-2</v>
      </c>
      <c r="AC172" s="13">
        <f t="shared" si="30"/>
        <v>-3.9346430757582304E-2</v>
      </c>
      <c r="AD172" s="52"/>
      <c r="AL172" s="38"/>
    </row>
    <row r="173" spans="1:38" x14ac:dyDescent="0.2">
      <c r="A173" s="43">
        <v>45404</v>
      </c>
      <c r="B173" s="19">
        <v>165.42387400000001</v>
      </c>
      <c r="C173" s="19">
        <v>60.08379</v>
      </c>
      <c r="D173" s="19">
        <v>188.366241</v>
      </c>
      <c r="E173" s="19">
        <v>16.068819000000001</v>
      </c>
      <c r="F173" s="44">
        <v>5010.6000000000004</v>
      </c>
      <c r="G173" s="45">
        <v>5.1699999999999996E-2</v>
      </c>
      <c r="H173" s="37">
        <f t="shared" si="23"/>
        <v>2.0165193919474689E-4</v>
      </c>
      <c r="J173" s="6">
        <f t="shared" si="32"/>
        <v>5.07788929321121E-3</v>
      </c>
      <c r="K173" s="6">
        <f t="shared" si="32"/>
        <v>6.2956618817539729E-3</v>
      </c>
      <c r="L173" s="6">
        <f t="shared" si="32"/>
        <v>1.9243130694284457E-2</v>
      </c>
      <c r="M173" s="6">
        <f t="shared" si="32"/>
        <v>-1.2187931160931781E-2</v>
      </c>
      <c r="N173" s="6">
        <f t="shared" si="32"/>
        <v>8.6933277348877659E-3</v>
      </c>
      <c r="O173" s="6">
        <f t="shared" si="25"/>
        <v>-3.7655136322931222E-3</v>
      </c>
      <c r="Q173" s="6"/>
      <c r="R173" s="13">
        <f t="shared" si="31"/>
        <v>4.8762373540164631E-3</v>
      </c>
      <c r="S173" s="13">
        <f t="shared" si="31"/>
        <v>6.094009942559226E-3</v>
      </c>
      <c r="T173" s="13">
        <f t="shared" si="31"/>
        <v>1.904147875508971E-2</v>
      </c>
      <c r="U173" s="13">
        <f t="shared" si="31"/>
        <v>-1.2389583100126528E-2</v>
      </c>
      <c r="V173" s="13">
        <f t="shared" si="31"/>
        <v>8.491675795693019E-3</v>
      </c>
      <c r="W173" s="13"/>
      <c r="X173" s="52"/>
      <c r="Y173" s="13" t="str">
        <f t="shared" si="26"/>
        <v/>
      </c>
      <c r="Z173" s="13" t="str">
        <f t="shared" si="27"/>
        <v/>
      </c>
      <c r="AA173" s="13" t="str">
        <f t="shared" si="28"/>
        <v/>
      </c>
      <c r="AB173" s="13">
        <f t="shared" si="29"/>
        <v>-8.4224175286386586E-3</v>
      </c>
      <c r="AC173" s="13" t="str">
        <f t="shared" si="30"/>
        <v/>
      </c>
      <c r="AD173" s="52"/>
      <c r="AL173" s="38"/>
    </row>
    <row r="174" spans="1:38" x14ac:dyDescent="0.2">
      <c r="A174" s="43">
        <v>45405</v>
      </c>
      <c r="B174" s="19">
        <v>166.48121599999999</v>
      </c>
      <c r="C174" s="19">
        <v>60.173096000000001</v>
      </c>
      <c r="D174" s="19">
        <v>191.08119199999999</v>
      </c>
      <c r="E174" s="19">
        <v>16.25601</v>
      </c>
      <c r="F174" s="44">
        <v>5070.55</v>
      </c>
      <c r="G174" s="45">
        <v>5.1299999999999998E-2</v>
      </c>
      <c r="H174" s="37">
        <f t="shared" si="23"/>
        <v>2.0012999773522111E-4</v>
      </c>
      <c r="J174" s="6">
        <f t="shared" si="32"/>
        <v>6.3713730744178647E-3</v>
      </c>
      <c r="K174" s="6">
        <f t="shared" si="32"/>
        <v>1.4852540987510795E-3</v>
      </c>
      <c r="L174" s="6">
        <f t="shared" si="32"/>
        <v>1.4310268539026554E-2</v>
      </c>
      <c r="M174" s="6">
        <f t="shared" si="32"/>
        <v>1.1582000481511069E-2</v>
      </c>
      <c r="N174" s="6">
        <f t="shared" si="32"/>
        <v>1.1893624576650831E-2</v>
      </c>
      <c r="O174" s="6">
        <f t="shared" si="25"/>
        <v>-7.5759938366260346E-3</v>
      </c>
      <c r="Q174" s="6"/>
      <c r="R174" s="13">
        <f t="shared" si="31"/>
        <v>6.1712430766826436E-3</v>
      </c>
      <c r="S174" s="13">
        <f t="shared" si="31"/>
        <v>1.2851241010158583E-3</v>
      </c>
      <c r="T174" s="13">
        <f t="shared" si="31"/>
        <v>1.4110138541291332E-2</v>
      </c>
      <c r="U174" s="13">
        <f t="shared" si="31"/>
        <v>1.1381870483775848E-2</v>
      </c>
      <c r="V174" s="13">
        <f t="shared" si="31"/>
        <v>1.169349457891561E-2</v>
      </c>
      <c r="W174" s="13"/>
      <c r="X174" s="52"/>
      <c r="Y174" s="13" t="str">
        <f t="shared" si="26"/>
        <v/>
      </c>
      <c r="Z174" s="13" t="str">
        <f t="shared" si="27"/>
        <v/>
      </c>
      <c r="AA174" s="13" t="str">
        <f t="shared" si="28"/>
        <v/>
      </c>
      <c r="AB174" s="13" t="str">
        <f t="shared" si="29"/>
        <v/>
      </c>
      <c r="AC174" s="13" t="str">
        <f t="shared" si="30"/>
        <v/>
      </c>
      <c r="AD174" s="52"/>
      <c r="AL174" s="38"/>
    </row>
    <row r="175" spans="1:38" x14ac:dyDescent="0.2">
      <c r="A175" s="43">
        <v>45406</v>
      </c>
      <c r="B175" s="19">
        <v>168.59591699999999</v>
      </c>
      <c r="C175" s="19">
        <v>61.076087999999999</v>
      </c>
      <c r="D175" s="19">
        <v>192.01602199999999</v>
      </c>
      <c r="E175" s="19">
        <v>16.561426000000001</v>
      </c>
      <c r="F175" s="44">
        <v>5071.63</v>
      </c>
      <c r="G175" s="45">
        <v>5.16E-2</v>
      </c>
      <c r="H175" s="37">
        <f t="shared" si="23"/>
        <v>2.0127150788695758E-4</v>
      </c>
      <c r="J175" s="6">
        <f t="shared" si="32"/>
        <v>1.2622341953280228E-2</v>
      </c>
      <c r="K175" s="6">
        <f t="shared" si="32"/>
        <v>1.4895089026447495E-2</v>
      </c>
      <c r="L175" s="6">
        <f t="shared" si="32"/>
        <v>4.8803897357337367E-3</v>
      </c>
      <c r="M175" s="6">
        <f t="shared" si="32"/>
        <v>1.8613569807513386E-2</v>
      </c>
      <c r="N175" s="6">
        <f t="shared" si="32"/>
        <v>2.1297196541228134E-4</v>
      </c>
      <c r="O175" s="6">
        <f t="shared" si="25"/>
        <v>5.6876380033150228E-3</v>
      </c>
      <c r="Q175" s="6"/>
      <c r="R175" s="13">
        <f t="shared" si="31"/>
        <v>1.242107044539327E-2</v>
      </c>
      <c r="S175" s="13">
        <f t="shared" si="31"/>
        <v>1.4693817518560538E-2</v>
      </c>
      <c r="T175" s="13">
        <f t="shared" si="31"/>
        <v>4.6791182278467791E-3</v>
      </c>
      <c r="U175" s="13">
        <f t="shared" si="31"/>
        <v>1.8412298299626428E-2</v>
      </c>
      <c r="V175" s="13">
        <f t="shared" si="31"/>
        <v>1.1700457525323766E-5</v>
      </c>
      <c r="W175" s="13"/>
      <c r="X175" s="52"/>
      <c r="Y175" s="13" t="str">
        <f t="shared" si="26"/>
        <v/>
      </c>
      <c r="Z175" s="13" t="str">
        <f t="shared" si="27"/>
        <v/>
      </c>
      <c r="AA175" s="13">
        <f t="shared" si="28"/>
        <v>-8.0724826758128611E-4</v>
      </c>
      <c r="AB175" s="13" t="str">
        <f t="shared" si="29"/>
        <v/>
      </c>
      <c r="AC175" s="13">
        <f t="shared" si="30"/>
        <v>-5.4746660379027413E-3</v>
      </c>
      <c r="AD175" s="52"/>
      <c r="AL175" s="38"/>
    </row>
    <row r="176" spans="1:38" x14ac:dyDescent="0.2">
      <c r="A176" s="43">
        <v>45407</v>
      </c>
      <c r="B176" s="19">
        <v>169.46373</v>
      </c>
      <c r="C176" s="19">
        <v>61.264628999999999</v>
      </c>
      <c r="D176" s="19">
        <v>192.30441300000001</v>
      </c>
      <c r="E176" s="19">
        <v>16.334827000000001</v>
      </c>
      <c r="F176" s="44">
        <v>5048.42</v>
      </c>
      <c r="G176" s="45">
        <v>5.1799999999999999E-2</v>
      </c>
      <c r="H176" s="37">
        <f t="shared" si="23"/>
        <v>2.0203233447624314E-4</v>
      </c>
      <c r="J176" s="6">
        <f t="shared" si="32"/>
        <v>5.1340934294748482E-3</v>
      </c>
      <c r="K176" s="6">
        <f t="shared" si="32"/>
        <v>3.082230575187468E-3</v>
      </c>
      <c r="L176" s="6">
        <f t="shared" si="32"/>
        <v>1.500784386497234E-3</v>
      </c>
      <c r="M176" s="6">
        <f t="shared" si="32"/>
        <v>-1.377680211997016E-2</v>
      </c>
      <c r="N176" s="6">
        <f t="shared" si="32"/>
        <v>-4.5869419014574458E-3</v>
      </c>
      <c r="O176" s="6">
        <f t="shared" si="25"/>
        <v>3.7729741793627114E-3</v>
      </c>
      <c r="Q176" s="6"/>
      <c r="R176" s="13">
        <f t="shared" si="31"/>
        <v>4.9320610949986051E-3</v>
      </c>
      <c r="S176" s="13">
        <f t="shared" si="31"/>
        <v>2.8801982407112249E-3</v>
      </c>
      <c r="T176" s="13">
        <f t="shared" si="31"/>
        <v>1.2987520520209908E-3</v>
      </c>
      <c r="U176" s="13">
        <f t="shared" si="31"/>
        <v>-1.3978834454446403E-2</v>
      </c>
      <c r="V176" s="13">
        <f t="shared" si="31"/>
        <v>-4.7889742359336889E-3</v>
      </c>
      <c r="W176" s="13"/>
      <c r="X176" s="52"/>
      <c r="Y176" s="13" t="str">
        <f t="shared" si="26"/>
        <v/>
      </c>
      <c r="Z176" s="13">
        <f t="shared" si="27"/>
        <v>-6.9074360417524343E-4</v>
      </c>
      <c r="AA176" s="13">
        <f t="shared" si="28"/>
        <v>-2.2721897928654772E-3</v>
      </c>
      <c r="AB176" s="13">
        <f t="shared" si="29"/>
        <v>-1.7549776299332871E-2</v>
      </c>
      <c r="AC176" s="13">
        <f t="shared" si="30"/>
        <v>-8.3599160808201581E-3</v>
      </c>
      <c r="AD176" s="52"/>
      <c r="AL176" s="38"/>
    </row>
    <row r="177" spans="1:38" x14ac:dyDescent="0.2">
      <c r="A177" s="43">
        <v>45408</v>
      </c>
      <c r="B177" s="19">
        <v>168.875214</v>
      </c>
      <c r="C177" s="19">
        <v>61.264628999999999</v>
      </c>
      <c r="D177" s="19">
        <v>192.423767</v>
      </c>
      <c r="E177" s="19">
        <v>16.502313999999998</v>
      </c>
      <c r="F177" s="44">
        <v>5099.96</v>
      </c>
      <c r="G177" s="45">
        <v>5.16E-2</v>
      </c>
      <c r="H177" s="37">
        <f t="shared" si="23"/>
        <v>2.0127150788695758E-4</v>
      </c>
      <c r="J177" s="6">
        <f t="shared" si="32"/>
        <v>-3.4788581331064421E-3</v>
      </c>
      <c r="K177" s="6">
        <f t="shared" si="32"/>
        <v>0</v>
      </c>
      <c r="L177" s="6">
        <f t="shared" si="32"/>
        <v>6.2045885918183598E-4</v>
      </c>
      <c r="M177" s="6">
        <f t="shared" si="32"/>
        <v>1.020115925682203E-2</v>
      </c>
      <c r="N177" s="6">
        <f t="shared" si="32"/>
        <v>1.0157373516560254E-2</v>
      </c>
      <c r="O177" s="6">
        <f t="shared" si="25"/>
        <v>-3.7729741793627526E-3</v>
      </c>
      <c r="Q177" s="6"/>
      <c r="R177" s="13">
        <f t="shared" si="31"/>
        <v>-3.6801296409933997E-3</v>
      </c>
      <c r="S177" s="13">
        <f t="shared" si="31"/>
        <v>-2.0127150788695758E-4</v>
      </c>
      <c r="T177" s="13">
        <f t="shared" si="31"/>
        <v>4.191873512948784E-4</v>
      </c>
      <c r="U177" s="13">
        <f t="shared" si="31"/>
        <v>9.9998877489350727E-3</v>
      </c>
      <c r="V177" s="13">
        <f t="shared" si="31"/>
        <v>9.9561020086732961E-3</v>
      </c>
      <c r="W177" s="13"/>
      <c r="X177" s="52"/>
      <c r="Y177" s="13" t="str">
        <f t="shared" si="26"/>
        <v/>
      </c>
      <c r="Z177" s="13" t="str">
        <f t="shared" si="27"/>
        <v/>
      </c>
      <c r="AA177" s="13" t="str">
        <f t="shared" si="28"/>
        <v/>
      </c>
      <c r="AB177" s="13" t="str">
        <f t="shared" si="29"/>
        <v/>
      </c>
      <c r="AC177" s="13" t="str">
        <f t="shared" si="30"/>
        <v/>
      </c>
      <c r="AD177" s="52"/>
      <c r="AL177" s="38"/>
    </row>
    <row r="178" spans="1:38" x14ac:dyDescent="0.2">
      <c r="A178" s="43">
        <v>45411</v>
      </c>
      <c r="B178" s="19">
        <v>173.06466699999999</v>
      </c>
      <c r="C178" s="19">
        <v>61.562317</v>
      </c>
      <c r="D178" s="19">
        <v>192.21492000000001</v>
      </c>
      <c r="E178" s="19">
        <v>16.768322000000001</v>
      </c>
      <c r="F178" s="44">
        <v>5116.17</v>
      </c>
      <c r="G178" s="45">
        <v>5.1799999999999999E-2</v>
      </c>
      <c r="H178" s="37">
        <f t="shared" si="23"/>
        <v>2.0203233447624314E-4</v>
      </c>
      <c r="J178" s="6">
        <f t="shared" si="32"/>
        <v>2.4505258851654717E-2</v>
      </c>
      <c r="K178" s="6">
        <f t="shared" si="32"/>
        <v>4.8472846158211921E-3</v>
      </c>
      <c r="L178" s="6">
        <f t="shared" si="32"/>
        <v>-1.0859387138235847E-3</v>
      </c>
      <c r="M178" s="6">
        <f t="shared" si="32"/>
        <v>1.5990897700798735E-2</v>
      </c>
      <c r="N178" s="6">
        <f t="shared" si="32"/>
        <v>3.1734156874775382E-3</v>
      </c>
      <c r="O178" s="6">
        <f t="shared" si="25"/>
        <v>3.7729741793627114E-3</v>
      </c>
      <c r="Q178" s="6"/>
      <c r="R178" s="13">
        <f t="shared" si="31"/>
        <v>2.4303226517178474E-2</v>
      </c>
      <c r="S178" s="13">
        <f t="shared" si="31"/>
        <v>4.645252281344949E-3</v>
      </c>
      <c r="T178" s="13">
        <f t="shared" si="31"/>
        <v>-1.2879710482998278E-3</v>
      </c>
      <c r="U178" s="13">
        <f t="shared" si="31"/>
        <v>1.5788865366322492E-2</v>
      </c>
      <c r="V178" s="13">
        <f t="shared" si="31"/>
        <v>2.971383353001295E-3</v>
      </c>
      <c r="W178" s="13"/>
      <c r="X178" s="52"/>
      <c r="Y178" s="13" t="str">
        <f t="shared" si="26"/>
        <v/>
      </c>
      <c r="Z178" s="13" t="str">
        <f t="shared" si="27"/>
        <v/>
      </c>
      <c r="AA178" s="13">
        <f t="shared" si="28"/>
        <v>-4.8589128931862957E-3</v>
      </c>
      <c r="AB178" s="13" t="str">
        <f t="shared" si="29"/>
        <v/>
      </c>
      <c r="AC178" s="13">
        <f t="shared" si="30"/>
        <v>-5.9955849188517325E-4</v>
      </c>
      <c r="AD178" s="52"/>
      <c r="AL178" s="38"/>
    </row>
    <row r="179" spans="1:38" x14ac:dyDescent="0.2">
      <c r="A179" s="43">
        <v>45412</v>
      </c>
      <c r="B179" s="19">
        <v>169.90263400000001</v>
      </c>
      <c r="C179" s="19">
        <v>61.294395000000002</v>
      </c>
      <c r="D179" s="19">
        <v>190.68341100000001</v>
      </c>
      <c r="E179" s="19">
        <v>16.640243999999999</v>
      </c>
      <c r="F179" s="44">
        <v>5035.6899999999996</v>
      </c>
      <c r="G179" s="45">
        <v>5.1699999999999996E-2</v>
      </c>
      <c r="H179" s="37">
        <f t="shared" si="23"/>
        <v>2.0165193919474689E-4</v>
      </c>
      <c r="J179" s="6">
        <f t="shared" si="32"/>
        <v>-1.8439790545778333E-2</v>
      </c>
      <c r="K179" s="6">
        <f t="shared" si="32"/>
        <v>-4.3615431401830369E-3</v>
      </c>
      <c r="L179" s="6">
        <f t="shared" si="32"/>
        <v>-7.9996022089060346E-3</v>
      </c>
      <c r="M179" s="6">
        <f t="shared" si="32"/>
        <v>-7.6674124514332052E-3</v>
      </c>
      <c r="N179" s="6">
        <f t="shared" si="32"/>
        <v>-1.5855554753445709E-2</v>
      </c>
      <c r="O179" s="6">
        <f t="shared" si="25"/>
        <v>-1.8846183460518033E-3</v>
      </c>
      <c r="Q179" s="6"/>
      <c r="R179" s="13">
        <f t="shared" si="31"/>
        <v>-1.864144248497308E-2</v>
      </c>
      <c r="S179" s="13">
        <f t="shared" si="31"/>
        <v>-4.5631950793777838E-3</v>
      </c>
      <c r="T179" s="13">
        <f t="shared" si="31"/>
        <v>-8.2012541481007815E-3</v>
      </c>
      <c r="U179" s="13">
        <f t="shared" si="31"/>
        <v>-7.8690643906279521E-3</v>
      </c>
      <c r="V179" s="13">
        <f t="shared" si="31"/>
        <v>-1.6057206692640456E-2</v>
      </c>
      <c r="W179" s="13"/>
      <c r="X179" s="52"/>
      <c r="Y179" s="13">
        <f t="shared" si="26"/>
        <v>-1.655517219972653E-2</v>
      </c>
      <c r="Z179" s="13">
        <f t="shared" si="27"/>
        <v>-2.4769247941312336E-3</v>
      </c>
      <c r="AA179" s="13">
        <f t="shared" si="28"/>
        <v>-6.1149838628542317E-3</v>
      </c>
      <c r="AB179" s="13">
        <f t="shared" si="29"/>
        <v>-5.7827941053814023E-3</v>
      </c>
      <c r="AC179" s="13">
        <f t="shared" si="30"/>
        <v>-1.3970936407393907E-2</v>
      </c>
      <c r="AD179" s="52"/>
      <c r="AL179" s="38"/>
    </row>
    <row r="180" spans="1:38" x14ac:dyDescent="0.2">
      <c r="A180" s="43">
        <v>45413</v>
      </c>
      <c r="B180" s="19">
        <v>168.875214</v>
      </c>
      <c r="C180" s="19">
        <v>61.453163000000004</v>
      </c>
      <c r="D180" s="19">
        <v>190.80275</v>
      </c>
      <c r="E180" s="19">
        <v>16.669799999999999</v>
      </c>
      <c r="F180" s="44">
        <v>5018.3900000000003</v>
      </c>
      <c r="G180" s="45">
        <v>5.16E-2</v>
      </c>
      <c r="H180" s="37">
        <f t="shared" si="23"/>
        <v>2.0127150788695758E-4</v>
      </c>
      <c r="J180" s="6">
        <f t="shared" si="32"/>
        <v>-6.0654683058762593E-3</v>
      </c>
      <c r="K180" s="6">
        <f t="shared" si="32"/>
        <v>2.5869042305606007E-3</v>
      </c>
      <c r="L180" s="6">
        <f t="shared" si="32"/>
        <v>6.2565312240965142E-4</v>
      </c>
      <c r="M180" s="6">
        <f t="shared" si="32"/>
        <v>1.7746003431574375E-3</v>
      </c>
      <c r="N180" s="6">
        <f t="shared" si="32"/>
        <v>-3.4413923648739225E-3</v>
      </c>
      <c r="O180" s="6">
        <f t="shared" si="25"/>
        <v>-1.8883558333109205E-3</v>
      </c>
      <c r="Q180" s="6"/>
      <c r="R180" s="13">
        <f t="shared" si="31"/>
        <v>-6.2667398137632169E-3</v>
      </c>
      <c r="S180" s="13">
        <f t="shared" si="31"/>
        <v>2.3856327226736431E-3</v>
      </c>
      <c r="T180" s="13">
        <f t="shared" si="31"/>
        <v>4.2438161452269384E-4</v>
      </c>
      <c r="U180" s="13">
        <f t="shared" si="31"/>
        <v>1.5733288352704799E-3</v>
      </c>
      <c r="V180" s="13">
        <f t="shared" si="31"/>
        <v>-3.64266387276088E-3</v>
      </c>
      <c r="W180" s="13"/>
      <c r="X180" s="52"/>
      <c r="Y180" s="13">
        <f t="shared" si="26"/>
        <v>-4.1771124725653386E-3</v>
      </c>
      <c r="Z180" s="13" t="str">
        <f t="shared" si="27"/>
        <v/>
      </c>
      <c r="AA180" s="13" t="str">
        <f t="shared" si="28"/>
        <v/>
      </c>
      <c r="AB180" s="13" t="str">
        <f t="shared" si="29"/>
        <v/>
      </c>
      <c r="AC180" s="13">
        <f t="shared" si="30"/>
        <v>-1.553036531563002E-3</v>
      </c>
      <c r="AD180" s="52"/>
      <c r="AL180" s="38"/>
    </row>
    <row r="181" spans="1:38" x14ac:dyDescent="0.2">
      <c r="A181" s="43">
        <v>45414</v>
      </c>
      <c r="B181" s="19">
        <v>172.59584000000001</v>
      </c>
      <c r="C181" s="19">
        <v>61.512703000000002</v>
      </c>
      <c r="D181" s="19">
        <v>190.60385099999999</v>
      </c>
      <c r="E181" s="19">
        <v>16.571278</v>
      </c>
      <c r="F181" s="44">
        <v>5064.2</v>
      </c>
      <c r="G181" s="45">
        <v>5.1399999999999994E-2</v>
      </c>
      <c r="H181" s="37">
        <f t="shared" si="23"/>
        <v>2.0051053716385603E-4</v>
      </c>
      <c r="J181" s="6">
        <f t="shared" si="32"/>
        <v>2.1792612899963495E-2</v>
      </c>
      <c r="K181" s="6">
        <f t="shared" si="32"/>
        <v>9.683988994642935E-4</v>
      </c>
      <c r="L181" s="6">
        <f t="shared" si="32"/>
        <v>-1.0429762752333207E-3</v>
      </c>
      <c r="M181" s="6">
        <f t="shared" si="32"/>
        <v>-5.9277432873759113E-3</v>
      </c>
      <c r="N181" s="6">
        <f t="shared" si="32"/>
        <v>9.0870134013374317E-3</v>
      </c>
      <c r="O181" s="6">
        <f t="shared" si="25"/>
        <v>-3.7879822774249021E-3</v>
      </c>
      <c r="Q181" s="6"/>
      <c r="R181" s="13">
        <f t="shared" si="31"/>
        <v>2.1592102362799639E-2</v>
      </c>
      <c r="S181" s="13">
        <f t="shared" si="31"/>
        <v>7.6788836230043747E-4</v>
      </c>
      <c r="T181" s="13">
        <f t="shared" si="31"/>
        <v>-1.2434868123971767E-3</v>
      </c>
      <c r="U181" s="13">
        <f t="shared" si="31"/>
        <v>-6.1282538245397674E-3</v>
      </c>
      <c r="V181" s="13">
        <f t="shared" si="31"/>
        <v>8.8865028641735757E-3</v>
      </c>
      <c r="W181" s="13"/>
      <c r="X181" s="52"/>
      <c r="Y181" s="13" t="str">
        <f t="shared" si="26"/>
        <v/>
      </c>
      <c r="Z181" s="13" t="str">
        <f t="shared" si="27"/>
        <v/>
      </c>
      <c r="AA181" s="13" t="str">
        <f t="shared" si="28"/>
        <v/>
      </c>
      <c r="AB181" s="13">
        <f t="shared" si="29"/>
        <v>-2.1397610099510092E-3</v>
      </c>
      <c r="AC181" s="13" t="str">
        <f t="shared" si="30"/>
        <v/>
      </c>
      <c r="AD181" s="52"/>
      <c r="AL181" s="38"/>
    </row>
    <row r="182" spans="1:38" x14ac:dyDescent="0.2">
      <c r="A182" s="43">
        <v>45415</v>
      </c>
      <c r="B182" s="19">
        <v>182.91987599999999</v>
      </c>
      <c r="C182" s="19">
        <v>61.691315000000003</v>
      </c>
      <c r="D182" s="19">
        <v>189.46017499999999</v>
      </c>
      <c r="E182" s="19">
        <v>16.600836000000001</v>
      </c>
      <c r="F182" s="44">
        <v>5127.79</v>
      </c>
      <c r="G182" s="45">
        <v>5.1699999999999996E-2</v>
      </c>
      <c r="H182" s="37">
        <f t="shared" si="23"/>
        <v>2.0165193919474689E-4</v>
      </c>
      <c r="J182" s="6">
        <f t="shared" si="32"/>
        <v>5.8095544508652106E-2</v>
      </c>
      <c r="K182" s="6">
        <f t="shared" si="32"/>
        <v>2.8994529241732746E-3</v>
      </c>
      <c r="L182" s="6">
        <f t="shared" si="32"/>
        <v>-6.0183515082071516E-3</v>
      </c>
      <c r="M182" s="6">
        <f t="shared" si="32"/>
        <v>1.7820997373106853E-3</v>
      </c>
      <c r="N182" s="6">
        <f t="shared" si="32"/>
        <v>1.247858860899914E-2</v>
      </c>
      <c r="O182" s="6">
        <f t="shared" si="25"/>
        <v>5.6763381107358766E-3</v>
      </c>
      <c r="Q182" s="6"/>
      <c r="R182" s="13">
        <f t="shared" si="31"/>
        <v>5.7893892569457359E-2</v>
      </c>
      <c r="S182" s="13">
        <f t="shared" si="31"/>
        <v>2.6978009849785278E-3</v>
      </c>
      <c r="T182" s="13">
        <f t="shared" si="31"/>
        <v>-6.2200034474018985E-3</v>
      </c>
      <c r="U182" s="13">
        <f t="shared" si="31"/>
        <v>1.5804477981159384E-3</v>
      </c>
      <c r="V182" s="13">
        <f t="shared" si="31"/>
        <v>1.2276936669804393E-2</v>
      </c>
      <c r="W182" s="13"/>
      <c r="X182" s="52"/>
      <c r="Y182" s="13" t="str">
        <f t="shared" si="26"/>
        <v/>
      </c>
      <c r="Z182" s="13">
        <f t="shared" si="27"/>
        <v>-2.7768851865626019E-3</v>
      </c>
      <c r="AA182" s="13">
        <f t="shared" si="28"/>
        <v>-1.1694689618943028E-2</v>
      </c>
      <c r="AB182" s="13">
        <f t="shared" si="29"/>
        <v>-3.8942383734251913E-3</v>
      </c>
      <c r="AC182" s="13" t="str">
        <f t="shared" si="30"/>
        <v/>
      </c>
      <c r="AD182" s="52"/>
      <c r="AL182" s="38"/>
    </row>
    <row r="183" spans="1:38" x14ac:dyDescent="0.2">
      <c r="A183" s="43">
        <v>45418</v>
      </c>
      <c r="B183" s="19">
        <v>181.25408899999999</v>
      </c>
      <c r="C183" s="19">
        <v>61.869926</v>
      </c>
      <c r="D183" s="19">
        <v>190.941971</v>
      </c>
      <c r="E183" s="19">
        <v>16.738764</v>
      </c>
      <c r="F183" s="44">
        <v>5180.74</v>
      </c>
      <c r="G183" s="45">
        <v>5.21E-2</v>
      </c>
      <c r="H183" s="37">
        <f t="shared" si="23"/>
        <v>2.0317330422892077E-4</v>
      </c>
      <c r="J183" s="6">
        <f t="shared" si="32"/>
        <v>-9.1483674173388676E-3</v>
      </c>
      <c r="K183" s="6">
        <f t="shared" si="32"/>
        <v>2.8910542328630683E-3</v>
      </c>
      <c r="L183" s="6">
        <f t="shared" si="32"/>
        <v>7.7907210062601899E-3</v>
      </c>
      <c r="M183" s="6">
        <f t="shared" si="32"/>
        <v>8.2741716697485573E-3</v>
      </c>
      <c r="N183" s="6">
        <f t="shared" si="32"/>
        <v>1.0273136069376812E-2</v>
      </c>
      <c r="O183" s="6">
        <f t="shared" si="25"/>
        <v>7.5161923378373003E-3</v>
      </c>
      <c r="Q183" s="6"/>
      <c r="R183" s="13">
        <f t="shared" si="31"/>
        <v>-9.3515407215677884E-3</v>
      </c>
      <c r="S183" s="13">
        <f t="shared" si="31"/>
        <v>2.6878809286341476E-3</v>
      </c>
      <c r="T183" s="13">
        <f t="shared" si="31"/>
        <v>7.5875477020312691E-3</v>
      </c>
      <c r="U183" s="13">
        <f t="shared" si="31"/>
        <v>8.0709983655196365E-3</v>
      </c>
      <c r="V183" s="13">
        <f t="shared" si="31"/>
        <v>1.0069962765147891E-2</v>
      </c>
      <c r="W183" s="13"/>
      <c r="X183" s="52"/>
      <c r="Y183" s="13">
        <f t="shared" si="26"/>
        <v>-1.6664559755176167E-2</v>
      </c>
      <c r="Z183" s="13">
        <f t="shared" si="27"/>
        <v>-4.6251381049742316E-3</v>
      </c>
      <c r="AA183" s="13" t="str">
        <f t="shared" si="28"/>
        <v/>
      </c>
      <c r="AB183" s="13" t="str">
        <f t="shared" si="29"/>
        <v/>
      </c>
      <c r="AC183" s="13" t="str">
        <f t="shared" si="30"/>
        <v/>
      </c>
      <c r="AD183" s="52"/>
      <c r="AL183" s="38"/>
    </row>
    <row r="184" spans="1:38" x14ac:dyDescent="0.2">
      <c r="A184" s="43">
        <v>45419</v>
      </c>
      <c r="B184" s="19">
        <v>181.94232199999999</v>
      </c>
      <c r="C184" s="19">
        <v>62.137847999999998</v>
      </c>
      <c r="D184" s="19">
        <v>190.693344</v>
      </c>
      <c r="E184" s="19">
        <v>16.827432999999999</v>
      </c>
      <c r="F184" s="44">
        <v>5187.7</v>
      </c>
      <c r="G184" s="45">
        <v>5.21E-2</v>
      </c>
      <c r="H184" s="37">
        <f t="shared" si="23"/>
        <v>2.0317330422892077E-4</v>
      </c>
      <c r="J184" s="6">
        <f t="shared" si="32"/>
        <v>3.7898712813242458E-3</v>
      </c>
      <c r="K184" s="6">
        <f t="shared" si="32"/>
        <v>4.3210584019733201E-3</v>
      </c>
      <c r="L184" s="6">
        <f t="shared" si="32"/>
        <v>-1.3029561227812455E-3</v>
      </c>
      <c r="M184" s="6">
        <f t="shared" si="32"/>
        <v>5.283244107095986E-3</v>
      </c>
      <c r="N184" s="6">
        <f t="shared" si="32"/>
        <v>1.3425358193505205E-3</v>
      </c>
      <c r="O184" s="6">
        <f t="shared" si="25"/>
        <v>0</v>
      </c>
      <c r="Q184" s="6"/>
      <c r="R184" s="13">
        <f t="shared" si="31"/>
        <v>3.586697977095325E-3</v>
      </c>
      <c r="S184" s="13">
        <f t="shared" si="31"/>
        <v>4.1178850977443993E-3</v>
      </c>
      <c r="T184" s="13">
        <f t="shared" si="31"/>
        <v>-1.5061294270101663E-3</v>
      </c>
      <c r="U184" s="13">
        <f t="shared" si="31"/>
        <v>5.0800708028670653E-3</v>
      </c>
      <c r="V184" s="13">
        <f t="shared" si="31"/>
        <v>1.1393625151215998E-3</v>
      </c>
      <c r="W184" s="13"/>
      <c r="X184" s="52"/>
      <c r="Y184" s="13" t="str">
        <f t="shared" si="26"/>
        <v/>
      </c>
      <c r="Z184" s="13" t="str">
        <f t="shared" si="27"/>
        <v/>
      </c>
      <c r="AA184" s="13">
        <f t="shared" si="28"/>
        <v>-1.3029561227812455E-3</v>
      </c>
      <c r="AB184" s="13" t="str">
        <f t="shared" si="29"/>
        <v/>
      </c>
      <c r="AC184" s="13" t="str">
        <f t="shared" si="30"/>
        <v/>
      </c>
      <c r="AD184" s="52"/>
      <c r="AL184" s="38"/>
    </row>
    <row r="185" spans="1:38" x14ac:dyDescent="0.2">
      <c r="A185" s="43">
        <v>45420</v>
      </c>
      <c r="B185" s="19">
        <v>182.28149400000001</v>
      </c>
      <c r="C185" s="19">
        <v>62.366076999999997</v>
      </c>
      <c r="D185" s="19">
        <v>194.571854</v>
      </c>
      <c r="E185" s="19">
        <v>16.856991000000001</v>
      </c>
      <c r="F185" s="44">
        <v>5187.67</v>
      </c>
      <c r="G185" s="45">
        <v>5.2000000000000005E-2</v>
      </c>
      <c r="H185" s="37">
        <f t="shared" si="23"/>
        <v>2.0279301698633567E-4</v>
      </c>
      <c r="J185" s="6">
        <f t="shared" si="32"/>
        <v>1.8624377821563668E-3</v>
      </c>
      <c r="K185" s="6">
        <f t="shared" si="32"/>
        <v>3.666217842342803E-3</v>
      </c>
      <c r="L185" s="6">
        <f t="shared" si="32"/>
        <v>2.0134915133947339E-2</v>
      </c>
      <c r="M185" s="6">
        <f t="shared" si="32"/>
        <v>1.7549955781686565E-3</v>
      </c>
      <c r="N185" s="6">
        <f t="shared" si="32"/>
        <v>-5.7829262956225704E-6</v>
      </c>
      <c r="O185" s="6">
        <f t="shared" si="25"/>
        <v>-1.8734921294941596E-3</v>
      </c>
      <c r="Q185" s="6"/>
      <c r="R185" s="13">
        <f t="shared" si="31"/>
        <v>1.6596447651700311E-3</v>
      </c>
      <c r="S185" s="13">
        <f t="shared" si="31"/>
        <v>3.4634248253564673E-3</v>
      </c>
      <c r="T185" s="13">
        <f t="shared" si="31"/>
        <v>1.9932122116961003E-2</v>
      </c>
      <c r="U185" s="13">
        <f t="shared" si="31"/>
        <v>1.5522025611823208E-3</v>
      </c>
      <c r="V185" s="13">
        <f t="shared" si="31"/>
        <v>-2.0857594328195825E-4</v>
      </c>
      <c r="W185" s="13"/>
      <c r="X185" s="52"/>
      <c r="Y185" s="13" t="str">
        <f t="shared" si="26"/>
        <v/>
      </c>
      <c r="Z185" s="13" t="str">
        <f t="shared" si="27"/>
        <v/>
      </c>
      <c r="AA185" s="13" t="str">
        <f t="shared" si="28"/>
        <v/>
      </c>
      <c r="AB185" s="13" t="str">
        <f t="shared" si="29"/>
        <v/>
      </c>
      <c r="AC185" s="13" t="str">
        <f t="shared" si="30"/>
        <v/>
      </c>
      <c r="AD185" s="52"/>
      <c r="AL185" s="38"/>
    </row>
    <row r="186" spans="1:38" x14ac:dyDescent="0.2">
      <c r="A186" s="43">
        <v>45421</v>
      </c>
      <c r="B186" s="19">
        <v>184.10690299999999</v>
      </c>
      <c r="C186" s="19">
        <v>62.395851</v>
      </c>
      <c r="D186" s="19">
        <v>196.41166699999999</v>
      </c>
      <c r="E186" s="19">
        <v>16.925954999999998</v>
      </c>
      <c r="F186" s="44">
        <v>5214.08</v>
      </c>
      <c r="G186" s="45">
        <v>5.2499999999999998E-2</v>
      </c>
      <c r="H186" s="37">
        <f t="shared" si="23"/>
        <v>2.0469409327517063E-4</v>
      </c>
      <c r="J186" s="6">
        <f t="shared" si="32"/>
        <v>9.9644209184128335E-3</v>
      </c>
      <c r="K186" s="6">
        <f t="shared" si="32"/>
        <v>4.7729304993157585E-4</v>
      </c>
      <c r="L186" s="6">
        <f t="shared" si="32"/>
        <v>9.4112742907778765E-3</v>
      </c>
      <c r="M186" s="6">
        <f t="shared" si="32"/>
        <v>4.0827757174903999E-3</v>
      </c>
      <c r="N186" s="6">
        <f t="shared" si="32"/>
        <v>5.0780025958913483E-3</v>
      </c>
      <c r="O186" s="6">
        <f t="shared" si="25"/>
        <v>9.3307986135110887E-3</v>
      </c>
      <c r="Q186" s="6"/>
      <c r="R186" s="13">
        <f t="shared" si="31"/>
        <v>9.7597268251376629E-3</v>
      </c>
      <c r="S186" s="13">
        <f t="shared" si="31"/>
        <v>2.7259895665640522E-4</v>
      </c>
      <c r="T186" s="13">
        <f t="shared" si="31"/>
        <v>9.2065801975027058E-3</v>
      </c>
      <c r="U186" s="13">
        <f t="shared" si="31"/>
        <v>3.8780816242152292E-3</v>
      </c>
      <c r="V186" s="13">
        <f t="shared" si="31"/>
        <v>4.8733085026161777E-3</v>
      </c>
      <c r="W186" s="13"/>
      <c r="X186" s="52"/>
      <c r="Y186" s="13" t="str">
        <f t="shared" si="26"/>
        <v/>
      </c>
      <c r="Z186" s="13">
        <f t="shared" si="27"/>
        <v>-8.8535055635795123E-3</v>
      </c>
      <c r="AA186" s="13" t="str">
        <f t="shared" si="28"/>
        <v/>
      </c>
      <c r="AB186" s="13">
        <f t="shared" si="29"/>
        <v>-5.2480228960206888E-3</v>
      </c>
      <c r="AC186" s="13">
        <f t="shared" si="30"/>
        <v>-4.2527960176197404E-3</v>
      </c>
      <c r="AD186" s="52"/>
      <c r="AL186" s="38"/>
    </row>
    <row r="187" spans="1:38" x14ac:dyDescent="0.2">
      <c r="A187" s="43">
        <v>45422</v>
      </c>
      <c r="B187" s="19">
        <v>182.83836400000001</v>
      </c>
      <c r="C187" s="19">
        <v>62.772922999999999</v>
      </c>
      <c r="D187" s="19">
        <v>197.674667</v>
      </c>
      <c r="E187" s="19">
        <v>16.916103</v>
      </c>
      <c r="F187" s="44">
        <v>5222.68</v>
      </c>
      <c r="G187" s="45">
        <v>5.21E-2</v>
      </c>
      <c r="H187" s="37">
        <f t="shared" si="23"/>
        <v>2.0317330422892077E-4</v>
      </c>
      <c r="J187" s="6">
        <f t="shared" si="32"/>
        <v>-6.9140777525400921E-3</v>
      </c>
      <c r="K187" s="6">
        <f t="shared" si="32"/>
        <v>6.0250352963449492E-3</v>
      </c>
      <c r="L187" s="6">
        <f t="shared" si="32"/>
        <v>6.4097849393042125E-3</v>
      </c>
      <c r="M187" s="6">
        <f t="shared" si="32"/>
        <v>-5.8223411107649701E-4</v>
      </c>
      <c r="N187" s="6">
        <f t="shared" si="32"/>
        <v>1.6480214063461682E-3</v>
      </c>
      <c r="O187" s="6">
        <f t="shared" si="25"/>
        <v>-7.4573064840169363E-3</v>
      </c>
      <c r="Q187" s="6"/>
      <c r="R187" s="13">
        <f t="shared" si="31"/>
        <v>-7.1172510567690129E-3</v>
      </c>
      <c r="S187" s="13">
        <f t="shared" si="31"/>
        <v>5.8218619921160284E-3</v>
      </c>
      <c r="T187" s="13">
        <f t="shared" si="31"/>
        <v>6.2066116350752917E-3</v>
      </c>
      <c r="U187" s="13">
        <f t="shared" si="31"/>
        <v>-7.8540741530541778E-4</v>
      </c>
      <c r="V187" s="13">
        <f t="shared" si="31"/>
        <v>1.4448481021172475E-3</v>
      </c>
      <c r="W187" s="13"/>
      <c r="X187" s="52"/>
      <c r="Y187" s="13" t="str">
        <f t="shared" si="26"/>
        <v/>
      </c>
      <c r="Z187" s="13" t="str">
        <f t="shared" si="27"/>
        <v/>
      </c>
      <c r="AA187" s="13" t="str">
        <f t="shared" si="28"/>
        <v/>
      </c>
      <c r="AB187" s="13" t="str">
        <f t="shared" si="29"/>
        <v/>
      </c>
      <c r="AC187" s="13" t="str">
        <f t="shared" si="30"/>
        <v/>
      </c>
      <c r="AD187" s="52"/>
      <c r="AL187" s="38"/>
    </row>
    <row r="188" spans="1:38" x14ac:dyDescent="0.2">
      <c r="A188" s="43">
        <v>45425</v>
      </c>
      <c r="B188" s="19">
        <v>186.06463600000001</v>
      </c>
      <c r="C188" s="19">
        <v>63.090462000000002</v>
      </c>
      <c r="D188" s="19">
        <v>197.63488799999999</v>
      </c>
      <c r="E188" s="19">
        <v>17.004771999999999</v>
      </c>
      <c r="F188" s="44">
        <v>5221.42</v>
      </c>
      <c r="G188" s="45">
        <v>5.16E-2</v>
      </c>
      <c r="H188" s="37">
        <f t="shared" si="23"/>
        <v>2.0127150788695758E-4</v>
      </c>
      <c r="J188" s="6">
        <f t="shared" si="32"/>
        <v>1.7491613013872163E-2</v>
      </c>
      <c r="K188" s="6">
        <f t="shared" si="32"/>
        <v>5.0457831514656758E-3</v>
      </c>
      <c r="L188" s="6">
        <f t="shared" si="32"/>
        <v>-2.0125493872400897E-4</v>
      </c>
      <c r="M188" s="6">
        <f t="shared" si="32"/>
        <v>5.2280020464313707E-3</v>
      </c>
      <c r="N188" s="6">
        <f t="shared" si="32"/>
        <v>-2.4128455417182781E-4</v>
      </c>
      <c r="O188" s="6">
        <f t="shared" si="25"/>
        <v>-9.4045481711482436E-3</v>
      </c>
      <c r="Q188" s="6"/>
      <c r="R188" s="13">
        <f t="shared" si="31"/>
        <v>1.7290341505985206E-2</v>
      </c>
      <c r="S188" s="13">
        <f t="shared" si="31"/>
        <v>4.8445116435787182E-3</v>
      </c>
      <c r="T188" s="13">
        <f t="shared" si="31"/>
        <v>-4.0252644661096658E-4</v>
      </c>
      <c r="U188" s="13">
        <f t="shared" si="31"/>
        <v>5.0267305385444131E-3</v>
      </c>
      <c r="V188" s="13">
        <f t="shared" si="31"/>
        <v>-4.4255606205878539E-4</v>
      </c>
      <c r="W188" s="13"/>
      <c r="X188" s="52"/>
      <c r="Y188" s="13" t="str">
        <f t="shared" si="26"/>
        <v/>
      </c>
      <c r="Z188" s="13" t="str">
        <f t="shared" si="27"/>
        <v/>
      </c>
      <c r="AA188" s="13" t="str">
        <f t="shared" si="28"/>
        <v/>
      </c>
      <c r="AB188" s="13" t="str">
        <f t="shared" si="29"/>
        <v/>
      </c>
      <c r="AC188" s="13" t="str">
        <f t="shared" si="30"/>
        <v/>
      </c>
      <c r="AD188" s="52"/>
      <c r="AL188" s="38"/>
    </row>
    <row r="189" spans="1:38" x14ac:dyDescent="0.2">
      <c r="A189" s="43">
        <v>45426</v>
      </c>
      <c r="B189" s="19">
        <v>187.213303</v>
      </c>
      <c r="C189" s="19">
        <v>62.614154999999997</v>
      </c>
      <c r="D189" s="19">
        <v>200.39956699999999</v>
      </c>
      <c r="E189" s="19">
        <v>17.044180000000001</v>
      </c>
      <c r="F189" s="44">
        <v>5246.68</v>
      </c>
      <c r="G189" s="45">
        <v>5.1200000000000002E-2</v>
      </c>
      <c r="H189" s="37">
        <f t="shared" si="23"/>
        <v>1.9974942225231551E-4</v>
      </c>
      <c r="J189" s="6">
        <f t="shared" si="32"/>
        <v>6.1545058292852206E-3</v>
      </c>
      <c r="K189" s="6">
        <f t="shared" si="32"/>
        <v>-7.578230471947678E-3</v>
      </c>
      <c r="L189" s="6">
        <f t="shared" si="32"/>
        <v>1.3891880096165623E-2</v>
      </c>
      <c r="M189" s="6">
        <f t="shared" si="32"/>
        <v>2.3147859350525577E-3</v>
      </c>
      <c r="N189" s="6">
        <f t="shared" si="32"/>
        <v>4.8261000617198218E-3</v>
      </c>
      <c r="O189" s="6">
        <f t="shared" si="25"/>
        <v>-7.5910897879736695E-3</v>
      </c>
      <c r="Q189" s="6"/>
      <c r="R189" s="13">
        <f t="shared" si="31"/>
        <v>5.9547564070329051E-3</v>
      </c>
      <c r="S189" s="13">
        <f t="shared" si="31"/>
        <v>-7.7779798941999935E-3</v>
      </c>
      <c r="T189" s="13">
        <f t="shared" si="31"/>
        <v>1.3692130673913307E-2</v>
      </c>
      <c r="U189" s="13">
        <f t="shared" si="31"/>
        <v>2.1150365128002422E-3</v>
      </c>
      <c r="V189" s="13">
        <f t="shared" si="31"/>
        <v>4.6263506394675063E-3</v>
      </c>
      <c r="W189" s="13"/>
      <c r="X189" s="52"/>
      <c r="Y189" s="13" t="str">
        <f t="shared" si="26"/>
        <v/>
      </c>
      <c r="Z189" s="13" t="str">
        <f t="shared" si="27"/>
        <v/>
      </c>
      <c r="AA189" s="13" t="str">
        <f t="shared" si="28"/>
        <v/>
      </c>
      <c r="AB189" s="13" t="str">
        <f t="shared" si="29"/>
        <v/>
      </c>
      <c r="AC189" s="13" t="str">
        <f t="shared" si="30"/>
        <v/>
      </c>
      <c r="AD189" s="52"/>
      <c r="AL189" s="38"/>
    </row>
    <row r="190" spans="1:38" x14ac:dyDescent="0.2">
      <c r="A190" s="43">
        <v>45427</v>
      </c>
      <c r="B190" s="19">
        <v>189.50065599999999</v>
      </c>
      <c r="C190" s="19">
        <v>62.643925000000003</v>
      </c>
      <c r="D190" s="19">
        <v>200.996262</v>
      </c>
      <c r="E190" s="19">
        <v>17.073736</v>
      </c>
      <c r="F190" s="44">
        <v>5308.15</v>
      </c>
      <c r="G190" s="45">
        <v>5.1200000000000002E-2</v>
      </c>
      <c r="H190" s="37">
        <f t="shared" si="23"/>
        <v>1.9974942225231551E-4</v>
      </c>
      <c r="J190" s="6">
        <f t="shared" si="32"/>
        <v>1.2143861705092206E-2</v>
      </c>
      <c r="K190" s="6">
        <f t="shared" si="32"/>
        <v>4.7533860586955039E-4</v>
      </c>
      <c r="L190" s="6">
        <f t="shared" si="32"/>
        <v>2.9731023414911141E-3</v>
      </c>
      <c r="M190" s="6">
        <f t="shared" si="32"/>
        <v>1.732579879352201E-3</v>
      </c>
      <c r="N190" s="6">
        <f t="shared" si="32"/>
        <v>1.1647879688045933E-2</v>
      </c>
      <c r="O190" s="6">
        <f t="shared" si="25"/>
        <v>0</v>
      </c>
      <c r="Q190" s="6"/>
      <c r="R190" s="13">
        <f t="shared" si="31"/>
        <v>1.194411228283989E-2</v>
      </c>
      <c r="S190" s="13">
        <f t="shared" si="31"/>
        <v>2.7558918361723488E-4</v>
      </c>
      <c r="T190" s="13">
        <f t="shared" si="31"/>
        <v>2.7733529192387986E-3</v>
      </c>
      <c r="U190" s="13">
        <f t="shared" si="31"/>
        <v>1.5328304570998855E-3</v>
      </c>
      <c r="V190" s="13">
        <f t="shared" si="31"/>
        <v>1.1448130265793617E-2</v>
      </c>
      <c r="W190" s="13"/>
      <c r="X190" s="52"/>
      <c r="Y190" s="13" t="str">
        <f t="shared" si="26"/>
        <v/>
      </c>
      <c r="Z190" s="13" t="str">
        <f t="shared" si="27"/>
        <v/>
      </c>
      <c r="AA190" s="13" t="str">
        <f t="shared" si="28"/>
        <v/>
      </c>
      <c r="AB190" s="13" t="str">
        <f t="shared" si="29"/>
        <v/>
      </c>
      <c r="AC190" s="13" t="str">
        <f t="shared" si="30"/>
        <v/>
      </c>
      <c r="AD190" s="52"/>
      <c r="AL190" s="38"/>
    </row>
    <row r="191" spans="1:38" x14ac:dyDescent="0.2">
      <c r="A191" s="43">
        <v>45428</v>
      </c>
      <c r="B191" s="19">
        <v>189.62051400000001</v>
      </c>
      <c r="C191" s="19">
        <v>62.832462</v>
      </c>
      <c r="D191" s="19">
        <v>201.35427899999999</v>
      </c>
      <c r="E191" s="19">
        <v>17.044180000000001</v>
      </c>
      <c r="F191" s="44">
        <v>5297.1</v>
      </c>
      <c r="G191" s="45">
        <v>5.1299999999999998E-2</v>
      </c>
      <c r="H191" s="37">
        <f t="shared" si="23"/>
        <v>2.0012999773522111E-4</v>
      </c>
      <c r="J191" s="6">
        <f t="shared" si="32"/>
        <v>6.3229391275216771E-4</v>
      </c>
      <c r="K191" s="6">
        <f t="shared" si="32"/>
        <v>3.0051413878821489E-3</v>
      </c>
      <c r="L191" s="6">
        <f t="shared" si="32"/>
        <v>1.7796277524522572E-3</v>
      </c>
      <c r="M191" s="6">
        <f t="shared" si="32"/>
        <v>-1.732579879352136E-3</v>
      </c>
      <c r="N191" s="6">
        <f t="shared" si="32"/>
        <v>-2.08387430730016E-3</v>
      </c>
      <c r="O191" s="6">
        <f t="shared" si="25"/>
        <v>1.9034517846586623E-3</v>
      </c>
      <c r="Q191" s="6"/>
      <c r="R191" s="13">
        <f t="shared" si="31"/>
        <v>4.321639150169466E-4</v>
      </c>
      <c r="S191" s="13">
        <f t="shared" si="31"/>
        <v>2.8050113901469278E-3</v>
      </c>
      <c r="T191" s="13">
        <f t="shared" si="31"/>
        <v>1.5794977547170361E-3</v>
      </c>
      <c r="U191" s="13">
        <f t="shared" si="31"/>
        <v>-1.9327098770873571E-3</v>
      </c>
      <c r="V191" s="13">
        <f t="shared" si="31"/>
        <v>-2.2840043050353811E-3</v>
      </c>
      <c r="W191" s="13"/>
      <c r="X191" s="52"/>
      <c r="Y191" s="13">
        <f t="shared" si="26"/>
        <v>-1.2711578719064947E-3</v>
      </c>
      <c r="Z191" s="13" t="str">
        <f t="shared" si="27"/>
        <v/>
      </c>
      <c r="AA191" s="13">
        <f t="shared" si="28"/>
        <v>-1.238240322064051E-4</v>
      </c>
      <c r="AB191" s="13">
        <f t="shared" si="29"/>
        <v>-3.6360316640107982E-3</v>
      </c>
      <c r="AC191" s="13">
        <f t="shared" si="30"/>
        <v>-3.9873260919588219E-3</v>
      </c>
      <c r="AD191" s="52"/>
      <c r="AL191" s="38"/>
    </row>
    <row r="192" spans="1:38" x14ac:dyDescent="0.2">
      <c r="A192" s="43">
        <v>45429</v>
      </c>
      <c r="B192" s="19">
        <v>189.65048200000001</v>
      </c>
      <c r="C192" s="19">
        <v>62.544693000000002</v>
      </c>
      <c r="D192" s="19">
        <v>203.661484</v>
      </c>
      <c r="E192" s="19">
        <v>17.142702</v>
      </c>
      <c r="F192" s="44">
        <v>5303.27</v>
      </c>
      <c r="G192" s="45">
        <v>5.1299999999999998E-2</v>
      </c>
      <c r="H192" s="37">
        <f t="shared" si="23"/>
        <v>2.0012999773522111E-4</v>
      </c>
      <c r="J192" s="6">
        <f t="shared" si="32"/>
        <v>1.5802948487189222E-4</v>
      </c>
      <c r="K192" s="6">
        <f t="shared" si="32"/>
        <v>-4.5904615610439566E-3</v>
      </c>
      <c r="L192" s="6">
        <f t="shared" si="32"/>
        <v>1.1393284747523526E-2</v>
      </c>
      <c r="M192" s="6">
        <f t="shared" si="32"/>
        <v>5.7637472026845571E-3</v>
      </c>
      <c r="N192" s="6">
        <f t="shared" si="32"/>
        <v>1.1641104408194052E-3</v>
      </c>
      <c r="O192" s="6">
        <f t="shared" si="25"/>
        <v>0</v>
      </c>
      <c r="Q192" s="6"/>
      <c r="R192" s="13">
        <f t="shared" si="31"/>
        <v>-4.2100512863328893E-5</v>
      </c>
      <c r="S192" s="13">
        <f t="shared" si="31"/>
        <v>-4.7905915587791777E-3</v>
      </c>
      <c r="T192" s="13">
        <f t="shared" si="31"/>
        <v>1.1193154749788305E-2</v>
      </c>
      <c r="U192" s="13">
        <f t="shared" si="31"/>
        <v>5.563617204949336E-3</v>
      </c>
      <c r="V192" s="13">
        <f t="shared" si="31"/>
        <v>9.6398044308418406E-4</v>
      </c>
      <c r="W192" s="13"/>
      <c r="X192" s="52"/>
      <c r="Y192" s="13" t="str">
        <f t="shared" si="26"/>
        <v/>
      </c>
      <c r="Z192" s="13">
        <f t="shared" si="27"/>
        <v>-4.5904615610439566E-3</v>
      </c>
      <c r="AA192" s="13" t="str">
        <f t="shared" si="28"/>
        <v/>
      </c>
      <c r="AB192" s="13" t="str">
        <f t="shared" si="29"/>
        <v/>
      </c>
      <c r="AC192" s="13" t="str">
        <f t="shared" si="30"/>
        <v/>
      </c>
      <c r="AD192" s="52"/>
      <c r="AL192" s="38"/>
    </row>
    <row r="193" spans="1:38" x14ac:dyDescent="0.2">
      <c r="A193" s="43">
        <v>45432</v>
      </c>
      <c r="B193" s="19">
        <v>190.81912199999999</v>
      </c>
      <c r="C193" s="19">
        <v>62.088234</v>
      </c>
      <c r="D193" s="19">
        <v>194.50224299999999</v>
      </c>
      <c r="E193" s="19">
        <v>17.260926999999999</v>
      </c>
      <c r="F193" s="44">
        <v>5308.13</v>
      </c>
      <c r="G193" s="45">
        <v>5.1200000000000002E-2</v>
      </c>
      <c r="H193" s="37">
        <f t="shared" si="23"/>
        <v>1.9974942225231551E-4</v>
      </c>
      <c r="J193" s="6">
        <f t="shared" si="32"/>
        <v>6.1431644627328542E-3</v>
      </c>
      <c r="K193" s="6">
        <f t="shared" si="32"/>
        <v>-7.3248867997968373E-3</v>
      </c>
      <c r="L193" s="6">
        <f t="shared" si="32"/>
        <v>-4.6015528245516947E-2</v>
      </c>
      <c r="M193" s="6">
        <f t="shared" si="32"/>
        <v>6.8728485226429662E-3</v>
      </c>
      <c r="N193" s="6">
        <f t="shared" si="32"/>
        <v>9.159960683443537E-4</v>
      </c>
      <c r="O193" s="6">
        <f t="shared" si="25"/>
        <v>-1.9034517846585846E-3</v>
      </c>
      <c r="Q193" s="6"/>
      <c r="R193" s="13">
        <f t="shared" si="31"/>
        <v>5.9434150404805387E-3</v>
      </c>
      <c r="S193" s="13">
        <f t="shared" si="31"/>
        <v>-7.5246362220491528E-3</v>
      </c>
      <c r="T193" s="13">
        <f t="shared" si="31"/>
        <v>-4.6215277667769263E-2</v>
      </c>
      <c r="U193" s="13">
        <f t="shared" si="31"/>
        <v>6.6730991003906507E-3</v>
      </c>
      <c r="V193" s="13">
        <f t="shared" si="31"/>
        <v>7.1624664609203819E-4</v>
      </c>
      <c r="W193" s="13"/>
      <c r="X193" s="52"/>
      <c r="Y193" s="13" t="str">
        <f t="shared" si="26"/>
        <v/>
      </c>
      <c r="Z193" s="13">
        <f t="shared" si="27"/>
        <v>-5.4214350151382523E-3</v>
      </c>
      <c r="AA193" s="13">
        <f t="shared" si="28"/>
        <v>-4.4112076460858365E-2</v>
      </c>
      <c r="AB193" s="13" t="str">
        <f t="shared" si="29"/>
        <v/>
      </c>
      <c r="AC193" s="13" t="str">
        <f t="shared" si="30"/>
        <v/>
      </c>
      <c r="AD193" s="52"/>
      <c r="AL193" s="38"/>
    </row>
    <row r="194" spans="1:38" x14ac:dyDescent="0.2">
      <c r="A194" s="43">
        <v>45433</v>
      </c>
      <c r="B194" s="19">
        <v>192.12762499999999</v>
      </c>
      <c r="C194" s="19">
        <v>62.425617000000003</v>
      </c>
      <c r="D194" s="19">
        <v>198.42053200000001</v>
      </c>
      <c r="E194" s="19">
        <v>17.014624000000001</v>
      </c>
      <c r="F194" s="44">
        <v>5321.41</v>
      </c>
      <c r="G194" s="45">
        <v>5.1699999999999996E-2</v>
      </c>
      <c r="H194" s="37">
        <f t="shared" si="23"/>
        <v>2.0165193919474689E-4</v>
      </c>
      <c r="J194" s="6">
        <f t="shared" si="32"/>
        <v>6.8338906269820778E-3</v>
      </c>
      <c r="K194" s="6">
        <f t="shared" si="32"/>
        <v>5.4192175886679812E-3</v>
      </c>
      <c r="L194" s="6">
        <f t="shared" si="32"/>
        <v>1.9944982273812171E-2</v>
      </c>
      <c r="M194" s="6">
        <f t="shared" si="32"/>
        <v>-1.4372182648414963E-2</v>
      </c>
      <c r="N194" s="6">
        <f t="shared" si="32"/>
        <v>2.498698327390512E-3</v>
      </c>
      <c r="O194" s="6">
        <f t="shared" si="25"/>
        <v>9.4794456212845372E-3</v>
      </c>
      <c r="Q194" s="6"/>
      <c r="R194" s="13">
        <f t="shared" si="31"/>
        <v>6.6322386877873309E-3</v>
      </c>
      <c r="S194" s="13">
        <f t="shared" si="31"/>
        <v>5.2175656494732343E-3</v>
      </c>
      <c r="T194" s="13">
        <f t="shared" si="31"/>
        <v>1.9743330334617424E-2</v>
      </c>
      <c r="U194" s="13">
        <f t="shared" si="31"/>
        <v>-1.457383458760971E-2</v>
      </c>
      <c r="V194" s="13">
        <f t="shared" si="31"/>
        <v>2.2970463881957651E-3</v>
      </c>
      <c r="W194" s="13"/>
      <c r="X194" s="52"/>
      <c r="Y194" s="13">
        <f t="shared" si="26"/>
        <v>-2.6455549943024594E-3</v>
      </c>
      <c r="Z194" s="13">
        <f t="shared" si="27"/>
        <v>-4.0602280326165561E-3</v>
      </c>
      <c r="AA194" s="13" t="str">
        <f t="shared" si="28"/>
        <v/>
      </c>
      <c r="AB194" s="13">
        <f t="shared" si="29"/>
        <v>-2.3851628269699499E-2</v>
      </c>
      <c r="AC194" s="13">
        <f t="shared" si="30"/>
        <v>-6.9807472938940253E-3</v>
      </c>
      <c r="AD194" s="52"/>
      <c r="AL194" s="38"/>
    </row>
    <row r="195" spans="1:38" x14ac:dyDescent="0.2">
      <c r="A195" s="43">
        <v>45434</v>
      </c>
      <c r="B195" s="19">
        <v>190.67929100000001</v>
      </c>
      <c r="C195" s="19">
        <v>62.514923000000003</v>
      </c>
      <c r="D195" s="19">
        <v>197.21719400000001</v>
      </c>
      <c r="E195" s="19">
        <v>17.241222</v>
      </c>
      <c r="F195" s="44">
        <v>5307.01</v>
      </c>
      <c r="G195" s="45">
        <v>5.16E-2</v>
      </c>
      <c r="H195" s="37">
        <f t="shared" ref="H195:H254" si="33">+(1+G195)^(1/250)-1</f>
        <v>2.0127150788695758E-4</v>
      </c>
      <c r="J195" s="6">
        <f t="shared" ref="J195:N226" si="34">LN(B195/B194)</f>
        <v>-7.5669526869904195E-3</v>
      </c>
      <c r="K195" s="6">
        <f t="shared" si="34"/>
        <v>1.4295762641888972E-3</v>
      </c>
      <c r="L195" s="6">
        <f t="shared" si="34"/>
        <v>-6.0830483624738684E-3</v>
      </c>
      <c r="M195" s="6">
        <f t="shared" si="34"/>
        <v>1.3229934834084765E-2</v>
      </c>
      <c r="N195" s="6">
        <f t="shared" si="34"/>
        <v>-2.7097176835470336E-3</v>
      </c>
      <c r="O195" s="6">
        <f t="shared" ref="O195:O254" si="35">LN(H195/H194)</f>
        <v>-1.8883558333109205E-3</v>
      </c>
      <c r="Q195" s="6"/>
      <c r="R195" s="13">
        <f t="shared" si="31"/>
        <v>-7.768224194877377E-3</v>
      </c>
      <c r="S195" s="13">
        <f t="shared" si="31"/>
        <v>1.2283047563019396E-3</v>
      </c>
      <c r="T195" s="13">
        <f t="shared" si="31"/>
        <v>-6.284319870360826E-3</v>
      </c>
      <c r="U195" s="13">
        <f t="shared" si="31"/>
        <v>1.3028663326197808E-2</v>
      </c>
      <c r="V195" s="13">
        <f t="shared" si="31"/>
        <v>-2.9109891914339912E-3</v>
      </c>
      <c r="W195" s="13"/>
      <c r="X195" s="52"/>
      <c r="Y195" s="13">
        <f t="shared" ref="Y195:Y254" si="36">+IF(J195&lt;$O195,J195-$O195,"")</f>
        <v>-5.6785968536794988E-3</v>
      </c>
      <c r="Z195" s="13" t="str">
        <f t="shared" ref="Z195:Z254" si="37">+IF(K195&lt;$O195,K195-$O195,"")</f>
        <v/>
      </c>
      <c r="AA195" s="13">
        <f t="shared" ref="AA195:AA254" si="38">+IF(L195&lt;$O195,L195-$O195,"")</f>
        <v>-4.1946925291629477E-3</v>
      </c>
      <c r="AB195" s="13" t="str">
        <f t="shared" ref="AB195:AB254" si="39">+IF(M195&lt;$O195,M195-$O195,"")</f>
        <v/>
      </c>
      <c r="AC195" s="13">
        <f t="shared" ref="AC195:AC254" si="40">+IF(N195&lt;$O195,N195-$O195,"")</f>
        <v>-8.2136185023611312E-4</v>
      </c>
      <c r="AD195" s="52"/>
      <c r="AL195" s="38"/>
    </row>
    <row r="196" spans="1:38" x14ac:dyDescent="0.2">
      <c r="A196" s="43">
        <v>45435</v>
      </c>
      <c r="B196" s="19">
        <v>186.66394</v>
      </c>
      <c r="C196" s="19">
        <v>61.611930999999998</v>
      </c>
      <c r="D196" s="19">
        <v>195.83485400000001</v>
      </c>
      <c r="E196" s="19">
        <v>17.211666000000001</v>
      </c>
      <c r="F196" s="44">
        <v>5267.84</v>
      </c>
      <c r="G196" s="45">
        <v>5.16E-2</v>
      </c>
      <c r="H196" s="37">
        <f t="shared" si="33"/>
        <v>2.0127150788695758E-4</v>
      </c>
      <c r="J196" s="6">
        <f t="shared" si="34"/>
        <v>-2.128302424671985E-2</v>
      </c>
      <c r="K196" s="6">
        <f t="shared" si="34"/>
        <v>-1.454975939193497E-2</v>
      </c>
      <c r="L196" s="6">
        <f t="shared" si="34"/>
        <v>-7.0339066105817626E-3</v>
      </c>
      <c r="M196" s="6">
        <f t="shared" si="34"/>
        <v>-1.7157346722541096E-3</v>
      </c>
      <c r="N196" s="6">
        <f t="shared" si="34"/>
        <v>-7.4081767856449404E-3</v>
      </c>
      <c r="O196" s="6">
        <f t="shared" si="35"/>
        <v>0</v>
      </c>
      <c r="Q196" s="6"/>
      <c r="R196" s="13">
        <f t="shared" si="31"/>
        <v>-2.1484295754606808E-2</v>
      </c>
      <c r="S196" s="13">
        <f t="shared" si="31"/>
        <v>-1.4751030899821927E-2</v>
      </c>
      <c r="T196" s="13">
        <f t="shared" si="31"/>
        <v>-7.2351781184687202E-3</v>
      </c>
      <c r="U196" s="13">
        <f t="shared" si="31"/>
        <v>-1.9170061801410672E-3</v>
      </c>
      <c r="V196" s="13">
        <f t="shared" si="31"/>
        <v>-7.609448293531898E-3</v>
      </c>
      <c r="W196" s="13"/>
      <c r="X196" s="52"/>
      <c r="Y196" s="13">
        <f t="shared" si="36"/>
        <v>-2.128302424671985E-2</v>
      </c>
      <c r="Z196" s="13">
        <f t="shared" si="37"/>
        <v>-1.454975939193497E-2</v>
      </c>
      <c r="AA196" s="13">
        <f t="shared" si="38"/>
        <v>-7.0339066105817626E-3</v>
      </c>
      <c r="AB196" s="13">
        <f t="shared" si="39"/>
        <v>-1.7157346722541096E-3</v>
      </c>
      <c r="AC196" s="13">
        <f t="shared" si="40"/>
        <v>-7.4081767856449404E-3</v>
      </c>
      <c r="AD196" s="52"/>
      <c r="AL196" s="38"/>
    </row>
    <row r="197" spans="1:38" x14ac:dyDescent="0.2">
      <c r="A197" s="43">
        <v>45436</v>
      </c>
      <c r="B197" s="19">
        <v>189.760345</v>
      </c>
      <c r="C197" s="19">
        <v>61.522624999999998</v>
      </c>
      <c r="D197" s="19">
        <v>199.603973</v>
      </c>
      <c r="E197" s="19">
        <v>17.241222</v>
      </c>
      <c r="F197" s="44">
        <v>5304.72</v>
      </c>
      <c r="G197" s="45">
        <v>5.0999999999999997E-2</v>
      </c>
      <c r="H197" s="37">
        <f t="shared" si="33"/>
        <v>1.9898816309771306E-4</v>
      </c>
      <c r="J197" s="6">
        <f t="shared" si="34"/>
        <v>1.6452046082168593E-2</v>
      </c>
      <c r="K197" s="6">
        <f t="shared" si="34"/>
        <v>-1.4505435120728959E-3</v>
      </c>
      <c r="L197" s="6">
        <f t="shared" si="34"/>
        <v>1.9063546062445577E-2</v>
      </c>
      <c r="M197" s="6">
        <f t="shared" si="34"/>
        <v>1.7157346722542091E-3</v>
      </c>
      <c r="N197" s="6">
        <f t="shared" si="34"/>
        <v>6.9765789150719763E-3</v>
      </c>
      <c r="O197" s="6">
        <f t="shared" si="35"/>
        <v>-1.1409441041977197E-2</v>
      </c>
      <c r="Q197" s="6"/>
      <c r="R197" s="13">
        <f t="shared" si="31"/>
        <v>1.625305791907088E-2</v>
      </c>
      <c r="S197" s="13">
        <f t="shared" si="31"/>
        <v>-1.649531675170609E-3</v>
      </c>
      <c r="T197" s="13">
        <f t="shared" si="31"/>
        <v>1.8864557899347864E-2</v>
      </c>
      <c r="U197" s="13">
        <f t="shared" si="31"/>
        <v>1.5167465091564961E-3</v>
      </c>
      <c r="V197" s="13">
        <f t="shared" si="31"/>
        <v>6.7775907519742632E-3</v>
      </c>
      <c r="W197" s="13"/>
      <c r="X197" s="52"/>
      <c r="Y197" s="13" t="str">
        <f t="shared" si="36"/>
        <v/>
      </c>
      <c r="Z197" s="13" t="str">
        <f t="shared" si="37"/>
        <v/>
      </c>
      <c r="AA197" s="13" t="str">
        <f t="shared" si="38"/>
        <v/>
      </c>
      <c r="AB197" s="13" t="str">
        <f t="shared" si="39"/>
        <v/>
      </c>
      <c r="AC197" s="13" t="str">
        <f t="shared" si="40"/>
        <v/>
      </c>
      <c r="AD197" s="52"/>
      <c r="AL197" s="38"/>
    </row>
    <row r="198" spans="1:38" x14ac:dyDescent="0.2">
      <c r="A198" s="43">
        <v>45440</v>
      </c>
      <c r="B198" s="19">
        <v>189.770355</v>
      </c>
      <c r="C198" s="19">
        <v>61.344009</v>
      </c>
      <c r="D198" s="19">
        <v>198.40063499999999</v>
      </c>
      <c r="E198" s="19">
        <v>17.014624000000001</v>
      </c>
      <c r="F198" s="44">
        <v>5306.04</v>
      </c>
      <c r="G198" s="45">
        <v>5.1299999999999998E-2</v>
      </c>
      <c r="H198" s="37">
        <f t="shared" si="33"/>
        <v>2.0012999773522111E-4</v>
      </c>
      <c r="J198" s="6">
        <f t="shared" si="34"/>
        <v>5.2749355993220789E-5</v>
      </c>
      <c r="K198" s="6">
        <f t="shared" si="34"/>
        <v>-2.907479760967422E-3</v>
      </c>
      <c r="L198" s="6">
        <f t="shared" si="34"/>
        <v>-6.0468730383955328E-3</v>
      </c>
      <c r="M198" s="6">
        <f t="shared" si="34"/>
        <v>-1.3229934834084642E-2</v>
      </c>
      <c r="N198" s="6">
        <f t="shared" si="34"/>
        <v>2.4880404548013993E-4</v>
      </c>
      <c r="O198" s="6">
        <f t="shared" si="35"/>
        <v>5.7218030386620624E-3</v>
      </c>
      <c r="Q198" s="6"/>
      <c r="R198" s="13">
        <f t="shared" si="31"/>
        <v>-1.4738064174200032E-4</v>
      </c>
      <c r="S198" s="13">
        <f t="shared" si="31"/>
        <v>-3.1076097587026431E-3</v>
      </c>
      <c r="T198" s="13">
        <f t="shared" si="31"/>
        <v>-6.2470030361307539E-3</v>
      </c>
      <c r="U198" s="13">
        <f t="shared" si="31"/>
        <v>-1.3430064831819863E-2</v>
      </c>
      <c r="V198" s="13">
        <f t="shared" si="31"/>
        <v>4.867404774491882E-5</v>
      </c>
      <c r="W198" s="13"/>
      <c r="X198" s="52"/>
      <c r="Y198" s="13">
        <f t="shared" si="36"/>
        <v>-5.6690536826688419E-3</v>
      </c>
      <c r="Z198" s="13">
        <f t="shared" si="37"/>
        <v>-8.6292827996294844E-3</v>
      </c>
      <c r="AA198" s="13">
        <f t="shared" si="38"/>
        <v>-1.1768676077057595E-2</v>
      </c>
      <c r="AB198" s="13">
        <f t="shared" si="39"/>
        <v>-1.8951737872746705E-2</v>
      </c>
      <c r="AC198" s="13">
        <f t="shared" si="40"/>
        <v>-5.4729989931819227E-3</v>
      </c>
      <c r="AD198" s="52"/>
      <c r="AL198" s="38"/>
    </row>
    <row r="199" spans="1:38" x14ac:dyDescent="0.2">
      <c r="A199" s="43">
        <v>45441</v>
      </c>
      <c r="B199" s="19">
        <v>190.06999200000001</v>
      </c>
      <c r="C199" s="19">
        <v>61.224933999999998</v>
      </c>
      <c r="D199" s="19">
        <v>197.01829499999999</v>
      </c>
      <c r="E199" s="19">
        <v>16.866841999999998</v>
      </c>
      <c r="F199" s="44">
        <v>5266.95</v>
      </c>
      <c r="G199" s="45">
        <v>5.1399999999999994E-2</v>
      </c>
      <c r="H199" s="37">
        <f t="shared" si="33"/>
        <v>2.0051053716385603E-4</v>
      </c>
      <c r="J199" s="6">
        <f t="shared" si="34"/>
        <v>1.5777000232845243E-3</v>
      </c>
      <c r="K199" s="6">
        <f t="shared" si="34"/>
        <v>-1.9429887302046369E-3</v>
      </c>
      <c r="L199" s="6">
        <f t="shared" si="34"/>
        <v>-6.99180300416376E-3</v>
      </c>
      <c r="M199" s="6">
        <f t="shared" si="34"/>
        <v>-8.7235267318123977E-3</v>
      </c>
      <c r="N199" s="6">
        <f t="shared" si="34"/>
        <v>-7.3943469365055463E-3</v>
      </c>
      <c r="O199" s="6">
        <f t="shared" si="35"/>
        <v>1.8996557258902202E-3</v>
      </c>
      <c r="Q199" s="6"/>
      <c r="R199" s="13">
        <f t="shared" si="31"/>
        <v>1.3771894861206683E-3</v>
      </c>
      <c r="S199" s="13">
        <f t="shared" si="31"/>
        <v>-2.1434992673684929E-3</v>
      </c>
      <c r="T199" s="13">
        <f t="shared" si="31"/>
        <v>-7.1923135413276161E-3</v>
      </c>
      <c r="U199" s="13">
        <f t="shared" si="31"/>
        <v>-8.9240372689762537E-3</v>
      </c>
      <c r="V199" s="13">
        <f t="shared" si="31"/>
        <v>-7.5948574736694023E-3</v>
      </c>
      <c r="W199" s="13"/>
      <c r="X199" s="52"/>
      <c r="Y199" s="13">
        <f t="shared" si="36"/>
        <v>-3.2195570260569592E-4</v>
      </c>
      <c r="Z199" s="13">
        <f t="shared" si="37"/>
        <v>-3.8426444560948573E-3</v>
      </c>
      <c r="AA199" s="13">
        <f t="shared" si="38"/>
        <v>-8.8914587300539805E-3</v>
      </c>
      <c r="AB199" s="13">
        <f t="shared" si="39"/>
        <v>-1.0623182457702617E-2</v>
      </c>
      <c r="AC199" s="13">
        <f t="shared" si="40"/>
        <v>-9.2940026623957658E-3</v>
      </c>
      <c r="AD199" s="52"/>
      <c r="AL199" s="38"/>
    </row>
    <row r="200" spans="1:38" x14ac:dyDescent="0.2">
      <c r="A200" s="43">
        <v>45442</v>
      </c>
      <c r="B200" s="19">
        <v>191.06883199999999</v>
      </c>
      <c r="C200" s="19">
        <v>61.492854999999999</v>
      </c>
      <c r="D200" s="19">
        <v>198.231583</v>
      </c>
      <c r="E200" s="19">
        <v>17.359449000000001</v>
      </c>
      <c r="F200" s="44">
        <v>5235.4799999999996</v>
      </c>
      <c r="G200" s="45">
        <v>5.1500000000000004E-2</v>
      </c>
      <c r="H200" s="37">
        <f t="shared" si="33"/>
        <v>2.0089104054554774E-4</v>
      </c>
      <c r="J200" s="6">
        <f t="shared" si="34"/>
        <v>5.2413568168104213E-3</v>
      </c>
      <c r="K200" s="6">
        <f t="shared" si="34"/>
        <v>4.3664643547632167E-3</v>
      </c>
      <c r="L200" s="6">
        <f t="shared" si="34"/>
        <v>6.1393658971166812E-3</v>
      </c>
      <c r="M200" s="6">
        <f t="shared" si="34"/>
        <v>2.8787286268958209E-2</v>
      </c>
      <c r="N200" s="6">
        <f t="shared" si="34"/>
        <v>-5.9929167225422977E-3</v>
      </c>
      <c r="O200" s="6">
        <f t="shared" si="35"/>
        <v>1.8958744399290306E-3</v>
      </c>
      <c r="Q200" s="6"/>
      <c r="R200" s="13">
        <f t="shared" si="31"/>
        <v>5.0404657762648736E-3</v>
      </c>
      <c r="S200" s="13">
        <f t="shared" si="31"/>
        <v>4.1655733142176689E-3</v>
      </c>
      <c r="T200" s="13">
        <f t="shared" si="31"/>
        <v>5.9384748565711335E-3</v>
      </c>
      <c r="U200" s="13">
        <f t="shared" si="31"/>
        <v>2.8586395228412661E-2</v>
      </c>
      <c r="V200" s="13">
        <f t="shared" si="31"/>
        <v>-6.1938077630878455E-3</v>
      </c>
      <c r="W200" s="13"/>
      <c r="X200" s="52"/>
      <c r="Y200" s="13" t="str">
        <f t="shared" si="36"/>
        <v/>
      </c>
      <c r="Z200" s="13" t="str">
        <f t="shared" si="37"/>
        <v/>
      </c>
      <c r="AA200" s="13" t="str">
        <f t="shared" si="38"/>
        <v/>
      </c>
      <c r="AB200" s="13" t="str">
        <f t="shared" si="39"/>
        <v/>
      </c>
      <c r="AC200" s="13">
        <f t="shared" si="40"/>
        <v>-7.888791162471329E-3</v>
      </c>
      <c r="AD200" s="52"/>
      <c r="AL200" s="38"/>
    </row>
    <row r="201" spans="1:38" x14ac:dyDescent="0.2">
      <c r="A201" s="43">
        <v>45443</v>
      </c>
      <c r="B201" s="19">
        <v>192.027725</v>
      </c>
      <c r="C201" s="19">
        <v>62.445464999999999</v>
      </c>
      <c r="D201" s="19">
        <v>201.513397</v>
      </c>
      <c r="E201" s="19">
        <v>17.950575000000001</v>
      </c>
      <c r="F201" s="44">
        <v>5277.51</v>
      </c>
      <c r="G201" s="45">
        <v>5.1399999999999994E-2</v>
      </c>
      <c r="H201" s="37">
        <f t="shared" si="33"/>
        <v>2.0051053716385603E-4</v>
      </c>
      <c r="J201" s="6">
        <f t="shared" si="34"/>
        <v>5.0060225548219234E-3</v>
      </c>
      <c r="K201" s="6">
        <f t="shared" si="34"/>
        <v>1.537262663889283E-2</v>
      </c>
      <c r="L201" s="6">
        <f t="shared" si="34"/>
        <v>1.6419907185533298E-2</v>
      </c>
      <c r="M201" s="6">
        <f t="shared" si="34"/>
        <v>3.3485178750257492E-2</v>
      </c>
      <c r="N201" s="6">
        <f t="shared" si="34"/>
        <v>7.9958649115222311E-3</v>
      </c>
      <c r="O201" s="6">
        <f t="shared" si="35"/>
        <v>-1.8958744399290869E-3</v>
      </c>
      <c r="Q201" s="6"/>
      <c r="R201" s="13">
        <f t="shared" si="31"/>
        <v>4.8055120176580673E-3</v>
      </c>
      <c r="S201" s="13">
        <f t="shared" si="31"/>
        <v>1.5172116101728974E-2</v>
      </c>
      <c r="T201" s="13">
        <f t="shared" si="31"/>
        <v>1.6219396648369442E-2</v>
      </c>
      <c r="U201" s="13">
        <f t="shared" si="31"/>
        <v>3.3284668213093636E-2</v>
      </c>
      <c r="V201" s="13">
        <f t="shared" si="31"/>
        <v>7.795354374358375E-3</v>
      </c>
      <c r="W201" s="13"/>
      <c r="X201" s="52"/>
      <c r="Y201" s="13" t="str">
        <f t="shared" si="36"/>
        <v/>
      </c>
      <c r="Z201" s="13" t="str">
        <f t="shared" si="37"/>
        <v/>
      </c>
      <c r="AA201" s="13" t="str">
        <f t="shared" si="38"/>
        <v/>
      </c>
      <c r="AB201" s="13" t="str">
        <f t="shared" si="39"/>
        <v/>
      </c>
      <c r="AC201" s="13" t="str">
        <f t="shared" si="40"/>
        <v/>
      </c>
      <c r="AD201" s="52"/>
      <c r="AL201" s="38"/>
    </row>
    <row r="202" spans="1:38" x14ac:dyDescent="0.2">
      <c r="A202" s="43">
        <v>45446</v>
      </c>
      <c r="B202" s="19">
        <v>193.80566400000001</v>
      </c>
      <c r="C202" s="19">
        <v>62.445464999999999</v>
      </c>
      <c r="D202" s="19">
        <v>200.70787000000001</v>
      </c>
      <c r="E202" s="19">
        <v>17.743680999999999</v>
      </c>
      <c r="F202" s="44">
        <v>5283.4</v>
      </c>
      <c r="G202" s="45">
        <v>5.16E-2</v>
      </c>
      <c r="H202" s="37">
        <f t="shared" si="33"/>
        <v>2.0127150788695758E-4</v>
      </c>
      <c r="J202" s="6">
        <f t="shared" si="34"/>
        <v>9.2161623911649945E-3</v>
      </c>
      <c r="K202" s="6">
        <f t="shared" si="34"/>
        <v>0</v>
      </c>
      <c r="L202" s="6">
        <f t="shared" si="34"/>
        <v>-4.0053977401266682E-3</v>
      </c>
      <c r="M202" s="6">
        <f t="shared" si="34"/>
        <v>-1.1592695309031092E-2</v>
      </c>
      <c r="N202" s="6">
        <f t="shared" si="34"/>
        <v>1.1154342969859781E-3</v>
      </c>
      <c r="O202" s="6">
        <f t="shared" si="35"/>
        <v>3.7879822774248887E-3</v>
      </c>
      <c r="Q202" s="6"/>
      <c r="R202" s="13">
        <f t="shared" si="31"/>
        <v>9.0148908832780369E-3</v>
      </c>
      <c r="S202" s="13">
        <f t="shared" si="31"/>
        <v>-2.0127150788695758E-4</v>
      </c>
      <c r="T202" s="13">
        <f t="shared" si="31"/>
        <v>-4.2066692480136258E-3</v>
      </c>
      <c r="U202" s="13">
        <f t="shared" si="31"/>
        <v>-1.179396681691805E-2</v>
      </c>
      <c r="V202" s="13">
        <f t="shared" si="31"/>
        <v>9.1416278909902055E-4</v>
      </c>
      <c r="W202" s="13"/>
      <c r="X202" s="52"/>
      <c r="Y202" s="13" t="str">
        <f t="shared" si="36"/>
        <v/>
      </c>
      <c r="Z202" s="13">
        <f t="shared" si="37"/>
        <v>-3.7879822774248887E-3</v>
      </c>
      <c r="AA202" s="13">
        <f t="shared" si="38"/>
        <v>-7.7933800175515565E-3</v>
      </c>
      <c r="AB202" s="13">
        <f t="shared" si="39"/>
        <v>-1.5380677586455982E-2</v>
      </c>
      <c r="AC202" s="13">
        <f t="shared" si="40"/>
        <v>-2.6725479804389106E-3</v>
      </c>
      <c r="AD202" s="52"/>
      <c r="AL202" s="38"/>
    </row>
    <row r="203" spans="1:38" x14ac:dyDescent="0.2">
      <c r="A203" s="43">
        <v>45447</v>
      </c>
      <c r="B203" s="19">
        <v>194.125305</v>
      </c>
      <c r="C203" s="19">
        <v>63.447685</v>
      </c>
      <c r="D203" s="19">
        <v>198.06251499999999</v>
      </c>
      <c r="E203" s="19">
        <v>18.078652999999999</v>
      </c>
      <c r="F203" s="44">
        <v>5291.34</v>
      </c>
      <c r="G203" s="45">
        <v>5.2000000000000005E-2</v>
      </c>
      <c r="H203" s="37">
        <f t="shared" si="33"/>
        <v>2.0279301698633567E-4</v>
      </c>
      <c r="J203" s="6">
        <f t="shared" si="34"/>
        <v>1.6479275844381797E-3</v>
      </c>
      <c r="K203" s="6">
        <f t="shared" si="34"/>
        <v>1.5922092232906072E-2</v>
      </c>
      <c r="L203" s="6">
        <f t="shared" si="34"/>
        <v>-1.3267754604042227E-2</v>
      </c>
      <c r="M203" s="6">
        <f t="shared" si="34"/>
        <v>1.8702397437831947E-2</v>
      </c>
      <c r="N203" s="6">
        <f t="shared" si="34"/>
        <v>1.5016920495655548E-3</v>
      </c>
      <c r="O203" s="6">
        <f t="shared" si="35"/>
        <v>7.5310560416541605E-3</v>
      </c>
      <c r="Q203" s="6"/>
      <c r="R203" s="13">
        <f t="shared" si="31"/>
        <v>1.445134567451844E-3</v>
      </c>
      <c r="S203" s="13">
        <f t="shared" si="31"/>
        <v>1.5719299215919736E-2</v>
      </c>
      <c r="T203" s="13">
        <f t="shared" si="31"/>
        <v>-1.3470547621028563E-2</v>
      </c>
      <c r="U203" s="13">
        <f t="shared" si="31"/>
        <v>1.8499604420845611E-2</v>
      </c>
      <c r="V203" s="13">
        <f t="shared" si="31"/>
        <v>1.2988990325792191E-3</v>
      </c>
      <c r="W203" s="13"/>
      <c r="X203" s="52"/>
      <c r="Y203" s="13">
        <f t="shared" si="36"/>
        <v>-5.8831284572159808E-3</v>
      </c>
      <c r="Z203" s="13" t="str">
        <f t="shared" si="37"/>
        <v/>
      </c>
      <c r="AA203" s="13">
        <f t="shared" si="38"/>
        <v>-2.0798810645696386E-2</v>
      </c>
      <c r="AB203" s="13" t="str">
        <f t="shared" si="39"/>
        <v/>
      </c>
      <c r="AC203" s="13">
        <f t="shared" si="40"/>
        <v>-6.029363992088606E-3</v>
      </c>
      <c r="AD203" s="52"/>
      <c r="AL203" s="38"/>
    </row>
    <row r="204" spans="1:38" x14ac:dyDescent="0.2">
      <c r="A204" s="43">
        <v>45448</v>
      </c>
      <c r="B204" s="19">
        <v>195.643539</v>
      </c>
      <c r="C204" s="19">
        <v>63.427836999999997</v>
      </c>
      <c r="D204" s="19">
        <v>196.17297400000001</v>
      </c>
      <c r="E204" s="19">
        <v>18.029392000000001</v>
      </c>
      <c r="F204" s="44">
        <v>5354.03</v>
      </c>
      <c r="G204" s="45">
        <v>5.21E-2</v>
      </c>
      <c r="H204" s="37">
        <f t="shared" si="33"/>
        <v>2.0317330422892077E-4</v>
      </c>
      <c r="J204" s="6">
        <f t="shared" si="34"/>
        <v>7.7904722351031866E-3</v>
      </c>
      <c r="K204" s="6">
        <f t="shared" si="34"/>
        <v>-3.1287359214828865E-4</v>
      </c>
      <c r="L204" s="6">
        <f t="shared" si="34"/>
        <v>-9.5859227382981537E-3</v>
      </c>
      <c r="M204" s="6">
        <f t="shared" si="34"/>
        <v>-2.7285349047250127E-3</v>
      </c>
      <c r="N204" s="6">
        <f t="shared" si="34"/>
        <v>1.1778026448059028E-2</v>
      </c>
      <c r="O204" s="6">
        <f t="shared" si="35"/>
        <v>1.8734921294942879E-3</v>
      </c>
      <c r="Q204" s="6"/>
      <c r="R204" s="13">
        <f t="shared" si="31"/>
        <v>7.5872989308742658E-3</v>
      </c>
      <c r="S204" s="13">
        <f t="shared" si="31"/>
        <v>-5.1604689637720948E-4</v>
      </c>
      <c r="T204" s="13">
        <f t="shared" si="31"/>
        <v>-9.7890960425270745E-3</v>
      </c>
      <c r="U204" s="13">
        <f t="shared" si="31"/>
        <v>-2.9317082089539335E-3</v>
      </c>
      <c r="V204" s="13">
        <f t="shared" si="31"/>
        <v>1.1574853143830107E-2</v>
      </c>
      <c r="W204" s="13"/>
      <c r="X204" s="52"/>
      <c r="Y204" s="13" t="str">
        <f t="shared" si="36"/>
        <v/>
      </c>
      <c r="Z204" s="13">
        <f t="shared" si="37"/>
        <v>-2.1863657216425764E-3</v>
      </c>
      <c r="AA204" s="13">
        <f t="shared" si="38"/>
        <v>-1.1459414867792441E-2</v>
      </c>
      <c r="AB204" s="13">
        <f t="shared" si="39"/>
        <v>-4.6020270342193009E-3</v>
      </c>
      <c r="AC204" s="13" t="str">
        <f t="shared" si="40"/>
        <v/>
      </c>
      <c r="AD204" s="52"/>
      <c r="AL204" s="38"/>
    </row>
    <row r="205" spans="1:38" x14ac:dyDescent="0.2">
      <c r="A205" s="43">
        <v>45449</v>
      </c>
      <c r="B205" s="19">
        <v>194.25514200000001</v>
      </c>
      <c r="C205" s="19">
        <v>63.656070999999997</v>
      </c>
      <c r="D205" s="19">
        <v>195.82492099999999</v>
      </c>
      <c r="E205" s="19">
        <v>18.009689000000002</v>
      </c>
      <c r="F205" s="44">
        <v>5352.96</v>
      </c>
      <c r="G205" s="45">
        <v>5.21E-2</v>
      </c>
      <c r="H205" s="37">
        <f t="shared" si="33"/>
        <v>2.0317330422892077E-4</v>
      </c>
      <c r="J205" s="6">
        <f t="shared" si="34"/>
        <v>-7.121864915451831E-3</v>
      </c>
      <c r="K205" s="6">
        <f t="shared" si="34"/>
        <v>3.5918669636785371E-3</v>
      </c>
      <c r="L205" s="6">
        <f t="shared" si="34"/>
        <v>-1.7757906147097171E-3</v>
      </c>
      <c r="M205" s="6">
        <f t="shared" si="34"/>
        <v>-1.0934242170624129E-3</v>
      </c>
      <c r="N205" s="6">
        <f t="shared" si="34"/>
        <v>-1.9986943175659869E-4</v>
      </c>
      <c r="O205" s="6">
        <f t="shared" si="35"/>
        <v>0</v>
      </c>
      <c r="Q205" s="6"/>
      <c r="R205" s="13">
        <f t="shared" si="31"/>
        <v>-7.3250382196807517E-3</v>
      </c>
      <c r="S205" s="13">
        <f t="shared" si="31"/>
        <v>3.3886936594496164E-3</v>
      </c>
      <c r="T205" s="13">
        <f t="shared" si="31"/>
        <v>-1.9789639189386381E-3</v>
      </c>
      <c r="U205" s="13">
        <f t="shared" si="31"/>
        <v>-1.2965975212913337E-3</v>
      </c>
      <c r="V205" s="13">
        <f t="shared" si="31"/>
        <v>-4.0304273598551943E-4</v>
      </c>
      <c r="W205" s="13"/>
      <c r="X205" s="52"/>
      <c r="Y205" s="13">
        <f t="shared" si="36"/>
        <v>-7.121864915451831E-3</v>
      </c>
      <c r="Z205" s="13" t="str">
        <f t="shared" si="37"/>
        <v/>
      </c>
      <c r="AA205" s="13">
        <f t="shared" si="38"/>
        <v>-1.7757906147097171E-3</v>
      </c>
      <c r="AB205" s="13">
        <f t="shared" si="39"/>
        <v>-1.0934242170624129E-3</v>
      </c>
      <c r="AC205" s="13">
        <f t="shared" si="40"/>
        <v>-1.9986943175659869E-4</v>
      </c>
      <c r="AD205" s="52"/>
      <c r="AL205" s="38"/>
    </row>
    <row r="206" spans="1:38" x14ac:dyDescent="0.2">
      <c r="A206" s="43">
        <v>45450</v>
      </c>
      <c r="B206" s="19">
        <v>196.66236900000001</v>
      </c>
      <c r="C206" s="19">
        <v>63.417918999999998</v>
      </c>
      <c r="D206" s="19">
        <v>198.84816000000001</v>
      </c>
      <c r="E206" s="19">
        <v>17.832352</v>
      </c>
      <c r="F206" s="44">
        <v>5346.99</v>
      </c>
      <c r="G206" s="45">
        <v>5.21E-2</v>
      </c>
      <c r="H206" s="37">
        <f t="shared" si="33"/>
        <v>2.0317330422892077E-4</v>
      </c>
      <c r="J206" s="6">
        <f t="shared" si="34"/>
        <v>1.2315935510636394E-2</v>
      </c>
      <c r="K206" s="6">
        <f t="shared" si="34"/>
        <v>-3.748245865629597E-3</v>
      </c>
      <c r="L206" s="6">
        <f t="shared" si="34"/>
        <v>1.5320518573155651E-2</v>
      </c>
      <c r="M206" s="6">
        <f t="shared" si="34"/>
        <v>-9.8955551720559757E-3</v>
      </c>
      <c r="N206" s="6">
        <f t="shared" si="34"/>
        <v>-1.1158931807150971E-3</v>
      </c>
      <c r="O206" s="6">
        <f t="shared" si="35"/>
        <v>0</v>
      </c>
      <c r="Q206" s="6"/>
      <c r="R206" s="13">
        <f t="shared" si="31"/>
        <v>1.2112762206407474E-2</v>
      </c>
      <c r="S206" s="13">
        <f t="shared" si="31"/>
        <v>-3.9514191698585173E-3</v>
      </c>
      <c r="T206" s="13">
        <f t="shared" si="31"/>
        <v>1.5117345268926731E-2</v>
      </c>
      <c r="U206" s="13">
        <f t="shared" si="31"/>
        <v>-1.0098728476284896E-2</v>
      </c>
      <c r="V206" s="13">
        <f t="shared" si="31"/>
        <v>-1.3190664849440179E-3</v>
      </c>
      <c r="W206" s="13"/>
      <c r="X206" s="52"/>
      <c r="Y206" s="13" t="str">
        <f t="shared" si="36"/>
        <v/>
      </c>
      <c r="Z206" s="13">
        <f t="shared" si="37"/>
        <v>-3.748245865629597E-3</v>
      </c>
      <c r="AA206" s="13" t="str">
        <f t="shared" si="38"/>
        <v/>
      </c>
      <c r="AB206" s="13">
        <f t="shared" si="39"/>
        <v>-9.8955551720559757E-3</v>
      </c>
      <c r="AC206" s="13">
        <f t="shared" si="40"/>
        <v>-1.1158931807150971E-3</v>
      </c>
      <c r="AD206" s="52"/>
      <c r="AL206" s="38"/>
    </row>
    <row r="207" spans="1:38" x14ac:dyDescent="0.2">
      <c r="A207" s="43">
        <v>45453</v>
      </c>
      <c r="B207" s="19">
        <v>192.89671300000001</v>
      </c>
      <c r="C207" s="19">
        <v>63.100383999999998</v>
      </c>
      <c r="D207" s="19">
        <v>198.51004</v>
      </c>
      <c r="E207" s="19">
        <v>17.5959</v>
      </c>
      <c r="F207" s="44">
        <v>5360.79</v>
      </c>
      <c r="G207" s="45">
        <v>5.2199999999999996E-2</v>
      </c>
      <c r="H207" s="37">
        <f t="shared" si="33"/>
        <v>2.0355355547230225E-4</v>
      </c>
      <c r="J207" s="6">
        <f t="shared" si="34"/>
        <v>-1.9333515601065478E-2</v>
      </c>
      <c r="K207" s="6">
        <f t="shared" si="34"/>
        <v>-5.0196004719991047E-3</v>
      </c>
      <c r="L207" s="6">
        <f t="shared" si="34"/>
        <v>-1.7018402117130581E-3</v>
      </c>
      <c r="M207" s="6">
        <f t="shared" si="34"/>
        <v>-1.3348415321843266E-2</v>
      </c>
      <c r="N207" s="6">
        <f t="shared" si="34"/>
        <v>2.5775665246065955E-3</v>
      </c>
      <c r="O207" s="6">
        <f t="shared" si="35"/>
        <v>1.8698118656184917E-3</v>
      </c>
      <c r="Q207" s="6"/>
      <c r="R207" s="13">
        <f t="shared" ref="R207:V254" si="41">+J207-$H207</f>
        <v>-1.953706915653778E-2</v>
      </c>
      <c r="S207" s="13">
        <f t="shared" si="41"/>
        <v>-5.2231540274714069E-3</v>
      </c>
      <c r="T207" s="13">
        <f t="shared" si="41"/>
        <v>-1.9053937671853604E-3</v>
      </c>
      <c r="U207" s="13">
        <f t="shared" si="41"/>
        <v>-1.3551968877315568E-2</v>
      </c>
      <c r="V207" s="13">
        <f t="shared" si="41"/>
        <v>2.3740129691342932E-3</v>
      </c>
      <c r="W207" s="13"/>
      <c r="X207" s="52"/>
      <c r="Y207" s="13">
        <f t="shared" si="36"/>
        <v>-2.120332746668397E-2</v>
      </c>
      <c r="Z207" s="13">
        <f t="shared" si="37"/>
        <v>-6.8894123376175963E-3</v>
      </c>
      <c r="AA207" s="13">
        <f t="shared" si="38"/>
        <v>-3.5716520773315498E-3</v>
      </c>
      <c r="AB207" s="13">
        <f t="shared" si="39"/>
        <v>-1.5218227187461759E-2</v>
      </c>
      <c r="AC207" s="13" t="str">
        <f t="shared" si="40"/>
        <v/>
      </c>
      <c r="AD207" s="52"/>
      <c r="AL207" s="38"/>
    </row>
    <row r="208" spans="1:38" x14ac:dyDescent="0.2">
      <c r="A208" s="43">
        <v>45454</v>
      </c>
      <c r="B208" s="19">
        <v>206.910492</v>
      </c>
      <c r="C208" s="19">
        <v>63.060687999999999</v>
      </c>
      <c r="D208" s="19">
        <v>193.288971</v>
      </c>
      <c r="E208" s="19">
        <v>17.5959</v>
      </c>
      <c r="F208" s="44">
        <v>5375.32</v>
      </c>
      <c r="G208" s="45">
        <v>5.1900000000000002E-2</v>
      </c>
      <c r="H208" s="37">
        <f t="shared" si="33"/>
        <v>2.0241269373766357E-4</v>
      </c>
      <c r="J208" s="6">
        <f t="shared" si="34"/>
        <v>7.0131414104475584E-2</v>
      </c>
      <c r="K208" s="6">
        <f t="shared" si="34"/>
        <v>-6.2929080548693986E-4</v>
      </c>
      <c r="L208" s="6">
        <f t="shared" si="34"/>
        <v>-2.6653349995766375E-2</v>
      </c>
      <c r="M208" s="6">
        <f t="shared" si="34"/>
        <v>0</v>
      </c>
      <c r="N208" s="6">
        <f t="shared" si="34"/>
        <v>2.7067548434573357E-3</v>
      </c>
      <c r="O208" s="6">
        <f t="shared" si="35"/>
        <v>-5.6204905711627999E-3</v>
      </c>
      <c r="Q208" s="6"/>
      <c r="R208" s="13">
        <f t="shared" si="41"/>
        <v>6.992900141073792E-2</v>
      </c>
      <c r="S208" s="13">
        <f t="shared" si="41"/>
        <v>-8.3170349922460343E-4</v>
      </c>
      <c r="T208" s="13">
        <f t="shared" si="41"/>
        <v>-2.6855762689504039E-2</v>
      </c>
      <c r="U208" s="13">
        <f t="shared" si="41"/>
        <v>-2.0241269373766357E-4</v>
      </c>
      <c r="V208" s="13">
        <f t="shared" si="41"/>
        <v>2.5043421497196721E-3</v>
      </c>
      <c r="W208" s="13"/>
      <c r="X208" s="52"/>
      <c r="Y208" s="13" t="str">
        <f t="shared" si="36"/>
        <v/>
      </c>
      <c r="Z208" s="13" t="str">
        <f t="shared" si="37"/>
        <v/>
      </c>
      <c r="AA208" s="13">
        <f t="shared" si="38"/>
        <v>-2.1032859424603575E-2</v>
      </c>
      <c r="AB208" s="13" t="str">
        <f t="shared" si="39"/>
        <v/>
      </c>
      <c r="AC208" s="13" t="str">
        <f t="shared" si="40"/>
        <v/>
      </c>
      <c r="AD208" s="52"/>
      <c r="AL208" s="38"/>
    </row>
    <row r="209" spans="1:38" x14ac:dyDescent="0.2">
      <c r="A209" s="43">
        <v>45455</v>
      </c>
      <c r="B209" s="19">
        <v>212.823669</v>
      </c>
      <c r="C209" s="19">
        <v>62.395851</v>
      </c>
      <c r="D209" s="19">
        <v>190.47456399999999</v>
      </c>
      <c r="E209" s="19">
        <v>17.349598</v>
      </c>
      <c r="F209" s="44">
        <v>5421.03</v>
      </c>
      <c r="G209" s="45">
        <v>5.1799999999999999E-2</v>
      </c>
      <c r="H209" s="37">
        <f t="shared" si="33"/>
        <v>2.0203233447624314E-4</v>
      </c>
      <c r="J209" s="6">
        <f t="shared" si="34"/>
        <v>2.8177683832117249E-2</v>
      </c>
      <c r="K209" s="6">
        <f t="shared" si="34"/>
        <v>-1.0598781521427382E-2</v>
      </c>
      <c r="L209" s="6">
        <f t="shared" si="34"/>
        <v>-1.4667664855327797E-2</v>
      </c>
      <c r="M209" s="6">
        <f t="shared" si="34"/>
        <v>-1.4096584264906203E-2</v>
      </c>
      <c r="N209" s="6">
        <f t="shared" si="34"/>
        <v>8.4677271718827819E-3</v>
      </c>
      <c r="O209" s="6">
        <f t="shared" si="35"/>
        <v>-1.8808952862412942E-3</v>
      </c>
      <c r="Q209" s="6"/>
      <c r="R209" s="13">
        <f t="shared" si="41"/>
        <v>2.7975651497641005E-2</v>
      </c>
      <c r="S209" s="13">
        <f t="shared" si="41"/>
        <v>-1.0800813855903625E-2</v>
      </c>
      <c r="T209" s="13">
        <f t="shared" si="41"/>
        <v>-1.486969718980404E-2</v>
      </c>
      <c r="U209" s="13">
        <f t="shared" si="41"/>
        <v>-1.4298616599382447E-2</v>
      </c>
      <c r="V209" s="13">
        <f t="shared" si="41"/>
        <v>8.2656948374065387E-3</v>
      </c>
      <c r="W209" s="13"/>
      <c r="X209" s="52"/>
      <c r="Y209" s="13" t="str">
        <f t="shared" si="36"/>
        <v/>
      </c>
      <c r="Z209" s="13">
        <f t="shared" si="37"/>
        <v>-8.717886235186087E-3</v>
      </c>
      <c r="AA209" s="13">
        <f t="shared" si="38"/>
        <v>-1.2786769569086504E-2</v>
      </c>
      <c r="AB209" s="13">
        <f t="shared" si="39"/>
        <v>-1.2215688978664908E-2</v>
      </c>
      <c r="AC209" s="13" t="str">
        <f t="shared" si="40"/>
        <v/>
      </c>
      <c r="AD209" s="52"/>
      <c r="AL209" s="38"/>
    </row>
    <row r="210" spans="1:38" x14ac:dyDescent="0.2">
      <c r="A210" s="43">
        <v>45456</v>
      </c>
      <c r="B210" s="19">
        <v>213.99231</v>
      </c>
      <c r="C210" s="19">
        <v>62.505004999999997</v>
      </c>
      <c r="D210" s="19">
        <v>192.59283400000001</v>
      </c>
      <c r="E210" s="19">
        <v>17.408709000000002</v>
      </c>
      <c r="F210" s="44">
        <v>5433.74</v>
      </c>
      <c r="G210" s="45">
        <v>5.1399999999999994E-2</v>
      </c>
      <c r="H210" s="37">
        <f t="shared" si="33"/>
        <v>2.0051053716385603E-4</v>
      </c>
      <c r="J210" s="6">
        <f t="shared" si="34"/>
        <v>5.4761020107099078E-3</v>
      </c>
      <c r="K210" s="6">
        <f t="shared" si="34"/>
        <v>1.7478507559406556E-3</v>
      </c>
      <c r="L210" s="6">
        <f t="shared" si="34"/>
        <v>1.1059628683795456E-2</v>
      </c>
      <c r="M210" s="6">
        <f t="shared" si="34"/>
        <v>3.4012621492683047E-3</v>
      </c>
      <c r="N210" s="6">
        <f t="shared" si="34"/>
        <v>2.341828672305396E-3</v>
      </c>
      <c r="O210" s="6">
        <f t="shared" si="35"/>
        <v>-7.5609564567877055E-3</v>
      </c>
      <c r="Q210" s="6"/>
      <c r="R210" s="13">
        <f t="shared" si="41"/>
        <v>5.2755914735460518E-3</v>
      </c>
      <c r="S210" s="13">
        <f t="shared" si="41"/>
        <v>1.5473402187767995E-3</v>
      </c>
      <c r="T210" s="13">
        <f t="shared" si="41"/>
        <v>1.08591181466316E-2</v>
      </c>
      <c r="U210" s="13">
        <f t="shared" si="41"/>
        <v>3.2007516121044487E-3</v>
      </c>
      <c r="V210" s="13">
        <f t="shared" si="41"/>
        <v>2.14131813514154E-3</v>
      </c>
      <c r="W210" s="13"/>
      <c r="X210" s="52"/>
      <c r="Y210" s="13" t="str">
        <f t="shared" si="36"/>
        <v/>
      </c>
      <c r="Z210" s="13" t="str">
        <f t="shared" si="37"/>
        <v/>
      </c>
      <c r="AA210" s="13" t="str">
        <f t="shared" si="38"/>
        <v/>
      </c>
      <c r="AB210" s="13" t="str">
        <f t="shared" si="39"/>
        <v/>
      </c>
      <c r="AC210" s="13" t="str">
        <f t="shared" si="40"/>
        <v/>
      </c>
      <c r="AD210" s="52"/>
      <c r="AL210" s="38"/>
    </row>
    <row r="211" spans="1:38" x14ac:dyDescent="0.2">
      <c r="A211" s="43">
        <v>45457</v>
      </c>
      <c r="B211" s="19">
        <v>212.244339</v>
      </c>
      <c r="C211" s="19">
        <v>62.549999</v>
      </c>
      <c r="D211" s="19">
        <v>192.71215799999999</v>
      </c>
      <c r="E211" s="19">
        <v>17.379152000000001</v>
      </c>
      <c r="F211" s="44">
        <v>5431.6</v>
      </c>
      <c r="G211" s="45">
        <v>5.1100000000000007E-2</v>
      </c>
      <c r="H211" s="37">
        <f t="shared" si="33"/>
        <v>1.9936881070892198E-4</v>
      </c>
      <c r="J211" s="6">
        <f t="shared" si="34"/>
        <v>-8.2019263390725322E-3</v>
      </c>
      <c r="K211" s="6">
        <f t="shared" si="34"/>
        <v>7.1958738958610062E-4</v>
      </c>
      <c r="L211" s="6">
        <f t="shared" si="34"/>
        <v>6.1937429460877716E-4</v>
      </c>
      <c r="M211" s="6">
        <f t="shared" si="34"/>
        <v>-1.6992713126116508E-3</v>
      </c>
      <c r="N211" s="6">
        <f t="shared" si="34"/>
        <v>-3.9391312700216223E-4</v>
      </c>
      <c r="O211" s="6">
        <f t="shared" si="35"/>
        <v>-5.7103702078565256E-3</v>
      </c>
      <c r="Q211" s="6"/>
      <c r="R211" s="13">
        <f t="shared" si="41"/>
        <v>-8.4012951497814542E-3</v>
      </c>
      <c r="S211" s="13">
        <f t="shared" si="41"/>
        <v>5.2021857887717864E-4</v>
      </c>
      <c r="T211" s="13">
        <f t="shared" si="41"/>
        <v>4.2000548389985518E-4</v>
      </c>
      <c r="U211" s="13">
        <f t="shared" si="41"/>
        <v>-1.8986401233205728E-3</v>
      </c>
      <c r="V211" s="13">
        <f t="shared" si="41"/>
        <v>-5.9328193771108421E-4</v>
      </c>
      <c r="W211" s="13"/>
      <c r="X211" s="52"/>
      <c r="Y211" s="13">
        <f t="shared" si="36"/>
        <v>-2.4915561312160066E-3</v>
      </c>
      <c r="Z211" s="13" t="str">
        <f t="shared" si="37"/>
        <v/>
      </c>
      <c r="AA211" s="13" t="str">
        <f t="shared" si="38"/>
        <v/>
      </c>
      <c r="AB211" s="13" t="str">
        <f t="shared" si="39"/>
        <v/>
      </c>
      <c r="AC211" s="13" t="str">
        <f t="shared" si="40"/>
        <v/>
      </c>
      <c r="AD211" s="52"/>
      <c r="AL211" s="38"/>
    </row>
    <row r="212" spans="1:38" x14ac:dyDescent="0.2">
      <c r="A212" s="43">
        <v>45460</v>
      </c>
      <c r="B212" s="19">
        <v>216.41949500000001</v>
      </c>
      <c r="C212" s="19">
        <v>62.619999</v>
      </c>
      <c r="D212" s="19">
        <v>193.90554800000001</v>
      </c>
      <c r="E212" s="19">
        <v>17.408709000000002</v>
      </c>
      <c r="F212" s="44">
        <v>5473.23</v>
      </c>
      <c r="G212" s="45">
        <v>5.0799999999999998E-2</v>
      </c>
      <c r="H212" s="37">
        <f t="shared" si="33"/>
        <v>1.9822675964520364E-4</v>
      </c>
      <c r="J212" s="6">
        <f t="shared" si="34"/>
        <v>1.948047725735666E-2</v>
      </c>
      <c r="K212" s="6">
        <f t="shared" si="34"/>
        <v>1.1184790032108326E-3</v>
      </c>
      <c r="L212" s="6">
        <f t="shared" si="34"/>
        <v>6.1735082056717516E-3</v>
      </c>
      <c r="M212" s="6">
        <f t="shared" si="34"/>
        <v>1.6992713126115697E-3</v>
      </c>
      <c r="N212" s="6">
        <f t="shared" si="34"/>
        <v>7.6351859201040807E-3</v>
      </c>
      <c r="O212" s="6">
        <f t="shared" si="35"/>
        <v>-5.7448034624890849E-3</v>
      </c>
      <c r="Q212" s="6"/>
      <c r="R212" s="13">
        <f t="shared" si="41"/>
        <v>1.9282250497711456E-2</v>
      </c>
      <c r="S212" s="13">
        <f t="shared" si="41"/>
        <v>9.2025224356562891E-4</v>
      </c>
      <c r="T212" s="13">
        <f t="shared" si="41"/>
        <v>5.975281446026548E-3</v>
      </c>
      <c r="U212" s="13">
        <f t="shared" si="41"/>
        <v>1.501044552966366E-3</v>
      </c>
      <c r="V212" s="13">
        <f t="shared" si="41"/>
        <v>7.436959160458877E-3</v>
      </c>
      <c r="W212" s="13"/>
      <c r="X212" s="52"/>
      <c r="Y212" s="13" t="str">
        <f t="shared" si="36"/>
        <v/>
      </c>
      <c r="Z212" s="13" t="str">
        <f t="shared" si="37"/>
        <v/>
      </c>
      <c r="AA212" s="13" t="str">
        <f t="shared" si="38"/>
        <v/>
      </c>
      <c r="AB212" s="13" t="str">
        <f t="shared" si="39"/>
        <v/>
      </c>
      <c r="AC212" s="13" t="str">
        <f t="shared" si="40"/>
        <v/>
      </c>
      <c r="AD212" s="52"/>
      <c r="AL212" s="38"/>
    </row>
    <row r="213" spans="1:38" x14ac:dyDescent="0.2">
      <c r="A213" s="43">
        <v>45461</v>
      </c>
      <c r="B213" s="19">
        <v>214.042236</v>
      </c>
      <c r="C213" s="19">
        <v>62.630001</v>
      </c>
      <c r="D213" s="19">
        <v>195.914413</v>
      </c>
      <c r="E213" s="19">
        <v>17.783089</v>
      </c>
      <c r="F213" s="44">
        <v>5487.03</v>
      </c>
      <c r="G213" s="45">
        <v>5.0799999999999998E-2</v>
      </c>
      <c r="H213" s="37">
        <f t="shared" si="33"/>
        <v>1.9822675964520364E-4</v>
      </c>
      <c r="J213" s="6">
        <f t="shared" si="34"/>
        <v>-1.1045270681009117E-2</v>
      </c>
      <c r="K213" s="6">
        <f t="shared" si="34"/>
        <v>1.5971257518978638E-4</v>
      </c>
      <c r="L213" s="6">
        <f t="shared" si="34"/>
        <v>1.030672096955205E-2</v>
      </c>
      <c r="M213" s="6">
        <f t="shared" si="34"/>
        <v>2.1277351283956945E-2</v>
      </c>
      <c r="N213" s="6">
        <f t="shared" si="34"/>
        <v>2.5181897678469146E-3</v>
      </c>
      <c r="O213" s="6">
        <f t="shared" si="35"/>
        <v>0</v>
      </c>
      <c r="Q213" s="6"/>
      <c r="R213" s="13">
        <f t="shared" si="41"/>
        <v>-1.124349744065432E-2</v>
      </c>
      <c r="S213" s="13">
        <f t="shared" si="41"/>
        <v>-3.8514184455417267E-5</v>
      </c>
      <c r="T213" s="13">
        <f t="shared" si="41"/>
        <v>1.0108494209906846E-2</v>
      </c>
      <c r="U213" s="13">
        <f t="shared" si="41"/>
        <v>2.1079124524311741E-2</v>
      </c>
      <c r="V213" s="13">
        <f t="shared" si="41"/>
        <v>2.319963008201711E-3</v>
      </c>
      <c r="W213" s="13"/>
      <c r="X213" s="52"/>
      <c r="Y213" s="13">
        <f t="shared" si="36"/>
        <v>-1.1045270681009117E-2</v>
      </c>
      <c r="Z213" s="13" t="str">
        <f t="shared" si="37"/>
        <v/>
      </c>
      <c r="AA213" s="13" t="str">
        <f t="shared" si="38"/>
        <v/>
      </c>
      <c r="AB213" s="13" t="str">
        <f t="shared" si="39"/>
        <v/>
      </c>
      <c r="AC213" s="13" t="str">
        <f t="shared" si="40"/>
        <v/>
      </c>
      <c r="AD213" s="52"/>
      <c r="AL213" s="38"/>
    </row>
    <row r="214" spans="1:38" x14ac:dyDescent="0.2">
      <c r="A214" s="43">
        <v>45463</v>
      </c>
      <c r="B214" s="19">
        <v>209.43757600000001</v>
      </c>
      <c r="C214" s="19">
        <v>62.18</v>
      </c>
      <c r="D214" s="19">
        <v>197.575211</v>
      </c>
      <c r="E214" s="19">
        <v>17.842203000000001</v>
      </c>
      <c r="F214" s="44">
        <v>5473.17</v>
      </c>
      <c r="G214" s="45">
        <v>5.1699999999999996E-2</v>
      </c>
      <c r="H214" s="37">
        <f t="shared" si="33"/>
        <v>2.0165193919474689E-4</v>
      </c>
      <c r="J214" s="6">
        <f t="shared" si="34"/>
        <v>-2.1747631659808291E-2</v>
      </c>
      <c r="K214" s="6">
        <f t="shared" si="34"/>
        <v>-7.2110078735026766E-3</v>
      </c>
      <c r="L214" s="6">
        <f t="shared" si="34"/>
        <v>8.4414315435738397E-3</v>
      </c>
      <c r="M214" s="6">
        <f t="shared" si="34"/>
        <v>3.3186565462668526E-3</v>
      </c>
      <c r="N214" s="6">
        <f t="shared" si="34"/>
        <v>-2.5291522760688338E-3</v>
      </c>
      <c r="O214" s="6">
        <f t="shared" si="35"/>
        <v>1.7131511781081622E-2</v>
      </c>
      <c r="Q214" s="6"/>
      <c r="R214" s="13">
        <f t="shared" si="41"/>
        <v>-2.1949283599003038E-2</v>
      </c>
      <c r="S214" s="13">
        <f t="shared" si="41"/>
        <v>-7.4126598126974235E-3</v>
      </c>
      <c r="T214" s="13">
        <f t="shared" si="41"/>
        <v>8.2397796043790928E-3</v>
      </c>
      <c r="U214" s="13">
        <f t="shared" si="41"/>
        <v>3.1170046070721057E-3</v>
      </c>
      <c r="V214" s="13">
        <f t="shared" si="41"/>
        <v>-2.7308042152635807E-3</v>
      </c>
      <c r="W214" s="13"/>
      <c r="X214" s="52"/>
      <c r="Y214" s="13">
        <f t="shared" si="36"/>
        <v>-3.8879143440889913E-2</v>
      </c>
      <c r="Z214" s="13">
        <f t="shared" si="37"/>
        <v>-2.4342519654584296E-2</v>
      </c>
      <c r="AA214" s="13">
        <f t="shared" si="38"/>
        <v>-8.6900802375077819E-3</v>
      </c>
      <c r="AB214" s="13">
        <f t="shared" si="39"/>
        <v>-1.3812855234814769E-2</v>
      </c>
      <c r="AC214" s="13">
        <f t="shared" si="40"/>
        <v>-1.9660664057150456E-2</v>
      </c>
      <c r="AD214" s="52"/>
      <c r="AL214" s="38"/>
    </row>
    <row r="215" spans="1:38" x14ac:dyDescent="0.2">
      <c r="A215" s="43">
        <v>45464</v>
      </c>
      <c r="B215" s="19">
        <v>207.250122</v>
      </c>
      <c r="C215" s="19">
        <v>62.77</v>
      </c>
      <c r="D215" s="19">
        <v>195.218277</v>
      </c>
      <c r="E215" s="19">
        <v>18.127914000000001</v>
      </c>
      <c r="F215" s="44">
        <v>5464.62</v>
      </c>
      <c r="G215" s="45">
        <v>5.16E-2</v>
      </c>
      <c r="H215" s="37">
        <f t="shared" si="33"/>
        <v>2.0127150788695758E-4</v>
      </c>
      <c r="J215" s="6">
        <f t="shared" si="34"/>
        <v>-1.0499345697948081E-2</v>
      </c>
      <c r="K215" s="6">
        <f t="shared" si="34"/>
        <v>9.443847698832648E-3</v>
      </c>
      <c r="L215" s="6">
        <f t="shared" si="34"/>
        <v>-1.2001025271443897E-2</v>
      </c>
      <c r="M215" s="6">
        <f t="shared" si="34"/>
        <v>1.588635415691966E-2</v>
      </c>
      <c r="N215" s="6">
        <f t="shared" si="34"/>
        <v>-1.5633874377691908E-3</v>
      </c>
      <c r="O215" s="6">
        <f t="shared" si="35"/>
        <v>-1.8883558333109205E-3</v>
      </c>
      <c r="Q215" s="6"/>
      <c r="R215" s="13">
        <f t="shared" si="41"/>
        <v>-1.0700617205835039E-2</v>
      </c>
      <c r="S215" s="13">
        <f t="shared" si="41"/>
        <v>9.2425761909456904E-3</v>
      </c>
      <c r="T215" s="13">
        <f t="shared" si="41"/>
        <v>-1.2202296779330855E-2</v>
      </c>
      <c r="U215" s="13">
        <f t="shared" si="41"/>
        <v>1.5685082649032702E-2</v>
      </c>
      <c r="V215" s="13">
        <f t="shared" si="41"/>
        <v>-1.7646589456561483E-3</v>
      </c>
      <c r="W215" s="13"/>
      <c r="X215" s="52"/>
      <c r="Y215" s="13">
        <f t="shared" si="36"/>
        <v>-8.6109898646371617E-3</v>
      </c>
      <c r="Z215" s="13" t="str">
        <f t="shared" si="37"/>
        <v/>
      </c>
      <c r="AA215" s="13">
        <f t="shared" si="38"/>
        <v>-1.0112669438132977E-2</v>
      </c>
      <c r="AB215" s="13" t="str">
        <f t="shared" si="39"/>
        <v/>
      </c>
      <c r="AC215" s="13" t="str">
        <f t="shared" si="40"/>
        <v/>
      </c>
      <c r="AD215" s="52"/>
      <c r="AL215" s="38"/>
    </row>
    <row r="216" spans="1:38" x14ac:dyDescent="0.2">
      <c r="A216" s="43">
        <v>45467</v>
      </c>
      <c r="B216" s="19">
        <v>207.89935299999999</v>
      </c>
      <c r="C216" s="19">
        <v>63.970001000000003</v>
      </c>
      <c r="D216" s="19">
        <v>197.78405799999999</v>
      </c>
      <c r="E216" s="19">
        <v>18.374217999999999</v>
      </c>
      <c r="F216" s="44">
        <v>5447.87</v>
      </c>
      <c r="G216" s="45">
        <v>5.1699999999999996E-2</v>
      </c>
      <c r="H216" s="37">
        <f t="shared" si="33"/>
        <v>2.0165193919474689E-4</v>
      </c>
      <c r="J216" s="6">
        <f t="shared" si="34"/>
        <v>3.1277001097442104E-3</v>
      </c>
      <c r="K216" s="6">
        <f t="shared" si="34"/>
        <v>1.8936986764933515E-2</v>
      </c>
      <c r="L216" s="6">
        <f t="shared" si="34"/>
        <v>1.305751761044515E-2</v>
      </c>
      <c r="M216" s="6">
        <f t="shared" si="34"/>
        <v>1.3495526138129172E-2</v>
      </c>
      <c r="N216" s="6">
        <f t="shared" si="34"/>
        <v>-3.0698792218004059E-3</v>
      </c>
      <c r="O216" s="6">
        <f t="shared" si="35"/>
        <v>1.8883558333109866E-3</v>
      </c>
      <c r="Q216" s="6"/>
      <c r="R216" s="13">
        <f t="shared" si="41"/>
        <v>2.9260481705494635E-3</v>
      </c>
      <c r="S216" s="13">
        <f t="shared" si="41"/>
        <v>1.8735334825738768E-2</v>
      </c>
      <c r="T216" s="13">
        <f t="shared" si="41"/>
        <v>1.2855865671250404E-2</v>
      </c>
      <c r="U216" s="13">
        <f t="shared" si="41"/>
        <v>1.3293874198934425E-2</v>
      </c>
      <c r="V216" s="13">
        <f t="shared" si="41"/>
        <v>-3.2715311609951528E-3</v>
      </c>
      <c r="W216" s="13"/>
      <c r="X216" s="52"/>
      <c r="Y216" s="13" t="str">
        <f t="shared" si="36"/>
        <v/>
      </c>
      <c r="Z216" s="13" t="str">
        <f t="shared" si="37"/>
        <v/>
      </c>
      <c r="AA216" s="13" t="str">
        <f t="shared" si="38"/>
        <v/>
      </c>
      <c r="AB216" s="13" t="str">
        <f t="shared" si="39"/>
        <v/>
      </c>
      <c r="AC216" s="13">
        <f t="shared" si="40"/>
        <v>-4.958235055111393E-3</v>
      </c>
      <c r="AD216" s="52"/>
      <c r="AL216" s="38"/>
    </row>
    <row r="217" spans="1:38" x14ac:dyDescent="0.2">
      <c r="A217" s="43">
        <v>45468</v>
      </c>
      <c r="B217" s="19">
        <v>208.828293</v>
      </c>
      <c r="C217" s="19">
        <v>63.84</v>
      </c>
      <c r="D217" s="19">
        <v>196.978531</v>
      </c>
      <c r="E217" s="19">
        <v>18.413627999999999</v>
      </c>
      <c r="F217" s="44">
        <v>5469.3</v>
      </c>
      <c r="G217" s="45">
        <v>5.1299999999999998E-2</v>
      </c>
      <c r="H217" s="37">
        <f t="shared" si="33"/>
        <v>2.0012999773522111E-4</v>
      </c>
      <c r="J217" s="6">
        <f t="shared" si="34"/>
        <v>4.4582669163491413E-3</v>
      </c>
      <c r="K217" s="6">
        <f t="shared" si="34"/>
        <v>-2.0342859528205111E-3</v>
      </c>
      <c r="L217" s="6">
        <f t="shared" si="34"/>
        <v>-4.0810762745116238E-3</v>
      </c>
      <c r="M217" s="6">
        <f t="shared" si="34"/>
        <v>2.1425562712271934E-3</v>
      </c>
      <c r="N217" s="6">
        <f t="shared" si="34"/>
        <v>3.9259309005764296E-3</v>
      </c>
      <c r="O217" s="6">
        <f t="shared" si="35"/>
        <v>-7.5759938366260346E-3</v>
      </c>
      <c r="Q217" s="6"/>
      <c r="R217" s="13">
        <f t="shared" si="41"/>
        <v>4.2581369186139202E-3</v>
      </c>
      <c r="S217" s="13">
        <f t="shared" si="41"/>
        <v>-2.2344159505557322E-3</v>
      </c>
      <c r="T217" s="13">
        <f t="shared" si="41"/>
        <v>-4.2812062722468449E-3</v>
      </c>
      <c r="U217" s="13">
        <f t="shared" si="41"/>
        <v>1.9424262734919723E-3</v>
      </c>
      <c r="V217" s="13">
        <f t="shared" si="41"/>
        <v>3.7258009028412085E-3</v>
      </c>
      <c r="W217" s="13"/>
      <c r="X217" s="52"/>
      <c r="Y217" s="13" t="str">
        <f t="shared" si="36"/>
        <v/>
      </c>
      <c r="Z217" s="13" t="str">
        <f t="shared" si="37"/>
        <v/>
      </c>
      <c r="AA217" s="13" t="str">
        <f t="shared" si="38"/>
        <v/>
      </c>
      <c r="AB217" s="13" t="str">
        <f t="shared" si="39"/>
        <v/>
      </c>
      <c r="AC217" s="13" t="str">
        <f t="shared" si="40"/>
        <v/>
      </c>
      <c r="AD217" s="52"/>
      <c r="AL217" s="38"/>
    </row>
    <row r="218" spans="1:38" x14ac:dyDescent="0.2">
      <c r="A218" s="43">
        <v>45469</v>
      </c>
      <c r="B218" s="19">
        <v>213.00344799999999</v>
      </c>
      <c r="C218" s="19">
        <v>64.050003000000004</v>
      </c>
      <c r="D218" s="19">
        <v>196.34204099999999</v>
      </c>
      <c r="E218" s="19">
        <v>18.482592</v>
      </c>
      <c r="F218" s="44">
        <v>5477.9</v>
      </c>
      <c r="G218" s="45">
        <v>5.0700000000000002E-2</v>
      </c>
      <c r="H218" s="37">
        <f t="shared" si="33"/>
        <v>1.9784600378991435E-4</v>
      </c>
      <c r="J218" s="6">
        <f t="shared" si="34"/>
        <v>1.9796003669469535E-2</v>
      </c>
      <c r="K218" s="6">
        <f t="shared" si="34"/>
        <v>3.2841220395962312E-3</v>
      </c>
      <c r="L218" s="6">
        <f t="shared" si="34"/>
        <v>-3.2364976607338002E-3</v>
      </c>
      <c r="M218" s="6">
        <f t="shared" si="34"/>
        <v>3.738273476931629E-3</v>
      </c>
      <c r="N218" s="6">
        <f t="shared" si="34"/>
        <v>1.5711783413408377E-3</v>
      </c>
      <c r="O218" s="6">
        <f t="shared" si="35"/>
        <v>-1.1478174626420291E-2</v>
      </c>
      <c r="Q218" s="6"/>
      <c r="R218" s="13">
        <f t="shared" si="41"/>
        <v>1.9598157665679621E-2</v>
      </c>
      <c r="S218" s="13">
        <f t="shared" si="41"/>
        <v>3.0862760358063169E-3</v>
      </c>
      <c r="T218" s="13">
        <f t="shared" si="41"/>
        <v>-3.4343436645237146E-3</v>
      </c>
      <c r="U218" s="13">
        <f t="shared" si="41"/>
        <v>3.5404274731417147E-3</v>
      </c>
      <c r="V218" s="13">
        <f t="shared" si="41"/>
        <v>1.3733323375509233E-3</v>
      </c>
      <c r="W218" s="13"/>
      <c r="X218" s="52"/>
      <c r="Y218" s="13" t="str">
        <f t="shared" si="36"/>
        <v/>
      </c>
      <c r="Z218" s="13" t="str">
        <f t="shared" si="37"/>
        <v/>
      </c>
      <c r="AA218" s="13" t="str">
        <f t="shared" si="38"/>
        <v/>
      </c>
      <c r="AB218" s="13" t="str">
        <f t="shared" si="39"/>
        <v/>
      </c>
      <c r="AC218" s="13" t="str">
        <f t="shared" si="40"/>
        <v/>
      </c>
      <c r="AD218" s="52"/>
      <c r="AL218" s="38"/>
    </row>
    <row r="219" spans="1:38" x14ac:dyDescent="0.2">
      <c r="A219" s="43">
        <v>45470</v>
      </c>
      <c r="B219" s="19">
        <v>213.85247799999999</v>
      </c>
      <c r="C219" s="19">
        <v>63.91</v>
      </c>
      <c r="D219" s="19">
        <v>198.072464</v>
      </c>
      <c r="E219" s="19">
        <v>18.472738</v>
      </c>
      <c r="F219" s="44">
        <v>5482.87</v>
      </c>
      <c r="G219" s="45">
        <v>5.0700000000000002E-2</v>
      </c>
      <c r="H219" s="37">
        <f t="shared" si="33"/>
        <v>1.9784600378991435E-4</v>
      </c>
      <c r="J219" s="6">
        <f t="shared" si="34"/>
        <v>3.9780687953256729E-3</v>
      </c>
      <c r="K219" s="6">
        <f t="shared" si="34"/>
        <v>-2.1882315189594016E-3</v>
      </c>
      <c r="L219" s="6">
        <f t="shared" si="34"/>
        <v>8.7746980951394233E-3</v>
      </c>
      <c r="M219" s="6">
        <f t="shared" si="34"/>
        <v>-5.3329250387106324E-4</v>
      </c>
      <c r="N219" s="6">
        <f t="shared" si="34"/>
        <v>9.068706560974762E-4</v>
      </c>
      <c r="O219" s="6">
        <f t="shared" si="35"/>
        <v>0</v>
      </c>
      <c r="Q219" s="6"/>
      <c r="R219" s="13">
        <f t="shared" si="41"/>
        <v>3.7802227915357586E-3</v>
      </c>
      <c r="S219" s="13">
        <f t="shared" si="41"/>
        <v>-2.386077522749316E-3</v>
      </c>
      <c r="T219" s="13">
        <f t="shared" si="41"/>
        <v>8.5768520913495089E-3</v>
      </c>
      <c r="U219" s="13">
        <f t="shared" si="41"/>
        <v>-7.3113850766097759E-4</v>
      </c>
      <c r="V219" s="13">
        <f t="shared" si="41"/>
        <v>7.0902465230756185E-4</v>
      </c>
      <c r="W219" s="13"/>
      <c r="X219" s="52"/>
      <c r="Y219" s="13" t="str">
        <f t="shared" si="36"/>
        <v/>
      </c>
      <c r="Z219" s="13">
        <f t="shared" si="37"/>
        <v>-2.1882315189594016E-3</v>
      </c>
      <c r="AA219" s="13" t="str">
        <f t="shared" si="38"/>
        <v/>
      </c>
      <c r="AB219" s="13">
        <f t="shared" si="39"/>
        <v>-5.3329250387106324E-4</v>
      </c>
      <c r="AC219" s="13" t="str">
        <f t="shared" si="40"/>
        <v/>
      </c>
      <c r="AD219" s="52"/>
      <c r="AL219" s="38"/>
    </row>
    <row r="220" spans="1:38" x14ac:dyDescent="0.2">
      <c r="A220" s="43">
        <v>45471</v>
      </c>
      <c r="B220" s="19">
        <v>210.37647999999999</v>
      </c>
      <c r="C220" s="19">
        <v>63.650002000000001</v>
      </c>
      <c r="D220" s="19">
        <v>201.145432</v>
      </c>
      <c r="E220" s="19">
        <v>18.827414999999998</v>
      </c>
      <c r="F220" s="44">
        <v>5460.48</v>
      </c>
      <c r="G220" s="45">
        <v>5.1100000000000007E-2</v>
      </c>
      <c r="H220" s="37">
        <f t="shared" si="33"/>
        <v>1.9936881070892198E-4</v>
      </c>
      <c r="J220" s="6">
        <f t="shared" si="34"/>
        <v>-1.6387734624486144E-2</v>
      </c>
      <c r="K220" s="6">
        <f t="shared" si="34"/>
        <v>-4.0764872369371159E-3</v>
      </c>
      <c r="L220" s="6">
        <f t="shared" si="34"/>
        <v>1.5395245178859948E-2</v>
      </c>
      <c r="M220" s="6">
        <f t="shared" si="34"/>
        <v>1.901802869604308E-2</v>
      </c>
      <c r="N220" s="6">
        <f t="shared" si="34"/>
        <v>-4.0919885121458088E-3</v>
      </c>
      <c r="O220" s="6">
        <f t="shared" si="35"/>
        <v>7.6674601444540157E-3</v>
      </c>
      <c r="Q220" s="6"/>
      <c r="R220" s="13">
        <f t="shared" si="41"/>
        <v>-1.6587103435195066E-2</v>
      </c>
      <c r="S220" s="13">
        <f t="shared" si="41"/>
        <v>-4.2758560476460379E-3</v>
      </c>
      <c r="T220" s="13">
        <f t="shared" si="41"/>
        <v>1.5195876368151026E-2</v>
      </c>
      <c r="U220" s="13">
        <f t="shared" si="41"/>
        <v>1.8818659885334158E-2</v>
      </c>
      <c r="V220" s="13">
        <f t="shared" si="41"/>
        <v>-4.2913573228547308E-3</v>
      </c>
      <c r="W220" s="13"/>
      <c r="X220" s="52"/>
      <c r="Y220" s="13">
        <f t="shared" si="36"/>
        <v>-2.405519476894016E-2</v>
      </c>
      <c r="Z220" s="13">
        <f t="shared" si="37"/>
        <v>-1.1743947381391132E-2</v>
      </c>
      <c r="AA220" s="13" t="str">
        <f t="shared" si="38"/>
        <v/>
      </c>
      <c r="AB220" s="13" t="str">
        <f t="shared" si="39"/>
        <v/>
      </c>
      <c r="AC220" s="13">
        <f t="shared" si="40"/>
        <v>-1.1759448656599825E-2</v>
      </c>
      <c r="AD220" s="52"/>
      <c r="AL220" s="38"/>
    </row>
    <row r="221" spans="1:38" x14ac:dyDescent="0.2">
      <c r="A221" s="43">
        <v>45474</v>
      </c>
      <c r="B221" s="19">
        <v>216.499405</v>
      </c>
      <c r="C221" s="19">
        <v>63.279998999999997</v>
      </c>
      <c r="D221" s="19">
        <v>204.31785600000001</v>
      </c>
      <c r="E221" s="19">
        <v>18.699337</v>
      </c>
      <c r="F221" s="44">
        <v>5475.09</v>
      </c>
      <c r="G221" s="45">
        <v>5.0900000000000001E-2</v>
      </c>
      <c r="H221" s="37">
        <f t="shared" si="33"/>
        <v>1.9860747941202739E-4</v>
      </c>
      <c r="J221" s="6">
        <f t="shared" si="34"/>
        <v>2.8689111628198698E-2</v>
      </c>
      <c r="K221" s="6">
        <f t="shared" si="34"/>
        <v>-5.8300487686362692E-3</v>
      </c>
      <c r="L221" s="6">
        <f t="shared" si="34"/>
        <v>1.5648710168294964E-2</v>
      </c>
      <c r="M221" s="6">
        <f t="shared" si="34"/>
        <v>-6.8259836239331134E-3</v>
      </c>
      <c r="N221" s="6">
        <f t="shared" si="34"/>
        <v>2.6720159429360979E-3</v>
      </c>
      <c r="O221" s="6">
        <f t="shared" si="35"/>
        <v>-3.8260180041707849E-3</v>
      </c>
      <c r="Q221" s="6"/>
      <c r="R221" s="13">
        <f t="shared" si="41"/>
        <v>2.849050414878667E-2</v>
      </c>
      <c r="S221" s="13">
        <f t="shared" si="41"/>
        <v>-6.0286562480482966E-3</v>
      </c>
      <c r="T221" s="13">
        <f t="shared" si="41"/>
        <v>1.5450102688882937E-2</v>
      </c>
      <c r="U221" s="13">
        <f t="shared" si="41"/>
        <v>-7.0245911033451408E-3</v>
      </c>
      <c r="V221" s="13">
        <f t="shared" si="41"/>
        <v>2.4734084635240705E-3</v>
      </c>
      <c r="W221" s="13"/>
      <c r="X221" s="52"/>
      <c r="Y221" s="13" t="str">
        <f t="shared" si="36"/>
        <v/>
      </c>
      <c r="Z221" s="13">
        <f t="shared" si="37"/>
        <v>-2.0040307644654844E-3</v>
      </c>
      <c r="AA221" s="13" t="str">
        <f t="shared" si="38"/>
        <v/>
      </c>
      <c r="AB221" s="13">
        <f t="shared" si="39"/>
        <v>-2.9999656197623285E-3</v>
      </c>
      <c r="AC221" s="13" t="str">
        <f t="shared" si="40"/>
        <v/>
      </c>
      <c r="AD221" s="52"/>
      <c r="AL221" s="38"/>
    </row>
    <row r="222" spans="1:38" x14ac:dyDescent="0.2">
      <c r="A222" s="43">
        <v>45475</v>
      </c>
      <c r="B222" s="19">
        <v>220.01533499999999</v>
      </c>
      <c r="C222" s="19">
        <v>63.150002000000001</v>
      </c>
      <c r="D222" s="19">
        <v>207.67922999999999</v>
      </c>
      <c r="E222" s="19">
        <v>18.541703999999999</v>
      </c>
      <c r="F222" s="44">
        <v>5509.01</v>
      </c>
      <c r="G222" s="45">
        <v>5.0900000000000001E-2</v>
      </c>
      <c r="H222" s="37">
        <f t="shared" si="33"/>
        <v>1.9860747941202739E-4</v>
      </c>
      <c r="J222" s="6">
        <f t="shared" si="34"/>
        <v>1.6109449297697549E-2</v>
      </c>
      <c r="K222" s="6">
        <f t="shared" si="34"/>
        <v>-2.0564271894918324E-3</v>
      </c>
      <c r="L222" s="6">
        <f t="shared" si="34"/>
        <v>1.6317826996333985E-2</v>
      </c>
      <c r="M222" s="6">
        <f t="shared" si="34"/>
        <v>-8.4656033871456007E-3</v>
      </c>
      <c r="N222" s="6">
        <f t="shared" si="34"/>
        <v>6.1762197767835335E-3</v>
      </c>
      <c r="O222" s="6">
        <f t="shared" si="35"/>
        <v>0</v>
      </c>
      <c r="Q222" s="6"/>
      <c r="R222" s="13">
        <f t="shared" si="41"/>
        <v>1.5910841818285521E-2</v>
      </c>
      <c r="S222" s="13">
        <f t="shared" si="41"/>
        <v>-2.2550346689038598E-3</v>
      </c>
      <c r="T222" s="13">
        <f t="shared" si="41"/>
        <v>1.6119219516921957E-2</v>
      </c>
      <c r="U222" s="13">
        <f t="shared" si="41"/>
        <v>-8.6642108665576281E-3</v>
      </c>
      <c r="V222" s="13">
        <f t="shared" si="41"/>
        <v>5.9776122973715061E-3</v>
      </c>
      <c r="W222" s="13"/>
      <c r="X222" s="52"/>
      <c r="Y222" s="13" t="str">
        <f t="shared" si="36"/>
        <v/>
      </c>
      <c r="Z222" s="13">
        <f t="shared" si="37"/>
        <v>-2.0564271894918324E-3</v>
      </c>
      <c r="AA222" s="13" t="str">
        <f t="shared" si="38"/>
        <v/>
      </c>
      <c r="AB222" s="13">
        <f t="shared" si="39"/>
        <v>-8.4656033871456007E-3</v>
      </c>
      <c r="AC222" s="13" t="str">
        <f t="shared" si="40"/>
        <v/>
      </c>
      <c r="AD222" s="52"/>
      <c r="AL222" s="38"/>
    </row>
    <row r="223" spans="1:38" x14ac:dyDescent="0.2">
      <c r="A223" s="43">
        <v>45476</v>
      </c>
      <c r="B223" s="19">
        <v>221.29385400000001</v>
      </c>
      <c r="C223" s="19">
        <v>63.330002</v>
      </c>
      <c r="D223" s="19">
        <v>207.540009</v>
      </c>
      <c r="E223" s="19">
        <v>18.403773999999999</v>
      </c>
      <c r="F223" s="44">
        <v>5537.02</v>
      </c>
      <c r="G223" s="45">
        <v>5.0999999999999997E-2</v>
      </c>
      <c r="H223" s="37">
        <f t="shared" si="33"/>
        <v>1.9898816309771306E-4</v>
      </c>
      <c r="J223" s="6">
        <f t="shared" si="34"/>
        <v>5.7942259479230023E-3</v>
      </c>
      <c r="K223" s="6">
        <f t="shared" si="34"/>
        <v>2.8463016418229037E-3</v>
      </c>
      <c r="L223" s="6">
        <f t="shared" si="34"/>
        <v>-6.7059033946733737E-4</v>
      </c>
      <c r="M223" s="6">
        <f t="shared" si="34"/>
        <v>-7.466713020734231E-3</v>
      </c>
      <c r="N223" s="6">
        <f t="shared" si="34"/>
        <v>5.0715161981972666E-3</v>
      </c>
      <c r="O223" s="6">
        <f t="shared" si="35"/>
        <v>1.9149294474749643E-3</v>
      </c>
      <c r="Q223" s="6"/>
      <c r="R223" s="13">
        <f t="shared" si="41"/>
        <v>5.5952377848252893E-3</v>
      </c>
      <c r="S223" s="13">
        <f t="shared" si="41"/>
        <v>2.6473134787251907E-3</v>
      </c>
      <c r="T223" s="13">
        <f t="shared" si="41"/>
        <v>-8.6957850256505042E-4</v>
      </c>
      <c r="U223" s="13">
        <f t="shared" si="41"/>
        <v>-7.6657011838319441E-3</v>
      </c>
      <c r="V223" s="13">
        <f t="shared" si="41"/>
        <v>4.8725280350995536E-3</v>
      </c>
      <c r="W223" s="13"/>
      <c r="X223" s="52"/>
      <c r="Y223" s="13" t="str">
        <f t="shared" si="36"/>
        <v/>
      </c>
      <c r="Z223" s="13" t="str">
        <f t="shared" si="37"/>
        <v/>
      </c>
      <c r="AA223" s="13">
        <f t="shared" si="38"/>
        <v>-2.5855197869423018E-3</v>
      </c>
      <c r="AB223" s="13">
        <f t="shared" si="39"/>
        <v>-9.3816424682091962E-3</v>
      </c>
      <c r="AC223" s="13" t="str">
        <f t="shared" si="40"/>
        <v/>
      </c>
      <c r="AD223" s="52"/>
      <c r="AL223" s="38"/>
    </row>
    <row r="224" spans="1:38" x14ac:dyDescent="0.2">
      <c r="A224" s="43">
        <v>45478</v>
      </c>
      <c r="B224" s="19">
        <v>226.07830799999999</v>
      </c>
      <c r="C224" s="19">
        <v>63.759998000000003</v>
      </c>
      <c r="D224" s="19">
        <v>204.78999300000001</v>
      </c>
      <c r="E224" s="19">
        <v>18.492443000000002</v>
      </c>
      <c r="F224" s="44">
        <v>5567.19</v>
      </c>
      <c r="G224" s="45">
        <v>5.0999999999999997E-2</v>
      </c>
      <c r="H224" s="37">
        <f t="shared" si="33"/>
        <v>1.9898816309771306E-4</v>
      </c>
      <c r="J224" s="6">
        <f t="shared" si="34"/>
        <v>2.1389960415288217E-2</v>
      </c>
      <c r="K224" s="6">
        <f t="shared" si="34"/>
        <v>6.7668210053826762E-3</v>
      </c>
      <c r="L224" s="6">
        <f t="shared" si="34"/>
        <v>-1.3339105875401823E-2</v>
      </c>
      <c r="M224" s="6">
        <f t="shared" si="34"/>
        <v>4.8064098657813409E-3</v>
      </c>
      <c r="N224" s="6">
        <f t="shared" si="34"/>
        <v>5.4339884131971751E-3</v>
      </c>
      <c r="O224" s="6">
        <f t="shared" si="35"/>
        <v>0</v>
      </c>
      <c r="Q224" s="6"/>
      <c r="R224" s="13">
        <f t="shared" si="41"/>
        <v>2.1190972252190503E-2</v>
      </c>
      <c r="S224" s="13">
        <f t="shared" si="41"/>
        <v>6.5678328422849631E-3</v>
      </c>
      <c r="T224" s="13">
        <f t="shared" si="41"/>
        <v>-1.3538094038499536E-2</v>
      </c>
      <c r="U224" s="13">
        <f t="shared" si="41"/>
        <v>4.6074217026836279E-3</v>
      </c>
      <c r="V224" s="13">
        <f t="shared" si="41"/>
        <v>5.235000250099462E-3</v>
      </c>
      <c r="W224" s="13"/>
      <c r="X224" s="52"/>
      <c r="Y224" s="13" t="str">
        <f t="shared" si="36"/>
        <v/>
      </c>
      <c r="Z224" s="13" t="str">
        <f t="shared" si="37"/>
        <v/>
      </c>
      <c r="AA224" s="13">
        <f t="shared" si="38"/>
        <v>-1.3339105875401823E-2</v>
      </c>
      <c r="AB224" s="13" t="str">
        <f t="shared" si="39"/>
        <v/>
      </c>
      <c r="AC224" s="13" t="str">
        <f t="shared" si="40"/>
        <v/>
      </c>
      <c r="AD224" s="52"/>
      <c r="AL224" s="38"/>
    </row>
    <row r="225" spans="1:38" x14ac:dyDescent="0.2">
      <c r="A225" s="43">
        <v>45481</v>
      </c>
      <c r="B225" s="19">
        <v>227.55661000000001</v>
      </c>
      <c r="C225" s="19">
        <v>62.959999000000003</v>
      </c>
      <c r="D225" s="19">
        <v>205.16999799999999</v>
      </c>
      <c r="E225" s="19">
        <v>18.531851</v>
      </c>
      <c r="F225" s="44">
        <v>5572.85</v>
      </c>
      <c r="G225" s="45">
        <v>5.0999999999999997E-2</v>
      </c>
      <c r="H225" s="37">
        <f t="shared" si="33"/>
        <v>1.9898816309771306E-4</v>
      </c>
      <c r="J225" s="6">
        <f t="shared" si="34"/>
        <v>6.5176077697273217E-3</v>
      </c>
      <c r="K225" s="6">
        <f t="shared" si="34"/>
        <v>-1.2626414888283227E-2</v>
      </c>
      <c r="L225" s="6">
        <f t="shared" si="34"/>
        <v>1.8538643632364745E-3</v>
      </c>
      <c r="M225" s="6">
        <f t="shared" si="34"/>
        <v>2.1287652308458159E-3</v>
      </c>
      <c r="N225" s="6">
        <f t="shared" si="34"/>
        <v>1.0161544279964853E-3</v>
      </c>
      <c r="O225" s="6">
        <f t="shared" si="35"/>
        <v>0</v>
      </c>
      <c r="Q225" s="6"/>
      <c r="R225" s="13">
        <f t="shared" si="41"/>
        <v>6.3186196066296087E-3</v>
      </c>
      <c r="S225" s="13">
        <f t="shared" si="41"/>
        <v>-1.282540305138094E-2</v>
      </c>
      <c r="T225" s="13">
        <f t="shared" si="41"/>
        <v>1.6548762001387615E-3</v>
      </c>
      <c r="U225" s="13">
        <f t="shared" si="41"/>
        <v>1.9297770677481028E-3</v>
      </c>
      <c r="V225" s="13">
        <f t="shared" si="41"/>
        <v>8.1716626489877222E-4</v>
      </c>
      <c r="W225" s="13"/>
      <c r="X225" s="52"/>
      <c r="Y225" s="13" t="str">
        <f t="shared" si="36"/>
        <v/>
      </c>
      <c r="Z225" s="13">
        <f t="shared" si="37"/>
        <v>-1.2626414888283227E-2</v>
      </c>
      <c r="AA225" s="13" t="str">
        <f t="shared" si="38"/>
        <v/>
      </c>
      <c r="AB225" s="13" t="str">
        <f t="shared" si="39"/>
        <v/>
      </c>
      <c r="AC225" s="13" t="str">
        <f t="shared" si="40"/>
        <v/>
      </c>
      <c r="AD225" s="52"/>
      <c r="AL225" s="38"/>
    </row>
    <row r="226" spans="1:38" x14ac:dyDescent="0.2">
      <c r="A226" s="43">
        <v>45482</v>
      </c>
      <c r="B226" s="19">
        <v>228.415604</v>
      </c>
      <c r="C226" s="19">
        <v>62.689999</v>
      </c>
      <c r="D226" s="19">
        <v>207.63000500000001</v>
      </c>
      <c r="E226" s="19">
        <v>18.521999000000001</v>
      </c>
      <c r="F226" s="44">
        <v>5576.98</v>
      </c>
      <c r="G226" s="45">
        <v>5.0999999999999997E-2</v>
      </c>
      <c r="H226" s="37">
        <f t="shared" si="33"/>
        <v>1.9898816309771306E-4</v>
      </c>
      <c r="J226" s="6">
        <f t="shared" si="34"/>
        <v>3.7677515857849927E-3</v>
      </c>
      <c r="K226" s="6">
        <f t="shared" si="34"/>
        <v>-4.2976588916777241E-3</v>
      </c>
      <c r="L226" s="6">
        <f t="shared" si="34"/>
        <v>1.1918779573079451E-2</v>
      </c>
      <c r="M226" s="6">
        <f t="shared" si="34"/>
        <v>-5.3176661708070883E-4</v>
      </c>
      <c r="N226" s="6">
        <f t="shared" si="34"/>
        <v>7.4081850375864739E-4</v>
      </c>
      <c r="O226" s="6">
        <f t="shared" si="35"/>
        <v>0</v>
      </c>
      <c r="Q226" s="6"/>
      <c r="R226" s="13">
        <f t="shared" si="41"/>
        <v>3.5687634226872797E-3</v>
      </c>
      <c r="S226" s="13">
        <f t="shared" si="41"/>
        <v>-4.4966470547754371E-3</v>
      </c>
      <c r="T226" s="13">
        <f t="shared" si="41"/>
        <v>1.1719791409981738E-2</v>
      </c>
      <c r="U226" s="13">
        <f t="shared" si="41"/>
        <v>-7.3075478017842188E-4</v>
      </c>
      <c r="V226" s="13">
        <f t="shared" si="41"/>
        <v>5.4183034066093434E-4</v>
      </c>
      <c r="W226" s="13"/>
      <c r="X226" s="52"/>
      <c r="Y226" s="13" t="str">
        <f t="shared" si="36"/>
        <v/>
      </c>
      <c r="Z226" s="13">
        <f t="shared" si="37"/>
        <v>-4.2976588916777241E-3</v>
      </c>
      <c r="AA226" s="13" t="str">
        <f t="shared" si="38"/>
        <v/>
      </c>
      <c r="AB226" s="13">
        <f t="shared" si="39"/>
        <v>-5.3176661708070883E-4</v>
      </c>
      <c r="AC226" s="13" t="str">
        <f t="shared" si="40"/>
        <v/>
      </c>
      <c r="AD226" s="52"/>
      <c r="AL226" s="38"/>
    </row>
    <row r="227" spans="1:38" x14ac:dyDescent="0.2">
      <c r="A227" s="43">
        <v>45483</v>
      </c>
      <c r="B227" s="19">
        <v>232.710632</v>
      </c>
      <c r="C227" s="19">
        <v>62.830002</v>
      </c>
      <c r="D227" s="19">
        <v>207.800003</v>
      </c>
      <c r="E227" s="19">
        <v>18.739999999999998</v>
      </c>
      <c r="F227" s="44">
        <v>5633.91</v>
      </c>
      <c r="G227" s="45">
        <v>5.1299999999999998E-2</v>
      </c>
      <c r="H227" s="37">
        <f t="shared" si="33"/>
        <v>2.0012999773522111E-4</v>
      </c>
      <c r="J227" s="6">
        <f t="shared" ref="J227:N254" si="42">LN(B227/B226)</f>
        <v>1.8628964806476703E-2</v>
      </c>
      <c r="K227" s="6">
        <f t="shared" si="42"/>
        <v>2.2307689124128954E-3</v>
      </c>
      <c r="L227" s="6">
        <f t="shared" si="42"/>
        <v>8.1841949890559102E-4</v>
      </c>
      <c r="M227" s="6">
        <f t="shared" si="42"/>
        <v>1.1701116052050159E-2</v>
      </c>
      <c r="N227" s="6">
        <f t="shared" si="42"/>
        <v>1.0156283642139425E-2</v>
      </c>
      <c r="O227" s="6">
        <f t="shared" si="35"/>
        <v>5.7218030386620624E-3</v>
      </c>
      <c r="Q227" s="6"/>
      <c r="R227" s="13">
        <f t="shared" si="41"/>
        <v>1.8428834808741482E-2</v>
      </c>
      <c r="S227" s="13">
        <f t="shared" si="41"/>
        <v>2.0306389146776743E-3</v>
      </c>
      <c r="T227" s="13">
        <f t="shared" si="41"/>
        <v>6.1828950117036991E-4</v>
      </c>
      <c r="U227" s="13">
        <f t="shared" si="41"/>
        <v>1.1500986054314937E-2</v>
      </c>
      <c r="V227" s="13">
        <f t="shared" si="41"/>
        <v>9.9561536444042042E-3</v>
      </c>
      <c r="W227" s="13"/>
      <c r="X227" s="52"/>
      <c r="Y227" s="13" t="str">
        <f t="shared" si="36"/>
        <v/>
      </c>
      <c r="Z227" s="13">
        <f t="shared" si="37"/>
        <v>-3.491034126249167E-3</v>
      </c>
      <c r="AA227" s="13">
        <f t="shared" si="38"/>
        <v>-4.9033835397564712E-3</v>
      </c>
      <c r="AB227" s="13" t="str">
        <f t="shared" si="39"/>
        <v/>
      </c>
      <c r="AC227" s="13" t="str">
        <f t="shared" si="40"/>
        <v/>
      </c>
      <c r="AD227" s="52"/>
      <c r="AL227" s="38"/>
    </row>
    <row r="228" spans="1:38" x14ac:dyDescent="0.2">
      <c r="A228" s="43">
        <v>45484</v>
      </c>
      <c r="B228" s="19">
        <v>227.30690000000001</v>
      </c>
      <c r="C228" s="19">
        <v>63.099997999999999</v>
      </c>
      <c r="D228" s="19">
        <v>207.449997</v>
      </c>
      <c r="E228" s="19">
        <v>18.860001</v>
      </c>
      <c r="F228" s="44">
        <v>5584.54</v>
      </c>
      <c r="G228" s="45">
        <v>5.0999999999999997E-2</v>
      </c>
      <c r="H228" s="37">
        <f t="shared" si="33"/>
        <v>1.9898816309771306E-4</v>
      </c>
      <c r="J228" s="6">
        <f t="shared" si="42"/>
        <v>-2.3494672238777499E-2</v>
      </c>
      <c r="K228" s="6">
        <f t="shared" si="42"/>
        <v>4.2880396046633875E-3</v>
      </c>
      <c r="L228" s="6">
        <f t="shared" si="42"/>
        <v>-1.6857607845247413E-3</v>
      </c>
      <c r="M228" s="6">
        <f t="shared" si="42"/>
        <v>6.3830534173032645E-3</v>
      </c>
      <c r="N228" s="6">
        <f t="shared" si="42"/>
        <v>-8.8016292301766504E-3</v>
      </c>
      <c r="O228" s="6">
        <f t="shared" si="35"/>
        <v>-5.7218030386620858E-3</v>
      </c>
      <c r="Q228" s="6"/>
      <c r="R228" s="13">
        <f t="shared" si="41"/>
        <v>-2.3693660401875212E-2</v>
      </c>
      <c r="S228" s="13">
        <f t="shared" si="41"/>
        <v>4.0890514415656744E-3</v>
      </c>
      <c r="T228" s="13">
        <f t="shared" si="41"/>
        <v>-1.8847489476224544E-3</v>
      </c>
      <c r="U228" s="13">
        <f t="shared" si="41"/>
        <v>6.1840652542055514E-3</v>
      </c>
      <c r="V228" s="13">
        <f t="shared" si="41"/>
        <v>-9.0006173932743634E-3</v>
      </c>
      <c r="W228" s="13"/>
      <c r="X228" s="52"/>
      <c r="Y228" s="13">
        <f t="shared" si="36"/>
        <v>-1.7772869200115414E-2</v>
      </c>
      <c r="Z228" s="13" t="str">
        <f t="shared" si="37"/>
        <v/>
      </c>
      <c r="AA228" s="13" t="str">
        <f t="shared" si="38"/>
        <v/>
      </c>
      <c r="AB228" s="13" t="str">
        <f t="shared" si="39"/>
        <v/>
      </c>
      <c r="AC228" s="13">
        <f t="shared" si="40"/>
        <v>-3.0798261915145645E-3</v>
      </c>
      <c r="AD228" s="52"/>
      <c r="AL228" s="38"/>
    </row>
    <row r="229" spans="1:38" x14ac:dyDescent="0.2">
      <c r="A229" s="43">
        <v>45485</v>
      </c>
      <c r="B229" s="19">
        <v>230.27345299999999</v>
      </c>
      <c r="C229" s="19">
        <v>63.700001</v>
      </c>
      <c r="D229" s="19">
        <v>204.94000199999999</v>
      </c>
      <c r="E229" s="19">
        <v>18.809999000000001</v>
      </c>
      <c r="F229" s="44">
        <v>5615.35</v>
      </c>
      <c r="G229" s="45">
        <v>5.0900000000000001E-2</v>
      </c>
      <c r="H229" s="37">
        <f t="shared" si="33"/>
        <v>1.9860747941202739E-4</v>
      </c>
      <c r="J229" s="6">
        <f t="shared" si="42"/>
        <v>1.2966442042243119E-2</v>
      </c>
      <c r="K229" s="6">
        <f t="shared" si="42"/>
        <v>9.4638404252588466E-3</v>
      </c>
      <c r="L229" s="6">
        <f t="shared" si="42"/>
        <v>-1.2173069187035165E-2</v>
      </c>
      <c r="M229" s="6">
        <f t="shared" si="42"/>
        <v>-2.6547400778527642E-3</v>
      </c>
      <c r="N229" s="6">
        <f t="shared" si="42"/>
        <v>5.5018536287759819E-3</v>
      </c>
      <c r="O229" s="6">
        <f t="shared" si="35"/>
        <v>-1.9149294474749528E-3</v>
      </c>
      <c r="Q229" s="6"/>
      <c r="R229" s="13">
        <f t="shared" si="41"/>
        <v>1.2767834562831091E-2</v>
      </c>
      <c r="S229" s="13">
        <f t="shared" si="41"/>
        <v>9.2652329458468193E-3</v>
      </c>
      <c r="T229" s="13">
        <f t="shared" si="41"/>
        <v>-1.2371676666447192E-2</v>
      </c>
      <c r="U229" s="13">
        <f t="shared" si="41"/>
        <v>-2.8533475572647916E-3</v>
      </c>
      <c r="V229" s="13">
        <f t="shared" si="41"/>
        <v>5.3032461493639545E-3</v>
      </c>
      <c r="W229" s="13"/>
      <c r="X229" s="52"/>
      <c r="Y229" s="13" t="str">
        <f t="shared" si="36"/>
        <v/>
      </c>
      <c r="Z229" s="13" t="str">
        <f t="shared" si="37"/>
        <v/>
      </c>
      <c r="AA229" s="13">
        <f t="shared" si="38"/>
        <v>-1.0258139739560213E-2</v>
      </c>
      <c r="AB229" s="13">
        <f t="shared" si="39"/>
        <v>-7.398106303778114E-4</v>
      </c>
      <c r="AC229" s="13" t="str">
        <f t="shared" si="40"/>
        <v/>
      </c>
      <c r="AD229" s="52"/>
      <c r="AL229" s="38"/>
    </row>
    <row r="230" spans="1:38" x14ac:dyDescent="0.2">
      <c r="A230" s="43">
        <v>45488</v>
      </c>
      <c r="B230" s="19">
        <v>234.128998</v>
      </c>
      <c r="C230" s="19">
        <v>63.41</v>
      </c>
      <c r="D230" s="19">
        <v>210.050003</v>
      </c>
      <c r="E230" s="19">
        <v>18.579999999999998</v>
      </c>
      <c r="F230" s="44">
        <v>5631.22</v>
      </c>
      <c r="G230" s="45">
        <v>5.0999999999999997E-2</v>
      </c>
      <c r="H230" s="37">
        <f t="shared" si="33"/>
        <v>1.9898816309771306E-4</v>
      </c>
      <c r="J230" s="6">
        <f t="shared" si="42"/>
        <v>1.6604708169325119E-2</v>
      </c>
      <c r="K230" s="6">
        <f t="shared" si="42"/>
        <v>-4.563000564764429E-3</v>
      </c>
      <c r="L230" s="6">
        <f t="shared" si="42"/>
        <v>2.4628348767179134E-2</v>
      </c>
      <c r="M230" s="6">
        <f t="shared" si="42"/>
        <v>-1.2302856764034255E-2</v>
      </c>
      <c r="N230" s="6">
        <f t="shared" si="42"/>
        <v>2.822195662042845E-3</v>
      </c>
      <c r="O230" s="6">
        <f t="shared" si="35"/>
        <v>1.9149294474749643E-3</v>
      </c>
      <c r="Q230" s="6"/>
      <c r="R230" s="13">
        <f t="shared" si="41"/>
        <v>1.6405720006227406E-2</v>
      </c>
      <c r="S230" s="13">
        <f t="shared" si="41"/>
        <v>-4.7619887278621421E-3</v>
      </c>
      <c r="T230" s="13">
        <f t="shared" si="41"/>
        <v>2.4429360604081421E-2</v>
      </c>
      <c r="U230" s="13">
        <f t="shared" si="41"/>
        <v>-1.2501844927131968E-2</v>
      </c>
      <c r="V230" s="13">
        <f t="shared" si="41"/>
        <v>2.623207498945132E-3</v>
      </c>
      <c r="W230" s="13"/>
      <c r="X230" s="52"/>
      <c r="Y230" s="13" t="str">
        <f t="shared" si="36"/>
        <v/>
      </c>
      <c r="Z230" s="13">
        <f t="shared" si="37"/>
        <v>-6.4779300122393933E-3</v>
      </c>
      <c r="AA230" s="13" t="str">
        <f t="shared" si="38"/>
        <v/>
      </c>
      <c r="AB230" s="13">
        <f t="shared" si="39"/>
        <v>-1.4217786211509219E-2</v>
      </c>
      <c r="AC230" s="13" t="str">
        <f t="shared" si="40"/>
        <v/>
      </c>
      <c r="AD230" s="52"/>
      <c r="AL230" s="38"/>
    </row>
    <row r="231" spans="1:38" x14ac:dyDescent="0.2">
      <c r="A231" s="43">
        <v>45489</v>
      </c>
      <c r="B231" s="19">
        <v>234.54852299999999</v>
      </c>
      <c r="C231" s="19">
        <v>64.269997000000004</v>
      </c>
      <c r="D231" s="19">
        <v>213.61999499999999</v>
      </c>
      <c r="E231" s="19">
        <v>18.850000000000001</v>
      </c>
      <c r="F231" s="44">
        <v>5667.2</v>
      </c>
      <c r="G231" s="45">
        <v>5.0700000000000002E-2</v>
      </c>
      <c r="H231" s="37">
        <f t="shared" si="33"/>
        <v>1.9784600378991435E-4</v>
      </c>
      <c r="J231" s="6">
        <f t="shared" si="42"/>
        <v>1.7902506232981147E-3</v>
      </c>
      <c r="K231" s="6">
        <f t="shared" si="42"/>
        <v>1.3471334993176645E-2</v>
      </c>
      <c r="L231" s="6">
        <f t="shared" si="42"/>
        <v>1.6853100357796223E-2</v>
      </c>
      <c r="M231" s="6">
        <f t="shared" si="42"/>
        <v>1.4427180508327499E-2</v>
      </c>
      <c r="N231" s="6">
        <f t="shared" si="42"/>
        <v>6.3690536600414091E-3</v>
      </c>
      <c r="O231" s="6">
        <f t="shared" si="35"/>
        <v>-5.7563715877582003E-3</v>
      </c>
      <c r="Q231" s="6"/>
      <c r="R231" s="13">
        <f t="shared" si="41"/>
        <v>1.5924046195082003E-3</v>
      </c>
      <c r="S231" s="13">
        <f t="shared" si="41"/>
        <v>1.327348898938673E-2</v>
      </c>
      <c r="T231" s="13">
        <f t="shared" si="41"/>
        <v>1.6655254354006308E-2</v>
      </c>
      <c r="U231" s="13">
        <f t="shared" si="41"/>
        <v>1.4229334504537585E-2</v>
      </c>
      <c r="V231" s="13">
        <f t="shared" si="41"/>
        <v>6.1712076562514947E-3</v>
      </c>
      <c r="W231" s="13"/>
      <c r="X231" s="52"/>
      <c r="Y231" s="13" t="str">
        <f t="shared" si="36"/>
        <v/>
      </c>
      <c r="Z231" s="13" t="str">
        <f t="shared" si="37"/>
        <v/>
      </c>
      <c r="AA231" s="13" t="str">
        <f t="shared" si="38"/>
        <v/>
      </c>
      <c r="AB231" s="13" t="str">
        <f t="shared" si="39"/>
        <v/>
      </c>
      <c r="AC231" s="13" t="str">
        <f t="shared" si="40"/>
        <v/>
      </c>
      <c r="AD231" s="52"/>
      <c r="AL231" s="38"/>
    </row>
    <row r="232" spans="1:38" x14ac:dyDescent="0.2">
      <c r="A232" s="43">
        <v>45490</v>
      </c>
      <c r="B232" s="19">
        <v>228.615387</v>
      </c>
      <c r="C232" s="19">
        <v>65.209998999999996</v>
      </c>
      <c r="D232" s="19">
        <v>216.86999499999999</v>
      </c>
      <c r="E232" s="19">
        <v>19.16</v>
      </c>
      <c r="F232" s="44">
        <v>5588.27</v>
      </c>
      <c r="G232" s="45">
        <v>5.04E-2</v>
      </c>
      <c r="H232" s="37">
        <f t="shared" si="33"/>
        <v>1.9670351962641774E-4</v>
      </c>
      <c r="J232" s="6">
        <f t="shared" si="42"/>
        <v>-2.5621428783056767E-2</v>
      </c>
      <c r="K232" s="6">
        <f t="shared" si="42"/>
        <v>1.4519903364922418E-2</v>
      </c>
      <c r="L232" s="6">
        <f t="shared" si="42"/>
        <v>1.5099360369527649E-2</v>
      </c>
      <c r="M232" s="6">
        <f t="shared" si="42"/>
        <v>1.631185864869468E-2</v>
      </c>
      <c r="N232" s="6">
        <f t="shared" si="42"/>
        <v>-1.4025410555021933E-2</v>
      </c>
      <c r="O232" s="6">
        <f t="shared" si="35"/>
        <v>-5.7913508389068353E-3</v>
      </c>
      <c r="Q232" s="6"/>
      <c r="R232" s="13">
        <f t="shared" si="41"/>
        <v>-2.5818132302683185E-2</v>
      </c>
      <c r="S232" s="13">
        <f t="shared" si="41"/>
        <v>1.4323199845296E-2</v>
      </c>
      <c r="T232" s="13">
        <f t="shared" si="41"/>
        <v>1.4902656849901231E-2</v>
      </c>
      <c r="U232" s="13">
        <f t="shared" si="41"/>
        <v>1.6115155129068262E-2</v>
      </c>
      <c r="V232" s="13">
        <f t="shared" si="41"/>
        <v>-1.4222114074648351E-2</v>
      </c>
      <c r="W232" s="13"/>
      <c r="X232" s="52"/>
      <c r="Y232" s="13">
        <f t="shared" si="36"/>
        <v>-1.9830077944149933E-2</v>
      </c>
      <c r="Z232" s="13" t="str">
        <f t="shared" si="37"/>
        <v/>
      </c>
      <c r="AA232" s="13" t="str">
        <f t="shared" si="38"/>
        <v/>
      </c>
      <c r="AB232" s="13" t="str">
        <f t="shared" si="39"/>
        <v/>
      </c>
      <c r="AC232" s="13">
        <f t="shared" si="40"/>
        <v>-8.2340597161150979E-3</v>
      </c>
      <c r="AD232" s="52"/>
      <c r="AL232" s="38"/>
    </row>
    <row r="233" spans="1:38" x14ac:dyDescent="0.2">
      <c r="A233" s="43">
        <v>45491</v>
      </c>
      <c r="B233" s="19">
        <v>223.920807</v>
      </c>
      <c r="C233" s="19">
        <v>65.190002000000007</v>
      </c>
      <c r="D233" s="19">
        <v>209.979996</v>
      </c>
      <c r="E233" s="19">
        <v>19.149999999999999</v>
      </c>
      <c r="F233" s="44">
        <v>5544.59</v>
      </c>
      <c r="G233" s="45">
        <v>5.04E-2</v>
      </c>
      <c r="H233" s="37">
        <f t="shared" si="33"/>
        <v>1.9670351962641774E-4</v>
      </c>
      <c r="J233" s="6">
        <f t="shared" si="42"/>
        <v>-2.074860964039351E-2</v>
      </c>
      <c r="K233" s="6">
        <f t="shared" si="42"/>
        <v>-3.067024540397419E-4</v>
      </c>
      <c r="L233" s="6">
        <f t="shared" si="42"/>
        <v>-3.2285803587666854E-2</v>
      </c>
      <c r="M233" s="6">
        <f t="shared" si="42"/>
        <v>-5.2205691605959625E-4</v>
      </c>
      <c r="N233" s="6">
        <f t="shared" si="42"/>
        <v>-7.8470804696827295E-3</v>
      </c>
      <c r="O233" s="6">
        <f t="shared" si="35"/>
        <v>0</v>
      </c>
      <c r="Q233" s="6"/>
      <c r="R233" s="13">
        <f t="shared" si="41"/>
        <v>-2.0945313160019928E-2</v>
      </c>
      <c r="S233" s="13">
        <f t="shared" si="41"/>
        <v>-5.0340597366615959E-4</v>
      </c>
      <c r="T233" s="13">
        <f t="shared" si="41"/>
        <v>-3.2482507107293272E-2</v>
      </c>
      <c r="U233" s="13">
        <f t="shared" si="41"/>
        <v>-7.18760435686014E-4</v>
      </c>
      <c r="V233" s="13">
        <f t="shared" si="41"/>
        <v>-8.0437839893091473E-3</v>
      </c>
      <c r="W233" s="13"/>
      <c r="X233" s="52"/>
      <c r="Y233" s="13">
        <f t="shared" si="36"/>
        <v>-2.074860964039351E-2</v>
      </c>
      <c r="Z233" s="13">
        <f t="shared" si="37"/>
        <v>-3.067024540397419E-4</v>
      </c>
      <c r="AA233" s="13">
        <f t="shared" si="38"/>
        <v>-3.2285803587666854E-2</v>
      </c>
      <c r="AB233" s="13">
        <f t="shared" si="39"/>
        <v>-5.2205691605959625E-4</v>
      </c>
      <c r="AC233" s="13">
        <f t="shared" si="40"/>
        <v>-7.8470804696827295E-3</v>
      </c>
      <c r="AD233" s="52"/>
      <c r="AL233" s="38"/>
    </row>
    <row r="234" spans="1:38" x14ac:dyDescent="0.2">
      <c r="A234" s="43">
        <v>45492</v>
      </c>
      <c r="B234" s="19">
        <v>224.050659</v>
      </c>
      <c r="C234" s="19">
        <v>65.290001000000004</v>
      </c>
      <c r="D234" s="19">
        <v>209.779999</v>
      </c>
      <c r="E234" s="19">
        <v>19.120000999999998</v>
      </c>
      <c r="F234" s="44">
        <v>5505</v>
      </c>
      <c r="G234" s="45">
        <v>4.9800000000000004E-2</v>
      </c>
      <c r="H234" s="37">
        <f t="shared" si="33"/>
        <v>1.9441757599203413E-4</v>
      </c>
      <c r="J234" s="6">
        <f t="shared" si="42"/>
        <v>5.7973336916425204E-4</v>
      </c>
      <c r="K234" s="6">
        <f t="shared" si="42"/>
        <v>1.5327868988235308E-3</v>
      </c>
      <c r="L234" s="6">
        <f t="shared" si="42"/>
        <v>-9.5291127080258486E-4</v>
      </c>
      <c r="M234" s="6">
        <f t="shared" si="42"/>
        <v>-1.5677557021459298E-3</v>
      </c>
      <c r="N234" s="6">
        <f t="shared" si="42"/>
        <v>-7.1659074070294041E-3</v>
      </c>
      <c r="O234" s="6">
        <f t="shared" si="35"/>
        <v>-1.1689319186543775E-2</v>
      </c>
      <c r="Q234" s="6"/>
      <c r="R234" s="13">
        <f t="shared" si="41"/>
        <v>3.8531579317221791E-4</v>
      </c>
      <c r="S234" s="13">
        <f t="shared" si="41"/>
        <v>1.3383693228314966E-3</v>
      </c>
      <c r="T234" s="13">
        <f t="shared" si="41"/>
        <v>-1.147328846794619E-3</v>
      </c>
      <c r="U234" s="13">
        <f t="shared" si="41"/>
        <v>-1.762173278137964E-3</v>
      </c>
      <c r="V234" s="13">
        <f t="shared" si="41"/>
        <v>-7.3603249830214382E-3</v>
      </c>
      <c r="W234" s="13"/>
      <c r="X234" s="52"/>
      <c r="Y234" s="13" t="str">
        <f t="shared" si="36"/>
        <v/>
      </c>
      <c r="Z234" s="13" t="str">
        <f t="shared" si="37"/>
        <v/>
      </c>
      <c r="AA234" s="13" t="str">
        <f t="shared" si="38"/>
        <v/>
      </c>
      <c r="AB234" s="13" t="str">
        <f t="shared" si="39"/>
        <v/>
      </c>
      <c r="AC234" s="13" t="str">
        <f t="shared" si="40"/>
        <v/>
      </c>
      <c r="AD234" s="52"/>
      <c r="AL234" s="38"/>
    </row>
    <row r="235" spans="1:38" x14ac:dyDescent="0.2">
      <c r="A235" s="43">
        <v>45495</v>
      </c>
      <c r="B235" s="19">
        <v>223.70107999999999</v>
      </c>
      <c r="C235" s="19">
        <v>64.769997000000004</v>
      </c>
      <c r="D235" s="19">
        <v>210.279999</v>
      </c>
      <c r="E235" s="19">
        <v>18.549999</v>
      </c>
      <c r="F235" s="44">
        <v>5564.41</v>
      </c>
      <c r="G235" s="45">
        <v>4.99E-2</v>
      </c>
      <c r="H235" s="37">
        <f t="shared" si="33"/>
        <v>1.9479865694971288E-4</v>
      </c>
      <c r="J235" s="6">
        <f t="shared" si="42"/>
        <v>-1.5614861566389346E-3</v>
      </c>
      <c r="K235" s="6">
        <f t="shared" si="42"/>
        <v>-7.9964136377382936E-3</v>
      </c>
      <c r="L235" s="6">
        <f t="shared" si="42"/>
        <v>2.3806134291241197E-3</v>
      </c>
      <c r="M235" s="6">
        <f t="shared" si="42"/>
        <v>-3.0265224779422156E-2</v>
      </c>
      <c r="N235" s="6">
        <f t="shared" si="42"/>
        <v>1.0734189165974961E-2</v>
      </c>
      <c r="O235" s="6">
        <f t="shared" si="35"/>
        <v>1.9581972548826181E-3</v>
      </c>
      <c r="Q235" s="6"/>
      <c r="R235" s="13">
        <f t="shared" si="41"/>
        <v>-1.7562848135886475E-3</v>
      </c>
      <c r="S235" s="13">
        <f t="shared" si="41"/>
        <v>-8.1912122946880064E-3</v>
      </c>
      <c r="T235" s="13">
        <f t="shared" si="41"/>
        <v>2.1858147721744068E-3</v>
      </c>
      <c r="U235" s="13">
        <f t="shared" si="41"/>
        <v>-3.0460023436371868E-2</v>
      </c>
      <c r="V235" s="13">
        <f t="shared" si="41"/>
        <v>1.0539390509025248E-2</v>
      </c>
      <c r="W235" s="13"/>
      <c r="X235" s="52"/>
      <c r="Y235" s="13">
        <f t="shared" si="36"/>
        <v>-3.519683411521553E-3</v>
      </c>
      <c r="Z235" s="13">
        <f t="shared" si="37"/>
        <v>-9.9546108926209121E-3</v>
      </c>
      <c r="AA235" s="13" t="str">
        <f t="shared" si="38"/>
        <v/>
      </c>
      <c r="AB235" s="13">
        <f t="shared" si="39"/>
        <v>-3.2223422034304776E-2</v>
      </c>
      <c r="AC235" s="13" t="str">
        <f t="shared" si="40"/>
        <v/>
      </c>
      <c r="AD235" s="52"/>
      <c r="AL235" s="38"/>
    </row>
    <row r="236" spans="1:38" x14ac:dyDescent="0.2">
      <c r="A236" s="43">
        <v>45496</v>
      </c>
      <c r="B236" s="19">
        <v>224.74984699999999</v>
      </c>
      <c r="C236" s="19">
        <v>64.959998999999996</v>
      </c>
      <c r="D236" s="19">
        <v>210.33000200000001</v>
      </c>
      <c r="E236" s="19">
        <v>18.209999</v>
      </c>
      <c r="F236" s="44">
        <v>5555.74</v>
      </c>
      <c r="G236" s="45">
        <v>5.0199999999999995E-2</v>
      </c>
      <c r="H236" s="37">
        <f t="shared" si="33"/>
        <v>1.9594168295089531E-4</v>
      </c>
      <c r="J236" s="6">
        <f t="shared" si="42"/>
        <v>4.6772962161707281E-3</v>
      </c>
      <c r="K236" s="6">
        <f t="shared" si="42"/>
        <v>2.9291935822486634E-3</v>
      </c>
      <c r="L236" s="6">
        <f t="shared" si="42"/>
        <v>2.3776420016967354E-4</v>
      </c>
      <c r="M236" s="6">
        <f t="shared" si="42"/>
        <v>-1.8498896320453713E-2</v>
      </c>
      <c r="N236" s="6">
        <f t="shared" si="42"/>
        <v>-1.5593317997995005E-3</v>
      </c>
      <c r="O236" s="6">
        <f t="shared" si="35"/>
        <v>5.8505823170835261E-3</v>
      </c>
      <c r="Q236" s="6"/>
      <c r="R236" s="13">
        <f t="shared" si="41"/>
        <v>4.4813545332198328E-3</v>
      </c>
      <c r="S236" s="13">
        <f t="shared" si="41"/>
        <v>2.7332518992977681E-3</v>
      </c>
      <c r="T236" s="13">
        <f t="shared" si="41"/>
        <v>4.182251721877823E-5</v>
      </c>
      <c r="U236" s="13">
        <f t="shared" si="41"/>
        <v>-1.8694838003404608E-2</v>
      </c>
      <c r="V236" s="13">
        <f t="shared" si="41"/>
        <v>-1.7552734827503958E-3</v>
      </c>
      <c r="W236" s="13"/>
      <c r="X236" s="52"/>
      <c r="Y236" s="13">
        <f t="shared" si="36"/>
        <v>-1.173286100912798E-3</v>
      </c>
      <c r="Z236" s="13">
        <f t="shared" si="37"/>
        <v>-2.9213887348348627E-3</v>
      </c>
      <c r="AA236" s="13">
        <f t="shared" si="38"/>
        <v>-5.6128181169138522E-3</v>
      </c>
      <c r="AB236" s="13">
        <f t="shared" si="39"/>
        <v>-2.4349478637537239E-2</v>
      </c>
      <c r="AC236" s="13">
        <f t="shared" si="40"/>
        <v>-7.4099141168830268E-3</v>
      </c>
      <c r="AD236" s="52"/>
      <c r="AL236" s="38"/>
    </row>
    <row r="237" spans="1:38" x14ac:dyDescent="0.2">
      <c r="A237" s="43">
        <v>45497</v>
      </c>
      <c r="B237" s="19">
        <v>218.28732299999999</v>
      </c>
      <c r="C237" s="19">
        <v>65.809997999999993</v>
      </c>
      <c r="D237" s="19">
        <v>208.58999600000001</v>
      </c>
      <c r="E237" s="19">
        <v>19.16</v>
      </c>
      <c r="F237" s="44">
        <v>5427.13</v>
      </c>
      <c r="G237" s="45">
        <v>5.0099999999999999E-2</v>
      </c>
      <c r="H237" s="37">
        <f t="shared" si="33"/>
        <v>1.9556071042226009E-4</v>
      </c>
      <c r="J237" s="6">
        <f t="shared" si="42"/>
        <v>-2.9175802186708118E-2</v>
      </c>
      <c r="K237" s="6">
        <f t="shared" si="42"/>
        <v>1.3000091618175304E-2</v>
      </c>
      <c r="L237" s="6">
        <f t="shared" si="42"/>
        <v>-8.307151793191617E-3</v>
      </c>
      <c r="M237" s="6">
        <f t="shared" si="42"/>
        <v>5.0853933718081321E-2</v>
      </c>
      <c r="N237" s="6">
        <f t="shared" si="42"/>
        <v>-2.3421178443889513E-2</v>
      </c>
      <c r="O237" s="6">
        <f t="shared" si="35"/>
        <v>-1.9462085307038084E-3</v>
      </c>
      <c r="Q237" s="6"/>
      <c r="R237" s="13">
        <f t="shared" si="41"/>
        <v>-2.9371362897130378E-2</v>
      </c>
      <c r="S237" s="13">
        <f t="shared" si="41"/>
        <v>1.2804530907753044E-2</v>
      </c>
      <c r="T237" s="13">
        <f t="shared" si="41"/>
        <v>-8.5027125036138771E-3</v>
      </c>
      <c r="U237" s="13">
        <f t="shared" si="41"/>
        <v>5.065837300765906E-2</v>
      </c>
      <c r="V237" s="13">
        <f t="shared" si="41"/>
        <v>-2.3616739154311773E-2</v>
      </c>
      <c r="W237" s="13"/>
      <c r="X237" s="52"/>
      <c r="Y237" s="13">
        <f t="shared" si="36"/>
        <v>-2.722959365600431E-2</v>
      </c>
      <c r="Z237" s="13" t="str">
        <f t="shared" si="37"/>
        <v/>
      </c>
      <c r="AA237" s="13">
        <f t="shared" si="38"/>
        <v>-6.3609432624878084E-3</v>
      </c>
      <c r="AB237" s="13" t="str">
        <f t="shared" si="39"/>
        <v/>
      </c>
      <c r="AC237" s="13">
        <f t="shared" si="40"/>
        <v>-2.1474969913185704E-2</v>
      </c>
      <c r="AD237" s="52"/>
      <c r="AL237" s="38"/>
    </row>
    <row r="238" spans="1:38" x14ac:dyDescent="0.2">
      <c r="A238" s="43">
        <v>45498</v>
      </c>
      <c r="B238" s="19">
        <v>217.23855599999999</v>
      </c>
      <c r="C238" s="19">
        <v>66.069999999999993</v>
      </c>
      <c r="D238" s="19">
        <v>208.66999799999999</v>
      </c>
      <c r="E238" s="19">
        <v>19.190000999999999</v>
      </c>
      <c r="F238" s="44">
        <v>5399.22</v>
      </c>
      <c r="G238" s="45">
        <v>4.9100000000000005E-2</v>
      </c>
      <c r="H238" s="37">
        <f t="shared" si="33"/>
        <v>1.9174899651042132E-4</v>
      </c>
      <c r="J238" s="6">
        <f t="shared" si="42"/>
        <v>-4.8161042901711899E-3</v>
      </c>
      <c r="K238" s="6">
        <f t="shared" si="42"/>
        <v>3.943013964285107E-3</v>
      </c>
      <c r="L238" s="6">
        <f t="shared" si="42"/>
        <v>3.8346355812063522E-4</v>
      </c>
      <c r="M238" s="6">
        <f t="shared" si="42"/>
        <v>1.564589587366755E-3</v>
      </c>
      <c r="N238" s="6">
        <f t="shared" si="42"/>
        <v>-5.1559504042484414E-3</v>
      </c>
      <c r="O238" s="6">
        <f t="shared" si="35"/>
        <v>-1.9683663551158869E-2</v>
      </c>
      <c r="Q238" s="6"/>
      <c r="R238" s="13">
        <f t="shared" si="41"/>
        <v>-5.0078532866816112E-3</v>
      </c>
      <c r="S238" s="13">
        <f t="shared" si="41"/>
        <v>3.7512649677746857E-3</v>
      </c>
      <c r="T238" s="13">
        <f t="shared" si="41"/>
        <v>1.917145616102139E-4</v>
      </c>
      <c r="U238" s="13">
        <f t="shared" si="41"/>
        <v>1.3728405908563336E-3</v>
      </c>
      <c r="V238" s="13">
        <f t="shared" si="41"/>
        <v>-5.3476994007588628E-3</v>
      </c>
      <c r="W238" s="13"/>
      <c r="X238" s="52"/>
      <c r="Y238" s="13" t="str">
        <f t="shared" si="36"/>
        <v/>
      </c>
      <c r="Z238" s="13" t="str">
        <f t="shared" si="37"/>
        <v/>
      </c>
      <c r="AA238" s="13" t="str">
        <f t="shared" si="38"/>
        <v/>
      </c>
      <c r="AB238" s="13" t="str">
        <f t="shared" si="39"/>
        <v/>
      </c>
      <c r="AC238" s="13" t="str">
        <f t="shared" si="40"/>
        <v/>
      </c>
      <c r="AD238" s="52"/>
      <c r="AL238" s="38"/>
    </row>
    <row r="239" spans="1:38" x14ac:dyDescent="0.2">
      <c r="A239" s="43">
        <v>45499</v>
      </c>
      <c r="B239" s="19">
        <v>217.70800800000001</v>
      </c>
      <c r="C239" s="19">
        <v>67.050003000000004</v>
      </c>
      <c r="D239" s="19">
        <v>212.240005</v>
      </c>
      <c r="E239" s="19">
        <v>19.010000000000002</v>
      </c>
      <c r="F239" s="44">
        <v>5459.1</v>
      </c>
      <c r="G239" s="45">
        <v>4.87E-2</v>
      </c>
      <c r="H239" s="37">
        <f t="shared" si="33"/>
        <v>1.9022329759033063E-4</v>
      </c>
      <c r="J239" s="6">
        <f t="shared" si="42"/>
        <v>2.1586660116600692E-3</v>
      </c>
      <c r="K239" s="6">
        <f t="shared" si="42"/>
        <v>1.4723868428621712E-2</v>
      </c>
      <c r="L239" s="6">
        <f t="shared" si="42"/>
        <v>1.6963686226937915E-2</v>
      </c>
      <c r="M239" s="6">
        <f t="shared" si="42"/>
        <v>-9.4242056297434203E-3</v>
      </c>
      <c r="N239" s="6">
        <f t="shared" si="42"/>
        <v>1.1029442312488889E-2</v>
      </c>
      <c r="O239" s="6">
        <f t="shared" si="35"/>
        <v>-7.9885743415427004E-3</v>
      </c>
      <c r="Q239" s="6"/>
      <c r="R239" s="13">
        <f t="shared" si="41"/>
        <v>1.9684427140697386E-3</v>
      </c>
      <c r="S239" s="13">
        <f t="shared" si="41"/>
        <v>1.4533645131031381E-2</v>
      </c>
      <c r="T239" s="13">
        <f t="shared" si="41"/>
        <v>1.6773462929347584E-2</v>
      </c>
      <c r="U239" s="13">
        <f t="shared" si="41"/>
        <v>-9.614428927333751E-3</v>
      </c>
      <c r="V239" s="13">
        <f t="shared" si="41"/>
        <v>1.0839219014898559E-2</v>
      </c>
      <c r="W239" s="13"/>
      <c r="X239" s="52"/>
      <c r="Y239" s="13" t="str">
        <f t="shared" si="36"/>
        <v/>
      </c>
      <c r="Z239" s="13" t="str">
        <f t="shared" si="37"/>
        <v/>
      </c>
      <c r="AA239" s="13" t="str">
        <f t="shared" si="38"/>
        <v/>
      </c>
      <c r="AB239" s="13">
        <f t="shared" si="39"/>
        <v>-1.4356312882007199E-3</v>
      </c>
      <c r="AC239" s="13" t="str">
        <f t="shared" si="40"/>
        <v/>
      </c>
      <c r="AD239" s="52"/>
      <c r="AL239" s="38"/>
    </row>
    <row r="240" spans="1:38" x14ac:dyDescent="0.2">
      <c r="A240" s="43">
        <v>45502</v>
      </c>
      <c r="B240" s="19">
        <v>217.987686</v>
      </c>
      <c r="C240" s="19">
        <v>66.830001999999993</v>
      </c>
      <c r="D240" s="19">
        <v>210.85000600000001</v>
      </c>
      <c r="E240" s="19">
        <v>18.899999999999999</v>
      </c>
      <c r="F240" s="44">
        <v>5463.54</v>
      </c>
      <c r="G240" s="45">
        <v>4.8499999999999995E-2</v>
      </c>
      <c r="H240" s="37">
        <f t="shared" si="33"/>
        <v>1.8946023076238383E-4</v>
      </c>
      <c r="J240" s="6">
        <f t="shared" si="42"/>
        <v>1.2838228252665619E-3</v>
      </c>
      <c r="K240" s="6">
        <f t="shared" si="42"/>
        <v>-3.2865430207580882E-3</v>
      </c>
      <c r="L240" s="6">
        <f t="shared" si="42"/>
        <v>-6.5707247389028478E-3</v>
      </c>
      <c r="M240" s="6">
        <f t="shared" si="42"/>
        <v>-5.8032344347412621E-3</v>
      </c>
      <c r="N240" s="6">
        <f t="shared" si="42"/>
        <v>8.129903108684501E-4</v>
      </c>
      <c r="O240" s="6">
        <f t="shared" si="35"/>
        <v>-4.0194941224900244E-3</v>
      </c>
      <c r="Q240" s="6"/>
      <c r="R240" s="13">
        <f t="shared" si="41"/>
        <v>1.0943625945041781E-3</v>
      </c>
      <c r="S240" s="13">
        <f t="shared" si="41"/>
        <v>-3.4760032515204721E-3</v>
      </c>
      <c r="T240" s="13">
        <f t="shared" si="41"/>
        <v>-6.7601849696652316E-3</v>
      </c>
      <c r="U240" s="13">
        <f t="shared" si="41"/>
        <v>-5.9926946655036459E-3</v>
      </c>
      <c r="V240" s="13">
        <f t="shared" si="41"/>
        <v>6.2353008010606627E-4</v>
      </c>
      <c r="W240" s="13"/>
      <c r="X240" s="52"/>
      <c r="Y240" s="13" t="str">
        <f t="shared" si="36"/>
        <v/>
      </c>
      <c r="Z240" s="13" t="str">
        <f t="shared" si="37"/>
        <v/>
      </c>
      <c r="AA240" s="13">
        <f t="shared" si="38"/>
        <v>-2.5512306164128234E-3</v>
      </c>
      <c r="AB240" s="13">
        <f t="shared" si="39"/>
        <v>-1.7837403122512377E-3</v>
      </c>
      <c r="AC240" s="13" t="str">
        <f t="shared" si="40"/>
        <v/>
      </c>
      <c r="AD240" s="52"/>
      <c r="AL240" s="38"/>
    </row>
    <row r="241" spans="1:38" x14ac:dyDescent="0.2">
      <c r="A241" s="43">
        <v>45503</v>
      </c>
      <c r="B241" s="19">
        <v>218.547043</v>
      </c>
      <c r="C241" s="19">
        <v>67.680000000000007</v>
      </c>
      <c r="D241" s="19">
        <v>215.19000199999999</v>
      </c>
      <c r="E241" s="19">
        <v>18.98</v>
      </c>
      <c r="F241" s="44">
        <v>5436.44</v>
      </c>
      <c r="G241" s="45">
        <v>4.8499999999999995E-2</v>
      </c>
      <c r="H241" s="37">
        <f t="shared" si="33"/>
        <v>1.8946023076238383E-4</v>
      </c>
      <c r="J241" s="6">
        <f t="shared" si="42"/>
        <v>2.562716177992965E-3</v>
      </c>
      <c r="K241" s="6">
        <f t="shared" si="42"/>
        <v>1.2638603848310002E-2</v>
      </c>
      <c r="L241" s="6">
        <f t="shared" si="42"/>
        <v>2.0374359451747755E-2</v>
      </c>
      <c r="M241" s="6">
        <f t="shared" si="42"/>
        <v>4.2238711161852434E-3</v>
      </c>
      <c r="N241" s="6">
        <f t="shared" si="42"/>
        <v>-4.9724964337360253E-3</v>
      </c>
      <c r="O241" s="6">
        <f t="shared" si="35"/>
        <v>0</v>
      </c>
      <c r="Q241" s="6"/>
      <c r="R241" s="13">
        <f t="shared" si="41"/>
        <v>2.3732559472305812E-3</v>
      </c>
      <c r="S241" s="13">
        <f t="shared" si="41"/>
        <v>1.2449143617547618E-2</v>
      </c>
      <c r="T241" s="13">
        <f t="shared" si="41"/>
        <v>2.0184899220985372E-2</v>
      </c>
      <c r="U241" s="13">
        <f t="shared" si="41"/>
        <v>4.0344108854228596E-3</v>
      </c>
      <c r="V241" s="13">
        <f t="shared" si="41"/>
        <v>-5.1619566644984091E-3</v>
      </c>
      <c r="W241" s="13"/>
      <c r="X241" s="52"/>
      <c r="Y241" s="13" t="str">
        <f t="shared" si="36"/>
        <v/>
      </c>
      <c r="Z241" s="13" t="str">
        <f t="shared" si="37"/>
        <v/>
      </c>
      <c r="AA241" s="13" t="str">
        <f t="shared" si="38"/>
        <v/>
      </c>
      <c r="AB241" s="13" t="str">
        <f t="shared" si="39"/>
        <v/>
      </c>
      <c r="AC241" s="13">
        <f t="shared" si="40"/>
        <v>-4.9724964337360253E-3</v>
      </c>
      <c r="AD241" s="52"/>
      <c r="AL241" s="38"/>
    </row>
    <row r="242" spans="1:38" x14ac:dyDescent="0.2">
      <c r="A242" s="43">
        <v>45504</v>
      </c>
      <c r="B242" s="19">
        <v>221.82324199999999</v>
      </c>
      <c r="C242" s="19">
        <v>66.739998</v>
      </c>
      <c r="D242" s="19">
        <v>212.800003</v>
      </c>
      <c r="E242" s="19">
        <v>19.25</v>
      </c>
      <c r="F242" s="44">
        <v>5522.3</v>
      </c>
      <c r="G242" s="45">
        <v>4.8499999999999995E-2</v>
      </c>
      <c r="H242" s="37">
        <f t="shared" si="33"/>
        <v>1.8946023076238383E-4</v>
      </c>
      <c r="J242" s="6">
        <f t="shared" si="42"/>
        <v>1.4879566390620118E-2</v>
      </c>
      <c r="K242" s="6">
        <f t="shared" si="42"/>
        <v>-1.3986271941776691E-2</v>
      </c>
      <c r="L242" s="6">
        <f t="shared" si="42"/>
        <v>-1.1168596535331227E-2</v>
      </c>
      <c r="M242" s="6">
        <f t="shared" si="42"/>
        <v>1.4125267552011362E-2</v>
      </c>
      <c r="N242" s="6">
        <f t="shared" si="42"/>
        <v>1.567000529191805E-2</v>
      </c>
      <c r="O242" s="6">
        <f t="shared" si="35"/>
        <v>0</v>
      </c>
      <c r="Q242" s="6"/>
      <c r="R242" s="13">
        <f t="shared" si="41"/>
        <v>1.4690106159857734E-2</v>
      </c>
      <c r="S242" s="13">
        <f t="shared" si="41"/>
        <v>-1.4175732172539075E-2</v>
      </c>
      <c r="T242" s="13">
        <f t="shared" si="41"/>
        <v>-1.135805676609361E-2</v>
      </c>
      <c r="U242" s="13">
        <f t="shared" si="41"/>
        <v>1.3935807321248979E-2</v>
      </c>
      <c r="V242" s="13">
        <f t="shared" si="41"/>
        <v>1.5480545061155666E-2</v>
      </c>
      <c r="W242" s="13"/>
      <c r="X242" s="52"/>
      <c r="Y242" s="13" t="str">
        <f t="shared" si="36"/>
        <v/>
      </c>
      <c r="Z242" s="13">
        <f t="shared" si="37"/>
        <v>-1.3986271941776691E-2</v>
      </c>
      <c r="AA242" s="13">
        <f t="shared" si="38"/>
        <v>-1.1168596535331227E-2</v>
      </c>
      <c r="AB242" s="13" t="str">
        <f t="shared" si="39"/>
        <v/>
      </c>
      <c r="AC242" s="13" t="str">
        <f t="shared" si="40"/>
        <v/>
      </c>
      <c r="AD242" s="52"/>
      <c r="AL242" s="38"/>
    </row>
    <row r="243" spans="1:38" x14ac:dyDescent="0.2">
      <c r="A243" s="43">
        <v>45505</v>
      </c>
      <c r="B243" s="19">
        <v>218.10754399999999</v>
      </c>
      <c r="C243" s="19">
        <v>67.959998999999996</v>
      </c>
      <c r="D243" s="19">
        <v>207.96000699999999</v>
      </c>
      <c r="E243" s="19">
        <v>19.469999000000001</v>
      </c>
      <c r="F243" s="44">
        <v>5446.68</v>
      </c>
      <c r="G243" s="45">
        <v>4.8600000000000004E-2</v>
      </c>
      <c r="H243" s="37">
        <f t="shared" si="33"/>
        <v>1.8984178229608517E-4</v>
      </c>
      <c r="J243" s="6">
        <f t="shared" si="42"/>
        <v>-1.6892595276606047E-2</v>
      </c>
      <c r="K243" s="6">
        <f t="shared" si="42"/>
        <v>1.8114838733001931E-2</v>
      </c>
      <c r="L243" s="6">
        <f t="shared" si="42"/>
        <v>-2.300698438939985E-2</v>
      </c>
      <c r="M243" s="6">
        <f t="shared" si="42"/>
        <v>1.1363707289245462E-2</v>
      </c>
      <c r="N243" s="6">
        <f t="shared" si="42"/>
        <v>-1.3788191433053192E-2</v>
      </c>
      <c r="O243" s="6">
        <f t="shared" si="35"/>
        <v>2.0118620479849911E-3</v>
      </c>
      <c r="Q243" s="6"/>
      <c r="R243" s="13">
        <f t="shared" si="41"/>
        <v>-1.7082437058902132E-2</v>
      </c>
      <c r="S243" s="13">
        <f t="shared" si="41"/>
        <v>1.7924996950705846E-2</v>
      </c>
      <c r="T243" s="13">
        <f t="shared" si="41"/>
        <v>-2.3196826171695935E-2</v>
      </c>
      <c r="U243" s="13">
        <f t="shared" si="41"/>
        <v>1.1173865506949376E-2</v>
      </c>
      <c r="V243" s="13">
        <f t="shared" si="41"/>
        <v>-1.3978033215349277E-2</v>
      </c>
      <c r="W243" s="13"/>
      <c r="X243" s="52"/>
      <c r="Y243" s="13">
        <f t="shared" si="36"/>
        <v>-1.8904457324591038E-2</v>
      </c>
      <c r="Z243" s="13" t="str">
        <f t="shared" si="37"/>
        <v/>
      </c>
      <c r="AA243" s="13">
        <f t="shared" si="38"/>
        <v>-2.5018846437384841E-2</v>
      </c>
      <c r="AB243" s="13" t="str">
        <f t="shared" si="39"/>
        <v/>
      </c>
      <c r="AC243" s="13">
        <f t="shared" si="40"/>
        <v>-1.5800053481038183E-2</v>
      </c>
      <c r="AD243" s="52"/>
      <c r="AL243" s="38"/>
    </row>
    <row r="244" spans="1:38" x14ac:dyDescent="0.2">
      <c r="A244" s="43">
        <v>45506</v>
      </c>
      <c r="B244" s="19">
        <v>219.60580400000001</v>
      </c>
      <c r="C244" s="19">
        <v>69.330001999999993</v>
      </c>
      <c r="D244" s="19">
        <v>199.13999899999999</v>
      </c>
      <c r="E244" s="19">
        <v>19.370000999999998</v>
      </c>
      <c r="F244" s="44">
        <v>5346.56</v>
      </c>
      <c r="G244" s="45">
        <v>4.87E-2</v>
      </c>
      <c r="H244" s="37">
        <f t="shared" si="33"/>
        <v>1.9022329759033063E-4</v>
      </c>
      <c r="J244" s="6">
        <f t="shared" si="42"/>
        <v>6.8458769114516189E-3</v>
      </c>
      <c r="K244" s="6">
        <f t="shared" si="42"/>
        <v>1.9958459712746134E-2</v>
      </c>
      <c r="L244" s="6">
        <f t="shared" si="42"/>
        <v>-4.3337697237488322E-2</v>
      </c>
      <c r="M244" s="6">
        <f t="shared" si="42"/>
        <v>-5.1492389779095047E-3</v>
      </c>
      <c r="N244" s="6">
        <f t="shared" si="42"/>
        <v>-1.8552885294602865E-2</v>
      </c>
      <c r="O244" s="6">
        <f t="shared" si="35"/>
        <v>2.0076320745050212E-3</v>
      </c>
      <c r="Q244" s="6"/>
      <c r="R244" s="13">
        <f t="shared" si="41"/>
        <v>6.6556536138612883E-3</v>
      </c>
      <c r="S244" s="13">
        <f t="shared" si="41"/>
        <v>1.9768236415155804E-2</v>
      </c>
      <c r="T244" s="13">
        <f t="shared" si="41"/>
        <v>-4.3527920535078653E-2</v>
      </c>
      <c r="U244" s="13">
        <f t="shared" si="41"/>
        <v>-5.3394622754998353E-3</v>
      </c>
      <c r="V244" s="13">
        <f t="shared" si="41"/>
        <v>-1.8743108592193195E-2</v>
      </c>
      <c r="W244" s="13"/>
      <c r="X244" s="52"/>
      <c r="Y244" s="13" t="str">
        <f t="shared" si="36"/>
        <v/>
      </c>
      <c r="Z244" s="13" t="str">
        <f t="shared" si="37"/>
        <v/>
      </c>
      <c r="AA244" s="13">
        <f t="shared" si="38"/>
        <v>-4.5345329311993345E-2</v>
      </c>
      <c r="AB244" s="13">
        <f t="shared" si="39"/>
        <v>-7.1568710524145263E-3</v>
      </c>
      <c r="AC244" s="13">
        <f t="shared" si="40"/>
        <v>-2.0560517369107887E-2</v>
      </c>
      <c r="AD244" s="52"/>
      <c r="AL244" s="38"/>
    </row>
    <row r="245" spans="1:38" x14ac:dyDescent="0.2">
      <c r="A245" s="43">
        <v>45509</v>
      </c>
      <c r="B245" s="19">
        <v>209.02806100000001</v>
      </c>
      <c r="C245" s="19">
        <v>68.099997999999999</v>
      </c>
      <c r="D245" s="19">
        <v>194.89999399999999</v>
      </c>
      <c r="E245" s="19">
        <v>18.91</v>
      </c>
      <c r="F245" s="44">
        <v>5186.33</v>
      </c>
      <c r="G245" s="45">
        <v>4.8799999999999996E-2</v>
      </c>
      <c r="H245" s="37">
        <f t="shared" si="33"/>
        <v>1.9060477665200359E-4</v>
      </c>
      <c r="J245" s="6">
        <f t="shared" si="42"/>
        <v>-4.936563304839342E-2</v>
      </c>
      <c r="K245" s="6">
        <f t="shared" si="42"/>
        <v>-1.7900558015048668E-2</v>
      </c>
      <c r="L245" s="6">
        <f t="shared" si="42"/>
        <v>-2.1521514209848672E-2</v>
      </c>
      <c r="M245" s="6">
        <f t="shared" si="42"/>
        <v>-2.4034646374763047E-2</v>
      </c>
      <c r="N245" s="6">
        <f t="shared" si="42"/>
        <v>-3.0427045496882188E-2</v>
      </c>
      <c r="O245" s="6">
        <f t="shared" si="35"/>
        <v>2.0034194696742034E-3</v>
      </c>
      <c r="Q245" s="6"/>
      <c r="R245" s="13">
        <f t="shared" si="41"/>
        <v>-4.9556237825045424E-2</v>
      </c>
      <c r="S245" s="13">
        <f t="shared" si="41"/>
        <v>-1.8091162791700671E-2</v>
      </c>
      <c r="T245" s="13">
        <f t="shared" si="41"/>
        <v>-2.1712118986500675E-2</v>
      </c>
      <c r="U245" s="13">
        <f t="shared" si="41"/>
        <v>-2.422525115141505E-2</v>
      </c>
      <c r="V245" s="13">
        <f t="shared" si="41"/>
        <v>-3.0617650273534192E-2</v>
      </c>
      <c r="W245" s="13"/>
      <c r="X245" s="52"/>
      <c r="Y245" s="13">
        <f t="shared" si="36"/>
        <v>-5.1369052518067622E-2</v>
      </c>
      <c r="Z245" s="13">
        <f t="shared" si="37"/>
        <v>-1.9903977484722869E-2</v>
      </c>
      <c r="AA245" s="13">
        <f t="shared" si="38"/>
        <v>-2.3524933679522873E-2</v>
      </c>
      <c r="AB245" s="13">
        <f t="shared" si="39"/>
        <v>-2.6038065844437248E-2</v>
      </c>
      <c r="AC245" s="13">
        <f t="shared" si="40"/>
        <v>-3.243046496655639E-2</v>
      </c>
      <c r="AD245" s="52"/>
      <c r="AL245" s="38"/>
    </row>
    <row r="246" spans="1:38" x14ac:dyDescent="0.2">
      <c r="A246" s="43">
        <v>45510</v>
      </c>
      <c r="B246" s="19">
        <v>206.99040199999999</v>
      </c>
      <c r="C246" s="19">
        <v>68.050003000000004</v>
      </c>
      <c r="D246" s="19">
        <v>200.33999600000001</v>
      </c>
      <c r="E246" s="19">
        <v>19.190000999999999</v>
      </c>
      <c r="F246" s="44">
        <v>5240.03</v>
      </c>
      <c r="G246" s="45">
        <v>4.8499999999999995E-2</v>
      </c>
      <c r="H246" s="37">
        <f t="shared" si="33"/>
        <v>1.8946023076238383E-4</v>
      </c>
      <c r="J246" s="6">
        <f t="shared" si="42"/>
        <v>-9.7960810695936606E-3</v>
      </c>
      <c r="K246" s="6">
        <f t="shared" si="42"/>
        <v>-7.3441060418495512E-4</v>
      </c>
      <c r="L246" s="6">
        <f t="shared" si="42"/>
        <v>2.7529327489063685E-2</v>
      </c>
      <c r="M246" s="6">
        <f t="shared" si="42"/>
        <v>1.4698479459715275E-2</v>
      </c>
      <c r="N246" s="6">
        <f t="shared" si="42"/>
        <v>1.0300905557719547E-2</v>
      </c>
      <c r="O246" s="6">
        <f t="shared" si="35"/>
        <v>-6.0229135921643839E-3</v>
      </c>
      <c r="Q246" s="6"/>
      <c r="R246" s="13">
        <f t="shared" si="41"/>
        <v>-9.9855413003560444E-3</v>
      </c>
      <c r="S246" s="13">
        <f t="shared" si="41"/>
        <v>-9.2387083494733895E-4</v>
      </c>
      <c r="T246" s="13">
        <f t="shared" si="41"/>
        <v>2.7339867258301301E-2</v>
      </c>
      <c r="U246" s="13">
        <f t="shared" si="41"/>
        <v>1.4509019228952891E-2</v>
      </c>
      <c r="V246" s="13">
        <f t="shared" si="41"/>
        <v>1.0111445326957163E-2</v>
      </c>
      <c r="W246" s="13"/>
      <c r="X246" s="52"/>
      <c r="Y246" s="13">
        <f t="shared" si="36"/>
        <v>-3.7731674774292767E-3</v>
      </c>
      <c r="Z246" s="13" t="str">
        <f t="shared" si="37"/>
        <v/>
      </c>
      <c r="AA246" s="13" t="str">
        <f t="shared" si="38"/>
        <v/>
      </c>
      <c r="AB246" s="13" t="str">
        <f t="shared" si="39"/>
        <v/>
      </c>
      <c r="AC246" s="13" t="str">
        <f t="shared" si="40"/>
        <v/>
      </c>
      <c r="AD246" s="52"/>
      <c r="AL246" s="38"/>
    </row>
    <row r="247" spans="1:38" x14ac:dyDescent="0.2">
      <c r="A247" s="43">
        <v>45511</v>
      </c>
      <c r="B247" s="19">
        <v>209.57742300000001</v>
      </c>
      <c r="C247" s="19">
        <v>68.459998999999996</v>
      </c>
      <c r="D247" s="19">
        <v>200.39999399999999</v>
      </c>
      <c r="E247" s="19">
        <v>19.25</v>
      </c>
      <c r="F247" s="44">
        <v>5199.5</v>
      </c>
      <c r="G247" s="45">
        <v>4.82E-2</v>
      </c>
      <c r="H247" s="37">
        <f t="shared" si="33"/>
        <v>1.8831535865504456E-4</v>
      </c>
      <c r="J247" s="6">
        <f t="shared" si="42"/>
        <v>1.2420806909965328E-2</v>
      </c>
      <c r="K247" s="6">
        <f t="shared" si="42"/>
        <v>6.0068453122636119E-3</v>
      </c>
      <c r="L247" s="6">
        <f t="shared" si="42"/>
        <v>2.9943605302915484E-4</v>
      </c>
      <c r="M247" s="6">
        <f t="shared" si="42"/>
        <v>3.1216986037119246E-3</v>
      </c>
      <c r="N247" s="6">
        <f t="shared" si="42"/>
        <v>-7.7647563892511828E-3</v>
      </c>
      <c r="O247" s="6">
        <f t="shared" si="35"/>
        <v>-6.0611412932984471E-3</v>
      </c>
      <c r="Q247" s="6"/>
      <c r="R247" s="13">
        <f t="shared" si="41"/>
        <v>1.2232491551310284E-2</v>
      </c>
      <c r="S247" s="13">
        <f t="shared" si="41"/>
        <v>5.8185299536085673E-3</v>
      </c>
      <c r="T247" s="13">
        <f t="shared" si="41"/>
        <v>1.1112069437411027E-4</v>
      </c>
      <c r="U247" s="13">
        <f t="shared" si="41"/>
        <v>2.9333832450568801E-3</v>
      </c>
      <c r="V247" s="13">
        <f t="shared" si="41"/>
        <v>-7.9530717479062273E-3</v>
      </c>
      <c r="W247" s="13"/>
      <c r="X247" s="52"/>
      <c r="Y247" s="13" t="str">
        <f t="shared" si="36"/>
        <v/>
      </c>
      <c r="Z247" s="13" t="str">
        <f t="shared" si="37"/>
        <v/>
      </c>
      <c r="AA247" s="13" t="str">
        <f t="shared" si="38"/>
        <v/>
      </c>
      <c r="AB247" s="13" t="str">
        <f t="shared" si="39"/>
        <v/>
      </c>
      <c r="AC247" s="13">
        <f t="shared" si="40"/>
        <v>-1.7036150959527357E-3</v>
      </c>
      <c r="AD247" s="52"/>
      <c r="AL247" s="38"/>
    </row>
    <row r="248" spans="1:38" x14ac:dyDescent="0.2">
      <c r="A248" s="43">
        <v>45512</v>
      </c>
      <c r="B248" s="19">
        <v>213.06338500000001</v>
      </c>
      <c r="C248" s="19">
        <v>68.730002999999996</v>
      </c>
      <c r="D248" s="19">
        <v>204.05999800000001</v>
      </c>
      <c r="E248" s="19">
        <v>19.399999999999999</v>
      </c>
      <c r="F248" s="44">
        <v>5319.31</v>
      </c>
      <c r="G248" s="45">
        <v>4.8300000000000003E-2</v>
      </c>
      <c r="H248" s="37">
        <f t="shared" si="33"/>
        <v>1.8869701894863589E-4</v>
      </c>
      <c r="J248" s="6">
        <f t="shared" si="42"/>
        <v>1.6496471649674511E-2</v>
      </c>
      <c r="K248" s="6">
        <f t="shared" si="42"/>
        <v>3.9362102876051566E-3</v>
      </c>
      <c r="L248" s="6">
        <f t="shared" si="42"/>
        <v>1.8098719175530638E-2</v>
      </c>
      <c r="M248" s="6">
        <f t="shared" si="42"/>
        <v>7.7620053354891094E-3</v>
      </c>
      <c r="N248" s="6">
        <f t="shared" si="42"/>
        <v>2.2781128575607587E-2</v>
      </c>
      <c r="O248" s="6">
        <f t="shared" si="35"/>
        <v>2.0246572613530339E-3</v>
      </c>
      <c r="Q248" s="6"/>
      <c r="R248" s="13">
        <f t="shared" si="41"/>
        <v>1.6307774630725875E-2</v>
      </c>
      <c r="S248" s="13">
        <f t="shared" si="41"/>
        <v>3.7475132686565207E-3</v>
      </c>
      <c r="T248" s="13">
        <f t="shared" si="41"/>
        <v>1.7910022156582002E-2</v>
      </c>
      <c r="U248" s="13">
        <f t="shared" si="41"/>
        <v>7.5733083165404735E-3</v>
      </c>
      <c r="V248" s="13">
        <f t="shared" si="41"/>
        <v>2.2592431556658951E-2</v>
      </c>
      <c r="W248" s="13"/>
      <c r="X248" s="52"/>
      <c r="Y248" s="13" t="str">
        <f t="shared" si="36"/>
        <v/>
      </c>
      <c r="Z248" s="13" t="str">
        <f t="shared" si="37"/>
        <v/>
      </c>
      <c r="AA248" s="13" t="str">
        <f t="shared" si="38"/>
        <v/>
      </c>
      <c r="AB248" s="13" t="str">
        <f t="shared" si="39"/>
        <v/>
      </c>
      <c r="AC248" s="13" t="str">
        <f t="shared" si="40"/>
        <v/>
      </c>
      <c r="AD248" s="52"/>
      <c r="AL248" s="38"/>
    </row>
    <row r="249" spans="1:38" x14ac:dyDescent="0.2">
      <c r="A249" s="43">
        <v>45513</v>
      </c>
      <c r="B249" s="19">
        <v>215.990005</v>
      </c>
      <c r="C249" s="19">
        <v>68.680000000000007</v>
      </c>
      <c r="D249" s="19">
        <v>205.800003</v>
      </c>
      <c r="E249" s="19">
        <v>19.489999999999998</v>
      </c>
      <c r="F249" s="44">
        <v>5344.16</v>
      </c>
      <c r="G249" s="45">
        <v>4.7899999999999998E-2</v>
      </c>
      <c r="H249" s="37">
        <f t="shared" si="33"/>
        <v>1.8717016014413446E-4</v>
      </c>
      <c r="J249" s="6">
        <f t="shared" si="42"/>
        <v>1.3642429865120695E-2</v>
      </c>
      <c r="K249" s="6">
        <f t="shared" si="42"/>
        <v>-7.2779275329949461E-4</v>
      </c>
      <c r="L249" s="6">
        <f t="shared" si="42"/>
        <v>8.4907795310884548E-3</v>
      </c>
      <c r="M249" s="6">
        <f t="shared" si="42"/>
        <v>4.6284474501869788E-3</v>
      </c>
      <c r="N249" s="6">
        <f t="shared" si="42"/>
        <v>4.660780212150723E-3</v>
      </c>
      <c r="O249" s="6">
        <f t="shared" si="35"/>
        <v>-8.1245040168903531E-3</v>
      </c>
      <c r="Q249" s="6"/>
      <c r="R249" s="13">
        <f t="shared" si="41"/>
        <v>1.345525970497656E-2</v>
      </c>
      <c r="S249" s="13">
        <f t="shared" si="41"/>
        <v>-9.1496291344362907E-4</v>
      </c>
      <c r="T249" s="13">
        <f t="shared" si="41"/>
        <v>8.3036093709443204E-3</v>
      </c>
      <c r="U249" s="13">
        <f t="shared" si="41"/>
        <v>4.4412772900428443E-3</v>
      </c>
      <c r="V249" s="13">
        <f t="shared" si="41"/>
        <v>4.4736100520065885E-3</v>
      </c>
      <c r="W249" s="13"/>
      <c r="X249" s="52"/>
      <c r="Y249" s="13" t="str">
        <f t="shared" si="36"/>
        <v/>
      </c>
      <c r="Z249" s="13" t="str">
        <f t="shared" si="37"/>
        <v/>
      </c>
      <c r="AA249" s="13" t="str">
        <f t="shared" si="38"/>
        <v/>
      </c>
      <c r="AB249" s="13" t="str">
        <f t="shared" si="39"/>
        <v/>
      </c>
      <c r="AC249" s="13" t="str">
        <f t="shared" si="40"/>
        <v/>
      </c>
      <c r="AD249" s="52"/>
      <c r="AL249" s="38"/>
    </row>
    <row r="250" spans="1:38" x14ac:dyDescent="0.2">
      <c r="A250" s="43">
        <v>45516</v>
      </c>
      <c r="B250" s="19">
        <v>217.529999</v>
      </c>
      <c r="C250" s="19">
        <v>68.169998000000007</v>
      </c>
      <c r="D250" s="19">
        <v>206.19000199999999</v>
      </c>
      <c r="E250" s="19">
        <v>19.43</v>
      </c>
      <c r="F250" s="44">
        <v>5344.39</v>
      </c>
      <c r="G250" s="45">
        <v>4.7899999999999998E-2</v>
      </c>
      <c r="H250" s="37">
        <f t="shared" si="33"/>
        <v>1.8717016014413446E-4</v>
      </c>
      <c r="J250" s="6">
        <f t="shared" si="42"/>
        <v>7.1046339891622338E-3</v>
      </c>
      <c r="K250" s="6">
        <f t="shared" si="42"/>
        <v>-7.4534799929999399E-3</v>
      </c>
      <c r="L250" s="6">
        <f t="shared" si="42"/>
        <v>1.8932455242062468E-3</v>
      </c>
      <c r="M250" s="6">
        <f t="shared" si="42"/>
        <v>-3.0832501301206196E-3</v>
      </c>
      <c r="N250" s="6">
        <f t="shared" si="42"/>
        <v>4.3036707511422095E-5</v>
      </c>
      <c r="O250" s="6">
        <f t="shared" si="35"/>
        <v>0</v>
      </c>
      <c r="Q250" s="6"/>
      <c r="R250" s="13">
        <f t="shared" si="41"/>
        <v>6.9174638290180994E-3</v>
      </c>
      <c r="S250" s="13">
        <f t="shared" si="41"/>
        <v>-7.6406501531440744E-3</v>
      </c>
      <c r="T250" s="13">
        <f t="shared" si="41"/>
        <v>1.7060753640621123E-3</v>
      </c>
      <c r="U250" s="13">
        <f t="shared" si="41"/>
        <v>-3.2704202902647541E-3</v>
      </c>
      <c r="V250" s="13">
        <f t="shared" si="41"/>
        <v>-1.4413345263271235E-4</v>
      </c>
      <c r="W250" s="13"/>
      <c r="X250" s="52"/>
      <c r="Y250" s="13" t="str">
        <f t="shared" si="36"/>
        <v/>
      </c>
      <c r="Z250" s="13">
        <f t="shared" si="37"/>
        <v>-7.4534799929999399E-3</v>
      </c>
      <c r="AA250" s="13" t="str">
        <f t="shared" si="38"/>
        <v/>
      </c>
      <c r="AB250" s="13">
        <f t="shared" si="39"/>
        <v>-3.0832501301206196E-3</v>
      </c>
      <c r="AC250" s="13" t="str">
        <f t="shared" si="40"/>
        <v/>
      </c>
      <c r="AD250" s="52"/>
      <c r="AL250" s="38"/>
    </row>
    <row r="251" spans="1:38" x14ac:dyDescent="0.2">
      <c r="A251" s="43">
        <v>45517</v>
      </c>
      <c r="B251" s="19">
        <v>221.270004</v>
      </c>
      <c r="C251" s="19">
        <v>68.459998999999996</v>
      </c>
      <c r="D251" s="19">
        <v>207.94000199999999</v>
      </c>
      <c r="E251" s="19">
        <v>19.52</v>
      </c>
      <c r="F251" s="44">
        <v>5434.43</v>
      </c>
      <c r="G251" s="45">
        <v>4.7800000000000002E-2</v>
      </c>
      <c r="H251" s="37">
        <f t="shared" si="33"/>
        <v>1.8678835474061906E-4</v>
      </c>
      <c r="J251" s="6">
        <f t="shared" si="42"/>
        <v>1.7046925905757491E-2</v>
      </c>
      <c r="K251" s="6">
        <f t="shared" si="42"/>
        <v>4.2450624586943594E-3</v>
      </c>
      <c r="L251" s="6">
        <f t="shared" si="42"/>
        <v>8.4515026665683331E-3</v>
      </c>
      <c r="M251" s="6">
        <f t="shared" si="42"/>
        <v>4.6213175955976916E-3</v>
      </c>
      <c r="N251" s="6">
        <f t="shared" si="42"/>
        <v>1.6707226654933075E-2</v>
      </c>
      <c r="O251" s="6">
        <f t="shared" si="35"/>
        <v>-2.0419673358617789E-3</v>
      </c>
      <c r="Q251" s="6"/>
      <c r="R251" s="13">
        <f t="shared" si="41"/>
        <v>1.6860137551016872E-2</v>
      </c>
      <c r="S251" s="13">
        <f t="shared" si="41"/>
        <v>4.0582741039537403E-3</v>
      </c>
      <c r="T251" s="13">
        <f t="shared" si="41"/>
        <v>8.2647143118277141E-3</v>
      </c>
      <c r="U251" s="13">
        <f t="shared" si="41"/>
        <v>4.4345292408570726E-3</v>
      </c>
      <c r="V251" s="13">
        <f t="shared" si="41"/>
        <v>1.6520438300192456E-2</v>
      </c>
      <c r="W251" s="13"/>
      <c r="X251" s="52"/>
      <c r="Y251" s="13" t="str">
        <f t="shared" si="36"/>
        <v/>
      </c>
      <c r="Z251" s="13" t="str">
        <f t="shared" si="37"/>
        <v/>
      </c>
      <c r="AA251" s="13" t="str">
        <f t="shared" si="38"/>
        <v/>
      </c>
      <c r="AB251" s="13" t="str">
        <f t="shared" si="39"/>
        <v/>
      </c>
      <c r="AC251" s="13" t="str">
        <f t="shared" si="40"/>
        <v/>
      </c>
      <c r="AD251" s="52"/>
      <c r="AL251" s="38"/>
    </row>
    <row r="252" spans="1:38" x14ac:dyDescent="0.2">
      <c r="A252" s="43">
        <v>45518</v>
      </c>
      <c r="B252" s="19">
        <v>221.720001</v>
      </c>
      <c r="C252" s="19">
        <v>68.580001999999993</v>
      </c>
      <c r="D252" s="19">
        <v>210.240005</v>
      </c>
      <c r="E252" s="19">
        <v>19.629999000000002</v>
      </c>
      <c r="F252" s="44">
        <v>5455.21</v>
      </c>
      <c r="G252" s="45">
        <v>4.7300000000000002E-2</v>
      </c>
      <c r="H252" s="37">
        <f t="shared" si="33"/>
        <v>1.8487878316397754E-4</v>
      </c>
      <c r="J252" s="6">
        <f t="shared" si="42"/>
        <v>2.0316357014954671E-3</v>
      </c>
      <c r="K252" s="6">
        <f t="shared" si="42"/>
        <v>1.751357702825767E-3</v>
      </c>
      <c r="L252" s="6">
        <f t="shared" si="42"/>
        <v>1.1000172910606301E-2</v>
      </c>
      <c r="M252" s="6">
        <f t="shared" si="42"/>
        <v>5.6193763609869146E-3</v>
      </c>
      <c r="N252" s="6">
        <f t="shared" si="42"/>
        <v>3.816476067632372E-3</v>
      </c>
      <c r="O252" s="6">
        <f t="shared" si="35"/>
        <v>-1.0275798879295729E-2</v>
      </c>
      <c r="Q252" s="6"/>
      <c r="R252" s="13">
        <f t="shared" si="41"/>
        <v>1.8467569183314896E-3</v>
      </c>
      <c r="S252" s="13">
        <f t="shared" si="41"/>
        <v>1.5664789196617895E-3</v>
      </c>
      <c r="T252" s="13">
        <f t="shared" si="41"/>
        <v>1.0815294127442324E-2</v>
      </c>
      <c r="U252" s="13">
        <f t="shared" si="41"/>
        <v>5.434497577822937E-3</v>
      </c>
      <c r="V252" s="13">
        <f t="shared" si="41"/>
        <v>3.6315972844683945E-3</v>
      </c>
      <c r="W252" s="13"/>
      <c r="X252" s="52"/>
      <c r="Y252" s="13" t="str">
        <f t="shared" si="36"/>
        <v/>
      </c>
      <c r="Z252" s="13" t="str">
        <f t="shared" si="37"/>
        <v/>
      </c>
      <c r="AA252" s="13" t="str">
        <f t="shared" si="38"/>
        <v/>
      </c>
      <c r="AB252" s="13" t="str">
        <f t="shared" si="39"/>
        <v/>
      </c>
      <c r="AC252" s="13" t="str">
        <f t="shared" si="40"/>
        <v/>
      </c>
      <c r="AD252" s="52"/>
      <c r="AL252" s="38"/>
    </row>
    <row r="253" spans="1:38" x14ac:dyDescent="0.2">
      <c r="A253" s="43">
        <v>45519</v>
      </c>
      <c r="B253" s="19">
        <v>224.720001</v>
      </c>
      <c r="C253" s="19">
        <v>68.650002000000001</v>
      </c>
      <c r="D253" s="19">
        <v>211.550003</v>
      </c>
      <c r="E253" s="19">
        <v>19.09</v>
      </c>
      <c r="F253" s="44">
        <v>5543.22</v>
      </c>
      <c r="G253" s="45">
        <v>4.6199999999999998E-2</v>
      </c>
      <c r="H253" s="37">
        <f t="shared" si="33"/>
        <v>1.8067452749437329E-4</v>
      </c>
      <c r="J253" s="6">
        <f t="shared" si="42"/>
        <v>1.3439858184173351E-2</v>
      </c>
      <c r="K253" s="6">
        <f t="shared" si="42"/>
        <v>1.0201851494693278E-3</v>
      </c>
      <c r="L253" s="6">
        <f t="shared" si="42"/>
        <v>6.2116322685317679E-3</v>
      </c>
      <c r="M253" s="6">
        <f t="shared" si="42"/>
        <v>-2.7894319608277238E-2</v>
      </c>
      <c r="N253" s="6">
        <f t="shared" si="42"/>
        <v>1.6004444012785939E-2</v>
      </c>
      <c r="O253" s="6">
        <f t="shared" si="35"/>
        <v>-2.3003162241745385E-2</v>
      </c>
      <c r="Q253" s="6"/>
      <c r="R253" s="13">
        <f t="shared" si="41"/>
        <v>1.3259183656678978E-2</v>
      </c>
      <c r="S253" s="13">
        <f t="shared" si="41"/>
        <v>8.3951062197495452E-4</v>
      </c>
      <c r="T253" s="13">
        <f t="shared" si="41"/>
        <v>6.0309577410373946E-3</v>
      </c>
      <c r="U253" s="13">
        <f t="shared" si="41"/>
        <v>-2.8074994135771612E-2</v>
      </c>
      <c r="V253" s="13">
        <f t="shared" si="41"/>
        <v>1.5823769485291565E-2</v>
      </c>
      <c r="W253" s="13"/>
      <c r="X253" s="52"/>
      <c r="Y253" s="13" t="str">
        <f t="shared" si="36"/>
        <v/>
      </c>
      <c r="Z253" s="13" t="str">
        <f t="shared" si="37"/>
        <v/>
      </c>
      <c r="AA253" s="13" t="str">
        <f t="shared" si="38"/>
        <v/>
      </c>
      <c r="AB253" s="13">
        <f t="shared" si="39"/>
        <v>-4.8911573665318536E-3</v>
      </c>
      <c r="AC253" s="13" t="str">
        <f t="shared" si="40"/>
        <v/>
      </c>
      <c r="AD253" s="52"/>
      <c r="AL253" s="38"/>
    </row>
    <row r="254" spans="1:38" x14ac:dyDescent="0.2">
      <c r="A254" s="43">
        <v>45520</v>
      </c>
      <c r="B254" s="19">
        <v>226.050003</v>
      </c>
      <c r="C254" s="19">
        <v>69.180000000000007</v>
      </c>
      <c r="D254" s="19">
        <v>213.970001</v>
      </c>
      <c r="E254" s="19">
        <v>19.34</v>
      </c>
      <c r="F254" s="44">
        <v>5543.22</v>
      </c>
      <c r="G254" s="45">
        <v>4.3299999999999998E-2</v>
      </c>
      <c r="H254" s="37">
        <f t="shared" si="33"/>
        <v>1.69569441239803E-4</v>
      </c>
      <c r="J254" s="6">
        <f t="shared" si="42"/>
        <v>5.9010397660438866E-3</v>
      </c>
      <c r="K254" s="6">
        <f t="shared" si="42"/>
        <v>7.6906421617582866E-3</v>
      </c>
      <c r="L254" s="6">
        <f t="shared" si="42"/>
        <v>1.1374431605290789E-2</v>
      </c>
      <c r="M254" s="6">
        <f t="shared" si="42"/>
        <v>1.3010852287492039E-2</v>
      </c>
      <c r="N254" s="6">
        <f t="shared" si="42"/>
        <v>0</v>
      </c>
      <c r="O254" s="6">
        <f t="shared" si="35"/>
        <v>-6.3434696187352618E-2</v>
      </c>
      <c r="Q254" s="6"/>
      <c r="R254" s="13">
        <f t="shared" si="41"/>
        <v>5.7314703248040836E-3</v>
      </c>
      <c r="S254" s="13">
        <f t="shared" si="41"/>
        <v>7.5210727205184836E-3</v>
      </c>
      <c r="T254" s="13">
        <f t="shared" si="41"/>
        <v>1.1204862164050986E-2</v>
      </c>
      <c r="U254" s="13">
        <f t="shared" si="41"/>
        <v>1.2841282846252236E-2</v>
      </c>
      <c r="V254" s="13">
        <f t="shared" si="41"/>
        <v>-1.69569441239803E-4</v>
      </c>
      <c r="W254" s="13"/>
      <c r="X254" s="52"/>
      <c r="Y254" s="13" t="str">
        <f t="shared" si="36"/>
        <v/>
      </c>
      <c r="Z254" s="13" t="str">
        <f t="shared" si="37"/>
        <v/>
      </c>
      <c r="AA254" s="13" t="str">
        <f t="shared" si="38"/>
        <v/>
      </c>
      <c r="AB254" s="13" t="str">
        <f t="shared" si="39"/>
        <v/>
      </c>
      <c r="AC254" s="13" t="str">
        <f t="shared" si="40"/>
        <v/>
      </c>
      <c r="AD254" s="52"/>
      <c r="AL254" s="38"/>
    </row>
    <row r="255" spans="1:38" x14ac:dyDescent="0.2">
      <c r="AL255" s="38"/>
    </row>
    <row r="256" spans="1:38" x14ac:dyDescent="0.2">
      <c r="AL256" s="38"/>
    </row>
    <row r="257" spans="38:38" x14ac:dyDescent="0.2">
      <c r="AL257" s="38"/>
    </row>
    <row r="258" spans="38:38" x14ac:dyDescent="0.2">
      <c r="AL258" s="38"/>
    </row>
    <row r="259" spans="38:38" x14ac:dyDescent="0.2">
      <c r="AL259" s="38"/>
    </row>
    <row r="260" spans="38:38" x14ac:dyDescent="0.2">
      <c r="AL260" s="38"/>
    </row>
    <row r="261" spans="38:38" x14ac:dyDescent="0.2">
      <c r="AL261" s="38"/>
    </row>
    <row r="262" spans="38:38" x14ac:dyDescent="0.2">
      <c r="AL262" s="38"/>
    </row>
    <row r="263" spans="38:38" x14ac:dyDescent="0.2">
      <c r="AL263" s="38"/>
    </row>
    <row r="264" spans="38:38" x14ac:dyDescent="0.2">
      <c r="AL264" s="38"/>
    </row>
  </sheetData>
  <mergeCells count="3">
    <mergeCell ref="J1:P1"/>
    <mergeCell ref="R1:V1"/>
    <mergeCell ref="Y1:AC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328D-1460-CB4F-A440-C018FACDE111}">
  <dimension ref="A1:T254"/>
  <sheetViews>
    <sheetView showGridLines="0" zoomScale="130" zoomScaleNormal="130" workbookViewId="0">
      <selection activeCell="H2" sqref="H2"/>
    </sheetView>
  </sheetViews>
  <sheetFormatPr baseColWidth="10" defaultColWidth="11.33203125" defaultRowHeight="15" x14ac:dyDescent="0.2"/>
  <cols>
    <col min="1" max="6" width="11.33203125" style="3"/>
    <col min="7" max="7" width="3" style="3" customWidth="1"/>
    <col min="8" max="8" width="12" style="3" bestFit="1" customWidth="1"/>
    <col min="9" max="13" width="11.33203125" style="3"/>
    <col min="14" max="14" width="3" style="3" customWidth="1"/>
    <col min="15" max="15" width="19.5" style="3" bestFit="1" customWidth="1"/>
    <col min="16" max="16384" width="11.33203125" style="3"/>
  </cols>
  <sheetData>
    <row r="1" spans="1: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G1" s="65"/>
      <c r="H1" s="94" t="s">
        <v>72</v>
      </c>
      <c r="I1" s="94"/>
      <c r="J1" s="94"/>
      <c r="K1" s="94"/>
      <c r="L1" s="94"/>
      <c r="M1" s="94"/>
      <c r="N1" s="65"/>
    </row>
    <row r="2" spans="1:20" x14ac:dyDescent="0.2">
      <c r="A2" s="4">
        <v>45154</v>
      </c>
      <c r="B2" s="5">
        <v>175.67108200000001</v>
      </c>
      <c r="C2" s="5">
        <v>58.602820999999999</v>
      </c>
      <c r="D2" s="5">
        <v>146.505066</v>
      </c>
      <c r="E2" s="5">
        <v>13.196151</v>
      </c>
      <c r="F2" s="5">
        <v>4436.01</v>
      </c>
      <c r="G2" s="19"/>
      <c r="H2" s="2" t="s">
        <v>1</v>
      </c>
      <c r="I2" s="2" t="s">
        <v>2</v>
      </c>
      <c r="J2" s="2" t="s">
        <v>3</v>
      </c>
      <c r="K2" s="2" t="s">
        <v>4</v>
      </c>
      <c r="L2" s="2" t="s">
        <v>15</v>
      </c>
      <c r="M2" s="2" t="s">
        <v>5</v>
      </c>
      <c r="N2" s="19"/>
      <c r="O2" s="29" t="s">
        <v>9</v>
      </c>
      <c r="P2" s="30">
        <v>4.5199999999999997E-2</v>
      </c>
    </row>
    <row r="3" spans="1:20" x14ac:dyDescent="0.2">
      <c r="A3" s="4">
        <v>45155</v>
      </c>
      <c r="B3" s="5">
        <v>173.11415099999999</v>
      </c>
      <c r="C3" s="5">
        <v>58.728789999999996</v>
      </c>
      <c r="D3" s="5">
        <v>144.98335299999999</v>
      </c>
      <c r="E3" s="5">
        <v>13.111919</v>
      </c>
      <c r="F3" s="5">
        <v>4376.3100000000004</v>
      </c>
      <c r="G3" s="19"/>
      <c r="H3" s="6">
        <f t="shared" ref="H3:H34" si="0">LN(B3/B2)</f>
        <v>-1.4662185008184019E-2</v>
      </c>
      <c r="I3" s="6">
        <f t="shared" ref="I3:I34" si="1">LN(C3/C2)</f>
        <v>2.1472312077841786E-3</v>
      </c>
      <c r="J3" s="6">
        <f t="shared" ref="J3:J34" si="2">LN(D3/D2)</f>
        <v>-1.0441079130812173E-2</v>
      </c>
      <c r="K3" s="6">
        <f t="shared" ref="K3:K34" si="3">LN(E3/E2)</f>
        <v>-6.4035322871765967E-3</v>
      </c>
      <c r="L3" s="6">
        <f t="shared" ref="L3:L34" si="4">LN(F3/F2)</f>
        <v>-1.3549420207499292E-2</v>
      </c>
      <c r="M3" s="6">
        <f>+SUMPRODUCT(H3:K3,$P$13:$S$13)</f>
        <v>-6.3052931749528821E-3</v>
      </c>
      <c r="N3" s="19"/>
      <c r="O3" s="29" t="s">
        <v>26</v>
      </c>
      <c r="P3" s="35">
        <v>0.1</v>
      </c>
    </row>
    <row r="4" spans="1:20" x14ac:dyDescent="0.2">
      <c r="A4" s="4">
        <v>45156</v>
      </c>
      <c r="B4" s="5">
        <v>173.601654</v>
      </c>
      <c r="C4" s="5">
        <v>59.058239</v>
      </c>
      <c r="D4" s="5">
        <v>145.31500199999999</v>
      </c>
      <c r="E4" s="5">
        <v>13.149357</v>
      </c>
      <c r="F4" s="5">
        <v>4405.71</v>
      </c>
      <c r="G4" s="19"/>
      <c r="H4" s="6">
        <f t="shared" si="0"/>
        <v>2.8121205565770678E-3</v>
      </c>
      <c r="I4" s="6">
        <f t="shared" si="1"/>
        <v>5.5939921723177225E-3</v>
      </c>
      <c r="J4" s="6">
        <f t="shared" si="2"/>
        <v>2.2848847647558819E-3</v>
      </c>
      <c r="K4" s="6">
        <f t="shared" si="3"/>
        <v>2.8511962146941443E-3</v>
      </c>
      <c r="L4" s="6">
        <f t="shared" si="4"/>
        <v>6.6955233154781116E-3</v>
      </c>
      <c r="M4" s="6">
        <f t="shared" ref="M4:M67" si="5">+SUMPRODUCT(H4:K4,$P$13:$S$13)</f>
        <v>3.7865405158772339E-3</v>
      </c>
      <c r="N4" s="19"/>
      <c r="O4" s="29" t="s">
        <v>11</v>
      </c>
      <c r="P4" s="29">
        <v>2520</v>
      </c>
      <c r="Q4" s="3" t="s">
        <v>33</v>
      </c>
    </row>
    <row r="5" spans="1:20" x14ac:dyDescent="0.2">
      <c r="A5" s="4">
        <v>45159</v>
      </c>
      <c r="B5" s="5">
        <v>174.94477800000001</v>
      </c>
      <c r="C5" s="5">
        <v>58.554378999999997</v>
      </c>
      <c r="D5" s="5">
        <v>145.8125</v>
      </c>
      <c r="E5" s="5">
        <v>13.196151</v>
      </c>
      <c r="F5" s="5">
        <v>4433.3100000000004</v>
      </c>
      <c r="G5" s="19"/>
      <c r="H5" s="6">
        <f t="shared" si="0"/>
        <v>7.7070400094383651E-3</v>
      </c>
      <c r="I5" s="6">
        <f t="shared" si="1"/>
        <v>-8.568180711971048E-3</v>
      </c>
      <c r="J5" s="6">
        <f t="shared" si="2"/>
        <v>3.4177360836862881E-3</v>
      </c>
      <c r="K5" s="6">
        <f t="shared" si="3"/>
        <v>3.5523360724823969E-3</v>
      </c>
      <c r="L5" s="6">
        <f t="shared" si="4"/>
        <v>6.2450565111568821E-3</v>
      </c>
      <c r="M5" s="6">
        <f t="shared" si="5"/>
        <v>-4.5172133850598147E-4</v>
      </c>
      <c r="N5" s="19"/>
    </row>
    <row r="6" spans="1:20" ht="16" thickBot="1" x14ac:dyDescent="0.25">
      <c r="A6" s="4">
        <v>45160</v>
      </c>
      <c r="B6" s="5">
        <v>176.327698</v>
      </c>
      <c r="C6" s="5">
        <v>58.195861999999998</v>
      </c>
      <c r="D6" s="5">
        <v>142.78855899999999</v>
      </c>
      <c r="E6" s="5">
        <v>13.345895000000001</v>
      </c>
      <c r="F6" s="5">
        <v>4497.63</v>
      </c>
      <c r="G6" s="19"/>
      <c r="H6" s="6">
        <f t="shared" si="0"/>
        <v>7.8738144273404372E-3</v>
      </c>
      <c r="I6" s="6">
        <f t="shared" si="1"/>
        <v>-6.141625470814838E-3</v>
      </c>
      <c r="J6" s="6">
        <f t="shared" si="2"/>
        <v>-2.0956622133486116E-2</v>
      </c>
      <c r="K6" s="6">
        <f t="shared" si="3"/>
        <v>1.1283650762276005E-2</v>
      </c>
      <c r="L6" s="6">
        <f t="shared" si="4"/>
        <v>1.4404107984150809E-2</v>
      </c>
      <c r="M6" s="6">
        <f t="shared" si="5"/>
        <v>-7.531021489937088E-3</v>
      </c>
      <c r="N6" s="19"/>
      <c r="O6" s="31"/>
      <c r="P6" s="32" t="s">
        <v>1</v>
      </c>
      <c r="Q6" s="32" t="s">
        <v>2</v>
      </c>
      <c r="R6" s="32" t="s">
        <v>3</v>
      </c>
      <c r="S6" s="32" t="s">
        <v>4</v>
      </c>
      <c r="T6" s="32" t="s">
        <v>15</v>
      </c>
    </row>
    <row r="7" spans="1:20" ht="16" thickTop="1" x14ac:dyDescent="0.2">
      <c r="A7" s="4">
        <v>45161</v>
      </c>
      <c r="B7" s="5">
        <v>180.19790599999999</v>
      </c>
      <c r="C7" s="5">
        <v>58.399344999999997</v>
      </c>
      <c r="D7" s="5">
        <v>143.754257</v>
      </c>
      <c r="E7" s="5">
        <v>13.252305</v>
      </c>
      <c r="F7" s="5">
        <v>4514.87</v>
      </c>
      <c r="G7" s="19"/>
      <c r="H7" s="6">
        <f t="shared" si="0"/>
        <v>2.1711540417555734E-2</v>
      </c>
      <c r="I7" s="6">
        <f t="shared" si="1"/>
        <v>3.4904214645253497E-3</v>
      </c>
      <c r="J7" s="6">
        <f t="shared" si="2"/>
        <v>6.740365503857486E-3</v>
      </c>
      <c r="K7" s="6">
        <f t="shared" si="3"/>
        <v>-7.0373473579131004E-3</v>
      </c>
      <c r="L7" s="6">
        <f t="shared" si="4"/>
        <v>3.8258021699069606E-3</v>
      </c>
      <c r="M7" s="6">
        <f t="shared" si="5"/>
        <v>9.187621884037777E-3</v>
      </c>
      <c r="N7" s="19"/>
      <c r="O7" s="3" t="s">
        <v>16</v>
      </c>
      <c r="P7" s="24">
        <f>+((1+AVERAGE(H3:H254))^250)-1</f>
        <v>0.28404678408841222</v>
      </c>
      <c r="Q7" s="24">
        <f t="shared" ref="Q7:T7" si="6">+((1+AVERAGE(I3:I254))^250)-1</f>
        <v>0.17887182553898695</v>
      </c>
      <c r="R7" s="24">
        <f t="shared" si="6"/>
        <v>0.45570094625533186</v>
      </c>
      <c r="S7" s="24">
        <f t="shared" si="6"/>
        <v>0.46071967373147737</v>
      </c>
      <c r="T7" s="24">
        <f t="shared" si="6"/>
        <v>0.20286070202361173</v>
      </c>
    </row>
    <row r="8" spans="1:20" x14ac:dyDescent="0.2">
      <c r="A8" s="4">
        <v>45162</v>
      </c>
      <c r="B8" s="5">
        <v>175.48202499999999</v>
      </c>
      <c r="C8" s="5">
        <v>58.244312000000001</v>
      </c>
      <c r="D8" s="5">
        <v>143.61769100000001</v>
      </c>
      <c r="E8" s="5">
        <v>13.242945000000001</v>
      </c>
      <c r="F8" s="5">
        <v>4507.66</v>
      </c>
      <c r="G8" s="19"/>
      <c r="H8" s="6">
        <f t="shared" si="0"/>
        <v>-2.6519108676923038E-2</v>
      </c>
      <c r="I8" s="6">
        <f t="shared" si="1"/>
        <v>-2.6582344086022547E-3</v>
      </c>
      <c r="J8" s="6">
        <f t="shared" si="2"/>
        <v>-9.5044774711671462E-4</v>
      </c>
      <c r="K8" s="6">
        <f t="shared" si="3"/>
        <v>-7.0654176800563693E-4</v>
      </c>
      <c r="L8" s="6">
        <f t="shared" si="4"/>
        <v>-1.5982216816604765E-3</v>
      </c>
      <c r="M8" s="6">
        <f t="shared" si="5"/>
        <v>-8.130935408995052E-3</v>
      </c>
      <c r="N8" s="19"/>
      <c r="O8" s="3" t="s">
        <v>17</v>
      </c>
      <c r="P8" s="24">
        <f>+(B254/B2)^(1/1)-1</f>
        <v>0.28677981843363365</v>
      </c>
      <c r="Q8" s="24">
        <f>+(C254/C2)^(1/1)-1</f>
        <v>0.18048924641358144</v>
      </c>
      <c r="R8" s="24">
        <f>+(D254/D2)^(1/1)-1</f>
        <v>0.46049557767510918</v>
      </c>
      <c r="S8" s="24">
        <f>+(E254/E2)^(1/1)-1</f>
        <v>0.46557886462499543</v>
      </c>
      <c r="T8" s="24">
        <f>+(F254/F2)^(1/1)-1</f>
        <v>0.20472226167208807</v>
      </c>
    </row>
    <row r="9" spans="1:20" x14ac:dyDescent="0.2">
      <c r="A9" s="4">
        <v>45163</v>
      </c>
      <c r="B9" s="5">
        <v>177.70069899999999</v>
      </c>
      <c r="C9" s="5">
        <v>58.515616999999999</v>
      </c>
      <c r="D9" s="5">
        <v>143.44210799999999</v>
      </c>
      <c r="E9" s="5">
        <v>13.205508999999999</v>
      </c>
      <c r="F9" s="5">
        <v>4515.7700000000004</v>
      </c>
      <c r="G9" s="19"/>
      <c r="H9" s="6">
        <f t="shared" si="0"/>
        <v>1.2564052740774025E-2</v>
      </c>
      <c r="I9" s="6">
        <f t="shared" si="1"/>
        <v>4.6472362667604817E-3</v>
      </c>
      <c r="J9" s="6">
        <f t="shared" si="2"/>
        <v>-1.2233201758554283E-3</v>
      </c>
      <c r="K9" s="6">
        <f t="shared" si="3"/>
        <v>-2.830866787178094E-3</v>
      </c>
      <c r="L9" s="6">
        <f t="shared" si="4"/>
        <v>1.7975431036151848E-3</v>
      </c>
      <c r="M9" s="6">
        <f t="shared" si="5"/>
        <v>4.6950506034114849E-3</v>
      </c>
      <c r="N9" s="19"/>
      <c r="O9" s="3" t="s">
        <v>13</v>
      </c>
      <c r="P9" s="23">
        <f>+SLOPE(H3:H254,$L$3:$L$254)</f>
        <v>0.13928679113526848</v>
      </c>
      <c r="Q9" s="23">
        <f t="shared" ref="Q9:T9" si="7">+SLOPE(I3:I254,$L$3:$L$254)</f>
        <v>7.9911537888935652E-2</v>
      </c>
      <c r="R9" s="23">
        <f>+SLOPE(J3:J254,$L$3:$L$254)</f>
        <v>0.10677541766817203</v>
      </c>
      <c r="S9" s="23">
        <f t="shared" si="7"/>
        <v>-0.25258977351073214</v>
      </c>
      <c r="T9" s="23">
        <f t="shared" si="7"/>
        <v>1</v>
      </c>
    </row>
    <row r="10" spans="1:20" x14ac:dyDescent="0.2">
      <c r="A10" s="4">
        <v>45166</v>
      </c>
      <c r="B10" s="5">
        <v>179.272659</v>
      </c>
      <c r="C10" s="5">
        <v>58.680340000000001</v>
      </c>
      <c r="D10" s="5">
        <v>143.939606</v>
      </c>
      <c r="E10" s="5">
        <v>13.299099</v>
      </c>
      <c r="F10" s="5">
        <v>4515.7700000000004</v>
      </c>
      <c r="G10" s="19"/>
      <c r="H10" s="6">
        <f t="shared" si="0"/>
        <v>8.8072127836774459E-3</v>
      </c>
      <c r="I10" s="6">
        <f t="shared" si="1"/>
        <v>2.811071519673288E-3</v>
      </c>
      <c r="J10" s="6">
        <f t="shared" si="2"/>
        <v>3.4622835952314748E-3</v>
      </c>
      <c r="K10" s="6">
        <f t="shared" si="3"/>
        <v>7.0621975605345338E-3</v>
      </c>
      <c r="L10" s="6">
        <f t="shared" si="4"/>
        <v>0</v>
      </c>
      <c r="M10" s="6">
        <f t="shared" si="5"/>
        <v>4.5464633275453534E-3</v>
      </c>
      <c r="N10" s="19"/>
      <c r="O10" s="33" t="s">
        <v>14</v>
      </c>
      <c r="P10" s="34">
        <f>+$P$2 + P9*($T$7-$P$2)</f>
        <v>6.7160053273002604E-2</v>
      </c>
      <c r="Q10" s="34">
        <f>+$P$2 + Q9*($T$7-$P$2)</f>
        <v>5.779890916335604E-2</v>
      </c>
      <c r="R10" s="34">
        <f t="shared" ref="R10" si="8">+$P$2 + R9*($T$7-$P$2)</f>
        <v>6.203428730842836E-2</v>
      </c>
      <c r="S10" s="34">
        <f>+$P$2 + S9*($T$7-$P$2)</f>
        <v>5.376518984312878E-3</v>
      </c>
      <c r="T10" s="34">
        <f>+$P$2 + T9*($T$7-$P$2)</f>
        <v>0.20286070202361173</v>
      </c>
    </row>
    <row r="11" spans="1:20" x14ac:dyDescent="0.2">
      <c r="A11" s="4">
        <v>45167</v>
      </c>
      <c r="B11" s="5">
        <v>183.18263200000001</v>
      </c>
      <c r="C11" s="5">
        <v>58.622204000000004</v>
      </c>
      <c r="D11" s="5">
        <v>145.110153</v>
      </c>
      <c r="E11" s="5">
        <v>13.823200999999999</v>
      </c>
      <c r="F11" s="5">
        <v>4496.83</v>
      </c>
      <c r="G11" s="19"/>
      <c r="H11" s="6">
        <f t="shared" si="0"/>
        <v>2.1575762719950167E-2</v>
      </c>
      <c r="I11" s="6">
        <f t="shared" si="1"/>
        <v>-9.9121473034572902E-4</v>
      </c>
      <c r="J11" s="6">
        <f t="shared" si="2"/>
        <v>8.0993210507113115E-3</v>
      </c>
      <c r="K11" s="6">
        <f t="shared" si="3"/>
        <v>3.8652123786868747E-2</v>
      </c>
      <c r="L11" s="6">
        <f t="shared" si="4"/>
        <v>-4.203010869610265E-3</v>
      </c>
      <c r="M11" s="6">
        <f t="shared" si="5"/>
        <v>7.7532929021824713E-3</v>
      </c>
      <c r="N11" s="19"/>
    </row>
    <row r="12" spans="1:20" x14ac:dyDescent="0.2">
      <c r="A12" s="4">
        <v>45168</v>
      </c>
      <c r="B12" s="5">
        <v>186.69465600000001</v>
      </c>
      <c r="C12" s="5">
        <v>58.593136000000001</v>
      </c>
      <c r="D12" s="5">
        <v>144.52487199999999</v>
      </c>
      <c r="E12" s="5">
        <v>13.785766000000001</v>
      </c>
      <c r="F12" s="5">
        <v>4465.4799999999996</v>
      </c>
      <c r="G12" s="19"/>
      <c r="H12" s="6">
        <f t="shared" si="0"/>
        <v>1.899078242547661E-2</v>
      </c>
      <c r="I12" s="6">
        <f t="shared" si="1"/>
        <v>-4.9597604879833524E-4</v>
      </c>
      <c r="J12" s="6">
        <f t="shared" si="2"/>
        <v>-4.0415125667635282E-3</v>
      </c>
      <c r="K12" s="6">
        <f t="shared" si="3"/>
        <v>-2.7118017809940271E-3</v>
      </c>
      <c r="L12" s="6">
        <f t="shared" si="4"/>
        <v>-6.9959927442528732E-3</v>
      </c>
      <c r="M12" s="6">
        <f t="shared" si="5"/>
        <v>3.2565437327527992E-3</v>
      </c>
      <c r="N12" s="19"/>
      <c r="O12" s="28" t="s">
        <v>18</v>
      </c>
      <c r="P12" s="27">
        <v>0</v>
      </c>
      <c r="Q12" s="25">
        <v>0.33333333333333298</v>
      </c>
      <c r="R12" s="25">
        <v>0.33333333333333298</v>
      </c>
      <c r="S12" s="25">
        <v>0.33333333333333298</v>
      </c>
    </row>
    <row r="13" spans="1:20" x14ac:dyDescent="0.2">
      <c r="A13" s="4">
        <v>45169</v>
      </c>
      <c r="B13" s="5">
        <v>186.913544</v>
      </c>
      <c r="C13" s="5">
        <v>57.973002999999999</v>
      </c>
      <c r="D13" s="5">
        <v>142.739777</v>
      </c>
      <c r="E13" s="5">
        <v>13.841919000000001</v>
      </c>
      <c r="F13" s="5">
        <v>4451.1400000000003</v>
      </c>
      <c r="G13" s="19"/>
      <c r="H13" s="6">
        <f t="shared" si="0"/>
        <v>1.1717517176788328E-3</v>
      </c>
      <c r="I13" s="6">
        <f t="shared" si="1"/>
        <v>-1.0640119950070189E-2</v>
      </c>
      <c r="J13" s="6">
        <f t="shared" si="2"/>
        <v>-1.2428386047596607E-2</v>
      </c>
      <c r="K13" s="6">
        <f t="shared" si="3"/>
        <v>4.0649860690958528E-3</v>
      </c>
      <c r="L13" s="6">
        <f t="shared" si="4"/>
        <v>-3.2164682050081963E-3</v>
      </c>
      <c r="M13" s="6">
        <f t="shared" si="5"/>
        <v>-8.245249964265209E-3</v>
      </c>
      <c r="N13" s="19"/>
      <c r="O13" s="28" t="s">
        <v>19</v>
      </c>
      <c r="P13" s="27">
        <v>0.2532163491466517</v>
      </c>
      <c r="Q13" s="27">
        <v>0.41345016874251428</v>
      </c>
      <c r="R13" s="27">
        <v>0.33333348768371912</v>
      </c>
      <c r="S13" s="27">
        <v>0</v>
      </c>
    </row>
    <row r="14" spans="1:20" x14ac:dyDescent="0.2">
      <c r="A14" s="4">
        <v>45170</v>
      </c>
      <c r="B14" s="5">
        <v>188.49546799999999</v>
      </c>
      <c r="C14" s="5">
        <v>57.469138999999998</v>
      </c>
      <c r="D14" s="5">
        <v>143.217758</v>
      </c>
      <c r="E14" s="5">
        <v>13.710893</v>
      </c>
      <c r="F14" s="5">
        <v>4457.49</v>
      </c>
      <c r="G14" s="19"/>
      <c r="H14" s="6">
        <f t="shared" si="0"/>
        <v>8.4277857631225358E-3</v>
      </c>
      <c r="I14" s="6">
        <f t="shared" si="1"/>
        <v>-8.7293459886518768E-3</v>
      </c>
      <c r="J14" s="6">
        <f t="shared" si="2"/>
        <v>3.3430239573994255E-3</v>
      </c>
      <c r="K14" s="6">
        <f t="shared" si="3"/>
        <v>-9.5109702559868468E-3</v>
      </c>
      <c r="L14" s="6">
        <f t="shared" si="4"/>
        <v>1.4255841976643817E-3</v>
      </c>
      <c r="M14" s="6">
        <f t="shared" si="5"/>
        <v>-3.6075459456171304E-4</v>
      </c>
      <c r="N14" s="19"/>
      <c r="O14" s="28" t="s">
        <v>20</v>
      </c>
      <c r="P14" s="27">
        <f>+SUM(P13:S13)</f>
        <v>1.000000005572885</v>
      </c>
      <c r="Q14" s="12"/>
      <c r="R14" s="12"/>
      <c r="S14" s="12"/>
    </row>
    <row r="15" spans="1:20" x14ac:dyDescent="0.2">
      <c r="A15" s="4">
        <v>45174</v>
      </c>
      <c r="B15" s="5">
        <v>188.734238</v>
      </c>
      <c r="C15" s="5">
        <v>56.994346999999998</v>
      </c>
      <c r="D15" s="5">
        <v>141.63748200000001</v>
      </c>
      <c r="E15" s="5">
        <v>13.551791</v>
      </c>
      <c r="F15" s="5">
        <v>4487.46</v>
      </c>
      <c r="G15" s="19"/>
      <c r="H15" s="6">
        <f t="shared" si="0"/>
        <v>1.2659131987154749E-3</v>
      </c>
      <c r="I15" s="6">
        <f t="shared" si="1"/>
        <v>-8.2960032000802229E-3</v>
      </c>
      <c r="J15" s="6">
        <f t="shared" si="2"/>
        <v>-1.1095405596341172E-2</v>
      </c>
      <c r="K15" s="6">
        <f t="shared" si="3"/>
        <v>-1.1671910678181512E-2</v>
      </c>
      <c r="L15" s="6">
        <f t="shared" si="4"/>
        <v>6.7010127829867268E-3</v>
      </c>
      <c r="M15" s="6">
        <f t="shared" si="5"/>
        <v>-6.8079042491401721E-3</v>
      </c>
      <c r="N15" s="19"/>
    </row>
    <row r="16" spans="1:20" x14ac:dyDescent="0.2">
      <c r="A16" s="4">
        <v>45175</v>
      </c>
      <c r="B16" s="5">
        <v>181.97880599999999</v>
      </c>
      <c r="C16" s="5">
        <v>56.955589000000003</v>
      </c>
      <c r="D16" s="5">
        <v>141.403412</v>
      </c>
      <c r="E16" s="5">
        <v>13.673458</v>
      </c>
      <c r="F16" s="5">
        <v>4461.8999999999996</v>
      </c>
      <c r="G16" s="19"/>
      <c r="H16" s="6">
        <f t="shared" si="0"/>
        <v>-3.6449647610985361E-2</v>
      </c>
      <c r="I16" s="6">
        <f t="shared" si="1"/>
        <v>-6.802636816685408E-4</v>
      </c>
      <c r="J16" s="6">
        <f t="shared" si="2"/>
        <v>-1.65396632304482E-3</v>
      </c>
      <c r="K16" s="6">
        <f t="shared" si="3"/>
        <v>8.9378657253624903E-3</v>
      </c>
      <c r="L16" s="6">
        <f t="shared" si="4"/>
        <v>-5.7121558411206055E-3</v>
      </c>
      <c r="M16" s="6">
        <f t="shared" si="5"/>
        <v>-1.0062224192682899E-2</v>
      </c>
      <c r="N16" s="19"/>
      <c r="O16" s="3" t="s">
        <v>21</v>
      </c>
      <c r="P16" s="14">
        <f>+SUMPRODUCT(P13:S13,P10:S10)</f>
        <v>6.1581097589499464E-2</v>
      </c>
    </row>
    <row r="17" spans="1:17" x14ac:dyDescent="0.2">
      <c r="A17" s="4">
        <v>45176</v>
      </c>
      <c r="B17" s="5">
        <v>176.656036</v>
      </c>
      <c r="C17" s="5">
        <v>56.519558000000004</v>
      </c>
      <c r="D17" s="5">
        <v>140.19380200000001</v>
      </c>
      <c r="E17" s="5">
        <v>13.673458</v>
      </c>
      <c r="F17" s="5">
        <v>4467.4399999999996</v>
      </c>
      <c r="G17" s="19"/>
      <c r="H17" s="6">
        <f t="shared" si="0"/>
        <v>-2.9685687263803755E-2</v>
      </c>
      <c r="I17" s="6">
        <f t="shared" si="1"/>
        <v>-7.685086250950387E-3</v>
      </c>
      <c r="J17" s="6">
        <f t="shared" si="2"/>
        <v>-8.5911179492632866E-3</v>
      </c>
      <c r="K17" s="6">
        <f t="shared" si="3"/>
        <v>0</v>
      </c>
      <c r="L17" s="6">
        <f t="shared" si="4"/>
        <v>1.2408533465711885E-3</v>
      </c>
      <c r="M17" s="6">
        <f t="shared" si="5"/>
        <v>-1.3558008867235988E-2</v>
      </c>
      <c r="N17" s="19"/>
      <c r="O17" s="3" t="s">
        <v>22</v>
      </c>
      <c r="P17" s="14">
        <f>+((1+P16)^(P4/252))-1</f>
        <v>0.8177400212371313</v>
      </c>
      <c r="Q17" s="3" t="s">
        <v>23</v>
      </c>
    </row>
    <row r="18" spans="1:17" x14ac:dyDescent="0.2">
      <c r="A18" s="4">
        <v>45177</v>
      </c>
      <c r="B18" s="5">
        <v>177.27285800000001</v>
      </c>
      <c r="C18" s="5">
        <v>56.519558000000004</v>
      </c>
      <c r="D18" s="5">
        <v>140.301117</v>
      </c>
      <c r="E18" s="5">
        <v>13.47692</v>
      </c>
      <c r="F18" s="5">
        <v>4505.1000000000004</v>
      </c>
      <c r="G18" s="19"/>
      <c r="H18" s="6">
        <f t="shared" si="0"/>
        <v>3.4855737123982338E-3</v>
      </c>
      <c r="I18" s="6">
        <f t="shared" si="1"/>
        <v>0</v>
      </c>
      <c r="J18" s="6">
        <f t="shared" si="2"/>
        <v>7.6518323838956222E-4</v>
      </c>
      <c r="K18" s="6">
        <f t="shared" si="3"/>
        <v>-1.4477988707991517E-2</v>
      </c>
      <c r="L18" s="6">
        <f t="shared" si="4"/>
        <v>8.394550741111827E-3</v>
      </c>
      <c r="M18" s="6">
        <f t="shared" si="5"/>
        <v>1.1376654477045374E-3</v>
      </c>
      <c r="N18" s="19"/>
      <c r="O18" s="3" t="s">
        <v>24</v>
      </c>
      <c r="P18" s="21" cm="1">
        <f t="array" ref="P18">+SUM(ABS(P13:S13-P12:S12))</f>
        <v>0.66666667223955212</v>
      </c>
      <c r="Q18" s="3" t="s">
        <v>25</v>
      </c>
    </row>
    <row r="19" spans="1:17" x14ac:dyDescent="0.2">
      <c r="A19" s="4">
        <v>45180</v>
      </c>
      <c r="B19" s="5">
        <v>178.446854</v>
      </c>
      <c r="C19" s="5">
        <v>57.052486000000002</v>
      </c>
      <c r="D19" s="5">
        <v>140.91566499999999</v>
      </c>
      <c r="E19" s="5">
        <v>13.589228</v>
      </c>
      <c r="F19" s="5">
        <v>4450.32</v>
      </c>
      <c r="G19" s="19"/>
      <c r="H19" s="6">
        <f t="shared" si="0"/>
        <v>6.6007039975988667E-3</v>
      </c>
      <c r="I19" s="6">
        <f t="shared" si="1"/>
        <v>9.3849136242531647E-3</v>
      </c>
      <c r="J19" s="6">
        <f t="shared" si="2"/>
        <v>4.3706422775577902E-3</v>
      </c>
      <c r="K19" s="6">
        <f t="shared" si="3"/>
        <v>8.2988273439278445E-3</v>
      </c>
      <c r="L19" s="6">
        <f t="shared" si="4"/>
        <v>-1.2234084667107637E-2</v>
      </c>
      <c r="M19" s="6">
        <f t="shared" si="5"/>
        <v>7.0084817234473381E-3</v>
      </c>
      <c r="N19" s="19"/>
      <c r="O19" s="3" t="s">
        <v>27</v>
      </c>
      <c r="P19" s="14">
        <f>+P18*P3</f>
        <v>6.6666667223955214E-2</v>
      </c>
    </row>
    <row r="20" spans="1:17" x14ac:dyDescent="0.2">
      <c r="A20" s="4">
        <v>45181</v>
      </c>
      <c r="B20" s="5">
        <v>175.40245100000001</v>
      </c>
      <c r="C20" s="5">
        <v>56.490485999999997</v>
      </c>
      <c r="D20" s="5">
        <v>142.74954199999999</v>
      </c>
      <c r="E20" s="5">
        <v>13.533073</v>
      </c>
      <c r="F20" s="5">
        <v>4453.53</v>
      </c>
      <c r="G20" s="19"/>
      <c r="H20" s="6">
        <f t="shared" si="0"/>
        <v>-1.7207766577965616E-2</v>
      </c>
      <c r="I20" s="6">
        <f t="shared" si="1"/>
        <v>-9.8994165765982269E-3</v>
      </c>
      <c r="J20" s="6">
        <f t="shared" si="2"/>
        <v>1.2930049259339658E-2</v>
      </c>
      <c r="K20" s="6">
        <f t="shared" si="3"/>
        <v>-4.1408787728015178E-3</v>
      </c>
      <c r="L20" s="6">
        <f t="shared" si="4"/>
        <v>7.2103643683838804E-4</v>
      </c>
      <c r="M20" s="6">
        <f t="shared" si="5"/>
        <v>-4.1401848683492275E-3</v>
      </c>
      <c r="N20" s="19"/>
      <c r="O20" s="3" t="s">
        <v>28</v>
      </c>
      <c r="P20" s="14">
        <f>+(1+P17)*(1-P19)-1</f>
        <v>0.69655735214165015</v>
      </c>
    </row>
    <row r="21" spans="1:17" x14ac:dyDescent="0.2">
      <c r="A21" s="4">
        <v>45182</v>
      </c>
      <c r="B21" s="5">
        <v>173.32309000000001</v>
      </c>
      <c r="C21" s="5">
        <v>56.626140999999997</v>
      </c>
      <c r="D21" s="5">
        <v>142.817825</v>
      </c>
      <c r="E21" s="5">
        <v>13.682817</v>
      </c>
      <c r="F21" s="5">
        <v>4443.95</v>
      </c>
      <c r="G21" s="19"/>
      <c r="H21" s="6">
        <f t="shared" si="0"/>
        <v>-1.1925628607410014E-2</v>
      </c>
      <c r="I21" s="6">
        <f t="shared" si="1"/>
        <v>2.3984991177818894E-3</v>
      </c>
      <c r="J21" s="6">
        <f t="shared" si="2"/>
        <v>4.7822692080471709E-4</v>
      </c>
      <c r="K21" s="6">
        <f t="shared" si="3"/>
        <v>1.1004270746853787E-2</v>
      </c>
      <c r="L21" s="6">
        <f t="shared" si="4"/>
        <v>-2.1534195529618974E-3</v>
      </c>
      <c r="M21" s="6">
        <f t="shared" si="5"/>
        <v>-1.8686952248554559E-3</v>
      </c>
      <c r="N21" s="19"/>
      <c r="O21" s="3" t="s">
        <v>29</v>
      </c>
      <c r="P21" s="14">
        <f>+STDEV(M3:M254)*SQRT(P4)</f>
        <v>0.35146943903732547</v>
      </c>
    </row>
    <row r="22" spans="1:17" x14ac:dyDescent="0.2">
      <c r="A22" s="4">
        <v>45183</v>
      </c>
      <c r="B22" s="5">
        <v>174.84530599999999</v>
      </c>
      <c r="C22" s="5">
        <v>57.094935999999997</v>
      </c>
      <c r="D22" s="5">
        <v>145.58813499999999</v>
      </c>
      <c r="E22" s="5">
        <v>14.094611</v>
      </c>
      <c r="F22" s="5">
        <v>4402.2</v>
      </c>
      <c r="G22" s="19"/>
      <c r="H22" s="6">
        <f t="shared" si="0"/>
        <v>8.744192273870471E-3</v>
      </c>
      <c r="I22" s="6">
        <f t="shared" si="1"/>
        <v>8.2446925036342867E-3</v>
      </c>
      <c r="J22" s="6">
        <f t="shared" si="2"/>
        <v>1.9211775011975799E-2</v>
      </c>
      <c r="K22" s="6">
        <f t="shared" si="3"/>
        <v>2.9651713697862989E-2</v>
      </c>
      <c r="L22" s="6">
        <f t="shared" si="4"/>
        <v>-9.4392046231101256E-3</v>
      </c>
      <c r="M22" s="6">
        <f t="shared" si="5"/>
        <v>1.2026869920020396E-2</v>
      </c>
      <c r="N22" s="19"/>
      <c r="O22" s="3" t="s">
        <v>31</v>
      </c>
      <c r="P22" s="26">
        <v>3</v>
      </c>
    </row>
    <row r="23" spans="1:17" x14ac:dyDescent="0.2">
      <c r="A23" s="4">
        <v>45184</v>
      </c>
      <c r="B23" s="5">
        <v>174.11900299999999</v>
      </c>
      <c r="C23" s="5">
        <v>56.587074000000001</v>
      </c>
      <c r="D23" s="5">
        <v>145.15891999999999</v>
      </c>
      <c r="E23" s="5">
        <v>14.253714</v>
      </c>
      <c r="F23" s="5">
        <v>4330</v>
      </c>
      <c r="G23" s="19"/>
      <c r="H23" s="6">
        <f t="shared" si="0"/>
        <v>-4.1626265495737849E-3</v>
      </c>
      <c r="I23" s="6">
        <f t="shared" si="1"/>
        <v>-8.9348416448038568E-3</v>
      </c>
      <c r="J23" s="6">
        <f t="shared" si="2"/>
        <v>-2.9524998063902006E-3</v>
      </c>
      <c r="K23" s="6">
        <f t="shared" si="3"/>
        <v>1.1224978589028094E-2</v>
      </c>
      <c r="L23" s="6">
        <f t="shared" si="4"/>
        <v>-1.653687395146802E-2</v>
      </c>
      <c r="M23" s="6">
        <f t="shared" si="5"/>
        <v>-5.7323239413253468E-3</v>
      </c>
      <c r="N23" s="19"/>
      <c r="O23" s="3" t="s">
        <v>30</v>
      </c>
      <c r="P23" s="14">
        <f>+P20-(P22/2)*P21^2</f>
        <v>0.51126120227583183</v>
      </c>
    </row>
    <row r="24" spans="1:17" x14ac:dyDescent="0.2">
      <c r="A24" s="4">
        <v>45187</v>
      </c>
      <c r="B24" s="5">
        <v>177.06393399999999</v>
      </c>
      <c r="C24" s="5">
        <v>56.938667000000002</v>
      </c>
      <c r="D24" s="5">
        <v>145.461319</v>
      </c>
      <c r="E24" s="5">
        <v>14.122688</v>
      </c>
      <c r="F24" s="5">
        <v>4320.0600000000004</v>
      </c>
      <c r="G24" s="19"/>
      <c r="H24" s="6">
        <f t="shared" si="0"/>
        <v>1.6771885661529522E-2</v>
      </c>
      <c r="I24" s="6">
        <f t="shared" si="1"/>
        <v>6.1940863988089057E-3</v>
      </c>
      <c r="J24" s="6">
        <f t="shared" si="2"/>
        <v>2.081060219182381E-3</v>
      </c>
      <c r="K24" s="6">
        <f t="shared" si="3"/>
        <v>-9.2349221157867391E-3</v>
      </c>
      <c r="L24" s="6">
        <f t="shared" si="4"/>
        <v>-2.2982509659402743E-3</v>
      </c>
      <c r="M24" s="6">
        <f t="shared" si="5"/>
        <v>7.5015487832507432E-3</v>
      </c>
      <c r="N24" s="19"/>
    </row>
    <row r="25" spans="1:17" x14ac:dyDescent="0.2">
      <c r="A25" s="4">
        <v>45188</v>
      </c>
      <c r="B25" s="5">
        <v>178.15834000000001</v>
      </c>
      <c r="C25" s="5">
        <v>56.821472</v>
      </c>
      <c r="D25" s="5">
        <v>145.27597</v>
      </c>
      <c r="E25" s="5">
        <v>14.234997</v>
      </c>
      <c r="F25" s="5">
        <v>4337.4399999999996</v>
      </c>
      <c r="G25" s="19"/>
      <c r="H25" s="6">
        <f t="shared" si="0"/>
        <v>6.1618290451625419E-3</v>
      </c>
      <c r="I25" s="6">
        <f t="shared" si="1"/>
        <v>-2.0603885067279927E-3</v>
      </c>
      <c r="J25" s="6">
        <f t="shared" si="2"/>
        <v>-1.2750275394505101E-3</v>
      </c>
      <c r="K25" s="6">
        <f t="shared" si="3"/>
        <v>7.9209277625121085E-3</v>
      </c>
      <c r="L25" s="6">
        <f t="shared" si="4"/>
        <v>4.0150212758186272E-3</v>
      </c>
      <c r="M25" s="6">
        <f t="shared" si="5"/>
        <v>2.8339850248220274E-4</v>
      </c>
      <c r="N25" s="19"/>
    </row>
    <row r="26" spans="1:17" x14ac:dyDescent="0.2">
      <c r="A26" s="4">
        <v>45189</v>
      </c>
      <c r="B26" s="5">
        <v>174.59657300000001</v>
      </c>
      <c r="C26" s="5">
        <v>57.075400999999999</v>
      </c>
      <c r="D26" s="5">
        <v>144.66145299999999</v>
      </c>
      <c r="E26" s="5">
        <v>14.553202000000001</v>
      </c>
      <c r="F26" s="5">
        <v>4273.53</v>
      </c>
      <c r="G26" s="19"/>
      <c r="H26" s="6">
        <f t="shared" si="0"/>
        <v>-2.0194689945887755E-2</v>
      </c>
      <c r="I26" s="6">
        <f t="shared" si="1"/>
        <v>4.4589357728930948E-3</v>
      </c>
      <c r="J26" s="6">
        <f t="shared" si="2"/>
        <v>-4.2389693184284203E-3</v>
      </c>
      <c r="K26" s="6">
        <f t="shared" si="3"/>
        <v>2.2107528152630732E-2</v>
      </c>
      <c r="L26" s="6">
        <f t="shared" si="4"/>
        <v>-1.4844128717961364E-2</v>
      </c>
      <c r="M26" s="6">
        <f t="shared" si="5"/>
        <v>-4.6830683396276301E-3</v>
      </c>
      <c r="N26" s="19"/>
    </row>
    <row r="27" spans="1:17" x14ac:dyDescent="0.2">
      <c r="A27" s="4">
        <v>45190</v>
      </c>
      <c r="B27" s="5">
        <v>173.04452499999999</v>
      </c>
      <c r="C27" s="5">
        <v>56.196418999999999</v>
      </c>
      <c r="D27" s="5">
        <v>143.52990700000001</v>
      </c>
      <c r="E27" s="5">
        <v>14.328587000000001</v>
      </c>
      <c r="F27" s="5">
        <v>4274.51</v>
      </c>
      <c r="G27" s="19"/>
      <c r="H27" s="6">
        <f t="shared" si="0"/>
        <v>-8.9290841663582452E-3</v>
      </c>
      <c r="I27" s="6">
        <f t="shared" si="1"/>
        <v>-1.5520182226064388E-2</v>
      </c>
      <c r="J27" s="6">
        <f t="shared" si="2"/>
        <v>-7.8527809774467452E-3</v>
      </c>
      <c r="K27" s="6">
        <f t="shared" si="3"/>
        <v>-1.5554405482686634E-2</v>
      </c>
      <c r="L27" s="6">
        <f t="shared" si="4"/>
        <v>2.2929233000634007E-4</v>
      </c>
      <c r="M27" s="6">
        <f t="shared" si="5"/>
        <v>-1.1295406925337989E-2</v>
      </c>
      <c r="N27" s="19"/>
    </row>
    <row r="28" spans="1:17" x14ac:dyDescent="0.2">
      <c r="A28" s="4">
        <v>45191</v>
      </c>
      <c r="B28" s="5">
        <v>173.900116</v>
      </c>
      <c r="C28" s="5">
        <v>56.255015999999998</v>
      </c>
      <c r="D28" s="5">
        <v>142.15448000000001</v>
      </c>
      <c r="E28" s="5">
        <v>14.150764000000001</v>
      </c>
      <c r="F28" s="5">
        <v>4299.7</v>
      </c>
      <c r="G28" s="19"/>
      <c r="H28" s="6">
        <f t="shared" si="0"/>
        <v>4.932157084030179E-3</v>
      </c>
      <c r="I28" s="6">
        <f t="shared" si="1"/>
        <v>1.0421744338548341E-3</v>
      </c>
      <c r="J28" s="6">
        <f t="shared" si="2"/>
        <v>-9.6290710303040105E-3</v>
      </c>
      <c r="K28" s="6">
        <f t="shared" si="3"/>
        <v>-1.2488017087223817E-2</v>
      </c>
      <c r="L28" s="6">
        <f t="shared" si="4"/>
        <v>5.8757768874731896E-3</v>
      </c>
      <c r="M28" s="6">
        <f t="shared" si="5"/>
        <v>-1.5299018239131657E-3</v>
      </c>
      <c r="N28" s="19"/>
    </row>
    <row r="29" spans="1:17" x14ac:dyDescent="0.2">
      <c r="A29" s="4">
        <v>45194</v>
      </c>
      <c r="B29" s="5">
        <v>175.18356299999999</v>
      </c>
      <c r="C29" s="5">
        <v>55.669029000000002</v>
      </c>
      <c r="D29" s="5">
        <v>142.856842</v>
      </c>
      <c r="E29" s="5">
        <v>14.094611</v>
      </c>
      <c r="F29" s="5">
        <v>4288.05</v>
      </c>
      <c r="G29" s="19"/>
      <c r="H29" s="6">
        <f t="shared" si="0"/>
        <v>7.3532671978666295E-3</v>
      </c>
      <c r="I29" s="6">
        <f t="shared" si="1"/>
        <v>-1.0471250468192831E-2</v>
      </c>
      <c r="J29" s="6">
        <f t="shared" si="2"/>
        <v>4.9286703199951359E-3</v>
      </c>
      <c r="K29" s="6">
        <f t="shared" si="3"/>
        <v>-3.9760898184737319E-3</v>
      </c>
      <c r="L29" s="6">
        <f t="shared" si="4"/>
        <v>-2.7131686755154211E-3</v>
      </c>
      <c r="M29" s="6">
        <f t="shared" si="5"/>
        <v>-8.2448193146862961E-4</v>
      </c>
      <c r="N29" s="19"/>
      <c r="O29" s="3" t="s">
        <v>32</v>
      </c>
    </row>
    <row r="30" spans="1:17" x14ac:dyDescent="0.2">
      <c r="A30" s="4">
        <v>45195</v>
      </c>
      <c r="B30" s="5">
        <v>171.08453399999999</v>
      </c>
      <c r="C30" s="5">
        <v>55.209999000000003</v>
      </c>
      <c r="D30" s="5">
        <v>141.37413000000001</v>
      </c>
      <c r="E30" s="5">
        <v>14.057176</v>
      </c>
      <c r="F30" s="5">
        <v>4288.3900000000003</v>
      </c>
      <c r="G30" s="19"/>
      <c r="H30" s="6">
        <f t="shared" si="0"/>
        <v>-2.3676570379196956E-2</v>
      </c>
      <c r="I30" s="6">
        <f t="shared" si="1"/>
        <v>-8.2798817906721903E-3</v>
      </c>
      <c r="J30" s="6">
        <f t="shared" si="2"/>
        <v>-1.0433243353410393E-2</v>
      </c>
      <c r="K30" s="6">
        <f t="shared" si="3"/>
        <v>-2.6595130223768674E-3</v>
      </c>
      <c r="L30" s="6">
        <f t="shared" si="4"/>
        <v>7.9286976922361474E-5</v>
      </c>
      <c r="M30" s="6">
        <f t="shared" si="5"/>
        <v>-1.2896362630100763E-2</v>
      </c>
      <c r="N30" s="19"/>
    </row>
    <row r="31" spans="1:17" x14ac:dyDescent="0.2">
      <c r="A31" s="4">
        <v>45196</v>
      </c>
      <c r="B31" s="5">
        <v>169.56231700000001</v>
      </c>
      <c r="C31" s="5">
        <v>54.643543000000001</v>
      </c>
      <c r="D31" s="5">
        <v>142.203262</v>
      </c>
      <c r="E31" s="5">
        <v>13.916791</v>
      </c>
      <c r="F31" s="5">
        <v>4229.45</v>
      </c>
      <c r="G31" s="19"/>
      <c r="H31" s="6">
        <f t="shared" si="0"/>
        <v>-8.9372740582099996E-3</v>
      </c>
      <c r="I31" s="6">
        <f t="shared" si="1"/>
        <v>-1.0313022416799286E-2</v>
      </c>
      <c r="J31" s="6">
        <f t="shared" si="2"/>
        <v>5.8476760566381946E-3</v>
      </c>
      <c r="K31" s="6">
        <f t="shared" si="3"/>
        <v>-1.0036916003110012E-2</v>
      </c>
      <c r="L31" s="6">
        <f t="shared" si="4"/>
        <v>-1.3839410161483797E-2</v>
      </c>
      <c r="M31" s="6">
        <f t="shared" si="5"/>
        <v>-4.5777585120102262E-3</v>
      </c>
      <c r="N31" s="19"/>
    </row>
    <row r="32" spans="1:17" x14ac:dyDescent="0.2">
      <c r="A32" s="4">
        <v>45197</v>
      </c>
      <c r="B32" s="5">
        <v>169.82101399999999</v>
      </c>
      <c r="C32" s="5">
        <v>54.506816999999998</v>
      </c>
      <c r="D32" s="5">
        <v>143.968872</v>
      </c>
      <c r="E32" s="5">
        <v>14.047817</v>
      </c>
      <c r="F32" s="5">
        <v>4263.75</v>
      </c>
      <c r="G32" s="19"/>
      <c r="H32" s="6">
        <f t="shared" si="0"/>
        <v>1.5245124110350558E-3</v>
      </c>
      <c r="I32" s="6">
        <f t="shared" si="1"/>
        <v>-2.5052793506595878E-3</v>
      </c>
      <c r="J32" s="6">
        <f t="shared" si="2"/>
        <v>1.2339652914118577E-2</v>
      </c>
      <c r="K32" s="6">
        <f t="shared" si="3"/>
        <v>9.370913321953802E-3</v>
      </c>
      <c r="L32" s="6">
        <f t="shared" si="4"/>
        <v>8.0770937870001339E-3</v>
      </c>
      <c r="M32" s="6">
        <f t="shared" si="5"/>
        <v>3.4634428393434265E-3</v>
      </c>
      <c r="N32" s="19"/>
    </row>
    <row r="33" spans="1:14" x14ac:dyDescent="0.2">
      <c r="A33" s="4">
        <v>45198</v>
      </c>
      <c r="B33" s="5">
        <v>170.33836400000001</v>
      </c>
      <c r="C33" s="5">
        <v>54.672840000000001</v>
      </c>
      <c r="D33" s="5">
        <v>141.46191400000001</v>
      </c>
      <c r="E33" s="5">
        <v>14.057176</v>
      </c>
      <c r="F33" s="5">
        <v>4258.1899999999996</v>
      </c>
      <c r="G33" s="19"/>
      <c r="H33" s="6">
        <f t="shared" si="0"/>
        <v>3.0418117645047292E-3</v>
      </c>
      <c r="I33" s="6">
        <f t="shared" si="1"/>
        <v>3.0412831937692204E-3</v>
      </c>
      <c r="J33" s="6">
        <f t="shared" si="2"/>
        <v>-1.7566587699048578E-2</v>
      </c>
      <c r="K33" s="6">
        <f t="shared" si="3"/>
        <v>6.6600268115622394E-4</v>
      </c>
      <c r="L33" s="6">
        <f t="shared" si="4"/>
        <v>-1.3048673867472557E-3</v>
      </c>
      <c r="M33" s="6">
        <f t="shared" si="5"/>
        <v>-3.8278764249689021E-3</v>
      </c>
      <c r="N33" s="19"/>
    </row>
    <row r="34" spans="1:14" x14ac:dyDescent="0.2">
      <c r="A34" s="4">
        <v>45201</v>
      </c>
      <c r="B34" s="5">
        <v>172.865433</v>
      </c>
      <c r="C34" s="5">
        <v>54.184517</v>
      </c>
      <c r="D34" s="5">
        <v>140.24259900000001</v>
      </c>
      <c r="E34" s="5">
        <v>13.729611</v>
      </c>
      <c r="F34" s="5">
        <v>4308.5</v>
      </c>
      <c r="G34" s="19"/>
      <c r="H34" s="6">
        <f t="shared" si="0"/>
        <v>1.4726612543542477E-2</v>
      </c>
      <c r="I34" s="6">
        <f t="shared" si="1"/>
        <v>-8.9718561804357604E-3</v>
      </c>
      <c r="J34" s="6">
        <f t="shared" si="2"/>
        <v>-8.6567488859623613E-3</v>
      </c>
      <c r="K34" s="6">
        <f t="shared" si="3"/>
        <v>-2.3578125464621125E-2</v>
      </c>
      <c r="L34" s="6">
        <f t="shared" si="4"/>
        <v>1.1745628333713317E-2</v>
      </c>
      <c r="M34" s="6">
        <f t="shared" si="5"/>
        <v>-2.8659806863216069E-3</v>
      </c>
      <c r="N34" s="19"/>
    </row>
    <row r="35" spans="1:14" x14ac:dyDescent="0.2">
      <c r="A35" s="4">
        <v>45202</v>
      </c>
      <c r="B35" s="5">
        <v>171.52229299999999</v>
      </c>
      <c r="C35" s="5">
        <v>53.598529999999997</v>
      </c>
      <c r="D35" s="5">
        <v>139.208618</v>
      </c>
      <c r="E35" s="5">
        <v>13.832561</v>
      </c>
      <c r="F35" s="5">
        <v>4335.66</v>
      </c>
      <c r="G35" s="19"/>
      <c r="H35" s="6">
        <f t="shared" ref="H35:H65" si="9">LN(B35/B34)</f>
        <v>-7.8002013931504684E-3</v>
      </c>
      <c r="I35" s="6">
        <f t="shared" ref="I35:I65" si="10">LN(C35/C34)</f>
        <v>-1.0873561101627389E-2</v>
      </c>
      <c r="J35" s="6">
        <f t="shared" ref="J35:J65" si="11">LN(D35/D34)</f>
        <v>-7.4001160534839551E-3</v>
      </c>
      <c r="K35" s="6">
        <f t="shared" ref="K35:K65" si="12">LN(E35/E34)</f>
        <v>7.470418425544037E-3</v>
      </c>
      <c r="L35" s="6">
        <f t="shared" ref="L35:L65" si="13">LN(F35/F34)</f>
        <v>6.2840320810455159E-3</v>
      </c>
      <c r="M35" s="6">
        <f t="shared" si="5"/>
        <v>-8.9375206850541566E-3</v>
      </c>
      <c r="N35" s="19"/>
    </row>
    <row r="36" spans="1:14" x14ac:dyDescent="0.2">
      <c r="A36" s="4">
        <v>45203</v>
      </c>
      <c r="B36" s="5">
        <v>172.77589399999999</v>
      </c>
      <c r="C36" s="5">
        <v>53.754795000000001</v>
      </c>
      <c r="D36" s="5">
        <v>139.832886</v>
      </c>
      <c r="E36" s="5">
        <v>13.710893</v>
      </c>
      <c r="F36" s="5">
        <v>4358.24</v>
      </c>
      <c r="G36" s="19"/>
      <c r="H36" s="6">
        <f t="shared" si="9"/>
        <v>7.2820978273525263E-3</v>
      </c>
      <c r="I36" s="6">
        <f t="shared" si="10"/>
        <v>2.9112300036451422E-3</v>
      </c>
      <c r="J36" s="6">
        <f t="shared" si="11"/>
        <v>4.4743812840926343E-3</v>
      </c>
      <c r="K36" s="6">
        <f t="shared" si="12"/>
        <v>-8.8346792935787202E-3</v>
      </c>
      <c r="L36" s="6">
        <f t="shared" si="13"/>
        <v>5.1944583608864153E-3</v>
      </c>
      <c r="M36" s="6">
        <f t="shared" si="5"/>
        <v>4.539055880879681E-3</v>
      </c>
      <c r="N36" s="19"/>
    </row>
    <row r="37" spans="1:14" x14ac:dyDescent="0.2">
      <c r="A37" s="4">
        <v>45204</v>
      </c>
      <c r="B37" s="5">
        <v>174.019531</v>
      </c>
      <c r="C37" s="5">
        <v>51.156905999999999</v>
      </c>
      <c r="D37" s="5">
        <v>140.42248499999999</v>
      </c>
      <c r="E37" s="5">
        <v>13.879355</v>
      </c>
      <c r="F37" s="5">
        <v>4376.95</v>
      </c>
      <c r="G37" s="19"/>
      <c r="H37" s="6">
        <f t="shared" si="9"/>
        <v>7.1721957179410305E-3</v>
      </c>
      <c r="I37" s="6">
        <f t="shared" si="10"/>
        <v>-4.9535374384451825E-2</v>
      </c>
      <c r="J37" s="6">
        <f t="shared" si="11"/>
        <v>4.2075901542361687E-3</v>
      </c>
      <c r="K37" s="6">
        <f t="shared" si="12"/>
        <v>1.2211857867236135E-2</v>
      </c>
      <c r="L37" s="6">
        <f t="shared" si="13"/>
        <v>4.2838286545689866E-3</v>
      </c>
      <c r="M37" s="6">
        <f t="shared" si="5"/>
        <v>-1.7261760982057731E-2</v>
      </c>
      <c r="N37" s="19"/>
    </row>
    <row r="38" spans="1:14" x14ac:dyDescent="0.2">
      <c r="A38" s="4">
        <v>45205</v>
      </c>
      <c r="B38" s="5">
        <v>176.586411</v>
      </c>
      <c r="C38" s="5">
        <v>51.899158</v>
      </c>
      <c r="D38" s="5">
        <v>142.584351</v>
      </c>
      <c r="E38" s="5">
        <v>13.782069999999999</v>
      </c>
      <c r="F38" s="5">
        <v>4349.6099999999997</v>
      </c>
      <c r="G38" s="19"/>
      <c r="H38" s="6">
        <f t="shared" si="9"/>
        <v>1.4642797262619538E-2</v>
      </c>
      <c r="I38" s="6">
        <f t="shared" si="10"/>
        <v>1.4405068586763934E-2</v>
      </c>
      <c r="J38" s="6">
        <f t="shared" si="11"/>
        <v>1.5278133083516892E-2</v>
      </c>
      <c r="K38" s="6">
        <f t="shared" si="12"/>
        <v>-7.0340122474886078E-3</v>
      </c>
      <c r="L38" s="6">
        <f t="shared" si="13"/>
        <v>-6.2659488852716012E-3</v>
      </c>
      <c r="M38" s="6">
        <f t="shared" si="5"/>
        <v>1.4756287088104846E-2</v>
      </c>
      <c r="N38" s="19"/>
    </row>
    <row r="39" spans="1:14" x14ac:dyDescent="0.2">
      <c r="A39" s="4">
        <v>45208</v>
      </c>
      <c r="B39" s="5">
        <v>178.07875100000001</v>
      </c>
      <c r="C39" s="5">
        <v>51.645232999999998</v>
      </c>
      <c r="D39" s="5">
        <v>142.260086</v>
      </c>
      <c r="E39" s="5">
        <v>14.049127</v>
      </c>
      <c r="F39" s="5">
        <v>4327.78</v>
      </c>
      <c r="G39" s="19"/>
      <c r="H39" s="6">
        <f t="shared" si="9"/>
        <v>8.4155364965835446E-3</v>
      </c>
      <c r="I39" s="6">
        <f t="shared" si="10"/>
        <v>-4.9046695157092994E-3</v>
      </c>
      <c r="J39" s="6">
        <f t="shared" si="11"/>
        <v>-2.2767875931944174E-3</v>
      </c>
      <c r="K39" s="6">
        <f t="shared" si="12"/>
        <v>1.919178660718069E-2</v>
      </c>
      <c r="L39" s="6">
        <f t="shared" si="13"/>
        <v>-5.0314774496886677E-3</v>
      </c>
      <c r="M39" s="6">
        <f t="shared" si="5"/>
        <v>-6.5581456027550232E-4</v>
      </c>
      <c r="N39" s="19"/>
    </row>
    <row r="40" spans="1:14" x14ac:dyDescent="0.2">
      <c r="A40" s="4">
        <v>45209</v>
      </c>
      <c r="B40" s="5">
        <v>177.48181199999999</v>
      </c>
      <c r="C40" s="5">
        <v>52.768374999999999</v>
      </c>
      <c r="D40" s="5">
        <v>143.12480199999999</v>
      </c>
      <c r="E40" s="5">
        <v>14.268497</v>
      </c>
      <c r="F40" s="5">
        <v>4373.63</v>
      </c>
      <c r="G40" s="19"/>
      <c r="H40" s="6">
        <f t="shared" si="9"/>
        <v>-3.3577377412587176E-3</v>
      </c>
      <c r="I40" s="6">
        <f t="shared" si="10"/>
        <v>2.1514155913894644E-2</v>
      </c>
      <c r="J40" s="6">
        <f t="shared" si="11"/>
        <v>6.0600170693245765E-3</v>
      </c>
      <c r="K40" s="6">
        <f t="shared" si="12"/>
        <v>1.5493841465178439E-2</v>
      </c>
      <c r="L40" s="6">
        <f t="shared" si="13"/>
        <v>1.0538619453747615E-2</v>
      </c>
      <c r="M40" s="6">
        <f t="shared" si="5"/>
        <v>1.0064803925859876E-2</v>
      </c>
      <c r="N40" s="19"/>
    </row>
    <row r="41" spans="1:14" x14ac:dyDescent="0.2">
      <c r="A41" s="4">
        <v>45210</v>
      </c>
      <c r="B41" s="5">
        <v>178.88462799999999</v>
      </c>
      <c r="C41" s="5">
        <v>52.455849000000001</v>
      </c>
      <c r="D41" s="5">
        <v>143.61615</v>
      </c>
      <c r="E41" s="5">
        <v>14.087278</v>
      </c>
      <c r="F41" s="5">
        <v>4373.2</v>
      </c>
      <c r="G41" s="19"/>
      <c r="H41" s="6">
        <f t="shared" si="9"/>
        <v>7.8729256654077838E-3</v>
      </c>
      <c r="I41" s="6">
        <f t="shared" si="10"/>
        <v>-5.9402085775266582E-3</v>
      </c>
      <c r="J41" s="6">
        <f t="shared" si="11"/>
        <v>3.4271245700145075E-3</v>
      </c>
      <c r="K41" s="6">
        <f t="shared" si="12"/>
        <v>-1.2781979492703863E-2</v>
      </c>
      <c r="L41" s="6">
        <f t="shared" si="13"/>
        <v>-9.8321334779938874E-5</v>
      </c>
      <c r="M41" s="6">
        <f t="shared" si="5"/>
        <v>6.7994864100290667E-4</v>
      </c>
      <c r="N41" s="19"/>
    </row>
    <row r="42" spans="1:14" x14ac:dyDescent="0.2">
      <c r="A42" s="4">
        <v>45211</v>
      </c>
      <c r="B42" s="5">
        <v>179.790009</v>
      </c>
      <c r="C42" s="5">
        <v>51.576866000000003</v>
      </c>
      <c r="D42" s="5">
        <v>143.282028</v>
      </c>
      <c r="E42" s="5">
        <v>13.782069999999999</v>
      </c>
      <c r="F42" s="5">
        <v>4314.6000000000004</v>
      </c>
      <c r="G42" s="19"/>
      <c r="H42" s="6">
        <f t="shared" si="9"/>
        <v>5.0484914715231101E-3</v>
      </c>
      <c r="I42" s="6">
        <f t="shared" si="10"/>
        <v>-1.6898605731409447E-2</v>
      </c>
      <c r="J42" s="6">
        <f t="shared" si="11"/>
        <v>-2.3292037153074849E-3</v>
      </c>
      <c r="K42" s="6">
        <f t="shared" si="12"/>
        <v>-2.1903648579655197E-2</v>
      </c>
      <c r="L42" s="6">
        <f t="shared" si="13"/>
        <v>-1.349038622382619E-2</v>
      </c>
      <c r="M42" s="6">
        <f t="shared" si="5"/>
        <v>-6.4847724099966865E-3</v>
      </c>
      <c r="N42" s="19"/>
    </row>
    <row r="43" spans="1:14" x14ac:dyDescent="0.2">
      <c r="A43" s="4">
        <v>45212</v>
      </c>
      <c r="B43" s="5">
        <v>177.93946800000001</v>
      </c>
      <c r="C43" s="5">
        <v>51.654995</v>
      </c>
      <c r="D43" s="5">
        <v>145.43408199999999</v>
      </c>
      <c r="E43" s="5">
        <v>13.696229000000001</v>
      </c>
      <c r="F43" s="5">
        <v>4278</v>
      </c>
      <c r="G43" s="19"/>
      <c r="H43" s="6">
        <f t="shared" si="9"/>
        <v>-1.0346128156285038E-2</v>
      </c>
      <c r="I43" s="6">
        <f t="shared" si="10"/>
        <v>1.5136608826072475E-3</v>
      </c>
      <c r="J43" s="6">
        <f t="shared" si="11"/>
        <v>1.490802752612275E-2</v>
      </c>
      <c r="K43" s="6">
        <f t="shared" si="12"/>
        <v>-6.2479325408984904E-3</v>
      </c>
      <c r="L43" s="6">
        <f t="shared" si="13"/>
        <v>-8.5190096941524674E-3</v>
      </c>
      <c r="M43" s="6">
        <f t="shared" si="5"/>
        <v>2.9753593575624166E-3</v>
      </c>
      <c r="N43" s="19"/>
    </row>
    <row r="44" spans="1:14" x14ac:dyDescent="0.2">
      <c r="A44" s="4">
        <v>45215</v>
      </c>
      <c r="B44" s="5">
        <v>177.810135</v>
      </c>
      <c r="C44" s="5">
        <v>52.182383999999999</v>
      </c>
      <c r="D44" s="5">
        <v>145.28668200000001</v>
      </c>
      <c r="E44" s="5">
        <v>13.743919</v>
      </c>
      <c r="F44" s="5">
        <v>4224.16</v>
      </c>
      <c r="G44" s="19"/>
      <c r="H44" s="6">
        <f t="shared" si="9"/>
        <v>-7.2710133536225421E-4</v>
      </c>
      <c r="I44" s="6">
        <f t="shared" si="10"/>
        <v>1.0158067162630343E-2</v>
      </c>
      <c r="J44" s="6">
        <f t="shared" si="11"/>
        <v>-1.0140315442376808E-3</v>
      </c>
      <c r="K44" s="6">
        <f t="shared" si="12"/>
        <v>3.47593227385585E-3</v>
      </c>
      <c r="L44" s="6">
        <f t="shared" si="13"/>
        <v>-1.2665186185757991E-2</v>
      </c>
      <c r="M44" s="6">
        <f t="shared" si="5"/>
        <v>3.6777299656251703E-3</v>
      </c>
      <c r="N44" s="19"/>
    </row>
    <row r="45" spans="1:14" x14ac:dyDescent="0.2">
      <c r="A45" s="4">
        <v>45216</v>
      </c>
      <c r="B45" s="5">
        <v>176.248108</v>
      </c>
      <c r="C45" s="5">
        <v>52.807445999999999</v>
      </c>
      <c r="D45" s="5">
        <v>144.97221400000001</v>
      </c>
      <c r="E45" s="5">
        <v>13.906060999999999</v>
      </c>
      <c r="F45" s="5">
        <v>4217.04</v>
      </c>
      <c r="G45" s="19"/>
      <c r="H45" s="6">
        <f t="shared" si="9"/>
        <v>-8.8236168219693739E-3</v>
      </c>
      <c r="I45" s="6">
        <f t="shared" si="10"/>
        <v>1.1907236828734701E-2</v>
      </c>
      <c r="J45" s="6">
        <f t="shared" si="11"/>
        <v>-2.1668112665697982E-3</v>
      </c>
      <c r="K45" s="6">
        <f t="shared" si="12"/>
        <v>1.1728316519177792E-2</v>
      </c>
      <c r="L45" s="6">
        <f t="shared" si="13"/>
        <v>-1.6869643388467898E-3</v>
      </c>
      <c r="M45" s="6">
        <f t="shared" si="5"/>
        <v>1.9664942815312884E-3</v>
      </c>
      <c r="N45" s="19"/>
    </row>
    <row r="46" spans="1:14" x14ac:dyDescent="0.2">
      <c r="A46" s="4">
        <v>45217</v>
      </c>
      <c r="B46" s="5">
        <v>174.94477800000001</v>
      </c>
      <c r="C46" s="5">
        <v>52.787909999999997</v>
      </c>
      <c r="D46" s="5">
        <v>143.380325</v>
      </c>
      <c r="E46" s="5">
        <v>13.658078</v>
      </c>
      <c r="F46" s="5">
        <v>4247.68</v>
      </c>
      <c r="G46" s="19"/>
      <c r="H46" s="6">
        <f t="shared" si="9"/>
        <v>-7.4223370429170512E-3</v>
      </c>
      <c r="I46" s="6">
        <f t="shared" si="10"/>
        <v>-3.7001627652822851E-4</v>
      </c>
      <c r="J46" s="6">
        <f t="shared" si="11"/>
        <v>-1.1041381345434621E-2</v>
      </c>
      <c r="K46" s="6">
        <f t="shared" si="12"/>
        <v>-1.7993646801684915E-2</v>
      </c>
      <c r="L46" s="6">
        <f t="shared" si="13"/>
        <v>7.2394913997594025E-3</v>
      </c>
      <c r="M46" s="6">
        <f t="shared" si="5"/>
        <v>-5.71290253283116E-3</v>
      </c>
      <c r="N46" s="19"/>
    </row>
    <row r="47" spans="1:14" x14ac:dyDescent="0.2">
      <c r="A47" s="4">
        <v>45218</v>
      </c>
      <c r="B47" s="5">
        <v>174.566742</v>
      </c>
      <c r="C47" s="5">
        <v>53.080902000000002</v>
      </c>
      <c r="D47" s="5">
        <v>142.77105700000001</v>
      </c>
      <c r="E47" s="5">
        <v>14.554627999999999</v>
      </c>
      <c r="F47" s="5">
        <v>4186.7700000000004</v>
      </c>
      <c r="G47" s="19"/>
      <c r="H47" s="6">
        <f t="shared" si="9"/>
        <v>-2.1632256780532658E-3</v>
      </c>
      <c r="I47" s="6">
        <f t="shared" si="10"/>
        <v>5.5350153172178456E-3</v>
      </c>
      <c r="J47" s="6">
        <f t="shared" si="11"/>
        <v>-4.2583678361532767E-3</v>
      </c>
      <c r="K47" s="6">
        <f t="shared" si="12"/>
        <v>6.3577877182322051E-2</v>
      </c>
      <c r="L47" s="6">
        <f t="shared" si="13"/>
        <v>-1.4443397939346892E-2</v>
      </c>
      <c r="M47" s="6">
        <f t="shared" si="5"/>
        <v>3.2123230565403774E-4</v>
      </c>
      <c r="N47" s="19"/>
    </row>
    <row r="48" spans="1:14" x14ac:dyDescent="0.2">
      <c r="A48" s="4">
        <v>45219</v>
      </c>
      <c r="B48" s="5">
        <v>171.999863</v>
      </c>
      <c r="C48" s="5">
        <v>53.295769</v>
      </c>
      <c r="D48" s="5">
        <v>140.47163399999999</v>
      </c>
      <c r="E48" s="5">
        <v>14.669083000000001</v>
      </c>
      <c r="F48" s="5">
        <v>4137.2299999999996</v>
      </c>
      <c r="G48" s="19"/>
      <c r="H48" s="6">
        <f t="shared" si="9"/>
        <v>-1.48134638605088E-2</v>
      </c>
      <c r="I48" s="6">
        <f t="shared" si="10"/>
        <v>4.0397446205238134E-3</v>
      </c>
      <c r="J48" s="6">
        <f t="shared" si="11"/>
        <v>-1.623677213768495E-2</v>
      </c>
      <c r="K48" s="6">
        <f t="shared" si="12"/>
        <v>7.8330630368045693E-3</v>
      </c>
      <c r="L48" s="6">
        <f t="shared" si="13"/>
        <v>-1.1903071819740901E-2</v>
      </c>
      <c r="M48" s="6">
        <f t="shared" si="5"/>
        <v>-7.4930380273220288E-3</v>
      </c>
      <c r="N48" s="19"/>
    </row>
    <row r="49" spans="1:14" x14ac:dyDescent="0.2">
      <c r="A49" s="4">
        <v>45222</v>
      </c>
      <c r="B49" s="5">
        <v>172.119247</v>
      </c>
      <c r="C49" s="5">
        <v>52.817211</v>
      </c>
      <c r="D49" s="5">
        <v>138.55543499999999</v>
      </c>
      <c r="E49" s="5">
        <v>14.258959000000001</v>
      </c>
      <c r="F49" s="5">
        <v>4117.37</v>
      </c>
      <c r="G49" s="19"/>
      <c r="H49" s="6">
        <f t="shared" si="9"/>
        <v>6.9385280456884656E-4</v>
      </c>
      <c r="I49" s="6">
        <f t="shared" si="10"/>
        <v>-9.01984365197008E-3</v>
      </c>
      <c r="J49" s="6">
        <f t="shared" si="11"/>
        <v>-1.3735076896956099E-2</v>
      </c>
      <c r="K49" s="6">
        <f t="shared" si="12"/>
        <v>-2.8356670761467306E-2</v>
      </c>
      <c r="L49" s="6">
        <f t="shared" si="13"/>
        <v>-4.811871761208667E-3</v>
      </c>
      <c r="M49" s="6">
        <f t="shared" si="5"/>
        <v>-8.1319220915864882E-3</v>
      </c>
      <c r="N49" s="19"/>
    </row>
    <row r="50" spans="1:14" x14ac:dyDescent="0.2">
      <c r="A50" s="4">
        <v>45223</v>
      </c>
      <c r="B50" s="5">
        <v>172.55702199999999</v>
      </c>
      <c r="C50" s="5">
        <v>54.340781999999997</v>
      </c>
      <c r="D50" s="5">
        <v>138.722488</v>
      </c>
      <c r="E50" s="5">
        <v>14.812148000000001</v>
      </c>
      <c r="F50" s="5">
        <v>4166.82</v>
      </c>
      <c r="G50" s="19"/>
      <c r="H50" s="6">
        <f t="shared" si="9"/>
        <v>2.5402110604923374E-3</v>
      </c>
      <c r="I50" s="6">
        <f t="shared" si="10"/>
        <v>2.8437891260977562E-2</v>
      </c>
      <c r="J50" s="6">
        <f t="shared" si="11"/>
        <v>1.2049500256252955E-3</v>
      </c>
      <c r="K50" s="6">
        <f t="shared" si="12"/>
        <v>3.8062243981015008E-2</v>
      </c>
      <c r="L50" s="6">
        <f t="shared" si="13"/>
        <v>1.1938544947970331E-2</v>
      </c>
      <c r="M50" s="6">
        <f t="shared" si="5"/>
        <v>1.2802524105858526E-2</v>
      </c>
      <c r="N50" s="19"/>
    </row>
    <row r="51" spans="1:14" x14ac:dyDescent="0.2">
      <c r="A51" s="4">
        <v>45224</v>
      </c>
      <c r="B51" s="5">
        <v>170.228928</v>
      </c>
      <c r="C51" s="5">
        <v>54.809573999999998</v>
      </c>
      <c r="D51" s="5">
        <v>137.96582000000001</v>
      </c>
      <c r="E51" s="5">
        <v>14.487864</v>
      </c>
      <c r="F51" s="5">
        <v>4193.8</v>
      </c>
      <c r="G51" s="19"/>
      <c r="H51" s="6">
        <f t="shared" si="9"/>
        <v>-1.3583577722310494E-2</v>
      </c>
      <c r="I51" s="6">
        <f t="shared" si="10"/>
        <v>8.5898919565569297E-3</v>
      </c>
      <c r="J51" s="6">
        <f t="shared" si="11"/>
        <v>-5.4694749611117069E-3</v>
      </c>
      <c r="K51" s="6">
        <f t="shared" si="12"/>
        <v>-2.2136321441816844E-2</v>
      </c>
      <c r="L51" s="6">
        <f t="shared" si="13"/>
        <v>6.4540892074659807E-3</v>
      </c>
      <c r="M51" s="6">
        <f t="shared" si="5"/>
        <v>-1.7112508448609645E-3</v>
      </c>
      <c r="N51" s="19"/>
    </row>
    <row r="52" spans="1:14" x14ac:dyDescent="0.2">
      <c r="A52" s="4">
        <v>45225</v>
      </c>
      <c r="B52" s="5">
        <v>166.04037500000001</v>
      </c>
      <c r="C52" s="5">
        <v>54.477511999999997</v>
      </c>
      <c r="D52" s="5">
        <v>138.31959499999999</v>
      </c>
      <c r="E52" s="5">
        <v>14.421099999999999</v>
      </c>
      <c r="F52" s="5">
        <v>4237.8599999999997</v>
      </c>
      <c r="G52" s="19"/>
      <c r="H52" s="6">
        <f t="shared" si="9"/>
        <v>-2.4913184770041188E-2</v>
      </c>
      <c r="I52" s="6">
        <f t="shared" si="10"/>
        <v>-6.0768940601561034E-3</v>
      </c>
      <c r="J52" s="6">
        <f t="shared" si="11"/>
        <v>2.5609400579485304E-3</v>
      </c>
      <c r="K52" s="6">
        <f t="shared" si="12"/>
        <v>-4.6189215703234801E-3</v>
      </c>
      <c r="L52" s="6">
        <f t="shared" si="13"/>
        <v>1.0451180679737281E-2</v>
      </c>
      <c r="M52" s="6">
        <f t="shared" si="5"/>
        <v>-7.9672714864227889E-3</v>
      </c>
      <c r="N52" s="19"/>
    </row>
    <row r="53" spans="1:14" x14ac:dyDescent="0.2">
      <c r="A53" s="4">
        <v>45226</v>
      </c>
      <c r="B53" s="5">
        <v>167.363586</v>
      </c>
      <c r="C53" s="5">
        <v>53.950127000000002</v>
      </c>
      <c r="D53" s="5">
        <v>133.33750900000001</v>
      </c>
      <c r="E53" s="5">
        <v>14.134968000000001</v>
      </c>
      <c r="F53" s="5">
        <v>4317.78</v>
      </c>
      <c r="G53" s="19"/>
      <c r="H53" s="6">
        <f t="shared" si="9"/>
        <v>7.9376258370334254E-3</v>
      </c>
      <c r="I53" s="6">
        <f t="shared" si="10"/>
        <v>-9.7279469304567372E-3</v>
      </c>
      <c r="J53" s="6">
        <f t="shared" si="11"/>
        <v>-3.6683337928199083E-2</v>
      </c>
      <c r="K53" s="6">
        <f t="shared" si="12"/>
        <v>-2.0040684628752883E-2</v>
      </c>
      <c r="L53" s="6">
        <f t="shared" si="13"/>
        <v>1.8682956430735833E-2</v>
      </c>
      <c r="M53" s="6">
        <f t="shared" si="5"/>
        <v>-1.4239869636056878E-2</v>
      </c>
      <c r="N53" s="19"/>
    </row>
    <row r="54" spans="1:14" x14ac:dyDescent="0.2">
      <c r="A54" s="4">
        <v>45229</v>
      </c>
      <c r="B54" s="5">
        <v>169.423035</v>
      </c>
      <c r="C54" s="5">
        <v>54.838875000000002</v>
      </c>
      <c r="D54" s="5">
        <v>135.03750600000001</v>
      </c>
      <c r="E54" s="5">
        <v>14.554627999999999</v>
      </c>
      <c r="F54" s="5">
        <v>4358.34</v>
      </c>
      <c r="G54" s="19"/>
      <c r="H54" s="6">
        <f t="shared" si="9"/>
        <v>1.2230145391432332E-2</v>
      </c>
      <c r="I54" s="6">
        <f t="shared" si="10"/>
        <v>1.6339294527615768E-2</v>
      </c>
      <c r="J54" s="6">
        <f t="shared" si="11"/>
        <v>1.26689866257148E-2</v>
      </c>
      <c r="K54" s="6">
        <f t="shared" si="12"/>
        <v>2.9257291384540907E-2</v>
      </c>
      <c r="L54" s="6">
        <f t="shared" si="13"/>
        <v>9.3498696374369732E-3</v>
      </c>
      <c r="M54" s="6">
        <f t="shared" si="5"/>
        <v>1.4075354342495528E-2</v>
      </c>
      <c r="N54" s="19"/>
    </row>
    <row r="55" spans="1:14" x14ac:dyDescent="0.2">
      <c r="A55" s="4">
        <v>45230</v>
      </c>
      <c r="B55" s="5">
        <v>169.90060399999999</v>
      </c>
      <c r="C55" s="5">
        <v>55.170937000000002</v>
      </c>
      <c r="D55" s="5">
        <v>136.649078</v>
      </c>
      <c r="E55" s="5">
        <v>14.688157</v>
      </c>
      <c r="F55" s="5">
        <v>4365.9799999999996</v>
      </c>
      <c r="G55" s="19"/>
      <c r="H55" s="6">
        <f t="shared" si="9"/>
        <v>2.8148308012558494E-3</v>
      </c>
      <c r="I55" s="6">
        <f t="shared" si="10"/>
        <v>6.0369707476601144E-3</v>
      </c>
      <c r="J55" s="6">
        <f t="shared" si="11"/>
        <v>1.1863603111821981E-2</v>
      </c>
      <c r="K55" s="6">
        <f t="shared" si="12"/>
        <v>9.1325041752728462E-3</v>
      </c>
      <c r="L55" s="6">
        <f t="shared" si="13"/>
        <v>1.7514263468030517E-3</v>
      </c>
      <c r="M55" s="6">
        <f t="shared" si="5"/>
        <v>7.1632839550322914E-3</v>
      </c>
      <c r="N55" s="19"/>
    </row>
    <row r="56" spans="1:14" x14ac:dyDescent="0.2">
      <c r="A56" s="4">
        <v>45231</v>
      </c>
      <c r="B56" s="5">
        <v>173.08431999999999</v>
      </c>
      <c r="C56" s="5">
        <v>55.122101000000001</v>
      </c>
      <c r="D56" s="5">
        <v>136.531158</v>
      </c>
      <c r="E56" s="5">
        <v>14.859838</v>
      </c>
      <c r="F56" s="5">
        <v>4378.38</v>
      </c>
      <c r="G56" s="19"/>
      <c r="H56" s="6">
        <f t="shared" si="9"/>
        <v>1.8565290897534802E-2</v>
      </c>
      <c r="I56" s="6">
        <f t="shared" si="10"/>
        <v>-8.8556819319023528E-4</v>
      </c>
      <c r="J56" s="6">
        <f t="shared" si="11"/>
        <v>-8.6331287395108823E-4</v>
      </c>
      <c r="K56" s="6">
        <f t="shared" si="12"/>
        <v>1.1620614661695866E-2</v>
      </c>
      <c r="L56" s="6">
        <f t="shared" si="13"/>
        <v>2.8361156932399829E-3</v>
      </c>
      <c r="M56" s="6">
        <f t="shared" si="5"/>
        <v>4.0471257717754495E-3</v>
      </c>
      <c r="N56" s="19"/>
    </row>
    <row r="57" spans="1:14" x14ac:dyDescent="0.2">
      <c r="A57" s="4">
        <v>45232</v>
      </c>
      <c r="B57" s="5">
        <v>176.666</v>
      </c>
      <c r="C57" s="5">
        <v>55.756923999999998</v>
      </c>
      <c r="D57" s="5">
        <v>138.96814000000001</v>
      </c>
      <c r="E57" s="5">
        <v>15.002903999999999</v>
      </c>
      <c r="F57" s="5">
        <v>4382.78</v>
      </c>
      <c r="G57" s="19"/>
      <c r="H57" s="6">
        <f t="shared" si="9"/>
        <v>2.0482069684558096E-2</v>
      </c>
      <c r="I57" s="6">
        <f t="shared" si="10"/>
        <v>1.1450857122828546E-2</v>
      </c>
      <c r="J57" s="6">
        <f t="shared" si="11"/>
        <v>1.7691845912209535E-2</v>
      </c>
      <c r="K57" s="6">
        <f t="shared" si="12"/>
        <v>9.581644883623272E-3</v>
      </c>
      <c r="L57" s="6">
        <f t="shared" si="13"/>
        <v>1.0044332873557552E-3</v>
      </c>
      <c r="M57" s="6">
        <f t="shared" si="5"/>
        <v>1.5818038419650751E-2</v>
      </c>
      <c r="N57" s="19"/>
    </row>
    <row r="58" spans="1:14" x14ac:dyDescent="0.2">
      <c r="A58" s="4">
        <v>45233</v>
      </c>
      <c r="B58" s="5">
        <v>175.75065599999999</v>
      </c>
      <c r="C58" s="5">
        <v>55.415095999999998</v>
      </c>
      <c r="D58" s="5">
        <v>140.52076700000001</v>
      </c>
      <c r="E58" s="5">
        <v>15.14597</v>
      </c>
      <c r="F58" s="5">
        <v>4347.3500000000004</v>
      </c>
      <c r="G58" s="19"/>
      <c r="H58" s="6">
        <f t="shared" si="9"/>
        <v>-5.1946810275440517E-3</v>
      </c>
      <c r="I58" s="6">
        <f t="shared" si="10"/>
        <v>-6.1495523287532295E-3</v>
      </c>
      <c r="J58" s="6">
        <f t="shared" si="11"/>
        <v>1.1110587455196269E-2</v>
      </c>
      <c r="K58" s="6">
        <f t="shared" si="12"/>
        <v>9.4907076045383631E-3</v>
      </c>
      <c r="L58" s="6">
        <f t="shared" si="13"/>
        <v>-8.1167621824379983E-3</v>
      </c>
      <c r="M58" s="6">
        <f t="shared" si="5"/>
        <v>-1.5438074613447665E-4</v>
      </c>
      <c r="N58" s="19"/>
    </row>
    <row r="59" spans="1:14" x14ac:dyDescent="0.2">
      <c r="A59" s="4">
        <v>45236</v>
      </c>
      <c r="B59" s="5">
        <v>178.31753499999999</v>
      </c>
      <c r="C59" s="5">
        <v>55.639729000000003</v>
      </c>
      <c r="D59" s="5">
        <v>141.58204699999999</v>
      </c>
      <c r="E59" s="5">
        <v>15.021978000000001</v>
      </c>
      <c r="F59" s="5">
        <v>4415.24</v>
      </c>
      <c r="G59" s="19"/>
      <c r="H59" s="6">
        <f t="shared" si="9"/>
        <v>1.44996022601437E-2</v>
      </c>
      <c r="I59" s="6">
        <f t="shared" si="10"/>
        <v>4.0454488376433064E-3</v>
      </c>
      <c r="J59" s="6">
        <f t="shared" si="11"/>
        <v>7.5241008178584595E-3</v>
      </c>
      <c r="K59" s="6">
        <f t="shared" si="12"/>
        <v>-8.2201612246451568E-3</v>
      </c>
      <c r="L59" s="6">
        <f t="shared" si="13"/>
        <v>1.5495728650985885E-2</v>
      </c>
      <c r="M59" s="6">
        <f t="shared" si="5"/>
        <v>7.8521626202556448E-3</v>
      </c>
      <c r="N59" s="19"/>
    </row>
    <row r="60" spans="1:14" x14ac:dyDescent="0.2">
      <c r="A60" s="4">
        <v>45237</v>
      </c>
      <c r="B60" s="5">
        <v>180.89434800000001</v>
      </c>
      <c r="C60" s="5">
        <v>55.844822000000001</v>
      </c>
      <c r="D60" s="5">
        <v>141.513229</v>
      </c>
      <c r="E60" s="5">
        <v>15.10782</v>
      </c>
      <c r="F60" s="5">
        <v>4411.55</v>
      </c>
      <c r="G60" s="19"/>
      <c r="H60" s="6">
        <f t="shared" si="9"/>
        <v>1.4347282613426004E-2</v>
      </c>
      <c r="I60" s="6">
        <f t="shared" si="10"/>
        <v>3.6793121473435051E-3</v>
      </c>
      <c r="J60" s="6">
        <f t="shared" si="11"/>
        <v>-4.8618261899616047E-4</v>
      </c>
      <c r="K60" s="6">
        <f t="shared" si="12"/>
        <v>5.6981618175608508E-3</v>
      </c>
      <c r="L60" s="6">
        <f t="shared" si="13"/>
        <v>-8.3609108519786131E-4</v>
      </c>
      <c r="M60" s="6">
        <f t="shared" si="5"/>
        <v>4.9921178036813237E-3</v>
      </c>
      <c r="N60" s="19"/>
    </row>
    <row r="61" spans="1:14" x14ac:dyDescent="0.2">
      <c r="A61" s="4">
        <v>45238</v>
      </c>
      <c r="B61" s="5">
        <v>181.958878</v>
      </c>
      <c r="C61" s="5">
        <v>55.756923999999998</v>
      </c>
      <c r="D61" s="5">
        <v>142.21095299999999</v>
      </c>
      <c r="E61" s="5">
        <v>14.926601</v>
      </c>
      <c r="F61" s="5">
        <v>4495.7</v>
      </c>
      <c r="G61" s="19"/>
      <c r="H61" s="6">
        <f t="shared" si="9"/>
        <v>5.8675683603629037E-3</v>
      </c>
      <c r="I61" s="6">
        <f t="shared" si="10"/>
        <v>-1.5752086562333767E-3</v>
      </c>
      <c r="J61" s="6">
        <f t="shared" si="11"/>
        <v>4.9183358399554396E-3</v>
      </c>
      <c r="K61" s="6">
        <f t="shared" si="12"/>
        <v>-1.2067567354175589E-2</v>
      </c>
      <c r="L61" s="6">
        <f t="shared" si="13"/>
        <v>1.8895282757298078E-2</v>
      </c>
      <c r="M61" s="6">
        <f t="shared" si="5"/>
        <v>2.4739399929873218E-3</v>
      </c>
      <c r="N61" s="19"/>
    </row>
    <row r="62" spans="1:14" x14ac:dyDescent="0.2">
      <c r="A62" s="4">
        <v>45239</v>
      </c>
      <c r="B62" s="5">
        <v>181.48133899999999</v>
      </c>
      <c r="C62" s="5">
        <v>55.336967000000001</v>
      </c>
      <c r="D62" s="5">
        <v>141.78839099999999</v>
      </c>
      <c r="E62" s="5">
        <v>14.907526000000001</v>
      </c>
      <c r="F62" s="5">
        <v>4502.88</v>
      </c>
      <c r="G62" s="19"/>
      <c r="H62" s="6">
        <f t="shared" si="9"/>
        <v>-2.6278835003809412E-3</v>
      </c>
      <c r="I62" s="6">
        <f t="shared" si="10"/>
        <v>-7.5604337307585206E-3</v>
      </c>
      <c r="J62" s="6">
        <f t="shared" si="11"/>
        <v>-2.9757978020443572E-3</v>
      </c>
      <c r="K62" s="6">
        <f t="shared" si="12"/>
        <v>-1.2787371052778911E-3</v>
      </c>
      <c r="L62" s="6">
        <f t="shared" si="13"/>
        <v>1.5958076771483444E-3</v>
      </c>
      <c r="M62" s="6">
        <f t="shared" si="5"/>
        <v>-4.7832187276948841E-3</v>
      </c>
      <c r="N62" s="19"/>
    </row>
    <row r="63" spans="1:14" x14ac:dyDescent="0.2">
      <c r="A63" s="4">
        <v>45240</v>
      </c>
      <c r="B63" s="5">
        <v>185.69534300000001</v>
      </c>
      <c r="C63" s="5">
        <v>55.395564999999998</v>
      </c>
      <c r="D63" s="5">
        <v>143.89128099999999</v>
      </c>
      <c r="E63" s="5">
        <v>14.917064999999999</v>
      </c>
      <c r="F63" s="5">
        <v>4508.24</v>
      </c>
      <c r="G63" s="19"/>
      <c r="H63" s="6">
        <f t="shared" si="9"/>
        <v>2.2954556969230551E-2</v>
      </c>
      <c r="I63" s="6">
        <f t="shared" si="10"/>
        <v>1.0583701900695479E-3</v>
      </c>
      <c r="J63" s="6">
        <f t="shared" si="11"/>
        <v>1.4722279452399911E-2</v>
      </c>
      <c r="K63" s="6">
        <f t="shared" si="12"/>
        <v>6.3967350467703291E-4</v>
      </c>
      <c r="L63" s="6">
        <f t="shared" si="13"/>
        <v>1.1896413835666805E-3</v>
      </c>
      <c r="M63" s="6">
        <f t="shared" si="5"/>
        <v>1.1157481202226508E-2</v>
      </c>
      <c r="N63" s="19"/>
    </row>
    <row r="64" spans="1:14" x14ac:dyDescent="0.2">
      <c r="A64" s="4">
        <v>45243</v>
      </c>
      <c r="B64" s="5">
        <v>184.101395</v>
      </c>
      <c r="C64" s="5">
        <v>55.600662</v>
      </c>
      <c r="D64" s="5">
        <v>143.25254799999999</v>
      </c>
      <c r="E64" s="5">
        <v>14.859838</v>
      </c>
      <c r="F64" s="5">
        <v>4514.0200000000004</v>
      </c>
      <c r="G64" s="19"/>
      <c r="H64" s="6">
        <f t="shared" si="9"/>
        <v>-8.6207243473615386E-3</v>
      </c>
      <c r="I64" s="6">
        <f t="shared" si="10"/>
        <v>3.6955712633663846E-3</v>
      </c>
      <c r="J64" s="6">
        <f t="shared" si="11"/>
        <v>-4.4488788474790633E-3</v>
      </c>
      <c r="K64" s="6">
        <f t="shared" si="12"/>
        <v>-3.8437221263010121E-3</v>
      </c>
      <c r="L64" s="6">
        <f t="shared" si="13"/>
        <v>1.2812755985166719E-3</v>
      </c>
      <c r="M64" s="6">
        <f t="shared" si="5"/>
        <v>-2.1379340863122427E-3</v>
      </c>
      <c r="N64" s="19"/>
    </row>
    <row r="65" spans="1:14" x14ac:dyDescent="0.2">
      <c r="A65" s="4">
        <v>45244</v>
      </c>
      <c r="B65" s="5">
        <v>186.731415</v>
      </c>
      <c r="C65" s="5">
        <v>55.766689</v>
      </c>
      <c r="D65" s="5">
        <v>145.86644000000001</v>
      </c>
      <c r="E65" s="5">
        <v>14.907526000000001</v>
      </c>
      <c r="F65" s="5">
        <v>4547.38</v>
      </c>
      <c r="G65" s="19"/>
      <c r="H65" s="6">
        <f t="shared" si="9"/>
        <v>1.4184635374476782E-2</v>
      </c>
      <c r="I65" s="6">
        <f t="shared" si="10"/>
        <v>2.981612142296002E-3</v>
      </c>
      <c r="J65" s="6">
        <f t="shared" si="11"/>
        <v>1.8082265985749042E-2</v>
      </c>
      <c r="K65" s="6">
        <f t="shared" si="12"/>
        <v>3.2040486216239152E-3</v>
      </c>
      <c r="L65" s="6">
        <f t="shared" si="13"/>
        <v>7.3631338909269815E-3</v>
      </c>
      <c r="M65" s="6">
        <f t="shared" si="5"/>
        <v>1.0851954413112881E-2</v>
      </c>
      <c r="N65" s="19"/>
    </row>
    <row r="66" spans="1:14" x14ac:dyDescent="0.2">
      <c r="A66" s="4">
        <v>45245</v>
      </c>
      <c r="B66" s="5">
        <v>187.29925499999999</v>
      </c>
      <c r="C66" s="5">
        <v>55.874122999999997</v>
      </c>
      <c r="D66" s="5">
        <v>147.14392100000001</v>
      </c>
      <c r="E66" s="5">
        <v>15.031516999999999</v>
      </c>
      <c r="F66" s="5">
        <v>4538.1899999999996</v>
      </c>
      <c r="G66" s="19"/>
      <c r="H66" s="6">
        <f t="shared" ref="H66:H97" si="14">LN(B66/B65)</f>
        <v>3.0363308776654089E-3</v>
      </c>
      <c r="I66" s="6">
        <f t="shared" ref="I66:I97" si="15">LN(C66/C65)</f>
        <v>1.9246372583412658E-3</v>
      </c>
      <c r="J66" s="6">
        <f t="shared" ref="J66:J97" si="16">LN(D66/D65)</f>
        <v>8.7197537313942614E-3</v>
      </c>
      <c r="K66" s="6">
        <f t="shared" ref="K66:K97" si="17">LN(E66/E65)</f>
        <v>8.2829440398884853E-3</v>
      </c>
      <c r="L66" s="6">
        <f t="shared" ref="L66:L129" si="18">LN(F66/F65)</f>
        <v>-2.0229887908321687E-3</v>
      </c>
      <c r="M66" s="6">
        <f t="shared" si="5"/>
        <v>4.4711761419017832E-3</v>
      </c>
      <c r="N66" s="19"/>
    </row>
    <row r="67" spans="1:14" x14ac:dyDescent="0.2">
      <c r="A67" s="4">
        <v>45246</v>
      </c>
      <c r="B67" s="5">
        <v>188.99284399999999</v>
      </c>
      <c r="C67" s="5">
        <v>55.815520999999997</v>
      </c>
      <c r="D67" s="5">
        <v>148.824265</v>
      </c>
      <c r="E67" s="5">
        <v>15.14597</v>
      </c>
      <c r="F67" s="5">
        <v>4556.62</v>
      </c>
      <c r="G67" s="19"/>
      <c r="H67" s="6">
        <f t="shared" si="14"/>
        <v>9.0015200429287429E-3</v>
      </c>
      <c r="I67" s="6">
        <f t="shared" si="15"/>
        <v>-1.0493722296692307E-3</v>
      </c>
      <c r="J67" s="6">
        <f t="shared" si="16"/>
        <v>1.1355018101563337E-2</v>
      </c>
      <c r="K67" s="6">
        <f t="shared" si="17"/>
        <v>7.5853598266493183E-3</v>
      </c>
      <c r="L67" s="6">
        <f t="shared" si="18"/>
        <v>4.0528664649777243E-3</v>
      </c>
      <c r="M67" s="6">
        <f t="shared" si="5"/>
        <v>5.6304767031162464E-3</v>
      </c>
      <c r="N67" s="19"/>
    </row>
    <row r="68" spans="1:14" x14ac:dyDescent="0.2">
      <c r="A68" s="4">
        <v>45247</v>
      </c>
      <c r="B68" s="5">
        <v>188.972916</v>
      </c>
      <c r="C68" s="5">
        <v>55.922955000000002</v>
      </c>
      <c r="D68" s="5">
        <v>150.17051699999999</v>
      </c>
      <c r="E68" s="5">
        <v>15.165046</v>
      </c>
      <c r="F68" s="5">
        <v>4556.62</v>
      </c>
      <c r="G68" s="19"/>
      <c r="H68" s="6">
        <f t="shared" si="14"/>
        <v>-1.0544870529251719E-4</v>
      </c>
      <c r="I68" s="6">
        <f t="shared" si="15"/>
        <v>1.9229550455904989E-3</v>
      </c>
      <c r="J68" s="6">
        <f t="shared" si="16"/>
        <v>9.0052481102475771E-3</v>
      </c>
      <c r="K68" s="6">
        <f t="shared" si="17"/>
        <v>1.2586844676198644E-3</v>
      </c>
      <c r="L68" s="6">
        <f t="shared" si="18"/>
        <v>0</v>
      </c>
      <c r="M68" s="6">
        <f t="shared" ref="M68:M131" si="19">+SUMPRODUCT(H68:K68,$P$13:$S$13)</f>
        <v>3.7700955119532942E-3</v>
      </c>
      <c r="N68" s="19"/>
    </row>
    <row r="69" spans="1:14" x14ac:dyDescent="0.2">
      <c r="A69" s="4">
        <v>45250</v>
      </c>
      <c r="B69" s="5">
        <v>190.726257</v>
      </c>
      <c r="C69" s="5">
        <v>56.059688999999999</v>
      </c>
      <c r="D69" s="5">
        <v>150.63235499999999</v>
      </c>
      <c r="E69" s="5">
        <v>15.355801</v>
      </c>
      <c r="F69" s="5">
        <v>4559.34</v>
      </c>
      <c r="G69" s="19"/>
      <c r="H69" s="6">
        <f t="shared" si="14"/>
        <v>9.2354873918627962E-3</v>
      </c>
      <c r="I69" s="6">
        <f t="shared" si="15"/>
        <v>2.4420582166783792E-3</v>
      </c>
      <c r="J69" s="6">
        <f t="shared" si="16"/>
        <v>3.0707044771690309E-3</v>
      </c>
      <c r="K69" s="6">
        <f t="shared" si="17"/>
        <v>1.250014351434138E-2</v>
      </c>
      <c r="L69" s="6">
        <f t="shared" si="18"/>
        <v>5.9675559803246874E-4</v>
      </c>
      <c r="M69" s="6">
        <f t="shared" si="19"/>
        <v>4.3718144147429127E-3</v>
      </c>
      <c r="N69" s="19"/>
    </row>
    <row r="70" spans="1:14" x14ac:dyDescent="0.2">
      <c r="A70" s="4">
        <v>45251</v>
      </c>
      <c r="B70" s="5">
        <v>189.91932700000001</v>
      </c>
      <c r="C70" s="5">
        <v>56.674973000000001</v>
      </c>
      <c r="D70" s="5">
        <v>150.31791699999999</v>
      </c>
      <c r="E70" s="5">
        <v>15.441642</v>
      </c>
      <c r="F70" s="5">
        <v>4550.43</v>
      </c>
      <c r="G70" s="19"/>
      <c r="H70" s="6">
        <f t="shared" si="14"/>
        <v>-4.2398033377747738E-3</v>
      </c>
      <c r="I70" s="6">
        <f t="shared" si="15"/>
        <v>1.0915721899237774E-2</v>
      </c>
      <c r="J70" s="6">
        <f t="shared" si="16"/>
        <v>-2.089635023942204E-3</v>
      </c>
      <c r="K70" s="6">
        <f t="shared" si="17"/>
        <v>5.5745681417839043E-3</v>
      </c>
      <c r="L70" s="6">
        <f t="shared" si="18"/>
        <v>-1.9561422168003027E-3</v>
      </c>
      <c r="M70" s="6">
        <f t="shared" si="19"/>
        <v>2.7429742083783931E-3</v>
      </c>
      <c r="N70" s="19"/>
    </row>
    <row r="71" spans="1:14" x14ac:dyDescent="0.2">
      <c r="A71" s="4">
        <v>45252</v>
      </c>
      <c r="B71" s="5">
        <v>190.586792</v>
      </c>
      <c r="C71" s="5">
        <v>57.055866000000002</v>
      </c>
      <c r="D71" s="5">
        <v>150.671661</v>
      </c>
      <c r="E71" s="5">
        <v>15.422565000000001</v>
      </c>
      <c r="F71" s="5">
        <v>4554.8900000000003</v>
      </c>
      <c r="G71" s="19"/>
      <c r="H71" s="6">
        <f t="shared" si="14"/>
        <v>3.5083046042034536E-3</v>
      </c>
      <c r="I71" s="6">
        <f t="shared" si="15"/>
        <v>6.698173115196048E-3</v>
      </c>
      <c r="J71" s="6">
        <f t="shared" si="16"/>
        <v>2.3505409404632072E-3</v>
      </c>
      <c r="K71" s="6">
        <f t="shared" si="17"/>
        <v>-1.2361893781621346E-3</v>
      </c>
      <c r="L71" s="6">
        <f t="shared" si="18"/>
        <v>9.7964714182290037E-4</v>
      </c>
      <c r="M71" s="6">
        <f t="shared" si="19"/>
        <v>4.4412348979431361E-3</v>
      </c>
      <c r="N71" s="19"/>
    </row>
    <row r="72" spans="1:14" x14ac:dyDescent="0.2">
      <c r="A72" s="4">
        <v>45254</v>
      </c>
      <c r="B72" s="5">
        <v>189.25186199999999</v>
      </c>
      <c r="C72" s="5">
        <v>57.202365999999998</v>
      </c>
      <c r="D72" s="5">
        <v>150.878006</v>
      </c>
      <c r="E72" s="5">
        <v>15.460716</v>
      </c>
      <c r="F72" s="5">
        <v>4550.58</v>
      </c>
      <c r="G72" s="19"/>
      <c r="H72" s="6">
        <f t="shared" si="14"/>
        <v>-7.0289607553052254E-3</v>
      </c>
      <c r="I72" s="6">
        <f t="shared" si="15"/>
        <v>2.564368058518235E-3</v>
      </c>
      <c r="J72" s="6">
        <f t="shared" si="16"/>
        <v>1.3685641523619864E-3</v>
      </c>
      <c r="K72" s="6">
        <f t="shared" si="17"/>
        <v>2.4706584385659168E-3</v>
      </c>
      <c r="L72" s="6">
        <f t="shared" si="18"/>
        <v>-9.4668376742538802E-4</v>
      </c>
      <c r="M72" s="6">
        <f t="shared" si="19"/>
        <v>-2.6342111221546875E-4</v>
      </c>
      <c r="N72" s="19"/>
    </row>
    <row r="73" spans="1:14" x14ac:dyDescent="0.2">
      <c r="A73" s="4">
        <v>45257</v>
      </c>
      <c r="B73" s="5">
        <v>189.07252500000001</v>
      </c>
      <c r="C73" s="5">
        <v>57.094935999999997</v>
      </c>
      <c r="D73" s="5">
        <v>150.53410299999999</v>
      </c>
      <c r="E73" s="5">
        <v>15.460716</v>
      </c>
      <c r="F73" s="5">
        <v>4567.8</v>
      </c>
      <c r="G73" s="19"/>
      <c r="H73" s="6">
        <f t="shared" si="14"/>
        <v>-9.4805949388913479E-4</v>
      </c>
      <c r="I73" s="6">
        <f t="shared" si="15"/>
        <v>-1.8798349524674102E-3</v>
      </c>
      <c r="J73" s="6">
        <f t="shared" si="16"/>
        <v>-2.2819464710573719E-3</v>
      </c>
      <c r="K73" s="6">
        <f t="shared" si="17"/>
        <v>0</v>
      </c>
      <c r="L73" s="6">
        <f t="shared" si="18"/>
        <v>3.7769911916856066E-3</v>
      </c>
      <c r="M73" s="6">
        <f t="shared" si="19"/>
        <v>-1.7779314180272649E-3</v>
      </c>
      <c r="N73" s="19"/>
    </row>
    <row r="74" spans="1:14" x14ac:dyDescent="0.2">
      <c r="A74" s="4">
        <v>45258</v>
      </c>
      <c r="B74" s="5">
        <v>189.68022199999999</v>
      </c>
      <c r="C74" s="5">
        <v>57.212135000000004</v>
      </c>
      <c r="D74" s="5">
        <v>150.878006</v>
      </c>
      <c r="E74" s="5">
        <v>15.432103</v>
      </c>
      <c r="F74" s="5">
        <v>4594.63</v>
      </c>
      <c r="G74" s="19"/>
      <c r="H74" s="6">
        <f t="shared" si="14"/>
        <v>3.2089405359202782E-3</v>
      </c>
      <c r="I74" s="6">
        <f t="shared" si="15"/>
        <v>2.0506000205027385E-3</v>
      </c>
      <c r="J74" s="6">
        <f t="shared" si="16"/>
        <v>2.2819464710573632E-3</v>
      </c>
      <c r="K74" s="6">
        <f t="shared" si="17"/>
        <v>-1.8524051289652865E-3</v>
      </c>
      <c r="L74" s="6">
        <f t="shared" si="18"/>
        <v>5.8565417006152948E-3</v>
      </c>
      <c r="M74" s="6">
        <f t="shared" si="19"/>
        <v>2.4210263075397989E-3</v>
      </c>
      <c r="N74" s="19"/>
    </row>
    <row r="75" spans="1:14" x14ac:dyDescent="0.2">
      <c r="A75" s="4">
        <v>45259</v>
      </c>
      <c r="B75" s="5">
        <v>188.65412900000001</v>
      </c>
      <c r="C75" s="5">
        <v>56.870308000000001</v>
      </c>
      <c r="D75" s="5">
        <v>151.64450099999999</v>
      </c>
      <c r="E75" s="5">
        <v>15.546556000000001</v>
      </c>
      <c r="F75" s="5">
        <v>4569.78</v>
      </c>
      <c r="G75" s="19"/>
      <c r="H75" s="6">
        <f t="shared" si="14"/>
        <v>-5.4242788854046205E-3</v>
      </c>
      <c r="I75" s="6">
        <f t="shared" si="15"/>
        <v>-5.9926490699218782E-3</v>
      </c>
      <c r="J75" s="6">
        <f t="shared" si="16"/>
        <v>5.0673693523613879E-3</v>
      </c>
      <c r="K75" s="6">
        <f t="shared" si="17"/>
        <v>7.3891849715765874E-3</v>
      </c>
      <c r="L75" s="6">
        <f t="shared" si="18"/>
        <v>-5.4231665551195962E-3</v>
      </c>
      <c r="M75" s="6">
        <f t="shared" si="19"/>
        <v>-2.162053965685088E-3</v>
      </c>
      <c r="N75" s="19"/>
    </row>
    <row r="76" spans="1:14" x14ac:dyDescent="0.2">
      <c r="A76" s="4">
        <v>45260</v>
      </c>
      <c r="B76" s="5">
        <v>189.23191800000001</v>
      </c>
      <c r="C76" s="5">
        <v>57.529868999999998</v>
      </c>
      <c r="D76" s="5">
        <v>153.37397799999999</v>
      </c>
      <c r="E76" s="5">
        <v>15.804074999999999</v>
      </c>
      <c r="F76" s="5">
        <v>4567.18</v>
      </c>
      <c r="G76" s="19"/>
      <c r="H76" s="6">
        <f t="shared" si="14"/>
        <v>3.0580089148523034E-3</v>
      </c>
      <c r="I76" s="6">
        <f t="shared" si="15"/>
        <v>1.1530896635000211E-2</v>
      </c>
      <c r="J76" s="6">
        <f t="shared" si="16"/>
        <v>1.1340267252648781E-2</v>
      </c>
      <c r="K76" s="6">
        <f t="shared" si="17"/>
        <v>1.6428683176453563E-2</v>
      </c>
      <c r="L76" s="6">
        <f t="shared" si="18"/>
        <v>-5.691170958779145E-4</v>
      </c>
      <c r="M76" s="6">
        <f t="shared" si="19"/>
        <v>9.321879847161027E-3</v>
      </c>
      <c r="N76" s="19"/>
    </row>
    <row r="77" spans="1:14" x14ac:dyDescent="0.2">
      <c r="A77" s="4">
        <v>45261</v>
      </c>
      <c r="B77" s="5">
        <v>190.51705899999999</v>
      </c>
      <c r="C77" s="5">
        <v>57.726756999999999</v>
      </c>
      <c r="D77" s="5">
        <v>154.12081900000001</v>
      </c>
      <c r="E77" s="5">
        <v>15.985293</v>
      </c>
      <c r="F77" s="5">
        <v>4549.34</v>
      </c>
      <c r="G77" s="19"/>
      <c r="H77" s="6">
        <f t="shared" si="14"/>
        <v>6.7683969358011721E-3</v>
      </c>
      <c r="I77" s="6">
        <f t="shared" si="15"/>
        <v>3.4165183963682714E-3</v>
      </c>
      <c r="J77" s="6">
        <f t="shared" si="16"/>
        <v>4.857594182652576E-3</v>
      </c>
      <c r="K77" s="6">
        <f t="shared" si="17"/>
        <v>1.1401293855996619E-2</v>
      </c>
      <c r="L77" s="6">
        <f t="shared" si="18"/>
        <v>-3.9137791113844191E-3</v>
      </c>
      <c r="M77" s="6">
        <f t="shared" si="19"/>
        <v>4.7456276798050513E-3</v>
      </c>
      <c r="N77" s="19"/>
    </row>
    <row r="78" spans="1:14" x14ac:dyDescent="0.2">
      <c r="A78" s="4">
        <v>45264</v>
      </c>
      <c r="B78" s="5">
        <v>188.71388200000001</v>
      </c>
      <c r="C78" s="5">
        <v>57.657845000000002</v>
      </c>
      <c r="D78" s="5">
        <v>155.25086999999999</v>
      </c>
      <c r="E78" s="5">
        <v>15.889915</v>
      </c>
      <c r="F78" s="5">
        <v>4585.59</v>
      </c>
      <c r="G78" s="19"/>
      <c r="H78" s="6">
        <f t="shared" si="14"/>
        <v>-9.5097229376474839E-3</v>
      </c>
      <c r="I78" s="6">
        <f t="shared" si="15"/>
        <v>-1.1944749472458554E-3</v>
      </c>
      <c r="J78" s="6">
        <f t="shared" si="16"/>
        <v>7.3054908777762974E-3</v>
      </c>
      <c r="K78" s="6">
        <f t="shared" si="17"/>
        <v>-5.9844807698541955E-3</v>
      </c>
      <c r="L78" s="6">
        <f t="shared" si="18"/>
        <v>7.9366104133129379E-3</v>
      </c>
      <c r="M78" s="6">
        <f t="shared" si="19"/>
        <v>-4.6670843863400469E-4</v>
      </c>
      <c r="N78" s="19"/>
    </row>
    <row r="79" spans="1:14" x14ac:dyDescent="0.2">
      <c r="A79" s="4">
        <v>45265</v>
      </c>
      <c r="B79" s="5">
        <v>192.68881200000001</v>
      </c>
      <c r="C79" s="5">
        <v>57.746445000000001</v>
      </c>
      <c r="D79" s="5">
        <v>155.23121599999999</v>
      </c>
      <c r="E79" s="5">
        <v>16.424029999999998</v>
      </c>
      <c r="F79" s="5">
        <v>4604.37</v>
      </c>
      <c r="G79" s="19"/>
      <c r="H79" s="6">
        <f t="shared" si="14"/>
        <v>2.084449839920156E-2</v>
      </c>
      <c r="I79" s="6">
        <f t="shared" si="15"/>
        <v>1.5354718166455639E-3</v>
      </c>
      <c r="J79" s="6">
        <f t="shared" si="16"/>
        <v>-1.266031176191559E-4</v>
      </c>
      <c r="K79" s="6">
        <f t="shared" si="17"/>
        <v>3.306087505214772E-2</v>
      </c>
      <c r="L79" s="6">
        <f t="shared" si="18"/>
        <v>4.0870746210065929E-3</v>
      </c>
      <c r="M79" s="6">
        <f t="shared" si="19"/>
        <v>5.8708078073829023E-3</v>
      </c>
      <c r="N79" s="19"/>
    </row>
    <row r="80" spans="1:14" x14ac:dyDescent="0.2">
      <c r="A80" s="4">
        <v>45266</v>
      </c>
      <c r="B80" s="5">
        <v>191.59298699999999</v>
      </c>
      <c r="C80" s="5">
        <v>57.687378000000002</v>
      </c>
      <c r="D80" s="5">
        <v>153.60000600000001</v>
      </c>
      <c r="E80" s="5">
        <v>16.156974999999999</v>
      </c>
      <c r="F80" s="5">
        <v>4622.4399999999996</v>
      </c>
      <c r="G80" s="19"/>
      <c r="H80" s="6">
        <f t="shared" si="14"/>
        <v>-5.7032520050787593E-3</v>
      </c>
      <c r="I80" s="6">
        <f t="shared" si="15"/>
        <v>-1.0233916476147672E-3</v>
      </c>
      <c r="J80" s="6">
        <f t="shared" si="16"/>
        <v>-1.0563861768930536E-2</v>
      </c>
      <c r="K80" s="6">
        <f t="shared" si="17"/>
        <v>-1.6393661333646715E-2</v>
      </c>
      <c r="L80" s="6">
        <f t="shared" si="18"/>
        <v>3.9168516750811289E-3</v>
      </c>
      <c r="M80" s="6">
        <f t="shared" si="19"/>
        <v>-5.3885669872316879E-3</v>
      </c>
      <c r="N80" s="19"/>
    </row>
    <row r="81" spans="1:14" x14ac:dyDescent="0.2">
      <c r="A81" s="4">
        <v>45267</v>
      </c>
      <c r="B81" s="5">
        <v>193.53559899999999</v>
      </c>
      <c r="C81" s="5">
        <v>57.825203000000002</v>
      </c>
      <c r="D81" s="5">
        <v>154.071686</v>
      </c>
      <c r="E81" s="5">
        <v>16.300039000000002</v>
      </c>
      <c r="F81" s="5">
        <v>4643.7</v>
      </c>
      <c r="G81" s="19"/>
      <c r="H81" s="6">
        <f t="shared" si="14"/>
        <v>1.0088207138443817E-2</v>
      </c>
      <c r="I81" s="6">
        <f t="shared" si="15"/>
        <v>2.3863212857141401E-3</v>
      </c>
      <c r="J81" s="6">
        <f t="shared" si="16"/>
        <v>3.0661278355592595E-3</v>
      </c>
      <c r="K81" s="6">
        <f t="shared" si="17"/>
        <v>8.8156554713472324E-3</v>
      </c>
      <c r="L81" s="6">
        <f t="shared" si="18"/>
        <v>4.5887580600857377E-3</v>
      </c>
      <c r="M81" s="6">
        <f t="shared" si="19"/>
        <v>4.5631670043953989E-3</v>
      </c>
      <c r="N81" s="19"/>
    </row>
    <row r="82" spans="1:14" x14ac:dyDescent="0.2">
      <c r="A82" s="4">
        <v>45268</v>
      </c>
      <c r="B82" s="5">
        <v>194.97015400000001</v>
      </c>
      <c r="C82" s="5">
        <v>57.697223999999999</v>
      </c>
      <c r="D82" s="5">
        <v>155.77169799999999</v>
      </c>
      <c r="E82" s="5">
        <v>16.137896999999999</v>
      </c>
      <c r="F82" s="5">
        <v>4707.09</v>
      </c>
      <c r="G82" s="19"/>
      <c r="H82" s="6">
        <f t="shared" si="14"/>
        <v>7.3850207302899578E-3</v>
      </c>
      <c r="I82" s="6">
        <f t="shared" si="15"/>
        <v>-2.2156572655028478E-3</v>
      </c>
      <c r="J82" s="6">
        <f t="shared" si="16"/>
        <v>1.0973473354382132E-2</v>
      </c>
      <c r="K82" s="6">
        <f t="shared" si="17"/>
        <v>-9.9971434933014119E-3</v>
      </c>
      <c r="L82" s="6">
        <f t="shared" si="18"/>
        <v>1.3558420429298217E-2</v>
      </c>
      <c r="M82" s="6">
        <f t="shared" si="19"/>
        <v>4.6117702626191888E-3</v>
      </c>
      <c r="N82" s="19"/>
    </row>
    <row r="83" spans="1:14" x14ac:dyDescent="0.2">
      <c r="A83" s="4">
        <v>45271</v>
      </c>
      <c r="B83" s="5">
        <v>192.44972200000001</v>
      </c>
      <c r="C83" s="5">
        <v>58.120525000000001</v>
      </c>
      <c r="D83" s="5">
        <v>156.341644</v>
      </c>
      <c r="E83" s="5">
        <v>15.851766</v>
      </c>
      <c r="F83" s="5">
        <v>4719.55</v>
      </c>
      <c r="G83" s="19"/>
      <c r="H83" s="6">
        <f t="shared" si="14"/>
        <v>-1.301155524149791E-2</v>
      </c>
      <c r="I83" s="6">
        <f t="shared" si="15"/>
        <v>7.3098102582420726E-3</v>
      </c>
      <c r="J83" s="6">
        <f t="shared" si="16"/>
        <v>3.6521773139312004E-3</v>
      </c>
      <c r="K83" s="6">
        <f t="shared" si="17"/>
        <v>-1.7889443279638567E-2</v>
      </c>
      <c r="L83" s="6">
        <f t="shared" si="18"/>
        <v>2.6435733742609306E-3</v>
      </c>
      <c r="M83" s="6">
        <f t="shared" si="19"/>
        <v>9.4489677146591044E-4</v>
      </c>
      <c r="N83" s="19"/>
    </row>
    <row r="84" spans="1:14" x14ac:dyDescent="0.2">
      <c r="A84" s="4">
        <v>45272</v>
      </c>
      <c r="B84" s="5">
        <v>193.97395299999999</v>
      </c>
      <c r="C84" s="5">
        <v>58.494605999999997</v>
      </c>
      <c r="D84" s="5">
        <v>157.73701500000001</v>
      </c>
      <c r="E84" s="5">
        <v>15.651472</v>
      </c>
      <c r="F84" s="5">
        <v>4719.1899999999996</v>
      </c>
      <c r="G84" s="19"/>
      <c r="H84" s="6">
        <f t="shared" si="14"/>
        <v>7.8889519649972505E-3</v>
      </c>
      <c r="I84" s="6">
        <f t="shared" si="15"/>
        <v>6.4156731620670822E-3</v>
      </c>
      <c r="J84" s="6">
        <f t="shared" si="16"/>
        <v>8.8855459657744724E-3</v>
      </c>
      <c r="K84" s="6">
        <f t="shared" si="17"/>
        <v>-1.2715943603931842E-2</v>
      </c>
      <c r="L84" s="6">
        <f t="shared" si="18"/>
        <v>-7.6281368101049259E-5</v>
      </c>
      <c r="M84" s="6">
        <f t="shared" si="19"/>
        <v>7.6120227933689682E-3</v>
      </c>
      <c r="N84" s="19"/>
    </row>
    <row r="85" spans="1:14" x14ac:dyDescent="0.2">
      <c r="A85" s="4">
        <v>45273</v>
      </c>
      <c r="B85" s="5">
        <v>197.21165500000001</v>
      </c>
      <c r="C85" s="5">
        <v>58.996665999999998</v>
      </c>
      <c r="D85" s="5">
        <v>158.26765399999999</v>
      </c>
      <c r="E85" s="5">
        <v>15.689624</v>
      </c>
      <c r="F85" s="5">
        <v>4740.5600000000004</v>
      </c>
      <c r="G85" s="19"/>
      <c r="H85" s="6">
        <f t="shared" si="14"/>
        <v>1.6553655693470191E-2</v>
      </c>
      <c r="I85" s="6">
        <f t="shared" si="15"/>
        <v>8.5463889760277086E-3</v>
      </c>
      <c r="J85" s="6">
        <f t="shared" si="16"/>
        <v>3.3584282184013106E-3</v>
      </c>
      <c r="K85" s="6">
        <f t="shared" si="17"/>
        <v>2.4346320782964847E-3</v>
      </c>
      <c r="L85" s="6">
        <f t="shared" si="18"/>
        <v>4.5180974872495441E-3</v>
      </c>
      <c r="M85" s="6">
        <f t="shared" si="19"/>
        <v>8.8446388151841547E-3</v>
      </c>
      <c r="N85" s="19"/>
    </row>
    <row r="86" spans="1:14" x14ac:dyDescent="0.2">
      <c r="A86" s="4">
        <v>45274</v>
      </c>
      <c r="B86" s="5">
        <v>197.36108400000001</v>
      </c>
      <c r="C86" s="5">
        <v>58.120525000000001</v>
      </c>
      <c r="D86" s="5">
        <v>161.14686599999999</v>
      </c>
      <c r="E86" s="5">
        <v>15.880378</v>
      </c>
      <c r="F86" s="5">
        <v>4768.37</v>
      </c>
      <c r="G86" s="19"/>
      <c r="H86" s="6">
        <f t="shared" si="14"/>
        <v>7.5742185089877612E-4</v>
      </c>
      <c r="I86" s="6">
        <f t="shared" si="15"/>
        <v>-1.4962062138094838E-2</v>
      </c>
      <c r="J86" s="6">
        <f t="shared" si="16"/>
        <v>1.8028547888701854E-2</v>
      </c>
      <c r="K86" s="6">
        <f t="shared" si="17"/>
        <v>1.208465691282283E-2</v>
      </c>
      <c r="L86" s="6">
        <f t="shared" si="18"/>
        <v>5.8492552349014293E-3</v>
      </c>
      <c r="M86" s="6">
        <f t="shared" si="19"/>
        <v>1.5243225731133292E-5</v>
      </c>
      <c r="N86" s="19"/>
    </row>
    <row r="87" spans="1:14" x14ac:dyDescent="0.2">
      <c r="A87" s="4">
        <v>45275</v>
      </c>
      <c r="B87" s="5">
        <v>196.82311999999999</v>
      </c>
      <c r="C87" s="5">
        <v>57.687378000000002</v>
      </c>
      <c r="D87" s="5">
        <v>162.36535599999999</v>
      </c>
      <c r="E87" s="5">
        <v>15.756387999999999</v>
      </c>
      <c r="F87" s="5">
        <v>4698.3500000000004</v>
      </c>
      <c r="G87" s="19"/>
      <c r="H87" s="6">
        <f t="shared" si="14"/>
        <v>-2.7295073142777661E-3</v>
      </c>
      <c r="I87" s="6">
        <f t="shared" si="15"/>
        <v>-7.4804742784532674E-3</v>
      </c>
      <c r="J87" s="6">
        <f t="shared" si="16"/>
        <v>7.5329194945627474E-3</v>
      </c>
      <c r="K87" s="6">
        <f t="shared" si="17"/>
        <v>-7.8383887172057826E-3</v>
      </c>
      <c r="L87" s="6">
        <f t="shared" si="18"/>
        <v>-1.4793144174519959E-2</v>
      </c>
      <c r="M87" s="6">
        <f t="shared" si="19"/>
        <v>-1.2729849022277604E-3</v>
      </c>
      <c r="N87" s="19"/>
    </row>
    <row r="88" spans="1:14" x14ac:dyDescent="0.2">
      <c r="A88" s="4">
        <v>45278</v>
      </c>
      <c r="B88" s="5">
        <v>195.149475</v>
      </c>
      <c r="C88" s="5">
        <v>58.100842</v>
      </c>
      <c r="D88" s="5">
        <v>163.348007</v>
      </c>
      <c r="E88" s="5">
        <v>15.699159999999999</v>
      </c>
      <c r="F88" s="5">
        <v>4746.75</v>
      </c>
      <c r="G88" s="19"/>
      <c r="H88" s="6">
        <f t="shared" si="14"/>
        <v>-8.53965400802611E-3</v>
      </c>
      <c r="I88" s="6">
        <f t="shared" si="15"/>
        <v>7.1417585896560408E-3</v>
      </c>
      <c r="J88" s="6">
        <f t="shared" si="16"/>
        <v>6.0338573294274594E-3</v>
      </c>
      <c r="K88" s="6">
        <f t="shared" si="17"/>
        <v>-3.6386626067303612E-3</v>
      </c>
      <c r="L88" s="6">
        <f t="shared" si="18"/>
        <v>1.024879009249407E-2</v>
      </c>
      <c r="M88" s="6">
        <f t="shared" si="19"/>
        <v>2.8016679909276744E-3</v>
      </c>
      <c r="N88" s="19"/>
    </row>
    <row r="89" spans="1:14" x14ac:dyDescent="0.2">
      <c r="A89" s="4">
        <v>45279</v>
      </c>
      <c r="B89" s="5">
        <v>196.19551100000001</v>
      </c>
      <c r="C89" s="5">
        <v>57.913798999999997</v>
      </c>
      <c r="D89" s="5">
        <v>165.52950999999999</v>
      </c>
      <c r="E89" s="5">
        <v>15.842228</v>
      </c>
      <c r="F89" s="5">
        <v>4754.63</v>
      </c>
      <c r="G89" s="19"/>
      <c r="H89" s="6">
        <f t="shared" si="14"/>
        <v>5.3458637702141027E-3</v>
      </c>
      <c r="I89" s="6">
        <f t="shared" si="15"/>
        <v>-3.2244751257021888E-3</v>
      </c>
      <c r="J89" s="6">
        <f t="shared" si="16"/>
        <v>1.3266549902395489E-2</v>
      </c>
      <c r="K89" s="6">
        <f t="shared" si="17"/>
        <v>9.0718253225267661E-3</v>
      </c>
      <c r="L89" s="6">
        <f t="shared" si="18"/>
        <v>1.6587067997896167E-3</v>
      </c>
      <c r="M89" s="6">
        <f t="shared" si="19"/>
        <v>4.4426856705969521E-3</v>
      </c>
      <c r="N89" s="19"/>
    </row>
    <row r="90" spans="1:14" x14ac:dyDescent="0.2">
      <c r="A90" s="4">
        <v>45280</v>
      </c>
      <c r="B90" s="5">
        <v>194.093491</v>
      </c>
      <c r="C90" s="5">
        <v>56.712798999999997</v>
      </c>
      <c r="D90" s="5">
        <v>163.66246000000001</v>
      </c>
      <c r="E90" s="5">
        <v>15.641933</v>
      </c>
      <c r="F90" s="5">
        <v>4754.63</v>
      </c>
      <c r="G90" s="19"/>
      <c r="H90" s="6">
        <f t="shared" si="14"/>
        <v>-1.0771711802952852E-2</v>
      </c>
      <c r="I90" s="6">
        <f t="shared" si="15"/>
        <v>-2.0955763699396959E-2</v>
      </c>
      <c r="J90" s="6">
        <f t="shared" si="16"/>
        <v>-1.1343350930772851E-2</v>
      </c>
      <c r="K90" s="6">
        <f t="shared" si="17"/>
        <v>-1.2723712230209391E-2</v>
      </c>
      <c r="L90" s="6">
        <f t="shared" si="18"/>
        <v>0</v>
      </c>
      <c r="M90" s="6">
        <f t="shared" si="19"/>
        <v>-1.5172856302222423E-2</v>
      </c>
      <c r="N90" s="19"/>
    </row>
    <row r="91" spans="1:14" x14ac:dyDescent="0.2">
      <c r="A91" s="4">
        <v>45281</v>
      </c>
      <c r="B91" s="5">
        <v>193.944031</v>
      </c>
      <c r="C91" s="5">
        <v>57.086883999999998</v>
      </c>
      <c r="D91" s="5">
        <v>164.59599299999999</v>
      </c>
      <c r="E91" s="5">
        <v>15.727774999999999</v>
      </c>
      <c r="F91" s="5">
        <v>4774.75</v>
      </c>
      <c r="G91" s="19"/>
      <c r="H91" s="6">
        <f t="shared" si="14"/>
        <v>-7.7033791279105483E-4</v>
      </c>
      <c r="I91" s="6">
        <f t="shared" si="15"/>
        <v>6.5744708171604086E-3</v>
      </c>
      <c r="J91" s="6">
        <f t="shared" si="16"/>
        <v>5.6878079343058051E-3</v>
      </c>
      <c r="K91" s="6">
        <f t="shared" si="17"/>
        <v>5.4729367751170889E-3</v>
      </c>
      <c r="L91" s="6">
        <f t="shared" si="18"/>
        <v>4.2227363999498384E-3</v>
      </c>
      <c r="M91" s="6">
        <f t="shared" si="19"/>
        <v>4.4190907708787884E-3</v>
      </c>
      <c r="N91" s="19"/>
    </row>
    <row r="92" spans="1:14" x14ac:dyDescent="0.2">
      <c r="A92" s="4">
        <v>45282</v>
      </c>
      <c r="B92" s="5">
        <v>192.868134</v>
      </c>
      <c r="C92" s="5">
        <v>57.411738999999997</v>
      </c>
      <c r="D92" s="5">
        <v>164.497726</v>
      </c>
      <c r="E92" s="5">
        <v>15.784998999999999</v>
      </c>
      <c r="F92" s="5">
        <v>4781.58</v>
      </c>
      <c r="G92" s="19"/>
      <c r="H92" s="6">
        <f t="shared" si="14"/>
        <v>-5.5629055748559423E-3</v>
      </c>
      <c r="I92" s="6">
        <f t="shared" si="15"/>
        <v>5.6744066112261139E-3</v>
      </c>
      <c r="J92" s="6">
        <f t="shared" si="16"/>
        <v>-5.9719768106862266E-4</v>
      </c>
      <c r="K92" s="6">
        <f t="shared" si="17"/>
        <v>3.6318010530331695E-3</v>
      </c>
      <c r="L92" s="6">
        <f t="shared" si="18"/>
        <v>1.429419277681746E-3</v>
      </c>
      <c r="M92" s="6">
        <f t="shared" si="19"/>
        <v>7.3839974474526463E-4</v>
      </c>
      <c r="N92" s="19"/>
    </row>
    <row r="93" spans="1:14" x14ac:dyDescent="0.2">
      <c r="A93" s="4">
        <v>45286</v>
      </c>
      <c r="B93" s="5">
        <v>192.320221</v>
      </c>
      <c r="C93" s="5">
        <v>57.648003000000003</v>
      </c>
      <c r="D93" s="5">
        <v>165.47056599999999</v>
      </c>
      <c r="E93" s="5">
        <v>15.804074999999999</v>
      </c>
      <c r="F93" s="5">
        <v>4783.3500000000004</v>
      </c>
      <c r="G93" s="19"/>
      <c r="H93" s="6">
        <f t="shared" si="14"/>
        <v>-2.8449113917028523E-3</v>
      </c>
      <c r="I93" s="6">
        <f t="shared" si="15"/>
        <v>4.1068114348282283E-3</v>
      </c>
      <c r="J93" s="6">
        <f t="shared" si="16"/>
        <v>5.8965836558493075E-3</v>
      </c>
      <c r="K93" s="6">
        <f t="shared" si="17"/>
        <v>1.2077595132303129E-3</v>
      </c>
      <c r="L93" s="6">
        <f t="shared" si="18"/>
        <v>3.7010203319937546E-4</v>
      </c>
      <c r="M93" s="6">
        <f t="shared" si="19"/>
        <v>2.9431125998937665E-3</v>
      </c>
      <c r="N93" s="19"/>
    </row>
    <row r="94" spans="1:14" x14ac:dyDescent="0.2">
      <c r="A94" s="4">
        <v>45287</v>
      </c>
      <c r="B94" s="5">
        <v>192.41982999999999</v>
      </c>
      <c r="C94" s="5">
        <v>57.795662</v>
      </c>
      <c r="D94" s="5">
        <v>166.46305799999999</v>
      </c>
      <c r="E94" s="5">
        <v>15.813613</v>
      </c>
      <c r="F94" s="5">
        <v>4769.83</v>
      </c>
      <c r="G94" s="19"/>
      <c r="H94" s="6">
        <f t="shared" si="14"/>
        <v>5.1779897604456546E-4</v>
      </c>
      <c r="I94" s="6">
        <f t="shared" si="15"/>
        <v>2.5581149129798759E-3</v>
      </c>
      <c r="J94" s="6">
        <f t="shared" si="16"/>
        <v>5.9800808714544585E-3</v>
      </c>
      <c r="K94" s="6">
        <f t="shared" si="17"/>
        <v>6.0333319054379066E-4</v>
      </c>
      <c r="L94" s="6">
        <f t="shared" si="18"/>
        <v>-2.8304729998547477E-3</v>
      </c>
      <c r="M94" s="6">
        <f t="shared" si="19"/>
        <v>3.1821294222527602E-3</v>
      </c>
      <c r="N94" s="19"/>
    </row>
    <row r="95" spans="1:14" x14ac:dyDescent="0.2">
      <c r="A95" s="4">
        <v>45288</v>
      </c>
      <c r="B95" s="5">
        <v>192.848206</v>
      </c>
      <c r="C95" s="5">
        <v>57.835045000000001</v>
      </c>
      <c r="D95" s="5">
        <v>167.34747300000001</v>
      </c>
      <c r="E95" s="5">
        <v>15.966218</v>
      </c>
      <c r="F95" s="5">
        <v>4769.83</v>
      </c>
      <c r="G95" s="19"/>
      <c r="H95" s="6">
        <f t="shared" si="14"/>
        <v>2.2237825955231019E-3</v>
      </c>
      <c r="I95" s="6">
        <f t="shared" si="15"/>
        <v>6.811858639393253E-4</v>
      </c>
      <c r="J95" s="6">
        <f t="shared" si="16"/>
        <v>5.2989165247204857E-3</v>
      </c>
      <c r="K95" s="6">
        <f t="shared" si="17"/>
        <v>9.6039637827291333E-3</v>
      </c>
      <c r="L95" s="6">
        <f t="shared" si="18"/>
        <v>0</v>
      </c>
      <c r="M95" s="6">
        <f t="shared" si="19"/>
        <v>2.6110408466549261E-3</v>
      </c>
      <c r="N95" s="19"/>
    </row>
    <row r="96" spans="1:14" x14ac:dyDescent="0.2">
      <c r="A96" s="4">
        <v>45289</v>
      </c>
      <c r="B96" s="5">
        <v>191.80216999999999</v>
      </c>
      <c r="C96" s="5">
        <v>58.012238000000004</v>
      </c>
      <c r="D96" s="5">
        <v>167.150925</v>
      </c>
      <c r="E96" s="5">
        <v>16.004370000000002</v>
      </c>
      <c r="F96" s="5">
        <v>4742.83</v>
      </c>
      <c r="G96" s="19"/>
      <c r="H96" s="6">
        <f t="shared" si="14"/>
        <v>-5.4389057902563941E-3</v>
      </c>
      <c r="I96" s="6">
        <f t="shared" si="15"/>
        <v>3.0590814664282501E-3</v>
      </c>
      <c r="J96" s="6">
        <f t="shared" si="16"/>
        <v>-1.1751806513597941E-3</v>
      </c>
      <c r="K96" s="6">
        <f t="shared" si="17"/>
        <v>2.3866948027653455E-3</v>
      </c>
      <c r="L96" s="6">
        <f t="shared" si="18"/>
        <v>-5.6766608929654707E-3</v>
      </c>
      <c r="M96" s="6">
        <f t="shared" si="19"/>
        <v>-5.0416918424563552E-4</v>
      </c>
      <c r="N96" s="19"/>
    </row>
    <row r="97" spans="1:14" x14ac:dyDescent="0.2">
      <c r="A97" s="4">
        <v>45293</v>
      </c>
      <c r="B97" s="5">
        <v>184.93821700000001</v>
      </c>
      <c r="C97" s="5">
        <v>58.888378000000003</v>
      </c>
      <c r="D97" s="5">
        <v>169.09660299999999</v>
      </c>
      <c r="E97" s="5">
        <v>16.452643999999999</v>
      </c>
      <c r="F97" s="5">
        <v>4704.8100000000004</v>
      </c>
      <c r="G97" s="19"/>
      <c r="H97" s="6">
        <f t="shared" si="14"/>
        <v>-3.6442669115568614E-2</v>
      </c>
      <c r="I97" s="6">
        <f t="shared" si="15"/>
        <v>1.4989765411567772E-2</v>
      </c>
      <c r="J97" s="6">
        <f t="shared" si="16"/>
        <v>1.1573020195509662E-2</v>
      </c>
      <c r="K97" s="6">
        <f t="shared" si="17"/>
        <v>2.7624383831125431E-2</v>
      </c>
      <c r="L97" s="6">
        <f t="shared" si="18"/>
        <v>-8.0486143089745707E-3</v>
      </c>
      <c r="M97" s="6">
        <f t="shared" si="19"/>
        <v>8.2731659702302892E-4</v>
      </c>
      <c r="N97" s="19"/>
    </row>
    <row r="98" spans="1:14" x14ac:dyDescent="0.2">
      <c r="A98" s="4">
        <v>45294</v>
      </c>
      <c r="B98" s="5">
        <v>183.55346700000001</v>
      </c>
      <c r="C98" s="5">
        <v>59.026195999999999</v>
      </c>
      <c r="D98" s="5">
        <v>168.35960399999999</v>
      </c>
      <c r="E98" s="5">
        <v>16.433568999999999</v>
      </c>
      <c r="F98" s="5">
        <v>4688.68</v>
      </c>
      <c r="G98" s="19"/>
      <c r="H98" s="6">
        <f t="shared" ref="H98:H129" si="20">LN(B98/B97)</f>
        <v>-7.5158087877084971E-3</v>
      </c>
      <c r="I98" s="6">
        <f t="shared" ref="I98:I129" si="21">LN(C98/C97)</f>
        <v>2.3375916662677874E-3</v>
      </c>
      <c r="J98" s="6">
        <f t="shared" ref="J98:J129" si="22">LN(D98/D97)</f>
        <v>-4.3679752008790812E-3</v>
      </c>
      <c r="K98" s="6">
        <f t="shared" ref="K98:K129" si="23">LN(E98/E97)</f>
        <v>-1.1600607305661888E-3</v>
      </c>
      <c r="L98" s="6">
        <f t="shared" si="18"/>
        <v>-3.434296699869414E-3</v>
      </c>
      <c r="M98" s="6">
        <f t="shared" si="19"/>
        <v>-2.3926404010633736E-3</v>
      </c>
      <c r="N98" s="19"/>
    </row>
    <row r="99" spans="1:14" x14ac:dyDescent="0.2">
      <c r="A99" s="4">
        <v>45295</v>
      </c>
      <c r="B99" s="5">
        <v>181.22232099999999</v>
      </c>
      <c r="C99" s="5">
        <v>58.829310999999997</v>
      </c>
      <c r="D99" s="5">
        <v>169.47685200000001</v>
      </c>
      <c r="E99" s="5">
        <v>16.357265000000002</v>
      </c>
      <c r="F99" s="5">
        <v>4697.24</v>
      </c>
      <c r="G99" s="19"/>
      <c r="H99" s="6">
        <f t="shared" si="20"/>
        <v>-1.2781428001649012E-2</v>
      </c>
      <c r="I99" s="6">
        <f t="shared" si="21"/>
        <v>-3.3411282708156569E-3</v>
      </c>
      <c r="J99" s="6">
        <f t="shared" si="22"/>
        <v>6.6141593258210608E-3</v>
      </c>
      <c r="K99" s="6">
        <f t="shared" si="23"/>
        <v>-4.6539918884881352E-3</v>
      </c>
      <c r="L99" s="6">
        <f t="shared" si="18"/>
        <v>1.8240092336748459E-3</v>
      </c>
      <c r="M99" s="6">
        <f t="shared" si="19"/>
        <v>-2.4131357866457349E-3</v>
      </c>
      <c r="N99" s="19"/>
    </row>
    <row r="100" spans="1:14" x14ac:dyDescent="0.2">
      <c r="A100" s="4">
        <v>45296</v>
      </c>
      <c r="B100" s="5">
        <v>180.49508700000001</v>
      </c>
      <c r="C100" s="5">
        <v>58.740715000000002</v>
      </c>
      <c r="D100" s="5">
        <v>170.32714799999999</v>
      </c>
      <c r="E100" s="5">
        <v>16.662476000000002</v>
      </c>
      <c r="F100" s="5">
        <v>4763.54</v>
      </c>
      <c r="G100" s="19"/>
      <c r="H100" s="6">
        <f t="shared" si="20"/>
        <v>-4.0210117830922973E-3</v>
      </c>
      <c r="I100" s="6">
        <f t="shared" si="21"/>
        <v>-1.5071191150336566E-3</v>
      </c>
      <c r="J100" s="6">
        <f t="shared" si="22"/>
        <v>5.0046366419241994E-3</v>
      </c>
      <c r="K100" s="6">
        <f t="shared" si="23"/>
        <v>1.8487103983690103E-2</v>
      </c>
      <c r="L100" s="6">
        <f t="shared" si="18"/>
        <v>1.4015987132365047E-2</v>
      </c>
      <c r="M100" s="6">
        <f t="shared" si="19"/>
        <v>2.6908410426295781E-5</v>
      </c>
      <c r="N100" s="19"/>
    </row>
    <row r="101" spans="1:14" x14ac:dyDescent="0.2">
      <c r="A101" s="4">
        <v>45299</v>
      </c>
      <c r="B101" s="5">
        <v>184.858521</v>
      </c>
      <c r="C101" s="5">
        <v>59.173865999999997</v>
      </c>
      <c r="D101" s="5">
        <v>170.07998699999999</v>
      </c>
      <c r="E101" s="5">
        <v>16.519407000000001</v>
      </c>
      <c r="F101" s="5">
        <v>4756.5</v>
      </c>
      <c r="G101" s="19"/>
      <c r="H101" s="6">
        <f t="shared" si="20"/>
        <v>2.3887222589555022E-2</v>
      </c>
      <c r="I101" s="6">
        <f t="shared" si="21"/>
        <v>7.3468937372898847E-3</v>
      </c>
      <c r="J101" s="6">
        <f t="shared" si="22"/>
        <v>-1.4521496056958624E-3</v>
      </c>
      <c r="K101" s="6">
        <f t="shared" si="23"/>
        <v>-8.62337357891769E-3</v>
      </c>
      <c r="L101" s="6">
        <f t="shared" si="18"/>
        <v>-1.4789856520085827E-3</v>
      </c>
      <c r="M101" s="6">
        <f t="shared" si="19"/>
        <v>8.6021596580912359E-3</v>
      </c>
      <c r="N101" s="19"/>
    </row>
    <row r="102" spans="1:14" x14ac:dyDescent="0.2">
      <c r="A102" s="4">
        <v>45300</v>
      </c>
      <c r="B102" s="5">
        <v>184.44010900000001</v>
      </c>
      <c r="C102" s="5">
        <v>59.065578000000002</v>
      </c>
      <c r="D102" s="5">
        <v>168.735321</v>
      </c>
      <c r="E102" s="5">
        <v>16.430229000000001</v>
      </c>
      <c r="F102" s="5">
        <v>4783.45</v>
      </c>
      <c r="G102" s="19"/>
      <c r="H102" s="6">
        <f t="shared" si="20"/>
        <v>-2.2659828390601978E-3</v>
      </c>
      <c r="I102" s="6">
        <f t="shared" si="21"/>
        <v>-1.8316735365529078E-3</v>
      </c>
      <c r="J102" s="6">
        <f t="shared" si="22"/>
        <v>-7.9374988566027482E-3</v>
      </c>
      <c r="K102" s="6">
        <f t="shared" si="23"/>
        <v>-5.4130016942953952E-3</v>
      </c>
      <c r="L102" s="6">
        <f t="shared" si="18"/>
        <v>5.6499398196109933E-3</v>
      </c>
      <c r="M102" s="6">
        <f t="shared" si="19"/>
        <v>-3.9769238118617118E-3</v>
      </c>
      <c r="N102" s="19"/>
    </row>
    <row r="103" spans="1:14" x14ac:dyDescent="0.2">
      <c r="A103" s="4">
        <v>45301</v>
      </c>
      <c r="B103" s="5">
        <v>185.48616000000001</v>
      </c>
      <c r="C103" s="5">
        <v>59.262462999999997</v>
      </c>
      <c r="D103" s="5">
        <v>169.091263</v>
      </c>
      <c r="E103" s="5">
        <v>16.352684</v>
      </c>
      <c r="F103" s="5">
        <v>4780.24</v>
      </c>
      <c r="G103" s="19"/>
      <c r="H103" s="6">
        <f t="shared" si="20"/>
        <v>5.655471783241264E-3</v>
      </c>
      <c r="I103" s="6">
        <f t="shared" si="21"/>
        <v>3.3277857054118689E-3</v>
      </c>
      <c r="J103" s="6">
        <f t="shared" si="22"/>
        <v>2.1072476150256008E-3</v>
      </c>
      <c r="K103" s="6">
        <f t="shared" si="23"/>
        <v>-4.7308269784354078E-3</v>
      </c>
      <c r="L103" s="6">
        <f t="shared" si="18"/>
        <v>-6.7128903604016395E-4</v>
      </c>
      <c r="M103" s="6">
        <f t="shared" si="19"/>
        <v>3.5103476760254037E-3</v>
      </c>
      <c r="N103" s="19"/>
    </row>
    <row r="104" spans="1:14" x14ac:dyDescent="0.2">
      <c r="A104" s="4">
        <v>45302</v>
      </c>
      <c r="B104" s="5">
        <v>184.88841199999999</v>
      </c>
      <c r="C104" s="5">
        <v>58.878535999999997</v>
      </c>
      <c r="D104" s="5">
        <v>168.379379</v>
      </c>
      <c r="E104" s="5">
        <v>15.732308</v>
      </c>
      <c r="F104" s="5">
        <v>4783.83</v>
      </c>
      <c r="G104" s="19"/>
      <c r="H104" s="6">
        <f t="shared" si="20"/>
        <v>-3.2278053849822972E-3</v>
      </c>
      <c r="I104" s="6">
        <f t="shared" si="21"/>
        <v>-6.4994939061170766E-3</v>
      </c>
      <c r="J104" s="6">
        <f t="shared" si="22"/>
        <v>-4.2189451011928857E-3</v>
      </c>
      <c r="K104" s="6">
        <f t="shared" si="23"/>
        <v>-3.8675610583800438E-2</v>
      </c>
      <c r="L104" s="6">
        <f t="shared" si="18"/>
        <v>7.5072645194105983E-4</v>
      </c>
      <c r="M104" s="6">
        <f t="shared" si="19"/>
        <v>-4.9108656324929343E-3</v>
      </c>
      <c r="N104" s="19"/>
    </row>
    <row r="105" spans="1:14" x14ac:dyDescent="0.2">
      <c r="A105" s="4">
        <v>45303</v>
      </c>
      <c r="B105" s="5">
        <v>185.217163</v>
      </c>
      <c r="C105" s="5">
        <v>59.449500999999998</v>
      </c>
      <c r="D105" s="5">
        <v>167.143463</v>
      </c>
      <c r="E105" s="5">
        <v>15.974641999999999</v>
      </c>
      <c r="F105" s="5">
        <v>4783.83</v>
      </c>
      <c r="G105" s="19"/>
      <c r="H105" s="6">
        <f t="shared" si="20"/>
        <v>1.776525989713901E-3</v>
      </c>
      <c r="I105" s="6">
        <f t="shared" si="21"/>
        <v>9.6506195124218454E-3</v>
      </c>
      <c r="J105" s="6">
        <f t="shared" si="22"/>
        <v>-7.3671383000021009E-3</v>
      </c>
      <c r="K105" s="6">
        <f t="shared" si="23"/>
        <v>1.5286157688589852E-2</v>
      </c>
      <c r="L105" s="6">
        <f t="shared" si="18"/>
        <v>0</v>
      </c>
      <c r="M105" s="6">
        <f t="shared" si="19"/>
        <v>1.9841817873721035E-3</v>
      </c>
      <c r="N105" s="19"/>
    </row>
    <row r="106" spans="1:14" x14ac:dyDescent="0.2">
      <c r="A106" s="4">
        <v>45307</v>
      </c>
      <c r="B106" s="5">
        <v>182.935822</v>
      </c>
      <c r="C106" s="5">
        <v>59.055732999999996</v>
      </c>
      <c r="D106" s="5">
        <v>166.095428</v>
      </c>
      <c r="E106" s="5">
        <v>15.935869</v>
      </c>
      <c r="F106" s="5">
        <v>4765.9799999999996</v>
      </c>
      <c r="G106" s="19"/>
      <c r="H106" s="6">
        <f t="shared" si="20"/>
        <v>-1.2393598825964395E-2</v>
      </c>
      <c r="I106" s="6">
        <f t="shared" si="21"/>
        <v>-6.6456043485522889E-3</v>
      </c>
      <c r="J106" s="6">
        <f t="shared" si="22"/>
        <v>-6.2900128628262742E-3</v>
      </c>
      <c r="K106" s="6">
        <f t="shared" si="23"/>
        <v>-2.4301095699120847E-3</v>
      </c>
      <c r="L106" s="6">
        <f t="shared" si="18"/>
        <v>-3.7382986232446964E-3</v>
      </c>
      <c r="M106" s="6">
        <f t="shared" si="19"/>
        <v>-7.9825600119451997E-3</v>
      </c>
      <c r="N106" s="19"/>
    </row>
    <row r="107" spans="1:14" x14ac:dyDescent="0.2">
      <c r="A107" s="4">
        <v>45308</v>
      </c>
      <c r="B107" s="5">
        <v>181.98940999999999</v>
      </c>
      <c r="C107" s="5">
        <v>59.055732999999996</v>
      </c>
      <c r="D107" s="5">
        <v>165.205566</v>
      </c>
      <c r="E107" s="5">
        <v>15.906789</v>
      </c>
      <c r="F107" s="5">
        <v>4739.21</v>
      </c>
      <c r="G107" s="19"/>
      <c r="H107" s="6">
        <f t="shared" si="20"/>
        <v>-5.186893307744119E-3</v>
      </c>
      <c r="I107" s="6">
        <f t="shared" si="21"/>
        <v>0</v>
      </c>
      <c r="J107" s="6">
        <f t="shared" si="22"/>
        <v>-5.371937640172391E-3</v>
      </c>
      <c r="K107" s="6">
        <f t="shared" si="23"/>
        <v>-1.8264811991713004E-3</v>
      </c>
      <c r="L107" s="6">
        <f t="shared" si="18"/>
        <v>-5.6327271267556144E-3</v>
      </c>
      <c r="M107" s="6">
        <f t="shared" si="19"/>
        <v>-3.1040528960182764E-3</v>
      </c>
      <c r="N107" s="19"/>
    </row>
    <row r="108" spans="1:14" x14ac:dyDescent="0.2">
      <c r="A108" s="4">
        <v>45309</v>
      </c>
      <c r="B108" s="5">
        <v>187.91691599999999</v>
      </c>
      <c r="C108" s="5">
        <v>59.223083000000003</v>
      </c>
      <c r="D108" s="5">
        <v>165.53185999999999</v>
      </c>
      <c r="E108" s="5">
        <v>15.897095</v>
      </c>
      <c r="F108" s="5">
        <v>4780.9399999999996</v>
      </c>
      <c r="G108" s="19"/>
      <c r="H108" s="6">
        <f t="shared" si="20"/>
        <v>3.205143040647615E-2</v>
      </c>
      <c r="I108" s="6">
        <f t="shared" si="21"/>
        <v>2.8297562882526783E-3</v>
      </c>
      <c r="J108" s="6">
        <f t="shared" si="22"/>
        <v>1.9731308295413211E-3</v>
      </c>
      <c r="K108" s="6">
        <f t="shared" si="23"/>
        <v>-6.0961109656987951E-4</v>
      </c>
      <c r="L108" s="6">
        <f t="shared" si="18"/>
        <v>8.7667247395320728E-3</v>
      </c>
      <c r="M108" s="6">
        <f t="shared" si="19"/>
        <v>9.9436199884014118E-3</v>
      </c>
      <c r="N108" s="19"/>
    </row>
    <row r="109" spans="1:14" x14ac:dyDescent="0.2">
      <c r="A109" s="4">
        <v>45310</v>
      </c>
      <c r="B109" s="5">
        <v>190.83583100000001</v>
      </c>
      <c r="C109" s="5">
        <v>58.898228000000003</v>
      </c>
      <c r="D109" s="5">
        <v>168.389252</v>
      </c>
      <c r="E109" s="5">
        <v>16.158815000000001</v>
      </c>
      <c r="F109" s="5">
        <v>4839.8100000000004</v>
      </c>
      <c r="G109" s="19"/>
      <c r="H109" s="6">
        <f t="shared" si="20"/>
        <v>1.5413605907075779E-2</v>
      </c>
      <c r="I109" s="6">
        <f t="shared" si="21"/>
        <v>-5.5003761178523645E-3</v>
      </c>
      <c r="J109" s="6">
        <f t="shared" si="22"/>
        <v>1.7114591700558776E-2</v>
      </c>
      <c r="K109" s="6">
        <f t="shared" si="23"/>
        <v>1.6329333065123283E-2</v>
      </c>
      <c r="L109" s="6">
        <f t="shared" si="18"/>
        <v>1.2238283870230153E-2</v>
      </c>
      <c r="M109" s="6">
        <f t="shared" si="19"/>
        <v>7.3337121227317285E-3</v>
      </c>
      <c r="N109" s="19"/>
    </row>
    <row r="110" spans="1:14" x14ac:dyDescent="0.2">
      <c r="A110" s="4">
        <v>45313</v>
      </c>
      <c r="B110" s="5">
        <v>193.157028</v>
      </c>
      <c r="C110" s="5">
        <v>58.642273000000003</v>
      </c>
      <c r="D110" s="5">
        <v>168.19151299999999</v>
      </c>
      <c r="E110" s="5">
        <v>16.284828000000001</v>
      </c>
      <c r="F110" s="5">
        <v>4850.43</v>
      </c>
      <c r="G110" s="19"/>
      <c r="H110" s="6">
        <f t="shared" si="20"/>
        <v>1.2089939794405298E-2</v>
      </c>
      <c r="I110" s="6">
        <f t="shared" si="21"/>
        <v>-4.3551865509223759E-3</v>
      </c>
      <c r="J110" s="6">
        <f t="shared" si="22"/>
        <v>-1.1749870658817193E-3</v>
      </c>
      <c r="K110" s="6">
        <f t="shared" si="23"/>
        <v>7.7681556093607577E-3</v>
      </c>
      <c r="L110" s="6">
        <f t="shared" si="18"/>
        <v>2.1918970535104105E-3</v>
      </c>
      <c r="M110" s="6">
        <f t="shared" si="19"/>
        <v>8.6905526510453173E-4</v>
      </c>
      <c r="N110" s="19"/>
    </row>
    <row r="111" spans="1:14" x14ac:dyDescent="0.2">
      <c r="A111" s="4">
        <v>45314</v>
      </c>
      <c r="B111" s="5">
        <v>194.44215399999999</v>
      </c>
      <c r="C111" s="5">
        <v>58.917907999999997</v>
      </c>
      <c r="D111" s="5">
        <v>167.08415199999999</v>
      </c>
      <c r="E111" s="5">
        <v>16.662870000000002</v>
      </c>
      <c r="F111" s="5">
        <v>4864.6000000000004</v>
      </c>
      <c r="G111" s="19"/>
      <c r="H111" s="6">
        <f t="shared" si="20"/>
        <v>6.6312354047433934E-3</v>
      </c>
      <c r="I111" s="6">
        <f t="shared" si="21"/>
        <v>4.6892664291325829E-3</v>
      </c>
      <c r="J111" s="6">
        <f t="shared" si="22"/>
        <v>-6.605698786174531E-3</v>
      </c>
      <c r="K111" s="6">
        <f t="shared" si="23"/>
        <v>2.2949014004003898E-2</v>
      </c>
      <c r="L111" s="6">
        <f t="shared" si="18"/>
        <v>2.917131506229948E-3</v>
      </c>
      <c r="M111" s="6">
        <f t="shared" si="19"/>
        <v>1.4160146009409486E-3</v>
      </c>
      <c r="N111" s="19"/>
    </row>
    <row r="112" spans="1:14" x14ac:dyDescent="0.2">
      <c r="A112" s="4">
        <v>45315</v>
      </c>
      <c r="B112" s="5">
        <v>193.764725</v>
      </c>
      <c r="C112" s="5">
        <v>57.992553999999998</v>
      </c>
      <c r="D112" s="5">
        <v>168.57711800000001</v>
      </c>
      <c r="E112" s="5">
        <v>16.168510000000001</v>
      </c>
      <c r="F112" s="5">
        <v>4868.55</v>
      </c>
      <c r="G112" s="19"/>
      <c r="H112" s="6">
        <f t="shared" si="20"/>
        <v>-3.4900447377881711E-3</v>
      </c>
      <c r="I112" s="6">
        <f t="shared" si="21"/>
        <v>-1.5830462198802939E-2</v>
      </c>
      <c r="J112" s="6">
        <f t="shared" si="22"/>
        <v>8.8957289910188905E-3</v>
      </c>
      <c r="K112" s="6">
        <f t="shared" si="23"/>
        <v>-3.011736741564745E-2</v>
      </c>
      <c r="L112" s="6">
        <f t="shared" si="18"/>
        <v>8.1165916827587409E-4</v>
      </c>
      <c r="M112" s="6">
        <f t="shared" si="19"/>
        <v>-4.4635992841627753E-3</v>
      </c>
      <c r="N112" s="19"/>
    </row>
    <row r="113" spans="1:14" x14ac:dyDescent="0.2">
      <c r="A113" s="4">
        <v>45316</v>
      </c>
      <c r="B113" s="5">
        <v>193.43598900000001</v>
      </c>
      <c r="C113" s="5">
        <v>58.238658999999998</v>
      </c>
      <c r="D113" s="5">
        <v>170.98959400000001</v>
      </c>
      <c r="E113" s="5">
        <v>16.653176999999999</v>
      </c>
      <c r="F113" s="5">
        <v>4894.16</v>
      </c>
      <c r="G113" s="19"/>
      <c r="H113" s="6">
        <f t="shared" si="20"/>
        <v>-1.6980138057580752E-3</v>
      </c>
      <c r="I113" s="6">
        <f t="shared" si="21"/>
        <v>4.2347552165082781E-3</v>
      </c>
      <c r="J113" s="6">
        <f t="shared" si="22"/>
        <v>1.4209382167514918E-2</v>
      </c>
      <c r="K113" s="6">
        <f t="shared" si="23"/>
        <v>2.9535485641168389E-2</v>
      </c>
      <c r="L113" s="6">
        <f t="shared" si="18"/>
        <v>5.2465060919916033E-3</v>
      </c>
      <c r="M113" s="6">
        <f t="shared" si="19"/>
        <v>6.0573583178825108E-3</v>
      </c>
      <c r="N113" s="19"/>
    </row>
    <row r="114" spans="1:14" x14ac:dyDescent="0.2">
      <c r="A114" s="4">
        <v>45317</v>
      </c>
      <c r="B114" s="5">
        <v>191.69258099999999</v>
      </c>
      <c r="C114" s="5">
        <v>58.445385000000002</v>
      </c>
      <c r="D114" s="5">
        <v>170.337051</v>
      </c>
      <c r="E114" s="5">
        <v>16.759803999999999</v>
      </c>
      <c r="F114" s="5">
        <v>4890.97</v>
      </c>
      <c r="G114" s="19"/>
      <c r="H114" s="6">
        <f t="shared" si="20"/>
        <v>-9.053703332614238E-3</v>
      </c>
      <c r="I114" s="6">
        <f t="shared" si="21"/>
        <v>3.5433502166368901E-3</v>
      </c>
      <c r="J114" s="6">
        <f t="shared" si="22"/>
        <v>-3.8235737207052796E-3</v>
      </c>
      <c r="K114" s="6">
        <f t="shared" si="23"/>
        <v>6.382391439619532E-3</v>
      </c>
      <c r="L114" s="6">
        <f t="shared" si="18"/>
        <v>-6.52009756234213E-4</v>
      </c>
      <c r="M114" s="6">
        <f t="shared" si="19"/>
        <v>-2.1020721228976096E-3</v>
      </c>
      <c r="N114" s="19"/>
    </row>
    <row r="115" spans="1:14" x14ac:dyDescent="0.2">
      <c r="A115" s="4">
        <v>45320</v>
      </c>
      <c r="B115" s="5">
        <v>191.005188</v>
      </c>
      <c r="C115" s="5">
        <v>58.799782</v>
      </c>
      <c r="D115" s="5">
        <v>170.78196700000001</v>
      </c>
      <c r="E115" s="5">
        <v>16.721031</v>
      </c>
      <c r="F115" s="5">
        <v>4927.93</v>
      </c>
      <c r="G115" s="19"/>
      <c r="H115" s="6">
        <f t="shared" si="20"/>
        <v>-3.5923582258243084E-3</v>
      </c>
      <c r="I115" s="6">
        <f t="shared" si="21"/>
        <v>6.045418986824742E-3</v>
      </c>
      <c r="J115" s="6">
        <f t="shared" si="22"/>
        <v>2.608569026138582E-3</v>
      </c>
      <c r="K115" s="6">
        <f t="shared" si="23"/>
        <v>-2.3161320398991719E-3</v>
      </c>
      <c r="L115" s="6">
        <f t="shared" si="18"/>
        <v>7.5283737614565433E-3</v>
      </c>
      <c r="M115" s="6">
        <f t="shared" si="19"/>
        <v>2.4593590767982114E-3</v>
      </c>
      <c r="N115" s="19"/>
    </row>
    <row r="116" spans="1:14" x14ac:dyDescent="0.2">
      <c r="A116" s="4">
        <v>45321</v>
      </c>
      <c r="B116" s="5">
        <v>187.32914700000001</v>
      </c>
      <c r="C116" s="5">
        <v>58.967132999999997</v>
      </c>
      <c r="D116" s="5">
        <v>174.282059</v>
      </c>
      <c r="E116" s="5">
        <v>16.992445</v>
      </c>
      <c r="F116" s="5">
        <v>4924.97</v>
      </c>
      <c r="G116" s="19"/>
      <c r="H116" s="6">
        <f t="shared" si="20"/>
        <v>-1.9433375980611085E-2</v>
      </c>
      <c r="I116" s="6">
        <f t="shared" si="21"/>
        <v>2.842073474480988E-3</v>
      </c>
      <c r="J116" s="6">
        <f t="shared" si="22"/>
        <v>2.0287319345977977E-2</v>
      </c>
      <c r="K116" s="6">
        <f t="shared" si="23"/>
        <v>1.610156507641821E-2</v>
      </c>
      <c r="L116" s="6">
        <f t="shared" si="18"/>
        <v>-6.0083834993726029E-4</v>
      </c>
      <c r="M116" s="6">
        <f t="shared" si="19"/>
        <v>3.0166501535464438E-3</v>
      </c>
      <c r="N116" s="19"/>
    </row>
    <row r="117" spans="1:14" x14ac:dyDescent="0.2">
      <c r="A117" s="4">
        <v>45322</v>
      </c>
      <c r="B117" s="5">
        <v>183.702911</v>
      </c>
      <c r="C117" s="5">
        <v>58.563518999999999</v>
      </c>
      <c r="D117" s="5">
        <v>172.393585</v>
      </c>
      <c r="E117" s="5">
        <v>17.147537</v>
      </c>
      <c r="F117" s="5">
        <v>4845.6499999999996</v>
      </c>
      <c r="G117" s="19"/>
      <c r="H117" s="6">
        <f t="shared" si="20"/>
        <v>-1.9547375416428876E-2</v>
      </c>
      <c r="I117" s="6">
        <f t="shared" si="21"/>
        <v>-6.8682608284900979E-3</v>
      </c>
      <c r="J117" s="6">
        <f t="shared" si="22"/>
        <v>-1.0894867940747696E-2</v>
      </c>
      <c r="K117" s="6">
        <f t="shared" si="23"/>
        <v>9.08571462661973E-3</v>
      </c>
      <c r="L117" s="6">
        <f t="shared" si="18"/>
        <v>-1.6236787963987382E-2</v>
      </c>
      <c r="M117" s="6">
        <f t="shared" si="19"/>
        <v>-1.142102296539693E-2</v>
      </c>
      <c r="N117" s="19"/>
    </row>
    <row r="118" spans="1:14" x14ac:dyDescent="0.2">
      <c r="A118" s="4">
        <v>45323</v>
      </c>
      <c r="B118" s="5">
        <v>186.15362500000001</v>
      </c>
      <c r="C118" s="5">
        <v>60.030315000000002</v>
      </c>
      <c r="D118" s="5">
        <v>171.770691</v>
      </c>
      <c r="E118" s="5">
        <v>17.486806999999999</v>
      </c>
      <c r="F118" s="5">
        <v>4906.1899999999996</v>
      </c>
      <c r="G118" s="19"/>
      <c r="H118" s="6">
        <f t="shared" si="20"/>
        <v>1.3252435087594459E-2</v>
      </c>
      <c r="I118" s="6">
        <f t="shared" si="21"/>
        <v>2.4737724565590001E-2</v>
      </c>
      <c r="J118" s="6">
        <f t="shared" si="22"/>
        <v>-3.6197520984293389E-3</v>
      </c>
      <c r="K118" s="6">
        <f t="shared" si="23"/>
        <v>1.9592162762490182E-2</v>
      </c>
      <c r="L118" s="6">
        <f t="shared" si="18"/>
        <v>1.2416277903485802E-2</v>
      </c>
      <c r="M118" s="6">
        <f t="shared" si="19"/>
        <v>1.2376965034612769E-2</v>
      </c>
      <c r="N118" s="19"/>
    </row>
    <row r="119" spans="1:14" x14ac:dyDescent="0.2">
      <c r="A119" s="4">
        <v>45324</v>
      </c>
      <c r="B119" s="5">
        <v>185.14743000000001</v>
      </c>
      <c r="C119" s="5">
        <v>59.597168000000003</v>
      </c>
      <c r="D119" s="5">
        <v>172.75941499999999</v>
      </c>
      <c r="E119" s="5">
        <v>17.283245000000001</v>
      </c>
      <c r="F119" s="5">
        <v>4958.6099999999997</v>
      </c>
      <c r="G119" s="19"/>
      <c r="H119" s="6">
        <f t="shared" si="20"/>
        <v>-5.4198470459970276E-3</v>
      </c>
      <c r="I119" s="6">
        <f t="shared" si="21"/>
        <v>-7.2416284624734579E-3</v>
      </c>
      <c r="J119" s="6">
        <f t="shared" si="22"/>
        <v>5.7395664242008678E-3</v>
      </c>
      <c r="K119" s="6">
        <f t="shared" si="23"/>
        <v>-1.1709175802896356E-2</v>
      </c>
      <c r="L119" s="6">
        <f t="shared" si="18"/>
        <v>1.0627786351803241E-2</v>
      </c>
      <c r="M119" s="6">
        <f t="shared" si="19"/>
        <v>-2.4532566977296302E-3</v>
      </c>
      <c r="N119" s="19"/>
    </row>
    <row r="120" spans="1:14" x14ac:dyDescent="0.2">
      <c r="A120" s="4">
        <v>45327</v>
      </c>
      <c r="B120" s="5">
        <v>186.970505</v>
      </c>
      <c r="C120" s="5">
        <v>59.104953999999999</v>
      </c>
      <c r="D120" s="5">
        <v>172.53201300000001</v>
      </c>
      <c r="E120" s="5">
        <v>17.186309999999999</v>
      </c>
      <c r="F120" s="5">
        <v>4942.8100000000004</v>
      </c>
      <c r="G120" s="19"/>
      <c r="H120" s="6">
        <f t="shared" si="20"/>
        <v>9.7984505156412712E-3</v>
      </c>
      <c r="I120" s="6">
        <f t="shared" si="21"/>
        <v>-8.2933112377348989E-3</v>
      </c>
      <c r="J120" s="6">
        <f t="shared" si="22"/>
        <v>-1.3171600244696804E-3</v>
      </c>
      <c r="K120" s="6">
        <f t="shared" si="23"/>
        <v>-5.6243984313423317E-3</v>
      </c>
      <c r="L120" s="6">
        <f t="shared" si="18"/>
        <v>-3.191464135615035E-3</v>
      </c>
      <c r="M120" s="6">
        <f t="shared" si="19"/>
        <v>-1.3867966086049256E-3</v>
      </c>
      <c r="N120" s="19"/>
    </row>
    <row r="121" spans="1:14" x14ac:dyDescent="0.2">
      <c r="A121" s="4">
        <v>45328</v>
      </c>
      <c r="B121" s="5">
        <v>188.58438100000001</v>
      </c>
      <c r="C121" s="5">
        <v>59.006512000000001</v>
      </c>
      <c r="D121" s="5">
        <v>173.12524400000001</v>
      </c>
      <c r="E121" s="5">
        <v>17.069991999999999</v>
      </c>
      <c r="F121" s="5">
        <v>4954.2299999999996</v>
      </c>
      <c r="G121" s="19"/>
      <c r="H121" s="6">
        <f t="shared" si="20"/>
        <v>8.5946741458582179E-3</v>
      </c>
      <c r="I121" s="6">
        <f t="shared" si="21"/>
        <v>-1.6669342296507035E-3</v>
      </c>
      <c r="J121" s="6">
        <f t="shared" si="22"/>
        <v>3.4324844651034197E-3</v>
      </c>
      <c r="K121" s="6">
        <f t="shared" si="23"/>
        <v>-6.7910685184317367E-3</v>
      </c>
      <c r="L121" s="6">
        <f t="shared" si="18"/>
        <v>2.3077617284261594E-3</v>
      </c>
      <c r="M121" s="6">
        <f t="shared" si="19"/>
        <v>2.6312797889606865E-3</v>
      </c>
      <c r="N121" s="19"/>
    </row>
    <row r="122" spans="1:14" x14ac:dyDescent="0.2">
      <c r="A122" s="4">
        <v>45329</v>
      </c>
      <c r="B122" s="5">
        <v>188.69397000000001</v>
      </c>
      <c r="C122" s="5">
        <v>59.055732999999996</v>
      </c>
      <c r="D122" s="5">
        <v>173.45150799999999</v>
      </c>
      <c r="E122" s="5">
        <v>16.798576000000001</v>
      </c>
      <c r="F122" s="5">
        <v>4995.0600000000004</v>
      </c>
      <c r="G122" s="19"/>
      <c r="H122" s="6">
        <f t="shared" si="20"/>
        <v>5.8094509155742779E-4</v>
      </c>
      <c r="I122" s="6">
        <f t="shared" si="21"/>
        <v>8.3381444850086286E-4</v>
      </c>
      <c r="J122" s="6">
        <f t="shared" si="22"/>
        <v>1.8827811992427708E-3</v>
      </c>
      <c r="K122" s="6">
        <f t="shared" si="23"/>
        <v>-1.6027947235816124E-2</v>
      </c>
      <c r="L122" s="6">
        <f t="shared" si="18"/>
        <v>8.2076669213310503E-3</v>
      </c>
      <c r="M122" s="6">
        <f t="shared" si="19"/>
        <v>1.1194395432603953E-3</v>
      </c>
      <c r="N122" s="19"/>
    </row>
    <row r="123" spans="1:14" x14ac:dyDescent="0.2">
      <c r="A123" s="4">
        <v>45330</v>
      </c>
      <c r="B123" s="5">
        <v>187.608093</v>
      </c>
      <c r="C123" s="5">
        <v>58.898228000000003</v>
      </c>
      <c r="D123" s="5">
        <v>172.82862900000001</v>
      </c>
      <c r="E123" s="5">
        <v>16.304216</v>
      </c>
      <c r="F123" s="5">
        <v>4997.91</v>
      </c>
      <c r="G123" s="19"/>
      <c r="H123" s="6">
        <f t="shared" si="20"/>
        <v>-5.7713210785359176E-3</v>
      </c>
      <c r="I123" s="6">
        <f t="shared" si="21"/>
        <v>-2.670619829599635E-3</v>
      </c>
      <c r="J123" s="6">
        <f t="shared" si="22"/>
        <v>-3.5975477957779409E-3</v>
      </c>
      <c r="K123" s="6">
        <f t="shared" si="23"/>
        <v>-2.9870396236716779E-2</v>
      </c>
      <c r="L123" s="6">
        <f t="shared" si="18"/>
        <v>5.7040100736248747E-4</v>
      </c>
      <c r="M123" s="6">
        <f t="shared" si="19"/>
        <v>-3.7647442263305923E-3</v>
      </c>
      <c r="N123" s="19"/>
    </row>
    <row r="124" spans="1:14" x14ac:dyDescent="0.2">
      <c r="A124" s="4">
        <v>45331</v>
      </c>
      <c r="B124" s="5">
        <v>188.37616</v>
      </c>
      <c r="C124" s="5">
        <v>58.632430999999997</v>
      </c>
      <c r="D124" s="5">
        <v>173.03625500000001</v>
      </c>
      <c r="E124" s="5">
        <v>16.323602999999999</v>
      </c>
      <c r="F124" s="5">
        <v>5026.6099999999997</v>
      </c>
      <c r="G124" s="19"/>
      <c r="H124" s="6">
        <f t="shared" si="20"/>
        <v>4.0856395568765842E-3</v>
      </c>
      <c r="I124" s="6">
        <f t="shared" si="21"/>
        <v>-4.5230317841640829E-3</v>
      </c>
      <c r="J124" s="6">
        <f t="shared" si="22"/>
        <v>1.200619285424928E-3</v>
      </c>
      <c r="K124" s="6">
        <f t="shared" si="23"/>
        <v>1.1883725529783697E-3</v>
      </c>
      <c r="L124" s="6">
        <f t="shared" si="18"/>
        <v>5.7259755908601927E-3</v>
      </c>
      <c r="M124" s="6">
        <f t="shared" si="19"/>
        <v>-4.3529090807793724E-4</v>
      </c>
      <c r="N124" s="19"/>
    </row>
    <row r="125" spans="1:14" x14ac:dyDescent="0.2">
      <c r="A125" s="4">
        <v>45334</v>
      </c>
      <c r="B125" s="5">
        <v>186.68042</v>
      </c>
      <c r="C125" s="5">
        <v>58.770248000000002</v>
      </c>
      <c r="D125" s="5">
        <v>173.80744899999999</v>
      </c>
      <c r="E125" s="5">
        <v>16.498085</v>
      </c>
      <c r="F125" s="5">
        <v>5021.84</v>
      </c>
      <c r="G125" s="19"/>
      <c r="H125" s="6">
        <f t="shared" si="20"/>
        <v>-9.0426439389799818E-3</v>
      </c>
      <c r="I125" s="6">
        <f t="shared" si="21"/>
        <v>2.3477669245357624E-3</v>
      </c>
      <c r="J125" s="6">
        <f t="shared" si="22"/>
        <v>4.4469325058092328E-3</v>
      </c>
      <c r="K125" s="6">
        <f t="shared" si="23"/>
        <v>1.0632216336701443E-2</v>
      </c>
      <c r="L125" s="6">
        <f t="shared" si="18"/>
        <v>-9.4940022755554091E-4</v>
      </c>
      <c r="M125" s="6">
        <f t="shared" si="19"/>
        <v>1.6325086791128796E-4</v>
      </c>
      <c r="N125" s="19"/>
    </row>
    <row r="126" spans="1:14" x14ac:dyDescent="0.2">
      <c r="A126" s="4">
        <v>45335</v>
      </c>
      <c r="B126" s="5">
        <v>184.575714</v>
      </c>
      <c r="C126" s="5">
        <v>58.425697</v>
      </c>
      <c r="D126" s="5">
        <v>172.29470800000001</v>
      </c>
      <c r="E126" s="5">
        <v>16.381762999999999</v>
      </c>
      <c r="F126" s="5">
        <v>4953.17</v>
      </c>
      <c r="G126" s="19"/>
      <c r="H126" s="6">
        <f t="shared" si="20"/>
        <v>-1.133841763443315E-2</v>
      </c>
      <c r="I126" s="6">
        <f t="shared" si="21"/>
        <v>-5.8799302773867674E-3</v>
      </c>
      <c r="J126" s="6">
        <f t="shared" si="22"/>
        <v>-8.7416423305419957E-3</v>
      </c>
      <c r="K126" s="6">
        <f t="shared" si="23"/>
        <v>-7.075609674194675E-3</v>
      </c>
      <c r="L126" s="6">
        <f t="shared" si="18"/>
        <v>-1.3768624761212093E-2</v>
      </c>
      <c r="M126" s="6">
        <f t="shared" si="19"/>
        <v>-8.2160130099941525E-3</v>
      </c>
      <c r="N126" s="19"/>
    </row>
    <row r="127" spans="1:14" x14ac:dyDescent="0.2">
      <c r="A127" s="4">
        <v>45336</v>
      </c>
      <c r="B127" s="5">
        <v>183.68794299999999</v>
      </c>
      <c r="C127" s="5">
        <v>58.366633999999998</v>
      </c>
      <c r="D127" s="5">
        <v>174.04473899999999</v>
      </c>
      <c r="E127" s="5">
        <v>16.391455000000001</v>
      </c>
      <c r="F127" s="5">
        <v>5000.62</v>
      </c>
      <c r="G127" s="19"/>
      <c r="H127" s="6">
        <f t="shared" si="20"/>
        <v>-4.8213974030586366E-3</v>
      </c>
      <c r="I127" s="6">
        <f t="shared" si="21"/>
        <v>-1.0114192349661964E-3</v>
      </c>
      <c r="J127" s="6">
        <f t="shared" si="22"/>
        <v>1.0105957663276266E-2</v>
      </c>
      <c r="K127" s="6">
        <f t="shared" si="23"/>
        <v>5.9145856733030231E-4</v>
      </c>
      <c r="L127" s="6">
        <f t="shared" si="18"/>
        <v>9.5341290968955009E-3</v>
      </c>
      <c r="M127" s="6">
        <f t="shared" si="19"/>
        <v>1.729626012730032E-3</v>
      </c>
      <c r="N127" s="19"/>
    </row>
    <row r="128" spans="1:14" x14ac:dyDescent="0.2">
      <c r="A128" s="4">
        <v>45337</v>
      </c>
      <c r="B128" s="5">
        <v>183.39868200000001</v>
      </c>
      <c r="C128" s="5">
        <v>58.474921999999999</v>
      </c>
      <c r="D128" s="5">
        <v>177.84144599999999</v>
      </c>
      <c r="E128" s="5">
        <v>16.565937000000002</v>
      </c>
      <c r="F128" s="5">
        <v>5029.7299999999996</v>
      </c>
      <c r="G128" s="19"/>
      <c r="H128" s="6">
        <f t="shared" si="20"/>
        <v>-1.5759825619922172E-3</v>
      </c>
      <c r="I128" s="6">
        <f t="shared" si="21"/>
        <v>1.8535876226185115E-3</v>
      </c>
      <c r="J128" s="6">
        <f t="shared" si="22"/>
        <v>2.1580013672744289E-2</v>
      </c>
      <c r="K128" s="6">
        <f t="shared" si="23"/>
        <v>1.0588436740846002E-2</v>
      </c>
      <c r="L128" s="6">
        <f t="shared" si="18"/>
        <v>5.8043999917945753E-3</v>
      </c>
      <c r="M128" s="6">
        <f t="shared" si="19"/>
        <v>7.560642786482402E-3</v>
      </c>
      <c r="N128" s="19"/>
    </row>
    <row r="129" spans="1:14" x14ac:dyDescent="0.2">
      <c r="A129" s="4">
        <v>45338</v>
      </c>
      <c r="B129" s="5">
        <v>181.852554</v>
      </c>
      <c r="C129" s="5">
        <v>58.465076000000003</v>
      </c>
      <c r="D129" s="5">
        <v>177.01091</v>
      </c>
      <c r="E129" s="5">
        <v>16.449615000000001</v>
      </c>
      <c r="F129" s="5">
        <v>5005.57</v>
      </c>
      <c r="G129" s="19"/>
      <c r="H129" s="6">
        <f t="shared" si="20"/>
        <v>-8.4661574423176515E-3</v>
      </c>
      <c r="I129" s="6">
        <f t="shared" si="21"/>
        <v>-1.6839405150777205E-4</v>
      </c>
      <c r="J129" s="6">
        <f t="shared" si="22"/>
        <v>-4.6810314347300336E-3</v>
      </c>
      <c r="K129" s="6">
        <f t="shared" si="23"/>
        <v>-7.0465265167247411E-3</v>
      </c>
      <c r="L129" s="6">
        <f t="shared" si="18"/>
        <v>-4.8150123419915631E-3</v>
      </c>
      <c r="M129" s="6">
        <f t="shared" si="19"/>
        <v>-3.7737365619512396E-3</v>
      </c>
      <c r="N129" s="19"/>
    </row>
    <row r="130" spans="1:14" x14ac:dyDescent="0.2">
      <c r="A130" s="4">
        <v>45342</v>
      </c>
      <c r="B130" s="5">
        <v>181.104446</v>
      </c>
      <c r="C130" s="5">
        <v>59.754677000000001</v>
      </c>
      <c r="D130" s="5">
        <v>177.70301799999999</v>
      </c>
      <c r="E130" s="5">
        <v>16.391455000000001</v>
      </c>
      <c r="F130" s="5">
        <v>5005.57</v>
      </c>
      <c r="G130" s="19"/>
      <c r="H130" s="6">
        <f t="shared" ref="H130:H161" si="24">LN(B130/B129)</f>
        <v>-4.1223013161664603E-3</v>
      </c>
      <c r="I130" s="6">
        <f t="shared" ref="I130:I161" si="25">LN(C130/C129)</f>
        <v>2.181787938436186E-2</v>
      </c>
      <c r="J130" s="6">
        <f t="shared" ref="J130:J161" si="26">LN(D130/D129)</f>
        <v>3.9023496044056838E-3</v>
      </c>
      <c r="K130" s="6">
        <f t="shared" ref="K130:K161" si="27">LN(E130/E129)</f>
        <v>-3.5419102241213379E-3</v>
      </c>
      <c r="L130" s="6">
        <f t="shared" ref="L130:L193" si="28">LN(F130/F129)</f>
        <v>0</v>
      </c>
      <c r="M130" s="6">
        <f t="shared" si="19"/>
        <v>9.2775556275038543E-3</v>
      </c>
      <c r="N130" s="19"/>
    </row>
    <row r="131" spans="1:14" x14ac:dyDescent="0.2">
      <c r="A131" s="4">
        <v>45343</v>
      </c>
      <c r="B131" s="5">
        <v>181.862549</v>
      </c>
      <c r="C131" s="5">
        <v>60.286265999999998</v>
      </c>
      <c r="D131" s="5">
        <v>178.85983300000001</v>
      </c>
      <c r="E131" s="5">
        <v>16.478697</v>
      </c>
      <c r="F131" s="5">
        <v>4975.51</v>
      </c>
      <c r="G131" s="19"/>
      <c r="H131" s="6">
        <f t="shared" si="24"/>
        <v>4.1772619153831059E-3</v>
      </c>
      <c r="I131" s="6">
        <f t="shared" si="25"/>
        <v>8.8568526987604264E-3</v>
      </c>
      <c r="J131" s="6">
        <f t="shared" si="26"/>
        <v>6.4887245296995355E-3</v>
      </c>
      <c r="K131" s="6">
        <f t="shared" si="27"/>
        <v>5.3082933634442889E-3</v>
      </c>
      <c r="L131" s="6">
        <f t="shared" si="28"/>
        <v>-6.0234144772223523E-3</v>
      </c>
      <c r="M131" s="6">
        <f t="shared" si="19"/>
        <v>6.882527432576396E-3</v>
      </c>
      <c r="N131" s="19"/>
    </row>
    <row r="132" spans="1:14" x14ac:dyDescent="0.2">
      <c r="A132" s="4">
        <v>45344</v>
      </c>
      <c r="B132" s="5">
        <v>183.90739400000001</v>
      </c>
      <c r="C132" s="5">
        <v>60.197665999999998</v>
      </c>
      <c r="D132" s="5">
        <v>181.00535600000001</v>
      </c>
      <c r="E132" s="5">
        <v>16.081268000000001</v>
      </c>
      <c r="F132" s="5">
        <v>4981.8</v>
      </c>
      <c r="G132" s="19"/>
      <c r="H132" s="6">
        <f t="shared" si="24"/>
        <v>1.118116096025438E-2</v>
      </c>
      <c r="I132" s="6">
        <f t="shared" si="25"/>
        <v>-1.4707357985398316E-3</v>
      </c>
      <c r="J132" s="6">
        <f t="shared" si="26"/>
        <v>1.1924178761792791E-2</v>
      </c>
      <c r="K132" s="6">
        <f t="shared" si="27"/>
        <v>-2.4413339458236528E-2</v>
      </c>
      <c r="L132" s="6">
        <f t="shared" si="28"/>
        <v>1.2633935945864823E-3</v>
      </c>
      <c r="M132" s="6">
        <f t="shared" ref="M132:M195" si="29">+SUMPRODUCT(H132:K132,$P$13:$S$13)</f>
        <v>6.1979048879272566E-3</v>
      </c>
      <c r="N132" s="19"/>
    </row>
    <row r="133" spans="1:14" x14ac:dyDescent="0.2">
      <c r="A133" s="4">
        <v>45345</v>
      </c>
      <c r="B133" s="5">
        <v>182.06204199999999</v>
      </c>
      <c r="C133" s="5">
        <v>60.246890999999998</v>
      </c>
      <c r="D133" s="5">
        <v>181.91499300000001</v>
      </c>
      <c r="E133" s="5">
        <v>16.284828000000001</v>
      </c>
      <c r="F133" s="5">
        <v>5087.03</v>
      </c>
      <c r="G133" s="19"/>
      <c r="H133" s="6">
        <f t="shared" si="24"/>
        <v>-1.0084818339197638E-2</v>
      </c>
      <c r="I133" s="6">
        <f t="shared" si="25"/>
        <v>8.1738858055153973E-4</v>
      </c>
      <c r="J133" s="6">
        <f t="shared" si="26"/>
        <v>5.0128845481506338E-3</v>
      </c>
      <c r="K133" s="6">
        <f t="shared" si="27"/>
        <v>1.2578760442407045E-2</v>
      </c>
      <c r="L133" s="6">
        <f t="shared" si="28"/>
        <v>2.0902891694828028E-2</v>
      </c>
      <c r="M133" s="6">
        <f t="shared" si="29"/>
        <v>-5.4472914531071169E-4</v>
      </c>
      <c r="N133" s="19"/>
    </row>
    <row r="134" spans="1:14" x14ac:dyDescent="0.2">
      <c r="A134" s="4">
        <v>45348</v>
      </c>
      <c r="B134" s="5">
        <v>180.70545999999999</v>
      </c>
      <c r="C134" s="5">
        <v>59.764519</v>
      </c>
      <c r="D134" s="5">
        <v>181.29208399999999</v>
      </c>
      <c r="E134" s="5">
        <v>16.090962999999999</v>
      </c>
      <c r="F134" s="5">
        <v>5088.8</v>
      </c>
      <c r="G134" s="19"/>
      <c r="H134" s="6">
        <f t="shared" si="24"/>
        <v>-7.479106127821062E-3</v>
      </c>
      <c r="I134" s="6">
        <f t="shared" si="25"/>
        <v>-8.0388122707836501E-3</v>
      </c>
      <c r="J134" s="6">
        <f t="shared" si="26"/>
        <v>-3.4300521667624483E-3</v>
      </c>
      <c r="K134" s="6">
        <f t="shared" si="27"/>
        <v>-1.1976066753339242E-2</v>
      </c>
      <c r="L134" s="6">
        <f t="shared" si="28"/>
        <v>3.4788317372660206E-4</v>
      </c>
      <c r="M134" s="6">
        <f t="shared" si="29"/>
        <v>-6.360831490096119E-3</v>
      </c>
      <c r="N134" s="19"/>
    </row>
    <row r="135" spans="1:14" x14ac:dyDescent="0.2">
      <c r="A135" s="4">
        <v>45349</v>
      </c>
      <c r="B135" s="5">
        <v>182.17176799999999</v>
      </c>
      <c r="C135" s="5">
        <v>59.400280000000002</v>
      </c>
      <c r="D135" s="5">
        <v>181.38107299999999</v>
      </c>
      <c r="E135" s="5">
        <v>16.31391</v>
      </c>
      <c r="F135" s="5">
        <v>5069.53</v>
      </c>
      <c r="G135" s="19"/>
      <c r="H135" s="6">
        <f t="shared" si="24"/>
        <v>8.0816092470088127E-3</v>
      </c>
      <c r="I135" s="6">
        <f t="shared" si="25"/>
        <v>-6.1132169466150627E-3</v>
      </c>
      <c r="J135" s="6">
        <f t="shared" si="26"/>
        <v>4.9073938927271261E-4</v>
      </c>
      <c r="K135" s="6">
        <f t="shared" si="27"/>
        <v>1.3760308076745754E-2</v>
      </c>
      <c r="L135" s="6">
        <f t="shared" si="28"/>
        <v>-3.7939352461026604E-3</v>
      </c>
      <c r="M135" s="6">
        <f t="shared" si="29"/>
        <v>-3.1753511721015155E-4</v>
      </c>
      <c r="N135" s="19"/>
    </row>
    <row r="136" spans="1:14" x14ac:dyDescent="0.2">
      <c r="A136" s="4">
        <v>45350</v>
      </c>
      <c r="B136" s="5">
        <v>180.964798</v>
      </c>
      <c r="C136" s="5">
        <v>59.459347000000001</v>
      </c>
      <c r="D136" s="5">
        <v>182.30058299999999</v>
      </c>
      <c r="E136" s="5">
        <v>16.439921999999999</v>
      </c>
      <c r="F136" s="5">
        <v>5078.18</v>
      </c>
      <c r="G136" s="19"/>
      <c r="H136" s="6">
        <f t="shared" si="24"/>
        <v>-6.647496052951337E-3</v>
      </c>
      <c r="I136" s="6">
        <f t="shared" si="25"/>
        <v>9.9389517455469021E-4</v>
      </c>
      <c r="J136" s="6">
        <f t="shared" si="26"/>
        <v>5.0566859458387667E-3</v>
      </c>
      <c r="K136" s="6">
        <f t="shared" si="27"/>
        <v>7.6945269621530249E-3</v>
      </c>
      <c r="L136" s="6">
        <f t="shared" si="28"/>
        <v>1.7048185442892359E-3</v>
      </c>
      <c r="M136" s="6">
        <f t="shared" si="29"/>
        <v>4.132342085845747E-4</v>
      </c>
      <c r="N136" s="19"/>
    </row>
    <row r="137" spans="1:14" x14ac:dyDescent="0.2">
      <c r="A137" s="4">
        <v>45351</v>
      </c>
      <c r="B137" s="5">
        <v>180.29647800000001</v>
      </c>
      <c r="C137" s="5">
        <v>59.085262</v>
      </c>
      <c r="D137" s="5">
        <v>183.961624</v>
      </c>
      <c r="E137" s="5">
        <v>16.410843</v>
      </c>
      <c r="F137" s="5">
        <v>5069.76</v>
      </c>
      <c r="G137" s="19"/>
      <c r="H137" s="6">
        <f t="shared" si="24"/>
        <v>-3.6999302544279294E-3</v>
      </c>
      <c r="I137" s="6">
        <f t="shared" si="25"/>
        <v>-6.311315966027564E-3</v>
      </c>
      <c r="J137" s="6">
        <f t="shared" si="26"/>
        <v>9.0702909341080495E-3</v>
      </c>
      <c r="K137" s="6">
        <f t="shared" si="27"/>
        <v>-1.7703701935084114E-3</v>
      </c>
      <c r="L137" s="6">
        <f t="shared" si="28"/>
        <v>-1.659450476103029E-3</v>
      </c>
      <c r="M137" s="6">
        <f t="shared" si="29"/>
        <v>-5.2286577089264872E-4</v>
      </c>
      <c r="N137" s="19"/>
    </row>
    <row r="138" spans="1:14" x14ac:dyDescent="0.2">
      <c r="A138" s="4">
        <v>45352</v>
      </c>
      <c r="B138" s="5">
        <v>179.20922899999999</v>
      </c>
      <c r="C138" s="5">
        <v>58.602893999999999</v>
      </c>
      <c r="D138" s="5">
        <v>183.20030199999999</v>
      </c>
      <c r="E138" s="5">
        <v>16.459311</v>
      </c>
      <c r="F138" s="5">
        <v>5096.2700000000004</v>
      </c>
      <c r="G138" s="19"/>
      <c r="H138" s="6">
        <f t="shared" si="24"/>
        <v>-6.0485955778969338E-3</v>
      </c>
      <c r="I138" s="6">
        <f t="shared" si="25"/>
        <v>-8.1974383416661724E-3</v>
      </c>
      <c r="J138" s="6">
        <f t="shared" si="26"/>
        <v>-4.1470699285579005E-3</v>
      </c>
      <c r="K138" s="6">
        <f t="shared" si="27"/>
        <v>2.9490604228386468E-3</v>
      </c>
      <c r="L138" s="6">
        <f t="shared" si="28"/>
        <v>5.2154203933401618E-3</v>
      </c>
      <c r="M138" s="6">
        <f t="shared" si="29"/>
        <v>-6.3031928382723552E-3</v>
      </c>
      <c r="N138" s="19"/>
    </row>
    <row r="139" spans="1:14" x14ac:dyDescent="0.2">
      <c r="A139" s="4">
        <v>45355</v>
      </c>
      <c r="B139" s="5">
        <v>174.66066000000001</v>
      </c>
      <c r="C139" s="5">
        <v>58.878535999999997</v>
      </c>
      <c r="D139" s="5">
        <v>184.57463100000001</v>
      </c>
      <c r="E139" s="5">
        <v>16.284828000000001</v>
      </c>
      <c r="F139" s="5">
        <v>5137.08</v>
      </c>
      <c r="G139" s="19"/>
      <c r="H139" s="6">
        <f t="shared" si="24"/>
        <v>-2.5708994582135079E-2</v>
      </c>
      <c r="I139" s="6">
        <f t="shared" si="25"/>
        <v>4.6925289520041878E-3</v>
      </c>
      <c r="J139" s="6">
        <f t="shared" si="26"/>
        <v>7.4737850456217817E-3</v>
      </c>
      <c r="K139" s="6">
        <f t="shared" si="27"/>
        <v>-1.0657458514889893E-2</v>
      </c>
      <c r="L139" s="6">
        <f t="shared" si="28"/>
        <v>7.9759250577916968E-3</v>
      </c>
      <c r="M139" s="6">
        <f t="shared" si="29"/>
        <v>-2.078548025828496E-3</v>
      </c>
      <c r="N139" s="19"/>
    </row>
    <row r="140" spans="1:14" x14ac:dyDescent="0.2">
      <c r="A140" s="4">
        <v>45356</v>
      </c>
      <c r="B140" s="5">
        <v>169.693161</v>
      </c>
      <c r="C140" s="5">
        <v>58.593048000000003</v>
      </c>
      <c r="D140" s="5">
        <v>186.423553</v>
      </c>
      <c r="E140" s="5">
        <v>16.643484000000001</v>
      </c>
      <c r="F140" s="5">
        <v>5130.95</v>
      </c>
      <c r="G140" s="19"/>
      <c r="H140" s="6">
        <f t="shared" si="24"/>
        <v>-2.8853134850884594E-2</v>
      </c>
      <c r="I140" s="6">
        <f t="shared" si="25"/>
        <v>-4.8605552480539922E-3</v>
      </c>
      <c r="J140" s="6">
        <f t="shared" si="26"/>
        <v>9.9673658093087422E-3</v>
      </c>
      <c r="K140" s="6">
        <f t="shared" si="27"/>
        <v>2.1784911671504949E-2</v>
      </c>
      <c r="L140" s="6">
        <f t="shared" si="28"/>
        <v>-1.1939974324694175E-3</v>
      </c>
      <c r="M140" s="6">
        <f t="shared" si="29"/>
        <v>-5.9932260476309156E-3</v>
      </c>
      <c r="N140" s="19"/>
    </row>
    <row r="141" spans="1:14" x14ac:dyDescent="0.2">
      <c r="A141" s="4">
        <v>45357</v>
      </c>
      <c r="B141" s="5">
        <v>168.69564800000001</v>
      </c>
      <c r="C141" s="5">
        <v>58.622585000000001</v>
      </c>
      <c r="D141" s="5">
        <v>187.39250200000001</v>
      </c>
      <c r="E141" s="5">
        <v>16.653176999999999</v>
      </c>
      <c r="F141" s="5">
        <v>5078.6499999999996</v>
      </c>
      <c r="G141" s="19"/>
      <c r="H141" s="6">
        <f t="shared" si="24"/>
        <v>-5.8956789518436912E-3</v>
      </c>
      <c r="I141" s="6">
        <f t="shared" si="25"/>
        <v>5.0397715508103207E-4</v>
      </c>
      <c r="J141" s="6">
        <f t="shared" si="26"/>
        <v>5.1841067662975826E-3</v>
      </c>
      <c r="K141" s="6">
        <f t="shared" si="27"/>
        <v>5.8222055801986279E-4</v>
      </c>
      <c r="L141" s="6">
        <f t="shared" si="28"/>
        <v>-1.0245348981574391E-2</v>
      </c>
      <c r="M141" s="6">
        <f t="shared" si="29"/>
        <v>4.4352352881874761E-4</v>
      </c>
      <c r="N141" s="19"/>
    </row>
    <row r="142" spans="1:14" x14ac:dyDescent="0.2">
      <c r="A142" s="4">
        <v>45358</v>
      </c>
      <c r="B142" s="5">
        <v>168.57595800000001</v>
      </c>
      <c r="C142" s="5">
        <v>58.514296999999999</v>
      </c>
      <c r="D142" s="5">
        <v>185.75122099999999</v>
      </c>
      <c r="E142" s="5">
        <v>16.527163000000002</v>
      </c>
      <c r="F142" s="5">
        <v>5104.76</v>
      </c>
      <c r="G142" s="19"/>
      <c r="H142" s="6">
        <f t="shared" si="24"/>
        <v>-7.0975441095678829E-4</v>
      </c>
      <c r="I142" s="6">
        <f t="shared" si="25"/>
        <v>-1.848914347035491E-3</v>
      </c>
      <c r="J142" s="6">
        <f t="shared" si="26"/>
        <v>-8.7971014039722271E-3</v>
      </c>
      <c r="K142" s="6">
        <f t="shared" si="27"/>
        <v>-7.5957392761439417E-3</v>
      </c>
      <c r="L142" s="6">
        <f t="shared" si="28"/>
        <v>5.1279595372516517E-3</v>
      </c>
      <c r="M142" s="6">
        <f t="shared" si="29"/>
        <v>-3.8765238619988939E-3</v>
      </c>
      <c r="N142" s="19"/>
    </row>
    <row r="143" spans="1:14" x14ac:dyDescent="0.2">
      <c r="A143" s="4">
        <v>45359</v>
      </c>
      <c r="B143" s="5">
        <v>170.301605</v>
      </c>
      <c r="C143" s="5">
        <v>58.593048000000003</v>
      </c>
      <c r="D143" s="5">
        <v>186.097275</v>
      </c>
      <c r="E143" s="5">
        <v>16.672564000000001</v>
      </c>
      <c r="F143" s="5">
        <v>5157.3599999999997</v>
      </c>
      <c r="G143" s="19"/>
      <c r="H143" s="6">
        <f t="shared" si="24"/>
        <v>1.0184574634208254E-2</v>
      </c>
      <c r="I143" s="6">
        <f t="shared" si="25"/>
        <v>1.3449371919544843E-3</v>
      </c>
      <c r="J143" s="6">
        <f t="shared" si="26"/>
        <v>1.8612639482236896E-3</v>
      </c>
      <c r="K143" s="6">
        <f t="shared" si="27"/>
        <v>8.7592244143747111E-3</v>
      </c>
      <c r="L143" s="6">
        <f t="shared" si="28"/>
        <v>1.0251382881397443E-2</v>
      </c>
      <c r="M143" s="6">
        <f t="shared" si="29"/>
        <v>3.7553869188088462E-3</v>
      </c>
      <c r="N143" s="19"/>
    </row>
    <row r="144" spans="1:14" x14ac:dyDescent="0.2">
      <c r="A144" s="4">
        <v>45362</v>
      </c>
      <c r="B144" s="5">
        <v>172.31655900000001</v>
      </c>
      <c r="C144" s="5">
        <v>59.301837999999996</v>
      </c>
      <c r="D144" s="5">
        <v>186.166473</v>
      </c>
      <c r="E144" s="5">
        <v>16.798576000000001</v>
      </c>
      <c r="F144" s="5">
        <v>5123.6899999999996</v>
      </c>
      <c r="G144" s="19"/>
      <c r="H144" s="6">
        <f t="shared" si="24"/>
        <v>1.1762232376596935E-2</v>
      </c>
      <c r="I144" s="6">
        <f t="shared" si="25"/>
        <v>1.2024245731310248E-2</v>
      </c>
      <c r="J144" s="6">
        <f t="shared" si="26"/>
        <v>3.7176867835657829E-4</v>
      </c>
      <c r="K144" s="6">
        <f t="shared" si="27"/>
        <v>7.5296267385311973E-3</v>
      </c>
      <c r="L144" s="6">
        <f t="shared" si="28"/>
        <v>-6.5499380656454595E-3</v>
      </c>
      <c r="M144" s="6">
        <f t="shared" si="29"/>
        <v>8.0737389169962641E-3</v>
      </c>
      <c r="N144" s="19"/>
    </row>
    <row r="145" spans="1:14" x14ac:dyDescent="0.2">
      <c r="A145" s="4">
        <v>45363</v>
      </c>
      <c r="B145" s="5">
        <v>172.795334</v>
      </c>
      <c r="C145" s="5">
        <v>59.557789</v>
      </c>
      <c r="D145" s="5">
        <v>187.699005</v>
      </c>
      <c r="E145" s="5">
        <v>16.672564000000001</v>
      </c>
      <c r="F145" s="5">
        <v>5117.9399999999996</v>
      </c>
      <c r="G145" s="19"/>
      <c r="H145" s="6">
        <f t="shared" si="24"/>
        <v>2.7746091448219968E-3</v>
      </c>
      <c r="I145" s="6">
        <f t="shared" si="25"/>
        <v>4.3067844327523246E-3</v>
      </c>
      <c r="J145" s="6">
        <f t="shared" si="26"/>
        <v>8.1983530120362299E-3</v>
      </c>
      <c r="K145" s="6">
        <f t="shared" si="27"/>
        <v>-7.5296267385311115E-3</v>
      </c>
      <c r="L145" s="6">
        <f t="shared" si="28"/>
        <v>-1.1228682551799477E-3</v>
      </c>
      <c r="M145" s="6">
        <f t="shared" si="29"/>
        <v>5.2160027511841817E-3</v>
      </c>
      <c r="N145" s="19"/>
    </row>
    <row r="146" spans="1:14" x14ac:dyDescent="0.2">
      <c r="A146" s="4">
        <v>45364</v>
      </c>
      <c r="B146" s="5">
        <v>170.70062300000001</v>
      </c>
      <c r="C146" s="5">
        <v>60.168132999999997</v>
      </c>
      <c r="D146" s="5">
        <v>189.22163399999999</v>
      </c>
      <c r="E146" s="5">
        <v>16.662870000000002</v>
      </c>
      <c r="F146" s="5">
        <v>5175.2700000000004</v>
      </c>
      <c r="G146" s="19"/>
      <c r="H146" s="6">
        <f t="shared" si="24"/>
        <v>-1.2196574219039144E-2</v>
      </c>
      <c r="I146" s="6">
        <f t="shared" si="25"/>
        <v>1.0195775101912073E-2</v>
      </c>
      <c r="J146" s="6">
        <f t="shared" si="26"/>
        <v>8.079352123651724E-3</v>
      </c>
      <c r="K146" s="6">
        <f t="shared" si="27"/>
        <v>-5.8160336375158385E-4</v>
      </c>
      <c r="L146" s="6">
        <f t="shared" si="28"/>
        <v>1.1139497364012345E-2</v>
      </c>
      <c r="M146" s="6">
        <f t="shared" si="29"/>
        <v>3.8201915621066981E-3</v>
      </c>
      <c r="N146" s="19"/>
    </row>
    <row r="147" spans="1:14" x14ac:dyDescent="0.2">
      <c r="A147" s="4">
        <v>45365</v>
      </c>
      <c r="B147" s="5">
        <v>172.565933</v>
      </c>
      <c r="C147" s="5">
        <v>60.034171999999998</v>
      </c>
      <c r="D147" s="5">
        <v>185.85008199999999</v>
      </c>
      <c r="E147" s="5">
        <v>16.488389999999999</v>
      </c>
      <c r="F147" s="5">
        <v>5165.3100000000004</v>
      </c>
      <c r="G147" s="19"/>
      <c r="H147" s="6">
        <f t="shared" si="24"/>
        <v>1.0868104262170121E-2</v>
      </c>
      <c r="I147" s="6">
        <f t="shared" si="25"/>
        <v>-2.2289265661106588E-3</v>
      </c>
      <c r="J147" s="6">
        <f t="shared" si="26"/>
        <v>-1.7978656730612674E-2</v>
      </c>
      <c r="K147" s="6">
        <f t="shared" si="27"/>
        <v>-1.0526393935028697E-2</v>
      </c>
      <c r="L147" s="6">
        <f t="shared" si="28"/>
        <v>-1.926391571868686E-3</v>
      </c>
      <c r="M147" s="6">
        <f t="shared" si="29"/>
        <v>-4.1624567333447358E-3</v>
      </c>
      <c r="N147" s="19"/>
    </row>
    <row r="148" spans="1:14" x14ac:dyDescent="0.2">
      <c r="A148" s="4">
        <v>45366</v>
      </c>
      <c r="B148" s="5">
        <v>172.18687399999999</v>
      </c>
      <c r="C148" s="5">
        <v>59.418948999999998</v>
      </c>
      <c r="D148" s="5">
        <v>188.15382399999999</v>
      </c>
      <c r="E148" s="5">
        <v>16.527163000000002</v>
      </c>
      <c r="F148" s="5">
        <v>5150.4799999999996</v>
      </c>
      <c r="G148" s="19"/>
      <c r="H148" s="6">
        <f t="shared" si="24"/>
        <v>-2.1990199647653258E-3</v>
      </c>
      <c r="I148" s="6">
        <f t="shared" si="25"/>
        <v>-1.0300751202101817E-2</v>
      </c>
      <c r="J148" s="6">
        <f t="shared" si="26"/>
        <v>1.2319503083121451E-2</v>
      </c>
      <c r="K148" s="6">
        <f t="shared" si="27"/>
        <v>2.3487728844055851E-3</v>
      </c>
      <c r="L148" s="6">
        <f t="shared" si="28"/>
        <v>-2.8752059156686048E-3</v>
      </c>
      <c r="M148" s="6">
        <f t="shared" si="29"/>
        <v>-7.0917220063492284E-4</v>
      </c>
      <c r="N148" s="19"/>
    </row>
    <row r="149" spans="1:14" x14ac:dyDescent="0.2">
      <c r="A149" s="4">
        <v>45369</v>
      </c>
      <c r="B149" s="5">
        <v>173.284119</v>
      </c>
      <c r="C149" s="5">
        <v>59.667023</v>
      </c>
      <c r="D149" s="5">
        <v>190.487213</v>
      </c>
      <c r="E149" s="5">
        <v>16.769497000000001</v>
      </c>
      <c r="F149" s="5">
        <v>5117.09</v>
      </c>
      <c r="G149" s="19"/>
      <c r="H149" s="6">
        <f t="shared" si="24"/>
        <v>6.3521899768463532E-3</v>
      </c>
      <c r="I149" s="6">
        <f t="shared" si="25"/>
        <v>4.1663069910752798E-3</v>
      </c>
      <c r="J149" s="6">
        <f t="shared" si="26"/>
        <v>1.2325227911982373E-2</v>
      </c>
      <c r="K149" s="6">
        <f t="shared" si="27"/>
        <v>1.455631158926427E-2</v>
      </c>
      <c r="L149" s="6">
        <f t="shared" si="28"/>
        <v>-6.5039961169264899E-3</v>
      </c>
      <c r="M149" s="6">
        <f t="shared" si="29"/>
        <v>7.4394498899139861E-3</v>
      </c>
      <c r="N149" s="19"/>
    </row>
    <row r="150" spans="1:14" x14ac:dyDescent="0.2">
      <c r="A150" s="4">
        <v>45370</v>
      </c>
      <c r="B150" s="5">
        <v>175.63819899999999</v>
      </c>
      <c r="C150" s="5">
        <v>59.766250999999997</v>
      </c>
      <c r="D150" s="5">
        <v>191.60446200000001</v>
      </c>
      <c r="E150" s="5">
        <v>16.643484000000001</v>
      </c>
      <c r="F150" s="5">
        <v>5149.42</v>
      </c>
      <c r="G150" s="19"/>
      <c r="H150" s="6">
        <f t="shared" si="24"/>
        <v>1.3493637966671364E-2</v>
      </c>
      <c r="I150" s="6">
        <f t="shared" si="25"/>
        <v>1.6616478726241028E-3</v>
      </c>
      <c r="J150" s="6">
        <f t="shared" si="26"/>
        <v>5.8480844115032697E-3</v>
      </c>
      <c r="K150" s="6">
        <f t="shared" si="27"/>
        <v>-7.5427928711403599E-3</v>
      </c>
      <c r="L150" s="6">
        <f t="shared" si="28"/>
        <v>6.2981688751588584E-3</v>
      </c>
      <c r="M150" s="6">
        <f t="shared" si="29"/>
        <v>6.0531807091094214E-3</v>
      </c>
      <c r="N150" s="19"/>
    </row>
    <row r="151" spans="1:14" x14ac:dyDescent="0.2">
      <c r="A151" s="4">
        <v>45371</v>
      </c>
      <c r="B151" s="5">
        <v>178.22171</v>
      </c>
      <c r="C151" s="5">
        <v>60.282249</v>
      </c>
      <c r="D151" s="5">
        <v>194.115814</v>
      </c>
      <c r="E151" s="5">
        <v>16.682257</v>
      </c>
      <c r="F151" s="5">
        <v>5178.51</v>
      </c>
      <c r="G151" s="19"/>
      <c r="H151" s="6">
        <f t="shared" si="24"/>
        <v>1.4602145308817756E-2</v>
      </c>
      <c r="I151" s="6">
        <f t="shared" si="25"/>
        <v>8.5965451914703454E-3</v>
      </c>
      <c r="J151" s="6">
        <f t="shared" si="26"/>
        <v>1.3021806957661381E-2</v>
      </c>
      <c r="K151" s="6">
        <f t="shared" si="27"/>
        <v>2.3269110502146303E-3</v>
      </c>
      <c r="L151" s="6">
        <f t="shared" si="28"/>
        <v>5.6332831318901015E-3</v>
      </c>
      <c r="M151" s="6">
        <f t="shared" si="29"/>
        <v>1.1592349313965192E-2</v>
      </c>
      <c r="N151" s="19"/>
    </row>
    <row r="152" spans="1:14" x14ac:dyDescent="0.2">
      <c r="A152" s="4">
        <v>45372</v>
      </c>
      <c r="B152" s="5">
        <v>170.94001800000001</v>
      </c>
      <c r="C152" s="5">
        <v>60.004406000000003</v>
      </c>
      <c r="D152" s="5">
        <v>196.81501800000001</v>
      </c>
      <c r="E152" s="5">
        <v>16.633789</v>
      </c>
      <c r="F152" s="5">
        <v>5224.62</v>
      </c>
      <c r="G152" s="19"/>
      <c r="H152" s="6">
        <f t="shared" si="24"/>
        <v>-4.1715613983300662E-2</v>
      </c>
      <c r="I152" s="6">
        <f t="shared" si="25"/>
        <v>-4.6196894266072042E-3</v>
      </c>
      <c r="J152" s="6">
        <f t="shared" si="26"/>
        <v>1.3809332358761774E-2</v>
      </c>
      <c r="K152" s="6">
        <f t="shared" si="27"/>
        <v>-2.9095910236789767E-3</v>
      </c>
      <c r="L152" s="6">
        <f t="shared" si="28"/>
        <v>8.8646978273410684E-3</v>
      </c>
      <c r="M152" s="6">
        <f t="shared" si="29"/>
        <v>-7.8699739305014629E-3</v>
      </c>
      <c r="N152" s="19"/>
    </row>
    <row r="153" spans="1:14" x14ac:dyDescent="0.2">
      <c r="A153" s="4">
        <v>45373</v>
      </c>
      <c r="B153" s="5">
        <v>171.84773300000001</v>
      </c>
      <c r="C153" s="5">
        <v>60.024253999999999</v>
      </c>
      <c r="D153" s="5">
        <v>194.40254200000001</v>
      </c>
      <c r="E153" s="5">
        <v>16.459311</v>
      </c>
      <c r="F153" s="5">
        <v>5241.53</v>
      </c>
      <c r="G153" s="19"/>
      <c r="H153" s="6">
        <f t="shared" si="24"/>
        <v>5.2960884338796171E-3</v>
      </c>
      <c r="I153" s="6">
        <f t="shared" si="25"/>
        <v>3.3072101581254086E-4</v>
      </c>
      <c r="J153" s="6">
        <f t="shared" si="26"/>
        <v>-1.2333324609694349E-2</v>
      </c>
      <c r="K153" s="6">
        <f t="shared" si="27"/>
        <v>-1.0544773183150766E-2</v>
      </c>
      <c r="L153" s="6">
        <f t="shared" si="28"/>
        <v>3.2313725131378058E-3</v>
      </c>
      <c r="M153" s="6">
        <f t="shared" si="29"/>
        <v>-2.6333172691056653E-3</v>
      </c>
      <c r="N153" s="19"/>
    </row>
    <row r="154" spans="1:14" x14ac:dyDescent="0.2">
      <c r="A154" s="4">
        <v>45376</v>
      </c>
      <c r="B154" s="5">
        <v>170.42132599999999</v>
      </c>
      <c r="C154" s="5">
        <v>59.934944000000002</v>
      </c>
      <c r="D154" s="5">
        <v>192.622849</v>
      </c>
      <c r="E154" s="5">
        <v>16.595016000000001</v>
      </c>
      <c r="F154" s="5">
        <v>5234.18</v>
      </c>
      <c r="G154" s="19"/>
      <c r="H154" s="6">
        <f t="shared" si="24"/>
        <v>-8.3350523254073824E-3</v>
      </c>
      <c r="I154" s="6">
        <f t="shared" si="25"/>
        <v>-1.4890065620656438E-3</v>
      </c>
      <c r="J154" s="6">
        <f t="shared" si="26"/>
        <v>-9.1968412694247506E-3</v>
      </c>
      <c r="K154" s="6">
        <f t="shared" si="27"/>
        <v>8.2110739967389546E-3</v>
      </c>
      <c r="L154" s="6">
        <f t="shared" si="28"/>
        <v>-1.4032464064151588E-3</v>
      </c>
      <c r="M154" s="6">
        <f t="shared" si="29"/>
        <v>-5.791816710141633E-3</v>
      </c>
      <c r="N154" s="19"/>
    </row>
    <row r="155" spans="1:14" x14ac:dyDescent="0.2">
      <c r="A155" s="4">
        <v>45377</v>
      </c>
      <c r="B155" s="5">
        <v>169.28419500000001</v>
      </c>
      <c r="C155" s="5">
        <v>60.073867999999997</v>
      </c>
      <c r="D155" s="5">
        <v>193.52256800000001</v>
      </c>
      <c r="E155" s="5">
        <v>16.653176999999999</v>
      </c>
      <c r="F155" s="5">
        <v>5218.1899999999996</v>
      </c>
      <c r="G155" s="19"/>
      <c r="H155" s="6">
        <f t="shared" si="24"/>
        <v>-6.6948293563426041E-3</v>
      </c>
      <c r="I155" s="6">
        <f t="shared" si="25"/>
        <v>2.3152310191375206E-3</v>
      </c>
      <c r="J155" s="6">
        <f t="shared" si="26"/>
        <v>4.6600093568763086E-3</v>
      </c>
      <c r="K155" s="6">
        <f t="shared" si="27"/>
        <v>3.4985997178958793E-3</v>
      </c>
      <c r="L155" s="6">
        <f t="shared" si="28"/>
        <v>-3.0595955699421543E-3</v>
      </c>
      <c r="M155" s="6">
        <f t="shared" si="29"/>
        <v>8.1532957933375377E-4</v>
      </c>
      <c r="N155" s="19"/>
    </row>
    <row r="156" spans="1:14" x14ac:dyDescent="0.2">
      <c r="A156" s="4">
        <v>45378</v>
      </c>
      <c r="B156" s="5">
        <v>172.875137</v>
      </c>
      <c r="C156" s="5">
        <v>60.560093000000002</v>
      </c>
      <c r="D156" s="5">
        <v>197.269836</v>
      </c>
      <c r="E156" s="5">
        <v>17.011831000000001</v>
      </c>
      <c r="F156" s="5">
        <v>5203.58</v>
      </c>
      <c r="G156" s="19"/>
      <c r="H156" s="6">
        <f t="shared" si="24"/>
        <v>2.0990652674622658E-2</v>
      </c>
      <c r="I156" s="6">
        <f t="shared" si="25"/>
        <v>8.0612064628980545E-3</v>
      </c>
      <c r="J156" s="6">
        <f t="shared" si="26"/>
        <v>1.9178381247547345E-2</v>
      </c>
      <c r="K156" s="6">
        <f t="shared" si="27"/>
        <v>2.130803414272742E-2</v>
      </c>
      <c r="L156" s="6">
        <f t="shared" si="28"/>
        <v>-2.8037482252575453E-3</v>
      </c>
      <c r="M156" s="6">
        <f t="shared" si="29"/>
        <v>1.5040880318199789E-2</v>
      </c>
      <c r="N156" s="19"/>
    </row>
    <row r="157" spans="1:14" x14ac:dyDescent="0.2">
      <c r="A157" s="4">
        <v>45379</v>
      </c>
      <c r="B157" s="5">
        <v>171.049744</v>
      </c>
      <c r="C157" s="5">
        <v>60.708939000000001</v>
      </c>
      <c r="D157" s="5">
        <v>198.04104599999999</v>
      </c>
      <c r="E157" s="5">
        <v>17.060296999999998</v>
      </c>
      <c r="F157" s="5">
        <v>5248.49</v>
      </c>
      <c r="G157" s="19"/>
      <c r="H157" s="6">
        <f t="shared" si="24"/>
        <v>-1.0615167680639992E-2</v>
      </c>
      <c r="I157" s="6">
        <f t="shared" si="25"/>
        <v>2.4548076667502516E-3</v>
      </c>
      <c r="J157" s="6">
        <f t="shared" si="26"/>
        <v>3.9017948330012063E-3</v>
      </c>
      <c r="K157" s="6">
        <f t="shared" si="27"/>
        <v>2.8449078782690519E-3</v>
      </c>
      <c r="L157" s="6">
        <f t="shared" si="28"/>
        <v>8.5935659407079552E-3</v>
      </c>
      <c r="M157" s="6">
        <f t="shared" si="29"/>
        <v>-3.7239448171227344E-4</v>
      </c>
      <c r="N157" s="19"/>
    </row>
    <row r="158" spans="1:14" x14ac:dyDescent="0.2">
      <c r="A158" s="4">
        <v>45383</v>
      </c>
      <c r="B158" s="5">
        <v>169.60337799999999</v>
      </c>
      <c r="C158" s="5">
        <v>60.212788000000003</v>
      </c>
      <c r="D158" s="5">
        <v>196.696381</v>
      </c>
      <c r="E158" s="5">
        <v>16.963363999999999</v>
      </c>
      <c r="F158" s="5">
        <v>5254.35</v>
      </c>
      <c r="G158" s="19"/>
      <c r="H158" s="6">
        <f t="shared" si="24"/>
        <v>-8.4917741718009161E-3</v>
      </c>
      <c r="I158" s="6">
        <f t="shared" si="25"/>
        <v>-8.2061974569752581E-3</v>
      </c>
      <c r="J158" s="6">
        <f t="shared" si="26"/>
        <v>-6.8129855912890617E-3</v>
      </c>
      <c r="K158" s="6">
        <f t="shared" si="27"/>
        <v>-5.697991304405129E-3</v>
      </c>
      <c r="L158" s="6">
        <f t="shared" si="28"/>
        <v>1.1158887706710923E-3</v>
      </c>
      <c r="M158" s="6">
        <f t="shared" si="29"/>
        <v>-7.8141060255653809E-3</v>
      </c>
      <c r="N158" s="19"/>
    </row>
    <row r="159" spans="1:14" x14ac:dyDescent="0.2">
      <c r="A159" s="4">
        <v>45384</v>
      </c>
      <c r="B159" s="5">
        <v>168.41635099999999</v>
      </c>
      <c r="C159" s="5">
        <v>59.686870999999996</v>
      </c>
      <c r="D159" s="5">
        <v>196.617279</v>
      </c>
      <c r="E159" s="5">
        <v>16.982749999999999</v>
      </c>
      <c r="F159" s="5">
        <v>5254.35</v>
      </c>
      <c r="G159" s="19"/>
      <c r="H159" s="6">
        <f t="shared" si="24"/>
        <v>-7.0234473180625914E-3</v>
      </c>
      <c r="I159" s="6">
        <f t="shared" si="25"/>
        <v>-8.7726750393700287E-3</v>
      </c>
      <c r="J159" s="6">
        <f t="shared" si="26"/>
        <v>-4.0223368324664339E-4</v>
      </c>
      <c r="K159" s="6">
        <f t="shared" si="27"/>
        <v>1.1421632595400733E-3</v>
      </c>
      <c r="L159" s="6">
        <f t="shared" si="28"/>
        <v>0</v>
      </c>
      <c r="M159" s="6">
        <f t="shared" si="29"/>
        <v>-5.5395936201549055E-3</v>
      </c>
      <c r="N159" s="19"/>
    </row>
    <row r="160" spans="1:14" x14ac:dyDescent="0.2">
      <c r="A160" s="4">
        <v>45385</v>
      </c>
      <c r="B160" s="5">
        <v>169.22431900000001</v>
      </c>
      <c r="C160" s="5">
        <v>59.369335</v>
      </c>
      <c r="D160" s="5">
        <v>196.06359900000001</v>
      </c>
      <c r="E160" s="5">
        <v>17.069991999999999</v>
      </c>
      <c r="F160" s="5">
        <v>5243.77</v>
      </c>
      <c r="G160" s="19"/>
      <c r="H160" s="6">
        <f t="shared" si="24"/>
        <v>4.7859728642550272E-3</v>
      </c>
      <c r="I160" s="6">
        <f t="shared" si="25"/>
        <v>-5.3342326889105063E-3</v>
      </c>
      <c r="J160" s="6">
        <f t="shared" si="26"/>
        <v>-2.8200016753762752E-3</v>
      </c>
      <c r="K160" s="6">
        <f t="shared" si="27"/>
        <v>5.12394513644681E-3</v>
      </c>
      <c r="L160" s="6">
        <f t="shared" si="28"/>
        <v>-2.0155996658250933E-3</v>
      </c>
      <c r="M160" s="6">
        <f t="shared" si="29"/>
        <v>-1.933553823267388E-3</v>
      </c>
      <c r="N160" s="19"/>
    </row>
    <row r="161" spans="1:14" x14ac:dyDescent="0.2">
      <c r="A161" s="4">
        <v>45386</v>
      </c>
      <c r="B161" s="5">
        <v>168.396423</v>
      </c>
      <c r="C161" s="5">
        <v>58.843414000000003</v>
      </c>
      <c r="D161" s="5">
        <v>194.571854</v>
      </c>
      <c r="E161" s="5">
        <v>17.031217999999999</v>
      </c>
      <c r="F161" s="5">
        <v>5205.8100000000004</v>
      </c>
      <c r="G161" s="19"/>
      <c r="H161" s="6">
        <f t="shared" si="24"/>
        <v>-4.9043056684808586E-3</v>
      </c>
      <c r="I161" s="6">
        <f t="shared" si="25"/>
        <v>-8.8979314726668046E-3</v>
      </c>
      <c r="J161" s="6">
        <f t="shared" si="26"/>
        <v>-7.637567148412871E-3</v>
      </c>
      <c r="K161" s="6">
        <f t="shared" si="27"/>
        <v>-2.2740551851044106E-3</v>
      </c>
      <c r="L161" s="6">
        <f t="shared" si="28"/>
        <v>-7.2653957344673645E-3</v>
      </c>
      <c r="M161" s="6">
        <f t="shared" si="29"/>
        <v>-7.4665585403044313E-3</v>
      </c>
      <c r="N161" s="19"/>
    </row>
    <row r="162" spans="1:14" x14ac:dyDescent="0.2">
      <c r="A162" s="4">
        <v>45387</v>
      </c>
      <c r="B162" s="5">
        <v>169.154495</v>
      </c>
      <c r="C162" s="5">
        <v>59.051796000000003</v>
      </c>
      <c r="D162" s="5">
        <v>196.36193800000001</v>
      </c>
      <c r="E162" s="5">
        <v>16.885818</v>
      </c>
      <c r="F162" s="5">
        <v>5211.49</v>
      </c>
      <c r="G162" s="19"/>
      <c r="H162" s="6">
        <f t="shared" ref="H162:H193" si="30">LN(B162/B161)</f>
        <v>4.4916084303433098E-3</v>
      </c>
      <c r="I162" s="6">
        <f t="shared" ref="I162:I193" si="31">LN(C162/C161)</f>
        <v>3.5350412795235415E-3</v>
      </c>
      <c r="J162" s="6">
        <f t="shared" ref="J162:J193" si="32">LN(D162/D161)</f>
        <v>9.1580546261534317E-3</v>
      </c>
      <c r="K162" s="6">
        <f t="shared" ref="K162:K193" si="33">LN(E162/E161)</f>
        <v>-8.5739149328683574E-3</v>
      </c>
      <c r="L162" s="6">
        <f t="shared" si="28"/>
        <v>1.0904938060488179E-3</v>
      </c>
      <c r="M162" s="6">
        <f t="shared" si="29"/>
        <v>5.651598390992359E-3</v>
      </c>
      <c r="N162" s="19"/>
    </row>
    <row r="163" spans="1:14" x14ac:dyDescent="0.2">
      <c r="A163" s="4">
        <v>45390</v>
      </c>
      <c r="B163" s="5">
        <v>168.027344</v>
      </c>
      <c r="C163" s="5">
        <v>58.813643999999996</v>
      </c>
      <c r="D163" s="5">
        <v>197.38626099999999</v>
      </c>
      <c r="E163" s="5">
        <v>16.721031</v>
      </c>
      <c r="F163" s="5">
        <v>5147.21</v>
      </c>
      <c r="G163" s="19"/>
      <c r="H163" s="6">
        <f t="shared" si="30"/>
        <v>-6.685740856598745E-3</v>
      </c>
      <c r="I163" s="6">
        <f t="shared" si="31"/>
        <v>-4.0410882798711488E-3</v>
      </c>
      <c r="J163" s="6">
        <f t="shared" si="32"/>
        <v>5.202946011474462E-3</v>
      </c>
      <c r="K163" s="6">
        <f t="shared" si="33"/>
        <v>-9.8068295948848475E-3</v>
      </c>
      <c r="L163" s="6">
        <f t="shared" si="28"/>
        <v>-1.2410983057457463E-2</v>
      </c>
      <c r="M163" s="6">
        <f t="shared" si="29"/>
        <v>-1.629411382029787E-3</v>
      </c>
      <c r="N163" s="19"/>
    </row>
    <row r="164" spans="1:14" x14ac:dyDescent="0.2">
      <c r="A164" s="4">
        <v>45391</v>
      </c>
      <c r="B164" s="5">
        <v>169.24427800000001</v>
      </c>
      <c r="C164" s="5">
        <v>59.260181000000003</v>
      </c>
      <c r="D164" s="5">
        <v>196.06358299999999</v>
      </c>
      <c r="E164" s="5">
        <v>16.650095</v>
      </c>
      <c r="F164" s="5">
        <v>5204.34</v>
      </c>
      <c r="G164" s="19"/>
      <c r="H164" s="6">
        <f t="shared" si="30"/>
        <v>7.2163751807764352E-3</v>
      </c>
      <c r="I164" s="6">
        <f t="shared" si="31"/>
        <v>7.5637276739742845E-3</v>
      </c>
      <c r="J164" s="6">
        <f t="shared" si="32"/>
        <v>-6.7235150953914692E-3</v>
      </c>
      <c r="K164" s="6">
        <f t="shared" si="33"/>
        <v>-4.2513463190354973E-3</v>
      </c>
      <c r="L164" s="6">
        <f t="shared" si="28"/>
        <v>1.1038072569656417E-2</v>
      </c>
      <c r="M164" s="6">
        <f t="shared" si="29"/>
        <v>2.713355924234839E-3</v>
      </c>
      <c r="N164" s="19"/>
    </row>
    <row r="165" spans="1:14" x14ac:dyDescent="0.2">
      <c r="A165" s="4">
        <v>45392</v>
      </c>
      <c r="B165" s="5">
        <v>167.35902400000001</v>
      </c>
      <c r="C165" s="5">
        <v>58.466338999999998</v>
      </c>
      <c r="D165" s="5">
        <v>194.392853</v>
      </c>
      <c r="E165" s="5">
        <v>16.482609</v>
      </c>
      <c r="F165" s="5">
        <v>5202.3900000000003</v>
      </c>
      <c r="G165" s="19"/>
      <c r="H165" s="6">
        <f t="shared" si="30"/>
        <v>-1.120175412492392E-2</v>
      </c>
      <c r="I165" s="6">
        <f t="shared" si="31"/>
        <v>-1.348640955626019E-2</v>
      </c>
      <c r="J165" s="6">
        <f t="shared" si="32"/>
        <v>-8.557882737226321E-3</v>
      </c>
      <c r="K165" s="6">
        <f t="shared" si="33"/>
        <v>-1.0110097057956752E-2</v>
      </c>
      <c r="L165" s="6">
        <f t="shared" si="28"/>
        <v>-3.747574930495873E-4</v>
      </c>
      <c r="M165" s="6">
        <f t="shared" si="29"/>
        <v>-1.1265054490306056E-2</v>
      </c>
      <c r="N165" s="19"/>
    </row>
    <row r="166" spans="1:14" x14ac:dyDescent="0.2">
      <c r="A166" s="4">
        <v>45393</v>
      </c>
      <c r="B166" s="5">
        <v>174.60079999999999</v>
      </c>
      <c r="C166" s="5">
        <v>58.595337000000001</v>
      </c>
      <c r="D166" s="5">
        <v>194.353058</v>
      </c>
      <c r="E166" s="5">
        <v>16.177192999999999</v>
      </c>
      <c r="F166" s="5">
        <v>5209.91</v>
      </c>
      <c r="G166" s="19"/>
      <c r="H166" s="6">
        <f t="shared" si="30"/>
        <v>4.236087617690229E-2</v>
      </c>
      <c r="I166" s="6">
        <f t="shared" si="31"/>
        <v>2.2039331166826617E-3</v>
      </c>
      <c r="J166" s="6">
        <f t="shared" si="32"/>
        <v>-2.0473527315899678E-4</v>
      </c>
      <c r="K166" s="6">
        <f t="shared" si="33"/>
        <v>-1.8703414262897906E-2</v>
      </c>
      <c r="L166" s="6">
        <f t="shared" si="28"/>
        <v>1.4444457627020377E-3</v>
      </c>
      <c r="M166" s="6">
        <f t="shared" si="29"/>
        <v>1.1569437808504265E-2</v>
      </c>
      <c r="N166" s="19"/>
    </row>
    <row r="167" spans="1:14" x14ac:dyDescent="0.2">
      <c r="A167" s="4">
        <v>45394</v>
      </c>
      <c r="B167" s="5">
        <v>176.10702499999999</v>
      </c>
      <c r="C167" s="5">
        <v>57.831263999999997</v>
      </c>
      <c r="D167" s="5">
        <v>181.782715</v>
      </c>
      <c r="E167" s="5">
        <v>16.068819000000001</v>
      </c>
      <c r="F167" s="5">
        <v>5160.6400000000003</v>
      </c>
      <c r="G167" s="19"/>
      <c r="H167" s="6">
        <f t="shared" si="30"/>
        <v>8.5896815167550832E-3</v>
      </c>
      <c r="I167" s="6">
        <f t="shared" si="31"/>
        <v>-1.3125590939175541E-2</v>
      </c>
      <c r="J167" s="6">
        <f t="shared" si="32"/>
        <v>-6.6864291458487934E-2</v>
      </c>
      <c r="K167" s="6">
        <f t="shared" si="33"/>
        <v>-6.7217247231749887E-3</v>
      </c>
      <c r="L167" s="6">
        <f t="shared" si="28"/>
        <v>-9.5019783338873547E-3</v>
      </c>
      <c r="M167" s="6">
        <f t="shared" si="29"/>
        <v>-2.5539837468000641E-2</v>
      </c>
      <c r="N167" s="19"/>
    </row>
    <row r="168" spans="1:14" x14ac:dyDescent="0.2">
      <c r="A168" s="4">
        <v>45397</v>
      </c>
      <c r="B168" s="5">
        <v>172.256699</v>
      </c>
      <c r="C168" s="5">
        <v>57.692345000000003</v>
      </c>
      <c r="D168" s="5">
        <v>181.882172</v>
      </c>
      <c r="E168" s="5">
        <v>15.999855</v>
      </c>
      <c r="F168" s="5">
        <v>5199.0600000000004</v>
      </c>
      <c r="G168" s="19"/>
      <c r="H168" s="6">
        <f t="shared" si="30"/>
        <v>-2.2106106529132866E-2</v>
      </c>
      <c r="I168" s="6">
        <f t="shared" si="31"/>
        <v>-2.4050333635455131E-3</v>
      </c>
      <c r="J168" s="6">
        <f t="shared" si="32"/>
        <v>5.4697060967347623E-4</v>
      </c>
      <c r="K168" s="6">
        <f t="shared" si="33"/>
        <v>-4.3010263731349009E-3</v>
      </c>
      <c r="L168" s="6">
        <f t="shared" si="28"/>
        <v>7.4172372058720279E-3</v>
      </c>
      <c r="M168" s="6">
        <f t="shared" si="29"/>
        <v>-6.4096654181603034E-3</v>
      </c>
      <c r="N168" s="19"/>
    </row>
    <row r="169" spans="1:14" x14ac:dyDescent="0.2">
      <c r="A169" s="4">
        <v>45398</v>
      </c>
      <c r="B169" s="5">
        <v>168.955017</v>
      </c>
      <c r="C169" s="5">
        <v>57.612960999999999</v>
      </c>
      <c r="D169" s="5">
        <v>179.803696</v>
      </c>
      <c r="E169" s="5">
        <v>15.852073000000001</v>
      </c>
      <c r="F169" s="5">
        <v>5123.41</v>
      </c>
      <c r="G169" s="19"/>
      <c r="H169" s="6">
        <f t="shared" si="30"/>
        <v>-1.9353292388622649E-2</v>
      </c>
      <c r="I169" s="6">
        <f t="shared" si="31"/>
        <v>-1.3769359849297128E-3</v>
      </c>
      <c r="J169" s="6">
        <f t="shared" si="32"/>
        <v>-1.1493392825475091E-2</v>
      </c>
      <c r="K169" s="6">
        <f t="shared" si="33"/>
        <v>-9.2793792839827582E-3</v>
      </c>
      <c r="L169" s="6">
        <f t="shared" si="28"/>
        <v>-1.4657607029448559E-2</v>
      </c>
      <c r="M169" s="6">
        <f t="shared" si="29"/>
        <v>-9.3009971737661873E-3</v>
      </c>
      <c r="N169" s="19"/>
    </row>
    <row r="170" spans="1:14" x14ac:dyDescent="0.2">
      <c r="A170" s="4">
        <v>45399</v>
      </c>
      <c r="B170" s="5">
        <v>167.57847599999999</v>
      </c>
      <c r="C170" s="5">
        <v>58.059494000000001</v>
      </c>
      <c r="D170" s="5">
        <v>179.08766199999999</v>
      </c>
      <c r="E170" s="5">
        <v>15.881629999999999</v>
      </c>
      <c r="F170" s="5">
        <v>5061.82</v>
      </c>
      <c r="G170" s="19"/>
      <c r="H170" s="6">
        <f t="shared" si="30"/>
        <v>-8.1807529156866562E-3</v>
      </c>
      <c r="I170" s="6">
        <f t="shared" si="31"/>
        <v>7.7206836858722564E-3</v>
      </c>
      <c r="J170" s="6">
        <f t="shared" si="32"/>
        <v>-3.9902601949420831E-3</v>
      </c>
      <c r="K170" s="6">
        <f t="shared" si="33"/>
        <v>1.8628149729069926E-3</v>
      </c>
      <c r="L170" s="6">
        <f t="shared" si="28"/>
        <v>-1.2094130563305876E-2</v>
      </c>
      <c r="M170" s="6">
        <f t="shared" si="29"/>
        <v>-2.0946976139510094E-4</v>
      </c>
      <c r="N170" s="19"/>
    </row>
    <row r="171" spans="1:14" x14ac:dyDescent="0.2">
      <c r="A171" s="4">
        <v>45400</v>
      </c>
      <c r="B171" s="5">
        <v>166.62088</v>
      </c>
      <c r="C171" s="5">
        <v>58.456417000000002</v>
      </c>
      <c r="D171" s="5">
        <v>180.251205</v>
      </c>
      <c r="E171" s="5">
        <v>16.088524</v>
      </c>
      <c r="F171" s="5">
        <v>5051.41</v>
      </c>
      <c r="G171" s="19"/>
      <c r="H171" s="6">
        <f t="shared" si="30"/>
        <v>-5.7307029681765223E-3</v>
      </c>
      <c r="I171" s="6">
        <f t="shared" si="31"/>
        <v>6.8132245978021052E-3</v>
      </c>
      <c r="J171" s="6">
        <f t="shared" si="32"/>
        <v>6.4760434973849422E-3</v>
      </c>
      <c r="K171" s="6">
        <f t="shared" si="33"/>
        <v>1.2943127412559438E-2</v>
      </c>
      <c r="L171" s="6">
        <f t="shared" si="28"/>
        <v>-2.0586901863485071E-3</v>
      </c>
      <c r="M171" s="6">
        <f t="shared" si="29"/>
        <v>3.5245033413711826E-3</v>
      </c>
      <c r="N171" s="19"/>
    </row>
    <row r="172" spans="1:14" x14ac:dyDescent="0.2">
      <c r="A172" s="4">
        <v>45401</v>
      </c>
      <c r="B172" s="5">
        <v>164.58599899999999</v>
      </c>
      <c r="C172" s="5">
        <v>59.706710999999999</v>
      </c>
      <c r="D172" s="5">
        <v>184.776138</v>
      </c>
      <c r="E172" s="5">
        <v>16.265863</v>
      </c>
      <c r="F172" s="5">
        <v>5022.21</v>
      </c>
      <c r="G172" s="19"/>
      <c r="H172" s="6">
        <f t="shared" si="30"/>
        <v>-1.2287828139873455E-2</v>
      </c>
      <c r="I172" s="6">
        <f t="shared" si="31"/>
        <v>2.1162958107073866E-2</v>
      </c>
      <c r="J172" s="6">
        <f t="shared" si="32"/>
        <v>2.4793566191605932E-2</v>
      </c>
      <c r="K172" s="6">
        <f t="shared" si="33"/>
        <v>1.0962394432582713E-2</v>
      </c>
      <c r="L172" s="6">
        <f t="shared" si="28"/>
        <v>-5.797336366096615E-3</v>
      </c>
      <c r="M172" s="6">
        <f t="shared" si="29"/>
        <v>1.3902875510705352E-2</v>
      </c>
      <c r="N172" s="19"/>
    </row>
    <row r="173" spans="1:14" x14ac:dyDescent="0.2">
      <c r="A173" s="4">
        <v>45404</v>
      </c>
      <c r="B173" s="5">
        <v>165.42387400000001</v>
      </c>
      <c r="C173" s="5">
        <v>60.08379</v>
      </c>
      <c r="D173" s="5">
        <v>188.366241</v>
      </c>
      <c r="E173" s="5">
        <v>16.068819000000001</v>
      </c>
      <c r="F173" s="5">
        <v>5011.12</v>
      </c>
      <c r="G173" s="19"/>
      <c r="H173" s="6">
        <f t="shared" si="30"/>
        <v>5.07788929321121E-3</v>
      </c>
      <c r="I173" s="6">
        <f t="shared" si="31"/>
        <v>6.2956618817539729E-3</v>
      </c>
      <c r="J173" s="6">
        <f t="shared" si="32"/>
        <v>1.9243130694284457E-2</v>
      </c>
      <c r="K173" s="6">
        <f t="shared" si="33"/>
        <v>-1.2187931160931781E-2</v>
      </c>
      <c r="L173" s="6">
        <f t="shared" si="28"/>
        <v>-2.2106328639260849E-3</v>
      </c>
      <c r="M173" s="6">
        <f t="shared" si="29"/>
        <v>1.0303126923834276E-2</v>
      </c>
      <c r="N173" s="19"/>
    </row>
    <row r="174" spans="1:14" x14ac:dyDescent="0.2">
      <c r="A174" s="4">
        <v>45405</v>
      </c>
      <c r="B174" s="5">
        <v>166.48121599999999</v>
      </c>
      <c r="C174" s="5">
        <v>60.173096000000001</v>
      </c>
      <c r="D174" s="5">
        <v>191.08119199999999</v>
      </c>
      <c r="E174" s="5">
        <v>16.25601</v>
      </c>
      <c r="F174" s="5">
        <v>4967.2299999999996</v>
      </c>
      <c r="G174" s="19"/>
      <c r="H174" s="6">
        <f t="shared" si="30"/>
        <v>6.3713730744178647E-3</v>
      </c>
      <c r="I174" s="6">
        <f t="shared" si="31"/>
        <v>1.4852540987510795E-3</v>
      </c>
      <c r="J174" s="6">
        <f t="shared" si="32"/>
        <v>1.4310268539026554E-2</v>
      </c>
      <c r="K174" s="6">
        <f t="shared" si="33"/>
        <v>1.1582000481511069E-2</v>
      </c>
      <c r="L174" s="6">
        <f t="shared" si="28"/>
        <v>-8.7971023365461913E-3</v>
      </c>
      <c r="M174" s="6">
        <f t="shared" si="29"/>
        <v>6.9975061085138356E-3</v>
      </c>
      <c r="N174" s="19"/>
    </row>
    <row r="175" spans="1:14" x14ac:dyDescent="0.2">
      <c r="A175" s="4">
        <v>45406</v>
      </c>
      <c r="B175" s="5">
        <v>168.59591699999999</v>
      </c>
      <c r="C175" s="5">
        <v>61.076087999999999</v>
      </c>
      <c r="D175" s="5">
        <v>192.01602199999999</v>
      </c>
      <c r="E175" s="5">
        <v>16.561426000000001</v>
      </c>
      <c r="F175" s="5">
        <v>5010.6000000000004</v>
      </c>
      <c r="G175" s="19"/>
      <c r="H175" s="6">
        <f t="shared" si="30"/>
        <v>1.2622341953280228E-2</v>
      </c>
      <c r="I175" s="6">
        <f t="shared" si="31"/>
        <v>1.4895089026447495E-2</v>
      </c>
      <c r="J175" s="6">
        <f t="shared" si="32"/>
        <v>4.8803897357337367E-3</v>
      </c>
      <c r="K175" s="6">
        <f t="shared" si="33"/>
        <v>1.8613569807513386E-2</v>
      </c>
      <c r="L175" s="6">
        <f t="shared" si="28"/>
        <v>8.6933277348877659E-3</v>
      </c>
      <c r="M175" s="6">
        <f t="shared" si="29"/>
        <v>1.0981357750377676E-2</v>
      </c>
      <c r="N175" s="19"/>
    </row>
    <row r="176" spans="1:14" x14ac:dyDescent="0.2">
      <c r="A176" s="4">
        <v>45407</v>
      </c>
      <c r="B176" s="5">
        <v>169.46373</v>
      </c>
      <c r="C176" s="5">
        <v>61.264628999999999</v>
      </c>
      <c r="D176" s="5">
        <v>192.30441300000001</v>
      </c>
      <c r="E176" s="5">
        <v>16.334827000000001</v>
      </c>
      <c r="F176" s="5">
        <v>5070.55</v>
      </c>
      <c r="G176" s="19"/>
      <c r="H176" s="6">
        <f t="shared" si="30"/>
        <v>5.1340934294748482E-3</v>
      </c>
      <c r="I176" s="6">
        <f t="shared" si="31"/>
        <v>3.082230575187468E-3</v>
      </c>
      <c r="J176" s="6">
        <f t="shared" si="32"/>
        <v>1.500784386497234E-3</v>
      </c>
      <c r="K176" s="6">
        <f t="shared" si="33"/>
        <v>-1.377680211997016E-2</v>
      </c>
      <c r="L176" s="6">
        <f t="shared" si="28"/>
        <v>1.1893624576650831E-2</v>
      </c>
      <c r="M176" s="6">
        <f t="shared" si="29"/>
        <v>3.0746468396164227E-3</v>
      </c>
      <c r="N176" s="19"/>
    </row>
    <row r="177" spans="1:14" x14ac:dyDescent="0.2">
      <c r="A177" s="4">
        <v>45408</v>
      </c>
      <c r="B177" s="5">
        <v>168.875214</v>
      </c>
      <c r="C177" s="5">
        <v>61.264628999999999</v>
      </c>
      <c r="D177" s="5">
        <v>192.423767</v>
      </c>
      <c r="E177" s="5">
        <v>16.502313999999998</v>
      </c>
      <c r="F177" s="5">
        <v>5071.63</v>
      </c>
      <c r="G177" s="19"/>
      <c r="H177" s="6">
        <f t="shared" si="30"/>
        <v>-3.4788581331064421E-3</v>
      </c>
      <c r="I177" s="6">
        <f t="shared" si="31"/>
        <v>0</v>
      </c>
      <c r="J177" s="6">
        <f t="shared" si="32"/>
        <v>6.2045885918183598E-4</v>
      </c>
      <c r="K177" s="6">
        <f t="shared" si="33"/>
        <v>1.020115925682203E-2</v>
      </c>
      <c r="L177" s="6">
        <f t="shared" si="28"/>
        <v>2.1297196541228134E-4</v>
      </c>
      <c r="M177" s="6">
        <f t="shared" si="29"/>
        <v>-6.7408404016900672E-4</v>
      </c>
      <c r="N177" s="19"/>
    </row>
    <row r="178" spans="1:14" x14ac:dyDescent="0.2">
      <c r="A178" s="4">
        <v>45411</v>
      </c>
      <c r="B178" s="5">
        <v>173.06466699999999</v>
      </c>
      <c r="C178" s="5">
        <v>61.562317</v>
      </c>
      <c r="D178" s="5">
        <v>192.21492000000001</v>
      </c>
      <c r="E178" s="5">
        <v>16.768322000000001</v>
      </c>
      <c r="F178" s="5">
        <v>5048.42</v>
      </c>
      <c r="G178" s="19"/>
      <c r="H178" s="6">
        <f t="shared" si="30"/>
        <v>2.4505258851654717E-2</v>
      </c>
      <c r="I178" s="6">
        <f t="shared" si="31"/>
        <v>4.8472846158211921E-3</v>
      </c>
      <c r="J178" s="6">
        <f t="shared" si="32"/>
        <v>-1.0859387138235847E-3</v>
      </c>
      <c r="K178" s="6">
        <f t="shared" si="33"/>
        <v>1.5990897700798735E-2</v>
      </c>
      <c r="L178" s="6">
        <f t="shared" si="28"/>
        <v>-4.5869419014574458E-3</v>
      </c>
      <c r="M178" s="6">
        <f t="shared" si="29"/>
        <v>7.8472630847743544E-3</v>
      </c>
      <c r="N178" s="19"/>
    </row>
    <row r="179" spans="1:14" x14ac:dyDescent="0.2">
      <c r="A179" s="4">
        <v>45412</v>
      </c>
      <c r="B179" s="5">
        <v>169.90263400000001</v>
      </c>
      <c r="C179" s="5">
        <v>61.294395000000002</v>
      </c>
      <c r="D179" s="5">
        <v>190.68341100000001</v>
      </c>
      <c r="E179" s="5">
        <v>16.640243999999999</v>
      </c>
      <c r="F179" s="5">
        <v>5099.96</v>
      </c>
      <c r="G179" s="19"/>
      <c r="H179" s="6">
        <f t="shared" si="30"/>
        <v>-1.8439790545778333E-2</v>
      </c>
      <c r="I179" s="6">
        <f t="shared" si="31"/>
        <v>-4.3615431401830369E-3</v>
      </c>
      <c r="J179" s="6">
        <f t="shared" si="32"/>
        <v>-7.9996022089060346E-3</v>
      </c>
      <c r="K179" s="6">
        <f t="shared" si="33"/>
        <v>-7.6674124514332052E-3</v>
      </c>
      <c r="L179" s="6">
        <f t="shared" si="28"/>
        <v>1.0157373516560254E-2</v>
      </c>
      <c r="M179" s="6">
        <f t="shared" si="29"/>
        <v>-9.1390724926943973E-3</v>
      </c>
      <c r="N179" s="19"/>
    </row>
    <row r="180" spans="1:14" x14ac:dyDescent="0.2">
      <c r="A180" s="4">
        <v>45413</v>
      </c>
      <c r="B180" s="5">
        <v>168.875214</v>
      </c>
      <c r="C180" s="5">
        <v>61.453163000000004</v>
      </c>
      <c r="D180" s="5">
        <v>190.80275</v>
      </c>
      <c r="E180" s="5">
        <v>16.669799999999999</v>
      </c>
      <c r="F180" s="5">
        <v>5116.17</v>
      </c>
      <c r="G180" s="19"/>
      <c r="H180" s="6">
        <f t="shared" si="30"/>
        <v>-6.0654683058762593E-3</v>
      </c>
      <c r="I180" s="6">
        <f t="shared" si="31"/>
        <v>2.5869042305606007E-3</v>
      </c>
      <c r="J180" s="6">
        <f t="shared" si="32"/>
        <v>6.2565312240965142E-4</v>
      </c>
      <c r="K180" s="6">
        <f t="shared" si="33"/>
        <v>1.7746003431574375E-3</v>
      </c>
      <c r="L180" s="6">
        <f t="shared" si="28"/>
        <v>3.1734156874775382E-3</v>
      </c>
      <c r="M180" s="6">
        <f t="shared" si="29"/>
        <v>-2.5776861225969034E-4</v>
      </c>
      <c r="N180" s="19"/>
    </row>
    <row r="181" spans="1:14" x14ac:dyDescent="0.2">
      <c r="A181" s="4">
        <v>45414</v>
      </c>
      <c r="B181" s="5">
        <v>172.59584000000001</v>
      </c>
      <c r="C181" s="5">
        <v>61.512703000000002</v>
      </c>
      <c r="D181" s="5">
        <v>190.60385099999999</v>
      </c>
      <c r="E181" s="5">
        <v>16.571278</v>
      </c>
      <c r="F181" s="5">
        <v>5035.6899999999996</v>
      </c>
      <c r="G181" s="19"/>
      <c r="H181" s="6">
        <f t="shared" si="30"/>
        <v>2.1792612899963495E-2</v>
      </c>
      <c r="I181" s="6">
        <f t="shared" si="31"/>
        <v>9.683988994642935E-4</v>
      </c>
      <c r="J181" s="6">
        <f t="shared" si="32"/>
        <v>-1.0429762752333207E-3</v>
      </c>
      <c r="K181" s="6">
        <f t="shared" si="33"/>
        <v>-5.9277432873759113E-3</v>
      </c>
      <c r="L181" s="6">
        <f t="shared" si="28"/>
        <v>-1.5855554753445709E-2</v>
      </c>
      <c r="M181" s="6">
        <f t="shared" si="29"/>
        <v>5.5709716458936624E-3</v>
      </c>
      <c r="N181" s="19"/>
    </row>
    <row r="182" spans="1:14" x14ac:dyDescent="0.2">
      <c r="A182" s="4">
        <v>45415</v>
      </c>
      <c r="B182" s="5">
        <v>182.91987599999999</v>
      </c>
      <c r="C182" s="5">
        <v>61.691315000000003</v>
      </c>
      <c r="D182" s="5">
        <v>189.46017499999999</v>
      </c>
      <c r="E182" s="5">
        <v>16.600836000000001</v>
      </c>
      <c r="F182" s="5">
        <v>5018.3900000000003</v>
      </c>
      <c r="G182" s="19"/>
      <c r="H182" s="6">
        <f t="shared" si="30"/>
        <v>5.8095544508652106E-2</v>
      </c>
      <c r="I182" s="6">
        <f t="shared" si="31"/>
        <v>2.8994529241732746E-3</v>
      </c>
      <c r="J182" s="6">
        <f t="shared" si="32"/>
        <v>-6.0183515082071516E-3</v>
      </c>
      <c r="K182" s="6">
        <f t="shared" si="33"/>
        <v>1.7820997373106853E-3</v>
      </c>
      <c r="L182" s="6">
        <f t="shared" si="28"/>
        <v>-3.4413923648739225E-3</v>
      </c>
      <c r="M182" s="6">
        <f t="shared" si="29"/>
        <v>1.3903402884590849E-2</v>
      </c>
      <c r="N182" s="19"/>
    </row>
    <row r="183" spans="1:14" x14ac:dyDescent="0.2">
      <c r="A183" s="4">
        <v>45418</v>
      </c>
      <c r="B183" s="5">
        <v>181.25408899999999</v>
      </c>
      <c r="C183" s="5">
        <v>61.869926</v>
      </c>
      <c r="D183" s="5">
        <v>190.941971</v>
      </c>
      <c r="E183" s="5">
        <v>16.738764</v>
      </c>
      <c r="F183" s="5">
        <v>5064.2</v>
      </c>
      <c r="G183" s="19"/>
      <c r="H183" s="6">
        <f t="shared" si="30"/>
        <v>-9.1483674173388676E-3</v>
      </c>
      <c r="I183" s="6">
        <f t="shared" si="31"/>
        <v>2.8910542328630683E-3</v>
      </c>
      <c r="J183" s="6">
        <f t="shared" si="32"/>
        <v>7.7907210062601899E-3</v>
      </c>
      <c r="K183" s="6">
        <f t="shared" si="33"/>
        <v>8.2741716697485573E-3</v>
      </c>
      <c r="L183" s="6">
        <f t="shared" si="28"/>
        <v>9.0870134013374317E-3</v>
      </c>
      <c r="M183" s="6">
        <f t="shared" si="29"/>
        <v>1.4756988669377877E-3</v>
      </c>
      <c r="N183" s="19"/>
    </row>
    <row r="184" spans="1:14" x14ac:dyDescent="0.2">
      <c r="A184" s="4">
        <v>45419</v>
      </c>
      <c r="B184" s="5">
        <v>181.94232199999999</v>
      </c>
      <c r="C184" s="5">
        <v>62.137847999999998</v>
      </c>
      <c r="D184" s="5">
        <v>190.693344</v>
      </c>
      <c r="E184" s="5">
        <v>16.827432999999999</v>
      </c>
      <c r="F184" s="5">
        <v>5127.79</v>
      </c>
      <c r="G184" s="19"/>
      <c r="H184" s="6">
        <f t="shared" si="30"/>
        <v>3.7898712813242458E-3</v>
      </c>
      <c r="I184" s="6">
        <f t="shared" si="31"/>
        <v>4.3210584019733201E-3</v>
      </c>
      <c r="J184" s="6">
        <f t="shared" si="32"/>
        <v>-1.3029561227812455E-3</v>
      </c>
      <c r="K184" s="6">
        <f t="shared" si="33"/>
        <v>5.283244107095986E-3</v>
      </c>
      <c r="L184" s="6">
        <f t="shared" si="28"/>
        <v>1.247858860899914E-2</v>
      </c>
      <c r="M184" s="6">
        <f t="shared" si="29"/>
        <v>2.3118807863292679E-3</v>
      </c>
      <c r="N184" s="19"/>
    </row>
    <row r="185" spans="1:14" x14ac:dyDescent="0.2">
      <c r="A185" s="4">
        <v>45420</v>
      </c>
      <c r="B185" s="5">
        <v>182.28149400000001</v>
      </c>
      <c r="C185" s="5">
        <v>62.366076999999997</v>
      </c>
      <c r="D185" s="5">
        <v>194.571854</v>
      </c>
      <c r="E185" s="5">
        <v>16.856991000000001</v>
      </c>
      <c r="F185" s="5">
        <v>5180.74</v>
      </c>
      <c r="G185" s="19"/>
      <c r="H185" s="6">
        <f t="shared" si="30"/>
        <v>1.8624377821563668E-3</v>
      </c>
      <c r="I185" s="6">
        <f t="shared" si="31"/>
        <v>3.666217842342803E-3</v>
      </c>
      <c r="J185" s="6">
        <f t="shared" si="32"/>
        <v>2.0134915133947339E-2</v>
      </c>
      <c r="K185" s="6">
        <f t="shared" si="33"/>
        <v>1.7549955781686565E-3</v>
      </c>
      <c r="L185" s="6">
        <f t="shared" si="28"/>
        <v>1.0273136069376812E-2</v>
      </c>
      <c r="M185" s="6">
        <f t="shared" si="29"/>
        <v>8.6990395670882362E-3</v>
      </c>
      <c r="N185" s="19"/>
    </row>
    <row r="186" spans="1:14" x14ac:dyDescent="0.2">
      <c r="A186" s="4">
        <v>45421</v>
      </c>
      <c r="B186" s="5">
        <v>184.10690299999999</v>
      </c>
      <c r="C186" s="5">
        <v>62.395851</v>
      </c>
      <c r="D186" s="5">
        <v>196.41166699999999</v>
      </c>
      <c r="E186" s="5">
        <v>16.925954999999998</v>
      </c>
      <c r="F186" s="5">
        <v>5187.7</v>
      </c>
      <c r="G186" s="19"/>
      <c r="H186" s="6">
        <f t="shared" si="30"/>
        <v>9.9644209184128335E-3</v>
      </c>
      <c r="I186" s="6">
        <f t="shared" si="31"/>
        <v>4.7729304993157585E-4</v>
      </c>
      <c r="J186" s="6">
        <f t="shared" si="32"/>
        <v>9.4112742907778765E-3</v>
      </c>
      <c r="K186" s="6">
        <f t="shared" si="33"/>
        <v>4.0827757174903999E-3</v>
      </c>
      <c r="L186" s="6">
        <f t="shared" si="28"/>
        <v>1.3425358193505205E-3</v>
      </c>
      <c r="M186" s="6">
        <f t="shared" si="29"/>
        <v>5.8575840612479727E-3</v>
      </c>
      <c r="N186" s="19"/>
    </row>
    <row r="187" spans="1:14" x14ac:dyDescent="0.2">
      <c r="A187" s="4">
        <v>45422</v>
      </c>
      <c r="B187" s="5">
        <v>182.83836400000001</v>
      </c>
      <c r="C187" s="5">
        <v>62.772922999999999</v>
      </c>
      <c r="D187" s="5">
        <v>197.674667</v>
      </c>
      <c r="E187" s="5">
        <v>16.916103</v>
      </c>
      <c r="F187" s="5">
        <v>5187.67</v>
      </c>
      <c r="G187" s="19"/>
      <c r="H187" s="6">
        <f t="shared" si="30"/>
        <v>-6.9140777525400921E-3</v>
      </c>
      <c r="I187" s="6">
        <f t="shared" si="31"/>
        <v>6.0250352963449492E-3</v>
      </c>
      <c r="J187" s="6">
        <f t="shared" si="32"/>
        <v>6.4097849393042125E-3</v>
      </c>
      <c r="K187" s="6">
        <f t="shared" si="33"/>
        <v>-5.8223411107649701E-4</v>
      </c>
      <c r="L187" s="6">
        <f t="shared" si="28"/>
        <v>-5.7829262956225704E-6</v>
      </c>
      <c r="M187" s="6">
        <f t="shared" si="29"/>
        <v>2.8768903028599836E-3</v>
      </c>
      <c r="N187" s="19"/>
    </row>
    <row r="188" spans="1:14" x14ac:dyDescent="0.2">
      <c r="A188" s="4">
        <v>45425</v>
      </c>
      <c r="B188" s="5">
        <v>186.06463600000001</v>
      </c>
      <c r="C188" s="5">
        <v>63.090462000000002</v>
      </c>
      <c r="D188" s="5">
        <v>197.63488799999999</v>
      </c>
      <c r="E188" s="5">
        <v>17.004771999999999</v>
      </c>
      <c r="F188" s="5">
        <v>5214.08</v>
      </c>
      <c r="G188" s="19"/>
      <c r="H188" s="6">
        <f t="shared" si="30"/>
        <v>1.7491613013872163E-2</v>
      </c>
      <c r="I188" s="6">
        <f t="shared" si="31"/>
        <v>5.0457831514656758E-3</v>
      </c>
      <c r="J188" s="6">
        <f t="shared" si="32"/>
        <v>-2.0125493872400897E-4</v>
      </c>
      <c r="K188" s="6">
        <f t="shared" si="33"/>
        <v>5.2280020464313707E-3</v>
      </c>
      <c r="L188" s="6">
        <f t="shared" si="28"/>
        <v>5.0780025958913483E-3</v>
      </c>
      <c r="M188" s="6">
        <f t="shared" si="29"/>
        <v>6.4482572728319426E-3</v>
      </c>
      <c r="N188" s="19"/>
    </row>
    <row r="189" spans="1:14" x14ac:dyDescent="0.2">
      <c r="A189" s="4">
        <v>45426</v>
      </c>
      <c r="B189" s="5">
        <v>187.213303</v>
      </c>
      <c r="C189" s="5">
        <v>62.614154999999997</v>
      </c>
      <c r="D189" s="5">
        <v>200.39956699999999</v>
      </c>
      <c r="E189" s="5">
        <v>17.044180000000001</v>
      </c>
      <c r="F189" s="5">
        <v>5222.68</v>
      </c>
      <c r="G189" s="19"/>
      <c r="H189" s="6">
        <f t="shared" si="30"/>
        <v>6.1545058292852206E-3</v>
      </c>
      <c r="I189" s="6">
        <f t="shared" si="31"/>
        <v>-7.578230471947678E-3</v>
      </c>
      <c r="J189" s="6">
        <f t="shared" si="32"/>
        <v>1.3891880096165623E-2</v>
      </c>
      <c r="K189" s="6">
        <f t="shared" si="33"/>
        <v>2.3147859350525577E-3</v>
      </c>
      <c r="L189" s="6">
        <f t="shared" si="28"/>
        <v>1.6480214063461682E-3</v>
      </c>
      <c r="M189" s="6">
        <f t="shared" si="29"/>
        <v>3.0558296724358851E-3</v>
      </c>
      <c r="N189" s="19"/>
    </row>
    <row r="190" spans="1:14" x14ac:dyDescent="0.2">
      <c r="A190" s="4">
        <v>45427</v>
      </c>
      <c r="B190" s="5">
        <v>189.50065599999999</v>
      </c>
      <c r="C190" s="5">
        <v>62.643925000000003</v>
      </c>
      <c r="D190" s="5">
        <v>200.996262</v>
      </c>
      <c r="E190" s="5">
        <v>17.073736</v>
      </c>
      <c r="F190" s="5">
        <v>5221.42</v>
      </c>
      <c r="G190" s="19"/>
      <c r="H190" s="6">
        <f t="shared" si="30"/>
        <v>1.2143861705092206E-2</v>
      </c>
      <c r="I190" s="6">
        <f t="shared" si="31"/>
        <v>4.7533860586955039E-4</v>
      </c>
      <c r="J190" s="6">
        <f t="shared" si="32"/>
        <v>2.9731023414911141E-3</v>
      </c>
      <c r="K190" s="6">
        <f t="shared" si="33"/>
        <v>1.732579879352201E-3</v>
      </c>
      <c r="L190" s="6">
        <f t="shared" si="28"/>
        <v>-2.4128455417182781E-4</v>
      </c>
      <c r="M190" s="6">
        <f t="shared" si="29"/>
        <v>4.2625877250417436E-3</v>
      </c>
      <c r="N190" s="19"/>
    </row>
    <row r="191" spans="1:14" x14ac:dyDescent="0.2">
      <c r="A191" s="4">
        <v>45428</v>
      </c>
      <c r="B191" s="5">
        <v>189.62051400000001</v>
      </c>
      <c r="C191" s="5">
        <v>62.832462</v>
      </c>
      <c r="D191" s="5">
        <v>201.35427899999999</v>
      </c>
      <c r="E191" s="5">
        <v>17.044180000000001</v>
      </c>
      <c r="F191" s="5">
        <v>5246.68</v>
      </c>
      <c r="G191" s="19"/>
      <c r="H191" s="6">
        <f t="shared" si="30"/>
        <v>6.3229391275216771E-4</v>
      </c>
      <c r="I191" s="6">
        <f t="shared" si="31"/>
        <v>3.0051413878821489E-3</v>
      </c>
      <c r="J191" s="6">
        <f t="shared" si="32"/>
        <v>1.7796277524522572E-3</v>
      </c>
      <c r="K191" s="6">
        <f t="shared" si="33"/>
        <v>-1.732579879352136E-3</v>
      </c>
      <c r="L191" s="6">
        <f t="shared" si="28"/>
        <v>4.8261000617198218E-3</v>
      </c>
      <c r="M191" s="6">
        <f t="shared" si="29"/>
        <v>1.9957928955933926E-3</v>
      </c>
      <c r="N191" s="19"/>
    </row>
    <row r="192" spans="1:14" x14ac:dyDescent="0.2">
      <c r="A192" s="4">
        <v>45429</v>
      </c>
      <c r="B192" s="5">
        <v>189.65048200000001</v>
      </c>
      <c r="C192" s="5">
        <v>62.544693000000002</v>
      </c>
      <c r="D192" s="5">
        <v>203.661484</v>
      </c>
      <c r="E192" s="5">
        <v>17.142702</v>
      </c>
      <c r="F192" s="5">
        <v>5308.15</v>
      </c>
      <c r="G192" s="19"/>
      <c r="H192" s="6">
        <f t="shared" si="30"/>
        <v>1.5802948487189222E-4</v>
      </c>
      <c r="I192" s="6">
        <f t="shared" si="31"/>
        <v>-4.5904615610439566E-3</v>
      </c>
      <c r="J192" s="6">
        <f t="shared" si="32"/>
        <v>1.1393284747523526E-2</v>
      </c>
      <c r="K192" s="6">
        <f t="shared" si="33"/>
        <v>5.7637472026845571E-3</v>
      </c>
      <c r="L192" s="6">
        <f t="shared" si="28"/>
        <v>1.1647879688045933E-2</v>
      </c>
      <c r="M192" s="6">
        <f t="shared" si="29"/>
        <v>1.9398518832628754E-3</v>
      </c>
      <c r="N192" s="19"/>
    </row>
    <row r="193" spans="1:14" x14ac:dyDescent="0.2">
      <c r="A193" s="4">
        <v>45432</v>
      </c>
      <c r="B193" s="5">
        <v>190.81912199999999</v>
      </c>
      <c r="C193" s="5">
        <v>62.088234</v>
      </c>
      <c r="D193" s="5">
        <v>194.50224299999999</v>
      </c>
      <c r="E193" s="5">
        <v>17.260926999999999</v>
      </c>
      <c r="F193" s="5">
        <v>5297.1</v>
      </c>
      <c r="G193" s="19"/>
      <c r="H193" s="6">
        <f t="shared" si="30"/>
        <v>6.1431644627328542E-3</v>
      </c>
      <c r="I193" s="6">
        <f t="shared" si="31"/>
        <v>-7.3248867997968373E-3</v>
      </c>
      <c r="J193" s="6">
        <f t="shared" si="32"/>
        <v>-4.6015528245516947E-2</v>
      </c>
      <c r="K193" s="6">
        <f t="shared" si="33"/>
        <v>6.8728485226429662E-3</v>
      </c>
      <c r="L193" s="6">
        <f t="shared" si="28"/>
        <v>-2.08387430730016E-3</v>
      </c>
      <c r="M193" s="6">
        <f t="shared" si="29"/>
        <v>-1.6811442523622006E-2</v>
      </c>
      <c r="N193" s="19"/>
    </row>
    <row r="194" spans="1:14" x14ac:dyDescent="0.2">
      <c r="A194" s="4">
        <v>45433</v>
      </c>
      <c r="B194" s="5">
        <v>192.12762499999999</v>
      </c>
      <c r="C194" s="5">
        <v>62.425617000000003</v>
      </c>
      <c r="D194" s="5">
        <v>198.42053200000001</v>
      </c>
      <c r="E194" s="5">
        <v>17.014624000000001</v>
      </c>
      <c r="F194" s="5">
        <v>5303.27</v>
      </c>
      <c r="G194" s="19"/>
      <c r="H194" s="6">
        <f t="shared" ref="H194:H225" si="34">LN(B194/B193)</f>
        <v>6.8338906269820778E-3</v>
      </c>
      <c r="I194" s="6">
        <f t="shared" ref="I194:I225" si="35">LN(C194/C193)</f>
        <v>5.4192175886679812E-3</v>
      </c>
      <c r="J194" s="6">
        <f t="shared" ref="J194:J225" si="36">LN(D194/D193)</f>
        <v>1.9944982273812171E-2</v>
      </c>
      <c r="K194" s="6">
        <f t="shared" ref="K194:K225" si="37">LN(E194/E193)</f>
        <v>-1.4372182648414963E-2</v>
      </c>
      <c r="L194" s="6">
        <f t="shared" ref="L194:L214" si="38">LN(F194/F193)</f>
        <v>1.1641104408194052E-3</v>
      </c>
      <c r="M194" s="6">
        <f t="shared" si="29"/>
        <v>1.0619359764638868E-2</v>
      </c>
      <c r="N194" s="19"/>
    </row>
    <row r="195" spans="1:14" x14ac:dyDescent="0.2">
      <c r="A195" s="4">
        <v>45434</v>
      </c>
      <c r="B195" s="5">
        <v>190.67929100000001</v>
      </c>
      <c r="C195" s="5">
        <v>62.514923000000003</v>
      </c>
      <c r="D195" s="5">
        <v>197.21719400000001</v>
      </c>
      <c r="E195" s="5">
        <v>17.241222</v>
      </c>
      <c r="F195" s="5">
        <v>5308.13</v>
      </c>
      <c r="G195" s="19"/>
      <c r="H195" s="6">
        <f t="shared" si="34"/>
        <v>-7.5669526869904195E-3</v>
      </c>
      <c r="I195" s="6">
        <f t="shared" si="35"/>
        <v>1.4295762641888972E-3</v>
      </c>
      <c r="J195" s="6">
        <f t="shared" si="36"/>
        <v>-6.0830483624738684E-3</v>
      </c>
      <c r="K195" s="6">
        <f t="shared" si="37"/>
        <v>1.3229934834084765E-2</v>
      </c>
      <c r="L195" s="6">
        <f t="shared" si="38"/>
        <v>9.159960683443537E-4</v>
      </c>
      <c r="M195" s="6">
        <f t="shared" si="29"/>
        <v>-3.3527013123181189E-3</v>
      </c>
      <c r="N195" s="19"/>
    </row>
    <row r="196" spans="1:14" x14ac:dyDescent="0.2">
      <c r="A196" s="4">
        <v>45435</v>
      </c>
      <c r="B196" s="5">
        <v>186.66394</v>
      </c>
      <c r="C196" s="5">
        <v>61.611930999999998</v>
      </c>
      <c r="D196" s="5">
        <v>195.83485400000001</v>
      </c>
      <c r="E196" s="5">
        <v>17.211666000000001</v>
      </c>
      <c r="F196" s="5">
        <v>5321.41</v>
      </c>
      <c r="G196" s="19"/>
      <c r="H196" s="6">
        <f t="shared" si="34"/>
        <v>-2.128302424671985E-2</v>
      </c>
      <c r="I196" s="6">
        <f t="shared" si="35"/>
        <v>-1.454975939193497E-2</v>
      </c>
      <c r="J196" s="6">
        <f t="shared" si="36"/>
        <v>-7.0339066105817626E-3</v>
      </c>
      <c r="K196" s="6">
        <f t="shared" si="37"/>
        <v>-1.7157346722541096E-3</v>
      </c>
      <c r="L196" s="6">
        <f t="shared" si="38"/>
        <v>2.498698327390512E-3</v>
      </c>
      <c r="M196" s="6">
        <f t="shared" ref="M196:M254" si="39">+SUMPRODUCT(H196:K196,$P$13:$S$13)</f>
        <v>-1.3749446796859348E-2</v>
      </c>
      <c r="N196" s="19"/>
    </row>
    <row r="197" spans="1:14" x14ac:dyDescent="0.2">
      <c r="A197" s="4">
        <v>45436</v>
      </c>
      <c r="B197" s="5">
        <v>189.760345</v>
      </c>
      <c r="C197" s="5">
        <v>61.522624999999998</v>
      </c>
      <c r="D197" s="5">
        <v>199.603973</v>
      </c>
      <c r="E197" s="5">
        <v>17.241222</v>
      </c>
      <c r="F197" s="5">
        <v>5307.01</v>
      </c>
      <c r="G197" s="19"/>
      <c r="H197" s="6">
        <f t="shared" si="34"/>
        <v>1.6452046082168593E-2</v>
      </c>
      <c r="I197" s="6">
        <f t="shared" si="35"/>
        <v>-1.4505435120728959E-3</v>
      </c>
      <c r="J197" s="6">
        <f t="shared" si="36"/>
        <v>1.9063546062445577E-2</v>
      </c>
      <c r="K197" s="6">
        <f t="shared" si="37"/>
        <v>1.7157346722542091E-3</v>
      </c>
      <c r="L197" s="6">
        <f t="shared" si="38"/>
        <v>-2.7097176835470336E-3</v>
      </c>
      <c r="M197" s="6">
        <f t="shared" si="39"/>
        <v>9.9207178816985223E-3</v>
      </c>
      <c r="N197" s="19"/>
    </row>
    <row r="198" spans="1:14" x14ac:dyDescent="0.2">
      <c r="A198" s="4">
        <v>45440</v>
      </c>
      <c r="B198" s="5">
        <v>189.770355</v>
      </c>
      <c r="C198" s="5">
        <v>61.344009</v>
      </c>
      <c r="D198" s="5">
        <v>198.40063499999999</v>
      </c>
      <c r="E198" s="5">
        <v>17.014624000000001</v>
      </c>
      <c r="F198" s="5">
        <v>5267.84</v>
      </c>
      <c r="G198" s="19"/>
      <c r="H198" s="6">
        <f t="shared" si="34"/>
        <v>5.2749355993220789E-5</v>
      </c>
      <c r="I198" s="6">
        <f t="shared" si="35"/>
        <v>-2.907479760967422E-3</v>
      </c>
      <c r="J198" s="6">
        <f t="shared" si="36"/>
        <v>-6.0468730383955328E-3</v>
      </c>
      <c r="K198" s="6">
        <f t="shared" si="37"/>
        <v>-1.3229934834084642E-2</v>
      </c>
      <c r="L198" s="6">
        <f t="shared" si="38"/>
        <v>-7.4081767856449404E-3</v>
      </c>
      <c r="M198" s="6">
        <f t="shared" si="39"/>
        <v>-3.2043662779120156E-3</v>
      </c>
      <c r="N198" s="19"/>
    </row>
    <row r="199" spans="1:14" x14ac:dyDescent="0.2">
      <c r="A199" s="4">
        <v>45441</v>
      </c>
      <c r="B199" s="5">
        <v>190.06999200000001</v>
      </c>
      <c r="C199" s="5">
        <v>61.224933999999998</v>
      </c>
      <c r="D199" s="5">
        <v>197.01829499999999</v>
      </c>
      <c r="E199" s="5">
        <v>16.866841999999998</v>
      </c>
      <c r="F199" s="5">
        <v>5304.72</v>
      </c>
      <c r="G199" s="19"/>
      <c r="H199" s="6">
        <f t="shared" si="34"/>
        <v>1.5777000232845243E-3</v>
      </c>
      <c r="I199" s="6">
        <f t="shared" si="35"/>
        <v>-1.9429887302046369E-3</v>
      </c>
      <c r="J199" s="6">
        <f t="shared" si="36"/>
        <v>-6.99180300416376E-3</v>
      </c>
      <c r="K199" s="6">
        <f t="shared" si="37"/>
        <v>-8.7235267318123977E-3</v>
      </c>
      <c r="L199" s="6">
        <f t="shared" si="38"/>
        <v>6.9765789150719763E-3</v>
      </c>
      <c r="M199" s="6">
        <f t="shared" si="39"/>
        <v>-2.7344316589986272E-3</v>
      </c>
      <c r="N199" s="19"/>
    </row>
    <row r="200" spans="1:14" x14ac:dyDescent="0.2">
      <c r="A200" s="4">
        <v>45442</v>
      </c>
      <c r="B200" s="5">
        <v>191.06883199999999</v>
      </c>
      <c r="C200" s="5">
        <v>61.492854999999999</v>
      </c>
      <c r="D200" s="5">
        <v>198.231583</v>
      </c>
      <c r="E200" s="5">
        <v>17.359449000000001</v>
      </c>
      <c r="F200" s="5">
        <v>5304.72</v>
      </c>
      <c r="G200" s="19"/>
      <c r="H200" s="6">
        <f t="shared" si="34"/>
        <v>5.2413568168104213E-3</v>
      </c>
      <c r="I200" s="6">
        <f t="shared" si="35"/>
        <v>4.3664643547632167E-3</v>
      </c>
      <c r="J200" s="6">
        <f t="shared" si="36"/>
        <v>6.1393658971166812E-3</v>
      </c>
      <c r="K200" s="6">
        <f t="shared" si="37"/>
        <v>2.8787286268958209E-2</v>
      </c>
      <c r="L200" s="6">
        <f t="shared" si="38"/>
        <v>0</v>
      </c>
      <c r="M200" s="6">
        <f t="shared" si="39"/>
        <v>5.1789689086650641E-3</v>
      </c>
      <c r="N200" s="19"/>
    </row>
    <row r="201" spans="1:14" x14ac:dyDescent="0.2">
      <c r="A201" s="4">
        <v>45443</v>
      </c>
      <c r="B201" s="5">
        <v>192.027725</v>
      </c>
      <c r="C201" s="5">
        <v>62.445464999999999</v>
      </c>
      <c r="D201" s="5">
        <v>201.513397</v>
      </c>
      <c r="E201" s="5">
        <v>17.950575000000001</v>
      </c>
      <c r="F201" s="5">
        <v>5306.04</v>
      </c>
      <c r="G201" s="19"/>
      <c r="H201" s="6">
        <f t="shared" si="34"/>
        <v>5.0060225548219234E-3</v>
      </c>
      <c r="I201" s="6">
        <f t="shared" si="35"/>
        <v>1.537262663889283E-2</v>
      </c>
      <c r="J201" s="6">
        <f t="shared" si="36"/>
        <v>1.6419907185533298E-2</v>
      </c>
      <c r="K201" s="6">
        <f t="shared" si="37"/>
        <v>3.3485178750257492E-2</v>
      </c>
      <c r="L201" s="6">
        <f t="shared" si="38"/>
        <v>2.4880404548013993E-4</v>
      </c>
      <c r="M201" s="6">
        <f t="shared" si="39"/>
        <v>1.3096726762540487E-2</v>
      </c>
      <c r="N201" s="19"/>
    </row>
    <row r="202" spans="1:14" x14ac:dyDescent="0.2">
      <c r="A202" s="4">
        <v>45446</v>
      </c>
      <c r="B202" s="5">
        <v>193.80566400000001</v>
      </c>
      <c r="C202" s="5">
        <v>62.445464999999999</v>
      </c>
      <c r="D202" s="5">
        <v>200.70787000000001</v>
      </c>
      <c r="E202" s="5">
        <v>17.743680999999999</v>
      </c>
      <c r="F202" s="5">
        <v>5266.95</v>
      </c>
      <c r="G202" s="19"/>
      <c r="H202" s="6">
        <f t="shared" si="34"/>
        <v>9.2161623911649945E-3</v>
      </c>
      <c r="I202" s="6">
        <f t="shared" si="35"/>
        <v>0</v>
      </c>
      <c r="J202" s="6">
        <f t="shared" si="36"/>
        <v>-4.0053977401266682E-3</v>
      </c>
      <c r="K202" s="6">
        <f t="shared" si="37"/>
        <v>-1.1592695309031092E-2</v>
      </c>
      <c r="L202" s="6">
        <f t="shared" si="38"/>
        <v>-7.3943469365055463E-3</v>
      </c>
      <c r="M202" s="6">
        <f t="shared" si="39"/>
        <v>9.9854979555656664E-4</v>
      </c>
      <c r="N202" s="19"/>
    </row>
    <row r="203" spans="1:14" x14ac:dyDescent="0.2">
      <c r="A203" s="4">
        <v>45447</v>
      </c>
      <c r="B203" s="5">
        <v>194.125305</v>
      </c>
      <c r="C203" s="5">
        <v>63.447685</v>
      </c>
      <c r="D203" s="5">
        <v>198.06251499999999</v>
      </c>
      <c r="E203" s="5">
        <v>18.078652999999999</v>
      </c>
      <c r="F203" s="5">
        <v>5235.4799999999996</v>
      </c>
      <c r="G203" s="19"/>
      <c r="H203" s="6">
        <f t="shared" si="34"/>
        <v>1.6479275844381797E-3</v>
      </c>
      <c r="I203" s="6">
        <f t="shared" si="35"/>
        <v>1.5922092232906072E-2</v>
      </c>
      <c r="J203" s="6">
        <f t="shared" si="36"/>
        <v>-1.3267754604042227E-2</v>
      </c>
      <c r="K203" s="6">
        <f t="shared" si="37"/>
        <v>1.8702397437831947E-2</v>
      </c>
      <c r="L203" s="6">
        <f t="shared" si="38"/>
        <v>-5.9929167225422977E-3</v>
      </c>
      <c r="M203" s="6">
        <f t="shared" si="39"/>
        <v>2.5776870111212701E-3</v>
      </c>
      <c r="N203" s="19"/>
    </row>
    <row r="204" spans="1:14" x14ac:dyDescent="0.2">
      <c r="A204" s="4">
        <v>45448</v>
      </c>
      <c r="B204" s="5">
        <v>195.643539</v>
      </c>
      <c r="C204" s="5">
        <v>63.427836999999997</v>
      </c>
      <c r="D204" s="5">
        <v>196.17297400000001</v>
      </c>
      <c r="E204" s="5">
        <v>18.029392000000001</v>
      </c>
      <c r="F204" s="5">
        <v>5277.51</v>
      </c>
      <c r="G204" s="19"/>
      <c r="H204" s="6">
        <f t="shared" si="34"/>
        <v>7.7904722351031866E-3</v>
      </c>
      <c r="I204" s="6">
        <f t="shared" si="35"/>
        <v>-3.1287359214828865E-4</v>
      </c>
      <c r="J204" s="6">
        <f t="shared" si="36"/>
        <v>-9.5859227382981537E-3</v>
      </c>
      <c r="K204" s="6">
        <f t="shared" si="37"/>
        <v>-2.7285349047250127E-3</v>
      </c>
      <c r="L204" s="6">
        <f t="shared" si="38"/>
        <v>7.9958649115222311E-3</v>
      </c>
      <c r="M204" s="6">
        <f t="shared" si="39"/>
        <v>-1.3519917609911927E-3</v>
      </c>
      <c r="N204" s="19"/>
    </row>
    <row r="205" spans="1:14" x14ac:dyDescent="0.2">
      <c r="A205" s="4">
        <v>45449</v>
      </c>
      <c r="B205" s="5">
        <v>194.25514200000001</v>
      </c>
      <c r="C205" s="5">
        <v>63.656070999999997</v>
      </c>
      <c r="D205" s="5">
        <v>195.82492099999999</v>
      </c>
      <c r="E205" s="5">
        <v>18.009689000000002</v>
      </c>
      <c r="F205" s="5">
        <v>5283.4</v>
      </c>
      <c r="G205" s="19"/>
      <c r="H205" s="6">
        <f t="shared" si="34"/>
        <v>-7.121864915451831E-3</v>
      </c>
      <c r="I205" s="6">
        <f t="shared" si="35"/>
        <v>3.5918669636785371E-3</v>
      </c>
      <c r="J205" s="6">
        <f t="shared" si="36"/>
        <v>-1.7757906147097171E-3</v>
      </c>
      <c r="K205" s="6">
        <f t="shared" si="37"/>
        <v>-1.0934242170624129E-3</v>
      </c>
      <c r="L205" s="6">
        <f t="shared" si="38"/>
        <v>1.1154342969859781E-3</v>
      </c>
      <c r="M205" s="6">
        <f t="shared" si="39"/>
        <v>-9.1024510976999177E-4</v>
      </c>
      <c r="N205" s="19"/>
    </row>
    <row r="206" spans="1:14" x14ac:dyDescent="0.2">
      <c r="A206" s="4">
        <v>45450</v>
      </c>
      <c r="B206" s="5">
        <v>196.66236900000001</v>
      </c>
      <c r="C206" s="5">
        <v>63.417918999999998</v>
      </c>
      <c r="D206" s="5">
        <v>198.84816000000001</v>
      </c>
      <c r="E206" s="5">
        <v>17.832352</v>
      </c>
      <c r="F206" s="5">
        <v>5291.34</v>
      </c>
      <c r="G206" s="19"/>
      <c r="H206" s="6">
        <f t="shared" si="34"/>
        <v>1.2315935510636394E-2</v>
      </c>
      <c r="I206" s="6">
        <f t="shared" si="35"/>
        <v>-3.748245865629597E-3</v>
      </c>
      <c r="J206" s="6">
        <f t="shared" si="36"/>
        <v>1.5320518573155651E-2</v>
      </c>
      <c r="K206" s="6">
        <f t="shared" si="37"/>
        <v>-9.8955551720559757E-3</v>
      </c>
      <c r="L206" s="6">
        <f t="shared" si="38"/>
        <v>1.5016920495655548E-3</v>
      </c>
      <c r="M206" s="6">
        <f t="shared" si="39"/>
        <v>6.6757252298091322E-3</v>
      </c>
      <c r="N206" s="19"/>
    </row>
    <row r="207" spans="1:14" x14ac:dyDescent="0.2">
      <c r="A207" s="4">
        <v>45453</v>
      </c>
      <c r="B207" s="5">
        <v>192.89671300000001</v>
      </c>
      <c r="C207" s="5">
        <v>63.100383999999998</v>
      </c>
      <c r="D207" s="5">
        <v>198.51004</v>
      </c>
      <c r="E207" s="5">
        <v>17.5959</v>
      </c>
      <c r="F207" s="5">
        <v>5354.03</v>
      </c>
      <c r="G207" s="19"/>
      <c r="H207" s="6">
        <f t="shared" si="34"/>
        <v>-1.9333515601065478E-2</v>
      </c>
      <c r="I207" s="6">
        <f t="shared" si="35"/>
        <v>-5.0196004719991047E-3</v>
      </c>
      <c r="J207" s="6">
        <f t="shared" si="36"/>
        <v>-1.7018402117130581E-3</v>
      </c>
      <c r="K207" s="6">
        <f t="shared" si="37"/>
        <v>-1.3348415321843266E-2</v>
      </c>
      <c r="L207" s="6">
        <f t="shared" si="38"/>
        <v>1.1778026448059028E-2</v>
      </c>
      <c r="M207" s="6">
        <f t="shared" si="39"/>
        <v>-7.5381972320903807E-3</v>
      </c>
      <c r="N207" s="19"/>
    </row>
    <row r="208" spans="1:14" x14ac:dyDescent="0.2">
      <c r="A208" s="4">
        <v>45454</v>
      </c>
      <c r="B208" s="5">
        <v>206.910492</v>
      </c>
      <c r="C208" s="5">
        <v>63.060687999999999</v>
      </c>
      <c r="D208" s="5">
        <v>193.288971</v>
      </c>
      <c r="E208" s="5">
        <v>17.5959</v>
      </c>
      <c r="F208" s="5">
        <v>5352.96</v>
      </c>
      <c r="G208" s="19"/>
      <c r="H208" s="6">
        <f t="shared" si="34"/>
        <v>7.0131414104475584E-2</v>
      </c>
      <c r="I208" s="6">
        <f t="shared" si="35"/>
        <v>-6.2929080548693986E-4</v>
      </c>
      <c r="J208" s="6">
        <f t="shared" si="36"/>
        <v>-2.6653349995766375E-2</v>
      </c>
      <c r="K208" s="6">
        <f t="shared" si="37"/>
        <v>0</v>
      </c>
      <c r="L208" s="6">
        <f t="shared" si="38"/>
        <v>-1.9986943175659869E-4</v>
      </c>
      <c r="M208" s="6">
        <f t="shared" si="39"/>
        <v>8.613786137766968E-3</v>
      </c>
      <c r="N208" s="19"/>
    </row>
    <row r="209" spans="1:14" x14ac:dyDescent="0.2">
      <c r="A209" s="4">
        <v>45455</v>
      </c>
      <c r="B209" s="5">
        <v>212.823669</v>
      </c>
      <c r="C209" s="5">
        <v>62.395851</v>
      </c>
      <c r="D209" s="5">
        <v>190.47456399999999</v>
      </c>
      <c r="E209" s="5">
        <v>17.349598</v>
      </c>
      <c r="F209" s="5">
        <v>5346.99</v>
      </c>
      <c r="G209" s="19"/>
      <c r="H209" s="6">
        <f t="shared" si="34"/>
        <v>2.8177683832117249E-2</v>
      </c>
      <c r="I209" s="6">
        <f t="shared" si="35"/>
        <v>-1.0598781521427382E-2</v>
      </c>
      <c r="J209" s="6">
        <f t="shared" si="36"/>
        <v>-1.4667664855327797E-2</v>
      </c>
      <c r="K209" s="6">
        <f t="shared" si="37"/>
        <v>-1.4096584264906203E-2</v>
      </c>
      <c r="L209" s="6">
        <f t="shared" si="38"/>
        <v>-1.1158931807150971E-3</v>
      </c>
      <c r="M209" s="6">
        <f t="shared" si="39"/>
        <v>-2.1362416635241572E-3</v>
      </c>
      <c r="N209" s="19"/>
    </row>
    <row r="210" spans="1:14" x14ac:dyDescent="0.2">
      <c r="A210" s="4">
        <v>45456</v>
      </c>
      <c r="B210" s="5">
        <v>213.99231</v>
      </c>
      <c r="C210" s="5">
        <v>62.505004999999997</v>
      </c>
      <c r="D210" s="5">
        <v>192.59283400000001</v>
      </c>
      <c r="E210" s="5">
        <v>17.408709000000002</v>
      </c>
      <c r="F210" s="5">
        <v>5360.79</v>
      </c>
      <c r="G210" s="19"/>
      <c r="H210" s="6">
        <f t="shared" si="34"/>
        <v>5.4761020107099078E-3</v>
      </c>
      <c r="I210" s="6">
        <f t="shared" si="35"/>
        <v>1.7478507559406556E-3</v>
      </c>
      <c r="J210" s="6">
        <f t="shared" si="36"/>
        <v>1.1059628683795456E-2</v>
      </c>
      <c r="K210" s="6">
        <f t="shared" si="37"/>
        <v>3.4012621492683047E-3</v>
      </c>
      <c r="L210" s="6">
        <f t="shared" si="38"/>
        <v>2.5775665246065955E-3</v>
      </c>
      <c r="M210" s="6">
        <f t="shared" si="39"/>
        <v>5.7958323503434356E-3</v>
      </c>
      <c r="N210" s="19"/>
    </row>
    <row r="211" spans="1:14" x14ac:dyDescent="0.2">
      <c r="A211" s="4">
        <v>45457</v>
      </c>
      <c r="B211" s="5">
        <v>212.244339</v>
      </c>
      <c r="C211" s="5">
        <v>62.549999</v>
      </c>
      <c r="D211" s="5">
        <v>192.71215799999999</v>
      </c>
      <c r="E211" s="5">
        <v>17.379152000000001</v>
      </c>
      <c r="F211" s="5">
        <v>5375.32</v>
      </c>
      <c r="G211" s="19"/>
      <c r="H211" s="6">
        <f t="shared" si="34"/>
        <v>-8.2019263390725322E-3</v>
      </c>
      <c r="I211" s="6">
        <f t="shared" si="35"/>
        <v>7.1958738958610062E-4</v>
      </c>
      <c r="J211" s="6">
        <f t="shared" si="36"/>
        <v>6.1937429460877716E-4</v>
      </c>
      <c r="K211" s="6">
        <f t="shared" si="37"/>
        <v>-1.6992713126116508E-3</v>
      </c>
      <c r="L211" s="6">
        <f t="shared" si="38"/>
        <v>2.7067548434573357E-3</v>
      </c>
      <c r="M211" s="6">
        <f t="shared" si="39"/>
        <v>-1.5728901220967632E-3</v>
      </c>
      <c r="N211" s="19"/>
    </row>
    <row r="212" spans="1:14" x14ac:dyDescent="0.2">
      <c r="A212" s="4">
        <v>45460</v>
      </c>
      <c r="B212" s="5">
        <v>216.41949500000001</v>
      </c>
      <c r="C212" s="5">
        <v>62.619999</v>
      </c>
      <c r="D212" s="5">
        <v>193.90554800000001</v>
      </c>
      <c r="E212" s="5">
        <v>17.408709000000002</v>
      </c>
      <c r="F212" s="5">
        <v>5421.03</v>
      </c>
      <c r="G212" s="19"/>
      <c r="H212" s="6">
        <f t="shared" si="34"/>
        <v>1.948047725735666E-2</v>
      </c>
      <c r="I212" s="6">
        <f t="shared" si="35"/>
        <v>1.1184790032108326E-3</v>
      </c>
      <c r="J212" s="6">
        <f t="shared" si="36"/>
        <v>6.1735082056717516E-3</v>
      </c>
      <c r="K212" s="6">
        <f t="shared" si="37"/>
        <v>1.6992713126115697E-3</v>
      </c>
      <c r="L212" s="6">
        <f t="shared" si="38"/>
        <v>8.4677271718827819E-3</v>
      </c>
      <c r="M212" s="6">
        <f t="shared" si="39"/>
        <v>7.4530476847953341E-3</v>
      </c>
      <c r="N212" s="19"/>
    </row>
    <row r="213" spans="1:14" x14ac:dyDescent="0.2">
      <c r="A213" s="4">
        <v>45461</v>
      </c>
      <c r="B213" s="5">
        <v>214.042236</v>
      </c>
      <c r="C213" s="5">
        <v>62.630001</v>
      </c>
      <c r="D213" s="5">
        <v>195.914413</v>
      </c>
      <c r="E213" s="5">
        <v>17.783089</v>
      </c>
      <c r="F213" s="5">
        <v>5433.74</v>
      </c>
      <c r="G213" s="19"/>
      <c r="H213" s="6">
        <f t="shared" si="34"/>
        <v>-1.1045270681009117E-2</v>
      </c>
      <c r="I213" s="6">
        <f t="shared" si="35"/>
        <v>1.5971257518978638E-4</v>
      </c>
      <c r="J213" s="6">
        <f t="shared" si="36"/>
        <v>1.030672096955205E-2</v>
      </c>
      <c r="K213" s="6">
        <f t="shared" si="37"/>
        <v>2.1277351283956945E-2</v>
      </c>
      <c r="L213" s="6">
        <f t="shared" si="38"/>
        <v>2.341828672305396E-3</v>
      </c>
      <c r="M213" s="6">
        <f t="shared" si="39"/>
        <v>7.0476532134454645E-4</v>
      </c>
      <c r="N213" s="19"/>
    </row>
    <row r="214" spans="1:14" x14ac:dyDescent="0.2">
      <c r="A214" s="4">
        <v>45463</v>
      </c>
      <c r="B214" s="5">
        <v>209.43757600000001</v>
      </c>
      <c r="C214" s="5">
        <v>62.18</v>
      </c>
      <c r="D214" s="5">
        <v>197.575211</v>
      </c>
      <c r="E214" s="5">
        <v>17.842203000000001</v>
      </c>
      <c r="F214" s="5">
        <v>5431.6</v>
      </c>
      <c r="G214" s="19"/>
      <c r="H214" s="6">
        <f t="shared" si="34"/>
        <v>-2.1747631659808291E-2</v>
      </c>
      <c r="I214" s="6">
        <f t="shared" si="35"/>
        <v>-7.2110078735026766E-3</v>
      </c>
      <c r="J214" s="6">
        <f t="shared" si="36"/>
        <v>8.4414315435738397E-3</v>
      </c>
      <c r="K214" s="6">
        <f t="shared" si="37"/>
        <v>3.3186565462668526E-3</v>
      </c>
      <c r="L214" s="6">
        <f t="shared" si="38"/>
        <v>-3.9391312700216223E-4</v>
      </c>
      <c r="M214" s="6">
        <f t="shared" si="39"/>
        <v>-5.6744364961232455E-3</v>
      </c>
      <c r="N214" s="19"/>
    </row>
    <row r="215" spans="1:14" x14ac:dyDescent="0.2">
      <c r="A215" s="4">
        <v>45464</v>
      </c>
      <c r="B215" s="5">
        <v>207.250122</v>
      </c>
      <c r="C215" s="5">
        <v>62.77</v>
      </c>
      <c r="D215" s="5">
        <v>195.218277</v>
      </c>
      <c r="E215" s="5">
        <v>18.127914000000001</v>
      </c>
      <c r="F215" s="5">
        <v>5473.23</v>
      </c>
      <c r="G215" s="19"/>
      <c r="H215" s="6">
        <f t="shared" si="34"/>
        <v>-1.0499345697948081E-2</v>
      </c>
      <c r="I215" s="6">
        <f t="shared" si="35"/>
        <v>9.443847698832648E-3</v>
      </c>
      <c r="J215" s="6">
        <f t="shared" si="36"/>
        <v>-1.2001025271443897E-2</v>
      </c>
      <c r="K215" s="6">
        <f t="shared" si="37"/>
        <v>1.588635415691966E-2</v>
      </c>
      <c r="L215" s="6">
        <f t="shared" ref="L215:L254" si="40">LN(F215/F214)</f>
        <v>7.6351859201040807E-3</v>
      </c>
      <c r="M215" s="6">
        <f t="shared" si="39"/>
        <v>-2.7543891709128996E-3</v>
      </c>
      <c r="N215" s="19"/>
    </row>
    <row r="216" spans="1:14" x14ac:dyDescent="0.2">
      <c r="A216" s="4">
        <v>45467</v>
      </c>
      <c r="B216" s="5">
        <v>207.89935299999999</v>
      </c>
      <c r="C216" s="5">
        <v>63.970001000000003</v>
      </c>
      <c r="D216" s="5">
        <v>197.78405799999999</v>
      </c>
      <c r="E216" s="5">
        <v>18.374217999999999</v>
      </c>
      <c r="F216" s="5">
        <v>5487.03</v>
      </c>
      <c r="G216" s="19"/>
      <c r="H216" s="6">
        <f t="shared" si="34"/>
        <v>3.1277001097442104E-3</v>
      </c>
      <c r="I216" s="6">
        <f t="shared" si="35"/>
        <v>1.8936986764933515E-2</v>
      </c>
      <c r="J216" s="6">
        <f t="shared" si="36"/>
        <v>1.305751761044515E-2</v>
      </c>
      <c r="K216" s="6">
        <f t="shared" si="37"/>
        <v>1.3495526138129172E-2</v>
      </c>
      <c r="L216" s="6">
        <f t="shared" si="40"/>
        <v>2.5181897678469146E-3</v>
      </c>
      <c r="M216" s="6">
        <f t="shared" si="39"/>
        <v>1.2973993062032795E-2</v>
      </c>
      <c r="N216" s="19"/>
    </row>
    <row r="217" spans="1:14" x14ac:dyDescent="0.2">
      <c r="A217" s="4">
        <v>45468</v>
      </c>
      <c r="B217" s="5">
        <v>208.828293</v>
      </c>
      <c r="C217" s="5">
        <v>63.84</v>
      </c>
      <c r="D217" s="5">
        <v>196.978531</v>
      </c>
      <c r="E217" s="5">
        <v>18.413627999999999</v>
      </c>
      <c r="F217" s="5">
        <v>5487.03</v>
      </c>
      <c r="G217" s="19"/>
      <c r="H217" s="6">
        <f t="shared" si="34"/>
        <v>4.4582669163491413E-3</v>
      </c>
      <c r="I217" s="6">
        <f t="shared" si="35"/>
        <v>-2.0342859528205111E-3</v>
      </c>
      <c r="J217" s="6">
        <f t="shared" si="36"/>
        <v>-4.0810762745116238E-3</v>
      </c>
      <c r="K217" s="6">
        <f t="shared" si="37"/>
        <v>2.1425562712271934E-3</v>
      </c>
      <c r="L217" s="6">
        <f t="shared" si="40"/>
        <v>0</v>
      </c>
      <c r="M217" s="6">
        <f t="shared" si="39"/>
        <v>-1.0725291864711749E-3</v>
      </c>
      <c r="N217" s="19"/>
    </row>
    <row r="218" spans="1:14" x14ac:dyDescent="0.2">
      <c r="A218" s="4">
        <v>45469</v>
      </c>
      <c r="B218" s="5">
        <v>213.00344799999999</v>
      </c>
      <c r="C218" s="5">
        <v>64.050003000000004</v>
      </c>
      <c r="D218" s="5">
        <v>196.34204099999999</v>
      </c>
      <c r="E218" s="5">
        <v>18.482592</v>
      </c>
      <c r="F218" s="5">
        <v>5473.17</v>
      </c>
      <c r="G218" s="19"/>
      <c r="H218" s="6">
        <f t="shared" si="34"/>
        <v>1.9796003669469535E-2</v>
      </c>
      <c r="I218" s="6">
        <f t="shared" si="35"/>
        <v>3.2841220395962312E-3</v>
      </c>
      <c r="J218" s="6">
        <f t="shared" si="36"/>
        <v>-3.2364976607338002E-3</v>
      </c>
      <c r="K218" s="6">
        <f t="shared" si="37"/>
        <v>3.738273476931629E-3</v>
      </c>
      <c r="L218" s="6">
        <f t="shared" si="40"/>
        <v>-2.5291522760688338E-3</v>
      </c>
      <c r="M218" s="6">
        <f t="shared" si="39"/>
        <v>5.2916595351862718E-3</v>
      </c>
      <c r="N218" s="19"/>
    </row>
    <row r="219" spans="1:14" x14ac:dyDescent="0.2">
      <c r="A219" s="4">
        <v>45470</v>
      </c>
      <c r="B219" s="5">
        <v>213.85247799999999</v>
      </c>
      <c r="C219" s="5">
        <v>63.91</v>
      </c>
      <c r="D219" s="5">
        <v>198.072464</v>
      </c>
      <c r="E219" s="5">
        <v>18.472738</v>
      </c>
      <c r="F219" s="5">
        <v>5464.62</v>
      </c>
      <c r="G219" s="19"/>
      <c r="H219" s="6">
        <f t="shared" si="34"/>
        <v>3.9780687953256729E-3</v>
      </c>
      <c r="I219" s="6">
        <f t="shared" si="35"/>
        <v>-2.1882315189594016E-3</v>
      </c>
      <c r="J219" s="6">
        <f t="shared" si="36"/>
        <v>8.7746980951394233E-3</v>
      </c>
      <c r="K219" s="6">
        <f t="shared" si="37"/>
        <v>-5.3329250387106324E-4</v>
      </c>
      <c r="L219" s="6">
        <f t="shared" si="40"/>
        <v>-1.5633874377691908E-3</v>
      </c>
      <c r="M219" s="6">
        <f t="shared" si="39"/>
        <v>3.0274880856696433E-3</v>
      </c>
      <c r="N219" s="19"/>
    </row>
    <row r="220" spans="1:14" x14ac:dyDescent="0.2">
      <c r="A220" s="4">
        <v>45471</v>
      </c>
      <c r="B220" s="5">
        <v>210.37647999999999</v>
      </c>
      <c r="C220" s="5">
        <v>63.650002000000001</v>
      </c>
      <c r="D220" s="5">
        <v>201.145432</v>
      </c>
      <c r="E220" s="5">
        <v>18.827414999999998</v>
      </c>
      <c r="F220" s="5">
        <v>5447.87</v>
      </c>
      <c r="G220" s="19"/>
      <c r="H220" s="6">
        <f t="shared" si="34"/>
        <v>-1.6387734624486144E-2</v>
      </c>
      <c r="I220" s="6">
        <f t="shared" si="35"/>
        <v>-4.0764872369371159E-3</v>
      </c>
      <c r="J220" s="6">
        <f t="shared" si="36"/>
        <v>1.5395245178859948E-2</v>
      </c>
      <c r="K220" s="6">
        <f t="shared" si="37"/>
        <v>1.901802869604308E-2</v>
      </c>
      <c r="L220" s="6">
        <f t="shared" si="40"/>
        <v>-3.0698792218004059E-3</v>
      </c>
      <c r="M220" s="6">
        <f t="shared" si="39"/>
        <v>-7.0331589916956469E-4</v>
      </c>
      <c r="N220" s="19"/>
    </row>
    <row r="221" spans="1:14" x14ac:dyDescent="0.2">
      <c r="A221" s="4">
        <v>45474</v>
      </c>
      <c r="B221" s="5">
        <v>216.499405</v>
      </c>
      <c r="C221" s="5">
        <v>63.279998999999997</v>
      </c>
      <c r="D221" s="5">
        <v>204.31785600000001</v>
      </c>
      <c r="E221" s="5">
        <v>18.699337</v>
      </c>
      <c r="F221" s="5">
        <v>5469.3</v>
      </c>
      <c r="G221" s="19"/>
      <c r="H221" s="6">
        <f t="shared" si="34"/>
        <v>2.8689111628198698E-2</v>
      </c>
      <c r="I221" s="6">
        <f t="shared" si="35"/>
        <v>-5.8300487686362692E-3</v>
      </c>
      <c r="J221" s="6">
        <f t="shared" si="36"/>
        <v>1.5648710168294964E-2</v>
      </c>
      <c r="K221" s="6">
        <f t="shared" si="37"/>
        <v>-6.8259836239331134E-3</v>
      </c>
      <c r="L221" s="6">
        <f t="shared" si="40"/>
        <v>3.9259309005764296E-3</v>
      </c>
      <c r="M221" s="6">
        <f t="shared" si="39"/>
        <v>1.0070356597732914E-2</v>
      </c>
      <c r="N221" s="19"/>
    </row>
    <row r="222" spans="1:14" x14ac:dyDescent="0.2">
      <c r="A222" s="4">
        <v>45475</v>
      </c>
      <c r="B222" s="5">
        <v>220.01533499999999</v>
      </c>
      <c r="C222" s="5">
        <v>63.150002000000001</v>
      </c>
      <c r="D222" s="5">
        <v>207.67922999999999</v>
      </c>
      <c r="E222" s="5">
        <v>18.541703999999999</v>
      </c>
      <c r="F222" s="5">
        <v>5477.9</v>
      </c>
      <c r="G222" s="19"/>
      <c r="H222" s="6">
        <f t="shared" si="34"/>
        <v>1.6109449297697549E-2</v>
      </c>
      <c r="I222" s="6">
        <f t="shared" si="35"/>
        <v>-2.0564271894918324E-3</v>
      </c>
      <c r="J222" s="6">
        <f t="shared" si="36"/>
        <v>1.6317826996333985E-2</v>
      </c>
      <c r="K222" s="6">
        <f t="shared" si="37"/>
        <v>-8.4656033871456007E-3</v>
      </c>
      <c r="L222" s="6">
        <f t="shared" si="40"/>
        <v>1.5711783413408377E-3</v>
      </c>
      <c r="M222" s="6">
        <f t="shared" si="39"/>
        <v>8.6682239535315272E-3</v>
      </c>
      <c r="N222" s="19"/>
    </row>
    <row r="223" spans="1:14" x14ac:dyDescent="0.2">
      <c r="A223" s="4">
        <v>45476</v>
      </c>
      <c r="B223" s="5">
        <v>221.29385400000001</v>
      </c>
      <c r="C223" s="5">
        <v>63.330002</v>
      </c>
      <c r="D223" s="5">
        <v>207.540009</v>
      </c>
      <c r="E223" s="5">
        <v>18.403773999999999</v>
      </c>
      <c r="F223" s="5">
        <v>5482.87</v>
      </c>
      <c r="G223" s="19"/>
      <c r="H223" s="6">
        <f t="shared" si="34"/>
        <v>5.7942259479230023E-3</v>
      </c>
      <c r="I223" s="6">
        <f t="shared" si="35"/>
        <v>2.8463016418229037E-3</v>
      </c>
      <c r="J223" s="6">
        <f t="shared" si="36"/>
        <v>-6.7059033946733737E-4</v>
      </c>
      <c r="K223" s="6">
        <f t="shared" si="37"/>
        <v>-7.466713020734231E-3</v>
      </c>
      <c r="L223" s="6">
        <f t="shared" si="40"/>
        <v>9.068706560974762E-4</v>
      </c>
      <c r="M223" s="6">
        <f t="shared" si="39"/>
        <v>2.4204664181059778E-3</v>
      </c>
      <c r="N223" s="19"/>
    </row>
    <row r="224" spans="1:14" x14ac:dyDescent="0.2">
      <c r="A224" s="4">
        <v>45478</v>
      </c>
      <c r="B224" s="5">
        <v>226.07830799999999</v>
      </c>
      <c r="C224" s="5">
        <v>63.759998000000003</v>
      </c>
      <c r="D224" s="5">
        <v>204.78999300000001</v>
      </c>
      <c r="E224" s="5">
        <v>18.492443000000002</v>
      </c>
      <c r="F224" s="5">
        <v>5460.48</v>
      </c>
      <c r="G224" s="19"/>
      <c r="H224" s="6">
        <f t="shared" si="34"/>
        <v>2.1389960415288217E-2</v>
      </c>
      <c r="I224" s="6">
        <f t="shared" si="35"/>
        <v>6.7668210053826762E-3</v>
      </c>
      <c r="J224" s="6">
        <f t="shared" si="36"/>
        <v>-1.3339105875401823E-2</v>
      </c>
      <c r="K224" s="6">
        <f t="shared" si="37"/>
        <v>4.8064098657813409E-3</v>
      </c>
      <c r="L224" s="6">
        <f t="shared" si="40"/>
        <v>-4.0919885121458088E-3</v>
      </c>
      <c r="M224" s="6">
        <f t="shared" si="39"/>
        <v>3.7676602872464583E-3</v>
      </c>
      <c r="N224" s="19"/>
    </row>
    <row r="225" spans="1:14" x14ac:dyDescent="0.2">
      <c r="A225" s="4">
        <v>45481</v>
      </c>
      <c r="B225" s="5">
        <v>227.55661000000001</v>
      </c>
      <c r="C225" s="5">
        <v>62.959999000000003</v>
      </c>
      <c r="D225" s="5">
        <v>205.16999799999999</v>
      </c>
      <c r="E225" s="5">
        <v>18.531851</v>
      </c>
      <c r="F225" s="5">
        <v>5475.09</v>
      </c>
      <c r="G225" s="19"/>
      <c r="H225" s="6">
        <f t="shared" si="34"/>
        <v>6.5176077697273217E-3</v>
      </c>
      <c r="I225" s="6">
        <f t="shared" si="35"/>
        <v>-1.2626414888283227E-2</v>
      </c>
      <c r="J225" s="6">
        <f t="shared" si="36"/>
        <v>1.8538643632364745E-3</v>
      </c>
      <c r="K225" s="6">
        <f t="shared" si="37"/>
        <v>2.1287652308458159E-3</v>
      </c>
      <c r="L225" s="6">
        <f t="shared" si="40"/>
        <v>2.6720159429360979E-3</v>
      </c>
      <c r="M225" s="6">
        <f t="shared" si="39"/>
        <v>-2.9520734476633204E-3</v>
      </c>
      <c r="N225" s="19"/>
    </row>
    <row r="226" spans="1:14" x14ac:dyDescent="0.2">
      <c r="A226" s="4">
        <v>45482</v>
      </c>
      <c r="B226" s="5">
        <v>228.415604</v>
      </c>
      <c r="C226" s="5">
        <v>62.689999</v>
      </c>
      <c r="D226" s="5">
        <v>207.63000500000001</v>
      </c>
      <c r="E226" s="5">
        <v>18.521999000000001</v>
      </c>
      <c r="F226" s="5">
        <v>5509.01</v>
      </c>
      <c r="G226" s="19"/>
      <c r="H226" s="6">
        <f t="shared" ref="H226:H254" si="41">LN(B226/B225)</f>
        <v>3.7677515857849927E-3</v>
      </c>
      <c r="I226" s="6">
        <f t="shared" ref="I226:I254" si="42">LN(C226/C225)</f>
        <v>-4.2976588916777241E-3</v>
      </c>
      <c r="J226" s="6">
        <f t="shared" ref="J226:J254" si="43">LN(D226/D225)</f>
        <v>1.1918779573079451E-2</v>
      </c>
      <c r="K226" s="6">
        <f t="shared" ref="K226:K254" si="44">LN(E226/E225)</f>
        <v>-5.3176661708070883E-4</v>
      </c>
      <c r="L226" s="6">
        <f t="shared" si="40"/>
        <v>6.1762197767835335E-3</v>
      </c>
      <c r="M226" s="6">
        <f t="shared" si="39"/>
        <v>3.1501168711101039E-3</v>
      </c>
      <c r="N226" s="19"/>
    </row>
    <row r="227" spans="1:14" x14ac:dyDescent="0.2">
      <c r="A227" s="4">
        <v>45483</v>
      </c>
      <c r="B227" s="5">
        <v>232.710632</v>
      </c>
      <c r="C227" s="5">
        <v>62.830002</v>
      </c>
      <c r="D227" s="5">
        <v>207.800003</v>
      </c>
      <c r="E227" s="5">
        <v>18.739999999999998</v>
      </c>
      <c r="F227" s="5">
        <v>5537.02</v>
      </c>
      <c r="G227" s="19"/>
      <c r="H227" s="6">
        <f t="shared" si="41"/>
        <v>1.8628964806476703E-2</v>
      </c>
      <c r="I227" s="6">
        <f t="shared" si="42"/>
        <v>2.2307689124128954E-3</v>
      </c>
      <c r="J227" s="6">
        <f t="shared" si="43"/>
        <v>8.1841949890559102E-4</v>
      </c>
      <c r="K227" s="6">
        <f t="shared" si="44"/>
        <v>1.1701116052050159E-2</v>
      </c>
      <c r="L227" s="6">
        <f t="shared" si="40"/>
        <v>5.0715161981972666E-3</v>
      </c>
      <c r="M227" s="6">
        <f t="shared" si="39"/>
        <v>5.9122768658987209E-3</v>
      </c>
      <c r="N227" s="19"/>
    </row>
    <row r="228" spans="1:14" x14ac:dyDescent="0.2">
      <c r="A228" s="4">
        <v>45484</v>
      </c>
      <c r="B228" s="5">
        <v>227.30690000000001</v>
      </c>
      <c r="C228" s="5">
        <v>63.099997999999999</v>
      </c>
      <c r="D228" s="5">
        <v>207.449997</v>
      </c>
      <c r="E228" s="5">
        <v>18.860001</v>
      </c>
      <c r="F228" s="5">
        <v>5537.02</v>
      </c>
      <c r="G228" s="19"/>
      <c r="H228" s="6">
        <f t="shared" si="41"/>
        <v>-2.3494672238777499E-2</v>
      </c>
      <c r="I228" s="6">
        <f t="shared" si="42"/>
        <v>4.2880396046633875E-3</v>
      </c>
      <c r="J228" s="6">
        <f t="shared" si="43"/>
        <v>-1.6857607845247413E-3</v>
      </c>
      <c r="K228" s="6">
        <f t="shared" si="44"/>
        <v>6.3830534173032645E-3</v>
      </c>
      <c r="L228" s="6">
        <f t="shared" si="40"/>
        <v>0</v>
      </c>
      <c r="M228" s="6">
        <f t="shared" si="39"/>
        <v>-4.738264952283841E-3</v>
      </c>
      <c r="N228" s="19"/>
    </row>
    <row r="229" spans="1:14" x14ac:dyDescent="0.2">
      <c r="A229" s="4">
        <v>45485</v>
      </c>
      <c r="B229" s="5">
        <v>230.27345299999999</v>
      </c>
      <c r="C229" s="5">
        <v>63.700001</v>
      </c>
      <c r="D229" s="5">
        <v>204.94000199999999</v>
      </c>
      <c r="E229" s="5">
        <v>18.809999000000001</v>
      </c>
      <c r="F229" s="5">
        <v>5567.19</v>
      </c>
      <c r="G229" s="19"/>
      <c r="H229" s="6">
        <f t="shared" si="41"/>
        <v>1.2966442042243119E-2</v>
      </c>
      <c r="I229" s="6">
        <f t="shared" si="42"/>
        <v>9.4638404252588466E-3</v>
      </c>
      <c r="J229" s="6">
        <f t="shared" si="43"/>
        <v>-1.2173069187035165E-2</v>
      </c>
      <c r="K229" s="6">
        <f t="shared" si="44"/>
        <v>-2.6547400778527642E-3</v>
      </c>
      <c r="L229" s="6">
        <f t="shared" si="40"/>
        <v>5.4339884131971751E-3</v>
      </c>
      <c r="M229" s="6">
        <f t="shared" si="39"/>
        <v>3.1384499282043074E-3</v>
      </c>
      <c r="N229" s="19"/>
    </row>
    <row r="230" spans="1:14" x14ac:dyDescent="0.2">
      <c r="A230" s="4">
        <v>45488</v>
      </c>
      <c r="B230" s="5">
        <v>234.128998</v>
      </c>
      <c r="C230" s="5">
        <v>63.41</v>
      </c>
      <c r="D230" s="5">
        <v>210.050003</v>
      </c>
      <c r="E230" s="5">
        <v>18.579999999999998</v>
      </c>
      <c r="F230" s="5">
        <v>5572.85</v>
      </c>
      <c r="G230" s="19"/>
      <c r="H230" s="6">
        <f t="shared" si="41"/>
        <v>1.6604708169325119E-2</v>
      </c>
      <c r="I230" s="6">
        <f t="shared" si="42"/>
        <v>-4.563000564764429E-3</v>
      </c>
      <c r="J230" s="6">
        <f t="shared" si="43"/>
        <v>2.4628348767179134E-2</v>
      </c>
      <c r="K230" s="6">
        <f t="shared" si="44"/>
        <v>-1.2302856764034255E-2</v>
      </c>
      <c r="L230" s="6">
        <f t="shared" si="40"/>
        <v>1.0161544279964853E-3</v>
      </c>
      <c r="M230" s="6">
        <f t="shared" si="39"/>
        <v>1.0527463618262891E-2</v>
      </c>
      <c r="N230" s="19"/>
    </row>
    <row r="231" spans="1:14" x14ac:dyDescent="0.2">
      <c r="A231" s="4">
        <v>45489</v>
      </c>
      <c r="B231" s="5">
        <v>234.54852299999999</v>
      </c>
      <c r="C231" s="5">
        <v>64.269997000000004</v>
      </c>
      <c r="D231" s="5">
        <v>213.61999499999999</v>
      </c>
      <c r="E231" s="5">
        <v>18.850000000000001</v>
      </c>
      <c r="F231" s="5">
        <v>5576.98</v>
      </c>
      <c r="G231" s="19"/>
      <c r="H231" s="6">
        <f t="shared" si="41"/>
        <v>1.7902506232981147E-3</v>
      </c>
      <c r="I231" s="6">
        <f t="shared" si="42"/>
        <v>1.3471334993176645E-2</v>
      </c>
      <c r="J231" s="6">
        <f t="shared" si="43"/>
        <v>1.6853100357796223E-2</v>
      </c>
      <c r="K231" s="6">
        <f t="shared" si="44"/>
        <v>1.4427180508327499E-2</v>
      </c>
      <c r="L231" s="6">
        <f t="shared" si="40"/>
        <v>7.4081850375864739E-4</v>
      </c>
      <c r="M231" s="6">
        <f t="shared" si="39"/>
        <v>1.1640749173552838E-2</v>
      </c>
      <c r="N231" s="19"/>
    </row>
    <row r="232" spans="1:14" x14ac:dyDescent="0.2">
      <c r="A232" s="4">
        <v>45490</v>
      </c>
      <c r="B232" s="5">
        <v>228.615387</v>
      </c>
      <c r="C232" s="5">
        <v>65.209998999999996</v>
      </c>
      <c r="D232" s="5">
        <v>216.86999499999999</v>
      </c>
      <c r="E232" s="5">
        <v>19.16</v>
      </c>
      <c r="F232" s="5">
        <v>5633.91</v>
      </c>
      <c r="G232" s="19"/>
      <c r="H232" s="6">
        <f t="shared" si="41"/>
        <v>-2.5621428783056767E-2</v>
      </c>
      <c r="I232" s="6">
        <f t="shared" si="42"/>
        <v>1.4519903364922418E-2</v>
      </c>
      <c r="J232" s="6">
        <f t="shared" si="43"/>
        <v>1.5099360369527649E-2</v>
      </c>
      <c r="K232" s="6">
        <f t="shared" si="44"/>
        <v>1.631185864869468E-2</v>
      </c>
      <c r="L232" s="6">
        <f t="shared" si="40"/>
        <v>1.0156283642139425E-2</v>
      </c>
      <c r="M232" s="6">
        <f t="shared" si="39"/>
        <v>4.5486142937535817E-3</v>
      </c>
      <c r="N232" s="19"/>
    </row>
    <row r="233" spans="1:14" x14ac:dyDescent="0.2">
      <c r="A233" s="4">
        <v>45491</v>
      </c>
      <c r="B233" s="5">
        <v>223.920807</v>
      </c>
      <c r="C233" s="5">
        <v>65.190002000000007</v>
      </c>
      <c r="D233" s="5">
        <v>209.979996</v>
      </c>
      <c r="E233" s="5">
        <v>19.149999999999999</v>
      </c>
      <c r="F233" s="5">
        <v>5584.54</v>
      </c>
      <c r="G233" s="19"/>
      <c r="H233" s="6">
        <f t="shared" si="41"/>
        <v>-2.074860964039351E-2</v>
      </c>
      <c r="I233" s="6">
        <f t="shared" si="42"/>
        <v>-3.067024540397419E-4</v>
      </c>
      <c r="J233" s="6">
        <f t="shared" si="43"/>
        <v>-3.2285803587666854E-2</v>
      </c>
      <c r="K233" s="6">
        <f t="shared" si="44"/>
        <v>-5.2205691605959625E-4</v>
      </c>
      <c r="L233" s="6">
        <f t="shared" si="40"/>
        <v>-8.8016292301766504E-3</v>
      </c>
      <c r="M233" s="6">
        <f t="shared" si="39"/>
        <v>-1.6142632876934467E-2</v>
      </c>
      <c r="N233" s="19"/>
    </row>
    <row r="234" spans="1:14" x14ac:dyDescent="0.2">
      <c r="A234" s="4">
        <v>45492</v>
      </c>
      <c r="B234" s="5">
        <v>224.050659</v>
      </c>
      <c r="C234" s="5">
        <v>65.290001000000004</v>
      </c>
      <c r="D234" s="5">
        <v>209.779999</v>
      </c>
      <c r="E234" s="5">
        <v>19.120000999999998</v>
      </c>
      <c r="F234" s="5">
        <v>5615.35</v>
      </c>
      <c r="G234" s="19"/>
      <c r="H234" s="6">
        <f t="shared" si="41"/>
        <v>5.7973336916425204E-4</v>
      </c>
      <c r="I234" s="6">
        <f t="shared" si="42"/>
        <v>1.5327868988235308E-3</v>
      </c>
      <c r="J234" s="6">
        <f t="shared" si="43"/>
        <v>-9.5291127080258486E-4</v>
      </c>
      <c r="K234" s="6">
        <f t="shared" si="44"/>
        <v>-1.5677557021459298E-3</v>
      </c>
      <c r="L234" s="6">
        <f t="shared" si="40"/>
        <v>5.5018536287759819E-3</v>
      </c>
      <c r="M234" s="6">
        <f t="shared" si="39"/>
        <v>4.6289173183341337E-4</v>
      </c>
      <c r="N234" s="19"/>
    </row>
    <row r="235" spans="1:14" x14ac:dyDescent="0.2">
      <c r="A235" s="4">
        <v>45495</v>
      </c>
      <c r="B235" s="5">
        <v>223.70107999999999</v>
      </c>
      <c r="C235" s="5">
        <v>64.769997000000004</v>
      </c>
      <c r="D235" s="5">
        <v>210.279999</v>
      </c>
      <c r="E235" s="5">
        <v>18.549999</v>
      </c>
      <c r="F235" s="5">
        <v>5631.22</v>
      </c>
      <c r="G235" s="19"/>
      <c r="H235" s="6">
        <f t="shared" si="41"/>
        <v>-1.5614861566389346E-3</v>
      </c>
      <c r="I235" s="6">
        <f t="shared" si="42"/>
        <v>-7.9964136377382936E-3</v>
      </c>
      <c r="J235" s="6">
        <f t="shared" si="43"/>
        <v>2.3806134291241197E-3</v>
      </c>
      <c r="K235" s="6">
        <f t="shared" si="44"/>
        <v>-3.0265224779422156E-2</v>
      </c>
      <c r="L235" s="6">
        <f t="shared" si="40"/>
        <v>2.822195662042845E-3</v>
      </c>
      <c r="M235" s="6">
        <f t="shared" si="39"/>
        <v>-2.9079742145283467E-3</v>
      </c>
      <c r="N235" s="19"/>
    </row>
    <row r="236" spans="1:14" x14ac:dyDescent="0.2">
      <c r="A236" s="4">
        <v>45496</v>
      </c>
      <c r="B236" s="5">
        <v>224.74984699999999</v>
      </c>
      <c r="C236" s="5">
        <v>64.959998999999996</v>
      </c>
      <c r="D236" s="5">
        <v>210.33000200000001</v>
      </c>
      <c r="E236" s="5">
        <v>18.209999</v>
      </c>
      <c r="F236" s="5">
        <v>5667.2</v>
      </c>
      <c r="G236" s="19"/>
      <c r="H236" s="6">
        <f t="shared" si="41"/>
        <v>4.6772962161707281E-3</v>
      </c>
      <c r="I236" s="6">
        <f t="shared" si="42"/>
        <v>2.9291935822486634E-3</v>
      </c>
      <c r="J236" s="6">
        <f t="shared" si="43"/>
        <v>2.3776420016967354E-4</v>
      </c>
      <c r="K236" s="6">
        <f t="shared" si="44"/>
        <v>-1.8498896320453713E-2</v>
      </c>
      <c r="L236" s="6">
        <f t="shared" si="40"/>
        <v>6.3690536600414091E-3</v>
      </c>
      <c r="M236" s="6">
        <f t="shared" si="39"/>
        <v>2.4746982226852869E-3</v>
      </c>
      <c r="N236" s="19"/>
    </row>
    <row r="237" spans="1:14" x14ac:dyDescent="0.2">
      <c r="A237" s="4">
        <v>45497</v>
      </c>
      <c r="B237" s="5">
        <v>218.28732299999999</v>
      </c>
      <c r="C237" s="5">
        <v>65.809997999999993</v>
      </c>
      <c r="D237" s="5">
        <v>208.58999600000001</v>
      </c>
      <c r="E237" s="5">
        <v>19.16</v>
      </c>
      <c r="F237" s="5">
        <v>5588.27</v>
      </c>
      <c r="G237" s="19"/>
      <c r="H237" s="6">
        <f t="shared" si="41"/>
        <v>-2.9175802186708118E-2</v>
      </c>
      <c r="I237" s="6">
        <f t="shared" si="42"/>
        <v>1.3000091618175304E-2</v>
      </c>
      <c r="J237" s="6">
        <f t="shared" si="43"/>
        <v>-8.307151793191617E-3</v>
      </c>
      <c r="K237" s="6">
        <f t="shared" si="44"/>
        <v>5.0853933718081321E-2</v>
      </c>
      <c r="L237" s="6">
        <f t="shared" si="40"/>
        <v>-1.4025410555021933E-2</v>
      </c>
      <c r="M237" s="6">
        <f t="shared" si="39"/>
        <v>-4.7819519198830244E-3</v>
      </c>
      <c r="N237" s="19"/>
    </row>
    <row r="238" spans="1:14" x14ac:dyDescent="0.2">
      <c r="A238" s="4">
        <v>45498</v>
      </c>
      <c r="B238" s="5">
        <v>217.23855599999999</v>
      </c>
      <c r="C238" s="5">
        <v>66.069999999999993</v>
      </c>
      <c r="D238" s="5">
        <v>208.66999799999999</v>
      </c>
      <c r="E238" s="5">
        <v>19.190000999999999</v>
      </c>
      <c r="F238" s="5">
        <v>5544.59</v>
      </c>
      <c r="G238" s="19"/>
      <c r="H238" s="6">
        <f t="shared" si="41"/>
        <v>-4.8161042901711899E-3</v>
      </c>
      <c r="I238" s="6">
        <f t="shared" si="42"/>
        <v>3.943013964285107E-3</v>
      </c>
      <c r="J238" s="6">
        <f t="shared" si="43"/>
        <v>3.8346355812063522E-4</v>
      </c>
      <c r="K238" s="6">
        <f t="shared" si="44"/>
        <v>1.564589587366755E-3</v>
      </c>
      <c r="L238" s="6">
        <f t="shared" si="40"/>
        <v>-7.8470804696827295E-3</v>
      </c>
      <c r="M238" s="6">
        <f t="shared" si="39"/>
        <v>5.3854468864905245E-4</v>
      </c>
      <c r="N238" s="19"/>
    </row>
    <row r="239" spans="1:14" x14ac:dyDescent="0.2">
      <c r="A239" s="4">
        <v>45499</v>
      </c>
      <c r="B239" s="5">
        <v>217.70800800000001</v>
      </c>
      <c r="C239" s="5">
        <v>67.050003000000004</v>
      </c>
      <c r="D239" s="5">
        <v>212.240005</v>
      </c>
      <c r="E239" s="5">
        <v>19.010000000000002</v>
      </c>
      <c r="F239" s="5">
        <v>5505</v>
      </c>
      <c r="G239" s="19"/>
      <c r="H239" s="6">
        <f t="shared" si="41"/>
        <v>2.1586660116600692E-3</v>
      </c>
      <c r="I239" s="6">
        <f t="shared" si="42"/>
        <v>1.4723868428621712E-2</v>
      </c>
      <c r="J239" s="6">
        <f t="shared" si="43"/>
        <v>1.6963686226937915E-2</v>
      </c>
      <c r="K239" s="6">
        <f t="shared" si="44"/>
        <v>-9.4242056297434203E-3</v>
      </c>
      <c r="L239" s="6">
        <f t="shared" si="40"/>
        <v>-7.1659074070294041E-3</v>
      </c>
      <c r="M239" s="6">
        <f t="shared" si="39"/>
        <v>1.2288760106853237E-2</v>
      </c>
      <c r="N239" s="19"/>
    </row>
    <row r="240" spans="1:14" x14ac:dyDescent="0.2">
      <c r="A240" s="4">
        <v>45502</v>
      </c>
      <c r="B240" s="5">
        <v>217.987686</v>
      </c>
      <c r="C240" s="5">
        <v>66.830001999999993</v>
      </c>
      <c r="D240" s="5">
        <v>210.85000600000001</v>
      </c>
      <c r="E240" s="5">
        <v>18.899999999999999</v>
      </c>
      <c r="F240" s="5">
        <v>5564.41</v>
      </c>
      <c r="G240" s="19"/>
      <c r="H240" s="6">
        <f t="shared" si="41"/>
        <v>1.2838228252665619E-3</v>
      </c>
      <c r="I240" s="6">
        <f t="shared" si="42"/>
        <v>-3.2865430207580882E-3</v>
      </c>
      <c r="J240" s="6">
        <f t="shared" si="43"/>
        <v>-6.5707247389028478E-3</v>
      </c>
      <c r="K240" s="6">
        <f t="shared" si="44"/>
        <v>-5.8032344347412621E-3</v>
      </c>
      <c r="L240" s="6">
        <f t="shared" si="40"/>
        <v>1.0734189165974961E-2</v>
      </c>
      <c r="M240" s="6">
        <f t="shared" si="39"/>
        <v>-3.2239794315750067E-3</v>
      </c>
      <c r="N240" s="19"/>
    </row>
    <row r="241" spans="1:14" x14ac:dyDescent="0.2">
      <c r="A241" s="4">
        <v>45503</v>
      </c>
      <c r="B241" s="5">
        <v>218.547043</v>
      </c>
      <c r="C241" s="5">
        <v>67.680000000000007</v>
      </c>
      <c r="D241" s="5">
        <v>215.19000199999999</v>
      </c>
      <c r="E241" s="5">
        <v>18.98</v>
      </c>
      <c r="F241" s="5">
        <v>5555.74</v>
      </c>
      <c r="G241" s="19"/>
      <c r="H241" s="6">
        <f t="shared" si="41"/>
        <v>2.562716177992965E-3</v>
      </c>
      <c r="I241" s="6">
        <f t="shared" si="42"/>
        <v>1.2638603848310002E-2</v>
      </c>
      <c r="J241" s="6">
        <f t="shared" si="43"/>
        <v>2.0374359451747755E-2</v>
      </c>
      <c r="K241" s="6">
        <f t="shared" si="44"/>
        <v>4.2238711161852434E-3</v>
      </c>
      <c r="L241" s="6">
        <f t="shared" si="40"/>
        <v>-1.5593317997995005E-3</v>
      </c>
      <c r="M241" s="6">
        <f t="shared" si="39"/>
        <v>1.2665810823616827E-2</v>
      </c>
      <c r="N241" s="19"/>
    </row>
    <row r="242" spans="1:14" x14ac:dyDescent="0.2">
      <c r="A242" s="4">
        <v>45504</v>
      </c>
      <c r="B242" s="5">
        <v>221.82324199999999</v>
      </c>
      <c r="C242" s="5">
        <v>66.739998</v>
      </c>
      <c r="D242" s="5">
        <v>212.800003</v>
      </c>
      <c r="E242" s="5">
        <v>19.25</v>
      </c>
      <c r="F242" s="5">
        <v>5427.13</v>
      </c>
      <c r="G242" s="19"/>
      <c r="H242" s="6">
        <f t="shared" si="41"/>
        <v>1.4879566390620118E-2</v>
      </c>
      <c r="I242" s="6">
        <f t="shared" si="42"/>
        <v>-1.3986271941776691E-2</v>
      </c>
      <c r="J242" s="6">
        <f t="shared" si="43"/>
        <v>-1.1168596535331227E-2</v>
      </c>
      <c r="K242" s="6">
        <f t="shared" si="44"/>
        <v>1.4125267552011362E-2</v>
      </c>
      <c r="L242" s="6">
        <f t="shared" si="40"/>
        <v>-2.3421178443889513E-2</v>
      </c>
      <c r="M242" s="6">
        <f t="shared" si="39"/>
        <v>-5.737744251742477E-3</v>
      </c>
      <c r="N242" s="19"/>
    </row>
    <row r="243" spans="1:14" x14ac:dyDescent="0.2">
      <c r="A243" s="4">
        <v>45505</v>
      </c>
      <c r="B243" s="5">
        <v>218.10754399999999</v>
      </c>
      <c r="C243" s="5">
        <v>67.959998999999996</v>
      </c>
      <c r="D243" s="5">
        <v>207.96000699999999</v>
      </c>
      <c r="E243" s="5">
        <v>19.469999000000001</v>
      </c>
      <c r="F243" s="5">
        <v>5399.22</v>
      </c>
      <c r="G243" s="19"/>
      <c r="H243" s="6">
        <f t="shared" si="41"/>
        <v>-1.6892595276606047E-2</v>
      </c>
      <c r="I243" s="6">
        <f t="shared" si="42"/>
        <v>1.8114838733001931E-2</v>
      </c>
      <c r="J243" s="6">
        <f t="shared" si="43"/>
        <v>-2.300698438939985E-2</v>
      </c>
      <c r="K243" s="6">
        <f t="shared" si="44"/>
        <v>1.1363707289245462E-2</v>
      </c>
      <c r="L243" s="6">
        <f t="shared" si="40"/>
        <v>-5.1559504042484414E-3</v>
      </c>
      <c r="M243" s="6">
        <f t="shared" si="39"/>
        <v>-4.4568965202546077E-3</v>
      </c>
      <c r="N243" s="19"/>
    </row>
    <row r="244" spans="1:14" x14ac:dyDescent="0.2">
      <c r="A244" s="4">
        <v>45506</v>
      </c>
      <c r="B244" s="5">
        <v>219.60580400000001</v>
      </c>
      <c r="C244" s="5">
        <v>69.330001999999993</v>
      </c>
      <c r="D244" s="5">
        <v>199.13999899999999</v>
      </c>
      <c r="E244" s="5">
        <v>19.370000999999998</v>
      </c>
      <c r="F244" s="5">
        <v>5459.1</v>
      </c>
      <c r="G244" s="19"/>
      <c r="H244" s="6">
        <f t="shared" si="41"/>
        <v>6.8458769114516189E-3</v>
      </c>
      <c r="I244" s="6">
        <f t="shared" si="42"/>
        <v>1.9958459712746134E-2</v>
      </c>
      <c r="J244" s="6">
        <f t="shared" si="43"/>
        <v>-4.3337697237488322E-2</v>
      </c>
      <c r="K244" s="6">
        <f t="shared" si="44"/>
        <v>-5.1492389779095047E-3</v>
      </c>
      <c r="L244" s="6">
        <f t="shared" si="40"/>
        <v>1.1029442312488889E-2</v>
      </c>
      <c r="M244" s="6">
        <f t="shared" si="39"/>
        <v>-4.460589274052365E-3</v>
      </c>
      <c r="N244" s="19"/>
    </row>
    <row r="245" spans="1:14" x14ac:dyDescent="0.2">
      <c r="A245" s="4">
        <v>45509</v>
      </c>
      <c r="B245" s="5">
        <v>209.02806100000001</v>
      </c>
      <c r="C245" s="5">
        <v>68.099997999999999</v>
      </c>
      <c r="D245" s="5">
        <v>194.89999399999999</v>
      </c>
      <c r="E245" s="5">
        <v>18.91</v>
      </c>
      <c r="F245" s="5">
        <v>5463.54</v>
      </c>
      <c r="G245" s="19"/>
      <c r="H245" s="6">
        <f t="shared" si="41"/>
        <v>-4.936563304839342E-2</v>
      </c>
      <c r="I245" s="6">
        <f t="shared" si="42"/>
        <v>-1.7900558015048668E-2</v>
      </c>
      <c r="J245" s="6">
        <f t="shared" si="43"/>
        <v>-2.1521514209848672E-2</v>
      </c>
      <c r="K245" s="6">
        <f t="shared" si="44"/>
        <v>-2.4034646374763047E-2</v>
      </c>
      <c r="L245" s="6">
        <f t="shared" si="40"/>
        <v>8.129903108684501E-4</v>
      </c>
      <c r="M245" s="6">
        <f t="shared" si="39"/>
        <v>-2.7075015497538095E-2</v>
      </c>
      <c r="N245" s="19"/>
    </row>
    <row r="246" spans="1:14" x14ac:dyDescent="0.2">
      <c r="A246" s="4">
        <v>45510</v>
      </c>
      <c r="B246" s="5">
        <v>206.99040199999999</v>
      </c>
      <c r="C246" s="5">
        <v>68.050003000000004</v>
      </c>
      <c r="D246" s="5">
        <v>200.33999600000001</v>
      </c>
      <c r="E246" s="5">
        <v>19.190000999999999</v>
      </c>
      <c r="F246" s="5">
        <v>5436.44</v>
      </c>
      <c r="G246" s="19"/>
      <c r="H246" s="6">
        <f t="shared" si="41"/>
        <v>-9.7960810695936606E-3</v>
      </c>
      <c r="I246" s="6">
        <f t="shared" si="42"/>
        <v>-7.3441060418495512E-4</v>
      </c>
      <c r="J246" s="6">
        <f t="shared" si="43"/>
        <v>2.7529327489063685E-2</v>
      </c>
      <c r="K246" s="6">
        <f t="shared" si="44"/>
        <v>1.4698479459715275E-2</v>
      </c>
      <c r="L246" s="6">
        <f t="shared" si="40"/>
        <v>-4.9724964337360253E-3</v>
      </c>
      <c r="M246" s="6">
        <f t="shared" si="39"/>
        <v>6.3922766729031851E-3</v>
      </c>
      <c r="N246" s="19"/>
    </row>
    <row r="247" spans="1:14" x14ac:dyDescent="0.2">
      <c r="A247" s="4">
        <v>45511</v>
      </c>
      <c r="B247" s="5">
        <v>209.57742300000001</v>
      </c>
      <c r="C247" s="5">
        <v>68.459998999999996</v>
      </c>
      <c r="D247" s="5">
        <v>200.39999399999999</v>
      </c>
      <c r="E247" s="5">
        <v>19.25</v>
      </c>
      <c r="F247" s="5">
        <v>5522.3</v>
      </c>
      <c r="G247" s="19"/>
      <c r="H247" s="6">
        <f t="shared" si="41"/>
        <v>1.2420806909965328E-2</v>
      </c>
      <c r="I247" s="6">
        <f t="shared" si="42"/>
        <v>6.0068453122636119E-3</v>
      </c>
      <c r="J247" s="6">
        <f t="shared" si="43"/>
        <v>2.9943605302915484E-4</v>
      </c>
      <c r="K247" s="6">
        <f t="shared" si="44"/>
        <v>3.1216986037119246E-3</v>
      </c>
      <c r="L247" s="6">
        <f t="shared" si="40"/>
        <v>1.567000529191805E-2</v>
      </c>
      <c r="M247" s="6">
        <f t="shared" si="39"/>
        <v>5.7284946510569503E-3</v>
      </c>
      <c r="N247" s="19"/>
    </row>
    <row r="248" spans="1:14" x14ac:dyDescent="0.2">
      <c r="A248" s="4">
        <v>45512</v>
      </c>
      <c r="B248" s="5">
        <v>213.06338500000001</v>
      </c>
      <c r="C248" s="5">
        <v>68.730002999999996</v>
      </c>
      <c r="D248" s="5">
        <v>204.05999800000001</v>
      </c>
      <c r="E248" s="5">
        <v>19.399999999999999</v>
      </c>
      <c r="F248" s="5">
        <v>5446.68</v>
      </c>
      <c r="G248" s="19"/>
      <c r="H248" s="6">
        <f t="shared" si="41"/>
        <v>1.6496471649674511E-2</v>
      </c>
      <c r="I248" s="6">
        <f t="shared" si="42"/>
        <v>3.9362102876051566E-3</v>
      </c>
      <c r="J248" s="6">
        <f t="shared" si="43"/>
        <v>1.8098719175530638E-2</v>
      </c>
      <c r="K248" s="6">
        <f t="shared" si="44"/>
        <v>7.7620053354891094E-3</v>
      </c>
      <c r="L248" s="6">
        <f t="shared" si="40"/>
        <v>-1.3788191433053192E-2</v>
      </c>
      <c r="M248" s="6">
        <f t="shared" si="39"/>
        <v>1.1837512317936028E-2</v>
      </c>
      <c r="N248" s="19"/>
    </row>
    <row r="249" spans="1:14" x14ac:dyDescent="0.2">
      <c r="A249" s="4">
        <v>45513</v>
      </c>
      <c r="B249" s="5">
        <v>215.990005</v>
      </c>
      <c r="C249" s="5">
        <v>68.680000000000007</v>
      </c>
      <c r="D249" s="5">
        <v>205.800003</v>
      </c>
      <c r="E249" s="5">
        <v>19.489999999999998</v>
      </c>
      <c r="F249" s="5">
        <v>5346.56</v>
      </c>
      <c r="G249" s="19"/>
      <c r="H249" s="6">
        <f t="shared" si="41"/>
        <v>1.3642429865120695E-2</v>
      </c>
      <c r="I249" s="6">
        <f t="shared" si="42"/>
        <v>-7.2779275329949461E-4</v>
      </c>
      <c r="J249" s="6">
        <f t="shared" si="43"/>
        <v>8.4907795310884548E-3</v>
      </c>
      <c r="K249" s="6">
        <f t="shared" si="44"/>
        <v>4.6284474501869788E-3</v>
      </c>
      <c r="L249" s="6">
        <f t="shared" si="40"/>
        <v>-1.8552885294602865E-2</v>
      </c>
      <c r="M249" s="6">
        <f t="shared" si="39"/>
        <v>5.9838414015251033E-3</v>
      </c>
      <c r="N249" s="19"/>
    </row>
    <row r="250" spans="1:14" x14ac:dyDescent="0.2">
      <c r="A250" s="4">
        <v>45516</v>
      </c>
      <c r="B250" s="5">
        <v>217.529999</v>
      </c>
      <c r="C250" s="5">
        <v>68.169998000000007</v>
      </c>
      <c r="D250" s="5">
        <v>206.19000199999999</v>
      </c>
      <c r="E250" s="5">
        <v>19.43</v>
      </c>
      <c r="F250" s="5">
        <v>5186.33</v>
      </c>
      <c r="G250" s="19"/>
      <c r="H250" s="6">
        <f t="shared" si="41"/>
        <v>7.1046339891622338E-3</v>
      </c>
      <c r="I250" s="6">
        <f t="shared" si="42"/>
        <v>-7.4534799929999399E-3</v>
      </c>
      <c r="J250" s="6">
        <f t="shared" si="43"/>
        <v>1.8932455242062468E-3</v>
      </c>
      <c r="K250" s="6">
        <f t="shared" si="44"/>
        <v>-3.0832501301206196E-3</v>
      </c>
      <c r="L250" s="6">
        <f t="shared" si="40"/>
        <v>-3.0427045496882188E-2</v>
      </c>
      <c r="M250" s="6">
        <f t="shared" si="39"/>
        <v>-6.5155094644064686E-4</v>
      </c>
      <c r="N250" s="19"/>
    </row>
    <row r="251" spans="1:14" x14ac:dyDescent="0.2">
      <c r="A251" s="4">
        <v>45517</v>
      </c>
      <c r="B251" s="5">
        <v>221.270004</v>
      </c>
      <c r="C251" s="5">
        <v>68.459998999999996</v>
      </c>
      <c r="D251" s="5">
        <v>207.94000199999999</v>
      </c>
      <c r="E251" s="5">
        <v>19.52</v>
      </c>
      <c r="F251" s="5">
        <v>5240.03</v>
      </c>
      <c r="G251" s="19"/>
      <c r="H251" s="6">
        <f t="shared" si="41"/>
        <v>1.7046925905757491E-2</v>
      </c>
      <c r="I251" s="6">
        <f t="shared" si="42"/>
        <v>4.2450624586943594E-3</v>
      </c>
      <c r="J251" s="6">
        <f t="shared" si="43"/>
        <v>8.4515026665683331E-3</v>
      </c>
      <c r="K251" s="6">
        <f t="shared" si="44"/>
        <v>4.6213175955976916E-3</v>
      </c>
      <c r="L251" s="6">
        <f t="shared" si="40"/>
        <v>1.0300905557719547E-2</v>
      </c>
      <c r="M251" s="6">
        <f t="shared" si="39"/>
        <v>8.8888509919145611E-3</v>
      </c>
      <c r="N251" s="19"/>
    </row>
    <row r="252" spans="1:14" x14ac:dyDescent="0.2">
      <c r="A252" s="4">
        <v>45518</v>
      </c>
      <c r="B252" s="5">
        <v>221.720001</v>
      </c>
      <c r="C252" s="5">
        <v>68.580001999999993</v>
      </c>
      <c r="D252" s="5">
        <v>210.240005</v>
      </c>
      <c r="E252" s="5">
        <v>19.629999000000002</v>
      </c>
      <c r="F252" s="5">
        <v>5199.5</v>
      </c>
      <c r="G252" s="19"/>
      <c r="H252" s="6">
        <f t="shared" si="41"/>
        <v>2.0316357014954671E-3</v>
      </c>
      <c r="I252" s="6">
        <f t="shared" si="42"/>
        <v>1.751357702825767E-3</v>
      </c>
      <c r="J252" s="6">
        <f t="shared" si="43"/>
        <v>1.1000172910606301E-2</v>
      </c>
      <c r="K252" s="6">
        <f t="shared" si="44"/>
        <v>5.6193763609869146E-3</v>
      </c>
      <c r="L252" s="6">
        <f t="shared" si="40"/>
        <v>-7.7647563892511828E-3</v>
      </c>
      <c r="M252" s="6">
        <f t="shared" si="39"/>
        <v>4.9052685143068601E-3</v>
      </c>
      <c r="N252" s="19"/>
    </row>
    <row r="253" spans="1:14" x14ac:dyDescent="0.2">
      <c r="A253" s="4">
        <v>45519</v>
      </c>
      <c r="B253" s="5">
        <v>224.720001</v>
      </c>
      <c r="C253" s="5">
        <v>68.650002000000001</v>
      </c>
      <c r="D253" s="5">
        <v>211.550003</v>
      </c>
      <c r="E253" s="5">
        <v>19.09</v>
      </c>
      <c r="F253" s="5">
        <v>5319.31</v>
      </c>
      <c r="G253" s="19"/>
      <c r="H253" s="6">
        <f t="shared" si="41"/>
        <v>1.3439858184173351E-2</v>
      </c>
      <c r="I253" s="6">
        <f t="shared" si="42"/>
        <v>1.0201851494693278E-3</v>
      </c>
      <c r="J253" s="6">
        <f t="shared" si="43"/>
        <v>6.2116322685317679E-3</v>
      </c>
      <c r="K253" s="6">
        <f t="shared" si="44"/>
        <v>-2.7894319608277238E-2</v>
      </c>
      <c r="L253" s="6">
        <f t="shared" si="40"/>
        <v>2.2781128575607587E-2</v>
      </c>
      <c r="M253" s="6">
        <f t="shared" si="39"/>
        <v>5.8955325929202513E-3</v>
      </c>
      <c r="N253" s="19"/>
    </row>
    <row r="254" spans="1:14" x14ac:dyDescent="0.2">
      <c r="A254" s="4">
        <v>45520</v>
      </c>
      <c r="B254" s="5">
        <v>226.050003</v>
      </c>
      <c r="C254" s="5">
        <v>69.180000000000007</v>
      </c>
      <c r="D254" s="5">
        <v>213.970001</v>
      </c>
      <c r="E254" s="5">
        <v>19.34</v>
      </c>
      <c r="F254" s="5">
        <v>5344.16</v>
      </c>
      <c r="G254" s="19"/>
      <c r="H254" s="6">
        <f t="shared" si="41"/>
        <v>5.9010397660438866E-3</v>
      </c>
      <c r="I254" s="6">
        <f t="shared" si="42"/>
        <v>7.6906421617582866E-3</v>
      </c>
      <c r="J254" s="6">
        <f t="shared" si="43"/>
        <v>1.1374431605290789E-2</v>
      </c>
      <c r="K254" s="6">
        <f t="shared" si="44"/>
        <v>1.3010852287492039E-2</v>
      </c>
      <c r="L254" s="6">
        <f t="shared" si="40"/>
        <v>4.660780212150723E-3</v>
      </c>
      <c r="M254" s="6">
        <f t="shared" si="39"/>
        <v>8.4654160026556048E-3</v>
      </c>
      <c r="N254" s="19"/>
    </row>
  </sheetData>
  <mergeCells count="1">
    <mergeCell ref="H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Optimización de Portafolio (2)</vt:lpstr>
      <vt:lpstr>Ratio de Sharpe</vt:lpstr>
      <vt:lpstr>Ratio de Traynor</vt:lpstr>
      <vt:lpstr>Ratio de Sortino</vt:lpstr>
      <vt:lpstr>Volatilidad Ideo</vt:lpstr>
      <vt:lpstr>Conditional Value at Risk</vt:lpstr>
      <vt:lpstr>PSR y DSR</vt:lpstr>
      <vt:lpstr>Optimización de Portafolio  (3)</vt:lpstr>
      <vt:lpstr>Costos de Transacción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2025-12-16T23:44:46Z</dcterms:created>
  <dcterms:modified xsi:type="dcterms:W3CDTF">2026-03-27T18:48:31Z</dcterms:modified>
</cp:coreProperties>
</file>