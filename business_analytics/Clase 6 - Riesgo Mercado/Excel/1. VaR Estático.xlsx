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166925"/>
  <mc:AlternateContent xmlns:mc="http://schemas.openxmlformats.org/markup-compatibility/2006">
    <mc:Choice Requires="x15">
      <x15ac:absPath xmlns:x15ac="http://schemas.microsoft.com/office/spreadsheetml/2010/11/ac" url="/Users/francomansilla/Library/CloudStorage/GoogleDrive-franco.andres.mansilla@gmail.com/Mi unidad/universidad de chile/Magíster en Finanzas WK/Business Analytics/Clase 3 - Riesgo Mercado/Excel/"/>
    </mc:Choice>
  </mc:AlternateContent>
  <xr:revisionPtr revIDLastSave="0" documentId="13_ncr:1_{D96E4AA1-755E-DE4F-B144-6D45D520F828}" xr6:coauthVersionLast="47" xr6:coauthVersionMax="47" xr10:uidLastSave="{00000000-0000-0000-0000-000000000000}"/>
  <bookViews>
    <workbookView xWindow="0" yWindow="620" windowWidth="38400" windowHeight="19500" tabRatio="890" firstSheet="1" activeTab="4" xr2:uid="{BBEE264C-6B7B-403B-B2F7-9488AA81C980}"/>
  </bookViews>
  <sheets>
    <sheet name="RiskSim" sheetId="4" state="veryHidden" r:id="rId1"/>
    <sheet name="BD Original" sheetId="6" r:id="rId2"/>
    <sheet name="Precios" sheetId="1" r:id="rId3"/>
    <sheet name="Retorno" sheetId="7" r:id="rId4"/>
    <sheet name="Portafolio" sheetId="5" r:id="rId5"/>
    <sheet name="VaR (Volt. Hist)" sheetId="8" r:id="rId6"/>
    <sheet name="VaR (No-Param) " sheetId="9" r:id="rId7"/>
    <sheet name="VaR (Montecarlos)" sheetId="10" r:id="rId8"/>
    <sheet name="Ajuste Distr. All" sheetId="13" r:id="rId9"/>
    <sheet name="VaR (GARCH)" sheetId="14" r:id="rId10"/>
    <sheet name="GARCH-Apple" sheetId="23" r:id="rId11"/>
    <sheet name="GARCH-CC" sheetId="24" r:id="rId12"/>
    <sheet name="GARCH-JPMorgan" sheetId="25" r:id="rId13"/>
    <sheet name="GARCH-AT&amp;T" sheetId="26" r:id="rId14"/>
    <sheet name="GARCH-Portafolio" sheetId="27" r:id="rId15"/>
  </sheets>
  <definedNames>
    <definedName name="_xlnm.Print_Area" localSheetId="10">'GARCH-Apple'!$B$1:$O$108</definedName>
    <definedName name="_xlnm.Print_Area" localSheetId="13">'GARCH-AT&amp;T'!$B$1:$O$108</definedName>
    <definedName name="_xlnm.Print_Area" localSheetId="11">'GARCH-CC'!$B$1:$O$108</definedName>
    <definedName name="_xlnm.Print_Area" localSheetId="12">'GARCH-JPMorgan'!$B$1:$O$108</definedName>
    <definedName name="_xlnm.Print_Area" localSheetId="14">'GARCH-Portafolio'!$B$1:$O$108</definedName>
    <definedName name="CBWorkbookPriority" hidden="1">-1935235038</definedName>
    <definedName name="solver_adj" localSheetId="4" hidden="1">Portafolio!$M$37:$P$37</definedName>
    <definedName name="solver_cvg" localSheetId="4" hidden="1">0.0001</definedName>
    <definedName name="solver_drv" localSheetId="4" hidden="1">2</definedName>
    <definedName name="solver_eng" localSheetId="4" hidden="1">1</definedName>
    <definedName name="solver_est" localSheetId="4" hidden="1">1</definedName>
    <definedName name="solver_itr" localSheetId="4" hidden="1">100</definedName>
    <definedName name="solver_lhs1" localSheetId="4" hidden="1">Portafolio!$Q$37</definedName>
    <definedName name="solver_lhs2" localSheetId="4" hidden="1">Portafolio!$M$37</definedName>
    <definedName name="solver_lhs3" localSheetId="4" hidden="1">Portafolio!$M$37</definedName>
    <definedName name="solver_lhs4" localSheetId="4" hidden="1">Portafolio!$N$37</definedName>
    <definedName name="solver_lhs5" localSheetId="4" hidden="1">Portafolio!$N$37</definedName>
    <definedName name="solver_lhs6" localSheetId="4" hidden="1">Portafolio!$O$37</definedName>
    <definedName name="solver_lhs7" localSheetId="4" hidden="1">Portafolio!$O$37</definedName>
    <definedName name="solver_lhs8" localSheetId="4" hidden="1">Portafolio!$P$37</definedName>
    <definedName name="solver_lhs9" localSheetId="4" hidden="1">Portafolio!$P$37</definedName>
    <definedName name="solver_lin" localSheetId="4" hidden="1">2</definedName>
    <definedName name="solver_mip" localSheetId="4" hidden="1">2147483647</definedName>
    <definedName name="solver_mni" localSheetId="4" hidden="1">30</definedName>
    <definedName name="solver_mrt" localSheetId="4" hidden="1">0.075</definedName>
    <definedName name="solver_msl" localSheetId="4" hidden="1">2</definedName>
    <definedName name="solver_neg" localSheetId="4" hidden="1">1</definedName>
    <definedName name="solver_nod" localSheetId="4" hidden="1">2147483647</definedName>
    <definedName name="solver_num" localSheetId="4" hidden="1">1</definedName>
    <definedName name="solver_nwt" localSheetId="4" hidden="1">1</definedName>
    <definedName name="solver_opt" localSheetId="4" hidden="1">Portafolio!$M$41</definedName>
    <definedName name="solver_pre" localSheetId="4" hidden="1">0.000001</definedName>
    <definedName name="solver_rbv" localSheetId="4" hidden="1">1</definedName>
    <definedName name="solver_rel1" localSheetId="4" hidden="1">2</definedName>
    <definedName name="solver_rel2" localSheetId="4" hidden="1">3</definedName>
    <definedName name="solver_rel3" localSheetId="4" hidden="1">1</definedName>
    <definedName name="solver_rel4" localSheetId="4" hidden="1">3</definedName>
    <definedName name="solver_rel5" localSheetId="4" hidden="1">1</definedName>
    <definedName name="solver_rel6" localSheetId="4" hidden="1">3</definedName>
    <definedName name="solver_rel7" localSheetId="4" hidden="1">1</definedName>
    <definedName name="solver_rel8" localSheetId="4" hidden="1">3</definedName>
    <definedName name="solver_rel9" localSheetId="4" hidden="1">1</definedName>
    <definedName name="solver_rhs1" localSheetId="4" hidden="1">1</definedName>
    <definedName name="solver_rhs2" localSheetId="4" hidden="1">0</definedName>
    <definedName name="solver_rhs3" localSheetId="4" hidden="1">1</definedName>
    <definedName name="solver_rhs4" localSheetId="4" hidden="1">0</definedName>
    <definedName name="solver_rhs5" localSheetId="4" hidden="1">1</definedName>
    <definedName name="solver_rhs6" localSheetId="4" hidden="1">0</definedName>
    <definedName name="solver_rhs7" localSheetId="4" hidden="1">1</definedName>
    <definedName name="solver_rhs8" localSheetId="4" hidden="1">0</definedName>
    <definedName name="solver_rhs9" localSheetId="4" hidden="1">1</definedName>
    <definedName name="solver_rlx" localSheetId="4" hidden="1">2</definedName>
    <definedName name="solver_rsd" localSheetId="4" hidden="1">0</definedName>
    <definedName name="solver_scl" localSheetId="4" hidden="1">2</definedName>
    <definedName name="solver_sho" localSheetId="4" hidden="1">2</definedName>
    <definedName name="solver_ssz" localSheetId="4" hidden="1">100</definedName>
    <definedName name="solver_tim" localSheetId="4" hidden="1">900</definedName>
    <definedName name="solver_tol" localSheetId="4" hidden="1">0.000001</definedName>
    <definedName name="solver_typ" localSheetId="4" hidden="1">1</definedName>
    <definedName name="solver_val" localSheetId="4" hidden="1">0</definedName>
    <definedName name="solver_ver" localSheetId="4"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 i="14" l="1"/>
  <c r="N17" i="14" s="1"/>
  <c r="F3" i="14"/>
  <c r="F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 i="14"/>
  <c r="P6" i="14"/>
  <c r="Q6" i="14"/>
  <c r="Q12" i="14" s="1"/>
  <c r="O6" i="14"/>
  <c r="O12" i="14" s="1"/>
  <c r="N6" i="14"/>
  <c r="N12" i="14" s="1"/>
  <c r="N9" i="14"/>
  <c r="K2" i="14"/>
  <c r="R5" i="14" s="1"/>
  <c r="I7" i="10"/>
  <c r="J7" i="10"/>
  <c r="K7" i="10"/>
  <c r="L7" i="10"/>
  <c r="H7" i="10"/>
  <c r="E2" i="10"/>
  <c r="L5" i="10" s="1"/>
  <c r="E2" i="9"/>
  <c r="L5" i="9" s="1"/>
  <c r="H9" i="8"/>
  <c r="E2" i="8"/>
  <c r="L5" i="8" s="1"/>
  <c r="Q10" i="7"/>
  <c r="Q18" i="7"/>
  <c r="Q26" i="7"/>
  <c r="Q34" i="7"/>
  <c r="Q42" i="7"/>
  <c r="Q50" i="7"/>
  <c r="Q58" i="7"/>
  <c r="Q66" i="7"/>
  <c r="Q74" i="7"/>
  <c r="Q82" i="7"/>
  <c r="Q90" i="7"/>
  <c r="Q98" i="7"/>
  <c r="Q106" i="7"/>
  <c r="Q114" i="7"/>
  <c r="Q122" i="7"/>
  <c r="Q130" i="7"/>
  <c r="Q138" i="7"/>
  <c r="Q146" i="7"/>
  <c r="Q154" i="7"/>
  <c r="Q162" i="7"/>
  <c r="Q170" i="7"/>
  <c r="Q178" i="7"/>
  <c r="Q186" i="7"/>
  <c r="Q194" i="7"/>
  <c r="Q202" i="7"/>
  <c r="Q210" i="7"/>
  <c r="Q218" i="7"/>
  <c r="Q226" i="7"/>
  <c r="Q234" i="7"/>
  <c r="Q242" i="7"/>
  <c r="Q250" i="7"/>
  <c r="O254" i="7"/>
  <c r="P254" i="7"/>
  <c r="Q254" i="7"/>
  <c r="N16" i="7"/>
  <c r="N30" i="7"/>
  <c r="N48" i="7"/>
  <c r="N65" i="7"/>
  <c r="N79" i="7"/>
  <c r="N96" i="7"/>
  <c r="N110" i="7"/>
  <c r="N128" i="7"/>
  <c r="N145" i="7"/>
  <c r="N159" i="7"/>
  <c r="N176" i="7"/>
  <c r="N190" i="7"/>
  <c r="N218" i="7"/>
  <c r="N254" i="7"/>
  <c r="U42" i="7"/>
  <c r="V42" i="7"/>
  <c r="V43" i="7" s="1"/>
  <c r="W42" i="7"/>
  <c r="W43" i="7" s="1"/>
  <c r="U43" i="7"/>
  <c r="T42" i="7"/>
  <c r="T43" i="7" s="1"/>
  <c r="F4" i="7"/>
  <c r="N3" i="7" s="1"/>
  <c r="G4" i="7"/>
  <c r="O3" i="7" s="1"/>
  <c r="H4" i="7"/>
  <c r="P3" i="7" s="1"/>
  <c r="I4" i="7"/>
  <c r="Q3" i="7" s="1"/>
  <c r="J4" i="7"/>
  <c r="K4" i="7"/>
  <c r="L4" i="7"/>
  <c r="M4" i="7"/>
  <c r="F5" i="7"/>
  <c r="N4" i="7" s="1"/>
  <c r="G5" i="7"/>
  <c r="O4" i="7" s="1"/>
  <c r="H5" i="7"/>
  <c r="P4" i="7" s="1"/>
  <c r="I5" i="7"/>
  <c r="Q4" i="7" s="1"/>
  <c r="J5" i="7"/>
  <c r="K5" i="7"/>
  <c r="L5" i="7"/>
  <c r="M5" i="7"/>
  <c r="F6" i="7"/>
  <c r="N5" i="7" s="1"/>
  <c r="G6" i="7"/>
  <c r="O5" i="7" s="1"/>
  <c r="H6" i="7"/>
  <c r="P5" i="7" s="1"/>
  <c r="I6" i="7"/>
  <c r="Q5" i="7" s="1"/>
  <c r="J6" i="7"/>
  <c r="K6" i="7"/>
  <c r="L6" i="7"/>
  <c r="M6" i="7"/>
  <c r="F7" i="7"/>
  <c r="N6" i="7" s="1"/>
  <c r="G7" i="7"/>
  <c r="O6" i="7" s="1"/>
  <c r="H7" i="7"/>
  <c r="P6" i="7" s="1"/>
  <c r="I7" i="7"/>
  <c r="Q6" i="7" s="1"/>
  <c r="J7" i="7"/>
  <c r="K7" i="7"/>
  <c r="L7" i="7"/>
  <c r="M7" i="7"/>
  <c r="F8" i="7"/>
  <c r="N7" i="7" s="1"/>
  <c r="G8" i="7"/>
  <c r="O7" i="7" s="1"/>
  <c r="H8" i="7"/>
  <c r="P7" i="7" s="1"/>
  <c r="I8" i="7"/>
  <c r="Q7" i="7" s="1"/>
  <c r="J8" i="7"/>
  <c r="K8" i="7"/>
  <c r="L8" i="7"/>
  <c r="M8" i="7"/>
  <c r="F9" i="7"/>
  <c r="N8" i="7" s="1"/>
  <c r="G9" i="7"/>
  <c r="O8" i="7" s="1"/>
  <c r="H9" i="7"/>
  <c r="P8" i="7" s="1"/>
  <c r="I9" i="7"/>
  <c r="Q8" i="7" s="1"/>
  <c r="J9" i="7"/>
  <c r="K9" i="7"/>
  <c r="L9" i="7"/>
  <c r="M9" i="7"/>
  <c r="F10" i="7"/>
  <c r="N9" i="7" s="1"/>
  <c r="G10" i="7"/>
  <c r="O9" i="7" s="1"/>
  <c r="H10" i="7"/>
  <c r="P9" i="7" s="1"/>
  <c r="I10" i="7"/>
  <c r="Q9" i="7" s="1"/>
  <c r="J10" i="7"/>
  <c r="K10" i="7"/>
  <c r="L10" i="7"/>
  <c r="M10" i="7"/>
  <c r="F11" i="7"/>
  <c r="N10" i="7" s="1"/>
  <c r="G11" i="7"/>
  <c r="O10" i="7" s="1"/>
  <c r="H11" i="7"/>
  <c r="P10" i="7" s="1"/>
  <c r="I11" i="7"/>
  <c r="J11" i="7"/>
  <c r="K11" i="7"/>
  <c r="L11" i="7"/>
  <c r="M11" i="7"/>
  <c r="F12" i="7"/>
  <c r="N11" i="7" s="1"/>
  <c r="G12" i="7"/>
  <c r="O11" i="7" s="1"/>
  <c r="H12" i="7"/>
  <c r="P11" i="7" s="1"/>
  <c r="I12" i="7"/>
  <c r="Q11" i="7" s="1"/>
  <c r="J12" i="7"/>
  <c r="K12" i="7"/>
  <c r="L12" i="7"/>
  <c r="M12" i="7"/>
  <c r="F13" i="7"/>
  <c r="N12" i="7" s="1"/>
  <c r="G13" i="7"/>
  <c r="O12" i="7" s="1"/>
  <c r="H13" i="7"/>
  <c r="P12" i="7" s="1"/>
  <c r="I13" i="7"/>
  <c r="Q12" i="7" s="1"/>
  <c r="J13" i="7"/>
  <c r="K13" i="7"/>
  <c r="L13" i="7"/>
  <c r="M13" i="7"/>
  <c r="F14" i="7"/>
  <c r="N13" i="7" s="1"/>
  <c r="G14" i="7"/>
  <c r="O13" i="7" s="1"/>
  <c r="H14" i="7"/>
  <c r="P13" i="7" s="1"/>
  <c r="I14" i="7"/>
  <c r="Q13" i="7" s="1"/>
  <c r="J14" i="7"/>
  <c r="K14" i="7"/>
  <c r="L14" i="7"/>
  <c r="M14" i="7"/>
  <c r="F15" i="7"/>
  <c r="N14" i="7" s="1"/>
  <c r="G15" i="7"/>
  <c r="O14" i="7" s="1"/>
  <c r="H15" i="7"/>
  <c r="P14" i="7" s="1"/>
  <c r="I15" i="7"/>
  <c r="Q14" i="7" s="1"/>
  <c r="J15" i="7"/>
  <c r="K15" i="7"/>
  <c r="L15" i="7"/>
  <c r="M15" i="7"/>
  <c r="F16" i="7"/>
  <c r="N15" i="7" s="1"/>
  <c r="G16" i="7"/>
  <c r="O15" i="7" s="1"/>
  <c r="H16" i="7"/>
  <c r="P15" i="7" s="1"/>
  <c r="I16" i="7"/>
  <c r="Q15" i="7" s="1"/>
  <c r="J16" i="7"/>
  <c r="K16" i="7"/>
  <c r="L16" i="7"/>
  <c r="M16" i="7"/>
  <c r="F17" i="7"/>
  <c r="G17" i="7"/>
  <c r="O16" i="7" s="1"/>
  <c r="H17" i="7"/>
  <c r="P16" i="7" s="1"/>
  <c r="I17" i="7"/>
  <c r="Q16" i="7" s="1"/>
  <c r="J17" i="7"/>
  <c r="K17" i="7"/>
  <c r="L17" i="7"/>
  <c r="M17" i="7"/>
  <c r="F18" i="7"/>
  <c r="N17" i="7" s="1"/>
  <c r="G18" i="7"/>
  <c r="O17" i="7" s="1"/>
  <c r="H18" i="7"/>
  <c r="P17" i="7" s="1"/>
  <c r="I18" i="7"/>
  <c r="Q17" i="7" s="1"/>
  <c r="J18" i="7"/>
  <c r="K18" i="7"/>
  <c r="L18" i="7"/>
  <c r="M18" i="7"/>
  <c r="F19" i="7"/>
  <c r="N18" i="7" s="1"/>
  <c r="G19" i="7"/>
  <c r="O18" i="7" s="1"/>
  <c r="H19" i="7"/>
  <c r="P18" i="7" s="1"/>
  <c r="I19" i="7"/>
  <c r="J19" i="7"/>
  <c r="K19" i="7"/>
  <c r="L19" i="7"/>
  <c r="M19" i="7"/>
  <c r="F20" i="7"/>
  <c r="N19" i="7" s="1"/>
  <c r="G20" i="7"/>
  <c r="O19" i="7" s="1"/>
  <c r="H20" i="7"/>
  <c r="P19" i="7" s="1"/>
  <c r="I20" i="7"/>
  <c r="Q19" i="7" s="1"/>
  <c r="J20" i="7"/>
  <c r="K20" i="7"/>
  <c r="L20" i="7"/>
  <c r="M20" i="7"/>
  <c r="F21" i="7"/>
  <c r="N20" i="7" s="1"/>
  <c r="G21" i="7"/>
  <c r="O20" i="7" s="1"/>
  <c r="H21" i="7"/>
  <c r="P20" i="7" s="1"/>
  <c r="I21" i="7"/>
  <c r="Q20" i="7" s="1"/>
  <c r="J21" i="7"/>
  <c r="K21" i="7"/>
  <c r="L21" i="7"/>
  <c r="M21" i="7"/>
  <c r="F22" i="7"/>
  <c r="N21" i="7" s="1"/>
  <c r="G22" i="7"/>
  <c r="O21" i="7" s="1"/>
  <c r="H22" i="7"/>
  <c r="P21" i="7" s="1"/>
  <c r="I22" i="7"/>
  <c r="Q21" i="7" s="1"/>
  <c r="J22" i="7"/>
  <c r="K22" i="7"/>
  <c r="L22" i="7"/>
  <c r="M22" i="7"/>
  <c r="F23" i="7"/>
  <c r="N22" i="7" s="1"/>
  <c r="G23" i="7"/>
  <c r="O22" i="7" s="1"/>
  <c r="H23" i="7"/>
  <c r="P22" i="7" s="1"/>
  <c r="I23" i="7"/>
  <c r="Q22" i="7" s="1"/>
  <c r="J23" i="7"/>
  <c r="K23" i="7"/>
  <c r="L23" i="7"/>
  <c r="M23" i="7"/>
  <c r="F24" i="7"/>
  <c r="N23" i="7" s="1"/>
  <c r="G24" i="7"/>
  <c r="O23" i="7" s="1"/>
  <c r="H24" i="7"/>
  <c r="P23" i="7" s="1"/>
  <c r="I24" i="7"/>
  <c r="Q23" i="7" s="1"/>
  <c r="J24" i="7"/>
  <c r="K24" i="7"/>
  <c r="L24" i="7"/>
  <c r="M24" i="7"/>
  <c r="F25" i="7"/>
  <c r="N24" i="7" s="1"/>
  <c r="G25" i="7"/>
  <c r="O24" i="7" s="1"/>
  <c r="H25" i="7"/>
  <c r="P24" i="7" s="1"/>
  <c r="I25" i="7"/>
  <c r="Q24" i="7" s="1"/>
  <c r="J25" i="7"/>
  <c r="K25" i="7"/>
  <c r="L25" i="7"/>
  <c r="M25" i="7"/>
  <c r="F26" i="7"/>
  <c r="N25" i="7" s="1"/>
  <c r="G26" i="7"/>
  <c r="O25" i="7" s="1"/>
  <c r="H26" i="7"/>
  <c r="P25" i="7" s="1"/>
  <c r="I26" i="7"/>
  <c r="Q25" i="7" s="1"/>
  <c r="J26" i="7"/>
  <c r="K26" i="7"/>
  <c r="L26" i="7"/>
  <c r="M26" i="7"/>
  <c r="F27" i="7"/>
  <c r="N26" i="7" s="1"/>
  <c r="G27" i="7"/>
  <c r="O26" i="7" s="1"/>
  <c r="H27" i="7"/>
  <c r="P26" i="7" s="1"/>
  <c r="I27" i="7"/>
  <c r="J27" i="7"/>
  <c r="K27" i="7"/>
  <c r="L27" i="7"/>
  <c r="M27" i="7"/>
  <c r="F28" i="7"/>
  <c r="N27" i="7" s="1"/>
  <c r="G28" i="7"/>
  <c r="O27" i="7" s="1"/>
  <c r="H28" i="7"/>
  <c r="P27" i="7" s="1"/>
  <c r="I28" i="7"/>
  <c r="Q27" i="7" s="1"/>
  <c r="J28" i="7"/>
  <c r="K28" i="7"/>
  <c r="L28" i="7"/>
  <c r="M28" i="7"/>
  <c r="F29" i="7"/>
  <c r="N28" i="7" s="1"/>
  <c r="G29" i="7"/>
  <c r="O28" i="7" s="1"/>
  <c r="H29" i="7"/>
  <c r="P28" i="7" s="1"/>
  <c r="I29" i="7"/>
  <c r="Q28" i="7" s="1"/>
  <c r="J29" i="7"/>
  <c r="K29" i="7"/>
  <c r="L29" i="7"/>
  <c r="M29" i="7"/>
  <c r="F30" i="7"/>
  <c r="N29" i="7" s="1"/>
  <c r="G30" i="7"/>
  <c r="O29" i="7" s="1"/>
  <c r="H30" i="7"/>
  <c r="P29" i="7" s="1"/>
  <c r="I30" i="7"/>
  <c r="Q29" i="7" s="1"/>
  <c r="J30" i="7"/>
  <c r="K30" i="7"/>
  <c r="L30" i="7"/>
  <c r="M30" i="7"/>
  <c r="F31" i="7"/>
  <c r="G31" i="7"/>
  <c r="O30" i="7" s="1"/>
  <c r="H31" i="7"/>
  <c r="P30" i="7" s="1"/>
  <c r="I31" i="7"/>
  <c r="Q30" i="7" s="1"/>
  <c r="J31" i="7"/>
  <c r="K31" i="7"/>
  <c r="L31" i="7"/>
  <c r="M31" i="7"/>
  <c r="F32" i="7"/>
  <c r="N31" i="7" s="1"/>
  <c r="G32" i="7"/>
  <c r="O31" i="7" s="1"/>
  <c r="H32" i="7"/>
  <c r="P31" i="7" s="1"/>
  <c r="I32" i="7"/>
  <c r="Q31" i="7" s="1"/>
  <c r="J32" i="7"/>
  <c r="K32" i="7"/>
  <c r="L32" i="7"/>
  <c r="M32" i="7"/>
  <c r="F33" i="7"/>
  <c r="N32" i="7" s="1"/>
  <c r="G33" i="7"/>
  <c r="O32" i="7" s="1"/>
  <c r="H33" i="7"/>
  <c r="P32" i="7" s="1"/>
  <c r="I33" i="7"/>
  <c r="Q32" i="7" s="1"/>
  <c r="J33" i="7"/>
  <c r="K33" i="7"/>
  <c r="L33" i="7"/>
  <c r="M33" i="7"/>
  <c r="F34" i="7"/>
  <c r="N33" i="7" s="1"/>
  <c r="G34" i="7"/>
  <c r="O33" i="7" s="1"/>
  <c r="H34" i="7"/>
  <c r="P33" i="7" s="1"/>
  <c r="I34" i="7"/>
  <c r="Q33" i="7" s="1"/>
  <c r="J34" i="7"/>
  <c r="K34" i="7"/>
  <c r="L34" i="7"/>
  <c r="M34" i="7"/>
  <c r="F35" i="7"/>
  <c r="N34" i="7" s="1"/>
  <c r="G35" i="7"/>
  <c r="O34" i="7" s="1"/>
  <c r="H35" i="7"/>
  <c r="P34" i="7" s="1"/>
  <c r="I35" i="7"/>
  <c r="J35" i="7"/>
  <c r="K35" i="7"/>
  <c r="L35" i="7"/>
  <c r="M35" i="7"/>
  <c r="F36" i="7"/>
  <c r="N35" i="7" s="1"/>
  <c r="G36" i="7"/>
  <c r="O35" i="7" s="1"/>
  <c r="H36" i="7"/>
  <c r="P35" i="7" s="1"/>
  <c r="I36" i="7"/>
  <c r="Q35" i="7" s="1"/>
  <c r="J36" i="7"/>
  <c r="K36" i="7"/>
  <c r="L36" i="7"/>
  <c r="M36" i="7"/>
  <c r="F37" i="7"/>
  <c r="N36" i="7" s="1"/>
  <c r="G37" i="7"/>
  <c r="O36" i="7" s="1"/>
  <c r="H37" i="7"/>
  <c r="P36" i="7" s="1"/>
  <c r="I37" i="7"/>
  <c r="Q36" i="7" s="1"/>
  <c r="J37" i="7"/>
  <c r="K37" i="7"/>
  <c r="L37" i="7"/>
  <c r="M37" i="7"/>
  <c r="F38" i="7"/>
  <c r="N37" i="7" s="1"/>
  <c r="G38" i="7"/>
  <c r="O37" i="7" s="1"/>
  <c r="H38" i="7"/>
  <c r="P37" i="7" s="1"/>
  <c r="I38" i="7"/>
  <c r="Q37" i="7" s="1"/>
  <c r="J38" i="7"/>
  <c r="K38" i="7"/>
  <c r="L38" i="7"/>
  <c r="M38" i="7"/>
  <c r="F39" i="7"/>
  <c r="N38" i="7" s="1"/>
  <c r="G39" i="7"/>
  <c r="O38" i="7" s="1"/>
  <c r="H39" i="7"/>
  <c r="P38" i="7" s="1"/>
  <c r="I39" i="7"/>
  <c r="Q38" i="7" s="1"/>
  <c r="J39" i="7"/>
  <c r="K39" i="7"/>
  <c r="L39" i="7"/>
  <c r="M39" i="7"/>
  <c r="F40" i="7"/>
  <c r="N39" i="7" s="1"/>
  <c r="G40" i="7"/>
  <c r="O39" i="7" s="1"/>
  <c r="H40" i="7"/>
  <c r="P39" i="7" s="1"/>
  <c r="I40" i="7"/>
  <c r="Q39" i="7" s="1"/>
  <c r="J40" i="7"/>
  <c r="K40" i="7"/>
  <c r="L40" i="7"/>
  <c r="M40" i="7"/>
  <c r="F41" i="7"/>
  <c r="N40" i="7" s="1"/>
  <c r="G41" i="7"/>
  <c r="O40" i="7" s="1"/>
  <c r="H41" i="7"/>
  <c r="P40" i="7" s="1"/>
  <c r="I41" i="7"/>
  <c r="Q40" i="7" s="1"/>
  <c r="J41" i="7"/>
  <c r="K41" i="7"/>
  <c r="L41" i="7"/>
  <c r="M41" i="7"/>
  <c r="F42" i="7"/>
  <c r="N41" i="7" s="1"/>
  <c r="G42" i="7"/>
  <c r="O41" i="7" s="1"/>
  <c r="H42" i="7"/>
  <c r="P41" i="7" s="1"/>
  <c r="I42" i="7"/>
  <c r="Q41" i="7" s="1"/>
  <c r="J42" i="7"/>
  <c r="K42" i="7"/>
  <c r="L42" i="7"/>
  <c r="M42" i="7"/>
  <c r="F43" i="7"/>
  <c r="N42" i="7" s="1"/>
  <c r="G43" i="7"/>
  <c r="O42" i="7" s="1"/>
  <c r="H43" i="7"/>
  <c r="P42" i="7" s="1"/>
  <c r="I43" i="7"/>
  <c r="J43" i="7"/>
  <c r="K43" i="7"/>
  <c r="L43" i="7"/>
  <c r="M43" i="7"/>
  <c r="F44" i="7"/>
  <c r="N43" i="7" s="1"/>
  <c r="G44" i="7"/>
  <c r="O43" i="7" s="1"/>
  <c r="H44" i="7"/>
  <c r="P43" i="7" s="1"/>
  <c r="I44" i="7"/>
  <c r="Q43" i="7" s="1"/>
  <c r="J44" i="7"/>
  <c r="K44" i="7"/>
  <c r="L44" i="7"/>
  <c r="M44" i="7"/>
  <c r="F45" i="7"/>
  <c r="N44" i="7" s="1"/>
  <c r="G45" i="7"/>
  <c r="O44" i="7" s="1"/>
  <c r="H45" i="7"/>
  <c r="P44" i="7" s="1"/>
  <c r="I45" i="7"/>
  <c r="Q44" i="7" s="1"/>
  <c r="J45" i="7"/>
  <c r="K45" i="7"/>
  <c r="L45" i="7"/>
  <c r="M45" i="7"/>
  <c r="F46" i="7"/>
  <c r="N45" i="7" s="1"/>
  <c r="G46" i="7"/>
  <c r="O45" i="7" s="1"/>
  <c r="H46" i="7"/>
  <c r="P45" i="7" s="1"/>
  <c r="I46" i="7"/>
  <c r="Q45" i="7" s="1"/>
  <c r="J46" i="7"/>
  <c r="K46" i="7"/>
  <c r="L46" i="7"/>
  <c r="M46" i="7"/>
  <c r="F47" i="7"/>
  <c r="N46" i="7" s="1"/>
  <c r="G47" i="7"/>
  <c r="O46" i="7" s="1"/>
  <c r="H47" i="7"/>
  <c r="P46" i="7" s="1"/>
  <c r="I47" i="7"/>
  <c r="Q46" i="7" s="1"/>
  <c r="J47" i="7"/>
  <c r="K47" i="7"/>
  <c r="L47" i="7"/>
  <c r="M47" i="7"/>
  <c r="F48" i="7"/>
  <c r="N47" i="7" s="1"/>
  <c r="G48" i="7"/>
  <c r="O47" i="7" s="1"/>
  <c r="H48" i="7"/>
  <c r="P47" i="7" s="1"/>
  <c r="I48" i="7"/>
  <c r="Q47" i="7" s="1"/>
  <c r="J48" i="7"/>
  <c r="K48" i="7"/>
  <c r="L48" i="7"/>
  <c r="M48" i="7"/>
  <c r="F49" i="7"/>
  <c r="G49" i="7"/>
  <c r="O48" i="7" s="1"/>
  <c r="H49" i="7"/>
  <c r="P48" i="7" s="1"/>
  <c r="I49" i="7"/>
  <c r="Q48" i="7" s="1"/>
  <c r="J49" i="7"/>
  <c r="K49" i="7"/>
  <c r="L49" i="7"/>
  <c r="M49" i="7"/>
  <c r="F50" i="7"/>
  <c r="N49" i="7" s="1"/>
  <c r="G50" i="7"/>
  <c r="O49" i="7" s="1"/>
  <c r="H50" i="7"/>
  <c r="P49" i="7" s="1"/>
  <c r="I50" i="7"/>
  <c r="Q49" i="7" s="1"/>
  <c r="J50" i="7"/>
  <c r="K50" i="7"/>
  <c r="L50" i="7"/>
  <c r="M50" i="7"/>
  <c r="F51" i="7"/>
  <c r="N50" i="7" s="1"/>
  <c r="G51" i="7"/>
  <c r="O50" i="7" s="1"/>
  <c r="H51" i="7"/>
  <c r="P50" i="7" s="1"/>
  <c r="I51" i="7"/>
  <c r="J51" i="7"/>
  <c r="K51" i="7"/>
  <c r="L51" i="7"/>
  <c r="M51" i="7"/>
  <c r="F52" i="7"/>
  <c r="N51" i="7" s="1"/>
  <c r="G52" i="7"/>
  <c r="O51" i="7" s="1"/>
  <c r="H52" i="7"/>
  <c r="P51" i="7" s="1"/>
  <c r="I52" i="7"/>
  <c r="Q51" i="7" s="1"/>
  <c r="J52" i="7"/>
  <c r="K52" i="7"/>
  <c r="L52" i="7"/>
  <c r="M52" i="7"/>
  <c r="F53" i="7"/>
  <c r="N52" i="7" s="1"/>
  <c r="G53" i="7"/>
  <c r="O52" i="7" s="1"/>
  <c r="H53" i="7"/>
  <c r="P52" i="7" s="1"/>
  <c r="I53" i="7"/>
  <c r="Q52" i="7" s="1"/>
  <c r="J53" i="7"/>
  <c r="K53" i="7"/>
  <c r="L53" i="7"/>
  <c r="M53" i="7"/>
  <c r="F54" i="7"/>
  <c r="N53" i="7" s="1"/>
  <c r="G54" i="7"/>
  <c r="O53" i="7" s="1"/>
  <c r="H54" i="7"/>
  <c r="P53" i="7" s="1"/>
  <c r="I54" i="7"/>
  <c r="Q53" i="7" s="1"/>
  <c r="J54" i="7"/>
  <c r="K54" i="7"/>
  <c r="L54" i="7"/>
  <c r="M54" i="7"/>
  <c r="F55" i="7"/>
  <c r="N54" i="7" s="1"/>
  <c r="G55" i="7"/>
  <c r="O54" i="7" s="1"/>
  <c r="H55" i="7"/>
  <c r="P54" i="7" s="1"/>
  <c r="I55" i="7"/>
  <c r="Q54" i="7" s="1"/>
  <c r="J55" i="7"/>
  <c r="K55" i="7"/>
  <c r="L55" i="7"/>
  <c r="M55" i="7"/>
  <c r="F56" i="7"/>
  <c r="N55" i="7" s="1"/>
  <c r="G56" i="7"/>
  <c r="O55" i="7" s="1"/>
  <c r="H56" i="7"/>
  <c r="P55" i="7" s="1"/>
  <c r="I56" i="7"/>
  <c r="Q55" i="7" s="1"/>
  <c r="J56" i="7"/>
  <c r="K56" i="7"/>
  <c r="L56" i="7"/>
  <c r="M56" i="7"/>
  <c r="F57" i="7"/>
  <c r="N56" i="7" s="1"/>
  <c r="G57" i="7"/>
  <c r="O56" i="7" s="1"/>
  <c r="H57" i="7"/>
  <c r="P56" i="7" s="1"/>
  <c r="I57" i="7"/>
  <c r="Q56" i="7" s="1"/>
  <c r="J57" i="7"/>
  <c r="K57" i="7"/>
  <c r="L57" i="7"/>
  <c r="M57" i="7"/>
  <c r="F58" i="7"/>
  <c r="N57" i="7" s="1"/>
  <c r="G58" i="7"/>
  <c r="O57" i="7" s="1"/>
  <c r="H58" i="7"/>
  <c r="P57" i="7" s="1"/>
  <c r="I58" i="7"/>
  <c r="Q57" i="7" s="1"/>
  <c r="J58" i="7"/>
  <c r="K58" i="7"/>
  <c r="L58" i="7"/>
  <c r="M58" i="7"/>
  <c r="F59" i="7"/>
  <c r="N58" i="7" s="1"/>
  <c r="G59" i="7"/>
  <c r="O58" i="7" s="1"/>
  <c r="H59" i="7"/>
  <c r="P58" i="7" s="1"/>
  <c r="I59" i="7"/>
  <c r="J59" i="7"/>
  <c r="K59" i="7"/>
  <c r="L59" i="7"/>
  <c r="M59" i="7"/>
  <c r="F60" i="7"/>
  <c r="N59" i="7" s="1"/>
  <c r="G60" i="7"/>
  <c r="O59" i="7" s="1"/>
  <c r="H60" i="7"/>
  <c r="P59" i="7" s="1"/>
  <c r="I60" i="7"/>
  <c r="Q59" i="7" s="1"/>
  <c r="J60" i="7"/>
  <c r="K60" i="7"/>
  <c r="L60" i="7"/>
  <c r="M60" i="7"/>
  <c r="F61" i="7"/>
  <c r="N60" i="7" s="1"/>
  <c r="G61" i="7"/>
  <c r="O60" i="7" s="1"/>
  <c r="H61" i="7"/>
  <c r="P60" i="7" s="1"/>
  <c r="I61" i="7"/>
  <c r="Q60" i="7" s="1"/>
  <c r="J61" i="7"/>
  <c r="K61" i="7"/>
  <c r="L61" i="7"/>
  <c r="M61" i="7"/>
  <c r="F62" i="7"/>
  <c r="N61" i="7" s="1"/>
  <c r="G62" i="7"/>
  <c r="O61" i="7" s="1"/>
  <c r="H62" i="7"/>
  <c r="P61" i="7" s="1"/>
  <c r="I62" i="7"/>
  <c r="Q61" i="7" s="1"/>
  <c r="J62" i="7"/>
  <c r="K62" i="7"/>
  <c r="L62" i="7"/>
  <c r="M62" i="7"/>
  <c r="F63" i="7"/>
  <c r="N62" i="7" s="1"/>
  <c r="G63" i="7"/>
  <c r="O62" i="7" s="1"/>
  <c r="H63" i="7"/>
  <c r="P62" i="7" s="1"/>
  <c r="I63" i="7"/>
  <c r="Q62" i="7" s="1"/>
  <c r="J63" i="7"/>
  <c r="K63" i="7"/>
  <c r="L63" i="7"/>
  <c r="M63" i="7"/>
  <c r="F64" i="7"/>
  <c r="N63" i="7" s="1"/>
  <c r="G64" i="7"/>
  <c r="O63" i="7" s="1"/>
  <c r="H64" i="7"/>
  <c r="P63" i="7" s="1"/>
  <c r="I64" i="7"/>
  <c r="Q63" i="7" s="1"/>
  <c r="J64" i="7"/>
  <c r="K64" i="7"/>
  <c r="L64" i="7"/>
  <c r="M64" i="7"/>
  <c r="F65" i="7"/>
  <c r="N64" i="7" s="1"/>
  <c r="G65" i="7"/>
  <c r="O64" i="7" s="1"/>
  <c r="H65" i="7"/>
  <c r="P64" i="7" s="1"/>
  <c r="I65" i="7"/>
  <c r="Q64" i="7" s="1"/>
  <c r="J65" i="7"/>
  <c r="K65" i="7"/>
  <c r="L65" i="7"/>
  <c r="M65" i="7"/>
  <c r="F66" i="7"/>
  <c r="G66" i="7"/>
  <c r="O65" i="7" s="1"/>
  <c r="H66" i="7"/>
  <c r="P65" i="7" s="1"/>
  <c r="I66" i="7"/>
  <c r="Q65" i="7" s="1"/>
  <c r="J66" i="7"/>
  <c r="K66" i="7"/>
  <c r="L66" i="7"/>
  <c r="M66" i="7"/>
  <c r="F67" i="7"/>
  <c r="N66" i="7" s="1"/>
  <c r="G67" i="7"/>
  <c r="O66" i="7" s="1"/>
  <c r="H67" i="7"/>
  <c r="P66" i="7" s="1"/>
  <c r="I67" i="7"/>
  <c r="J67" i="7"/>
  <c r="K67" i="7"/>
  <c r="L67" i="7"/>
  <c r="M67" i="7"/>
  <c r="F68" i="7"/>
  <c r="N67" i="7" s="1"/>
  <c r="G68" i="7"/>
  <c r="O67" i="7" s="1"/>
  <c r="H68" i="7"/>
  <c r="P67" i="7" s="1"/>
  <c r="I68" i="7"/>
  <c r="Q67" i="7" s="1"/>
  <c r="J68" i="7"/>
  <c r="K68" i="7"/>
  <c r="L68" i="7"/>
  <c r="M68" i="7"/>
  <c r="F69" i="7"/>
  <c r="N68" i="7" s="1"/>
  <c r="G69" i="7"/>
  <c r="O68" i="7" s="1"/>
  <c r="H69" i="7"/>
  <c r="P68" i="7" s="1"/>
  <c r="I69" i="7"/>
  <c r="Q68" i="7" s="1"/>
  <c r="J69" i="7"/>
  <c r="K69" i="7"/>
  <c r="L69" i="7"/>
  <c r="M69" i="7"/>
  <c r="F70" i="7"/>
  <c r="N69" i="7" s="1"/>
  <c r="G70" i="7"/>
  <c r="O69" i="7" s="1"/>
  <c r="H70" i="7"/>
  <c r="P69" i="7" s="1"/>
  <c r="I70" i="7"/>
  <c r="Q69" i="7" s="1"/>
  <c r="J70" i="7"/>
  <c r="K70" i="7"/>
  <c r="L70" i="7"/>
  <c r="M70" i="7"/>
  <c r="F71" i="7"/>
  <c r="N70" i="7" s="1"/>
  <c r="G71" i="7"/>
  <c r="O70" i="7" s="1"/>
  <c r="H71" i="7"/>
  <c r="P70" i="7" s="1"/>
  <c r="I71" i="7"/>
  <c r="Q70" i="7" s="1"/>
  <c r="J71" i="7"/>
  <c r="K71" i="7"/>
  <c r="L71" i="7"/>
  <c r="M71" i="7"/>
  <c r="F72" i="7"/>
  <c r="N71" i="7" s="1"/>
  <c r="G72" i="7"/>
  <c r="O71" i="7" s="1"/>
  <c r="H72" i="7"/>
  <c r="P71" i="7" s="1"/>
  <c r="I72" i="7"/>
  <c r="Q71" i="7" s="1"/>
  <c r="J72" i="7"/>
  <c r="K72" i="7"/>
  <c r="L72" i="7"/>
  <c r="M72" i="7"/>
  <c r="F73" i="7"/>
  <c r="N72" i="7" s="1"/>
  <c r="G73" i="7"/>
  <c r="O72" i="7" s="1"/>
  <c r="H73" i="7"/>
  <c r="P72" i="7" s="1"/>
  <c r="I73" i="7"/>
  <c r="Q72" i="7" s="1"/>
  <c r="J73" i="7"/>
  <c r="K73" i="7"/>
  <c r="L73" i="7"/>
  <c r="M73" i="7"/>
  <c r="F74" i="7"/>
  <c r="N73" i="7" s="1"/>
  <c r="G74" i="7"/>
  <c r="O73" i="7" s="1"/>
  <c r="H74" i="7"/>
  <c r="P73" i="7" s="1"/>
  <c r="I74" i="7"/>
  <c r="Q73" i="7" s="1"/>
  <c r="J74" i="7"/>
  <c r="K74" i="7"/>
  <c r="L74" i="7"/>
  <c r="M74" i="7"/>
  <c r="F75" i="7"/>
  <c r="N74" i="7" s="1"/>
  <c r="G75" i="7"/>
  <c r="O74" i="7" s="1"/>
  <c r="H75" i="7"/>
  <c r="P74" i="7" s="1"/>
  <c r="I75" i="7"/>
  <c r="J75" i="7"/>
  <c r="K75" i="7"/>
  <c r="L75" i="7"/>
  <c r="M75" i="7"/>
  <c r="F76" i="7"/>
  <c r="N75" i="7" s="1"/>
  <c r="G76" i="7"/>
  <c r="O75" i="7" s="1"/>
  <c r="H76" i="7"/>
  <c r="P75" i="7" s="1"/>
  <c r="I76" i="7"/>
  <c r="Q75" i="7" s="1"/>
  <c r="J76" i="7"/>
  <c r="K76" i="7"/>
  <c r="L76" i="7"/>
  <c r="M76" i="7"/>
  <c r="F77" i="7"/>
  <c r="N76" i="7" s="1"/>
  <c r="G77" i="7"/>
  <c r="O76" i="7" s="1"/>
  <c r="H77" i="7"/>
  <c r="P76" i="7" s="1"/>
  <c r="I77" i="7"/>
  <c r="Q76" i="7" s="1"/>
  <c r="J77" i="7"/>
  <c r="K77" i="7"/>
  <c r="L77" i="7"/>
  <c r="M77" i="7"/>
  <c r="F78" i="7"/>
  <c r="N77" i="7" s="1"/>
  <c r="G78" i="7"/>
  <c r="O77" i="7" s="1"/>
  <c r="H78" i="7"/>
  <c r="P77" i="7" s="1"/>
  <c r="I78" i="7"/>
  <c r="Q77" i="7" s="1"/>
  <c r="J78" i="7"/>
  <c r="K78" i="7"/>
  <c r="L78" i="7"/>
  <c r="M78" i="7"/>
  <c r="F79" i="7"/>
  <c r="N78" i="7" s="1"/>
  <c r="G79" i="7"/>
  <c r="O78" i="7" s="1"/>
  <c r="H79" i="7"/>
  <c r="P78" i="7" s="1"/>
  <c r="I79" i="7"/>
  <c r="Q78" i="7" s="1"/>
  <c r="J79" i="7"/>
  <c r="K79" i="7"/>
  <c r="L79" i="7"/>
  <c r="M79" i="7"/>
  <c r="F80" i="7"/>
  <c r="G80" i="7"/>
  <c r="O79" i="7" s="1"/>
  <c r="H80" i="7"/>
  <c r="P79" i="7" s="1"/>
  <c r="I80" i="7"/>
  <c r="Q79" i="7" s="1"/>
  <c r="J80" i="7"/>
  <c r="K80" i="7"/>
  <c r="L80" i="7"/>
  <c r="M80" i="7"/>
  <c r="F81" i="7"/>
  <c r="N80" i="7" s="1"/>
  <c r="G81" i="7"/>
  <c r="O80" i="7" s="1"/>
  <c r="H81" i="7"/>
  <c r="P80" i="7" s="1"/>
  <c r="I81" i="7"/>
  <c r="Q80" i="7" s="1"/>
  <c r="J81" i="7"/>
  <c r="K81" i="7"/>
  <c r="L81" i="7"/>
  <c r="M81" i="7"/>
  <c r="F82" i="7"/>
  <c r="N81" i="7" s="1"/>
  <c r="G82" i="7"/>
  <c r="O81" i="7" s="1"/>
  <c r="H82" i="7"/>
  <c r="P81" i="7" s="1"/>
  <c r="I82" i="7"/>
  <c r="Q81" i="7" s="1"/>
  <c r="J82" i="7"/>
  <c r="K82" i="7"/>
  <c r="L82" i="7"/>
  <c r="M82" i="7"/>
  <c r="F83" i="7"/>
  <c r="N82" i="7" s="1"/>
  <c r="G83" i="7"/>
  <c r="O82" i="7" s="1"/>
  <c r="H83" i="7"/>
  <c r="P82" i="7" s="1"/>
  <c r="I83" i="7"/>
  <c r="J83" i="7"/>
  <c r="K83" i="7"/>
  <c r="L83" i="7"/>
  <c r="M83" i="7"/>
  <c r="F84" i="7"/>
  <c r="N83" i="7" s="1"/>
  <c r="G84" i="7"/>
  <c r="O83" i="7" s="1"/>
  <c r="H84" i="7"/>
  <c r="P83" i="7" s="1"/>
  <c r="I84" i="7"/>
  <c r="Q83" i="7" s="1"/>
  <c r="J84" i="7"/>
  <c r="K84" i="7"/>
  <c r="L84" i="7"/>
  <c r="M84" i="7"/>
  <c r="F85" i="7"/>
  <c r="N84" i="7" s="1"/>
  <c r="G85" i="7"/>
  <c r="O84" i="7" s="1"/>
  <c r="H85" i="7"/>
  <c r="P84" i="7" s="1"/>
  <c r="I85" i="7"/>
  <c r="Q84" i="7" s="1"/>
  <c r="J85" i="7"/>
  <c r="K85" i="7"/>
  <c r="L85" i="7"/>
  <c r="M85" i="7"/>
  <c r="F86" i="7"/>
  <c r="N85" i="7" s="1"/>
  <c r="G86" i="7"/>
  <c r="O85" i="7" s="1"/>
  <c r="H86" i="7"/>
  <c r="P85" i="7" s="1"/>
  <c r="I86" i="7"/>
  <c r="Q85" i="7" s="1"/>
  <c r="J86" i="7"/>
  <c r="K86" i="7"/>
  <c r="L86" i="7"/>
  <c r="M86" i="7"/>
  <c r="F87" i="7"/>
  <c r="N86" i="7" s="1"/>
  <c r="G87" i="7"/>
  <c r="O86" i="7" s="1"/>
  <c r="H87" i="7"/>
  <c r="P86" i="7" s="1"/>
  <c r="I87" i="7"/>
  <c r="Q86" i="7" s="1"/>
  <c r="J87" i="7"/>
  <c r="K87" i="7"/>
  <c r="L87" i="7"/>
  <c r="M87" i="7"/>
  <c r="F88" i="7"/>
  <c r="N87" i="7" s="1"/>
  <c r="G88" i="7"/>
  <c r="O87" i="7" s="1"/>
  <c r="H88" i="7"/>
  <c r="P87" i="7" s="1"/>
  <c r="I88" i="7"/>
  <c r="Q87" i="7" s="1"/>
  <c r="J88" i="7"/>
  <c r="K88" i="7"/>
  <c r="L88" i="7"/>
  <c r="M88" i="7"/>
  <c r="F89" i="7"/>
  <c r="N88" i="7" s="1"/>
  <c r="G89" i="7"/>
  <c r="O88" i="7" s="1"/>
  <c r="H89" i="7"/>
  <c r="P88" i="7" s="1"/>
  <c r="I89" i="7"/>
  <c r="Q88" i="7" s="1"/>
  <c r="J89" i="7"/>
  <c r="K89" i="7"/>
  <c r="L89" i="7"/>
  <c r="M89" i="7"/>
  <c r="F90" i="7"/>
  <c r="N89" i="7" s="1"/>
  <c r="G90" i="7"/>
  <c r="O89" i="7" s="1"/>
  <c r="H90" i="7"/>
  <c r="P89" i="7" s="1"/>
  <c r="I90" i="7"/>
  <c r="Q89" i="7" s="1"/>
  <c r="J90" i="7"/>
  <c r="K90" i="7"/>
  <c r="L90" i="7"/>
  <c r="M90" i="7"/>
  <c r="F91" i="7"/>
  <c r="N90" i="7" s="1"/>
  <c r="G91" i="7"/>
  <c r="O90" i="7" s="1"/>
  <c r="H91" i="7"/>
  <c r="P90" i="7" s="1"/>
  <c r="I91" i="7"/>
  <c r="J91" i="7"/>
  <c r="K91" i="7"/>
  <c r="L91" i="7"/>
  <c r="M91" i="7"/>
  <c r="F92" i="7"/>
  <c r="N91" i="7" s="1"/>
  <c r="G92" i="7"/>
  <c r="O91" i="7" s="1"/>
  <c r="H92" i="7"/>
  <c r="P91" i="7" s="1"/>
  <c r="I92" i="7"/>
  <c r="Q91" i="7" s="1"/>
  <c r="J92" i="7"/>
  <c r="K92" i="7"/>
  <c r="L92" i="7"/>
  <c r="M92" i="7"/>
  <c r="F93" i="7"/>
  <c r="N92" i="7" s="1"/>
  <c r="G93" i="7"/>
  <c r="O92" i="7" s="1"/>
  <c r="H93" i="7"/>
  <c r="P92" i="7" s="1"/>
  <c r="I93" i="7"/>
  <c r="Q92" i="7" s="1"/>
  <c r="J93" i="7"/>
  <c r="K93" i="7"/>
  <c r="L93" i="7"/>
  <c r="M93" i="7"/>
  <c r="F94" i="7"/>
  <c r="N93" i="7" s="1"/>
  <c r="G94" i="7"/>
  <c r="O93" i="7" s="1"/>
  <c r="H94" i="7"/>
  <c r="P93" i="7" s="1"/>
  <c r="I94" i="7"/>
  <c r="Q93" i="7" s="1"/>
  <c r="J94" i="7"/>
  <c r="K94" i="7"/>
  <c r="L94" i="7"/>
  <c r="M94" i="7"/>
  <c r="F95" i="7"/>
  <c r="N94" i="7" s="1"/>
  <c r="G95" i="7"/>
  <c r="O94" i="7" s="1"/>
  <c r="H95" i="7"/>
  <c r="P94" i="7" s="1"/>
  <c r="I95" i="7"/>
  <c r="Q94" i="7" s="1"/>
  <c r="J95" i="7"/>
  <c r="K95" i="7"/>
  <c r="L95" i="7"/>
  <c r="M95" i="7"/>
  <c r="F96" i="7"/>
  <c r="N95" i="7" s="1"/>
  <c r="G96" i="7"/>
  <c r="O95" i="7" s="1"/>
  <c r="H96" i="7"/>
  <c r="P95" i="7" s="1"/>
  <c r="I96" i="7"/>
  <c r="Q95" i="7" s="1"/>
  <c r="J96" i="7"/>
  <c r="K96" i="7"/>
  <c r="L96" i="7"/>
  <c r="M96" i="7"/>
  <c r="F97" i="7"/>
  <c r="G97" i="7"/>
  <c r="O96" i="7" s="1"/>
  <c r="H97" i="7"/>
  <c r="P96" i="7" s="1"/>
  <c r="I97" i="7"/>
  <c r="Q96" i="7" s="1"/>
  <c r="J97" i="7"/>
  <c r="K97" i="7"/>
  <c r="L97" i="7"/>
  <c r="M97" i="7"/>
  <c r="F98" i="7"/>
  <c r="N97" i="7" s="1"/>
  <c r="G98" i="7"/>
  <c r="O97" i="7" s="1"/>
  <c r="H98" i="7"/>
  <c r="P97" i="7" s="1"/>
  <c r="I98" i="7"/>
  <c r="Q97" i="7" s="1"/>
  <c r="J98" i="7"/>
  <c r="K98" i="7"/>
  <c r="L98" i="7"/>
  <c r="M98" i="7"/>
  <c r="F99" i="7"/>
  <c r="N98" i="7" s="1"/>
  <c r="G99" i="7"/>
  <c r="O98" i="7" s="1"/>
  <c r="H99" i="7"/>
  <c r="P98" i="7" s="1"/>
  <c r="I99" i="7"/>
  <c r="J99" i="7"/>
  <c r="K99" i="7"/>
  <c r="L99" i="7"/>
  <c r="M99" i="7"/>
  <c r="F100" i="7"/>
  <c r="N99" i="7" s="1"/>
  <c r="G100" i="7"/>
  <c r="O99" i="7" s="1"/>
  <c r="H100" i="7"/>
  <c r="P99" i="7" s="1"/>
  <c r="I100" i="7"/>
  <c r="Q99" i="7" s="1"/>
  <c r="J100" i="7"/>
  <c r="K100" i="7"/>
  <c r="L100" i="7"/>
  <c r="M100" i="7"/>
  <c r="F101" i="7"/>
  <c r="N100" i="7" s="1"/>
  <c r="G101" i="7"/>
  <c r="O100" i="7" s="1"/>
  <c r="H101" i="7"/>
  <c r="P100" i="7" s="1"/>
  <c r="I101" i="7"/>
  <c r="Q100" i="7" s="1"/>
  <c r="J101" i="7"/>
  <c r="K101" i="7"/>
  <c r="L101" i="7"/>
  <c r="M101" i="7"/>
  <c r="F102" i="7"/>
  <c r="N101" i="7" s="1"/>
  <c r="G102" i="7"/>
  <c r="O101" i="7" s="1"/>
  <c r="H102" i="7"/>
  <c r="P101" i="7" s="1"/>
  <c r="I102" i="7"/>
  <c r="Q101" i="7" s="1"/>
  <c r="J102" i="7"/>
  <c r="K102" i="7"/>
  <c r="L102" i="7"/>
  <c r="M102" i="7"/>
  <c r="F103" i="7"/>
  <c r="N102" i="7" s="1"/>
  <c r="G103" i="7"/>
  <c r="O102" i="7" s="1"/>
  <c r="H103" i="7"/>
  <c r="P102" i="7" s="1"/>
  <c r="I103" i="7"/>
  <c r="Q102" i="7" s="1"/>
  <c r="J103" i="7"/>
  <c r="K103" i="7"/>
  <c r="L103" i="7"/>
  <c r="M103" i="7"/>
  <c r="F104" i="7"/>
  <c r="N103" i="7" s="1"/>
  <c r="G104" i="7"/>
  <c r="O103" i="7" s="1"/>
  <c r="H104" i="7"/>
  <c r="P103" i="7" s="1"/>
  <c r="I104" i="7"/>
  <c r="Q103" i="7" s="1"/>
  <c r="J104" i="7"/>
  <c r="K104" i="7"/>
  <c r="L104" i="7"/>
  <c r="M104" i="7"/>
  <c r="F105" i="7"/>
  <c r="N104" i="7" s="1"/>
  <c r="G105" i="7"/>
  <c r="O104" i="7" s="1"/>
  <c r="H105" i="7"/>
  <c r="P104" i="7" s="1"/>
  <c r="I105" i="7"/>
  <c r="Q104" i="7" s="1"/>
  <c r="J105" i="7"/>
  <c r="K105" i="7"/>
  <c r="L105" i="7"/>
  <c r="M105" i="7"/>
  <c r="F106" i="7"/>
  <c r="N105" i="7" s="1"/>
  <c r="G106" i="7"/>
  <c r="O105" i="7" s="1"/>
  <c r="H106" i="7"/>
  <c r="P105" i="7" s="1"/>
  <c r="I106" i="7"/>
  <c r="Q105" i="7" s="1"/>
  <c r="J106" i="7"/>
  <c r="K106" i="7"/>
  <c r="L106" i="7"/>
  <c r="M106" i="7"/>
  <c r="F107" i="7"/>
  <c r="N106" i="7" s="1"/>
  <c r="G107" i="7"/>
  <c r="O106" i="7" s="1"/>
  <c r="H107" i="7"/>
  <c r="P106" i="7" s="1"/>
  <c r="I107" i="7"/>
  <c r="J107" i="7"/>
  <c r="K107" i="7"/>
  <c r="L107" i="7"/>
  <c r="M107" i="7"/>
  <c r="F108" i="7"/>
  <c r="N107" i="7" s="1"/>
  <c r="G108" i="7"/>
  <c r="O107" i="7" s="1"/>
  <c r="H108" i="7"/>
  <c r="P107" i="7" s="1"/>
  <c r="I108" i="7"/>
  <c r="Q107" i="7" s="1"/>
  <c r="J108" i="7"/>
  <c r="K108" i="7"/>
  <c r="L108" i="7"/>
  <c r="M108" i="7"/>
  <c r="F109" i="7"/>
  <c r="N108" i="7" s="1"/>
  <c r="G109" i="7"/>
  <c r="O108" i="7" s="1"/>
  <c r="H109" i="7"/>
  <c r="P108" i="7" s="1"/>
  <c r="I109" i="7"/>
  <c r="Q108" i="7" s="1"/>
  <c r="J109" i="7"/>
  <c r="K109" i="7"/>
  <c r="L109" i="7"/>
  <c r="M109" i="7"/>
  <c r="F110" i="7"/>
  <c r="N109" i="7" s="1"/>
  <c r="G110" i="7"/>
  <c r="O109" i="7" s="1"/>
  <c r="H110" i="7"/>
  <c r="P109" i="7" s="1"/>
  <c r="I110" i="7"/>
  <c r="Q109" i="7" s="1"/>
  <c r="J110" i="7"/>
  <c r="K110" i="7"/>
  <c r="L110" i="7"/>
  <c r="M110" i="7"/>
  <c r="F111" i="7"/>
  <c r="G111" i="7"/>
  <c r="O110" i="7" s="1"/>
  <c r="H111" i="7"/>
  <c r="P110" i="7" s="1"/>
  <c r="I111" i="7"/>
  <c r="Q110" i="7" s="1"/>
  <c r="J111" i="7"/>
  <c r="K111" i="7"/>
  <c r="L111" i="7"/>
  <c r="M111" i="7"/>
  <c r="F112" i="7"/>
  <c r="N111" i="7" s="1"/>
  <c r="G112" i="7"/>
  <c r="O111" i="7" s="1"/>
  <c r="H112" i="7"/>
  <c r="P111" i="7" s="1"/>
  <c r="I112" i="7"/>
  <c r="Q111" i="7" s="1"/>
  <c r="J112" i="7"/>
  <c r="K112" i="7"/>
  <c r="L112" i="7"/>
  <c r="M112" i="7"/>
  <c r="F113" i="7"/>
  <c r="N112" i="7" s="1"/>
  <c r="G113" i="7"/>
  <c r="O112" i="7" s="1"/>
  <c r="H113" i="7"/>
  <c r="P112" i="7" s="1"/>
  <c r="I113" i="7"/>
  <c r="Q112" i="7" s="1"/>
  <c r="J113" i="7"/>
  <c r="K113" i="7"/>
  <c r="L113" i="7"/>
  <c r="M113" i="7"/>
  <c r="F114" i="7"/>
  <c r="N113" i="7" s="1"/>
  <c r="G114" i="7"/>
  <c r="O113" i="7" s="1"/>
  <c r="H114" i="7"/>
  <c r="P113" i="7" s="1"/>
  <c r="I114" i="7"/>
  <c r="Q113" i="7" s="1"/>
  <c r="J114" i="7"/>
  <c r="K114" i="7"/>
  <c r="L114" i="7"/>
  <c r="M114" i="7"/>
  <c r="F115" i="7"/>
  <c r="N114" i="7" s="1"/>
  <c r="G115" i="7"/>
  <c r="O114" i="7" s="1"/>
  <c r="H115" i="7"/>
  <c r="P114" i="7" s="1"/>
  <c r="I115" i="7"/>
  <c r="J115" i="7"/>
  <c r="K115" i="7"/>
  <c r="L115" i="7"/>
  <c r="M115" i="7"/>
  <c r="F116" i="7"/>
  <c r="N115" i="7" s="1"/>
  <c r="G116" i="7"/>
  <c r="O115" i="7" s="1"/>
  <c r="H116" i="7"/>
  <c r="P115" i="7" s="1"/>
  <c r="I116" i="7"/>
  <c r="Q115" i="7" s="1"/>
  <c r="J116" i="7"/>
  <c r="K116" i="7"/>
  <c r="L116" i="7"/>
  <c r="M116" i="7"/>
  <c r="F117" i="7"/>
  <c r="N116" i="7" s="1"/>
  <c r="G117" i="7"/>
  <c r="O116" i="7" s="1"/>
  <c r="H117" i="7"/>
  <c r="P116" i="7" s="1"/>
  <c r="I117" i="7"/>
  <c r="Q116" i="7" s="1"/>
  <c r="J117" i="7"/>
  <c r="K117" i="7"/>
  <c r="L117" i="7"/>
  <c r="M117" i="7"/>
  <c r="F118" i="7"/>
  <c r="N117" i="7" s="1"/>
  <c r="G118" i="7"/>
  <c r="O117" i="7" s="1"/>
  <c r="H118" i="7"/>
  <c r="P117" i="7" s="1"/>
  <c r="I118" i="7"/>
  <c r="Q117" i="7" s="1"/>
  <c r="J118" i="7"/>
  <c r="K118" i="7"/>
  <c r="L118" i="7"/>
  <c r="M118" i="7"/>
  <c r="F119" i="7"/>
  <c r="N118" i="7" s="1"/>
  <c r="G119" i="7"/>
  <c r="O118" i="7" s="1"/>
  <c r="H119" i="7"/>
  <c r="P118" i="7" s="1"/>
  <c r="I119" i="7"/>
  <c r="Q118" i="7" s="1"/>
  <c r="J119" i="7"/>
  <c r="K119" i="7"/>
  <c r="L119" i="7"/>
  <c r="M119" i="7"/>
  <c r="F120" i="7"/>
  <c r="N119" i="7" s="1"/>
  <c r="G120" i="7"/>
  <c r="O119" i="7" s="1"/>
  <c r="H120" i="7"/>
  <c r="P119" i="7" s="1"/>
  <c r="I120" i="7"/>
  <c r="Q119" i="7" s="1"/>
  <c r="J120" i="7"/>
  <c r="K120" i="7"/>
  <c r="L120" i="7"/>
  <c r="M120" i="7"/>
  <c r="F121" i="7"/>
  <c r="N120" i="7" s="1"/>
  <c r="G121" i="7"/>
  <c r="O120" i="7" s="1"/>
  <c r="H121" i="7"/>
  <c r="P120" i="7" s="1"/>
  <c r="I121" i="7"/>
  <c r="Q120" i="7" s="1"/>
  <c r="J121" i="7"/>
  <c r="K121" i="7"/>
  <c r="L121" i="7"/>
  <c r="M121" i="7"/>
  <c r="F122" i="7"/>
  <c r="N121" i="7" s="1"/>
  <c r="G122" i="7"/>
  <c r="O121" i="7" s="1"/>
  <c r="H122" i="7"/>
  <c r="P121" i="7" s="1"/>
  <c r="I122" i="7"/>
  <c r="Q121" i="7" s="1"/>
  <c r="J122" i="7"/>
  <c r="K122" i="7"/>
  <c r="L122" i="7"/>
  <c r="M122" i="7"/>
  <c r="F123" i="7"/>
  <c r="N122" i="7" s="1"/>
  <c r="G123" i="7"/>
  <c r="O122" i="7" s="1"/>
  <c r="H123" i="7"/>
  <c r="P122" i="7" s="1"/>
  <c r="I123" i="7"/>
  <c r="J123" i="7"/>
  <c r="K123" i="7"/>
  <c r="L123" i="7"/>
  <c r="M123" i="7"/>
  <c r="F124" i="7"/>
  <c r="N123" i="7" s="1"/>
  <c r="G124" i="7"/>
  <c r="O123" i="7" s="1"/>
  <c r="H124" i="7"/>
  <c r="P123" i="7" s="1"/>
  <c r="I124" i="7"/>
  <c r="Q123" i="7" s="1"/>
  <c r="J124" i="7"/>
  <c r="K124" i="7"/>
  <c r="L124" i="7"/>
  <c r="M124" i="7"/>
  <c r="F125" i="7"/>
  <c r="N124" i="7" s="1"/>
  <c r="G125" i="7"/>
  <c r="O124" i="7" s="1"/>
  <c r="H125" i="7"/>
  <c r="P124" i="7" s="1"/>
  <c r="I125" i="7"/>
  <c r="Q124" i="7" s="1"/>
  <c r="J125" i="7"/>
  <c r="K125" i="7"/>
  <c r="L125" i="7"/>
  <c r="M125" i="7"/>
  <c r="F126" i="7"/>
  <c r="N125" i="7" s="1"/>
  <c r="G126" i="7"/>
  <c r="O125" i="7" s="1"/>
  <c r="H126" i="7"/>
  <c r="P125" i="7" s="1"/>
  <c r="I126" i="7"/>
  <c r="Q125" i="7" s="1"/>
  <c r="J126" i="7"/>
  <c r="K126" i="7"/>
  <c r="L126" i="7"/>
  <c r="M126" i="7"/>
  <c r="F127" i="7"/>
  <c r="N126" i="7" s="1"/>
  <c r="G127" i="7"/>
  <c r="O126" i="7" s="1"/>
  <c r="H127" i="7"/>
  <c r="P126" i="7" s="1"/>
  <c r="I127" i="7"/>
  <c r="Q126" i="7" s="1"/>
  <c r="J127" i="7"/>
  <c r="K127" i="7"/>
  <c r="L127" i="7"/>
  <c r="M127" i="7"/>
  <c r="F128" i="7"/>
  <c r="N127" i="7" s="1"/>
  <c r="G128" i="7"/>
  <c r="O127" i="7" s="1"/>
  <c r="H128" i="7"/>
  <c r="P127" i="7" s="1"/>
  <c r="I128" i="7"/>
  <c r="Q127" i="7" s="1"/>
  <c r="J128" i="7"/>
  <c r="K128" i="7"/>
  <c r="L128" i="7"/>
  <c r="M128" i="7"/>
  <c r="F129" i="7"/>
  <c r="G129" i="7"/>
  <c r="O128" i="7" s="1"/>
  <c r="H129" i="7"/>
  <c r="P128" i="7" s="1"/>
  <c r="I129" i="7"/>
  <c r="Q128" i="7" s="1"/>
  <c r="J129" i="7"/>
  <c r="K129" i="7"/>
  <c r="L129" i="7"/>
  <c r="M129" i="7"/>
  <c r="F130" i="7"/>
  <c r="N129" i="7" s="1"/>
  <c r="G130" i="7"/>
  <c r="O129" i="7" s="1"/>
  <c r="H130" i="7"/>
  <c r="P129" i="7" s="1"/>
  <c r="I130" i="7"/>
  <c r="Q129" i="7" s="1"/>
  <c r="J130" i="7"/>
  <c r="K130" i="7"/>
  <c r="L130" i="7"/>
  <c r="M130" i="7"/>
  <c r="F131" i="7"/>
  <c r="N130" i="7" s="1"/>
  <c r="G131" i="7"/>
  <c r="O130" i="7" s="1"/>
  <c r="H131" i="7"/>
  <c r="P130" i="7" s="1"/>
  <c r="I131" i="7"/>
  <c r="J131" i="7"/>
  <c r="K131" i="7"/>
  <c r="L131" i="7"/>
  <c r="M131" i="7"/>
  <c r="F132" i="7"/>
  <c r="N131" i="7" s="1"/>
  <c r="G132" i="7"/>
  <c r="O131" i="7" s="1"/>
  <c r="H132" i="7"/>
  <c r="P131" i="7" s="1"/>
  <c r="I132" i="7"/>
  <c r="Q131" i="7" s="1"/>
  <c r="J132" i="7"/>
  <c r="K132" i="7"/>
  <c r="L132" i="7"/>
  <c r="M132" i="7"/>
  <c r="F133" i="7"/>
  <c r="N132" i="7" s="1"/>
  <c r="G133" i="7"/>
  <c r="O132" i="7" s="1"/>
  <c r="H133" i="7"/>
  <c r="P132" i="7" s="1"/>
  <c r="I133" i="7"/>
  <c r="Q132" i="7" s="1"/>
  <c r="J133" i="7"/>
  <c r="K133" i="7"/>
  <c r="L133" i="7"/>
  <c r="M133" i="7"/>
  <c r="F134" i="7"/>
  <c r="N133" i="7" s="1"/>
  <c r="G134" i="7"/>
  <c r="O133" i="7" s="1"/>
  <c r="H134" i="7"/>
  <c r="P133" i="7" s="1"/>
  <c r="I134" i="7"/>
  <c r="Q133" i="7" s="1"/>
  <c r="J134" i="7"/>
  <c r="K134" i="7"/>
  <c r="L134" i="7"/>
  <c r="M134" i="7"/>
  <c r="F135" i="7"/>
  <c r="N134" i="7" s="1"/>
  <c r="G135" i="7"/>
  <c r="O134" i="7" s="1"/>
  <c r="H135" i="7"/>
  <c r="P134" i="7" s="1"/>
  <c r="I135" i="7"/>
  <c r="Q134" i="7" s="1"/>
  <c r="J135" i="7"/>
  <c r="K135" i="7"/>
  <c r="L135" i="7"/>
  <c r="M135" i="7"/>
  <c r="F136" i="7"/>
  <c r="N135" i="7" s="1"/>
  <c r="G136" i="7"/>
  <c r="O135" i="7" s="1"/>
  <c r="H136" i="7"/>
  <c r="P135" i="7" s="1"/>
  <c r="I136" i="7"/>
  <c r="Q135" i="7" s="1"/>
  <c r="J136" i="7"/>
  <c r="K136" i="7"/>
  <c r="L136" i="7"/>
  <c r="M136" i="7"/>
  <c r="F137" i="7"/>
  <c r="N136" i="7" s="1"/>
  <c r="G137" i="7"/>
  <c r="O136" i="7" s="1"/>
  <c r="H137" i="7"/>
  <c r="P136" i="7" s="1"/>
  <c r="I137" i="7"/>
  <c r="Q136" i="7" s="1"/>
  <c r="J137" i="7"/>
  <c r="K137" i="7"/>
  <c r="L137" i="7"/>
  <c r="M137" i="7"/>
  <c r="F138" i="7"/>
  <c r="N137" i="7" s="1"/>
  <c r="G138" i="7"/>
  <c r="O137" i="7" s="1"/>
  <c r="H138" i="7"/>
  <c r="P137" i="7" s="1"/>
  <c r="I138" i="7"/>
  <c r="Q137" i="7" s="1"/>
  <c r="J138" i="7"/>
  <c r="K138" i="7"/>
  <c r="L138" i="7"/>
  <c r="M138" i="7"/>
  <c r="F139" i="7"/>
  <c r="N138" i="7" s="1"/>
  <c r="G139" i="7"/>
  <c r="O138" i="7" s="1"/>
  <c r="H139" i="7"/>
  <c r="P138" i="7" s="1"/>
  <c r="I139" i="7"/>
  <c r="J139" i="7"/>
  <c r="K139" i="7"/>
  <c r="L139" i="7"/>
  <c r="M139" i="7"/>
  <c r="F140" i="7"/>
  <c r="N139" i="7" s="1"/>
  <c r="G140" i="7"/>
  <c r="O139" i="7" s="1"/>
  <c r="H140" i="7"/>
  <c r="P139" i="7" s="1"/>
  <c r="I140" i="7"/>
  <c r="Q139" i="7" s="1"/>
  <c r="J140" i="7"/>
  <c r="K140" i="7"/>
  <c r="L140" i="7"/>
  <c r="M140" i="7"/>
  <c r="F141" i="7"/>
  <c r="N140" i="7" s="1"/>
  <c r="G141" i="7"/>
  <c r="O140" i="7" s="1"/>
  <c r="H141" i="7"/>
  <c r="P140" i="7" s="1"/>
  <c r="I141" i="7"/>
  <c r="Q140" i="7" s="1"/>
  <c r="J141" i="7"/>
  <c r="K141" i="7"/>
  <c r="L141" i="7"/>
  <c r="M141" i="7"/>
  <c r="F142" i="7"/>
  <c r="N141" i="7" s="1"/>
  <c r="G142" i="7"/>
  <c r="O141" i="7" s="1"/>
  <c r="H142" i="7"/>
  <c r="P141" i="7" s="1"/>
  <c r="I142" i="7"/>
  <c r="Q141" i="7" s="1"/>
  <c r="J142" i="7"/>
  <c r="K142" i="7"/>
  <c r="L142" i="7"/>
  <c r="M142" i="7"/>
  <c r="F143" i="7"/>
  <c r="N142" i="7" s="1"/>
  <c r="G143" i="7"/>
  <c r="O142" i="7" s="1"/>
  <c r="H143" i="7"/>
  <c r="P142" i="7" s="1"/>
  <c r="I143" i="7"/>
  <c r="Q142" i="7" s="1"/>
  <c r="J143" i="7"/>
  <c r="K143" i="7"/>
  <c r="L143" i="7"/>
  <c r="M143" i="7"/>
  <c r="F144" i="7"/>
  <c r="N143" i="7" s="1"/>
  <c r="G144" i="7"/>
  <c r="O143" i="7" s="1"/>
  <c r="H144" i="7"/>
  <c r="P143" i="7" s="1"/>
  <c r="I144" i="7"/>
  <c r="Q143" i="7" s="1"/>
  <c r="J144" i="7"/>
  <c r="K144" i="7"/>
  <c r="L144" i="7"/>
  <c r="M144" i="7"/>
  <c r="F145" i="7"/>
  <c r="N144" i="7" s="1"/>
  <c r="G145" i="7"/>
  <c r="O144" i="7" s="1"/>
  <c r="H145" i="7"/>
  <c r="P144" i="7" s="1"/>
  <c r="I145" i="7"/>
  <c r="Q144" i="7" s="1"/>
  <c r="J145" i="7"/>
  <c r="K145" i="7"/>
  <c r="L145" i="7"/>
  <c r="M145" i="7"/>
  <c r="F146" i="7"/>
  <c r="G146" i="7"/>
  <c r="O145" i="7" s="1"/>
  <c r="H146" i="7"/>
  <c r="P145" i="7" s="1"/>
  <c r="I146" i="7"/>
  <c r="Q145" i="7" s="1"/>
  <c r="J146" i="7"/>
  <c r="K146" i="7"/>
  <c r="L146" i="7"/>
  <c r="M146" i="7"/>
  <c r="F147" i="7"/>
  <c r="N146" i="7" s="1"/>
  <c r="G147" i="7"/>
  <c r="O146" i="7" s="1"/>
  <c r="H147" i="7"/>
  <c r="P146" i="7" s="1"/>
  <c r="I147" i="7"/>
  <c r="J147" i="7"/>
  <c r="K147" i="7"/>
  <c r="L147" i="7"/>
  <c r="M147" i="7"/>
  <c r="F148" i="7"/>
  <c r="N147" i="7" s="1"/>
  <c r="G148" i="7"/>
  <c r="O147" i="7" s="1"/>
  <c r="H148" i="7"/>
  <c r="P147" i="7" s="1"/>
  <c r="I148" i="7"/>
  <c r="Q147" i="7" s="1"/>
  <c r="J148" i="7"/>
  <c r="K148" i="7"/>
  <c r="L148" i="7"/>
  <c r="M148" i="7"/>
  <c r="F149" i="7"/>
  <c r="N148" i="7" s="1"/>
  <c r="G149" i="7"/>
  <c r="O148" i="7" s="1"/>
  <c r="H149" i="7"/>
  <c r="P148" i="7" s="1"/>
  <c r="I149" i="7"/>
  <c r="Q148" i="7" s="1"/>
  <c r="J149" i="7"/>
  <c r="K149" i="7"/>
  <c r="L149" i="7"/>
  <c r="M149" i="7"/>
  <c r="F150" i="7"/>
  <c r="N149" i="7" s="1"/>
  <c r="G150" i="7"/>
  <c r="O149" i="7" s="1"/>
  <c r="H150" i="7"/>
  <c r="P149" i="7" s="1"/>
  <c r="I150" i="7"/>
  <c r="Q149" i="7" s="1"/>
  <c r="J150" i="7"/>
  <c r="K150" i="7"/>
  <c r="L150" i="7"/>
  <c r="M150" i="7"/>
  <c r="F151" i="7"/>
  <c r="N150" i="7" s="1"/>
  <c r="G151" i="7"/>
  <c r="O150" i="7" s="1"/>
  <c r="H151" i="7"/>
  <c r="P150" i="7" s="1"/>
  <c r="I151" i="7"/>
  <c r="Q150" i="7" s="1"/>
  <c r="J151" i="7"/>
  <c r="K151" i="7"/>
  <c r="L151" i="7"/>
  <c r="M151" i="7"/>
  <c r="F152" i="7"/>
  <c r="N151" i="7" s="1"/>
  <c r="G152" i="7"/>
  <c r="O151" i="7" s="1"/>
  <c r="H152" i="7"/>
  <c r="P151" i="7" s="1"/>
  <c r="I152" i="7"/>
  <c r="Q151" i="7" s="1"/>
  <c r="J152" i="7"/>
  <c r="K152" i="7"/>
  <c r="L152" i="7"/>
  <c r="M152" i="7"/>
  <c r="F153" i="7"/>
  <c r="N152" i="7" s="1"/>
  <c r="G153" i="7"/>
  <c r="O152" i="7" s="1"/>
  <c r="H153" i="7"/>
  <c r="P152" i="7" s="1"/>
  <c r="I153" i="7"/>
  <c r="Q152" i="7" s="1"/>
  <c r="J153" i="7"/>
  <c r="K153" i="7"/>
  <c r="L153" i="7"/>
  <c r="M153" i="7"/>
  <c r="F154" i="7"/>
  <c r="N153" i="7" s="1"/>
  <c r="G154" i="7"/>
  <c r="O153" i="7" s="1"/>
  <c r="H154" i="7"/>
  <c r="P153" i="7" s="1"/>
  <c r="I154" i="7"/>
  <c r="Q153" i="7" s="1"/>
  <c r="J154" i="7"/>
  <c r="K154" i="7"/>
  <c r="L154" i="7"/>
  <c r="M154" i="7"/>
  <c r="F155" i="7"/>
  <c r="N154" i="7" s="1"/>
  <c r="G155" i="7"/>
  <c r="O154" i="7" s="1"/>
  <c r="H155" i="7"/>
  <c r="P154" i="7" s="1"/>
  <c r="I155" i="7"/>
  <c r="J155" i="7"/>
  <c r="K155" i="7"/>
  <c r="L155" i="7"/>
  <c r="M155" i="7"/>
  <c r="F156" i="7"/>
  <c r="N155" i="7" s="1"/>
  <c r="G156" i="7"/>
  <c r="O155" i="7" s="1"/>
  <c r="H156" i="7"/>
  <c r="P155" i="7" s="1"/>
  <c r="I156" i="7"/>
  <c r="Q155" i="7" s="1"/>
  <c r="J156" i="7"/>
  <c r="K156" i="7"/>
  <c r="L156" i="7"/>
  <c r="M156" i="7"/>
  <c r="F157" i="7"/>
  <c r="N156" i="7" s="1"/>
  <c r="G157" i="7"/>
  <c r="O156" i="7" s="1"/>
  <c r="H157" i="7"/>
  <c r="P156" i="7" s="1"/>
  <c r="I157" i="7"/>
  <c r="Q156" i="7" s="1"/>
  <c r="J157" i="7"/>
  <c r="K157" i="7"/>
  <c r="L157" i="7"/>
  <c r="M157" i="7"/>
  <c r="F158" i="7"/>
  <c r="N157" i="7" s="1"/>
  <c r="G158" i="7"/>
  <c r="O157" i="7" s="1"/>
  <c r="H158" i="7"/>
  <c r="P157" i="7" s="1"/>
  <c r="I158" i="7"/>
  <c r="Q157" i="7" s="1"/>
  <c r="J158" i="7"/>
  <c r="K158" i="7"/>
  <c r="L158" i="7"/>
  <c r="M158" i="7"/>
  <c r="F159" i="7"/>
  <c r="N158" i="7" s="1"/>
  <c r="G159" i="7"/>
  <c r="O158" i="7" s="1"/>
  <c r="H159" i="7"/>
  <c r="P158" i="7" s="1"/>
  <c r="I159" i="7"/>
  <c r="Q158" i="7" s="1"/>
  <c r="J159" i="7"/>
  <c r="K159" i="7"/>
  <c r="L159" i="7"/>
  <c r="M159" i="7"/>
  <c r="F160" i="7"/>
  <c r="G160" i="7"/>
  <c r="O159" i="7" s="1"/>
  <c r="H160" i="7"/>
  <c r="P159" i="7" s="1"/>
  <c r="I160" i="7"/>
  <c r="Q159" i="7" s="1"/>
  <c r="J160" i="7"/>
  <c r="K160" i="7"/>
  <c r="L160" i="7"/>
  <c r="M160" i="7"/>
  <c r="F161" i="7"/>
  <c r="N160" i="7" s="1"/>
  <c r="G161" i="7"/>
  <c r="O160" i="7" s="1"/>
  <c r="H161" i="7"/>
  <c r="P160" i="7" s="1"/>
  <c r="I161" i="7"/>
  <c r="Q160" i="7" s="1"/>
  <c r="J161" i="7"/>
  <c r="K161" i="7"/>
  <c r="L161" i="7"/>
  <c r="M161" i="7"/>
  <c r="F162" i="7"/>
  <c r="N161" i="7" s="1"/>
  <c r="G162" i="7"/>
  <c r="O161" i="7" s="1"/>
  <c r="H162" i="7"/>
  <c r="P161" i="7" s="1"/>
  <c r="I162" i="7"/>
  <c r="Q161" i="7" s="1"/>
  <c r="J162" i="7"/>
  <c r="K162" i="7"/>
  <c r="L162" i="7"/>
  <c r="M162" i="7"/>
  <c r="F163" i="7"/>
  <c r="N162" i="7" s="1"/>
  <c r="G163" i="7"/>
  <c r="O162" i="7" s="1"/>
  <c r="H163" i="7"/>
  <c r="P162" i="7" s="1"/>
  <c r="I163" i="7"/>
  <c r="J163" i="7"/>
  <c r="K163" i="7"/>
  <c r="L163" i="7"/>
  <c r="M163" i="7"/>
  <c r="F164" i="7"/>
  <c r="N163" i="7" s="1"/>
  <c r="G164" i="7"/>
  <c r="O163" i="7" s="1"/>
  <c r="H164" i="7"/>
  <c r="P163" i="7" s="1"/>
  <c r="I164" i="7"/>
  <c r="Q163" i="7" s="1"/>
  <c r="J164" i="7"/>
  <c r="K164" i="7"/>
  <c r="L164" i="7"/>
  <c r="M164" i="7"/>
  <c r="F165" i="7"/>
  <c r="N164" i="7" s="1"/>
  <c r="G165" i="7"/>
  <c r="O164" i="7" s="1"/>
  <c r="H165" i="7"/>
  <c r="P164" i="7" s="1"/>
  <c r="I165" i="7"/>
  <c r="Q164" i="7" s="1"/>
  <c r="J165" i="7"/>
  <c r="K165" i="7"/>
  <c r="L165" i="7"/>
  <c r="M165" i="7"/>
  <c r="F166" i="7"/>
  <c r="N165" i="7" s="1"/>
  <c r="G166" i="7"/>
  <c r="O165" i="7" s="1"/>
  <c r="H166" i="7"/>
  <c r="P165" i="7" s="1"/>
  <c r="I166" i="7"/>
  <c r="Q165" i="7" s="1"/>
  <c r="J166" i="7"/>
  <c r="K166" i="7"/>
  <c r="L166" i="7"/>
  <c r="M166" i="7"/>
  <c r="F167" i="7"/>
  <c r="N166" i="7" s="1"/>
  <c r="G167" i="7"/>
  <c r="O166" i="7" s="1"/>
  <c r="H167" i="7"/>
  <c r="P166" i="7" s="1"/>
  <c r="I167" i="7"/>
  <c r="Q166" i="7" s="1"/>
  <c r="J167" i="7"/>
  <c r="K167" i="7"/>
  <c r="L167" i="7"/>
  <c r="M167" i="7"/>
  <c r="F168" i="7"/>
  <c r="N167" i="7" s="1"/>
  <c r="G168" i="7"/>
  <c r="O167" i="7" s="1"/>
  <c r="H168" i="7"/>
  <c r="P167" i="7" s="1"/>
  <c r="I168" i="7"/>
  <c r="Q167" i="7" s="1"/>
  <c r="J168" i="7"/>
  <c r="K168" i="7"/>
  <c r="L168" i="7"/>
  <c r="M168" i="7"/>
  <c r="F169" i="7"/>
  <c r="N168" i="7" s="1"/>
  <c r="G169" i="7"/>
  <c r="O168" i="7" s="1"/>
  <c r="H169" i="7"/>
  <c r="P168" i="7" s="1"/>
  <c r="I169" i="7"/>
  <c r="Q168" i="7" s="1"/>
  <c r="J169" i="7"/>
  <c r="K169" i="7"/>
  <c r="L169" i="7"/>
  <c r="M169" i="7"/>
  <c r="F170" i="7"/>
  <c r="N169" i="7" s="1"/>
  <c r="G170" i="7"/>
  <c r="O169" i="7" s="1"/>
  <c r="H170" i="7"/>
  <c r="P169" i="7" s="1"/>
  <c r="I170" i="7"/>
  <c r="Q169" i="7" s="1"/>
  <c r="J170" i="7"/>
  <c r="K170" i="7"/>
  <c r="L170" i="7"/>
  <c r="M170" i="7"/>
  <c r="F171" i="7"/>
  <c r="N170" i="7" s="1"/>
  <c r="G171" i="7"/>
  <c r="O170" i="7" s="1"/>
  <c r="H171" i="7"/>
  <c r="P170" i="7" s="1"/>
  <c r="I171" i="7"/>
  <c r="J171" i="7"/>
  <c r="K171" i="7"/>
  <c r="L171" i="7"/>
  <c r="M171" i="7"/>
  <c r="F172" i="7"/>
  <c r="N171" i="7" s="1"/>
  <c r="G172" i="7"/>
  <c r="O171" i="7" s="1"/>
  <c r="H172" i="7"/>
  <c r="P171" i="7" s="1"/>
  <c r="I172" i="7"/>
  <c r="Q171" i="7" s="1"/>
  <c r="J172" i="7"/>
  <c r="K172" i="7"/>
  <c r="L172" i="7"/>
  <c r="M172" i="7"/>
  <c r="F173" i="7"/>
  <c r="N172" i="7" s="1"/>
  <c r="G173" i="7"/>
  <c r="O172" i="7" s="1"/>
  <c r="H173" i="7"/>
  <c r="P172" i="7" s="1"/>
  <c r="I173" i="7"/>
  <c r="Q172" i="7" s="1"/>
  <c r="J173" i="7"/>
  <c r="K173" i="7"/>
  <c r="L173" i="7"/>
  <c r="M173" i="7"/>
  <c r="F174" i="7"/>
  <c r="N173" i="7" s="1"/>
  <c r="G174" i="7"/>
  <c r="O173" i="7" s="1"/>
  <c r="H174" i="7"/>
  <c r="P173" i="7" s="1"/>
  <c r="I174" i="7"/>
  <c r="Q173" i="7" s="1"/>
  <c r="J174" i="7"/>
  <c r="K174" i="7"/>
  <c r="L174" i="7"/>
  <c r="M174" i="7"/>
  <c r="F175" i="7"/>
  <c r="N174" i="7" s="1"/>
  <c r="G175" i="7"/>
  <c r="O174" i="7" s="1"/>
  <c r="H175" i="7"/>
  <c r="P174" i="7" s="1"/>
  <c r="I175" i="7"/>
  <c r="Q174" i="7" s="1"/>
  <c r="J175" i="7"/>
  <c r="K175" i="7"/>
  <c r="L175" i="7"/>
  <c r="M175" i="7"/>
  <c r="F176" i="7"/>
  <c r="N175" i="7" s="1"/>
  <c r="G176" i="7"/>
  <c r="O175" i="7" s="1"/>
  <c r="H176" i="7"/>
  <c r="P175" i="7" s="1"/>
  <c r="I176" i="7"/>
  <c r="Q175" i="7" s="1"/>
  <c r="J176" i="7"/>
  <c r="K176" i="7"/>
  <c r="L176" i="7"/>
  <c r="M176" i="7"/>
  <c r="F177" i="7"/>
  <c r="G177" i="7"/>
  <c r="O176" i="7" s="1"/>
  <c r="H177" i="7"/>
  <c r="P176" i="7" s="1"/>
  <c r="I177" i="7"/>
  <c r="Q176" i="7" s="1"/>
  <c r="J177" i="7"/>
  <c r="K177" i="7"/>
  <c r="L177" i="7"/>
  <c r="M177" i="7"/>
  <c r="F178" i="7"/>
  <c r="N177" i="7" s="1"/>
  <c r="G178" i="7"/>
  <c r="O177" i="7" s="1"/>
  <c r="H178" i="7"/>
  <c r="P177" i="7" s="1"/>
  <c r="I178" i="7"/>
  <c r="Q177" i="7" s="1"/>
  <c r="J178" i="7"/>
  <c r="K178" i="7"/>
  <c r="L178" i="7"/>
  <c r="M178" i="7"/>
  <c r="F179" i="7"/>
  <c r="N178" i="7" s="1"/>
  <c r="G179" i="7"/>
  <c r="O178" i="7" s="1"/>
  <c r="H179" i="7"/>
  <c r="P178" i="7" s="1"/>
  <c r="I179" i="7"/>
  <c r="J179" i="7"/>
  <c r="K179" i="7"/>
  <c r="L179" i="7"/>
  <c r="M179" i="7"/>
  <c r="F180" i="7"/>
  <c r="N179" i="7" s="1"/>
  <c r="G180" i="7"/>
  <c r="O179" i="7" s="1"/>
  <c r="H180" i="7"/>
  <c r="P179" i="7" s="1"/>
  <c r="I180" i="7"/>
  <c r="Q179" i="7" s="1"/>
  <c r="J180" i="7"/>
  <c r="K180" i="7"/>
  <c r="L180" i="7"/>
  <c r="M180" i="7"/>
  <c r="F181" i="7"/>
  <c r="N180" i="7" s="1"/>
  <c r="G181" i="7"/>
  <c r="O180" i="7" s="1"/>
  <c r="H181" i="7"/>
  <c r="P180" i="7" s="1"/>
  <c r="I181" i="7"/>
  <c r="Q180" i="7" s="1"/>
  <c r="J181" i="7"/>
  <c r="K181" i="7"/>
  <c r="L181" i="7"/>
  <c r="M181" i="7"/>
  <c r="F182" i="7"/>
  <c r="N181" i="7" s="1"/>
  <c r="G182" i="7"/>
  <c r="O181" i="7" s="1"/>
  <c r="H182" i="7"/>
  <c r="P181" i="7" s="1"/>
  <c r="I182" i="7"/>
  <c r="Q181" i="7" s="1"/>
  <c r="J182" i="7"/>
  <c r="K182" i="7"/>
  <c r="L182" i="7"/>
  <c r="M182" i="7"/>
  <c r="F183" i="7"/>
  <c r="N182" i="7" s="1"/>
  <c r="G183" i="7"/>
  <c r="O182" i="7" s="1"/>
  <c r="H183" i="7"/>
  <c r="P182" i="7" s="1"/>
  <c r="I183" i="7"/>
  <c r="Q182" i="7" s="1"/>
  <c r="J183" i="7"/>
  <c r="K183" i="7"/>
  <c r="L183" i="7"/>
  <c r="M183" i="7"/>
  <c r="F184" i="7"/>
  <c r="N183" i="7" s="1"/>
  <c r="G184" i="7"/>
  <c r="O183" i="7" s="1"/>
  <c r="H184" i="7"/>
  <c r="P183" i="7" s="1"/>
  <c r="I184" i="7"/>
  <c r="Q183" i="7" s="1"/>
  <c r="J184" i="7"/>
  <c r="K184" i="7"/>
  <c r="L184" i="7"/>
  <c r="M184" i="7"/>
  <c r="F185" i="7"/>
  <c r="N184" i="7" s="1"/>
  <c r="G185" i="7"/>
  <c r="O184" i="7" s="1"/>
  <c r="H185" i="7"/>
  <c r="P184" i="7" s="1"/>
  <c r="I185" i="7"/>
  <c r="Q184" i="7" s="1"/>
  <c r="J185" i="7"/>
  <c r="K185" i="7"/>
  <c r="L185" i="7"/>
  <c r="M185" i="7"/>
  <c r="F186" i="7"/>
  <c r="N185" i="7" s="1"/>
  <c r="G186" i="7"/>
  <c r="O185" i="7" s="1"/>
  <c r="H186" i="7"/>
  <c r="P185" i="7" s="1"/>
  <c r="I186" i="7"/>
  <c r="Q185" i="7" s="1"/>
  <c r="J186" i="7"/>
  <c r="K186" i="7"/>
  <c r="L186" i="7"/>
  <c r="M186" i="7"/>
  <c r="F187" i="7"/>
  <c r="N186" i="7" s="1"/>
  <c r="G187" i="7"/>
  <c r="O186" i="7" s="1"/>
  <c r="H187" i="7"/>
  <c r="P186" i="7" s="1"/>
  <c r="I187" i="7"/>
  <c r="J187" i="7"/>
  <c r="K187" i="7"/>
  <c r="L187" i="7"/>
  <c r="M187" i="7"/>
  <c r="F188" i="7"/>
  <c r="N187" i="7" s="1"/>
  <c r="G188" i="7"/>
  <c r="O187" i="7" s="1"/>
  <c r="H188" i="7"/>
  <c r="P187" i="7" s="1"/>
  <c r="I188" i="7"/>
  <c r="Q187" i="7" s="1"/>
  <c r="J188" i="7"/>
  <c r="K188" i="7"/>
  <c r="L188" i="7"/>
  <c r="M188" i="7"/>
  <c r="F189" i="7"/>
  <c r="N188" i="7" s="1"/>
  <c r="G189" i="7"/>
  <c r="O188" i="7" s="1"/>
  <c r="H189" i="7"/>
  <c r="P188" i="7" s="1"/>
  <c r="I189" i="7"/>
  <c r="Q188" i="7" s="1"/>
  <c r="J189" i="7"/>
  <c r="K189" i="7"/>
  <c r="L189" i="7"/>
  <c r="M189" i="7"/>
  <c r="F190" i="7"/>
  <c r="N189" i="7" s="1"/>
  <c r="G190" i="7"/>
  <c r="O189" i="7" s="1"/>
  <c r="H190" i="7"/>
  <c r="P189" i="7" s="1"/>
  <c r="I190" i="7"/>
  <c r="Q189" i="7" s="1"/>
  <c r="J190" i="7"/>
  <c r="K190" i="7"/>
  <c r="L190" i="7"/>
  <c r="M190" i="7"/>
  <c r="F191" i="7"/>
  <c r="G191" i="7"/>
  <c r="O190" i="7" s="1"/>
  <c r="H191" i="7"/>
  <c r="P190" i="7" s="1"/>
  <c r="I191" i="7"/>
  <c r="Q190" i="7" s="1"/>
  <c r="J191" i="7"/>
  <c r="K191" i="7"/>
  <c r="L191" i="7"/>
  <c r="M191" i="7"/>
  <c r="F192" i="7"/>
  <c r="N191" i="7" s="1"/>
  <c r="G192" i="7"/>
  <c r="O191" i="7" s="1"/>
  <c r="H192" i="7"/>
  <c r="P191" i="7" s="1"/>
  <c r="I192" i="7"/>
  <c r="Q191" i="7" s="1"/>
  <c r="J192" i="7"/>
  <c r="K192" i="7"/>
  <c r="L192" i="7"/>
  <c r="M192" i="7"/>
  <c r="F193" i="7"/>
  <c r="N192" i="7" s="1"/>
  <c r="G193" i="7"/>
  <c r="O192" i="7" s="1"/>
  <c r="H193" i="7"/>
  <c r="P192" i="7" s="1"/>
  <c r="I193" i="7"/>
  <c r="Q192" i="7" s="1"/>
  <c r="J193" i="7"/>
  <c r="K193" i="7"/>
  <c r="L193" i="7"/>
  <c r="M193" i="7"/>
  <c r="F194" i="7"/>
  <c r="N193" i="7" s="1"/>
  <c r="G194" i="7"/>
  <c r="O193" i="7" s="1"/>
  <c r="H194" i="7"/>
  <c r="P193" i="7" s="1"/>
  <c r="I194" i="7"/>
  <c r="Q193" i="7" s="1"/>
  <c r="J194" i="7"/>
  <c r="K194" i="7"/>
  <c r="L194" i="7"/>
  <c r="M194" i="7"/>
  <c r="F195" i="7"/>
  <c r="N194" i="7" s="1"/>
  <c r="G195" i="7"/>
  <c r="O194" i="7" s="1"/>
  <c r="H195" i="7"/>
  <c r="P194" i="7" s="1"/>
  <c r="I195" i="7"/>
  <c r="J195" i="7"/>
  <c r="K195" i="7"/>
  <c r="L195" i="7"/>
  <c r="M195" i="7"/>
  <c r="F196" i="7"/>
  <c r="N195" i="7" s="1"/>
  <c r="G196" i="7"/>
  <c r="O195" i="7" s="1"/>
  <c r="H196" i="7"/>
  <c r="P195" i="7" s="1"/>
  <c r="I196" i="7"/>
  <c r="Q195" i="7" s="1"/>
  <c r="J196" i="7"/>
  <c r="K196" i="7"/>
  <c r="L196" i="7"/>
  <c r="M196" i="7"/>
  <c r="F197" i="7"/>
  <c r="N196" i="7" s="1"/>
  <c r="G197" i="7"/>
  <c r="O196" i="7" s="1"/>
  <c r="H197" i="7"/>
  <c r="P196" i="7" s="1"/>
  <c r="I197" i="7"/>
  <c r="Q196" i="7" s="1"/>
  <c r="J197" i="7"/>
  <c r="K197" i="7"/>
  <c r="L197" i="7"/>
  <c r="M197" i="7"/>
  <c r="F198" i="7"/>
  <c r="N197" i="7" s="1"/>
  <c r="G198" i="7"/>
  <c r="O197" i="7" s="1"/>
  <c r="H198" i="7"/>
  <c r="P197" i="7" s="1"/>
  <c r="I198" i="7"/>
  <c r="Q197" i="7" s="1"/>
  <c r="J198" i="7"/>
  <c r="K198" i="7"/>
  <c r="L198" i="7"/>
  <c r="M198" i="7"/>
  <c r="F199" i="7"/>
  <c r="N198" i="7" s="1"/>
  <c r="G199" i="7"/>
  <c r="O198" i="7" s="1"/>
  <c r="H199" i="7"/>
  <c r="P198" i="7" s="1"/>
  <c r="I199" i="7"/>
  <c r="Q198" i="7" s="1"/>
  <c r="J199" i="7"/>
  <c r="K199" i="7"/>
  <c r="L199" i="7"/>
  <c r="M199" i="7"/>
  <c r="F200" i="7"/>
  <c r="N199" i="7" s="1"/>
  <c r="G200" i="7"/>
  <c r="O199" i="7" s="1"/>
  <c r="H200" i="7"/>
  <c r="P199" i="7" s="1"/>
  <c r="I200" i="7"/>
  <c r="Q199" i="7" s="1"/>
  <c r="J200" i="7"/>
  <c r="K200" i="7"/>
  <c r="L200" i="7"/>
  <c r="M200" i="7"/>
  <c r="F201" i="7"/>
  <c r="N200" i="7" s="1"/>
  <c r="G201" i="7"/>
  <c r="O200" i="7" s="1"/>
  <c r="H201" i="7"/>
  <c r="P200" i="7" s="1"/>
  <c r="I201" i="7"/>
  <c r="Q200" i="7" s="1"/>
  <c r="J201" i="7"/>
  <c r="K201" i="7"/>
  <c r="L201" i="7"/>
  <c r="M201" i="7"/>
  <c r="F202" i="7"/>
  <c r="N201" i="7" s="1"/>
  <c r="G202" i="7"/>
  <c r="O201" i="7" s="1"/>
  <c r="H202" i="7"/>
  <c r="P201" i="7" s="1"/>
  <c r="I202" i="7"/>
  <c r="Q201" i="7" s="1"/>
  <c r="J202" i="7"/>
  <c r="K202" i="7"/>
  <c r="L202" i="7"/>
  <c r="M202" i="7"/>
  <c r="F203" i="7"/>
  <c r="N202" i="7" s="1"/>
  <c r="G203" i="7"/>
  <c r="O202" i="7" s="1"/>
  <c r="H203" i="7"/>
  <c r="P202" i="7" s="1"/>
  <c r="I203" i="7"/>
  <c r="J203" i="7"/>
  <c r="K203" i="7"/>
  <c r="L203" i="7"/>
  <c r="M203" i="7"/>
  <c r="F204" i="7"/>
  <c r="N203" i="7" s="1"/>
  <c r="G204" i="7"/>
  <c r="O203" i="7" s="1"/>
  <c r="H204" i="7"/>
  <c r="P203" i="7" s="1"/>
  <c r="I204" i="7"/>
  <c r="Q203" i="7" s="1"/>
  <c r="J204" i="7"/>
  <c r="K204" i="7"/>
  <c r="L204" i="7"/>
  <c r="M204" i="7"/>
  <c r="F205" i="7"/>
  <c r="N204" i="7" s="1"/>
  <c r="G205" i="7"/>
  <c r="O204" i="7" s="1"/>
  <c r="H205" i="7"/>
  <c r="P204" i="7" s="1"/>
  <c r="I205" i="7"/>
  <c r="Q204" i="7" s="1"/>
  <c r="J205" i="7"/>
  <c r="K205" i="7"/>
  <c r="L205" i="7"/>
  <c r="M205" i="7"/>
  <c r="F206" i="7"/>
  <c r="N205" i="7" s="1"/>
  <c r="G206" i="7"/>
  <c r="O205" i="7" s="1"/>
  <c r="H206" i="7"/>
  <c r="P205" i="7" s="1"/>
  <c r="I206" i="7"/>
  <c r="Q205" i="7" s="1"/>
  <c r="J206" i="7"/>
  <c r="K206" i="7"/>
  <c r="L206" i="7"/>
  <c r="M206" i="7"/>
  <c r="F207" i="7"/>
  <c r="N206" i="7" s="1"/>
  <c r="G207" i="7"/>
  <c r="O206" i="7" s="1"/>
  <c r="H207" i="7"/>
  <c r="P206" i="7" s="1"/>
  <c r="I207" i="7"/>
  <c r="Q206" i="7" s="1"/>
  <c r="J207" i="7"/>
  <c r="K207" i="7"/>
  <c r="L207" i="7"/>
  <c r="M207" i="7"/>
  <c r="F208" i="7"/>
  <c r="N207" i="7" s="1"/>
  <c r="G208" i="7"/>
  <c r="O207" i="7" s="1"/>
  <c r="H208" i="7"/>
  <c r="P207" i="7" s="1"/>
  <c r="I208" i="7"/>
  <c r="Q207" i="7" s="1"/>
  <c r="J208" i="7"/>
  <c r="K208" i="7"/>
  <c r="L208" i="7"/>
  <c r="M208" i="7"/>
  <c r="F209" i="7"/>
  <c r="N208" i="7" s="1"/>
  <c r="G209" i="7"/>
  <c r="O208" i="7" s="1"/>
  <c r="H209" i="7"/>
  <c r="P208" i="7" s="1"/>
  <c r="I209" i="7"/>
  <c r="Q208" i="7" s="1"/>
  <c r="J209" i="7"/>
  <c r="K209" i="7"/>
  <c r="L209" i="7"/>
  <c r="M209" i="7"/>
  <c r="F210" i="7"/>
  <c r="N209" i="7" s="1"/>
  <c r="G210" i="7"/>
  <c r="O209" i="7" s="1"/>
  <c r="H210" i="7"/>
  <c r="P209" i="7" s="1"/>
  <c r="I210" i="7"/>
  <c r="Q209" i="7" s="1"/>
  <c r="J210" i="7"/>
  <c r="K210" i="7"/>
  <c r="L210" i="7"/>
  <c r="M210" i="7"/>
  <c r="F211" i="7"/>
  <c r="N210" i="7" s="1"/>
  <c r="G211" i="7"/>
  <c r="O210" i="7" s="1"/>
  <c r="H211" i="7"/>
  <c r="P210" i="7" s="1"/>
  <c r="I211" i="7"/>
  <c r="J211" i="7"/>
  <c r="K211" i="7"/>
  <c r="L211" i="7"/>
  <c r="M211" i="7"/>
  <c r="F212" i="7"/>
  <c r="N211" i="7" s="1"/>
  <c r="G212" i="7"/>
  <c r="O211" i="7" s="1"/>
  <c r="H212" i="7"/>
  <c r="P211" i="7" s="1"/>
  <c r="I212" i="7"/>
  <c r="Q211" i="7" s="1"/>
  <c r="J212" i="7"/>
  <c r="K212" i="7"/>
  <c r="L212" i="7"/>
  <c r="M212" i="7"/>
  <c r="F213" i="7"/>
  <c r="N212" i="7" s="1"/>
  <c r="G213" i="7"/>
  <c r="O212" i="7" s="1"/>
  <c r="H213" i="7"/>
  <c r="P212" i="7" s="1"/>
  <c r="I213" i="7"/>
  <c r="Q212" i="7" s="1"/>
  <c r="J213" i="7"/>
  <c r="K213" i="7"/>
  <c r="L213" i="7"/>
  <c r="M213" i="7"/>
  <c r="F214" i="7"/>
  <c r="N213" i="7" s="1"/>
  <c r="G214" i="7"/>
  <c r="O213" i="7" s="1"/>
  <c r="H214" i="7"/>
  <c r="P213" i="7" s="1"/>
  <c r="I214" i="7"/>
  <c r="Q213" i="7" s="1"/>
  <c r="J214" i="7"/>
  <c r="K214" i="7"/>
  <c r="L214" i="7"/>
  <c r="M214" i="7"/>
  <c r="F215" i="7"/>
  <c r="N214" i="7" s="1"/>
  <c r="G215" i="7"/>
  <c r="O214" i="7" s="1"/>
  <c r="H215" i="7"/>
  <c r="P214" i="7" s="1"/>
  <c r="I215" i="7"/>
  <c r="Q214" i="7" s="1"/>
  <c r="J215" i="7"/>
  <c r="K215" i="7"/>
  <c r="L215" i="7"/>
  <c r="M215" i="7"/>
  <c r="F216" i="7"/>
  <c r="N215" i="7" s="1"/>
  <c r="G216" i="7"/>
  <c r="O215" i="7" s="1"/>
  <c r="H216" i="7"/>
  <c r="P215" i="7" s="1"/>
  <c r="I216" i="7"/>
  <c r="Q215" i="7" s="1"/>
  <c r="J216" i="7"/>
  <c r="K216" i="7"/>
  <c r="L216" i="7"/>
  <c r="M216" i="7"/>
  <c r="F217" i="7"/>
  <c r="N216" i="7" s="1"/>
  <c r="G217" i="7"/>
  <c r="O216" i="7" s="1"/>
  <c r="H217" i="7"/>
  <c r="P216" i="7" s="1"/>
  <c r="I217" i="7"/>
  <c r="Q216" i="7" s="1"/>
  <c r="J217" i="7"/>
  <c r="K217" i="7"/>
  <c r="L217" i="7"/>
  <c r="M217" i="7"/>
  <c r="F218" i="7"/>
  <c r="N217" i="7" s="1"/>
  <c r="G218" i="7"/>
  <c r="O217" i="7" s="1"/>
  <c r="H218" i="7"/>
  <c r="P217" i="7" s="1"/>
  <c r="I218" i="7"/>
  <c r="Q217" i="7" s="1"/>
  <c r="J218" i="7"/>
  <c r="K218" i="7"/>
  <c r="L218" i="7"/>
  <c r="M218" i="7"/>
  <c r="F219" i="7"/>
  <c r="G219" i="7"/>
  <c r="O218" i="7" s="1"/>
  <c r="H219" i="7"/>
  <c r="P218" i="7" s="1"/>
  <c r="I219" i="7"/>
  <c r="J219" i="7"/>
  <c r="K219" i="7"/>
  <c r="L219" i="7"/>
  <c r="M219" i="7"/>
  <c r="F220" i="7"/>
  <c r="N219" i="7" s="1"/>
  <c r="G220" i="7"/>
  <c r="O219" i="7" s="1"/>
  <c r="H220" i="7"/>
  <c r="P219" i="7" s="1"/>
  <c r="I220" i="7"/>
  <c r="Q219" i="7" s="1"/>
  <c r="J220" i="7"/>
  <c r="K220" i="7"/>
  <c r="L220" i="7"/>
  <c r="M220" i="7"/>
  <c r="F221" i="7"/>
  <c r="N220" i="7" s="1"/>
  <c r="G221" i="7"/>
  <c r="O220" i="7" s="1"/>
  <c r="H221" i="7"/>
  <c r="P220" i="7" s="1"/>
  <c r="I221" i="7"/>
  <c r="Q220" i="7" s="1"/>
  <c r="J221" i="7"/>
  <c r="K221" i="7"/>
  <c r="L221" i="7"/>
  <c r="M221" i="7"/>
  <c r="F222" i="7"/>
  <c r="N221" i="7" s="1"/>
  <c r="G222" i="7"/>
  <c r="O221" i="7" s="1"/>
  <c r="H222" i="7"/>
  <c r="P221" i="7" s="1"/>
  <c r="I222" i="7"/>
  <c r="Q221" i="7" s="1"/>
  <c r="J222" i="7"/>
  <c r="K222" i="7"/>
  <c r="L222" i="7"/>
  <c r="M222" i="7"/>
  <c r="F223" i="7"/>
  <c r="N222" i="7" s="1"/>
  <c r="G223" i="7"/>
  <c r="O222" i="7" s="1"/>
  <c r="H223" i="7"/>
  <c r="P222" i="7" s="1"/>
  <c r="I223" i="7"/>
  <c r="Q222" i="7" s="1"/>
  <c r="J223" i="7"/>
  <c r="K223" i="7"/>
  <c r="L223" i="7"/>
  <c r="M223" i="7"/>
  <c r="F224" i="7"/>
  <c r="N223" i="7" s="1"/>
  <c r="G224" i="7"/>
  <c r="O223" i="7" s="1"/>
  <c r="H224" i="7"/>
  <c r="P223" i="7" s="1"/>
  <c r="I224" i="7"/>
  <c r="Q223" i="7" s="1"/>
  <c r="J224" i="7"/>
  <c r="K224" i="7"/>
  <c r="L224" i="7"/>
  <c r="M224" i="7"/>
  <c r="F225" i="7"/>
  <c r="N224" i="7" s="1"/>
  <c r="G225" i="7"/>
  <c r="O224" i="7" s="1"/>
  <c r="H225" i="7"/>
  <c r="P224" i="7" s="1"/>
  <c r="I225" i="7"/>
  <c r="Q224" i="7" s="1"/>
  <c r="J225" i="7"/>
  <c r="K225" i="7"/>
  <c r="L225" i="7"/>
  <c r="M225" i="7"/>
  <c r="F226" i="7"/>
  <c r="N225" i="7" s="1"/>
  <c r="G226" i="7"/>
  <c r="O225" i="7" s="1"/>
  <c r="H226" i="7"/>
  <c r="P225" i="7" s="1"/>
  <c r="I226" i="7"/>
  <c r="Q225" i="7" s="1"/>
  <c r="J226" i="7"/>
  <c r="K226" i="7"/>
  <c r="L226" i="7"/>
  <c r="M226" i="7"/>
  <c r="F227" i="7"/>
  <c r="N226" i="7" s="1"/>
  <c r="G227" i="7"/>
  <c r="O226" i="7" s="1"/>
  <c r="H227" i="7"/>
  <c r="P226" i="7" s="1"/>
  <c r="I227" i="7"/>
  <c r="J227" i="7"/>
  <c r="K227" i="7"/>
  <c r="L227" i="7"/>
  <c r="M227" i="7"/>
  <c r="F228" i="7"/>
  <c r="N227" i="7" s="1"/>
  <c r="G228" i="7"/>
  <c r="O227" i="7" s="1"/>
  <c r="H228" i="7"/>
  <c r="P227" i="7" s="1"/>
  <c r="I228" i="7"/>
  <c r="Q227" i="7" s="1"/>
  <c r="J228" i="7"/>
  <c r="K228" i="7"/>
  <c r="L228" i="7"/>
  <c r="M228" i="7"/>
  <c r="F229" i="7"/>
  <c r="N228" i="7" s="1"/>
  <c r="G229" i="7"/>
  <c r="O228" i="7" s="1"/>
  <c r="H229" i="7"/>
  <c r="P228" i="7" s="1"/>
  <c r="I229" i="7"/>
  <c r="Q228" i="7" s="1"/>
  <c r="J229" i="7"/>
  <c r="K229" i="7"/>
  <c r="L229" i="7"/>
  <c r="M229" i="7"/>
  <c r="F230" i="7"/>
  <c r="N229" i="7" s="1"/>
  <c r="G230" i="7"/>
  <c r="O229" i="7" s="1"/>
  <c r="H230" i="7"/>
  <c r="P229" i="7" s="1"/>
  <c r="I230" i="7"/>
  <c r="Q229" i="7" s="1"/>
  <c r="J230" i="7"/>
  <c r="K230" i="7"/>
  <c r="L230" i="7"/>
  <c r="M230" i="7"/>
  <c r="F231" i="7"/>
  <c r="N230" i="7" s="1"/>
  <c r="G231" i="7"/>
  <c r="O230" i="7" s="1"/>
  <c r="H231" i="7"/>
  <c r="P230" i="7" s="1"/>
  <c r="I231" i="7"/>
  <c r="Q230" i="7" s="1"/>
  <c r="J231" i="7"/>
  <c r="K231" i="7"/>
  <c r="L231" i="7"/>
  <c r="M231" i="7"/>
  <c r="F232" i="7"/>
  <c r="N231" i="7" s="1"/>
  <c r="G232" i="7"/>
  <c r="O231" i="7" s="1"/>
  <c r="H232" i="7"/>
  <c r="P231" i="7" s="1"/>
  <c r="I232" i="7"/>
  <c r="Q231" i="7" s="1"/>
  <c r="J232" i="7"/>
  <c r="K232" i="7"/>
  <c r="L232" i="7"/>
  <c r="M232" i="7"/>
  <c r="F233" i="7"/>
  <c r="N232" i="7" s="1"/>
  <c r="G233" i="7"/>
  <c r="O232" i="7" s="1"/>
  <c r="H233" i="7"/>
  <c r="P232" i="7" s="1"/>
  <c r="I233" i="7"/>
  <c r="Q232" i="7" s="1"/>
  <c r="J233" i="7"/>
  <c r="K233" i="7"/>
  <c r="L233" i="7"/>
  <c r="M233" i="7"/>
  <c r="F234" i="7"/>
  <c r="N233" i="7" s="1"/>
  <c r="G234" i="7"/>
  <c r="O233" i="7" s="1"/>
  <c r="H234" i="7"/>
  <c r="P233" i="7" s="1"/>
  <c r="I234" i="7"/>
  <c r="Q233" i="7" s="1"/>
  <c r="J234" i="7"/>
  <c r="K234" i="7"/>
  <c r="L234" i="7"/>
  <c r="M234" i="7"/>
  <c r="F235" i="7"/>
  <c r="N234" i="7" s="1"/>
  <c r="G235" i="7"/>
  <c r="O234" i="7" s="1"/>
  <c r="H235" i="7"/>
  <c r="P234" i="7" s="1"/>
  <c r="I235" i="7"/>
  <c r="J235" i="7"/>
  <c r="K235" i="7"/>
  <c r="L235" i="7"/>
  <c r="M235" i="7"/>
  <c r="F236" i="7"/>
  <c r="N235" i="7" s="1"/>
  <c r="G236" i="7"/>
  <c r="O235" i="7" s="1"/>
  <c r="H236" i="7"/>
  <c r="P235" i="7" s="1"/>
  <c r="I236" i="7"/>
  <c r="Q235" i="7" s="1"/>
  <c r="J236" i="7"/>
  <c r="K236" i="7"/>
  <c r="L236" i="7"/>
  <c r="M236" i="7"/>
  <c r="F237" i="7"/>
  <c r="N236" i="7" s="1"/>
  <c r="G237" i="7"/>
  <c r="O236" i="7" s="1"/>
  <c r="H237" i="7"/>
  <c r="P236" i="7" s="1"/>
  <c r="I237" i="7"/>
  <c r="Q236" i="7" s="1"/>
  <c r="J237" i="7"/>
  <c r="K237" i="7"/>
  <c r="L237" i="7"/>
  <c r="M237" i="7"/>
  <c r="F238" i="7"/>
  <c r="N237" i="7" s="1"/>
  <c r="G238" i="7"/>
  <c r="O237" i="7" s="1"/>
  <c r="H238" i="7"/>
  <c r="P237" i="7" s="1"/>
  <c r="I238" i="7"/>
  <c r="Q237" i="7" s="1"/>
  <c r="J238" i="7"/>
  <c r="K238" i="7"/>
  <c r="L238" i="7"/>
  <c r="M238" i="7"/>
  <c r="F239" i="7"/>
  <c r="N238" i="7" s="1"/>
  <c r="G239" i="7"/>
  <c r="O238" i="7" s="1"/>
  <c r="H239" i="7"/>
  <c r="P238" i="7" s="1"/>
  <c r="I239" i="7"/>
  <c r="Q238" i="7" s="1"/>
  <c r="J239" i="7"/>
  <c r="K239" i="7"/>
  <c r="L239" i="7"/>
  <c r="M239" i="7"/>
  <c r="F240" i="7"/>
  <c r="N239" i="7" s="1"/>
  <c r="G240" i="7"/>
  <c r="O239" i="7" s="1"/>
  <c r="H240" i="7"/>
  <c r="P239" i="7" s="1"/>
  <c r="I240" i="7"/>
  <c r="Q239" i="7" s="1"/>
  <c r="J240" i="7"/>
  <c r="K240" i="7"/>
  <c r="L240" i="7"/>
  <c r="M240" i="7"/>
  <c r="F241" i="7"/>
  <c r="N240" i="7" s="1"/>
  <c r="G241" i="7"/>
  <c r="O240" i="7" s="1"/>
  <c r="H241" i="7"/>
  <c r="P240" i="7" s="1"/>
  <c r="I241" i="7"/>
  <c r="Q240" i="7" s="1"/>
  <c r="J241" i="7"/>
  <c r="K241" i="7"/>
  <c r="L241" i="7"/>
  <c r="M241" i="7"/>
  <c r="F242" i="7"/>
  <c r="N241" i="7" s="1"/>
  <c r="G242" i="7"/>
  <c r="O241" i="7" s="1"/>
  <c r="H242" i="7"/>
  <c r="P241" i="7" s="1"/>
  <c r="I242" i="7"/>
  <c r="Q241" i="7" s="1"/>
  <c r="J242" i="7"/>
  <c r="K242" i="7"/>
  <c r="L242" i="7"/>
  <c r="M242" i="7"/>
  <c r="F243" i="7"/>
  <c r="N242" i="7" s="1"/>
  <c r="G243" i="7"/>
  <c r="O242" i="7" s="1"/>
  <c r="H243" i="7"/>
  <c r="P242" i="7" s="1"/>
  <c r="I243" i="7"/>
  <c r="J243" i="7"/>
  <c r="K243" i="7"/>
  <c r="L243" i="7"/>
  <c r="M243" i="7"/>
  <c r="F244" i="7"/>
  <c r="N243" i="7" s="1"/>
  <c r="G244" i="7"/>
  <c r="O243" i="7" s="1"/>
  <c r="H244" i="7"/>
  <c r="P243" i="7" s="1"/>
  <c r="I244" i="7"/>
  <c r="Q243" i="7" s="1"/>
  <c r="J244" i="7"/>
  <c r="K244" i="7"/>
  <c r="L244" i="7"/>
  <c r="M244" i="7"/>
  <c r="F245" i="7"/>
  <c r="N244" i="7" s="1"/>
  <c r="G245" i="7"/>
  <c r="O244" i="7" s="1"/>
  <c r="H245" i="7"/>
  <c r="P244" i="7" s="1"/>
  <c r="I245" i="7"/>
  <c r="Q244" i="7" s="1"/>
  <c r="J245" i="7"/>
  <c r="K245" i="7"/>
  <c r="L245" i="7"/>
  <c r="M245" i="7"/>
  <c r="F246" i="7"/>
  <c r="N245" i="7" s="1"/>
  <c r="G246" i="7"/>
  <c r="O245" i="7" s="1"/>
  <c r="H246" i="7"/>
  <c r="P245" i="7" s="1"/>
  <c r="I246" i="7"/>
  <c r="Q245" i="7" s="1"/>
  <c r="J246" i="7"/>
  <c r="K246" i="7"/>
  <c r="L246" i="7"/>
  <c r="M246" i="7"/>
  <c r="F247" i="7"/>
  <c r="N246" i="7" s="1"/>
  <c r="G247" i="7"/>
  <c r="O246" i="7" s="1"/>
  <c r="H247" i="7"/>
  <c r="P246" i="7" s="1"/>
  <c r="I247" i="7"/>
  <c r="Q246" i="7" s="1"/>
  <c r="J247" i="7"/>
  <c r="K247" i="7"/>
  <c r="L247" i="7"/>
  <c r="M247" i="7"/>
  <c r="F248" i="7"/>
  <c r="N247" i="7" s="1"/>
  <c r="G248" i="7"/>
  <c r="O247" i="7" s="1"/>
  <c r="H248" i="7"/>
  <c r="P247" i="7" s="1"/>
  <c r="I248" i="7"/>
  <c r="Q247" i="7" s="1"/>
  <c r="J248" i="7"/>
  <c r="K248" i="7"/>
  <c r="L248" i="7"/>
  <c r="M248" i="7"/>
  <c r="F249" i="7"/>
  <c r="N248" i="7" s="1"/>
  <c r="G249" i="7"/>
  <c r="O248" i="7" s="1"/>
  <c r="H249" i="7"/>
  <c r="P248" i="7" s="1"/>
  <c r="I249" i="7"/>
  <c r="Q248" i="7" s="1"/>
  <c r="J249" i="7"/>
  <c r="K249" i="7"/>
  <c r="L249" i="7"/>
  <c r="M249" i="7"/>
  <c r="F250" i="7"/>
  <c r="N249" i="7" s="1"/>
  <c r="G250" i="7"/>
  <c r="O249" i="7" s="1"/>
  <c r="H250" i="7"/>
  <c r="P249" i="7" s="1"/>
  <c r="I250" i="7"/>
  <c r="Q249" i="7" s="1"/>
  <c r="J250" i="7"/>
  <c r="K250" i="7"/>
  <c r="L250" i="7"/>
  <c r="M250" i="7"/>
  <c r="F251" i="7"/>
  <c r="N250" i="7" s="1"/>
  <c r="G251" i="7"/>
  <c r="O250" i="7" s="1"/>
  <c r="H251" i="7"/>
  <c r="P250" i="7" s="1"/>
  <c r="I251" i="7"/>
  <c r="J251" i="7"/>
  <c r="K251" i="7"/>
  <c r="L251" i="7"/>
  <c r="M251" i="7"/>
  <c r="F252" i="7"/>
  <c r="N251" i="7" s="1"/>
  <c r="G252" i="7"/>
  <c r="O251" i="7" s="1"/>
  <c r="H252" i="7"/>
  <c r="P251" i="7" s="1"/>
  <c r="I252" i="7"/>
  <c r="Q251" i="7" s="1"/>
  <c r="J252" i="7"/>
  <c r="K252" i="7"/>
  <c r="L252" i="7"/>
  <c r="M252" i="7"/>
  <c r="F253" i="7"/>
  <c r="N252" i="7" s="1"/>
  <c r="G253" i="7"/>
  <c r="O252" i="7" s="1"/>
  <c r="H253" i="7"/>
  <c r="P252" i="7" s="1"/>
  <c r="I253" i="7"/>
  <c r="Q252" i="7" s="1"/>
  <c r="J253" i="7"/>
  <c r="K253" i="7"/>
  <c r="L253" i="7"/>
  <c r="M253" i="7"/>
  <c r="F254" i="7"/>
  <c r="N253" i="7" s="1"/>
  <c r="G254" i="7"/>
  <c r="O253" i="7" s="1"/>
  <c r="H254" i="7"/>
  <c r="P253" i="7" s="1"/>
  <c r="I254" i="7"/>
  <c r="Q253" i="7" s="1"/>
  <c r="J254" i="7"/>
  <c r="K254" i="7"/>
  <c r="L254" i="7"/>
  <c r="M254" i="7"/>
  <c r="K3" i="7"/>
  <c r="L3" i="7"/>
  <c r="M3" i="7"/>
  <c r="J3" i="7"/>
  <c r="G3" i="7"/>
  <c r="H3" i="7"/>
  <c r="I3" i="7"/>
  <c r="F3" i="7"/>
  <c r="Q37" i="5"/>
  <c r="K12" i="10" a="1"/>
  <c r="J12" i="10" a="1"/>
  <c r="H17" i="10" a="1"/>
  <c r="I12" i="10" a="1"/>
  <c r="H12" i="10" a="1"/>
  <c r="P12" i="14" l="1"/>
  <c r="H12" i="10"/>
  <c r="I12" i="10"/>
  <c r="H17" i="10"/>
  <c r="H19" i="10" s="1"/>
  <c r="J12" i="10"/>
  <c r="K12" i="10"/>
  <c r="N14" i="14"/>
  <c r="N22" i="14"/>
  <c r="N19" i="14"/>
  <c r="V39" i="7"/>
  <c r="T39" i="7"/>
  <c r="U39" i="7"/>
  <c r="W39" i="7"/>
  <c r="Q40" i="5"/>
  <c r="H14" i="10" l="1"/>
  <c r="H21" i="10" s="1"/>
  <c r="H22" i="10"/>
  <c r="N21" i="14"/>
  <c r="G2" i="5"/>
  <c r="O36" i="5"/>
  <c r="P36" i="5"/>
  <c r="H2" i="14" l="1"/>
  <c r="O5" i="14" s="1"/>
  <c r="B2" i="10"/>
  <c r="I5" i="10" s="1"/>
  <c r="B2" i="9"/>
  <c r="I5" i="9" s="1"/>
  <c r="B2" i="8"/>
  <c r="I5" i="8" s="1"/>
  <c r="H2" i="5"/>
  <c r="N36" i="5"/>
  <c r="I2" i="5"/>
  <c r="N29" i="5"/>
  <c r="N43" i="5" s="1"/>
  <c r="L45" i="5" s="1"/>
  <c r="M36" i="5"/>
  <c r="F2" i="5"/>
  <c r="J2" i="14" l="1"/>
  <c r="Q5" i="14" s="1"/>
  <c r="G2" i="14"/>
  <c r="N5" i="14" s="1"/>
  <c r="I2" i="14"/>
  <c r="P5" i="14" s="1"/>
  <c r="O29" i="5"/>
  <c r="O43" i="5" s="1"/>
  <c r="L46" i="5" s="1"/>
  <c r="C2" i="10"/>
  <c r="J5" i="10" s="1"/>
  <c r="C2" i="9"/>
  <c r="J5" i="9" s="1"/>
  <c r="C2" i="8"/>
  <c r="J5" i="8" s="1"/>
  <c r="P29" i="5"/>
  <c r="P43" i="5" s="1"/>
  <c r="L47" i="5" s="1"/>
  <c r="D2" i="10"/>
  <c r="K5" i="10" s="1"/>
  <c r="D2" i="9"/>
  <c r="K5" i="9" s="1"/>
  <c r="D2" i="8"/>
  <c r="K5" i="8" s="1"/>
  <c r="A2" i="10"/>
  <c r="H5" i="10" s="1"/>
  <c r="A2" i="9"/>
  <c r="H5" i="9" s="1"/>
  <c r="A2" i="8"/>
  <c r="H5" i="8" s="1"/>
  <c r="M29" i="5"/>
  <c r="M43" i="5" s="1"/>
  <c r="L44" i="5" s="1"/>
  <c r="F7" i="5" l="1"/>
  <c r="I21" i="5"/>
  <c r="H27" i="5"/>
  <c r="G46" i="5"/>
  <c r="F8" i="5"/>
  <c r="H21" i="5"/>
  <c r="I3" i="5"/>
  <c r="I10" i="5"/>
  <c r="H8" i="5"/>
  <c r="H16" i="5"/>
  <c r="H5" i="5"/>
  <c r="G12" i="5"/>
  <c r="G19" i="5"/>
  <c r="G7" i="5"/>
  <c r="G30" i="5"/>
  <c r="G21" i="5"/>
  <c r="G5" i="5"/>
  <c r="F3" i="5"/>
  <c r="H24" i="5"/>
  <c r="H4" i="5"/>
  <c r="H20" i="5"/>
  <c r="F4" i="5"/>
  <c r="I19" i="5"/>
  <c r="I8" i="5"/>
  <c r="G23" i="5"/>
  <c r="G33" i="5"/>
  <c r="H17" i="5"/>
  <c r="G16" i="5"/>
  <c r="H10" i="5"/>
  <c r="H12" i="5"/>
  <c r="G26" i="5"/>
  <c r="I15" i="5"/>
  <c r="I17" i="5"/>
  <c r="G35" i="5"/>
  <c r="G42" i="5"/>
  <c r="G40" i="5"/>
  <c r="G11" i="5"/>
  <c r="I13" i="5"/>
  <c r="G38" i="5"/>
  <c r="G27" i="5"/>
  <c r="G34" i="5"/>
  <c r="G9" i="5"/>
  <c r="H14" i="5"/>
  <c r="I9" i="5"/>
  <c r="I20" i="5"/>
  <c r="G24" i="5"/>
  <c r="G45" i="5"/>
  <c r="G29" i="5"/>
  <c r="G14" i="5"/>
  <c r="F5" i="5"/>
  <c r="I14" i="5"/>
  <c r="I16" i="5"/>
  <c r="I6" i="5"/>
  <c r="I18" i="5"/>
  <c r="I7" i="5"/>
  <c r="I12" i="5"/>
  <c r="I11" i="5"/>
  <c r="I5" i="5"/>
  <c r="I4" i="5"/>
  <c r="G36" i="5"/>
  <c r="G17" i="5"/>
  <c r="G41" i="5"/>
  <c r="G25" i="5"/>
  <c r="G4" i="5"/>
  <c r="G10" i="5"/>
  <c r="H22" i="5"/>
  <c r="H15" i="5"/>
  <c r="G39" i="5"/>
  <c r="G31" i="5"/>
  <c r="G32" i="5"/>
  <c r="G15" i="5"/>
  <c r="G37" i="5"/>
  <c r="G20" i="5"/>
  <c r="G22" i="5"/>
  <c r="G6" i="5"/>
  <c r="H9" i="5"/>
  <c r="H11" i="5"/>
  <c r="G43" i="5"/>
  <c r="G3" i="5"/>
  <c r="G44" i="5"/>
  <c r="G28" i="5"/>
  <c r="G8" i="5"/>
  <c r="G13" i="5"/>
  <c r="G18" i="5"/>
  <c r="H13" i="5"/>
  <c r="H26" i="5"/>
  <c r="H23" i="5"/>
  <c r="H7" i="5"/>
  <c r="H25" i="5"/>
  <c r="H6" i="5"/>
  <c r="H18" i="5"/>
  <c r="H19" i="5"/>
  <c r="H3" i="5"/>
  <c r="F6" i="5"/>
  <c r="H27" i="14" l="1"/>
  <c r="H41" i="14"/>
  <c r="J5" i="14"/>
  <c r="J18" i="14"/>
  <c r="G5" i="14"/>
  <c r="H24" i="14"/>
  <c r="H9" i="14"/>
  <c r="J13" i="14"/>
  <c r="H35" i="14"/>
  <c r="I12" i="14"/>
  <c r="H33" i="14"/>
  <c r="G4" i="14"/>
  <c r="G3" i="14"/>
  <c r="H7" i="14"/>
  <c r="I16" i="14"/>
  <c r="I21" i="14"/>
  <c r="J21" i="14"/>
  <c r="I19" i="14"/>
  <c r="I7" i="14"/>
  <c r="H18" i="14"/>
  <c r="H44" i="14"/>
  <c r="I9" i="14"/>
  <c r="H37" i="14"/>
  <c r="H39" i="14"/>
  <c r="H4" i="14"/>
  <c r="H36" i="14"/>
  <c r="J12" i="14"/>
  <c r="J16" i="14"/>
  <c r="H29" i="14"/>
  <c r="J9" i="14"/>
  <c r="H40" i="14"/>
  <c r="J15" i="14"/>
  <c r="H16" i="14"/>
  <c r="J8" i="14"/>
  <c r="I4" i="14"/>
  <c r="H21" i="14"/>
  <c r="H12" i="14"/>
  <c r="J10" i="14"/>
  <c r="H46" i="14"/>
  <c r="I18" i="14"/>
  <c r="I23" i="14"/>
  <c r="H13" i="14"/>
  <c r="H3" i="14"/>
  <c r="H6" i="14"/>
  <c r="H15" i="14"/>
  <c r="I15" i="14"/>
  <c r="H25" i="14"/>
  <c r="J4" i="14"/>
  <c r="J7" i="14"/>
  <c r="J14" i="14"/>
  <c r="H45" i="14"/>
  <c r="I14" i="14"/>
  <c r="H38" i="14"/>
  <c r="H42" i="14"/>
  <c r="H26" i="14"/>
  <c r="I17" i="14"/>
  <c r="J19" i="14"/>
  <c r="I24" i="14"/>
  <c r="H30" i="14"/>
  <c r="I5" i="14"/>
  <c r="J3" i="14"/>
  <c r="I27" i="14"/>
  <c r="G6" i="14"/>
  <c r="I6" i="14"/>
  <c r="I26" i="14"/>
  <c r="H8" i="14"/>
  <c r="H43" i="14"/>
  <c r="H22" i="14"/>
  <c r="H32" i="14"/>
  <c r="I22" i="14"/>
  <c r="I3" i="14"/>
  <c r="I25" i="14"/>
  <c r="I13" i="14"/>
  <c r="H28" i="14"/>
  <c r="I11" i="14"/>
  <c r="H20" i="14"/>
  <c r="H31" i="14"/>
  <c r="H10" i="14"/>
  <c r="H17" i="14"/>
  <c r="J11" i="14"/>
  <c r="J6" i="14"/>
  <c r="H14" i="14"/>
  <c r="J20" i="14"/>
  <c r="H34" i="14"/>
  <c r="H11" i="14"/>
  <c r="J17" i="14"/>
  <c r="I10" i="14"/>
  <c r="H23" i="14"/>
  <c r="I20" i="14"/>
  <c r="H5" i="14"/>
  <c r="H19" i="14"/>
  <c r="I8" i="14"/>
  <c r="G8" i="14"/>
  <c r="G7" i="14"/>
  <c r="B8" i="10"/>
  <c r="B8" i="9"/>
  <c r="B8" i="8"/>
  <c r="B32" i="10"/>
  <c r="B32" i="9"/>
  <c r="B32" i="8"/>
  <c r="C22" i="10"/>
  <c r="C22" i="9"/>
  <c r="C22" i="8"/>
  <c r="C25" i="10"/>
  <c r="C25" i="9"/>
  <c r="C25" i="8"/>
  <c r="C13" i="10"/>
  <c r="C13" i="9"/>
  <c r="C13" i="8"/>
  <c r="B28" i="10"/>
  <c r="B28" i="9"/>
  <c r="B28" i="8"/>
  <c r="C11" i="10"/>
  <c r="C11" i="9"/>
  <c r="C11" i="8"/>
  <c r="B20" i="10"/>
  <c r="B20" i="8"/>
  <c r="B20" i="9"/>
  <c r="B10" i="10"/>
  <c r="B10" i="9"/>
  <c r="B10" i="8"/>
  <c r="B17" i="10"/>
  <c r="B17" i="9"/>
  <c r="B17" i="8"/>
  <c r="D11" i="10"/>
  <c r="D11" i="9"/>
  <c r="D11" i="8"/>
  <c r="D6" i="10"/>
  <c r="D6" i="8"/>
  <c r="D6" i="9"/>
  <c r="B14" i="10"/>
  <c r="B14" i="9"/>
  <c r="B14" i="8"/>
  <c r="B34" i="10"/>
  <c r="B34" i="9"/>
  <c r="B34" i="8"/>
  <c r="B11" i="10"/>
  <c r="B11" i="9"/>
  <c r="B11" i="8"/>
  <c r="D17" i="10"/>
  <c r="D17" i="9"/>
  <c r="D17" i="8"/>
  <c r="C10" i="10"/>
  <c r="C10" i="9"/>
  <c r="C10" i="8"/>
  <c r="B23" i="10"/>
  <c r="B23" i="9"/>
  <c r="B23" i="8"/>
  <c r="C20" i="10"/>
  <c r="C20" i="9"/>
  <c r="C20" i="8"/>
  <c r="B5" i="10"/>
  <c r="B5" i="8"/>
  <c r="B5" i="9"/>
  <c r="B19" i="10"/>
  <c r="B19" i="9"/>
  <c r="B19" i="8"/>
  <c r="C8" i="10"/>
  <c r="C8" i="8"/>
  <c r="C8" i="9"/>
  <c r="A8" i="10"/>
  <c r="A8" i="9"/>
  <c r="A8" i="8"/>
  <c r="A7" i="10"/>
  <c r="A7" i="9"/>
  <c r="A7" i="8"/>
  <c r="C19" i="10"/>
  <c r="C19" i="8"/>
  <c r="C19" i="9"/>
  <c r="C7" i="10"/>
  <c r="C7" i="8"/>
  <c r="C7" i="9"/>
  <c r="B18" i="10"/>
  <c r="B18" i="9"/>
  <c r="B18" i="8"/>
  <c r="B44" i="10"/>
  <c r="B44" i="9"/>
  <c r="B44" i="8"/>
  <c r="C9" i="10"/>
  <c r="C9" i="9"/>
  <c r="C9" i="8"/>
  <c r="B37" i="10"/>
  <c r="B37" i="9"/>
  <c r="B37" i="8"/>
  <c r="B39" i="10"/>
  <c r="B39" i="9"/>
  <c r="B39" i="8"/>
  <c r="B4" i="10"/>
  <c r="B4" i="9"/>
  <c r="B4" i="8"/>
  <c r="B36" i="10"/>
  <c r="B36" i="9"/>
  <c r="B36" i="8"/>
  <c r="D12" i="10"/>
  <c r="D12" i="9"/>
  <c r="D12" i="8"/>
  <c r="D16" i="10"/>
  <c r="D16" i="9"/>
  <c r="D16" i="8"/>
  <c r="B29" i="10"/>
  <c r="B29" i="9"/>
  <c r="B29" i="8"/>
  <c r="D9" i="10"/>
  <c r="D9" i="9"/>
  <c r="D9" i="8"/>
  <c r="B27" i="10"/>
  <c r="B27" i="9"/>
  <c r="B27" i="8"/>
  <c r="B40" i="10"/>
  <c r="B40" i="9"/>
  <c r="B40" i="8"/>
  <c r="D15" i="10"/>
  <c r="D15" i="9"/>
  <c r="D15" i="8"/>
  <c r="B16" i="10"/>
  <c r="B16" i="8"/>
  <c r="B16" i="9"/>
  <c r="D8" i="10"/>
  <c r="D8" i="9"/>
  <c r="D8" i="8"/>
  <c r="C4" i="10"/>
  <c r="C4" i="8"/>
  <c r="C4" i="9"/>
  <c r="B21" i="10"/>
  <c r="B21" i="9"/>
  <c r="B21" i="8"/>
  <c r="B12" i="10"/>
  <c r="B12" i="9"/>
  <c r="B12" i="8"/>
  <c r="D10" i="10"/>
  <c r="D10" i="8"/>
  <c r="D10" i="9"/>
  <c r="B46" i="10"/>
  <c r="B46" i="9"/>
  <c r="B46" i="8"/>
  <c r="C18" i="10"/>
  <c r="C18" i="9"/>
  <c r="C18" i="8"/>
  <c r="C23" i="10"/>
  <c r="C23" i="9"/>
  <c r="C23" i="8"/>
  <c r="B13" i="10"/>
  <c r="B13" i="9"/>
  <c r="B13" i="8"/>
  <c r="B3" i="10"/>
  <c r="B3" i="9"/>
  <c r="B3" i="8"/>
  <c r="B6" i="10"/>
  <c r="B6" i="9"/>
  <c r="B6" i="8"/>
  <c r="B15" i="10"/>
  <c r="B15" i="9"/>
  <c r="B15" i="8"/>
  <c r="C15" i="10"/>
  <c r="C15" i="9"/>
  <c r="C15" i="8"/>
  <c r="B25" i="10"/>
  <c r="B25" i="9"/>
  <c r="B25" i="8"/>
  <c r="D4" i="10"/>
  <c r="D4" i="9"/>
  <c r="D4" i="8"/>
  <c r="D7" i="10"/>
  <c r="D7" i="9"/>
  <c r="D7" i="8"/>
  <c r="D14" i="10"/>
  <c r="D14" i="9"/>
  <c r="D14" i="8"/>
  <c r="B45" i="10"/>
  <c r="B45" i="9"/>
  <c r="B45" i="8"/>
  <c r="C14" i="10"/>
  <c r="C14" i="9"/>
  <c r="C14" i="8"/>
  <c r="B38" i="10"/>
  <c r="B38" i="9"/>
  <c r="B38" i="8"/>
  <c r="B42" i="10"/>
  <c r="B42" i="9"/>
  <c r="B42" i="8"/>
  <c r="B26" i="10"/>
  <c r="B26" i="9"/>
  <c r="B26" i="8"/>
  <c r="C17" i="10"/>
  <c r="C17" i="9"/>
  <c r="C17" i="8"/>
  <c r="D19" i="10"/>
  <c r="D19" i="9"/>
  <c r="D19" i="8"/>
  <c r="C24" i="10"/>
  <c r="C24" i="9"/>
  <c r="C24" i="8"/>
  <c r="B30" i="10"/>
  <c r="B30" i="9"/>
  <c r="B30" i="8"/>
  <c r="C5" i="10"/>
  <c r="C5" i="9"/>
  <c r="C5" i="8"/>
  <c r="D3" i="10"/>
  <c r="D3" i="8"/>
  <c r="D3" i="9"/>
  <c r="C27" i="10"/>
  <c r="C27" i="9"/>
  <c r="C27" i="8"/>
  <c r="C6" i="10"/>
  <c r="C6" i="9"/>
  <c r="C6" i="8"/>
  <c r="B22" i="10"/>
  <c r="B22" i="9"/>
  <c r="B22" i="8"/>
  <c r="B41" i="10"/>
  <c r="B41" i="9"/>
  <c r="B41" i="8"/>
  <c r="D5" i="10"/>
  <c r="D5" i="9"/>
  <c r="D5" i="8"/>
  <c r="D18" i="10"/>
  <c r="D18" i="9"/>
  <c r="D18" i="8"/>
  <c r="A5" i="10"/>
  <c r="A5" i="8"/>
  <c r="A5" i="9"/>
  <c r="B24" i="10"/>
  <c r="B24" i="9"/>
  <c r="B24" i="8"/>
  <c r="B9" i="10"/>
  <c r="B9" i="9"/>
  <c r="B9" i="8"/>
  <c r="D13" i="10"/>
  <c r="D13" i="9"/>
  <c r="D13" i="8"/>
  <c r="B35" i="10"/>
  <c r="B35" i="9"/>
  <c r="B35" i="8"/>
  <c r="C12" i="10"/>
  <c r="C12" i="9"/>
  <c r="C12" i="8"/>
  <c r="B33" i="10"/>
  <c r="B33" i="9"/>
  <c r="B33" i="8"/>
  <c r="A4" i="10"/>
  <c r="A4" i="9"/>
  <c r="A4" i="8"/>
  <c r="A3" i="10"/>
  <c r="A3" i="9"/>
  <c r="A3" i="8"/>
  <c r="B7" i="10"/>
  <c r="B7" i="9"/>
  <c r="B7" i="8"/>
  <c r="C16" i="10"/>
  <c r="C16" i="9"/>
  <c r="C16" i="8"/>
  <c r="C21" i="10"/>
  <c r="C21" i="9"/>
  <c r="C21" i="8"/>
  <c r="D21" i="10"/>
  <c r="D21" i="9"/>
  <c r="D21" i="8"/>
  <c r="A6" i="10"/>
  <c r="A6" i="8"/>
  <c r="A6" i="9"/>
  <c r="C26" i="10"/>
  <c r="C26" i="9"/>
  <c r="C26" i="8"/>
  <c r="B43" i="10"/>
  <c r="B43" i="9"/>
  <c r="B43" i="8"/>
  <c r="C3" i="10"/>
  <c r="C3" i="8"/>
  <c r="C3" i="9"/>
  <c r="B31" i="10"/>
  <c r="B31" i="9"/>
  <c r="B31" i="8"/>
  <c r="D20" i="10"/>
  <c r="D20" i="9"/>
  <c r="D20" i="8"/>
  <c r="H32" i="5"/>
  <c r="G49" i="5"/>
  <c r="G47" i="5"/>
  <c r="G48" i="5"/>
  <c r="I30" i="5"/>
  <c r="I41" i="5"/>
  <c r="I34" i="5"/>
  <c r="I36" i="5"/>
  <c r="I35" i="5"/>
  <c r="I25" i="5"/>
  <c r="I32" i="5"/>
  <c r="I28" i="5"/>
  <c r="I22" i="5"/>
  <c r="I37" i="5"/>
  <c r="H28" i="5"/>
  <c r="I31" i="5"/>
  <c r="I33" i="5"/>
  <c r="I43" i="5"/>
  <c r="I26" i="5"/>
  <c r="I24" i="5"/>
  <c r="I29" i="5"/>
  <c r="I40" i="5"/>
  <c r="I38" i="5"/>
  <c r="I23" i="5"/>
  <c r="I45" i="5"/>
  <c r="G64" i="5"/>
  <c r="H33" i="5"/>
  <c r="G95" i="5"/>
  <c r="G89" i="5"/>
  <c r="G71" i="5"/>
  <c r="F36" i="5"/>
  <c r="G94" i="5"/>
  <c r="F42" i="5"/>
  <c r="G63" i="5"/>
  <c r="F47" i="5"/>
  <c r="G72" i="5"/>
  <c r="F39" i="5"/>
  <c r="G121" i="5"/>
  <c r="F15" i="5"/>
  <c r="F62" i="5"/>
  <c r="F55" i="5"/>
  <c r="F26" i="5"/>
  <c r="G74" i="5"/>
  <c r="F12" i="5"/>
  <c r="G102" i="5"/>
  <c r="G96" i="5"/>
  <c r="G68" i="5"/>
  <c r="G88" i="5"/>
  <c r="F29" i="5"/>
  <c r="F67" i="5"/>
  <c r="F33" i="5"/>
  <c r="G61" i="5"/>
  <c r="H34" i="5"/>
  <c r="G65" i="5"/>
  <c r="F58" i="5"/>
  <c r="F52" i="5"/>
  <c r="G56" i="5"/>
  <c r="G118" i="5"/>
  <c r="F41" i="5"/>
  <c r="G67" i="5"/>
  <c r="F21" i="5"/>
  <c r="G53" i="5"/>
  <c r="F51" i="5"/>
  <c r="F38" i="5"/>
  <c r="G93" i="5"/>
  <c r="G52" i="5"/>
  <c r="G54" i="5"/>
  <c r="F14" i="5"/>
  <c r="G113" i="5"/>
  <c r="G101" i="5"/>
  <c r="G75" i="5"/>
  <c r="F63" i="5"/>
  <c r="F23" i="5"/>
  <c r="G58" i="5"/>
  <c r="G114" i="5"/>
  <c r="G81" i="5"/>
  <c r="F13" i="5"/>
  <c r="G79" i="5"/>
  <c r="G76" i="5"/>
  <c r="G69" i="5"/>
  <c r="G110" i="5"/>
  <c r="F66" i="5"/>
  <c r="F45" i="5"/>
  <c r="G51" i="5"/>
  <c r="G84" i="5"/>
  <c r="G70" i="5"/>
  <c r="F19" i="5"/>
  <c r="G86" i="5"/>
  <c r="G92" i="5"/>
  <c r="I47" i="5"/>
  <c r="G103" i="5"/>
  <c r="F27" i="5"/>
  <c r="I44" i="5"/>
  <c r="G97" i="5"/>
  <c r="F50" i="5"/>
  <c r="F59" i="5"/>
  <c r="G82" i="5"/>
  <c r="F57" i="5"/>
  <c r="F30" i="5"/>
  <c r="F44" i="5"/>
  <c r="G80" i="5"/>
  <c r="F60" i="5"/>
  <c r="G55" i="5"/>
  <c r="G87" i="5"/>
  <c r="F49" i="5"/>
  <c r="G59" i="5"/>
  <c r="F64" i="5"/>
  <c r="G91" i="5"/>
  <c r="G99" i="5"/>
  <c r="G77" i="5"/>
  <c r="G60" i="5"/>
  <c r="G90" i="5"/>
  <c r="G115" i="5"/>
  <c r="G120" i="5"/>
  <c r="G111" i="5"/>
  <c r="F24" i="5"/>
  <c r="F22" i="5"/>
  <c r="G85" i="5"/>
  <c r="G106" i="5"/>
  <c r="G126" i="5"/>
  <c r="G125" i="5"/>
  <c r="F11" i="5"/>
  <c r="G83" i="5"/>
  <c r="F35" i="5"/>
  <c r="G107" i="5"/>
  <c r="G122" i="5"/>
  <c r="G57" i="5"/>
  <c r="F16" i="5"/>
  <c r="G78" i="5"/>
  <c r="F20" i="5"/>
  <c r="F9" i="5"/>
  <c r="G119" i="5"/>
  <c r="G108" i="5"/>
  <c r="F17" i="5"/>
  <c r="G50" i="5"/>
  <c r="H29" i="5"/>
  <c r="G123" i="5"/>
  <c r="H30" i="5"/>
  <c r="G73" i="5"/>
  <c r="G104" i="5"/>
  <c r="F25" i="5"/>
  <c r="G62" i="5"/>
  <c r="I27" i="5"/>
  <c r="F31" i="5"/>
  <c r="I42" i="5"/>
  <c r="F28" i="5"/>
  <c r="G98" i="5"/>
  <c r="G117" i="5"/>
  <c r="G66" i="5"/>
  <c r="F18" i="5"/>
  <c r="F48" i="5"/>
  <c r="I39" i="5"/>
  <c r="F10" i="5"/>
  <c r="F34" i="5"/>
  <c r="F40" i="5"/>
  <c r="G127" i="5"/>
  <c r="F54" i="5"/>
  <c r="G100" i="5"/>
  <c r="H31" i="5"/>
  <c r="F43" i="5"/>
  <c r="F68" i="5"/>
  <c r="F46" i="5"/>
  <c r="F61" i="5"/>
  <c r="G116" i="5"/>
  <c r="G112" i="5"/>
  <c r="I46" i="5"/>
  <c r="F32" i="5"/>
  <c r="F56" i="5"/>
  <c r="G105" i="5"/>
  <c r="H35" i="5"/>
  <c r="F37" i="5"/>
  <c r="F65" i="5"/>
  <c r="G109" i="5"/>
  <c r="G124" i="5"/>
  <c r="F53" i="5"/>
  <c r="I48" i="5"/>
  <c r="J21" i="5"/>
  <c r="J7" i="5"/>
  <c r="J6" i="5"/>
  <c r="J5" i="5"/>
  <c r="J8" i="5"/>
  <c r="J4" i="5"/>
  <c r="J3" i="5"/>
  <c r="K8" i="14" l="1"/>
  <c r="K7" i="14"/>
  <c r="H124" i="14"/>
  <c r="I35" i="14"/>
  <c r="J46" i="14"/>
  <c r="G46" i="14"/>
  <c r="H100" i="14"/>
  <c r="G34" i="14"/>
  <c r="G18" i="14"/>
  <c r="G28" i="14"/>
  <c r="H62" i="14"/>
  <c r="I30" i="14"/>
  <c r="G17" i="14"/>
  <c r="G20" i="14"/>
  <c r="H122" i="14"/>
  <c r="G11" i="14"/>
  <c r="H85" i="14"/>
  <c r="H120" i="14"/>
  <c r="H77" i="14"/>
  <c r="H59" i="14"/>
  <c r="G60" i="14"/>
  <c r="G57" i="14"/>
  <c r="H97" i="14"/>
  <c r="J47" i="14"/>
  <c r="H70" i="14"/>
  <c r="G66" i="14"/>
  <c r="H79" i="14"/>
  <c r="H58" i="14"/>
  <c r="H101" i="14"/>
  <c r="H52" i="14"/>
  <c r="H53" i="14"/>
  <c r="H118" i="14"/>
  <c r="H65" i="14"/>
  <c r="G67" i="14"/>
  <c r="H96" i="14"/>
  <c r="G26" i="14"/>
  <c r="H121" i="14"/>
  <c r="H63" i="14"/>
  <c r="H71" i="14"/>
  <c r="H64" i="14"/>
  <c r="J40" i="14"/>
  <c r="J43" i="14"/>
  <c r="J37" i="14"/>
  <c r="J25" i="14"/>
  <c r="J41" i="14"/>
  <c r="K21" i="14"/>
  <c r="H109" i="14"/>
  <c r="H105" i="14"/>
  <c r="H112" i="14"/>
  <c r="G68" i="14"/>
  <c r="G54" i="14"/>
  <c r="G10" i="14"/>
  <c r="H66" i="14"/>
  <c r="J42" i="14"/>
  <c r="G25" i="14"/>
  <c r="H123" i="14"/>
  <c r="H108" i="14"/>
  <c r="H78" i="14"/>
  <c r="H107" i="14"/>
  <c r="H125" i="14"/>
  <c r="G22" i="14"/>
  <c r="H115" i="14"/>
  <c r="H99" i="14"/>
  <c r="G49" i="14"/>
  <c r="H80" i="14"/>
  <c r="H82" i="14"/>
  <c r="J44" i="14"/>
  <c r="H92" i="14"/>
  <c r="H84" i="14"/>
  <c r="H110" i="14"/>
  <c r="G13" i="14"/>
  <c r="G23" i="14"/>
  <c r="H113" i="14"/>
  <c r="H93" i="14"/>
  <c r="G21" i="14"/>
  <c r="H56" i="14"/>
  <c r="I34" i="14"/>
  <c r="G29" i="14"/>
  <c r="H102" i="14"/>
  <c r="G55" i="14"/>
  <c r="G39" i="14"/>
  <c r="G42" i="14"/>
  <c r="H89" i="14"/>
  <c r="J45" i="14"/>
  <c r="J29" i="14"/>
  <c r="J33" i="14"/>
  <c r="J22" i="14"/>
  <c r="J35" i="14"/>
  <c r="J30" i="14"/>
  <c r="I32" i="14"/>
  <c r="K3" i="14"/>
  <c r="K6" i="14"/>
  <c r="J48" i="14"/>
  <c r="G65" i="14"/>
  <c r="G56" i="14"/>
  <c r="H116" i="14"/>
  <c r="G43" i="14"/>
  <c r="H127" i="14"/>
  <c r="J39" i="14"/>
  <c r="H117" i="14"/>
  <c r="G31" i="14"/>
  <c r="H104" i="14"/>
  <c r="I29" i="14"/>
  <c r="H119" i="14"/>
  <c r="G16" i="14"/>
  <c r="G35" i="14"/>
  <c r="H126" i="14"/>
  <c r="G24" i="14"/>
  <c r="H90" i="14"/>
  <c r="H91" i="14"/>
  <c r="H87" i="14"/>
  <c r="G44" i="14"/>
  <c r="G59" i="14"/>
  <c r="G27" i="14"/>
  <c r="H86" i="14"/>
  <c r="H51" i="14"/>
  <c r="H69" i="14"/>
  <c r="H81" i="14"/>
  <c r="G63" i="14"/>
  <c r="G14" i="14"/>
  <c r="G38" i="14"/>
  <c r="H67" i="14"/>
  <c r="G52" i="14"/>
  <c r="H61" i="14"/>
  <c r="H88" i="14"/>
  <c r="G12" i="14"/>
  <c r="G62" i="14"/>
  <c r="H72" i="14"/>
  <c r="H94" i="14"/>
  <c r="H95" i="14"/>
  <c r="J23" i="14"/>
  <c r="J24" i="14"/>
  <c r="J31" i="14"/>
  <c r="J28" i="14"/>
  <c r="J36" i="14"/>
  <c r="H48" i="14"/>
  <c r="H49" i="14"/>
  <c r="K5" i="14"/>
  <c r="K4" i="14"/>
  <c r="J33" i="5"/>
  <c r="G53" i="14"/>
  <c r="G37" i="14"/>
  <c r="G32" i="14"/>
  <c r="G61" i="14"/>
  <c r="I31" i="14"/>
  <c r="G40" i="14"/>
  <c r="G48" i="14"/>
  <c r="H98" i="14"/>
  <c r="J27" i="14"/>
  <c r="H73" i="14"/>
  <c r="H50" i="14"/>
  <c r="G9" i="14"/>
  <c r="H57" i="14"/>
  <c r="H83" i="14"/>
  <c r="H106" i="14"/>
  <c r="H111" i="14"/>
  <c r="H60" i="14"/>
  <c r="G64" i="14"/>
  <c r="H55" i="14"/>
  <c r="G30" i="14"/>
  <c r="G50" i="14"/>
  <c r="H103" i="14"/>
  <c r="G19" i="14"/>
  <c r="G45" i="14"/>
  <c r="H76" i="14"/>
  <c r="H114" i="14"/>
  <c r="H75" i="14"/>
  <c r="H54" i="14"/>
  <c r="G51" i="14"/>
  <c r="G41" i="14"/>
  <c r="G58" i="14"/>
  <c r="G33" i="14"/>
  <c r="H68" i="14"/>
  <c r="H74" i="14"/>
  <c r="G15" i="14"/>
  <c r="G47" i="14"/>
  <c r="G36" i="14"/>
  <c r="I33" i="14"/>
  <c r="J38" i="14"/>
  <c r="J26" i="14"/>
  <c r="I28" i="14"/>
  <c r="J32" i="14"/>
  <c r="J34" i="14"/>
  <c r="H47" i="14"/>
  <c r="E3" i="10"/>
  <c r="E3" i="9"/>
  <c r="E3" i="8"/>
  <c r="D48" i="10"/>
  <c r="D48" i="9"/>
  <c r="D48" i="8"/>
  <c r="A56" i="10"/>
  <c r="A56" i="9"/>
  <c r="A56" i="8"/>
  <c r="A43" i="10"/>
  <c r="A43" i="9"/>
  <c r="A43" i="8"/>
  <c r="B117" i="10"/>
  <c r="B117" i="9"/>
  <c r="B117" i="8"/>
  <c r="B104" i="10"/>
  <c r="B104" i="9"/>
  <c r="B104" i="8"/>
  <c r="B119" i="10"/>
  <c r="B119" i="9"/>
  <c r="B119" i="8"/>
  <c r="A35" i="10"/>
  <c r="A35" i="9"/>
  <c r="A35" i="8"/>
  <c r="A24" i="10"/>
  <c r="A24" i="9"/>
  <c r="A24" i="8"/>
  <c r="B91" i="10"/>
  <c r="B91" i="9"/>
  <c r="B91" i="8"/>
  <c r="A59" i="10"/>
  <c r="A59" i="9"/>
  <c r="A59" i="8"/>
  <c r="A27" i="10"/>
  <c r="A27" i="9"/>
  <c r="A27" i="8"/>
  <c r="B51" i="10"/>
  <c r="B51" i="9"/>
  <c r="B51" i="8"/>
  <c r="B81" i="10"/>
  <c r="B81" i="9"/>
  <c r="B81" i="8"/>
  <c r="J14" i="5"/>
  <c r="A14" i="10"/>
  <c r="A14" i="9"/>
  <c r="A14" i="8"/>
  <c r="A38" i="10"/>
  <c r="A38" i="9"/>
  <c r="A38" i="8"/>
  <c r="B67" i="10"/>
  <c r="B67" i="9"/>
  <c r="B67" i="8"/>
  <c r="B61" i="10"/>
  <c r="B61" i="9"/>
  <c r="B61" i="8"/>
  <c r="B88" i="10"/>
  <c r="B88" i="9"/>
  <c r="B88" i="8"/>
  <c r="J12" i="5"/>
  <c r="A12" i="10"/>
  <c r="A12" i="9"/>
  <c r="A12" i="8"/>
  <c r="B72" i="10"/>
  <c r="B72" i="9"/>
  <c r="B72" i="8"/>
  <c r="B94" i="10"/>
  <c r="B94" i="9"/>
  <c r="B94" i="8"/>
  <c r="B95" i="10"/>
  <c r="B95" i="9"/>
  <c r="B95" i="8"/>
  <c r="D23" i="10"/>
  <c r="D23" i="9"/>
  <c r="D23" i="8"/>
  <c r="D24" i="10"/>
  <c r="D24" i="9"/>
  <c r="D24" i="8"/>
  <c r="D31" i="10"/>
  <c r="D31" i="9"/>
  <c r="D31" i="8"/>
  <c r="D28" i="10"/>
  <c r="D28" i="9"/>
  <c r="D28" i="8"/>
  <c r="D36" i="10"/>
  <c r="D36" i="9"/>
  <c r="D36" i="8"/>
  <c r="E8" i="10"/>
  <c r="E8" i="9"/>
  <c r="E8" i="8"/>
  <c r="B124" i="10"/>
  <c r="B124" i="9"/>
  <c r="B124" i="8"/>
  <c r="D46" i="10"/>
  <c r="D46" i="9"/>
  <c r="D46" i="8"/>
  <c r="B100" i="10"/>
  <c r="B100" i="9"/>
  <c r="B100" i="8"/>
  <c r="A34" i="10"/>
  <c r="A34" i="9"/>
  <c r="A34" i="8"/>
  <c r="J28" i="5"/>
  <c r="A28" i="10"/>
  <c r="A28" i="9"/>
  <c r="A28" i="8"/>
  <c r="C30" i="10"/>
  <c r="C30" i="9"/>
  <c r="C30" i="8"/>
  <c r="J20" i="5"/>
  <c r="A20" i="10"/>
  <c r="A20" i="9"/>
  <c r="A20" i="8"/>
  <c r="J11" i="5"/>
  <c r="A11" i="10"/>
  <c r="A11" i="9"/>
  <c r="A11" i="8"/>
  <c r="B120" i="10"/>
  <c r="B120" i="9"/>
  <c r="B120" i="8"/>
  <c r="B59" i="10"/>
  <c r="B59" i="9"/>
  <c r="B59" i="8"/>
  <c r="A60" i="10"/>
  <c r="A60" i="9"/>
  <c r="A60" i="8"/>
  <c r="B97" i="10"/>
  <c r="B97" i="9"/>
  <c r="B97" i="8"/>
  <c r="B70" i="10"/>
  <c r="B70" i="9"/>
  <c r="B70" i="8"/>
  <c r="B79" i="10"/>
  <c r="B79" i="9"/>
  <c r="B79" i="8"/>
  <c r="B101" i="10"/>
  <c r="B101" i="9"/>
  <c r="B101" i="8"/>
  <c r="B53" i="10"/>
  <c r="B53" i="9"/>
  <c r="B53" i="8"/>
  <c r="B118" i="10"/>
  <c r="B118" i="9"/>
  <c r="B118" i="8"/>
  <c r="B65" i="10"/>
  <c r="B65" i="9"/>
  <c r="B65" i="8"/>
  <c r="B96" i="10"/>
  <c r="B96" i="9"/>
  <c r="B96" i="8"/>
  <c r="A26" i="10"/>
  <c r="A26" i="9"/>
  <c r="A26" i="8"/>
  <c r="B121" i="10"/>
  <c r="B121" i="9"/>
  <c r="B121" i="8"/>
  <c r="B63" i="10"/>
  <c r="B63" i="9"/>
  <c r="B63" i="8"/>
  <c r="B71" i="10"/>
  <c r="B71" i="9"/>
  <c r="B71" i="8"/>
  <c r="B64" i="10"/>
  <c r="B64" i="9"/>
  <c r="B64" i="8"/>
  <c r="D40" i="10"/>
  <c r="D40" i="9"/>
  <c r="D40" i="8"/>
  <c r="D43" i="10"/>
  <c r="D43" i="9"/>
  <c r="D43" i="8"/>
  <c r="J25" i="5"/>
  <c r="D25" i="10"/>
  <c r="D25" i="9"/>
  <c r="D25" i="8"/>
  <c r="D41" i="10"/>
  <c r="D41" i="9"/>
  <c r="D41" i="8"/>
  <c r="B49" i="10"/>
  <c r="B49" i="9"/>
  <c r="B49" i="8"/>
  <c r="B127" i="10"/>
  <c r="B127" i="9"/>
  <c r="B127" i="8"/>
  <c r="B87" i="10"/>
  <c r="B87" i="9"/>
  <c r="B87" i="8"/>
  <c r="A62" i="10"/>
  <c r="A62" i="9"/>
  <c r="A62" i="8"/>
  <c r="E7" i="10"/>
  <c r="E7" i="9"/>
  <c r="E7" i="8"/>
  <c r="C35" i="10"/>
  <c r="C35" i="9"/>
  <c r="C35" i="8"/>
  <c r="A46" i="10"/>
  <c r="A46" i="9"/>
  <c r="A46" i="8"/>
  <c r="J18" i="5"/>
  <c r="A18" i="10"/>
  <c r="A18" i="9"/>
  <c r="A18" i="8"/>
  <c r="B62" i="10"/>
  <c r="B62" i="9"/>
  <c r="B62" i="8"/>
  <c r="J17" i="5"/>
  <c r="A17" i="10"/>
  <c r="A17" i="8"/>
  <c r="A17" i="9"/>
  <c r="B122" i="10"/>
  <c r="B122" i="9"/>
  <c r="B122" i="8"/>
  <c r="B85" i="10"/>
  <c r="B85" i="9"/>
  <c r="B85" i="8"/>
  <c r="B77" i="10"/>
  <c r="B77" i="9"/>
  <c r="B77" i="8"/>
  <c r="A57" i="10"/>
  <c r="A57" i="9"/>
  <c r="A57" i="8"/>
  <c r="D47" i="10"/>
  <c r="D47" i="9"/>
  <c r="D47" i="8"/>
  <c r="A66" i="10"/>
  <c r="A66" i="9"/>
  <c r="A66" i="8"/>
  <c r="B58" i="10"/>
  <c r="B58" i="9"/>
  <c r="B58" i="8"/>
  <c r="B52" i="10"/>
  <c r="B52" i="9"/>
  <c r="B52" i="8"/>
  <c r="A67" i="10"/>
  <c r="A67" i="9"/>
  <c r="A67" i="8"/>
  <c r="D37" i="10"/>
  <c r="D37" i="9"/>
  <c r="D37" i="8"/>
  <c r="E5" i="10"/>
  <c r="E5" i="9"/>
  <c r="E5" i="8"/>
  <c r="E21" i="10"/>
  <c r="E21" i="9"/>
  <c r="E21" i="8"/>
  <c r="B109" i="10"/>
  <c r="B109" i="9"/>
  <c r="B109" i="8"/>
  <c r="B105" i="10"/>
  <c r="B105" i="9"/>
  <c r="B105" i="8"/>
  <c r="B112" i="10"/>
  <c r="B112" i="9"/>
  <c r="B112" i="8"/>
  <c r="A68" i="10"/>
  <c r="A68" i="9"/>
  <c r="A68" i="8"/>
  <c r="A54" i="10"/>
  <c r="A54" i="9"/>
  <c r="A54" i="8"/>
  <c r="J10" i="5"/>
  <c r="A10" i="10"/>
  <c r="A10" i="9"/>
  <c r="A10" i="8"/>
  <c r="B66" i="10"/>
  <c r="B66" i="9"/>
  <c r="B66" i="8"/>
  <c r="D42" i="10"/>
  <c r="D42" i="9"/>
  <c r="D42" i="8"/>
  <c r="A25" i="10"/>
  <c r="A25" i="9"/>
  <c r="A25" i="8"/>
  <c r="B123" i="10"/>
  <c r="B123" i="9"/>
  <c r="B123" i="8"/>
  <c r="B108" i="10"/>
  <c r="B108" i="9"/>
  <c r="B108" i="8"/>
  <c r="B78" i="10"/>
  <c r="B78" i="9"/>
  <c r="B78" i="8"/>
  <c r="B107" i="10"/>
  <c r="B107" i="9"/>
  <c r="B107" i="8"/>
  <c r="B125" i="10"/>
  <c r="B125" i="9"/>
  <c r="B125" i="8"/>
  <c r="J22" i="5"/>
  <c r="A22" i="10"/>
  <c r="A22" i="9"/>
  <c r="A22" i="8"/>
  <c r="B115" i="10"/>
  <c r="B115" i="9"/>
  <c r="B115" i="8"/>
  <c r="B99" i="10"/>
  <c r="B99" i="9"/>
  <c r="B99" i="8"/>
  <c r="A49" i="10"/>
  <c r="A49" i="9"/>
  <c r="A49" i="8"/>
  <c r="B80" i="10"/>
  <c r="B80" i="9"/>
  <c r="B80" i="8"/>
  <c r="B82" i="10"/>
  <c r="B82" i="9"/>
  <c r="B82" i="8"/>
  <c r="D44" i="10"/>
  <c r="D44" i="9"/>
  <c r="D44" i="8"/>
  <c r="B92" i="10"/>
  <c r="B92" i="9"/>
  <c r="B92" i="8"/>
  <c r="B84" i="10"/>
  <c r="B84" i="9"/>
  <c r="B84" i="8"/>
  <c r="B110" i="10"/>
  <c r="B110" i="9"/>
  <c r="B110" i="8"/>
  <c r="J13" i="5"/>
  <c r="A13" i="10"/>
  <c r="A13" i="8"/>
  <c r="A13" i="9"/>
  <c r="J23" i="5"/>
  <c r="A23" i="10"/>
  <c r="A23" i="9"/>
  <c r="A23" i="8"/>
  <c r="B113" i="10"/>
  <c r="B113" i="9"/>
  <c r="B113" i="8"/>
  <c r="B93" i="10"/>
  <c r="B93" i="9"/>
  <c r="B93" i="8"/>
  <c r="A21" i="10"/>
  <c r="A21" i="9"/>
  <c r="A21" i="8"/>
  <c r="B56" i="10"/>
  <c r="B56" i="9"/>
  <c r="B56" i="8"/>
  <c r="C34" i="10"/>
  <c r="C34" i="9"/>
  <c r="C34" i="8"/>
  <c r="J29" i="5"/>
  <c r="A29" i="10"/>
  <c r="A29" i="9"/>
  <c r="A29" i="8"/>
  <c r="B102" i="10"/>
  <c r="B102" i="9"/>
  <c r="B102" i="8"/>
  <c r="A55" i="10"/>
  <c r="A55" i="9"/>
  <c r="A55" i="8"/>
  <c r="A39" i="10"/>
  <c r="A39" i="9"/>
  <c r="A39" i="8"/>
  <c r="A42" i="10"/>
  <c r="A42" i="9"/>
  <c r="A42" i="8"/>
  <c r="B89" i="10"/>
  <c r="B89" i="9"/>
  <c r="B89" i="8"/>
  <c r="D45" i="10"/>
  <c r="D45" i="9"/>
  <c r="D45" i="8"/>
  <c r="D29" i="10"/>
  <c r="D29" i="9"/>
  <c r="D29" i="8"/>
  <c r="D33" i="10"/>
  <c r="D33" i="9"/>
  <c r="D33" i="8"/>
  <c r="D22" i="10"/>
  <c r="D22" i="8"/>
  <c r="D22" i="9"/>
  <c r="D35" i="10"/>
  <c r="D35" i="9"/>
  <c r="D35" i="8"/>
  <c r="D30" i="10"/>
  <c r="D30" i="9"/>
  <c r="D30" i="8"/>
  <c r="C32" i="10"/>
  <c r="C32" i="9"/>
  <c r="C32" i="8"/>
  <c r="E6" i="10"/>
  <c r="E6" i="9"/>
  <c r="E6" i="8"/>
  <c r="A65" i="10"/>
  <c r="A65" i="9"/>
  <c r="A65" i="8"/>
  <c r="B116" i="10"/>
  <c r="B116" i="9"/>
  <c r="B116" i="8"/>
  <c r="D39" i="10"/>
  <c r="D39" i="9"/>
  <c r="D39" i="8"/>
  <c r="A31" i="10"/>
  <c r="A31" i="9"/>
  <c r="A31" i="8"/>
  <c r="C29" i="10"/>
  <c r="C29" i="9"/>
  <c r="C29" i="8"/>
  <c r="J16" i="5"/>
  <c r="A16" i="10"/>
  <c r="A16" i="9"/>
  <c r="A16" i="8"/>
  <c r="B126" i="10"/>
  <c r="B126" i="9"/>
  <c r="B126" i="8"/>
  <c r="B90" i="10"/>
  <c r="B90" i="9"/>
  <c r="B90" i="8"/>
  <c r="A44" i="10"/>
  <c r="A44" i="9"/>
  <c r="A44" i="8"/>
  <c r="B86" i="10"/>
  <c r="B86" i="9"/>
  <c r="B86" i="8"/>
  <c r="B69" i="10"/>
  <c r="B69" i="9"/>
  <c r="B69" i="8"/>
  <c r="A63" i="10"/>
  <c r="A63" i="9"/>
  <c r="A63" i="8"/>
  <c r="A52" i="10"/>
  <c r="A52" i="9"/>
  <c r="A52" i="8"/>
  <c r="B48" i="10"/>
  <c r="B48" i="9"/>
  <c r="B48" i="8"/>
  <c r="E4" i="10"/>
  <c r="E4" i="9"/>
  <c r="E4" i="8"/>
  <c r="E33" i="10"/>
  <c r="A53" i="10"/>
  <c r="A53" i="9"/>
  <c r="A53" i="8"/>
  <c r="A37" i="10"/>
  <c r="A37" i="9"/>
  <c r="A37" i="8"/>
  <c r="J32" i="5"/>
  <c r="A32" i="10"/>
  <c r="A32" i="9"/>
  <c r="A32" i="8"/>
  <c r="A61" i="10"/>
  <c r="A61" i="9"/>
  <c r="A61" i="8"/>
  <c r="C31" i="10"/>
  <c r="C31" i="9"/>
  <c r="C31" i="8"/>
  <c r="A40" i="10"/>
  <c r="A40" i="9"/>
  <c r="A40" i="8"/>
  <c r="A48" i="10"/>
  <c r="A48" i="9"/>
  <c r="A48" i="8"/>
  <c r="B98" i="10"/>
  <c r="B98" i="9"/>
  <c r="B98" i="8"/>
  <c r="D27" i="10"/>
  <c r="D27" i="9"/>
  <c r="D27" i="8"/>
  <c r="B73" i="10"/>
  <c r="B73" i="9"/>
  <c r="B73" i="8"/>
  <c r="B50" i="10"/>
  <c r="B50" i="9"/>
  <c r="B50" i="8"/>
  <c r="J9" i="5"/>
  <c r="A9" i="10"/>
  <c r="A9" i="9"/>
  <c r="A9" i="8"/>
  <c r="B57" i="10"/>
  <c r="B57" i="9"/>
  <c r="B57" i="8"/>
  <c r="B83" i="10"/>
  <c r="B83" i="9"/>
  <c r="B83" i="8"/>
  <c r="B106" i="10"/>
  <c r="B106" i="9"/>
  <c r="B106" i="8"/>
  <c r="B111" i="10"/>
  <c r="B111" i="9"/>
  <c r="B111" i="8"/>
  <c r="B60" i="10"/>
  <c r="B60" i="9"/>
  <c r="B60" i="8"/>
  <c r="A64" i="10"/>
  <c r="A64" i="9"/>
  <c r="A64" i="8"/>
  <c r="B55" i="10"/>
  <c r="B55" i="9"/>
  <c r="B55" i="8"/>
  <c r="J30" i="5"/>
  <c r="A30" i="10"/>
  <c r="A30" i="9"/>
  <c r="A30" i="8"/>
  <c r="A50" i="10"/>
  <c r="A50" i="9"/>
  <c r="A50" i="8"/>
  <c r="B103" i="10"/>
  <c r="B103" i="9"/>
  <c r="B103" i="8"/>
  <c r="J19" i="5"/>
  <c r="A19" i="10"/>
  <c r="A19" i="9"/>
  <c r="A19" i="8"/>
  <c r="A45" i="10"/>
  <c r="A45" i="9"/>
  <c r="A45" i="8"/>
  <c r="B76" i="10"/>
  <c r="B76" i="9"/>
  <c r="B76" i="8"/>
  <c r="B114" i="10"/>
  <c r="B114" i="9"/>
  <c r="B114" i="8"/>
  <c r="B75" i="10"/>
  <c r="B75" i="9"/>
  <c r="B75" i="8"/>
  <c r="B54" i="10"/>
  <c r="B54" i="9"/>
  <c r="B54" i="8"/>
  <c r="A51" i="10"/>
  <c r="A51" i="9"/>
  <c r="A51" i="8"/>
  <c r="A41" i="10"/>
  <c r="A41" i="9"/>
  <c r="A41" i="8"/>
  <c r="A58" i="10"/>
  <c r="A58" i="9"/>
  <c r="A58" i="8"/>
  <c r="A33" i="10"/>
  <c r="A33" i="9"/>
  <c r="A33" i="8"/>
  <c r="B68" i="10"/>
  <c r="B68" i="9"/>
  <c r="B68" i="8"/>
  <c r="B74" i="10"/>
  <c r="B74" i="9"/>
  <c r="B74" i="8"/>
  <c r="J15" i="5"/>
  <c r="A15" i="10"/>
  <c r="A15" i="9"/>
  <c r="A15" i="8"/>
  <c r="A47" i="10"/>
  <c r="A47" i="9"/>
  <c r="A47" i="8"/>
  <c r="A36" i="10"/>
  <c r="A36" i="9"/>
  <c r="A36" i="8"/>
  <c r="C33" i="10"/>
  <c r="C33" i="9"/>
  <c r="C33" i="8"/>
  <c r="D38" i="10"/>
  <c r="D38" i="9"/>
  <c r="D38" i="8"/>
  <c r="D26" i="10"/>
  <c r="D26" i="9"/>
  <c r="D26" i="8"/>
  <c r="C28" i="10"/>
  <c r="C28" i="9"/>
  <c r="C28" i="8"/>
  <c r="D32" i="10"/>
  <c r="D32" i="9"/>
  <c r="D32" i="8"/>
  <c r="D34" i="10"/>
  <c r="D34" i="9"/>
  <c r="D34" i="8"/>
  <c r="B47" i="10"/>
  <c r="B47" i="9"/>
  <c r="B47" i="8"/>
  <c r="J34" i="5"/>
  <c r="J31" i="5"/>
  <c r="J35" i="5"/>
  <c r="J24" i="5"/>
  <c r="J27" i="5"/>
  <c r="J26" i="5"/>
  <c r="H36" i="5"/>
  <c r="F69" i="5"/>
  <c r="I49" i="5"/>
  <c r="G128" i="5"/>
  <c r="J49" i="14" l="1"/>
  <c r="K27" i="14"/>
  <c r="K34" i="14"/>
  <c r="K19" i="14"/>
  <c r="K23" i="14"/>
  <c r="K13" i="14"/>
  <c r="K33" i="14"/>
  <c r="G69" i="14"/>
  <c r="K24" i="14"/>
  <c r="K29" i="14"/>
  <c r="K18" i="14"/>
  <c r="K25" i="14"/>
  <c r="K12" i="14"/>
  <c r="K14" i="14"/>
  <c r="I36" i="14"/>
  <c r="K35" i="14"/>
  <c r="K30" i="14"/>
  <c r="E33" i="8"/>
  <c r="K17" i="14"/>
  <c r="K28" i="14"/>
  <c r="H128" i="14"/>
  <c r="K26" i="14"/>
  <c r="K31" i="14"/>
  <c r="K15" i="14"/>
  <c r="K9" i="14"/>
  <c r="K32" i="14"/>
  <c r="E33" i="9"/>
  <c r="K16" i="14"/>
  <c r="K22" i="14"/>
  <c r="K10" i="14"/>
  <c r="K11" i="14"/>
  <c r="K20" i="14"/>
  <c r="E34" i="10"/>
  <c r="E34" i="9"/>
  <c r="E34" i="8"/>
  <c r="E19" i="10"/>
  <c r="E19" i="9"/>
  <c r="E19" i="8"/>
  <c r="E23" i="10"/>
  <c r="E23" i="9"/>
  <c r="E23" i="8"/>
  <c r="E13" i="10"/>
  <c r="E13" i="8"/>
  <c r="E13" i="9"/>
  <c r="D49" i="10"/>
  <c r="D49" i="9"/>
  <c r="D49" i="8"/>
  <c r="E29" i="10"/>
  <c r="E29" i="9"/>
  <c r="E29" i="8"/>
  <c r="E18" i="10"/>
  <c r="E18" i="9"/>
  <c r="E18" i="8"/>
  <c r="E25" i="10"/>
  <c r="E25" i="9"/>
  <c r="E25" i="8"/>
  <c r="E12" i="10"/>
  <c r="E12" i="9"/>
  <c r="E12" i="8"/>
  <c r="E14" i="10"/>
  <c r="E14" i="9"/>
  <c r="E14" i="8"/>
  <c r="E24" i="10"/>
  <c r="E24" i="9"/>
  <c r="E24" i="8"/>
  <c r="C36" i="10"/>
  <c r="C36" i="9"/>
  <c r="C36" i="8"/>
  <c r="E35" i="10"/>
  <c r="E35" i="9"/>
  <c r="E35" i="8"/>
  <c r="E17" i="10"/>
  <c r="E17" i="9"/>
  <c r="E17" i="8"/>
  <c r="E28" i="10"/>
  <c r="E28" i="9"/>
  <c r="E28" i="8"/>
  <c r="E27" i="10"/>
  <c r="E27" i="9"/>
  <c r="E27" i="8"/>
  <c r="E16" i="10"/>
  <c r="E16" i="9"/>
  <c r="E16" i="8"/>
  <c r="A69" i="10"/>
  <c r="A69" i="9"/>
  <c r="A69" i="8"/>
  <c r="E30" i="10"/>
  <c r="E30" i="9"/>
  <c r="E30" i="8"/>
  <c r="B128" i="10"/>
  <c r="B128" i="9"/>
  <c r="B128" i="8"/>
  <c r="E26" i="10"/>
  <c r="E26" i="9"/>
  <c r="E26" i="8"/>
  <c r="E31" i="10"/>
  <c r="E31" i="9"/>
  <c r="E31" i="8"/>
  <c r="E15" i="10"/>
  <c r="E15" i="9"/>
  <c r="E15" i="8"/>
  <c r="E9" i="10"/>
  <c r="E9" i="8"/>
  <c r="E9" i="9"/>
  <c r="E32" i="10"/>
  <c r="E32" i="9"/>
  <c r="E32" i="8"/>
  <c r="E22" i="10"/>
  <c r="E22" i="9"/>
  <c r="E22" i="8"/>
  <c r="E10" i="10"/>
  <c r="E10" i="9"/>
  <c r="E10" i="8"/>
  <c r="E11" i="10"/>
  <c r="E11" i="9"/>
  <c r="E11" i="8"/>
  <c r="E20" i="10"/>
  <c r="E20" i="9"/>
  <c r="E20" i="8"/>
  <c r="J36" i="5"/>
  <c r="G129" i="5"/>
  <c r="I50" i="5"/>
  <c r="F70" i="5"/>
  <c r="H37" i="5"/>
  <c r="H129" i="14" l="1"/>
  <c r="G70" i="14"/>
  <c r="J50" i="14"/>
  <c r="I37" i="14"/>
  <c r="K36" i="14"/>
  <c r="D50" i="10"/>
  <c r="D50" i="9"/>
  <c r="D50" i="8"/>
  <c r="A70" i="10"/>
  <c r="A70" i="9"/>
  <c r="A70" i="8"/>
  <c r="B129" i="10"/>
  <c r="B129" i="9"/>
  <c r="B129" i="8"/>
  <c r="C37" i="10"/>
  <c r="C37" i="9"/>
  <c r="C37" i="8"/>
  <c r="E36" i="10"/>
  <c r="E36" i="9"/>
  <c r="E36" i="8"/>
  <c r="J37" i="5"/>
  <c r="H38" i="5"/>
  <c r="I51" i="5"/>
  <c r="F71" i="5"/>
  <c r="G130" i="5"/>
  <c r="I38" i="14" l="1"/>
  <c r="H130" i="14"/>
  <c r="G71" i="14"/>
  <c r="J51" i="14"/>
  <c r="K37" i="14"/>
  <c r="B130" i="10"/>
  <c r="B130" i="9"/>
  <c r="B130" i="8"/>
  <c r="D51" i="10"/>
  <c r="D51" i="9"/>
  <c r="D51" i="8"/>
  <c r="E37" i="10"/>
  <c r="E37" i="9"/>
  <c r="E37" i="8"/>
  <c r="A71" i="10"/>
  <c r="A71" i="9"/>
  <c r="A71" i="8"/>
  <c r="C38" i="10"/>
  <c r="C38" i="9"/>
  <c r="C38" i="8"/>
  <c r="J38" i="5"/>
  <c r="G131" i="5"/>
  <c r="F72" i="5"/>
  <c r="I52" i="5"/>
  <c r="H39" i="5"/>
  <c r="I39" i="14" l="1"/>
  <c r="K38" i="14"/>
  <c r="G72" i="14"/>
  <c r="J52" i="14"/>
  <c r="H131" i="14"/>
  <c r="A72" i="10"/>
  <c r="A72" i="9"/>
  <c r="A72" i="8"/>
  <c r="B131" i="10"/>
  <c r="B131" i="9"/>
  <c r="B131" i="8"/>
  <c r="C39" i="10"/>
  <c r="C39" i="9"/>
  <c r="C39" i="8"/>
  <c r="E38" i="10"/>
  <c r="E38" i="9"/>
  <c r="E38" i="8"/>
  <c r="D52" i="10"/>
  <c r="D52" i="9"/>
  <c r="D52" i="8"/>
  <c r="J39" i="5"/>
  <c r="H40" i="5"/>
  <c r="I53" i="5"/>
  <c r="F73" i="5"/>
  <c r="G132" i="5"/>
  <c r="H132" i="14" l="1"/>
  <c r="J53" i="14"/>
  <c r="I40" i="14"/>
  <c r="K39" i="14"/>
  <c r="G73" i="14"/>
  <c r="E39" i="10"/>
  <c r="E39" i="9"/>
  <c r="E39" i="8"/>
  <c r="A73" i="10"/>
  <c r="A73" i="9"/>
  <c r="A73" i="8"/>
  <c r="B132" i="10"/>
  <c r="B132" i="9"/>
  <c r="B132" i="8"/>
  <c r="D53" i="10"/>
  <c r="D53" i="9"/>
  <c r="D53" i="8"/>
  <c r="C40" i="10"/>
  <c r="C40" i="9"/>
  <c r="C40" i="8"/>
  <c r="J40" i="5"/>
  <c r="G133" i="5"/>
  <c r="I54" i="5"/>
  <c r="F74" i="5"/>
  <c r="H41" i="5"/>
  <c r="K40" i="14" l="1"/>
  <c r="G74" i="14"/>
  <c r="H133" i="14"/>
  <c r="I41" i="14"/>
  <c r="J54" i="14"/>
  <c r="D54" i="10"/>
  <c r="D54" i="9"/>
  <c r="D54" i="8"/>
  <c r="B133" i="10"/>
  <c r="B133" i="9"/>
  <c r="B133" i="8"/>
  <c r="J41" i="5"/>
  <c r="C41" i="10"/>
  <c r="C41" i="9"/>
  <c r="C41" i="8"/>
  <c r="E40" i="10"/>
  <c r="E40" i="9"/>
  <c r="E40" i="8"/>
  <c r="A74" i="10"/>
  <c r="A74" i="9"/>
  <c r="A74" i="8"/>
  <c r="I55" i="5"/>
  <c r="H42" i="5"/>
  <c r="F75" i="5"/>
  <c r="G134" i="5"/>
  <c r="G75" i="14" l="1"/>
  <c r="I42" i="14"/>
  <c r="J55" i="14"/>
  <c r="K41" i="14"/>
  <c r="H134" i="14"/>
  <c r="B134" i="10"/>
  <c r="B134" i="9"/>
  <c r="B134" i="8"/>
  <c r="A75" i="10"/>
  <c r="A75" i="9"/>
  <c r="A75" i="8"/>
  <c r="E41" i="10"/>
  <c r="E41" i="9"/>
  <c r="E41" i="8"/>
  <c r="D55" i="10"/>
  <c r="D55" i="9"/>
  <c r="D55" i="8"/>
  <c r="J42" i="5"/>
  <c r="C42" i="10"/>
  <c r="C42" i="9"/>
  <c r="C42" i="8"/>
  <c r="H43" i="5"/>
  <c r="I56" i="5"/>
  <c r="G135" i="5"/>
  <c r="F76" i="5"/>
  <c r="H135" i="14" l="1"/>
  <c r="G76" i="14"/>
  <c r="J56" i="14"/>
  <c r="I43" i="14"/>
  <c r="K42" i="14"/>
  <c r="A76" i="10"/>
  <c r="A76" i="9"/>
  <c r="A76" i="8"/>
  <c r="B135" i="10"/>
  <c r="B135" i="9"/>
  <c r="B135" i="8"/>
  <c r="E42" i="10"/>
  <c r="E42" i="9"/>
  <c r="E42" i="8"/>
  <c r="D56" i="10"/>
  <c r="D56" i="9"/>
  <c r="D56" i="8"/>
  <c r="C43" i="10"/>
  <c r="C43" i="9"/>
  <c r="C43" i="8"/>
  <c r="J43" i="5"/>
  <c r="F77" i="5"/>
  <c r="G136" i="5"/>
  <c r="I57" i="5"/>
  <c r="H44" i="5"/>
  <c r="H136" i="14" l="1"/>
  <c r="G77" i="14"/>
  <c r="I44" i="14"/>
  <c r="K43" i="14"/>
  <c r="J57" i="14"/>
  <c r="A77" i="10"/>
  <c r="A77" i="9"/>
  <c r="A77" i="8"/>
  <c r="E43" i="10"/>
  <c r="E43" i="9"/>
  <c r="E43" i="8"/>
  <c r="D57" i="10"/>
  <c r="D57" i="9"/>
  <c r="D57" i="8"/>
  <c r="J44" i="5"/>
  <c r="C44" i="10"/>
  <c r="C44" i="9"/>
  <c r="C44" i="8"/>
  <c r="B136" i="10"/>
  <c r="B136" i="9"/>
  <c r="B136" i="8"/>
  <c r="H45" i="5"/>
  <c r="F78" i="5"/>
  <c r="I58" i="5"/>
  <c r="G137" i="5"/>
  <c r="J58" i="14" l="1"/>
  <c r="G78" i="14"/>
  <c r="K44" i="14"/>
  <c r="I45" i="14"/>
  <c r="H137" i="14"/>
  <c r="B137" i="10"/>
  <c r="B137" i="9"/>
  <c r="B137" i="8"/>
  <c r="D58" i="10"/>
  <c r="D58" i="9"/>
  <c r="D58" i="8"/>
  <c r="A78" i="10"/>
  <c r="A78" i="9"/>
  <c r="A78" i="8"/>
  <c r="E44" i="10"/>
  <c r="E44" i="9"/>
  <c r="E44" i="8"/>
  <c r="J45" i="5"/>
  <c r="C45" i="10"/>
  <c r="C45" i="9"/>
  <c r="C45" i="8"/>
  <c r="I59" i="5"/>
  <c r="G138" i="5"/>
  <c r="F79" i="5"/>
  <c r="H46" i="5"/>
  <c r="J59" i="14" l="1"/>
  <c r="K45" i="14"/>
  <c r="I46" i="14"/>
  <c r="G79" i="14"/>
  <c r="H138" i="14"/>
  <c r="J46" i="5"/>
  <c r="C46" i="10"/>
  <c r="C46" i="9"/>
  <c r="C46" i="8"/>
  <c r="A79" i="10"/>
  <c r="A79" i="9"/>
  <c r="A79" i="8"/>
  <c r="B138" i="10"/>
  <c r="B138" i="9"/>
  <c r="B138" i="8"/>
  <c r="D59" i="10"/>
  <c r="D59" i="9"/>
  <c r="D59" i="8"/>
  <c r="E45" i="10"/>
  <c r="E45" i="9"/>
  <c r="E45" i="8"/>
  <c r="H47" i="5"/>
  <c r="F80" i="5"/>
  <c r="G139" i="5"/>
  <c r="I60" i="5"/>
  <c r="G80" i="14" l="1"/>
  <c r="I47" i="14"/>
  <c r="K46" i="14"/>
  <c r="J60" i="14"/>
  <c r="H139" i="14"/>
  <c r="D60" i="10"/>
  <c r="D60" i="9"/>
  <c r="D60" i="8"/>
  <c r="B139" i="10"/>
  <c r="B139" i="9"/>
  <c r="B139" i="8"/>
  <c r="A80" i="10"/>
  <c r="A80" i="9"/>
  <c r="A80" i="8"/>
  <c r="J47" i="5"/>
  <c r="C47" i="10"/>
  <c r="C47" i="9"/>
  <c r="C47" i="8"/>
  <c r="E46" i="10"/>
  <c r="E46" i="9"/>
  <c r="E46" i="8"/>
  <c r="I61" i="5"/>
  <c r="G140" i="5"/>
  <c r="F81" i="5"/>
  <c r="H48" i="5"/>
  <c r="I48" i="14" l="1"/>
  <c r="H140" i="14"/>
  <c r="K47" i="14"/>
  <c r="J61" i="14"/>
  <c r="G81" i="14"/>
  <c r="E47" i="10"/>
  <c r="E47" i="9"/>
  <c r="E47" i="8"/>
  <c r="D61" i="10"/>
  <c r="D61" i="9"/>
  <c r="D61" i="8"/>
  <c r="J48" i="5"/>
  <c r="C48" i="10"/>
  <c r="C48" i="9"/>
  <c r="C48" i="8"/>
  <c r="A81" i="10"/>
  <c r="A81" i="9"/>
  <c r="A81" i="8"/>
  <c r="B140" i="10"/>
  <c r="B140" i="9"/>
  <c r="B140" i="8"/>
  <c r="F82" i="5"/>
  <c r="H49" i="5"/>
  <c r="G141" i="5"/>
  <c r="I62" i="5"/>
  <c r="I49" i="14" l="1"/>
  <c r="J62" i="14"/>
  <c r="G82" i="14"/>
  <c r="H141" i="14"/>
  <c r="K48" i="14"/>
  <c r="E48" i="10"/>
  <c r="E48" i="9"/>
  <c r="E48" i="8"/>
  <c r="A82" i="10"/>
  <c r="A82" i="9"/>
  <c r="A82" i="8"/>
  <c r="D62" i="10"/>
  <c r="D62" i="9"/>
  <c r="D62" i="8"/>
  <c r="B141" i="10"/>
  <c r="B141" i="9"/>
  <c r="B141" i="8"/>
  <c r="J49" i="5"/>
  <c r="C49" i="10"/>
  <c r="C49" i="9"/>
  <c r="C49" i="8"/>
  <c r="I63" i="5"/>
  <c r="G142" i="5"/>
  <c r="H50" i="5"/>
  <c r="F83" i="5"/>
  <c r="G83" i="14" l="1"/>
  <c r="I50" i="14"/>
  <c r="H142" i="14"/>
  <c r="J63" i="14"/>
  <c r="K49" i="14"/>
  <c r="E49" i="10"/>
  <c r="E49" i="9"/>
  <c r="E49" i="8"/>
  <c r="A83" i="10"/>
  <c r="A83" i="9"/>
  <c r="A83" i="8"/>
  <c r="J50" i="5"/>
  <c r="C50" i="10"/>
  <c r="C50" i="9"/>
  <c r="C50" i="8"/>
  <c r="B142" i="10"/>
  <c r="B142" i="9"/>
  <c r="B142" i="8"/>
  <c r="D63" i="10"/>
  <c r="D63" i="9"/>
  <c r="D63" i="8"/>
  <c r="H51" i="5"/>
  <c r="F84" i="5"/>
  <c r="G143" i="5"/>
  <c r="I64" i="5"/>
  <c r="J64" i="14" l="1"/>
  <c r="H143" i="14"/>
  <c r="K50" i="14"/>
  <c r="G84" i="14"/>
  <c r="I51" i="14"/>
  <c r="B143" i="10"/>
  <c r="B143" i="9"/>
  <c r="B143" i="8"/>
  <c r="E50" i="10"/>
  <c r="E50" i="9"/>
  <c r="E50" i="8"/>
  <c r="D64" i="10"/>
  <c r="D64" i="9"/>
  <c r="D64" i="8"/>
  <c r="A84" i="10"/>
  <c r="A84" i="9"/>
  <c r="A84" i="8"/>
  <c r="J51" i="5"/>
  <c r="C51" i="10"/>
  <c r="C51" i="9"/>
  <c r="C51" i="8"/>
  <c r="I65" i="5"/>
  <c r="G144" i="5"/>
  <c r="F85" i="5"/>
  <c r="H52" i="5"/>
  <c r="H144" i="14" l="1"/>
  <c r="J65" i="14"/>
  <c r="K51" i="14"/>
  <c r="I52" i="14"/>
  <c r="G85" i="14"/>
  <c r="E51" i="10"/>
  <c r="E51" i="9"/>
  <c r="E51" i="8"/>
  <c r="J52" i="5"/>
  <c r="C52" i="10"/>
  <c r="C52" i="9"/>
  <c r="C52" i="8"/>
  <c r="A85" i="10"/>
  <c r="A85" i="9"/>
  <c r="A85" i="8"/>
  <c r="D65" i="10"/>
  <c r="D65" i="9"/>
  <c r="D65" i="8"/>
  <c r="B144" i="10"/>
  <c r="B144" i="9"/>
  <c r="B144" i="8"/>
  <c r="H53" i="5"/>
  <c r="G145" i="5"/>
  <c r="F86" i="5"/>
  <c r="I66" i="5"/>
  <c r="I53" i="14" l="1"/>
  <c r="H145" i="14"/>
  <c r="J66" i="14"/>
  <c r="K52" i="14"/>
  <c r="G86" i="14"/>
  <c r="D66" i="10"/>
  <c r="D66" i="9"/>
  <c r="D66" i="8"/>
  <c r="A86" i="10"/>
  <c r="A86" i="9"/>
  <c r="A86" i="8"/>
  <c r="E52" i="10"/>
  <c r="E52" i="9"/>
  <c r="E52" i="8"/>
  <c r="B145" i="10"/>
  <c r="B145" i="9"/>
  <c r="B145" i="8"/>
  <c r="J53" i="5"/>
  <c r="C53" i="10"/>
  <c r="C53" i="9"/>
  <c r="C53" i="8"/>
  <c r="I67" i="5"/>
  <c r="F87" i="5"/>
  <c r="G146" i="5"/>
  <c r="H54" i="5"/>
  <c r="I54" i="14" l="1"/>
  <c r="H146" i="14"/>
  <c r="G87" i="14"/>
  <c r="J67" i="14"/>
  <c r="K53" i="14"/>
  <c r="E53" i="10"/>
  <c r="E53" i="9"/>
  <c r="E53" i="8"/>
  <c r="B146" i="10"/>
  <c r="B146" i="9"/>
  <c r="B146" i="8"/>
  <c r="D67" i="10"/>
  <c r="D67" i="9"/>
  <c r="D67" i="8"/>
  <c r="J54" i="5"/>
  <c r="C54" i="10"/>
  <c r="C54" i="9"/>
  <c r="C54" i="8"/>
  <c r="A87" i="10"/>
  <c r="A87" i="9"/>
  <c r="A87" i="8"/>
  <c r="H55" i="5"/>
  <c r="G147" i="5"/>
  <c r="F88" i="5"/>
  <c r="I68" i="5"/>
  <c r="G88" i="14" l="1"/>
  <c r="H147" i="14"/>
  <c r="K54" i="14"/>
  <c r="I55" i="14"/>
  <c r="J68" i="14"/>
  <c r="J55" i="5"/>
  <c r="C55" i="10"/>
  <c r="C55" i="9"/>
  <c r="C55" i="8"/>
  <c r="D68" i="10"/>
  <c r="D68" i="9"/>
  <c r="D68" i="8"/>
  <c r="A88" i="10"/>
  <c r="A88" i="9"/>
  <c r="A88" i="8"/>
  <c r="B147" i="10"/>
  <c r="B147" i="9"/>
  <c r="B147" i="8"/>
  <c r="E54" i="10"/>
  <c r="E54" i="9"/>
  <c r="E54" i="8"/>
  <c r="I69" i="5"/>
  <c r="F89" i="5"/>
  <c r="G148" i="5"/>
  <c r="H56" i="5"/>
  <c r="I56" i="14" l="1"/>
  <c r="H148" i="14"/>
  <c r="G89" i="14"/>
  <c r="J69" i="14"/>
  <c r="K55" i="14"/>
  <c r="J56" i="5"/>
  <c r="C56" i="10"/>
  <c r="C56" i="9"/>
  <c r="C56" i="8"/>
  <c r="B148" i="10"/>
  <c r="B148" i="9"/>
  <c r="B148" i="8"/>
  <c r="D69" i="10"/>
  <c r="D69" i="9"/>
  <c r="D69" i="8"/>
  <c r="E55" i="10"/>
  <c r="E55" i="9"/>
  <c r="E55" i="8"/>
  <c r="A89" i="10"/>
  <c r="A89" i="9"/>
  <c r="A89" i="8"/>
  <c r="F90" i="5"/>
  <c r="I70" i="5"/>
  <c r="H57" i="5"/>
  <c r="G149" i="5"/>
  <c r="G90" i="14" l="1"/>
  <c r="K56" i="14"/>
  <c r="J70" i="14"/>
  <c r="H149" i="14"/>
  <c r="I57" i="14"/>
  <c r="A90" i="10"/>
  <c r="A90" i="9"/>
  <c r="A90" i="8"/>
  <c r="E56" i="10"/>
  <c r="E56" i="9"/>
  <c r="E56" i="8"/>
  <c r="B149" i="10"/>
  <c r="B149" i="9"/>
  <c r="B149" i="8"/>
  <c r="J57" i="5"/>
  <c r="C57" i="10"/>
  <c r="C57" i="9"/>
  <c r="C57" i="8"/>
  <c r="D70" i="10"/>
  <c r="D70" i="9"/>
  <c r="D70" i="8"/>
  <c r="I71" i="5"/>
  <c r="G150" i="5"/>
  <c r="H58" i="5"/>
  <c r="F91" i="5"/>
  <c r="G91" i="14" l="1"/>
  <c r="H150" i="14"/>
  <c r="K57" i="14"/>
  <c r="J71" i="14"/>
  <c r="I58" i="14"/>
  <c r="B150" i="10"/>
  <c r="B150" i="9"/>
  <c r="B150" i="8"/>
  <c r="D71" i="10"/>
  <c r="D71" i="9"/>
  <c r="D71" i="8"/>
  <c r="A91" i="10"/>
  <c r="A91" i="9"/>
  <c r="A91" i="8"/>
  <c r="J58" i="5"/>
  <c r="C58" i="10"/>
  <c r="C58" i="9"/>
  <c r="C58" i="8"/>
  <c r="E57" i="10"/>
  <c r="E57" i="9"/>
  <c r="E57" i="8"/>
  <c r="H59" i="5"/>
  <c r="G151" i="5"/>
  <c r="I72" i="5"/>
  <c r="F92" i="5"/>
  <c r="J72" i="14" l="1"/>
  <c r="H151" i="14"/>
  <c r="K58" i="14"/>
  <c r="I59" i="14"/>
  <c r="G92" i="14"/>
  <c r="B151" i="10"/>
  <c r="B151" i="9"/>
  <c r="B151" i="8"/>
  <c r="A92" i="10"/>
  <c r="A92" i="9"/>
  <c r="A92" i="8"/>
  <c r="D72" i="10"/>
  <c r="D72" i="9"/>
  <c r="D72" i="8"/>
  <c r="E58" i="10"/>
  <c r="E58" i="9"/>
  <c r="E58" i="8"/>
  <c r="J59" i="5"/>
  <c r="C59" i="10"/>
  <c r="C59" i="9"/>
  <c r="C59" i="8"/>
  <c r="F93" i="5"/>
  <c r="I73" i="5"/>
  <c r="G152" i="5"/>
  <c r="H60" i="5"/>
  <c r="I60" i="14" l="1"/>
  <c r="H152" i="14"/>
  <c r="J73" i="14"/>
  <c r="G93" i="14"/>
  <c r="K59" i="14"/>
  <c r="A93" i="10"/>
  <c r="A93" i="9"/>
  <c r="A93" i="8"/>
  <c r="J60" i="5"/>
  <c r="C60" i="10"/>
  <c r="C60" i="9"/>
  <c r="C60" i="8"/>
  <c r="B152" i="10"/>
  <c r="B152" i="9"/>
  <c r="B152" i="8"/>
  <c r="D73" i="10"/>
  <c r="D73" i="9"/>
  <c r="D73" i="8"/>
  <c r="E59" i="10"/>
  <c r="E59" i="9"/>
  <c r="E59" i="8"/>
  <c r="H61" i="5"/>
  <c r="G154" i="5"/>
  <c r="I74" i="5"/>
  <c r="G153" i="5"/>
  <c r="F94" i="5"/>
  <c r="H153" i="14" l="1"/>
  <c r="K60" i="14"/>
  <c r="J74" i="14"/>
  <c r="H154" i="14"/>
  <c r="G94" i="14"/>
  <c r="I61" i="14"/>
  <c r="B153" i="10"/>
  <c r="B153" i="9"/>
  <c r="B153" i="8"/>
  <c r="E60" i="10"/>
  <c r="E60" i="9"/>
  <c r="E60" i="8"/>
  <c r="D74" i="10"/>
  <c r="D74" i="9"/>
  <c r="D74" i="8"/>
  <c r="B154" i="10"/>
  <c r="B154" i="9"/>
  <c r="B154" i="8"/>
  <c r="A94" i="10"/>
  <c r="A94" i="9"/>
  <c r="A94" i="8"/>
  <c r="J61" i="5"/>
  <c r="C61" i="10"/>
  <c r="C61" i="9"/>
  <c r="C61" i="8"/>
  <c r="F95" i="5"/>
  <c r="I75" i="5"/>
  <c r="G155" i="5"/>
  <c r="H62" i="5"/>
  <c r="H155" i="14" l="1"/>
  <c r="J75" i="14"/>
  <c r="G95" i="14"/>
  <c r="K61" i="14"/>
  <c r="I62" i="14"/>
  <c r="B155" i="10"/>
  <c r="B155" i="9"/>
  <c r="B155" i="8"/>
  <c r="D75" i="10"/>
  <c r="D75" i="9"/>
  <c r="D75" i="8"/>
  <c r="A95" i="10"/>
  <c r="A95" i="9"/>
  <c r="A95" i="8"/>
  <c r="E61" i="10"/>
  <c r="E61" i="9"/>
  <c r="E61" i="8"/>
  <c r="J62" i="5"/>
  <c r="C62" i="10"/>
  <c r="C62" i="9"/>
  <c r="C62" i="8"/>
  <c r="H63" i="5"/>
  <c r="G156" i="5"/>
  <c r="I76" i="5"/>
  <c r="F96" i="5"/>
  <c r="H156" i="14" l="1"/>
  <c r="I63" i="14"/>
  <c r="K62" i="14"/>
  <c r="G96" i="14"/>
  <c r="J76" i="14"/>
  <c r="A96" i="10"/>
  <c r="A96" i="9"/>
  <c r="A96" i="8"/>
  <c r="D76" i="10"/>
  <c r="D76" i="9"/>
  <c r="D76" i="8"/>
  <c r="B156" i="10"/>
  <c r="B156" i="9"/>
  <c r="B156" i="8"/>
  <c r="J63" i="5"/>
  <c r="C63" i="10"/>
  <c r="C63" i="9"/>
  <c r="C63" i="8"/>
  <c r="E62" i="10"/>
  <c r="E62" i="9"/>
  <c r="E62" i="8"/>
  <c r="I77" i="5"/>
  <c r="F97" i="5"/>
  <c r="G157" i="5"/>
  <c r="H64" i="5"/>
  <c r="I64" i="14" l="1"/>
  <c r="H157" i="14"/>
  <c r="G97" i="14"/>
  <c r="K63" i="14"/>
  <c r="J77" i="14"/>
  <c r="E63" i="10"/>
  <c r="E63" i="9"/>
  <c r="E63" i="8"/>
  <c r="D77" i="10"/>
  <c r="D77" i="9"/>
  <c r="D77" i="8"/>
  <c r="J64" i="5"/>
  <c r="C64" i="10"/>
  <c r="C64" i="9"/>
  <c r="C64" i="8"/>
  <c r="A97" i="10"/>
  <c r="A97" i="9"/>
  <c r="A97" i="8"/>
  <c r="B157" i="10"/>
  <c r="B157" i="9"/>
  <c r="B157" i="8"/>
  <c r="H65" i="5"/>
  <c r="G158" i="5"/>
  <c r="F98" i="5"/>
  <c r="I78" i="5"/>
  <c r="J78" i="14" l="1"/>
  <c r="G98" i="14"/>
  <c r="H158" i="14"/>
  <c r="I65" i="14"/>
  <c r="K64" i="14"/>
  <c r="E64" i="10"/>
  <c r="E64" i="9"/>
  <c r="E64" i="8"/>
  <c r="B158" i="10"/>
  <c r="B158" i="9"/>
  <c r="B158" i="8"/>
  <c r="J65" i="5"/>
  <c r="C65" i="10"/>
  <c r="C65" i="9"/>
  <c r="C65" i="8"/>
  <c r="D78" i="10"/>
  <c r="D78" i="9"/>
  <c r="D78" i="8"/>
  <c r="A98" i="10"/>
  <c r="A98" i="9"/>
  <c r="A98" i="8"/>
  <c r="I79" i="5"/>
  <c r="F99" i="5"/>
  <c r="G159" i="5"/>
  <c r="H66" i="5"/>
  <c r="I66" i="14" l="1"/>
  <c r="H159" i="14"/>
  <c r="K65" i="14"/>
  <c r="G99" i="14"/>
  <c r="J79" i="14"/>
  <c r="D79" i="10"/>
  <c r="D79" i="9"/>
  <c r="D79" i="8"/>
  <c r="J66" i="5"/>
  <c r="C66" i="10"/>
  <c r="C66" i="9"/>
  <c r="C66" i="8"/>
  <c r="E65" i="10"/>
  <c r="E65" i="9"/>
  <c r="E65" i="8"/>
  <c r="B159" i="10"/>
  <c r="B159" i="9"/>
  <c r="B159" i="8"/>
  <c r="A99" i="10"/>
  <c r="A99" i="9"/>
  <c r="A99" i="8"/>
  <c r="H67" i="5"/>
  <c r="G160" i="5"/>
  <c r="F100" i="5"/>
  <c r="I80" i="5"/>
  <c r="K66" i="14" l="1"/>
  <c r="H160" i="14"/>
  <c r="I67" i="14"/>
  <c r="J80" i="14"/>
  <c r="G100" i="14"/>
  <c r="A100" i="10"/>
  <c r="A100" i="9"/>
  <c r="A100" i="8"/>
  <c r="B160" i="10"/>
  <c r="B160" i="9"/>
  <c r="B160" i="8"/>
  <c r="J67" i="5"/>
  <c r="C67" i="10"/>
  <c r="C67" i="9"/>
  <c r="C67" i="8"/>
  <c r="D80" i="10"/>
  <c r="D80" i="9"/>
  <c r="D80" i="8"/>
  <c r="E66" i="10"/>
  <c r="E66" i="9"/>
  <c r="E66" i="8"/>
  <c r="I81" i="5"/>
  <c r="F101" i="5"/>
  <c r="G161" i="5"/>
  <c r="H68" i="5"/>
  <c r="I68" i="14" l="1"/>
  <c r="H161" i="14"/>
  <c r="K67" i="14"/>
  <c r="G101" i="14"/>
  <c r="J81" i="14"/>
  <c r="B161" i="10"/>
  <c r="B161" i="9"/>
  <c r="B161" i="8"/>
  <c r="A101" i="10"/>
  <c r="A101" i="9"/>
  <c r="A101" i="8"/>
  <c r="D81" i="10"/>
  <c r="D81" i="9"/>
  <c r="D81" i="8"/>
  <c r="J68" i="5"/>
  <c r="C68" i="10"/>
  <c r="C68" i="9"/>
  <c r="C68" i="8"/>
  <c r="E67" i="10"/>
  <c r="E67" i="9"/>
  <c r="E67" i="8"/>
  <c r="I82" i="5"/>
  <c r="H69" i="5"/>
  <c r="G162" i="5"/>
  <c r="F102" i="5"/>
  <c r="G102" i="14" l="1"/>
  <c r="H162" i="14"/>
  <c r="I69" i="14"/>
  <c r="K68" i="14"/>
  <c r="J82" i="14"/>
  <c r="E68" i="10"/>
  <c r="E68" i="9"/>
  <c r="E68" i="8"/>
  <c r="D82" i="10"/>
  <c r="D82" i="9"/>
  <c r="D82" i="8"/>
  <c r="A102" i="10"/>
  <c r="A102" i="9"/>
  <c r="A102" i="8"/>
  <c r="B162" i="10"/>
  <c r="B162" i="9"/>
  <c r="B162" i="8"/>
  <c r="J69" i="5"/>
  <c r="C69" i="10"/>
  <c r="C69" i="9"/>
  <c r="C69" i="8"/>
  <c r="F103" i="5"/>
  <c r="G163" i="5"/>
  <c r="H70" i="5"/>
  <c r="I83" i="5"/>
  <c r="J83" i="14" l="1"/>
  <c r="I70" i="14"/>
  <c r="H163" i="14"/>
  <c r="G103" i="14"/>
  <c r="K69" i="14"/>
  <c r="D83" i="10"/>
  <c r="D83" i="9"/>
  <c r="D83" i="8"/>
  <c r="J70" i="5"/>
  <c r="C70" i="10"/>
  <c r="C70" i="9"/>
  <c r="C70" i="8"/>
  <c r="B163" i="10"/>
  <c r="B163" i="9"/>
  <c r="B163" i="8"/>
  <c r="A103" i="10"/>
  <c r="A103" i="9"/>
  <c r="A103" i="8"/>
  <c r="E69" i="10"/>
  <c r="E69" i="9"/>
  <c r="E69" i="8"/>
  <c r="H71" i="5"/>
  <c r="I84" i="5"/>
  <c r="G164" i="5"/>
  <c r="F104" i="5"/>
  <c r="G104" i="14" l="1"/>
  <c r="H164" i="14"/>
  <c r="J84" i="14"/>
  <c r="I71" i="14"/>
  <c r="K70" i="14"/>
  <c r="E70" i="10"/>
  <c r="E70" i="9"/>
  <c r="E70" i="8"/>
  <c r="A104" i="10"/>
  <c r="A104" i="9"/>
  <c r="A104" i="8"/>
  <c r="B164" i="10"/>
  <c r="B164" i="9"/>
  <c r="B164" i="8"/>
  <c r="D84" i="10"/>
  <c r="D84" i="9"/>
  <c r="D84" i="8"/>
  <c r="J71" i="5"/>
  <c r="C71" i="10"/>
  <c r="C71" i="9"/>
  <c r="C71" i="8"/>
  <c r="F105" i="5"/>
  <c r="G165" i="5"/>
  <c r="I85" i="5"/>
  <c r="H72" i="5"/>
  <c r="I72" i="14" l="1"/>
  <c r="J85" i="14"/>
  <c r="H165" i="14"/>
  <c r="G105" i="14"/>
  <c r="K71" i="14"/>
  <c r="J72" i="5"/>
  <c r="C72" i="10"/>
  <c r="C72" i="9"/>
  <c r="C72" i="8"/>
  <c r="D85" i="10"/>
  <c r="D85" i="9"/>
  <c r="D85" i="8"/>
  <c r="B165" i="10"/>
  <c r="B165" i="9"/>
  <c r="B165" i="8"/>
  <c r="A105" i="10"/>
  <c r="A105" i="9"/>
  <c r="A105" i="8"/>
  <c r="E71" i="10"/>
  <c r="E71" i="9"/>
  <c r="E71" i="8"/>
  <c r="H73" i="5"/>
  <c r="I86" i="5"/>
  <c r="G166" i="5"/>
  <c r="F106" i="5"/>
  <c r="J86" i="14" l="1"/>
  <c r="I73" i="14"/>
  <c r="K72" i="14"/>
  <c r="G106" i="14"/>
  <c r="H166" i="14"/>
  <c r="D86" i="10"/>
  <c r="D86" i="9"/>
  <c r="D86" i="8"/>
  <c r="E72" i="10"/>
  <c r="E72" i="9"/>
  <c r="E72" i="8"/>
  <c r="A106" i="10"/>
  <c r="A106" i="9"/>
  <c r="A106" i="8"/>
  <c r="J73" i="5"/>
  <c r="C73" i="10"/>
  <c r="C73" i="9"/>
  <c r="C73" i="8"/>
  <c r="B166" i="10"/>
  <c r="B166" i="9"/>
  <c r="B166" i="8"/>
  <c r="F107" i="5"/>
  <c r="G167" i="5"/>
  <c r="I87" i="5"/>
  <c r="H74" i="5"/>
  <c r="I74" i="14" l="1"/>
  <c r="J87" i="14"/>
  <c r="H167" i="14"/>
  <c r="K73" i="14"/>
  <c r="G107" i="14"/>
  <c r="E73" i="10"/>
  <c r="E73" i="9"/>
  <c r="E73" i="8"/>
  <c r="A107" i="10"/>
  <c r="A107" i="9"/>
  <c r="A107" i="8"/>
  <c r="J74" i="5"/>
  <c r="C74" i="10"/>
  <c r="C74" i="9"/>
  <c r="C74" i="8"/>
  <c r="B167" i="10"/>
  <c r="B167" i="9"/>
  <c r="B167" i="8"/>
  <c r="D87" i="10"/>
  <c r="D87" i="9"/>
  <c r="D87" i="8"/>
  <c r="I88" i="5"/>
  <c r="G168" i="5"/>
  <c r="H75" i="5"/>
  <c r="I89" i="5"/>
  <c r="F108" i="5"/>
  <c r="I75" i="14" l="1"/>
  <c r="H168" i="14"/>
  <c r="G108" i="14"/>
  <c r="J88" i="14"/>
  <c r="J89" i="14"/>
  <c r="K74" i="14"/>
  <c r="E74" i="10"/>
  <c r="E74" i="9"/>
  <c r="E74" i="8"/>
  <c r="B168" i="10"/>
  <c r="B168" i="9"/>
  <c r="B168" i="8"/>
  <c r="A108" i="10"/>
  <c r="A108" i="9"/>
  <c r="A108" i="8"/>
  <c r="D88" i="10"/>
  <c r="D88" i="9"/>
  <c r="D88" i="8"/>
  <c r="D89" i="10"/>
  <c r="D89" i="9"/>
  <c r="D89" i="8"/>
  <c r="J75" i="5"/>
  <c r="C75" i="10"/>
  <c r="C75" i="9"/>
  <c r="C75" i="8"/>
  <c r="F109" i="5"/>
  <c r="I90" i="5"/>
  <c r="H76" i="5"/>
  <c r="G169" i="5"/>
  <c r="I76" i="14" l="1"/>
  <c r="J90" i="14"/>
  <c r="G109" i="14"/>
  <c r="K75" i="14"/>
  <c r="H169" i="14"/>
  <c r="J76" i="5"/>
  <c r="C76" i="10"/>
  <c r="C76" i="9"/>
  <c r="C76" i="8"/>
  <c r="A109" i="10"/>
  <c r="A109" i="9"/>
  <c r="A109" i="8"/>
  <c r="E75" i="10"/>
  <c r="E75" i="9"/>
  <c r="E75" i="8"/>
  <c r="B169" i="10"/>
  <c r="B169" i="9"/>
  <c r="B169" i="8"/>
  <c r="D90" i="10"/>
  <c r="D90" i="9"/>
  <c r="D90" i="8"/>
  <c r="G170" i="5"/>
  <c r="H77" i="5"/>
  <c r="I91" i="5"/>
  <c r="F110" i="5"/>
  <c r="G110" i="14" l="1"/>
  <c r="J91" i="14"/>
  <c r="I77" i="14"/>
  <c r="H170" i="14"/>
  <c r="K76" i="14"/>
  <c r="A110" i="10"/>
  <c r="A110" i="9"/>
  <c r="A110" i="8"/>
  <c r="D91" i="10"/>
  <c r="D91" i="9"/>
  <c r="D91" i="8"/>
  <c r="J77" i="5"/>
  <c r="C77" i="10"/>
  <c r="C77" i="9"/>
  <c r="C77" i="8"/>
  <c r="B170" i="10"/>
  <c r="B170" i="9"/>
  <c r="B170" i="8"/>
  <c r="E76" i="10"/>
  <c r="E76" i="9"/>
  <c r="E76" i="8"/>
  <c r="F111" i="5"/>
  <c r="I92" i="5"/>
  <c r="H78" i="5"/>
  <c r="G171" i="5"/>
  <c r="K77" i="14" l="1"/>
  <c r="J92" i="14"/>
  <c r="G111" i="14"/>
  <c r="H171" i="14"/>
  <c r="I78" i="14"/>
  <c r="E77" i="10"/>
  <c r="E77" i="9"/>
  <c r="E77" i="8"/>
  <c r="D92" i="10"/>
  <c r="D92" i="9"/>
  <c r="D92" i="8"/>
  <c r="A111" i="10"/>
  <c r="A111" i="9"/>
  <c r="A111" i="8"/>
  <c r="B171" i="10"/>
  <c r="B171" i="9"/>
  <c r="B171" i="8"/>
  <c r="J78" i="5"/>
  <c r="C78" i="10"/>
  <c r="C78" i="9"/>
  <c r="C78" i="8"/>
  <c r="G172" i="5"/>
  <c r="H79" i="5"/>
  <c r="I93" i="5"/>
  <c r="F112" i="5"/>
  <c r="G112" i="14" l="1"/>
  <c r="J93" i="14"/>
  <c r="I79" i="14"/>
  <c r="H172" i="14"/>
  <c r="K78" i="14"/>
  <c r="J79" i="5"/>
  <c r="C79" i="10"/>
  <c r="C79" i="9"/>
  <c r="C79" i="8"/>
  <c r="B172" i="10"/>
  <c r="B172" i="9"/>
  <c r="B172" i="8"/>
  <c r="A112" i="10"/>
  <c r="A112" i="9"/>
  <c r="A112" i="8"/>
  <c r="D93" i="10"/>
  <c r="D93" i="9"/>
  <c r="D93" i="8"/>
  <c r="E78" i="10"/>
  <c r="E78" i="9"/>
  <c r="E78" i="8"/>
  <c r="F113" i="5"/>
  <c r="I94" i="5"/>
  <c r="H80" i="5"/>
  <c r="G173" i="5"/>
  <c r="J94" i="14" l="1"/>
  <c r="G113" i="14"/>
  <c r="K79" i="14"/>
  <c r="H173" i="14"/>
  <c r="I80" i="14"/>
  <c r="J80" i="5"/>
  <c r="C80" i="10"/>
  <c r="C80" i="9"/>
  <c r="C80" i="8"/>
  <c r="D94" i="10"/>
  <c r="D94" i="9"/>
  <c r="D94" i="8"/>
  <c r="A113" i="10"/>
  <c r="A113" i="9"/>
  <c r="A113" i="8"/>
  <c r="E79" i="10"/>
  <c r="E79" i="9"/>
  <c r="E79" i="8"/>
  <c r="B173" i="10"/>
  <c r="B173" i="9"/>
  <c r="B173" i="8"/>
  <c r="H81" i="5"/>
  <c r="G174" i="5"/>
  <c r="I95" i="5"/>
  <c r="F114" i="5"/>
  <c r="G114" i="14" l="1"/>
  <c r="J95" i="14"/>
  <c r="H174" i="14"/>
  <c r="I81" i="14"/>
  <c r="K80" i="14"/>
  <c r="B174" i="10"/>
  <c r="B174" i="9"/>
  <c r="B174" i="8"/>
  <c r="J81" i="5"/>
  <c r="C81" i="10"/>
  <c r="C81" i="9"/>
  <c r="C81" i="8"/>
  <c r="E80" i="10"/>
  <c r="E80" i="9"/>
  <c r="E80" i="8"/>
  <c r="A114" i="10"/>
  <c r="A114" i="9"/>
  <c r="A114" i="8"/>
  <c r="D95" i="10"/>
  <c r="D95" i="9"/>
  <c r="D95" i="8"/>
  <c r="F115" i="5"/>
  <c r="I96" i="5"/>
  <c r="G175" i="5"/>
  <c r="H82" i="5"/>
  <c r="I82" i="14" l="1"/>
  <c r="J96" i="14"/>
  <c r="G115" i="14"/>
  <c r="K81" i="14"/>
  <c r="H175" i="14"/>
  <c r="B175" i="10"/>
  <c r="B175" i="9"/>
  <c r="B175" i="8"/>
  <c r="D96" i="10"/>
  <c r="D96" i="9"/>
  <c r="D96" i="8"/>
  <c r="J82" i="5"/>
  <c r="C82" i="10"/>
  <c r="C82" i="9"/>
  <c r="C82" i="8"/>
  <c r="E81" i="10"/>
  <c r="E81" i="9"/>
  <c r="E81" i="8"/>
  <c r="A115" i="10"/>
  <c r="A115" i="9"/>
  <c r="A115" i="8"/>
  <c r="G176" i="5"/>
  <c r="H83" i="5"/>
  <c r="I97" i="5"/>
  <c r="F116" i="5"/>
  <c r="G116" i="14" l="1"/>
  <c r="J97" i="14"/>
  <c r="K82" i="14"/>
  <c r="I83" i="14"/>
  <c r="H176" i="14"/>
  <c r="E82" i="10"/>
  <c r="E82" i="9"/>
  <c r="E82" i="8"/>
  <c r="J83" i="5"/>
  <c r="C83" i="10"/>
  <c r="C83" i="9"/>
  <c r="C83" i="8"/>
  <c r="B176" i="10"/>
  <c r="B176" i="9"/>
  <c r="B176" i="8"/>
  <c r="A116" i="10"/>
  <c r="A116" i="9"/>
  <c r="A116" i="8"/>
  <c r="D97" i="10"/>
  <c r="D97" i="9"/>
  <c r="D97" i="8"/>
  <c r="F117" i="5"/>
  <c r="I98" i="5"/>
  <c r="H84" i="5"/>
  <c r="G177" i="5"/>
  <c r="H177" i="14" l="1"/>
  <c r="K83" i="14"/>
  <c r="I84" i="14"/>
  <c r="J98" i="14"/>
  <c r="G117" i="14"/>
  <c r="D98" i="10"/>
  <c r="D98" i="9"/>
  <c r="D98" i="8"/>
  <c r="A117" i="10"/>
  <c r="A117" i="9"/>
  <c r="A117" i="8"/>
  <c r="B177" i="10"/>
  <c r="B177" i="9"/>
  <c r="B177" i="8"/>
  <c r="E83" i="10"/>
  <c r="E83" i="9"/>
  <c r="E83" i="8"/>
  <c r="J84" i="5"/>
  <c r="C84" i="10"/>
  <c r="C84" i="9"/>
  <c r="C84" i="8"/>
  <c r="F118" i="5"/>
  <c r="I99" i="5"/>
  <c r="G178" i="5"/>
  <c r="H85" i="5"/>
  <c r="I85" i="14" l="1"/>
  <c r="H178" i="14"/>
  <c r="J99" i="14"/>
  <c r="G118" i="14"/>
  <c r="K84" i="14"/>
  <c r="D99" i="10"/>
  <c r="D99" i="9"/>
  <c r="D99" i="8"/>
  <c r="E84" i="10"/>
  <c r="E84" i="9"/>
  <c r="E84" i="8"/>
  <c r="J85" i="5"/>
  <c r="C85" i="10"/>
  <c r="C85" i="9"/>
  <c r="C85" i="8"/>
  <c r="B178" i="10"/>
  <c r="B178" i="9"/>
  <c r="B178" i="8"/>
  <c r="A118" i="10"/>
  <c r="A118" i="9"/>
  <c r="A118" i="8"/>
  <c r="H86" i="5"/>
  <c r="G179" i="5"/>
  <c r="I100" i="5"/>
  <c r="F119" i="5"/>
  <c r="J100" i="14" l="1"/>
  <c r="H179" i="14"/>
  <c r="I86" i="14"/>
  <c r="G119" i="14"/>
  <c r="K85" i="14"/>
  <c r="D100" i="10"/>
  <c r="D100" i="9"/>
  <c r="D100" i="8"/>
  <c r="E85" i="10"/>
  <c r="E85" i="9"/>
  <c r="E85" i="8"/>
  <c r="B179" i="10"/>
  <c r="B179" i="9"/>
  <c r="B179" i="8"/>
  <c r="J86" i="5"/>
  <c r="C86" i="10"/>
  <c r="C86" i="9"/>
  <c r="C86" i="8"/>
  <c r="A119" i="10"/>
  <c r="A119" i="9"/>
  <c r="A119" i="8"/>
  <c r="F120" i="5"/>
  <c r="I101" i="5"/>
  <c r="G180" i="5"/>
  <c r="H88" i="5"/>
  <c r="H87" i="5"/>
  <c r="I88" i="14" l="1"/>
  <c r="H180" i="14"/>
  <c r="J101" i="14"/>
  <c r="K86" i="14"/>
  <c r="I87" i="14"/>
  <c r="G120" i="14"/>
  <c r="J87" i="5"/>
  <c r="C87" i="10"/>
  <c r="C87" i="9"/>
  <c r="C87" i="8"/>
  <c r="A120" i="10"/>
  <c r="A120" i="9"/>
  <c r="A120" i="8"/>
  <c r="J88" i="5"/>
  <c r="C88" i="10"/>
  <c r="C88" i="9"/>
  <c r="C88" i="8"/>
  <c r="E86" i="10"/>
  <c r="E86" i="9"/>
  <c r="E86" i="8"/>
  <c r="B180" i="10"/>
  <c r="B180" i="9"/>
  <c r="B180" i="8"/>
  <c r="D101" i="10"/>
  <c r="D101" i="9"/>
  <c r="D101" i="8"/>
  <c r="I102" i="5"/>
  <c r="F121" i="5"/>
  <c r="G181" i="5"/>
  <c r="H89" i="5"/>
  <c r="I89" i="14" l="1"/>
  <c r="K88" i="14"/>
  <c r="H181" i="14"/>
  <c r="G121" i="14"/>
  <c r="J102" i="14"/>
  <c r="K87" i="14"/>
  <c r="B181" i="10"/>
  <c r="B181" i="9"/>
  <c r="B181" i="8"/>
  <c r="D102" i="10"/>
  <c r="D102" i="9"/>
  <c r="D102" i="8"/>
  <c r="J89" i="5"/>
  <c r="C89" i="10"/>
  <c r="C89" i="9"/>
  <c r="C89" i="8"/>
  <c r="E88" i="10"/>
  <c r="E88" i="9"/>
  <c r="E88" i="8"/>
  <c r="A121" i="10"/>
  <c r="A121" i="9"/>
  <c r="A121" i="8"/>
  <c r="E87" i="10"/>
  <c r="E87" i="9"/>
  <c r="E87" i="8"/>
  <c r="F122" i="5"/>
  <c r="H90" i="5"/>
  <c r="G182" i="5"/>
  <c r="I103" i="5"/>
  <c r="J103" i="14" l="1"/>
  <c r="K89" i="14"/>
  <c r="G122" i="14"/>
  <c r="H182" i="14"/>
  <c r="I90" i="14"/>
  <c r="E89" i="10"/>
  <c r="E89" i="9"/>
  <c r="E89" i="8"/>
  <c r="B182" i="10"/>
  <c r="B182" i="9"/>
  <c r="B182" i="8"/>
  <c r="J90" i="5"/>
  <c r="C90" i="10"/>
  <c r="C90" i="9"/>
  <c r="C90" i="8"/>
  <c r="A122" i="10"/>
  <c r="A122" i="9"/>
  <c r="A122" i="8"/>
  <c r="D103" i="10"/>
  <c r="D103" i="9"/>
  <c r="D103" i="8"/>
  <c r="I104" i="5"/>
  <c r="G183" i="5"/>
  <c r="H91" i="5"/>
  <c r="F123" i="5"/>
  <c r="G123" i="14" l="1"/>
  <c r="I91" i="14"/>
  <c r="K90" i="14"/>
  <c r="H183" i="14"/>
  <c r="J104" i="14"/>
  <c r="E90" i="10"/>
  <c r="E90" i="9"/>
  <c r="E90" i="8"/>
  <c r="B183" i="10"/>
  <c r="B183" i="9"/>
  <c r="B183" i="8"/>
  <c r="D104" i="10"/>
  <c r="D104" i="9"/>
  <c r="D104" i="8"/>
  <c r="A123" i="10"/>
  <c r="A123" i="9"/>
  <c r="A123" i="8"/>
  <c r="J91" i="5"/>
  <c r="C91" i="10"/>
  <c r="C91" i="9"/>
  <c r="C91" i="8"/>
  <c r="I105" i="5"/>
  <c r="G184" i="5"/>
  <c r="H92" i="5"/>
  <c r="F124" i="5"/>
  <c r="I92" i="14" l="1"/>
  <c r="H184" i="14"/>
  <c r="J105" i="14"/>
  <c r="K91" i="14"/>
  <c r="G124" i="14"/>
  <c r="B184" i="10"/>
  <c r="B184" i="9"/>
  <c r="B184" i="8"/>
  <c r="E91" i="10"/>
  <c r="E91" i="9"/>
  <c r="E91" i="8"/>
  <c r="A124" i="10"/>
  <c r="A124" i="9"/>
  <c r="A124" i="8"/>
  <c r="J92" i="5"/>
  <c r="C92" i="10"/>
  <c r="C92" i="9"/>
  <c r="C92" i="8"/>
  <c r="D105" i="10"/>
  <c r="D105" i="9"/>
  <c r="D105" i="8"/>
  <c r="F125" i="5"/>
  <c r="G185" i="5"/>
  <c r="H93" i="5"/>
  <c r="I106" i="5"/>
  <c r="J106" i="14" l="1"/>
  <c r="I93" i="14"/>
  <c r="H185" i="14"/>
  <c r="K92" i="14"/>
  <c r="G125" i="14"/>
  <c r="E92" i="10"/>
  <c r="E92" i="9"/>
  <c r="E92" i="8"/>
  <c r="A125" i="10"/>
  <c r="A125" i="9"/>
  <c r="A125" i="8"/>
  <c r="D106" i="10"/>
  <c r="D106" i="9"/>
  <c r="D106" i="8"/>
  <c r="B185" i="10"/>
  <c r="B185" i="9"/>
  <c r="B185" i="8"/>
  <c r="J93" i="5"/>
  <c r="C93" i="10"/>
  <c r="C93" i="9"/>
  <c r="C93" i="8"/>
  <c r="I107" i="5"/>
  <c r="H94" i="5"/>
  <c r="G186" i="5"/>
  <c r="F126" i="5"/>
  <c r="I94" i="14" l="1"/>
  <c r="J107" i="14"/>
  <c r="K93" i="14"/>
  <c r="G126" i="14"/>
  <c r="H186" i="14"/>
  <c r="J94" i="5"/>
  <c r="C94" i="10"/>
  <c r="C94" i="9"/>
  <c r="C94" i="8"/>
  <c r="D107" i="10"/>
  <c r="D107" i="9"/>
  <c r="D107" i="8"/>
  <c r="A126" i="10"/>
  <c r="A126" i="9"/>
  <c r="A126" i="8"/>
  <c r="B186" i="10"/>
  <c r="B186" i="9"/>
  <c r="B186" i="8"/>
  <c r="E93" i="10"/>
  <c r="E93" i="9"/>
  <c r="E93" i="8"/>
  <c r="F127" i="5"/>
  <c r="G187" i="5"/>
  <c r="H95" i="5"/>
  <c r="I108" i="5"/>
  <c r="H187" i="14" l="1"/>
  <c r="G127" i="14"/>
  <c r="K94" i="14"/>
  <c r="J108" i="14"/>
  <c r="I95" i="14"/>
  <c r="A127" i="10"/>
  <c r="A127" i="9"/>
  <c r="A127" i="8"/>
  <c r="E94" i="10"/>
  <c r="E94" i="9"/>
  <c r="E94" i="8"/>
  <c r="D108" i="10"/>
  <c r="D108" i="9"/>
  <c r="D108" i="8"/>
  <c r="B187" i="10"/>
  <c r="B187" i="9"/>
  <c r="B187" i="8"/>
  <c r="J95" i="5"/>
  <c r="C95" i="10"/>
  <c r="C95" i="9"/>
  <c r="C95" i="8"/>
  <c r="I109" i="5"/>
  <c r="H96" i="5"/>
  <c r="G188" i="5"/>
  <c r="F128" i="5"/>
  <c r="H188" i="14" l="1"/>
  <c r="I96" i="14"/>
  <c r="J109" i="14"/>
  <c r="K95" i="14"/>
  <c r="G128" i="14"/>
  <c r="J96" i="5"/>
  <c r="C96" i="10"/>
  <c r="C96" i="9"/>
  <c r="C96" i="8"/>
  <c r="D109" i="10"/>
  <c r="D109" i="9"/>
  <c r="D109" i="8"/>
  <c r="E95" i="10"/>
  <c r="E95" i="9"/>
  <c r="E95" i="8"/>
  <c r="A128" i="10"/>
  <c r="A128" i="9"/>
  <c r="A128" i="8"/>
  <c r="B188" i="10"/>
  <c r="B188" i="9"/>
  <c r="B188" i="8"/>
  <c r="H97" i="5"/>
  <c r="F129" i="5"/>
  <c r="G189" i="5"/>
  <c r="I110" i="5"/>
  <c r="G129" i="14" l="1"/>
  <c r="I97" i="14"/>
  <c r="K96" i="14"/>
  <c r="J110" i="14"/>
  <c r="H189" i="14"/>
  <c r="A129" i="10"/>
  <c r="A129" i="9"/>
  <c r="A129" i="8"/>
  <c r="J97" i="5"/>
  <c r="C97" i="10"/>
  <c r="C97" i="9"/>
  <c r="C97" i="8"/>
  <c r="E96" i="10"/>
  <c r="E96" i="9"/>
  <c r="E96" i="8"/>
  <c r="D110" i="10"/>
  <c r="D110" i="9"/>
  <c r="D110" i="8"/>
  <c r="B189" i="10"/>
  <c r="B189" i="9"/>
  <c r="B189" i="8"/>
  <c r="G190" i="5"/>
  <c r="I111" i="5"/>
  <c r="F130" i="5"/>
  <c r="H98" i="5"/>
  <c r="I98" i="14" l="1"/>
  <c r="G130" i="14"/>
  <c r="J111" i="14"/>
  <c r="H190" i="14"/>
  <c r="K97" i="14"/>
  <c r="J98" i="5"/>
  <c r="C98" i="10"/>
  <c r="C98" i="9"/>
  <c r="C98" i="8"/>
  <c r="E97" i="10"/>
  <c r="E97" i="9"/>
  <c r="E97" i="8"/>
  <c r="A130" i="10"/>
  <c r="A130" i="9"/>
  <c r="A130" i="8"/>
  <c r="D111" i="10"/>
  <c r="D111" i="9"/>
  <c r="D111" i="8"/>
  <c r="B190" i="10"/>
  <c r="B190" i="9"/>
  <c r="B190" i="8"/>
  <c r="I112" i="5"/>
  <c r="H99" i="5"/>
  <c r="G191" i="5"/>
  <c r="F131" i="5"/>
  <c r="G131" i="14" l="1"/>
  <c r="I99" i="14"/>
  <c r="J112" i="14"/>
  <c r="K98" i="14"/>
  <c r="H191" i="14"/>
  <c r="B191" i="10"/>
  <c r="B191" i="9"/>
  <c r="B191" i="8"/>
  <c r="A131" i="10"/>
  <c r="A131" i="9"/>
  <c r="A131" i="8"/>
  <c r="J99" i="5"/>
  <c r="C99" i="10"/>
  <c r="C99" i="9"/>
  <c r="C99" i="8"/>
  <c r="D112" i="10"/>
  <c r="D112" i="9"/>
  <c r="D112" i="8"/>
  <c r="E98" i="10"/>
  <c r="E98" i="9"/>
  <c r="E98" i="8"/>
  <c r="F132" i="5"/>
  <c r="G192" i="5"/>
  <c r="H100" i="5"/>
  <c r="I113" i="5"/>
  <c r="I100" i="14" l="1"/>
  <c r="H192" i="14"/>
  <c r="G132" i="14"/>
  <c r="J113" i="14"/>
  <c r="K99" i="14"/>
  <c r="J100" i="5"/>
  <c r="C100" i="10"/>
  <c r="C100" i="9"/>
  <c r="C100" i="8"/>
  <c r="E99" i="10"/>
  <c r="E99" i="9"/>
  <c r="E99" i="8"/>
  <c r="B192" i="10"/>
  <c r="B192" i="9"/>
  <c r="B192" i="8"/>
  <c r="A132" i="10"/>
  <c r="A132" i="9"/>
  <c r="A132" i="8"/>
  <c r="D113" i="10"/>
  <c r="D113" i="9"/>
  <c r="D113" i="8"/>
  <c r="I114" i="5"/>
  <c r="H101" i="5"/>
  <c r="G193" i="5"/>
  <c r="F133" i="5"/>
  <c r="I101" i="14" l="1"/>
  <c r="J114" i="14"/>
  <c r="K100" i="14"/>
  <c r="G133" i="14"/>
  <c r="H193" i="14"/>
  <c r="J101" i="5"/>
  <c r="C101" i="10"/>
  <c r="C101" i="9"/>
  <c r="C101" i="8"/>
  <c r="E100" i="10"/>
  <c r="E100" i="9"/>
  <c r="E100" i="8"/>
  <c r="A133" i="10"/>
  <c r="A133" i="9"/>
  <c r="A133" i="8"/>
  <c r="B193" i="10"/>
  <c r="B193" i="9"/>
  <c r="B193" i="8"/>
  <c r="D114" i="10"/>
  <c r="D114" i="9"/>
  <c r="D114" i="8"/>
  <c r="H102" i="5"/>
  <c r="I115" i="5"/>
  <c r="F134" i="5"/>
  <c r="G194" i="5"/>
  <c r="H194" i="14" l="1"/>
  <c r="G134" i="14"/>
  <c r="J115" i="14"/>
  <c r="I102" i="14"/>
  <c r="K101" i="14"/>
  <c r="A134" i="10"/>
  <c r="A134" i="9"/>
  <c r="A134" i="8"/>
  <c r="B194" i="10"/>
  <c r="B194" i="9"/>
  <c r="B194" i="8"/>
  <c r="D115" i="10"/>
  <c r="D115" i="9"/>
  <c r="D115" i="8"/>
  <c r="J102" i="5"/>
  <c r="C102" i="10"/>
  <c r="C102" i="9"/>
  <c r="C102" i="8"/>
  <c r="E101" i="10"/>
  <c r="E101" i="9"/>
  <c r="E101" i="8"/>
  <c r="G195" i="5"/>
  <c r="F135" i="5"/>
  <c r="I116" i="5"/>
  <c r="H103" i="5"/>
  <c r="G135" i="14" l="1"/>
  <c r="K102" i="14"/>
  <c r="H195" i="14"/>
  <c r="I103" i="14"/>
  <c r="J116" i="14"/>
  <c r="A135" i="10"/>
  <c r="A135" i="9"/>
  <c r="A135" i="8"/>
  <c r="J103" i="5"/>
  <c r="C103" i="10"/>
  <c r="C103" i="9"/>
  <c r="C103" i="8"/>
  <c r="D116" i="10"/>
  <c r="D116" i="9"/>
  <c r="D116" i="8"/>
  <c r="E102" i="10"/>
  <c r="E102" i="9"/>
  <c r="E102" i="8"/>
  <c r="B195" i="10"/>
  <c r="B195" i="9"/>
  <c r="B195" i="8"/>
  <c r="H104" i="5"/>
  <c r="I117" i="5"/>
  <c r="F136" i="5"/>
  <c r="G196" i="5"/>
  <c r="J117" i="14" l="1"/>
  <c r="I104" i="14"/>
  <c r="H196" i="14"/>
  <c r="K103" i="14"/>
  <c r="G136" i="14"/>
  <c r="E103" i="10"/>
  <c r="E103" i="9"/>
  <c r="E103" i="8"/>
  <c r="D117" i="10"/>
  <c r="D117" i="9"/>
  <c r="D117" i="8"/>
  <c r="J104" i="5"/>
  <c r="C104" i="10"/>
  <c r="C104" i="9"/>
  <c r="C104" i="8"/>
  <c r="B196" i="10"/>
  <c r="B196" i="9"/>
  <c r="B196" i="8"/>
  <c r="A136" i="10"/>
  <c r="A136" i="9"/>
  <c r="A136" i="8"/>
  <c r="G197" i="5"/>
  <c r="F137" i="5"/>
  <c r="I118" i="5"/>
  <c r="H105" i="5"/>
  <c r="J118" i="14" l="1"/>
  <c r="K104" i="14"/>
  <c r="G137" i="14"/>
  <c r="H197" i="14"/>
  <c r="I105" i="14"/>
  <c r="A137" i="10"/>
  <c r="A137" i="9"/>
  <c r="A137" i="8"/>
  <c r="B197" i="10"/>
  <c r="B197" i="9"/>
  <c r="B197" i="8"/>
  <c r="J105" i="5"/>
  <c r="C105" i="10"/>
  <c r="C105" i="9"/>
  <c r="C105" i="8"/>
  <c r="D118" i="10"/>
  <c r="D118" i="9"/>
  <c r="D118" i="8"/>
  <c r="E104" i="10"/>
  <c r="E104" i="9"/>
  <c r="E104" i="8"/>
  <c r="F138" i="5"/>
  <c r="G198" i="5"/>
  <c r="H106" i="5"/>
  <c r="I119" i="5"/>
  <c r="J119" i="14" l="1"/>
  <c r="I106" i="14"/>
  <c r="K105" i="14"/>
  <c r="H198" i="14"/>
  <c r="G138" i="14"/>
  <c r="D119" i="10"/>
  <c r="D119" i="9"/>
  <c r="D119" i="8"/>
  <c r="J106" i="5"/>
  <c r="C106" i="10"/>
  <c r="C106" i="9"/>
  <c r="C106" i="8"/>
  <c r="E105" i="10"/>
  <c r="E105" i="9"/>
  <c r="E105" i="8"/>
  <c r="B198" i="10"/>
  <c r="B198" i="9"/>
  <c r="B198" i="8"/>
  <c r="A138" i="10"/>
  <c r="A138" i="9"/>
  <c r="A138" i="8"/>
  <c r="H107" i="5"/>
  <c r="I120" i="5"/>
  <c r="G199" i="5"/>
  <c r="F139" i="5"/>
  <c r="G139" i="14" l="1"/>
  <c r="K106" i="14"/>
  <c r="H199" i="14"/>
  <c r="J120" i="14"/>
  <c r="I107" i="14"/>
  <c r="J107" i="5"/>
  <c r="C107" i="10"/>
  <c r="C107" i="9"/>
  <c r="C107" i="8"/>
  <c r="E106" i="10"/>
  <c r="E106" i="9"/>
  <c r="E106" i="8"/>
  <c r="B199" i="10"/>
  <c r="B199" i="9"/>
  <c r="B199" i="8"/>
  <c r="A139" i="10"/>
  <c r="A139" i="9"/>
  <c r="A139" i="8"/>
  <c r="D120" i="10"/>
  <c r="D120" i="9"/>
  <c r="D120" i="8"/>
  <c r="H108" i="5"/>
  <c r="F140" i="5"/>
  <c r="G200" i="5"/>
  <c r="I121" i="5"/>
  <c r="J121" i="14" l="1"/>
  <c r="H200" i="14"/>
  <c r="G140" i="14"/>
  <c r="I108" i="14"/>
  <c r="K107" i="14"/>
  <c r="B200" i="10"/>
  <c r="B200" i="9"/>
  <c r="B200" i="8"/>
  <c r="A140" i="10"/>
  <c r="A140" i="9"/>
  <c r="A140" i="8"/>
  <c r="J108" i="5"/>
  <c r="C108" i="10"/>
  <c r="C108" i="9"/>
  <c r="C108" i="8"/>
  <c r="E107" i="10"/>
  <c r="E107" i="9"/>
  <c r="E107" i="8"/>
  <c r="D121" i="10"/>
  <c r="D121" i="9"/>
  <c r="D121" i="8"/>
  <c r="F141" i="5"/>
  <c r="I122" i="5"/>
  <c r="G201" i="5"/>
  <c r="H109" i="5"/>
  <c r="I109" i="14" l="1"/>
  <c r="K108" i="14"/>
  <c r="J122" i="14"/>
  <c r="G141" i="14"/>
  <c r="H201" i="14"/>
  <c r="A141" i="10"/>
  <c r="A141" i="9"/>
  <c r="A141" i="8"/>
  <c r="J109" i="5"/>
  <c r="C109" i="10"/>
  <c r="C109" i="9"/>
  <c r="C109" i="8"/>
  <c r="B201" i="10"/>
  <c r="B201" i="9"/>
  <c r="B201" i="8"/>
  <c r="E108" i="10"/>
  <c r="E108" i="9"/>
  <c r="E108" i="8"/>
  <c r="D122" i="10"/>
  <c r="D122" i="9"/>
  <c r="D122" i="8"/>
  <c r="G202" i="5"/>
  <c r="H110" i="5"/>
  <c r="I123" i="5"/>
  <c r="F142" i="5"/>
  <c r="G142" i="14" l="1"/>
  <c r="K109" i="14"/>
  <c r="J123" i="14"/>
  <c r="I110" i="14"/>
  <c r="H202" i="14"/>
  <c r="J110" i="5"/>
  <c r="C110" i="10"/>
  <c r="C110" i="9"/>
  <c r="C110" i="8"/>
  <c r="B202" i="10"/>
  <c r="B202" i="9"/>
  <c r="B202" i="8"/>
  <c r="A142" i="10"/>
  <c r="A142" i="9"/>
  <c r="A142" i="8"/>
  <c r="E109" i="10"/>
  <c r="E109" i="9"/>
  <c r="E109" i="8"/>
  <c r="D123" i="10"/>
  <c r="D123" i="9"/>
  <c r="D123" i="8"/>
  <c r="F143" i="5"/>
  <c r="I124" i="5"/>
  <c r="H111" i="5"/>
  <c r="G203" i="5"/>
  <c r="I111" i="14" l="1"/>
  <c r="J124" i="14"/>
  <c r="G143" i="14"/>
  <c r="K110" i="14"/>
  <c r="H203" i="14"/>
  <c r="A143" i="10"/>
  <c r="A143" i="9"/>
  <c r="A143" i="8"/>
  <c r="E110" i="10"/>
  <c r="E110" i="9"/>
  <c r="E110" i="8"/>
  <c r="B203" i="10"/>
  <c r="B203" i="9"/>
  <c r="B203" i="8"/>
  <c r="D124" i="10"/>
  <c r="D124" i="9"/>
  <c r="D124" i="8"/>
  <c r="J111" i="5"/>
  <c r="C111" i="10"/>
  <c r="C111" i="9"/>
  <c r="C111" i="8"/>
  <c r="G204" i="5"/>
  <c r="H112" i="5"/>
  <c r="I125" i="5"/>
  <c r="F144" i="5"/>
  <c r="H204" i="14" l="1"/>
  <c r="K111" i="14"/>
  <c r="I112" i="14"/>
  <c r="G144" i="14"/>
  <c r="J125" i="14"/>
  <c r="E111" i="10"/>
  <c r="E111" i="9"/>
  <c r="E111" i="8"/>
  <c r="A144" i="10"/>
  <c r="A144" i="9"/>
  <c r="A144" i="8"/>
  <c r="J112" i="5"/>
  <c r="C112" i="10"/>
  <c r="C112" i="9"/>
  <c r="C112" i="8"/>
  <c r="B204" i="10"/>
  <c r="B204" i="9"/>
  <c r="B204" i="8"/>
  <c r="D125" i="10"/>
  <c r="D125" i="9"/>
  <c r="D125" i="8"/>
  <c r="H113" i="5"/>
  <c r="G205" i="5"/>
  <c r="F145" i="5"/>
  <c r="I126" i="5"/>
  <c r="K112" i="14" l="1"/>
  <c r="H205" i="14"/>
  <c r="I113" i="14"/>
  <c r="J126" i="14"/>
  <c r="G145" i="14"/>
  <c r="E112" i="10"/>
  <c r="E112" i="9"/>
  <c r="E112" i="8"/>
  <c r="B205" i="10"/>
  <c r="B205" i="9"/>
  <c r="B205" i="8"/>
  <c r="J113" i="5"/>
  <c r="C113" i="10"/>
  <c r="C113" i="9"/>
  <c r="C113" i="8"/>
  <c r="D126" i="10"/>
  <c r="D126" i="9"/>
  <c r="D126" i="8"/>
  <c r="A145" i="10"/>
  <c r="A145" i="9"/>
  <c r="A145" i="8"/>
  <c r="I127" i="5"/>
  <c r="F146" i="5"/>
  <c r="G206" i="5"/>
  <c r="H114" i="5"/>
  <c r="J127" i="14" l="1"/>
  <c r="G146" i="14"/>
  <c r="I114" i="14"/>
  <c r="H206" i="14"/>
  <c r="K113" i="14"/>
  <c r="A146" i="10"/>
  <c r="A146" i="9"/>
  <c r="A146" i="8"/>
  <c r="D127" i="10"/>
  <c r="D127" i="9"/>
  <c r="D127" i="8"/>
  <c r="J114" i="5"/>
  <c r="C114" i="10"/>
  <c r="C114" i="9"/>
  <c r="C114" i="8"/>
  <c r="B206" i="10"/>
  <c r="B206" i="9"/>
  <c r="B206" i="8"/>
  <c r="E113" i="10"/>
  <c r="E113" i="9"/>
  <c r="E113" i="8"/>
  <c r="H115" i="5"/>
  <c r="G207" i="5"/>
  <c r="F147" i="5"/>
  <c r="I128" i="5"/>
  <c r="K114" i="14" l="1"/>
  <c r="H207" i="14"/>
  <c r="I115" i="14"/>
  <c r="J128" i="14"/>
  <c r="G147" i="14"/>
  <c r="E114" i="10"/>
  <c r="E114" i="9"/>
  <c r="E114" i="8"/>
  <c r="B207" i="10"/>
  <c r="B207" i="9"/>
  <c r="B207" i="8"/>
  <c r="J115" i="5"/>
  <c r="C115" i="10"/>
  <c r="C115" i="9"/>
  <c r="C115" i="8"/>
  <c r="D128" i="10"/>
  <c r="D128" i="9"/>
  <c r="D128" i="8"/>
  <c r="A147" i="10"/>
  <c r="A147" i="9"/>
  <c r="A147" i="8"/>
  <c r="I129" i="5"/>
  <c r="F148" i="5"/>
  <c r="G208" i="5"/>
  <c r="H116" i="5"/>
  <c r="H208" i="14" l="1"/>
  <c r="G148" i="14"/>
  <c r="J129" i="14"/>
  <c r="I116" i="14"/>
  <c r="K115" i="14"/>
  <c r="E115" i="10"/>
  <c r="E115" i="9"/>
  <c r="E115" i="8"/>
  <c r="D129" i="10"/>
  <c r="D129" i="9"/>
  <c r="D129" i="8"/>
  <c r="J116" i="5"/>
  <c r="C116" i="10"/>
  <c r="C116" i="9"/>
  <c r="C116" i="8"/>
  <c r="B208" i="10"/>
  <c r="B208" i="9"/>
  <c r="B208" i="8"/>
  <c r="A148" i="10"/>
  <c r="A148" i="9"/>
  <c r="A148" i="8"/>
  <c r="F149" i="5"/>
  <c r="I130" i="5"/>
  <c r="H117" i="5"/>
  <c r="G209" i="5"/>
  <c r="I117" i="14" l="1"/>
  <c r="J130" i="14"/>
  <c r="G149" i="14"/>
  <c r="H209" i="14"/>
  <c r="K116" i="14"/>
  <c r="E116" i="10"/>
  <c r="E116" i="9"/>
  <c r="E116" i="8"/>
  <c r="B209" i="10"/>
  <c r="B209" i="9"/>
  <c r="B209" i="8"/>
  <c r="J117" i="5"/>
  <c r="C117" i="10"/>
  <c r="C117" i="9"/>
  <c r="C117" i="8"/>
  <c r="D130" i="10"/>
  <c r="D130" i="9"/>
  <c r="D130" i="8"/>
  <c r="A149" i="10"/>
  <c r="A149" i="9"/>
  <c r="A149" i="8"/>
  <c r="G210" i="5"/>
  <c r="I131" i="5"/>
  <c r="H118" i="5"/>
  <c r="F150" i="5"/>
  <c r="G150" i="14" l="1"/>
  <c r="I118" i="14"/>
  <c r="K117" i="14"/>
  <c r="J131" i="14"/>
  <c r="H210" i="14"/>
  <c r="E117" i="10"/>
  <c r="E117" i="9"/>
  <c r="E117" i="8"/>
  <c r="D131" i="10"/>
  <c r="D131" i="9"/>
  <c r="D131" i="8"/>
  <c r="B210" i="10"/>
  <c r="B210" i="9"/>
  <c r="B210" i="8"/>
  <c r="A150" i="10"/>
  <c r="A150" i="9"/>
  <c r="A150" i="8"/>
  <c r="J118" i="5"/>
  <c r="C118" i="10"/>
  <c r="C118" i="9"/>
  <c r="C118" i="8"/>
  <c r="I132" i="5"/>
  <c r="G211" i="5"/>
  <c r="F151" i="5"/>
  <c r="H119" i="5"/>
  <c r="G151" i="14" l="1"/>
  <c r="H211" i="14"/>
  <c r="J132" i="14"/>
  <c r="K118" i="14"/>
  <c r="I119" i="14"/>
  <c r="B211" i="10"/>
  <c r="B211" i="9"/>
  <c r="B211" i="8"/>
  <c r="D132" i="10"/>
  <c r="D132" i="9"/>
  <c r="D132" i="8"/>
  <c r="E118" i="10"/>
  <c r="E118" i="9"/>
  <c r="E118" i="8"/>
  <c r="J119" i="5"/>
  <c r="C119" i="10"/>
  <c r="C119" i="9"/>
  <c r="C119" i="8"/>
  <c r="A151" i="10"/>
  <c r="A151" i="9"/>
  <c r="A151" i="8"/>
  <c r="G212" i="5"/>
  <c r="I133" i="5"/>
  <c r="H120" i="5"/>
  <c r="F152" i="5"/>
  <c r="G152" i="14" l="1"/>
  <c r="I120" i="14"/>
  <c r="J133" i="14"/>
  <c r="K119" i="14"/>
  <c r="H212" i="14"/>
  <c r="E119" i="10"/>
  <c r="E119" i="9"/>
  <c r="E119" i="8"/>
  <c r="B212" i="10"/>
  <c r="B212" i="9"/>
  <c r="B212" i="8"/>
  <c r="A152" i="10"/>
  <c r="A152" i="9"/>
  <c r="A152" i="8"/>
  <c r="J120" i="5"/>
  <c r="C120" i="10"/>
  <c r="C120" i="9"/>
  <c r="C120" i="8"/>
  <c r="D133" i="10"/>
  <c r="D133" i="9"/>
  <c r="D133" i="8"/>
  <c r="F153" i="5"/>
  <c r="H121" i="5"/>
  <c r="I134" i="5"/>
  <c r="G213" i="5"/>
  <c r="H213" i="14" l="1"/>
  <c r="J134" i="14"/>
  <c r="I121" i="14"/>
  <c r="K120" i="14"/>
  <c r="G153" i="14"/>
  <c r="J121" i="5"/>
  <c r="C121" i="10"/>
  <c r="C121" i="9"/>
  <c r="C121" i="8"/>
  <c r="B213" i="10"/>
  <c r="B213" i="9"/>
  <c r="B213" i="8"/>
  <c r="E120" i="10"/>
  <c r="E120" i="9"/>
  <c r="E120" i="8"/>
  <c r="A153" i="10"/>
  <c r="A153" i="9"/>
  <c r="A153" i="8"/>
  <c r="D134" i="10"/>
  <c r="D134" i="9"/>
  <c r="D134" i="8"/>
  <c r="G214" i="5"/>
  <c r="I135" i="5"/>
  <c r="H122" i="5"/>
  <c r="F154" i="5"/>
  <c r="G154" i="14" l="1"/>
  <c r="I122" i="14"/>
  <c r="J135" i="14"/>
  <c r="H214" i="14"/>
  <c r="K121" i="14"/>
  <c r="D135" i="10"/>
  <c r="D135" i="9"/>
  <c r="D135" i="8"/>
  <c r="B214" i="10"/>
  <c r="B214" i="9"/>
  <c r="B214" i="8"/>
  <c r="E121" i="10"/>
  <c r="E121" i="9"/>
  <c r="E121" i="8"/>
  <c r="A154" i="10"/>
  <c r="A154" i="9"/>
  <c r="A154" i="8"/>
  <c r="J122" i="5"/>
  <c r="C122" i="10"/>
  <c r="C122" i="9"/>
  <c r="C122" i="8"/>
  <c r="I136" i="5"/>
  <c r="F155" i="5"/>
  <c r="H123" i="5"/>
  <c r="G215" i="5"/>
  <c r="H215" i="14" l="1"/>
  <c r="G155" i="14"/>
  <c r="J136" i="14"/>
  <c r="K122" i="14"/>
  <c r="I123" i="14"/>
  <c r="E122" i="10"/>
  <c r="E122" i="9"/>
  <c r="E122" i="8"/>
  <c r="B215" i="10"/>
  <c r="B215" i="9"/>
  <c r="B215" i="8"/>
  <c r="J123" i="5"/>
  <c r="C123" i="10"/>
  <c r="C123" i="9"/>
  <c r="C123" i="8"/>
  <c r="D136" i="10"/>
  <c r="D136" i="9"/>
  <c r="D136" i="8"/>
  <c r="A155" i="10"/>
  <c r="A155" i="9"/>
  <c r="A155" i="8"/>
  <c r="G216" i="5"/>
  <c r="H124" i="5"/>
  <c r="F156" i="5"/>
  <c r="I137" i="5"/>
  <c r="J137" i="14" l="1"/>
  <c r="G156" i="14"/>
  <c r="K123" i="14"/>
  <c r="I124" i="14"/>
  <c r="H216" i="14"/>
  <c r="D137" i="10"/>
  <c r="D137" i="9"/>
  <c r="D137" i="8"/>
  <c r="A156" i="10"/>
  <c r="A156" i="9"/>
  <c r="A156" i="8"/>
  <c r="E123" i="10"/>
  <c r="E123" i="9"/>
  <c r="E123" i="8"/>
  <c r="J124" i="5"/>
  <c r="C124" i="10"/>
  <c r="C124" i="9"/>
  <c r="C124" i="8"/>
  <c r="B216" i="10"/>
  <c r="B216" i="9"/>
  <c r="B216" i="8"/>
  <c r="I138" i="5"/>
  <c r="H125" i="5"/>
  <c r="F157" i="5"/>
  <c r="G217" i="5"/>
  <c r="H217" i="14" l="1"/>
  <c r="G157" i="14"/>
  <c r="I125" i="14"/>
  <c r="K124" i="14"/>
  <c r="J138" i="14"/>
  <c r="J125" i="5"/>
  <c r="C125" i="10"/>
  <c r="C125" i="9"/>
  <c r="C125" i="8"/>
  <c r="B217" i="10"/>
  <c r="B217" i="9"/>
  <c r="B217" i="8"/>
  <c r="A157" i="10"/>
  <c r="A157" i="9"/>
  <c r="A157" i="8"/>
  <c r="E124" i="10"/>
  <c r="E124" i="9"/>
  <c r="E124" i="8"/>
  <c r="D138" i="10"/>
  <c r="D138" i="9"/>
  <c r="D138" i="8"/>
  <c r="G218" i="5"/>
  <c r="F158" i="5"/>
  <c r="H126" i="5"/>
  <c r="I139" i="5"/>
  <c r="J139" i="14" l="1"/>
  <c r="I126" i="14"/>
  <c r="G158" i="14"/>
  <c r="H218" i="14"/>
  <c r="K125" i="14"/>
  <c r="A158" i="10"/>
  <c r="A158" i="9"/>
  <c r="A158" i="8"/>
  <c r="B218" i="10"/>
  <c r="B218" i="9"/>
  <c r="B218" i="8"/>
  <c r="E125" i="10"/>
  <c r="E125" i="9"/>
  <c r="E125" i="8"/>
  <c r="D139" i="10"/>
  <c r="D139" i="9"/>
  <c r="D139" i="8"/>
  <c r="J126" i="5"/>
  <c r="C126" i="10"/>
  <c r="C126" i="9"/>
  <c r="C126" i="8"/>
  <c r="H127" i="5"/>
  <c r="I140" i="5"/>
  <c r="F159" i="5"/>
  <c r="G219" i="5"/>
  <c r="H219" i="14" l="1"/>
  <c r="G159" i="14"/>
  <c r="J140" i="14"/>
  <c r="I127" i="14"/>
  <c r="K126" i="14"/>
  <c r="E126" i="10"/>
  <c r="E126" i="9"/>
  <c r="E126" i="8"/>
  <c r="B219" i="10"/>
  <c r="B219" i="9"/>
  <c r="B219" i="8"/>
  <c r="A159" i="10"/>
  <c r="A159" i="9"/>
  <c r="A159" i="8"/>
  <c r="D140" i="10"/>
  <c r="D140" i="9"/>
  <c r="D140" i="8"/>
  <c r="J127" i="5"/>
  <c r="C127" i="10"/>
  <c r="C127" i="9"/>
  <c r="C127" i="8"/>
  <c r="G220" i="5"/>
  <c r="F160" i="5"/>
  <c r="I141" i="5"/>
  <c r="H128" i="5"/>
  <c r="I128" i="14" l="1"/>
  <c r="J141" i="14"/>
  <c r="G160" i="14"/>
  <c r="H220" i="14"/>
  <c r="K127" i="14"/>
  <c r="A160" i="10"/>
  <c r="A160" i="9"/>
  <c r="A160" i="8"/>
  <c r="B220" i="10"/>
  <c r="B220" i="9"/>
  <c r="B220" i="8"/>
  <c r="E127" i="10"/>
  <c r="E127" i="9"/>
  <c r="E127" i="8"/>
  <c r="J128" i="5"/>
  <c r="C128" i="10"/>
  <c r="C128" i="9"/>
  <c r="C128" i="8"/>
  <c r="D141" i="10"/>
  <c r="D141" i="9"/>
  <c r="D141" i="8"/>
  <c r="F161" i="5"/>
  <c r="G221" i="5"/>
  <c r="H129" i="5"/>
  <c r="I142" i="5"/>
  <c r="I129" i="14" l="1"/>
  <c r="H221" i="14"/>
  <c r="K128" i="14"/>
  <c r="G161" i="14"/>
  <c r="J142" i="14"/>
  <c r="B221" i="10"/>
  <c r="B221" i="9"/>
  <c r="B221" i="8"/>
  <c r="E128" i="10"/>
  <c r="E128" i="9"/>
  <c r="E128" i="8"/>
  <c r="A161" i="10"/>
  <c r="A161" i="9"/>
  <c r="A161" i="8"/>
  <c r="D142" i="10"/>
  <c r="D142" i="9"/>
  <c r="D142" i="8"/>
  <c r="J129" i="5"/>
  <c r="C129" i="10"/>
  <c r="C129" i="9"/>
  <c r="C129" i="8"/>
  <c r="F162" i="5"/>
  <c r="I143" i="5"/>
  <c r="H130" i="5"/>
  <c r="G222" i="5"/>
  <c r="J143" i="14" l="1"/>
  <c r="G162" i="14"/>
  <c r="K129" i="14"/>
  <c r="H222" i="14"/>
  <c r="I130" i="14"/>
  <c r="D143" i="10"/>
  <c r="D143" i="9"/>
  <c r="D143" i="8"/>
  <c r="E129" i="10"/>
  <c r="E129" i="9"/>
  <c r="E129" i="8"/>
  <c r="B222" i="10"/>
  <c r="B222" i="9"/>
  <c r="B222" i="8"/>
  <c r="J130" i="5"/>
  <c r="C130" i="10"/>
  <c r="C130" i="9"/>
  <c r="C130" i="8"/>
  <c r="A162" i="10"/>
  <c r="A162" i="9"/>
  <c r="A162" i="8"/>
  <c r="I144" i="5"/>
  <c r="F163" i="5"/>
  <c r="G223" i="5"/>
  <c r="H131" i="5"/>
  <c r="H223" i="14" l="1"/>
  <c r="G163" i="14"/>
  <c r="K130" i="14"/>
  <c r="J144" i="14"/>
  <c r="I131" i="14"/>
  <c r="A163" i="10"/>
  <c r="A163" i="9"/>
  <c r="A163" i="8"/>
  <c r="E130" i="10"/>
  <c r="E130" i="9"/>
  <c r="E130" i="8"/>
  <c r="D144" i="10"/>
  <c r="D144" i="9"/>
  <c r="D144" i="8"/>
  <c r="J131" i="5"/>
  <c r="C131" i="10"/>
  <c r="C131" i="9"/>
  <c r="C131" i="8"/>
  <c r="B223" i="10"/>
  <c r="B223" i="9"/>
  <c r="B223" i="8"/>
  <c r="F164" i="5"/>
  <c r="I145" i="5"/>
  <c r="H132" i="5"/>
  <c r="G224" i="5"/>
  <c r="H224" i="14" l="1"/>
  <c r="J145" i="14"/>
  <c r="K131" i="14"/>
  <c r="G164" i="14"/>
  <c r="I132" i="14"/>
  <c r="D145" i="10"/>
  <c r="D145" i="9"/>
  <c r="D145" i="8"/>
  <c r="E131" i="10"/>
  <c r="E131" i="9"/>
  <c r="E131" i="8"/>
  <c r="A164" i="10"/>
  <c r="A164" i="9"/>
  <c r="A164" i="8"/>
  <c r="B224" i="10"/>
  <c r="B224" i="9"/>
  <c r="B224" i="8"/>
  <c r="J132" i="5"/>
  <c r="C132" i="10"/>
  <c r="C132" i="9"/>
  <c r="C132" i="8"/>
  <c r="I146" i="5"/>
  <c r="F165" i="5"/>
  <c r="G225" i="5"/>
  <c r="H133" i="5"/>
  <c r="H225" i="14" l="1"/>
  <c r="G165" i="14"/>
  <c r="J146" i="14"/>
  <c r="K132" i="14"/>
  <c r="I133" i="14"/>
  <c r="E132" i="10"/>
  <c r="E132" i="9"/>
  <c r="E132" i="8"/>
  <c r="J133" i="5"/>
  <c r="C133" i="10"/>
  <c r="C133" i="9"/>
  <c r="C133" i="8"/>
  <c r="B225" i="10"/>
  <c r="B225" i="9"/>
  <c r="B225" i="8"/>
  <c r="A165" i="10"/>
  <c r="A165" i="9"/>
  <c r="A165" i="8"/>
  <c r="D146" i="10"/>
  <c r="D146" i="9"/>
  <c r="D146" i="8"/>
  <c r="F166" i="5"/>
  <c r="I147" i="5"/>
  <c r="H134" i="5"/>
  <c r="G226" i="5"/>
  <c r="H226" i="14" l="1"/>
  <c r="K133" i="14"/>
  <c r="I134" i="14"/>
  <c r="J147" i="14"/>
  <c r="G166" i="14"/>
  <c r="B226" i="10"/>
  <c r="B226" i="9"/>
  <c r="B226" i="8"/>
  <c r="E133" i="10"/>
  <c r="E133" i="9"/>
  <c r="E133" i="8"/>
  <c r="J134" i="5"/>
  <c r="C134" i="10"/>
  <c r="C134" i="9"/>
  <c r="C134" i="8"/>
  <c r="D147" i="10"/>
  <c r="D147" i="9"/>
  <c r="D147" i="8"/>
  <c r="A166" i="10"/>
  <c r="A166" i="9"/>
  <c r="A166" i="8"/>
  <c r="I148" i="5"/>
  <c r="F167" i="5"/>
  <c r="G227" i="5"/>
  <c r="H135" i="5"/>
  <c r="I135" i="14" l="1"/>
  <c r="H227" i="14"/>
  <c r="K134" i="14"/>
  <c r="G167" i="14"/>
  <c r="J148" i="14"/>
  <c r="B227" i="10"/>
  <c r="B227" i="9"/>
  <c r="B227" i="8"/>
  <c r="A167" i="10"/>
  <c r="A167" i="9"/>
  <c r="A167" i="8"/>
  <c r="D148" i="10"/>
  <c r="D148" i="9"/>
  <c r="D148" i="8"/>
  <c r="J135" i="5"/>
  <c r="C135" i="10"/>
  <c r="C135" i="9"/>
  <c r="C135" i="8"/>
  <c r="E134" i="10"/>
  <c r="E134" i="9"/>
  <c r="E134" i="8"/>
  <c r="I149" i="5"/>
  <c r="H136" i="5"/>
  <c r="G228" i="5"/>
  <c r="F168" i="5"/>
  <c r="G168" i="14" l="1"/>
  <c r="H228" i="14"/>
  <c r="I136" i="14"/>
  <c r="K135" i="14"/>
  <c r="J149" i="14"/>
  <c r="J136" i="5"/>
  <c r="C136" i="10"/>
  <c r="C136" i="9"/>
  <c r="C136" i="8"/>
  <c r="E135" i="10"/>
  <c r="E135" i="9"/>
  <c r="E135" i="8"/>
  <c r="D149" i="10"/>
  <c r="D149" i="9"/>
  <c r="D149" i="8"/>
  <c r="A168" i="10"/>
  <c r="A168" i="9"/>
  <c r="A168" i="8"/>
  <c r="B228" i="10"/>
  <c r="B228" i="9"/>
  <c r="B228" i="8"/>
  <c r="F169" i="5"/>
  <c r="G229" i="5"/>
  <c r="H137" i="5"/>
  <c r="I150" i="5"/>
  <c r="I137" i="14" l="1"/>
  <c r="H229" i="14"/>
  <c r="G169" i="14"/>
  <c r="K136" i="14"/>
  <c r="J150" i="14"/>
  <c r="A169" i="10"/>
  <c r="A169" i="9"/>
  <c r="A169" i="8"/>
  <c r="E136" i="10"/>
  <c r="E136" i="9"/>
  <c r="E136" i="8"/>
  <c r="D150" i="10"/>
  <c r="D150" i="9"/>
  <c r="D150" i="8"/>
  <c r="B229" i="10"/>
  <c r="B229" i="9"/>
  <c r="B229" i="8"/>
  <c r="J137" i="5"/>
  <c r="C137" i="10"/>
  <c r="C137" i="9"/>
  <c r="C137" i="8"/>
  <c r="I151" i="5"/>
  <c r="H138" i="5"/>
  <c r="G230" i="5"/>
  <c r="F170" i="5"/>
  <c r="G170" i="14" l="1"/>
  <c r="H230" i="14"/>
  <c r="I138" i="14"/>
  <c r="J151" i="14"/>
  <c r="K137" i="14"/>
  <c r="B230" i="10"/>
  <c r="B230" i="9"/>
  <c r="B230" i="8"/>
  <c r="J138" i="5"/>
  <c r="C138" i="10"/>
  <c r="C138" i="9"/>
  <c r="C138" i="8"/>
  <c r="D151" i="10"/>
  <c r="D151" i="9"/>
  <c r="D151" i="8"/>
  <c r="E137" i="10"/>
  <c r="E137" i="9"/>
  <c r="E137" i="8"/>
  <c r="A170" i="10"/>
  <c r="A170" i="9"/>
  <c r="A170" i="8"/>
  <c r="F171" i="5"/>
  <c r="H139" i="5"/>
  <c r="G231" i="5"/>
  <c r="I152" i="5"/>
  <c r="K138" i="14" l="1"/>
  <c r="H231" i="14"/>
  <c r="I139" i="14"/>
  <c r="G171" i="14"/>
  <c r="J152" i="14"/>
  <c r="E138" i="10"/>
  <c r="E138" i="9"/>
  <c r="E138" i="8"/>
  <c r="J139" i="5"/>
  <c r="C139" i="10"/>
  <c r="C139" i="9"/>
  <c r="C139" i="8"/>
  <c r="A171" i="10"/>
  <c r="A171" i="9"/>
  <c r="A171" i="8"/>
  <c r="D152" i="10"/>
  <c r="D152" i="9"/>
  <c r="D152" i="8"/>
  <c r="B231" i="10"/>
  <c r="B231" i="9"/>
  <c r="B231" i="8"/>
  <c r="I153" i="5"/>
  <c r="G232" i="5"/>
  <c r="H140" i="5"/>
  <c r="F172" i="5"/>
  <c r="G172" i="14" l="1"/>
  <c r="K139" i="14"/>
  <c r="I140" i="14"/>
  <c r="H232" i="14"/>
  <c r="J153" i="14"/>
  <c r="J140" i="5"/>
  <c r="C140" i="10"/>
  <c r="C140" i="9"/>
  <c r="C140" i="8"/>
  <c r="B232" i="10"/>
  <c r="B232" i="9"/>
  <c r="B232" i="8"/>
  <c r="D153" i="10"/>
  <c r="D153" i="9"/>
  <c r="D153" i="8"/>
  <c r="A172" i="10"/>
  <c r="A172" i="9"/>
  <c r="A172" i="8"/>
  <c r="E139" i="10"/>
  <c r="E139" i="9"/>
  <c r="E139" i="8"/>
  <c r="G233" i="5"/>
  <c r="H141" i="5"/>
  <c r="F173" i="5"/>
  <c r="I154" i="5"/>
  <c r="I141" i="14" l="1"/>
  <c r="H233" i="14"/>
  <c r="K140" i="14"/>
  <c r="G173" i="14"/>
  <c r="J154" i="14"/>
  <c r="J141" i="5"/>
  <c r="C141" i="10"/>
  <c r="C141" i="9"/>
  <c r="C141" i="8"/>
  <c r="D154" i="10"/>
  <c r="D154" i="9"/>
  <c r="D154" i="8"/>
  <c r="A173" i="10"/>
  <c r="A173" i="9"/>
  <c r="A173" i="8"/>
  <c r="B233" i="10"/>
  <c r="B233" i="9"/>
  <c r="B233" i="8"/>
  <c r="E140" i="10"/>
  <c r="E140" i="9"/>
  <c r="E140" i="8"/>
  <c r="I155" i="5"/>
  <c r="F174" i="5"/>
  <c r="H142" i="5"/>
  <c r="G234" i="5"/>
  <c r="H234" i="14" l="1"/>
  <c r="I142" i="14"/>
  <c r="G174" i="14"/>
  <c r="J155" i="14"/>
  <c r="K141" i="14"/>
  <c r="A174" i="10"/>
  <c r="A174" i="9"/>
  <c r="A174" i="8"/>
  <c r="D155" i="10"/>
  <c r="D155" i="9"/>
  <c r="D155" i="8"/>
  <c r="B234" i="10"/>
  <c r="B234" i="9"/>
  <c r="B234" i="8"/>
  <c r="J142" i="5"/>
  <c r="C142" i="10"/>
  <c r="C142" i="9"/>
  <c r="C142" i="8"/>
  <c r="E141" i="10"/>
  <c r="E141" i="9"/>
  <c r="E141" i="8"/>
  <c r="G235" i="5"/>
  <c r="H143" i="5"/>
  <c r="F175" i="5"/>
  <c r="I156" i="5"/>
  <c r="J156" i="14" l="1"/>
  <c r="G175" i="14"/>
  <c r="I143" i="14"/>
  <c r="K142" i="14"/>
  <c r="H235" i="14"/>
  <c r="A175" i="10"/>
  <c r="A175" i="9"/>
  <c r="A175" i="8"/>
  <c r="J143" i="5"/>
  <c r="C143" i="10"/>
  <c r="C143" i="9"/>
  <c r="C143" i="8"/>
  <c r="E142" i="10"/>
  <c r="E142" i="9"/>
  <c r="E142" i="8"/>
  <c r="B235" i="10"/>
  <c r="B235" i="9"/>
  <c r="B235" i="8"/>
  <c r="D156" i="10"/>
  <c r="D156" i="9"/>
  <c r="D156" i="8"/>
  <c r="I157" i="5"/>
  <c r="F176" i="5"/>
  <c r="H144" i="5"/>
  <c r="G236" i="5"/>
  <c r="K143" i="14" l="1"/>
  <c r="I144" i="14"/>
  <c r="G176" i="14"/>
  <c r="J157" i="14"/>
  <c r="H236" i="14"/>
  <c r="B236" i="10"/>
  <c r="B236" i="9"/>
  <c r="B236" i="8"/>
  <c r="E143" i="10"/>
  <c r="E143" i="9"/>
  <c r="E143" i="8"/>
  <c r="A176" i="10"/>
  <c r="A176" i="9"/>
  <c r="A176" i="8"/>
  <c r="D157" i="10"/>
  <c r="D157" i="9"/>
  <c r="D157" i="8"/>
  <c r="J144" i="5"/>
  <c r="C144" i="10"/>
  <c r="C144" i="9"/>
  <c r="C144" i="8"/>
  <c r="G237" i="5"/>
  <c r="H145" i="5"/>
  <c r="F177" i="5"/>
  <c r="I158" i="5"/>
  <c r="J158" i="14" l="1"/>
  <c r="G177" i="14"/>
  <c r="I145" i="14"/>
  <c r="H237" i="14"/>
  <c r="K144" i="14"/>
  <c r="D158" i="10"/>
  <c r="D158" i="9"/>
  <c r="D158" i="8"/>
  <c r="A177" i="10"/>
  <c r="A177" i="9"/>
  <c r="A177" i="8"/>
  <c r="E144" i="10"/>
  <c r="E144" i="9"/>
  <c r="E144" i="8"/>
  <c r="J145" i="5"/>
  <c r="C145" i="10"/>
  <c r="C145" i="9"/>
  <c r="C145" i="8"/>
  <c r="B237" i="10"/>
  <c r="B237" i="9"/>
  <c r="B237" i="8"/>
  <c r="I159" i="5"/>
  <c r="F178" i="5"/>
  <c r="H146" i="5"/>
  <c r="G238" i="5"/>
  <c r="I146" i="14" l="1"/>
  <c r="G178" i="14"/>
  <c r="K145" i="14"/>
  <c r="J159" i="14"/>
  <c r="H238" i="14"/>
  <c r="J146" i="5"/>
  <c r="C146" i="10"/>
  <c r="C146" i="9"/>
  <c r="C146" i="8"/>
  <c r="E145" i="10"/>
  <c r="E145" i="9"/>
  <c r="E145" i="8"/>
  <c r="D159" i="10"/>
  <c r="D159" i="9"/>
  <c r="D159" i="8"/>
  <c r="B238" i="10"/>
  <c r="B238" i="9"/>
  <c r="B238" i="8"/>
  <c r="A178" i="10"/>
  <c r="A178" i="9"/>
  <c r="A178" i="8"/>
  <c r="G239" i="5"/>
  <c r="H147" i="5"/>
  <c r="F179" i="5"/>
  <c r="I160" i="5"/>
  <c r="J160" i="14" l="1"/>
  <c r="G179" i="14"/>
  <c r="I147" i="14"/>
  <c r="H239" i="14"/>
  <c r="K146" i="14"/>
  <c r="A179" i="10"/>
  <c r="A179" i="9"/>
  <c r="A179" i="8"/>
  <c r="J147" i="5"/>
  <c r="C147" i="10"/>
  <c r="C147" i="9"/>
  <c r="C147" i="8"/>
  <c r="B239" i="10"/>
  <c r="B239" i="9"/>
  <c r="B239" i="8"/>
  <c r="E146" i="10"/>
  <c r="E146" i="9"/>
  <c r="E146" i="8"/>
  <c r="D160" i="10"/>
  <c r="D160" i="9"/>
  <c r="D160" i="8"/>
  <c r="I161" i="5"/>
  <c r="F180" i="5"/>
  <c r="H148" i="5"/>
  <c r="G240" i="5"/>
  <c r="H240" i="14" l="1"/>
  <c r="K147" i="14"/>
  <c r="I148" i="14"/>
  <c r="G180" i="14"/>
  <c r="J161" i="14"/>
  <c r="A180" i="10"/>
  <c r="A180" i="9"/>
  <c r="A180" i="8"/>
  <c r="D161" i="10"/>
  <c r="D161" i="9"/>
  <c r="D161" i="8"/>
  <c r="B240" i="10"/>
  <c r="B240" i="9"/>
  <c r="B240" i="8"/>
  <c r="E147" i="10"/>
  <c r="E147" i="9"/>
  <c r="E147" i="8"/>
  <c r="J148" i="5"/>
  <c r="C148" i="10"/>
  <c r="C148" i="9"/>
  <c r="C148" i="8"/>
  <c r="G241" i="5"/>
  <c r="H149" i="5"/>
  <c r="F181" i="5"/>
  <c r="I162" i="5"/>
  <c r="I149" i="14" l="1"/>
  <c r="H241" i="14"/>
  <c r="K148" i="14"/>
  <c r="J162" i="14"/>
  <c r="G181" i="14"/>
  <c r="D162" i="10"/>
  <c r="D162" i="9"/>
  <c r="D162" i="8"/>
  <c r="A181" i="10"/>
  <c r="A181" i="9"/>
  <c r="A181" i="8"/>
  <c r="J149" i="5"/>
  <c r="C149" i="10"/>
  <c r="C149" i="9"/>
  <c r="C149" i="8"/>
  <c r="B241" i="10"/>
  <c r="B241" i="9"/>
  <c r="B241" i="8"/>
  <c r="E148" i="10"/>
  <c r="E148" i="9"/>
  <c r="E148" i="8"/>
  <c r="I163" i="5"/>
  <c r="H150" i="5"/>
  <c r="G242" i="5"/>
  <c r="F182" i="5"/>
  <c r="G182" i="14" l="1"/>
  <c r="H242" i="14"/>
  <c r="K149" i="14"/>
  <c r="I150" i="14"/>
  <c r="J163" i="14"/>
  <c r="B242" i="10"/>
  <c r="B242" i="9"/>
  <c r="B242" i="8"/>
  <c r="E149" i="10"/>
  <c r="E149" i="9"/>
  <c r="E149" i="8"/>
  <c r="J150" i="5"/>
  <c r="C150" i="10"/>
  <c r="C150" i="9"/>
  <c r="C150" i="8"/>
  <c r="D163" i="10"/>
  <c r="D163" i="9"/>
  <c r="D163" i="8"/>
  <c r="A182" i="10"/>
  <c r="A182" i="9"/>
  <c r="A182" i="8"/>
  <c r="F183" i="5"/>
  <c r="G243" i="5"/>
  <c r="H151" i="5"/>
  <c r="I164" i="5"/>
  <c r="J164" i="14" l="1"/>
  <c r="I151" i="14"/>
  <c r="H243" i="14"/>
  <c r="G183" i="14"/>
  <c r="K150" i="14"/>
  <c r="D164" i="10"/>
  <c r="D164" i="9"/>
  <c r="D164" i="8"/>
  <c r="J151" i="5"/>
  <c r="C151" i="10"/>
  <c r="C151" i="9"/>
  <c r="C151" i="8"/>
  <c r="E150" i="10"/>
  <c r="E150" i="9"/>
  <c r="E150" i="8"/>
  <c r="B243" i="10"/>
  <c r="B243" i="9"/>
  <c r="B243" i="8"/>
  <c r="A183" i="10"/>
  <c r="A183" i="9"/>
  <c r="A183" i="8"/>
  <c r="I165" i="5"/>
  <c r="H152" i="5"/>
  <c r="G244" i="5"/>
  <c r="F184" i="5"/>
  <c r="G184" i="14" l="1"/>
  <c r="I152" i="14"/>
  <c r="J165" i="14"/>
  <c r="K151" i="14"/>
  <c r="H244" i="14"/>
  <c r="A184" i="10"/>
  <c r="A184" i="9"/>
  <c r="A184" i="8"/>
  <c r="E151" i="10"/>
  <c r="E151" i="9"/>
  <c r="E151" i="8"/>
  <c r="B244" i="10"/>
  <c r="B244" i="9"/>
  <c r="B244" i="8"/>
  <c r="J152" i="5"/>
  <c r="C152" i="10"/>
  <c r="C152" i="9"/>
  <c r="C152" i="8"/>
  <c r="D165" i="10"/>
  <c r="D165" i="9"/>
  <c r="D165" i="8"/>
  <c r="F185" i="5"/>
  <c r="G245" i="5"/>
  <c r="H153" i="5"/>
  <c r="I166" i="5"/>
  <c r="H245" i="14" l="1"/>
  <c r="K152" i="14"/>
  <c r="G185" i="14"/>
  <c r="J166" i="14"/>
  <c r="I153" i="14"/>
  <c r="E152" i="10"/>
  <c r="E152" i="9"/>
  <c r="E152" i="8"/>
  <c r="A185" i="10"/>
  <c r="A185" i="9"/>
  <c r="A185" i="8"/>
  <c r="D166" i="10"/>
  <c r="D166" i="9"/>
  <c r="D166" i="8"/>
  <c r="J153" i="5"/>
  <c r="C153" i="10"/>
  <c r="C153" i="9"/>
  <c r="C153" i="8"/>
  <c r="B245" i="10"/>
  <c r="B245" i="9"/>
  <c r="B245" i="8"/>
  <c r="I167" i="5"/>
  <c r="H154" i="5"/>
  <c r="G246" i="5"/>
  <c r="F186" i="5"/>
  <c r="G186" i="14" l="1"/>
  <c r="H246" i="14"/>
  <c r="I154" i="14"/>
  <c r="K153" i="14"/>
  <c r="J167" i="14"/>
  <c r="E153" i="10"/>
  <c r="E153" i="9"/>
  <c r="E153" i="8"/>
  <c r="D167" i="10"/>
  <c r="D167" i="9"/>
  <c r="D167" i="8"/>
  <c r="A186" i="10"/>
  <c r="A186" i="9"/>
  <c r="A186" i="8"/>
  <c r="B246" i="10"/>
  <c r="B246" i="9"/>
  <c r="B246" i="8"/>
  <c r="J154" i="5"/>
  <c r="C154" i="10"/>
  <c r="C154" i="9"/>
  <c r="C154" i="8"/>
  <c r="F187" i="5"/>
  <c r="G247" i="5"/>
  <c r="H155" i="5"/>
  <c r="I168" i="5"/>
  <c r="K154" i="14" l="1"/>
  <c r="H247" i="14"/>
  <c r="G187" i="14"/>
  <c r="J168" i="14"/>
  <c r="I155" i="14"/>
  <c r="D168" i="10"/>
  <c r="D168" i="9"/>
  <c r="D168" i="8"/>
  <c r="J155" i="5"/>
  <c r="C155" i="10"/>
  <c r="C155" i="9"/>
  <c r="C155" i="8"/>
  <c r="B247" i="10"/>
  <c r="B247" i="9"/>
  <c r="B247" i="8"/>
  <c r="A187" i="10"/>
  <c r="A187" i="9"/>
  <c r="A187" i="8"/>
  <c r="E154" i="10"/>
  <c r="E154" i="9"/>
  <c r="E154" i="8"/>
  <c r="I169" i="5"/>
  <c r="H156" i="5"/>
  <c r="G248" i="5"/>
  <c r="F188" i="5"/>
  <c r="G188" i="14" l="1"/>
  <c r="H248" i="14"/>
  <c r="I156" i="14"/>
  <c r="J169" i="14"/>
  <c r="K155" i="14"/>
  <c r="B248" i="10"/>
  <c r="B248" i="9"/>
  <c r="B248" i="8"/>
  <c r="D169" i="10"/>
  <c r="D169" i="9"/>
  <c r="D169" i="8"/>
  <c r="A188" i="10"/>
  <c r="A188" i="9"/>
  <c r="A188" i="8"/>
  <c r="E155" i="10"/>
  <c r="E155" i="9"/>
  <c r="E155" i="8"/>
  <c r="J156" i="5"/>
  <c r="C156" i="10"/>
  <c r="C156" i="9"/>
  <c r="C156" i="8"/>
  <c r="F189" i="5"/>
  <c r="G249" i="5"/>
  <c r="H157" i="5"/>
  <c r="I170" i="5"/>
  <c r="I157" i="14" l="1"/>
  <c r="H249" i="14"/>
  <c r="G189" i="14"/>
  <c r="K156" i="14"/>
  <c r="J170" i="14"/>
  <c r="E156" i="10"/>
  <c r="E156" i="9"/>
  <c r="E156" i="8"/>
  <c r="D170" i="10"/>
  <c r="D170" i="9"/>
  <c r="D170" i="8"/>
  <c r="B249" i="10"/>
  <c r="B249" i="9"/>
  <c r="B249" i="8"/>
  <c r="A189" i="10"/>
  <c r="A189" i="9"/>
  <c r="A189" i="8"/>
  <c r="J157" i="5"/>
  <c r="C157" i="10"/>
  <c r="C157" i="9"/>
  <c r="C157" i="8"/>
  <c r="I171" i="5"/>
  <c r="H158" i="5"/>
  <c r="G250" i="5"/>
  <c r="F190" i="5"/>
  <c r="G190" i="14" l="1"/>
  <c r="H250" i="14"/>
  <c r="I158" i="14"/>
  <c r="J171" i="14"/>
  <c r="K157" i="14"/>
  <c r="E157" i="10"/>
  <c r="E157" i="9"/>
  <c r="E157" i="8"/>
  <c r="A190" i="10"/>
  <c r="A190" i="9"/>
  <c r="A190" i="8"/>
  <c r="B250" i="10"/>
  <c r="B250" i="9"/>
  <c r="B250" i="8"/>
  <c r="J158" i="5"/>
  <c r="C158" i="10"/>
  <c r="C158" i="9"/>
  <c r="C158" i="8"/>
  <c r="D171" i="10"/>
  <c r="D171" i="9"/>
  <c r="D171" i="8"/>
  <c r="F191" i="5"/>
  <c r="G251" i="5"/>
  <c r="H159" i="5"/>
  <c r="I172" i="5"/>
  <c r="J172" i="14" l="1"/>
  <c r="I159" i="14"/>
  <c r="H251" i="14"/>
  <c r="K158" i="14"/>
  <c r="G191" i="14"/>
  <c r="A191" i="10"/>
  <c r="A191" i="9"/>
  <c r="A191" i="8"/>
  <c r="D172" i="10"/>
  <c r="D172" i="9"/>
  <c r="D172" i="8"/>
  <c r="J159" i="5"/>
  <c r="C159" i="10"/>
  <c r="C159" i="9"/>
  <c r="C159" i="8"/>
  <c r="B251" i="10"/>
  <c r="B251" i="9"/>
  <c r="B251" i="8"/>
  <c r="E158" i="10"/>
  <c r="E158" i="9"/>
  <c r="E158" i="8"/>
  <c r="I173" i="5"/>
  <c r="H160" i="5"/>
  <c r="G252" i="5"/>
  <c r="F192" i="5"/>
  <c r="K159" i="14" l="1"/>
  <c r="I160" i="14"/>
  <c r="J173" i="14"/>
  <c r="G192" i="14"/>
  <c r="H252" i="14"/>
  <c r="J160" i="5"/>
  <c r="C160" i="10"/>
  <c r="C160" i="9"/>
  <c r="C160" i="8"/>
  <c r="D173" i="10"/>
  <c r="D173" i="9"/>
  <c r="D173" i="8"/>
  <c r="A192" i="10"/>
  <c r="A192" i="9"/>
  <c r="A192" i="8"/>
  <c r="B252" i="10"/>
  <c r="B252" i="9"/>
  <c r="B252" i="8"/>
  <c r="E159" i="10"/>
  <c r="E159" i="9"/>
  <c r="E159" i="8"/>
  <c r="G253" i="5"/>
  <c r="F193" i="5"/>
  <c r="H161" i="5"/>
  <c r="I174" i="5"/>
  <c r="I161" i="14" l="1"/>
  <c r="G193" i="14"/>
  <c r="H253" i="14"/>
  <c r="K160" i="14"/>
  <c r="J174" i="14"/>
  <c r="B253" i="10"/>
  <c r="B253" i="9"/>
  <c r="B253" i="8"/>
  <c r="E160" i="10"/>
  <c r="E160" i="9"/>
  <c r="E160" i="8"/>
  <c r="D174" i="10"/>
  <c r="D174" i="9"/>
  <c r="D174" i="8"/>
  <c r="J161" i="5"/>
  <c r="C161" i="10"/>
  <c r="C161" i="9"/>
  <c r="C161" i="8"/>
  <c r="A193" i="10"/>
  <c r="A193" i="9"/>
  <c r="A193" i="8"/>
  <c r="I175" i="5"/>
  <c r="H162" i="5"/>
  <c r="F194" i="5"/>
  <c r="G254" i="5"/>
  <c r="H254" i="14" l="1"/>
  <c r="I162" i="14"/>
  <c r="K161" i="14"/>
  <c r="J175" i="14"/>
  <c r="G194" i="14"/>
  <c r="J162" i="5"/>
  <c r="C162" i="10"/>
  <c r="C162" i="9"/>
  <c r="C162" i="8"/>
  <c r="B254" i="10"/>
  <c r="B254" i="9"/>
  <c r="I6" i="9" s="1"/>
  <c r="I12" i="9" s="1"/>
  <c r="B254" i="8"/>
  <c r="I6" i="8" s="1"/>
  <c r="I12" i="8" s="1"/>
  <c r="A194" i="10"/>
  <c r="A194" i="9"/>
  <c r="A194" i="8"/>
  <c r="E161" i="10"/>
  <c r="E161" i="9"/>
  <c r="E161" i="8"/>
  <c r="D175" i="10"/>
  <c r="D175" i="9"/>
  <c r="D175" i="8"/>
  <c r="F195" i="5"/>
  <c r="H163" i="5"/>
  <c r="I176" i="5"/>
  <c r="G195" i="14" l="1"/>
  <c r="K162" i="14"/>
  <c r="J176" i="14"/>
  <c r="I163" i="14"/>
  <c r="A195" i="10"/>
  <c r="A195" i="9"/>
  <c r="A195" i="8"/>
  <c r="E162" i="10"/>
  <c r="E162" i="9"/>
  <c r="E162" i="8"/>
  <c r="D176" i="10"/>
  <c r="D176" i="9"/>
  <c r="D176" i="8"/>
  <c r="J163" i="5"/>
  <c r="C163" i="10"/>
  <c r="C163" i="9"/>
  <c r="C163" i="8"/>
  <c r="I177" i="5"/>
  <c r="H164" i="5"/>
  <c r="F197" i="5"/>
  <c r="F196" i="5"/>
  <c r="K163" i="14" l="1"/>
  <c r="G196" i="14"/>
  <c r="G197" i="14"/>
  <c r="I164" i="14"/>
  <c r="J177" i="14"/>
  <c r="A196" i="10"/>
  <c r="A196" i="9"/>
  <c r="A196" i="8"/>
  <c r="A197" i="10"/>
  <c r="A197" i="9"/>
  <c r="A197" i="8"/>
  <c r="E163" i="10"/>
  <c r="E163" i="9"/>
  <c r="E163" i="8"/>
  <c r="J164" i="5"/>
  <c r="C164" i="10"/>
  <c r="C164" i="9"/>
  <c r="C164" i="8"/>
  <c r="D177" i="10"/>
  <c r="D177" i="9"/>
  <c r="D177" i="8"/>
  <c r="F198" i="5"/>
  <c r="H165" i="5"/>
  <c r="I178" i="5"/>
  <c r="J178" i="14" l="1"/>
  <c r="I165" i="14"/>
  <c r="K164" i="14"/>
  <c r="G198" i="14"/>
  <c r="A198" i="10"/>
  <c r="A198" i="9"/>
  <c r="A198" i="8"/>
  <c r="D178" i="10"/>
  <c r="D178" i="9"/>
  <c r="D178" i="8"/>
  <c r="J165" i="5"/>
  <c r="C165" i="10"/>
  <c r="C165" i="9"/>
  <c r="C165" i="8"/>
  <c r="E164" i="10"/>
  <c r="E164" i="9"/>
  <c r="E164" i="8"/>
  <c r="I179" i="5"/>
  <c r="H166" i="5"/>
  <c r="F199" i="5"/>
  <c r="J179" i="14" l="1"/>
  <c r="G199" i="14"/>
  <c r="I166" i="14"/>
  <c r="K165" i="14"/>
  <c r="A199" i="10"/>
  <c r="A199" i="9"/>
  <c r="A199" i="8"/>
  <c r="E165" i="10"/>
  <c r="E165" i="9"/>
  <c r="E165" i="8"/>
  <c r="J166" i="5"/>
  <c r="C166" i="10"/>
  <c r="C166" i="9"/>
  <c r="C166" i="8"/>
  <c r="D179" i="10"/>
  <c r="D179" i="9"/>
  <c r="D179" i="8"/>
  <c r="F200" i="5"/>
  <c r="H167" i="5"/>
  <c r="I180" i="5"/>
  <c r="J180" i="14" l="1"/>
  <c r="I167" i="14"/>
  <c r="K166" i="14"/>
  <c r="G200" i="14"/>
  <c r="J167" i="5"/>
  <c r="C167" i="10"/>
  <c r="C167" i="9"/>
  <c r="C167" i="8"/>
  <c r="A200" i="10"/>
  <c r="A200" i="9"/>
  <c r="A200" i="8"/>
  <c r="D180" i="10"/>
  <c r="D180" i="9"/>
  <c r="D180" i="8"/>
  <c r="E166" i="10"/>
  <c r="E166" i="9"/>
  <c r="E166" i="8"/>
  <c r="I181" i="5"/>
  <c r="H168" i="5"/>
  <c r="F201" i="5"/>
  <c r="J181" i="14" l="1"/>
  <c r="K167" i="14"/>
  <c r="G201" i="14"/>
  <c r="I168" i="14"/>
  <c r="E167" i="10"/>
  <c r="E167" i="9"/>
  <c r="E167" i="8"/>
  <c r="A201" i="10"/>
  <c r="A201" i="9"/>
  <c r="A201" i="8"/>
  <c r="D181" i="10"/>
  <c r="D181" i="9"/>
  <c r="D181" i="8"/>
  <c r="J168" i="5"/>
  <c r="C168" i="10"/>
  <c r="C168" i="9"/>
  <c r="C168" i="8"/>
  <c r="F202" i="5"/>
  <c r="H169" i="5"/>
  <c r="I182" i="5"/>
  <c r="G202" i="14" l="1"/>
  <c r="J182" i="14"/>
  <c r="I169" i="14"/>
  <c r="K168" i="14"/>
  <c r="E168" i="10"/>
  <c r="E168" i="9"/>
  <c r="E168" i="8"/>
  <c r="D182" i="10"/>
  <c r="D182" i="9"/>
  <c r="D182" i="8"/>
  <c r="J169" i="5"/>
  <c r="C169" i="10"/>
  <c r="C169" i="9"/>
  <c r="C169" i="8"/>
  <c r="A202" i="10"/>
  <c r="A202" i="9"/>
  <c r="A202" i="8"/>
  <c r="H170" i="5"/>
  <c r="I183" i="5"/>
  <c r="F203" i="5"/>
  <c r="G203" i="14" l="1"/>
  <c r="J183" i="14"/>
  <c r="K169" i="14"/>
  <c r="I170" i="14"/>
  <c r="D183" i="10"/>
  <c r="D183" i="9"/>
  <c r="D183" i="8"/>
  <c r="E169" i="10"/>
  <c r="E169" i="9"/>
  <c r="E169" i="8"/>
  <c r="J170" i="5"/>
  <c r="C170" i="10"/>
  <c r="C170" i="9"/>
  <c r="C170" i="8"/>
  <c r="A203" i="10"/>
  <c r="A203" i="9"/>
  <c r="A203" i="8"/>
  <c r="F204" i="5"/>
  <c r="I184" i="5"/>
  <c r="H171" i="5"/>
  <c r="G204" i="14" l="1"/>
  <c r="I171" i="14"/>
  <c r="J184" i="14"/>
  <c r="K170" i="14"/>
  <c r="E170" i="10"/>
  <c r="E170" i="9"/>
  <c r="E170" i="8"/>
  <c r="A204" i="10"/>
  <c r="A204" i="9"/>
  <c r="A204" i="8"/>
  <c r="J171" i="5"/>
  <c r="C171" i="10"/>
  <c r="C171" i="9"/>
  <c r="C171" i="8"/>
  <c r="D184" i="10"/>
  <c r="D184" i="9"/>
  <c r="D184" i="8"/>
  <c r="H172" i="5"/>
  <c r="I185" i="5"/>
  <c r="F205" i="5"/>
  <c r="I172" i="14" l="1"/>
  <c r="G205" i="14"/>
  <c r="J185" i="14"/>
  <c r="K171" i="14"/>
  <c r="D185" i="10"/>
  <c r="D185" i="9"/>
  <c r="D185" i="8"/>
  <c r="E171" i="10"/>
  <c r="E171" i="9"/>
  <c r="E171" i="8"/>
  <c r="J172" i="5"/>
  <c r="C172" i="10"/>
  <c r="C172" i="9"/>
  <c r="C172" i="8"/>
  <c r="A205" i="10"/>
  <c r="A205" i="9"/>
  <c r="A205" i="8"/>
  <c r="F206" i="5"/>
  <c r="I186" i="5"/>
  <c r="H173" i="5"/>
  <c r="I173" i="14" l="1"/>
  <c r="J186" i="14"/>
  <c r="K172" i="14"/>
  <c r="G206" i="14"/>
  <c r="J173" i="5"/>
  <c r="C173" i="10"/>
  <c r="C173" i="9"/>
  <c r="C173" i="8"/>
  <c r="D186" i="10"/>
  <c r="D186" i="9"/>
  <c r="D186" i="8"/>
  <c r="E172" i="10"/>
  <c r="E172" i="9"/>
  <c r="E172" i="8"/>
  <c r="A206" i="10"/>
  <c r="A206" i="9"/>
  <c r="A206" i="8"/>
  <c r="H174" i="5"/>
  <c r="I187" i="5"/>
  <c r="F207" i="5"/>
  <c r="I174" i="14" l="1"/>
  <c r="K173" i="14"/>
  <c r="G207" i="14"/>
  <c r="J187" i="14"/>
  <c r="A207" i="10"/>
  <c r="A207" i="9"/>
  <c r="A207" i="8"/>
  <c r="D187" i="10"/>
  <c r="D187" i="9"/>
  <c r="D187" i="8"/>
  <c r="J174" i="5"/>
  <c r="C174" i="10"/>
  <c r="C174" i="9"/>
  <c r="C174" i="8"/>
  <c r="E173" i="10"/>
  <c r="E173" i="9"/>
  <c r="E173" i="8"/>
  <c r="F208" i="5"/>
  <c r="I188" i="5"/>
  <c r="H175" i="5"/>
  <c r="J188" i="14" l="1"/>
  <c r="I175" i="14"/>
  <c r="K174" i="14"/>
  <c r="G208" i="14"/>
  <c r="D188" i="10"/>
  <c r="D188" i="9"/>
  <c r="D188" i="8"/>
  <c r="J175" i="5"/>
  <c r="C175" i="10"/>
  <c r="C175" i="9"/>
  <c r="C175" i="8"/>
  <c r="E174" i="10"/>
  <c r="E174" i="9"/>
  <c r="E174" i="8"/>
  <c r="A208" i="10"/>
  <c r="A208" i="9"/>
  <c r="A208" i="8"/>
  <c r="H176" i="5"/>
  <c r="I189" i="5"/>
  <c r="F209" i="5"/>
  <c r="G209" i="14" l="1"/>
  <c r="K175" i="14"/>
  <c r="J189" i="14"/>
  <c r="I176" i="14"/>
  <c r="J176" i="5"/>
  <c r="C176" i="10"/>
  <c r="C176" i="9"/>
  <c r="C176" i="8"/>
  <c r="A209" i="10"/>
  <c r="A209" i="9"/>
  <c r="A209" i="8"/>
  <c r="E175" i="10"/>
  <c r="E175" i="9"/>
  <c r="E175" i="8"/>
  <c r="D189" i="10"/>
  <c r="D189" i="9"/>
  <c r="D189" i="8"/>
  <c r="F210" i="5"/>
  <c r="I190" i="5"/>
  <c r="H177" i="5"/>
  <c r="K176" i="14" l="1"/>
  <c r="I177" i="14"/>
  <c r="J190" i="14"/>
  <c r="G210" i="14"/>
  <c r="J177" i="5"/>
  <c r="C177" i="10"/>
  <c r="C177" i="9"/>
  <c r="C177" i="8"/>
  <c r="D190" i="10"/>
  <c r="D190" i="9"/>
  <c r="D190" i="8"/>
  <c r="A210" i="10"/>
  <c r="A210" i="9"/>
  <c r="A210" i="8"/>
  <c r="E176" i="10"/>
  <c r="E176" i="9"/>
  <c r="E176" i="8"/>
  <c r="H178" i="5"/>
  <c r="I191" i="5"/>
  <c r="F211" i="5"/>
  <c r="I178" i="14" l="1"/>
  <c r="K177" i="14"/>
  <c r="G211" i="14"/>
  <c r="J191" i="14"/>
  <c r="A211" i="10"/>
  <c r="A211" i="9"/>
  <c r="A211" i="8"/>
  <c r="D191" i="10"/>
  <c r="D191" i="9"/>
  <c r="D191" i="8"/>
  <c r="J178" i="5"/>
  <c r="C178" i="10"/>
  <c r="C178" i="9"/>
  <c r="C178" i="8"/>
  <c r="E177" i="10"/>
  <c r="E177" i="9"/>
  <c r="E177" i="8"/>
  <c r="N26" i="5"/>
  <c r="N31" i="5" s="1"/>
  <c r="N25" i="5"/>
  <c r="N30" i="5" s="1"/>
  <c r="N45" i="5"/>
  <c r="N27" i="5"/>
  <c r="N32" i="5" s="1"/>
  <c r="F212" i="5"/>
  <c r="I192" i="5"/>
  <c r="H179" i="5"/>
  <c r="I179" i="14" l="1"/>
  <c r="J192" i="14"/>
  <c r="N33" i="5"/>
  <c r="K178" i="14"/>
  <c r="G212" i="14"/>
  <c r="J179" i="5"/>
  <c r="C179" i="10"/>
  <c r="C179" i="9"/>
  <c r="C179" i="8"/>
  <c r="E178" i="10"/>
  <c r="E178" i="9"/>
  <c r="E178" i="8"/>
  <c r="D192" i="10"/>
  <c r="D192" i="9"/>
  <c r="D192" i="8"/>
  <c r="A212" i="10"/>
  <c r="A212" i="9"/>
  <c r="A212" i="8"/>
  <c r="H180" i="5"/>
  <c r="I193" i="5"/>
  <c r="F213" i="5"/>
  <c r="K179" i="14" l="1"/>
  <c r="G213" i="14"/>
  <c r="J193" i="14"/>
  <c r="I180" i="14"/>
  <c r="D193" i="10"/>
  <c r="D193" i="9"/>
  <c r="D193" i="8"/>
  <c r="J180" i="5"/>
  <c r="C180" i="10"/>
  <c r="C180" i="9"/>
  <c r="C180" i="8"/>
  <c r="E179" i="10"/>
  <c r="E179" i="9"/>
  <c r="E179" i="8"/>
  <c r="A213" i="10"/>
  <c r="A213" i="9"/>
  <c r="A213" i="8"/>
  <c r="F214" i="5"/>
  <c r="I194" i="5"/>
  <c r="H181" i="5"/>
  <c r="G214" i="14" l="1"/>
  <c r="I181" i="14"/>
  <c r="K180" i="14"/>
  <c r="J194" i="14"/>
  <c r="J181" i="5"/>
  <c r="C181" i="10"/>
  <c r="C181" i="9"/>
  <c r="C181" i="8"/>
  <c r="E180" i="10"/>
  <c r="E180" i="9"/>
  <c r="E180" i="8"/>
  <c r="D194" i="10"/>
  <c r="D194" i="9"/>
  <c r="D194" i="8"/>
  <c r="A214" i="10"/>
  <c r="A214" i="9"/>
  <c r="A214" i="8"/>
  <c r="H182" i="5"/>
  <c r="F215" i="5"/>
  <c r="I195" i="5"/>
  <c r="I182" i="14" l="1"/>
  <c r="K181" i="14"/>
  <c r="J195" i="14"/>
  <c r="G215" i="14"/>
  <c r="E181" i="10"/>
  <c r="E181" i="9"/>
  <c r="E181" i="8"/>
  <c r="D195" i="10"/>
  <c r="D195" i="9"/>
  <c r="D195" i="8"/>
  <c r="A215" i="10"/>
  <c r="A215" i="9"/>
  <c r="A215" i="8"/>
  <c r="J182" i="5"/>
  <c r="C182" i="10"/>
  <c r="C182" i="9"/>
  <c r="C182" i="8"/>
  <c r="I196" i="5"/>
  <c r="F216" i="5"/>
  <c r="H183" i="5"/>
  <c r="J196" i="14" l="1"/>
  <c r="K182" i="14"/>
  <c r="I183" i="14"/>
  <c r="G216" i="14"/>
  <c r="A216" i="10"/>
  <c r="A216" i="9"/>
  <c r="A216" i="8"/>
  <c r="E182" i="10"/>
  <c r="E182" i="9"/>
  <c r="E182" i="8"/>
  <c r="J183" i="5"/>
  <c r="C183" i="10"/>
  <c r="C183" i="9"/>
  <c r="C183" i="8"/>
  <c r="D196" i="10"/>
  <c r="D196" i="9"/>
  <c r="D196" i="8"/>
  <c r="H184" i="5"/>
  <c r="F217" i="5"/>
  <c r="I197" i="5"/>
  <c r="J197" i="14" l="1"/>
  <c r="G217" i="14"/>
  <c r="K183" i="14"/>
  <c r="I184" i="14"/>
  <c r="E183" i="10"/>
  <c r="E183" i="9"/>
  <c r="E183" i="8"/>
  <c r="D197" i="10"/>
  <c r="D197" i="9"/>
  <c r="D197" i="8"/>
  <c r="A217" i="10"/>
  <c r="A217" i="9"/>
  <c r="A217" i="8"/>
  <c r="J184" i="5"/>
  <c r="C184" i="10"/>
  <c r="C184" i="9"/>
  <c r="C184" i="8"/>
  <c r="I198" i="5"/>
  <c r="F218" i="5"/>
  <c r="H185" i="5"/>
  <c r="J198" i="14" l="1"/>
  <c r="I185" i="14"/>
  <c r="K184" i="14"/>
  <c r="G218" i="14"/>
  <c r="E184" i="10"/>
  <c r="E184" i="9"/>
  <c r="E184" i="8"/>
  <c r="J185" i="5"/>
  <c r="C185" i="10"/>
  <c r="C185" i="9"/>
  <c r="C185" i="8"/>
  <c r="D198" i="10"/>
  <c r="D198" i="9"/>
  <c r="D198" i="8"/>
  <c r="A218" i="10"/>
  <c r="A218" i="9"/>
  <c r="A218" i="8"/>
  <c r="H186" i="5"/>
  <c r="F219" i="5"/>
  <c r="I199" i="5"/>
  <c r="J199" i="14" l="1"/>
  <c r="K185" i="14"/>
  <c r="G219" i="14"/>
  <c r="I186" i="14"/>
  <c r="E185" i="10"/>
  <c r="E185" i="9"/>
  <c r="E185" i="8"/>
  <c r="D199" i="10"/>
  <c r="D199" i="9"/>
  <c r="D199" i="8"/>
  <c r="A219" i="10"/>
  <c r="A219" i="9"/>
  <c r="A219" i="8"/>
  <c r="J186" i="5"/>
  <c r="C186" i="10"/>
  <c r="C186" i="9"/>
  <c r="C186" i="8"/>
  <c r="I200" i="5"/>
  <c r="F220" i="5"/>
  <c r="H187" i="5"/>
  <c r="J200" i="14" l="1"/>
  <c r="I187" i="14"/>
  <c r="G220" i="14"/>
  <c r="K186" i="14"/>
  <c r="A220" i="10"/>
  <c r="A220" i="9"/>
  <c r="A220" i="8"/>
  <c r="J187" i="5"/>
  <c r="C187" i="10"/>
  <c r="C187" i="9"/>
  <c r="C187" i="8"/>
  <c r="D200" i="10"/>
  <c r="D200" i="9"/>
  <c r="D200" i="8"/>
  <c r="E186" i="10"/>
  <c r="E186" i="9"/>
  <c r="E186" i="8"/>
  <c r="H188" i="5"/>
  <c r="F221" i="5"/>
  <c r="I201" i="5"/>
  <c r="J201" i="14" l="1"/>
  <c r="K187" i="14"/>
  <c r="G221" i="14"/>
  <c r="I188" i="14"/>
  <c r="A221" i="10"/>
  <c r="A221" i="9"/>
  <c r="A221" i="8"/>
  <c r="D201" i="10"/>
  <c r="D201" i="9"/>
  <c r="D201" i="8"/>
  <c r="E187" i="10"/>
  <c r="E187" i="9"/>
  <c r="E187" i="8"/>
  <c r="J188" i="5"/>
  <c r="C188" i="10"/>
  <c r="C188" i="9"/>
  <c r="C188" i="8"/>
  <c r="I202" i="5"/>
  <c r="F222" i="5"/>
  <c r="H189" i="5"/>
  <c r="I189" i="14" l="1"/>
  <c r="J202" i="14"/>
  <c r="K188" i="14"/>
  <c r="G222" i="14"/>
  <c r="E188" i="10"/>
  <c r="E188" i="9"/>
  <c r="E188" i="8"/>
  <c r="J189" i="5"/>
  <c r="C189" i="10"/>
  <c r="C189" i="9"/>
  <c r="C189" i="8"/>
  <c r="A222" i="10"/>
  <c r="A222" i="9"/>
  <c r="A222" i="8"/>
  <c r="D202" i="10"/>
  <c r="D202" i="9"/>
  <c r="D202" i="8"/>
  <c r="H190" i="5"/>
  <c r="F223" i="5"/>
  <c r="I203" i="5"/>
  <c r="K189" i="14" l="1"/>
  <c r="J203" i="14"/>
  <c r="G223" i="14"/>
  <c r="I190" i="14"/>
  <c r="E189" i="10"/>
  <c r="E189" i="9"/>
  <c r="E189" i="8"/>
  <c r="D203" i="10"/>
  <c r="D203" i="9"/>
  <c r="D203" i="8"/>
  <c r="A223" i="10"/>
  <c r="A223" i="9"/>
  <c r="A223" i="8"/>
  <c r="J190" i="5"/>
  <c r="C190" i="10"/>
  <c r="C190" i="9"/>
  <c r="C190" i="8"/>
  <c r="F224" i="5"/>
  <c r="I204" i="5"/>
  <c r="H191" i="5"/>
  <c r="G224" i="14" l="1"/>
  <c r="K190" i="14"/>
  <c r="I191" i="14"/>
  <c r="J204" i="14"/>
  <c r="E190" i="10"/>
  <c r="E190" i="9"/>
  <c r="E190" i="8"/>
  <c r="J191" i="5"/>
  <c r="C191" i="10"/>
  <c r="C191" i="9"/>
  <c r="C191" i="8"/>
  <c r="A224" i="10"/>
  <c r="A224" i="9"/>
  <c r="A224" i="8"/>
  <c r="D204" i="10"/>
  <c r="D204" i="9"/>
  <c r="D204" i="8"/>
  <c r="H192" i="5"/>
  <c r="I205" i="5"/>
  <c r="F225" i="5"/>
  <c r="G225" i="14" l="1"/>
  <c r="K191" i="14"/>
  <c r="J205" i="14"/>
  <c r="I192" i="14"/>
  <c r="A225" i="10"/>
  <c r="A225" i="9"/>
  <c r="A225" i="8"/>
  <c r="E191" i="10"/>
  <c r="E191" i="9"/>
  <c r="E191" i="8"/>
  <c r="D205" i="10"/>
  <c r="D205" i="9"/>
  <c r="D205" i="8"/>
  <c r="J192" i="5"/>
  <c r="C192" i="10"/>
  <c r="C192" i="9"/>
  <c r="C192" i="8"/>
  <c r="F226" i="5"/>
  <c r="I206" i="5"/>
  <c r="H193" i="5"/>
  <c r="I193" i="14" l="1"/>
  <c r="J206" i="14"/>
  <c r="G226" i="14"/>
  <c r="K192" i="14"/>
  <c r="A226" i="10"/>
  <c r="A226" i="9"/>
  <c r="A226" i="8"/>
  <c r="E192" i="10"/>
  <c r="E192" i="9"/>
  <c r="E192" i="8"/>
  <c r="J193" i="5"/>
  <c r="C193" i="10"/>
  <c r="C193" i="9"/>
  <c r="C193" i="8"/>
  <c r="D206" i="10"/>
  <c r="D206" i="9"/>
  <c r="D206" i="8"/>
  <c r="H194" i="5"/>
  <c r="I207" i="5"/>
  <c r="F227" i="5"/>
  <c r="K193" i="14" l="1"/>
  <c r="G227" i="14"/>
  <c r="J207" i="14"/>
  <c r="I194" i="14"/>
  <c r="A227" i="10"/>
  <c r="A227" i="9"/>
  <c r="A227" i="8"/>
  <c r="E193" i="10"/>
  <c r="E193" i="9"/>
  <c r="E193" i="8"/>
  <c r="J194" i="5"/>
  <c r="C194" i="10"/>
  <c r="C194" i="9"/>
  <c r="C194" i="8"/>
  <c r="D207" i="10"/>
  <c r="D207" i="9"/>
  <c r="D207" i="8"/>
  <c r="F228" i="5"/>
  <c r="I208" i="5"/>
  <c r="H195" i="5"/>
  <c r="I195" i="14" l="1"/>
  <c r="J208" i="14"/>
  <c r="K194" i="14"/>
  <c r="G228" i="14"/>
  <c r="E194" i="10"/>
  <c r="E194" i="9"/>
  <c r="E194" i="8"/>
  <c r="A228" i="10"/>
  <c r="A228" i="9"/>
  <c r="A228" i="8"/>
  <c r="J195" i="5"/>
  <c r="C195" i="10"/>
  <c r="C195" i="9"/>
  <c r="C195" i="8"/>
  <c r="D208" i="10"/>
  <c r="D208" i="9"/>
  <c r="D208" i="8"/>
  <c r="H196" i="5"/>
  <c r="I209" i="5"/>
  <c r="F229" i="5"/>
  <c r="G229" i="14" l="1"/>
  <c r="J209" i="14"/>
  <c r="K195" i="14"/>
  <c r="I196" i="14"/>
  <c r="E195" i="10"/>
  <c r="E195" i="9"/>
  <c r="E195" i="8"/>
  <c r="J196" i="5"/>
  <c r="C196" i="10"/>
  <c r="C196" i="9"/>
  <c r="C196" i="8"/>
  <c r="A229" i="10"/>
  <c r="A229" i="9"/>
  <c r="A229" i="8"/>
  <c r="D209" i="10"/>
  <c r="D209" i="9"/>
  <c r="D209" i="8"/>
  <c r="F230" i="5"/>
  <c r="I210" i="5"/>
  <c r="H197" i="5"/>
  <c r="I197" i="14" l="1"/>
  <c r="K196" i="14"/>
  <c r="J210" i="14"/>
  <c r="G230" i="14"/>
  <c r="D210" i="10"/>
  <c r="D210" i="9"/>
  <c r="D210" i="8"/>
  <c r="J197" i="5"/>
  <c r="C197" i="10"/>
  <c r="C197" i="9"/>
  <c r="C197" i="8"/>
  <c r="E196" i="10"/>
  <c r="E196" i="9"/>
  <c r="E196" i="8"/>
  <c r="A230" i="10"/>
  <c r="A230" i="9"/>
  <c r="A230" i="8"/>
  <c r="H198" i="5"/>
  <c r="I211" i="5"/>
  <c r="F231" i="5"/>
  <c r="G231" i="14" l="1"/>
  <c r="K197" i="14"/>
  <c r="J211" i="14"/>
  <c r="I198" i="14"/>
  <c r="D211" i="10"/>
  <c r="D211" i="9"/>
  <c r="D211" i="8"/>
  <c r="J198" i="5"/>
  <c r="C198" i="10"/>
  <c r="C198" i="9"/>
  <c r="C198" i="8"/>
  <c r="A231" i="10"/>
  <c r="A231" i="9"/>
  <c r="A231" i="8"/>
  <c r="E197" i="10"/>
  <c r="E197" i="9"/>
  <c r="E197" i="8"/>
  <c r="I212" i="5"/>
  <c r="F232" i="5"/>
  <c r="H199" i="5"/>
  <c r="I199" i="14" l="1"/>
  <c r="K198" i="14"/>
  <c r="G232" i="14"/>
  <c r="J212" i="14"/>
  <c r="D212" i="10"/>
  <c r="D212" i="9"/>
  <c r="D212" i="8"/>
  <c r="J199" i="5"/>
  <c r="C199" i="10"/>
  <c r="C199" i="9"/>
  <c r="C199" i="8"/>
  <c r="E198" i="10"/>
  <c r="E198" i="9"/>
  <c r="E198" i="8"/>
  <c r="A232" i="10"/>
  <c r="A232" i="9"/>
  <c r="A232" i="8"/>
  <c r="H200" i="5"/>
  <c r="F233" i="5"/>
  <c r="I213" i="5"/>
  <c r="G233" i="14" l="1"/>
  <c r="I200" i="14"/>
  <c r="J213" i="14"/>
  <c r="K199" i="14"/>
  <c r="J200" i="5"/>
  <c r="C200" i="10"/>
  <c r="C200" i="9"/>
  <c r="C200" i="8"/>
  <c r="D213" i="10"/>
  <c r="D213" i="9"/>
  <c r="D213" i="8"/>
  <c r="E199" i="10"/>
  <c r="E199" i="9"/>
  <c r="E199" i="8"/>
  <c r="A233" i="10"/>
  <c r="A233" i="9"/>
  <c r="A233" i="8"/>
  <c r="I214" i="5"/>
  <c r="F234" i="5"/>
  <c r="H201" i="5"/>
  <c r="K200" i="14" l="1"/>
  <c r="I201" i="14"/>
  <c r="G234" i="14"/>
  <c r="J214" i="14"/>
  <c r="D214" i="10"/>
  <c r="D214" i="9"/>
  <c r="D214" i="8"/>
  <c r="E200" i="10"/>
  <c r="E200" i="9"/>
  <c r="E200" i="8"/>
  <c r="J201" i="5"/>
  <c r="C201" i="10"/>
  <c r="C201" i="9"/>
  <c r="C201" i="8"/>
  <c r="A234" i="10"/>
  <c r="A234" i="9"/>
  <c r="A234" i="8"/>
  <c r="H202" i="5"/>
  <c r="F235" i="5"/>
  <c r="I215" i="5"/>
  <c r="J215" i="14" l="1"/>
  <c r="G235" i="14"/>
  <c r="K201" i="14"/>
  <c r="I202" i="14"/>
  <c r="E201" i="10"/>
  <c r="E201" i="9"/>
  <c r="E201" i="8"/>
  <c r="J202" i="5"/>
  <c r="C202" i="10"/>
  <c r="C202" i="9"/>
  <c r="C202" i="8"/>
  <c r="D215" i="10"/>
  <c r="D215" i="9"/>
  <c r="D215" i="8"/>
  <c r="A235" i="10"/>
  <c r="A235" i="9"/>
  <c r="A235" i="8"/>
  <c r="I216" i="5"/>
  <c r="F236" i="5"/>
  <c r="H203" i="5"/>
  <c r="G236" i="14" l="1"/>
  <c r="I203" i="14"/>
  <c r="K202" i="14"/>
  <c r="J216" i="14"/>
  <c r="J203" i="5"/>
  <c r="C203" i="10"/>
  <c r="C203" i="9"/>
  <c r="C203" i="8"/>
  <c r="E202" i="10"/>
  <c r="E202" i="9"/>
  <c r="E202" i="8"/>
  <c r="D216" i="10"/>
  <c r="D216" i="9"/>
  <c r="D216" i="8"/>
  <c r="A236" i="10"/>
  <c r="A236" i="9"/>
  <c r="A236" i="8"/>
  <c r="H204" i="5"/>
  <c r="F237" i="5"/>
  <c r="I217" i="5"/>
  <c r="I204" i="14" l="1"/>
  <c r="K203" i="14"/>
  <c r="J217" i="14"/>
  <c r="G237" i="14"/>
  <c r="J204" i="5"/>
  <c r="C204" i="10"/>
  <c r="C204" i="9"/>
  <c r="C204" i="8"/>
  <c r="E203" i="10"/>
  <c r="E203" i="9"/>
  <c r="E203" i="8"/>
  <c r="D217" i="10"/>
  <c r="D217" i="9"/>
  <c r="D217" i="8"/>
  <c r="A237" i="10"/>
  <c r="A237" i="9"/>
  <c r="A237" i="8"/>
  <c r="I218" i="5"/>
  <c r="F238" i="5"/>
  <c r="H205" i="5"/>
  <c r="I205" i="14" l="1"/>
  <c r="G238" i="14"/>
  <c r="J218" i="14"/>
  <c r="K204" i="14"/>
  <c r="J205" i="5"/>
  <c r="C205" i="10"/>
  <c r="C205" i="9"/>
  <c r="C205" i="8"/>
  <c r="A238" i="10"/>
  <c r="A238" i="9"/>
  <c r="A238" i="8"/>
  <c r="D218" i="10"/>
  <c r="D218" i="9"/>
  <c r="D218" i="8"/>
  <c r="E204" i="10"/>
  <c r="E204" i="9"/>
  <c r="E204" i="8"/>
  <c r="H206" i="5"/>
  <c r="F239" i="5"/>
  <c r="I219" i="5"/>
  <c r="J219" i="14" l="1"/>
  <c r="K205" i="14"/>
  <c r="G239" i="14"/>
  <c r="I206" i="14"/>
  <c r="A239" i="10"/>
  <c r="A239" i="9"/>
  <c r="A239" i="8"/>
  <c r="J206" i="5"/>
  <c r="C206" i="10"/>
  <c r="C206" i="9"/>
  <c r="C206" i="8"/>
  <c r="D219" i="10"/>
  <c r="D219" i="9"/>
  <c r="D219" i="8"/>
  <c r="E205" i="10"/>
  <c r="E205" i="9"/>
  <c r="E205" i="8"/>
  <c r="I220" i="5"/>
  <c r="F240" i="5"/>
  <c r="H207" i="5"/>
  <c r="G240" i="14" l="1"/>
  <c r="J220" i="14"/>
  <c r="I207" i="14"/>
  <c r="K206" i="14"/>
  <c r="A240" i="10"/>
  <c r="A240" i="9"/>
  <c r="A240" i="8"/>
  <c r="D220" i="10"/>
  <c r="D220" i="9"/>
  <c r="D220" i="8"/>
  <c r="J207" i="5"/>
  <c r="C207" i="10"/>
  <c r="C207" i="9"/>
  <c r="C207" i="8"/>
  <c r="E206" i="10"/>
  <c r="E206" i="9"/>
  <c r="E206" i="8"/>
  <c r="H208" i="5"/>
  <c r="F241" i="5"/>
  <c r="I221" i="5"/>
  <c r="G241" i="14" l="1"/>
  <c r="K207" i="14"/>
  <c r="I208" i="14"/>
  <c r="J221" i="14"/>
  <c r="J208" i="5"/>
  <c r="C208" i="10"/>
  <c r="C208" i="9"/>
  <c r="C208" i="8"/>
  <c r="D221" i="10"/>
  <c r="D221" i="9"/>
  <c r="D221" i="8"/>
  <c r="E207" i="10"/>
  <c r="E207" i="9"/>
  <c r="E207" i="8"/>
  <c r="A241" i="10"/>
  <c r="A241" i="9"/>
  <c r="A241" i="8"/>
  <c r="I222" i="5"/>
  <c r="F242" i="5"/>
  <c r="H209" i="5"/>
  <c r="K208" i="14" l="1"/>
  <c r="I209" i="14"/>
  <c r="G242" i="14"/>
  <c r="J222" i="14"/>
  <c r="A242" i="10"/>
  <c r="A242" i="9"/>
  <c r="A242" i="8"/>
  <c r="D222" i="10"/>
  <c r="D222" i="9"/>
  <c r="D222" i="8"/>
  <c r="E208" i="10"/>
  <c r="E208" i="9"/>
  <c r="E208" i="8"/>
  <c r="J209" i="5"/>
  <c r="C209" i="10"/>
  <c r="C209" i="9"/>
  <c r="C209" i="8"/>
  <c r="H210" i="5"/>
  <c r="F243" i="5"/>
  <c r="I223" i="5"/>
  <c r="G243" i="14" l="1"/>
  <c r="K209" i="14"/>
  <c r="J223" i="14"/>
  <c r="I210" i="14"/>
  <c r="A243" i="10"/>
  <c r="A243" i="9"/>
  <c r="A243" i="8"/>
  <c r="E209" i="10"/>
  <c r="E209" i="9"/>
  <c r="E209" i="8"/>
  <c r="D223" i="10"/>
  <c r="D223" i="9"/>
  <c r="D223" i="8"/>
  <c r="J210" i="5"/>
  <c r="C210" i="10"/>
  <c r="C210" i="9"/>
  <c r="C210" i="8"/>
  <c r="I224" i="5"/>
  <c r="F244" i="5"/>
  <c r="H211" i="5"/>
  <c r="G244" i="14" l="1"/>
  <c r="J224" i="14"/>
  <c r="K210" i="14"/>
  <c r="I211" i="14"/>
  <c r="A244" i="10"/>
  <c r="A244" i="9"/>
  <c r="A244" i="8"/>
  <c r="D224" i="10"/>
  <c r="D224" i="9"/>
  <c r="D224" i="8"/>
  <c r="E210" i="10"/>
  <c r="E210" i="9"/>
  <c r="E210" i="8"/>
  <c r="J211" i="5"/>
  <c r="C211" i="10"/>
  <c r="C211" i="9"/>
  <c r="C211" i="8"/>
  <c r="H212" i="5"/>
  <c r="F245" i="5"/>
  <c r="I225" i="5"/>
  <c r="J225" i="14" l="1"/>
  <c r="G245" i="14"/>
  <c r="I212" i="14"/>
  <c r="K211" i="14"/>
  <c r="A245" i="10"/>
  <c r="A245" i="9"/>
  <c r="A245" i="8"/>
  <c r="J212" i="5"/>
  <c r="C212" i="10"/>
  <c r="C212" i="9"/>
  <c r="C212" i="8"/>
  <c r="D225" i="10"/>
  <c r="D225" i="9"/>
  <c r="D225" i="8"/>
  <c r="E211" i="10"/>
  <c r="E211" i="9"/>
  <c r="E211" i="8"/>
  <c r="I226" i="5"/>
  <c r="F246" i="5"/>
  <c r="H213" i="5"/>
  <c r="G246" i="14" l="1"/>
  <c r="J226" i="14"/>
  <c r="I213" i="14"/>
  <c r="K212" i="14"/>
  <c r="A246" i="10"/>
  <c r="A246" i="9"/>
  <c r="A246" i="8"/>
  <c r="D226" i="10"/>
  <c r="D226" i="9"/>
  <c r="D226" i="8"/>
  <c r="J213" i="5"/>
  <c r="C213" i="10"/>
  <c r="C213" i="9"/>
  <c r="C213" i="8"/>
  <c r="E212" i="10"/>
  <c r="E212" i="9"/>
  <c r="E212" i="8"/>
  <c r="H214" i="5"/>
  <c r="F247" i="5"/>
  <c r="I227" i="5"/>
  <c r="J227" i="14" l="1"/>
  <c r="G247" i="14"/>
  <c r="K213" i="14"/>
  <c r="I214" i="14"/>
  <c r="A247" i="10"/>
  <c r="A247" i="9"/>
  <c r="A247" i="8"/>
  <c r="J214" i="5"/>
  <c r="C214" i="10"/>
  <c r="C214" i="9"/>
  <c r="C214" i="8"/>
  <c r="D227" i="10"/>
  <c r="D227" i="9"/>
  <c r="D227" i="8"/>
  <c r="E213" i="10"/>
  <c r="E213" i="9"/>
  <c r="E213" i="8"/>
  <c r="I228" i="5"/>
  <c r="F248" i="5"/>
  <c r="H215" i="5"/>
  <c r="I215" i="14" l="1"/>
  <c r="K214" i="14"/>
  <c r="G248" i="14"/>
  <c r="J228" i="14"/>
  <c r="D228" i="10"/>
  <c r="D228" i="9"/>
  <c r="D228" i="8"/>
  <c r="J215" i="5"/>
  <c r="C215" i="10"/>
  <c r="C215" i="9"/>
  <c r="C215" i="8"/>
  <c r="E214" i="10"/>
  <c r="E214" i="9"/>
  <c r="E214" i="8"/>
  <c r="A248" i="10"/>
  <c r="A248" i="9"/>
  <c r="A248" i="8"/>
  <c r="H216" i="5"/>
  <c r="F249" i="5"/>
  <c r="I229" i="5"/>
  <c r="I216" i="14" l="1"/>
  <c r="J229" i="14"/>
  <c r="K215" i="14"/>
  <c r="G249" i="14"/>
  <c r="J216" i="5"/>
  <c r="C216" i="10"/>
  <c r="C216" i="9"/>
  <c r="C216" i="8"/>
  <c r="D229" i="10"/>
  <c r="D229" i="9"/>
  <c r="D229" i="8"/>
  <c r="E215" i="10"/>
  <c r="E215" i="9"/>
  <c r="E215" i="8"/>
  <c r="A249" i="10"/>
  <c r="A249" i="9"/>
  <c r="A249" i="8"/>
  <c r="I230" i="5"/>
  <c r="F250" i="5"/>
  <c r="H217" i="5"/>
  <c r="K216" i="14" l="1"/>
  <c r="I217" i="14"/>
  <c r="G250" i="14"/>
  <c r="J230" i="14"/>
  <c r="A250" i="10"/>
  <c r="A250" i="9"/>
  <c r="A250" i="8"/>
  <c r="D230" i="10"/>
  <c r="D230" i="9"/>
  <c r="D230" i="8"/>
  <c r="J217" i="5"/>
  <c r="C217" i="10"/>
  <c r="C217" i="9"/>
  <c r="C217" i="8"/>
  <c r="E216" i="10"/>
  <c r="E216" i="9"/>
  <c r="E216" i="8"/>
  <c r="H218" i="5"/>
  <c r="F251" i="5"/>
  <c r="I231" i="5"/>
  <c r="I218" i="14" l="1"/>
  <c r="G251" i="14"/>
  <c r="K217" i="14"/>
  <c r="J231" i="14"/>
  <c r="E217" i="10"/>
  <c r="E217" i="9"/>
  <c r="E217" i="8"/>
  <c r="D231" i="10"/>
  <c r="D231" i="9"/>
  <c r="D231" i="8"/>
  <c r="A251" i="10"/>
  <c r="A251" i="9"/>
  <c r="A251" i="8"/>
  <c r="J218" i="5"/>
  <c r="C218" i="10"/>
  <c r="C218" i="9"/>
  <c r="C218" i="8"/>
  <c r="I232" i="5"/>
  <c r="F252" i="5"/>
  <c r="H219" i="5"/>
  <c r="J232" i="14" l="1"/>
  <c r="K218" i="14"/>
  <c r="I219" i="14"/>
  <c r="G252" i="14"/>
  <c r="A252" i="10"/>
  <c r="A252" i="9"/>
  <c r="A252" i="8"/>
  <c r="D232" i="10"/>
  <c r="D232" i="9"/>
  <c r="D232" i="8"/>
  <c r="E218" i="10"/>
  <c r="E218" i="9"/>
  <c r="E218" i="8"/>
  <c r="J219" i="5"/>
  <c r="C219" i="10"/>
  <c r="C219" i="9"/>
  <c r="C219" i="8"/>
  <c r="H220" i="5"/>
  <c r="F253" i="5"/>
  <c r="I233" i="5"/>
  <c r="I220" i="14" l="1"/>
  <c r="J233" i="14"/>
  <c r="G253" i="14"/>
  <c r="K219" i="14"/>
  <c r="E219" i="10"/>
  <c r="E219" i="9"/>
  <c r="E219" i="8"/>
  <c r="D233" i="10"/>
  <c r="D233" i="9"/>
  <c r="D233" i="8"/>
  <c r="J220" i="5"/>
  <c r="C220" i="10"/>
  <c r="C220" i="9"/>
  <c r="C220" i="8"/>
  <c r="A253" i="10"/>
  <c r="A253" i="9"/>
  <c r="A253" i="8"/>
  <c r="I234" i="5"/>
  <c r="F254" i="5"/>
  <c r="H221" i="5"/>
  <c r="I221" i="14" l="1"/>
  <c r="G254" i="14"/>
  <c r="K220" i="14"/>
  <c r="J234" i="14"/>
  <c r="A254" i="10"/>
  <c r="A254" i="9"/>
  <c r="H6" i="9" s="1"/>
  <c r="H12" i="9" s="1"/>
  <c r="A254" i="8"/>
  <c r="H6" i="8" s="1"/>
  <c r="H12" i="8" s="1"/>
  <c r="E220" i="10"/>
  <c r="E220" i="9"/>
  <c r="E220" i="8"/>
  <c r="D234" i="10"/>
  <c r="D234" i="9"/>
  <c r="D234" i="8"/>
  <c r="J221" i="5"/>
  <c r="C221" i="10"/>
  <c r="C221" i="9"/>
  <c r="C221" i="8"/>
  <c r="H222" i="5"/>
  <c r="I235" i="5"/>
  <c r="I222" i="14" l="1"/>
  <c r="J235" i="14"/>
  <c r="K221" i="14"/>
  <c r="E221" i="10"/>
  <c r="E221" i="9"/>
  <c r="E221" i="8"/>
  <c r="D235" i="10"/>
  <c r="D235" i="9"/>
  <c r="D235" i="8"/>
  <c r="J222" i="5"/>
  <c r="C222" i="10"/>
  <c r="C222" i="9"/>
  <c r="C222" i="8"/>
  <c r="I236" i="5"/>
  <c r="H223" i="5"/>
  <c r="J236" i="14" l="1"/>
  <c r="K222" i="14"/>
  <c r="I223" i="14"/>
  <c r="E222" i="10"/>
  <c r="E222" i="9"/>
  <c r="E222" i="8"/>
  <c r="D236" i="10"/>
  <c r="D236" i="9"/>
  <c r="D236" i="8"/>
  <c r="J223" i="5"/>
  <c r="C223" i="10"/>
  <c r="C223" i="9"/>
  <c r="C223" i="8"/>
  <c r="I237" i="5"/>
  <c r="H224" i="5"/>
  <c r="J237" i="14" l="1"/>
  <c r="K223" i="14"/>
  <c r="I224" i="14"/>
  <c r="E223" i="10"/>
  <c r="E223" i="9"/>
  <c r="E223" i="8"/>
  <c r="J224" i="5"/>
  <c r="C224" i="10"/>
  <c r="C224" i="9"/>
  <c r="C224" i="8"/>
  <c r="D237" i="10"/>
  <c r="D237" i="9"/>
  <c r="D237" i="8"/>
  <c r="H225" i="5"/>
  <c r="I238" i="5"/>
  <c r="I225" i="14" l="1"/>
  <c r="J238" i="14"/>
  <c r="K224" i="14"/>
  <c r="J225" i="5"/>
  <c r="C225" i="10"/>
  <c r="C225" i="9"/>
  <c r="C225" i="8"/>
  <c r="D238" i="10"/>
  <c r="D238" i="9"/>
  <c r="D238" i="8"/>
  <c r="E224" i="10"/>
  <c r="E224" i="9"/>
  <c r="E224" i="8"/>
  <c r="I239" i="5"/>
  <c r="H226" i="5"/>
  <c r="I226" i="14" l="1"/>
  <c r="J239" i="14"/>
  <c r="K225" i="14"/>
  <c r="J226" i="5"/>
  <c r="C226" i="10"/>
  <c r="C226" i="9"/>
  <c r="C226" i="8"/>
  <c r="D239" i="10"/>
  <c r="D239" i="9"/>
  <c r="D239" i="8"/>
  <c r="E225" i="10"/>
  <c r="E225" i="9"/>
  <c r="E225" i="8"/>
  <c r="H227" i="5"/>
  <c r="I240" i="5"/>
  <c r="K226" i="14" l="1"/>
  <c r="J240" i="14"/>
  <c r="I227" i="14"/>
  <c r="J227" i="5"/>
  <c r="C227" i="10"/>
  <c r="C227" i="9"/>
  <c r="C227" i="8"/>
  <c r="E226" i="10"/>
  <c r="E226" i="9"/>
  <c r="E226" i="8"/>
  <c r="D240" i="10"/>
  <c r="D240" i="9"/>
  <c r="D240" i="8"/>
  <c r="I241" i="5"/>
  <c r="H228" i="5"/>
  <c r="K227" i="14" l="1"/>
  <c r="I228" i="14"/>
  <c r="J241" i="14"/>
  <c r="E227" i="10"/>
  <c r="E227" i="9"/>
  <c r="E227" i="8"/>
  <c r="J228" i="5"/>
  <c r="C228" i="10"/>
  <c r="C228" i="9"/>
  <c r="C228" i="8"/>
  <c r="D241" i="10"/>
  <c r="D241" i="9"/>
  <c r="D241" i="8"/>
  <c r="H229" i="5"/>
  <c r="I242" i="5"/>
  <c r="I229" i="14" l="1"/>
  <c r="J242" i="14"/>
  <c r="K228" i="14"/>
  <c r="D242" i="10"/>
  <c r="D242" i="9"/>
  <c r="D242" i="8"/>
  <c r="E228" i="10"/>
  <c r="E228" i="9"/>
  <c r="E228" i="8"/>
  <c r="J229" i="5"/>
  <c r="C229" i="10"/>
  <c r="C229" i="9"/>
  <c r="C229" i="8"/>
  <c r="I243" i="5"/>
  <c r="H230" i="5"/>
  <c r="J243" i="14" l="1"/>
  <c r="I230" i="14"/>
  <c r="K229" i="14"/>
  <c r="E229" i="10"/>
  <c r="E229" i="9"/>
  <c r="E229" i="8"/>
  <c r="J230" i="5"/>
  <c r="C230" i="10"/>
  <c r="C230" i="9"/>
  <c r="C230" i="8"/>
  <c r="D243" i="10"/>
  <c r="D243" i="9"/>
  <c r="D243" i="8"/>
  <c r="H231" i="5"/>
  <c r="I244" i="5"/>
  <c r="J244" i="14" l="1"/>
  <c r="K230" i="14"/>
  <c r="I231" i="14"/>
  <c r="D244" i="10"/>
  <c r="D244" i="9"/>
  <c r="D244" i="8"/>
  <c r="E230" i="10"/>
  <c r="E230" i="9"/>
  <c r="E230" i="8"/>
  <c r="J231" i="5"/>
  <c r="C231" i="10"/>
  <c r="C231" i="9"/>
  <c r="C231" i="8"/>
  <c r="I245" i="5"/>
  <c r="H232" i="5"/>
  <c r="J245" i="14" l="1"/>
  <c r="K231" i="14"/>
  <c r="I232" i="14"/>
  <c r="E231" i="10"/>
  <c r="E231" i="9"/>
  <c r="E231" i="8"/>
  <c r="J232" i="5"/>
  <c r="C232" i="10"/>
  <c r="C232" i="9"/>
  <c r="C232" i="8"/>
  <c r="D245" i="10"/>
  <c r="D245" i="9"/>
  <c r="D245" i="8"/>
  <c r="H233" i="5"/>
  <c r="I246" i="5"/>
  <c r="I233" i="14" l="1"/>
  <c r="J246" i="14"/>
  <c r="K232" i="14"/>
  <c r="D246" i="10"/>
  <c r="D246" i="9"/>
  <c r="D246" i="8"/>
  <c r="E232" i="10"/>
  <c r="E232" i="9"/>
  <c r="E232" i="8"/>
  <c r="J233" i="5"/>
  <c r="C233" i="10"/>
  <c r="C233" i="9"/>
  <c r="C233" i="8"/>
  <c r="I247" i="5"/>
  <c r="H234" i="5"/>
  <c r="I234" i="14" l="1"/>
  <c r="J247" i="14"/>
  <c r="K233" i="14"/>
  <c r="E233" i="10"/>
  <c r="E233" i="9"/>
  <c r="E233" i="8"/>
  <c r="J234" i="5"/>
  <c r="C234" i="10"/>
  <c r="C234" i="9"/>
  <c r="C234" i="8"/>
  <c r="D247" i="10"/>
  <c r="D247" i="9"/>
  <c r="D247" i="8"/>
  <c r="H235" i="5"/>
  <c r="I248" i="5"/>
  <c r="K234" i="14" l="1"/>
  <c r="I235" i="14"/>
  <c r="J248" i="14"/>
  <c r="E234" i="10"/>
  <c r="E234" i="9"/>
  <c r="E234" i="8"/>
  <c r="D248" i="10"/>
  <c r="D248" i="9"/>
  <c r="D248" i="8"/>
  <c r="J235" i="5"/>
  <c r="C235" i="10"/>
  <c r="C235" i="9"/>
  <c r="C235" i="8"/>
  <c r="I249" i="5"/>
  <c r="H236" i="5"/>
  <c r="J249" i="14" l="1"/>
  <c r="K235" i="14"/>
  <c r="I236" i="14"/>
  <c r="J236" i="5"/>
  <c r="C236" i="10"/>
  <c r="C236" i="9"/>
  <c r="C236" i="8"/>
  <c r="D249" i="10"/>
  <c r="D249" i="9"/>
  <c r="D249" i="8"/>
  <c r="E235" i="10"/>
  <c r="E235" i="9"/>
  <c r="E235" i="8"/>
  <c r="H237" i="5"/>
  <c r="I250" i="5"/>
  <c r="J250" i="14" l="1"/>
  <c r="K236" i="14"/>
  <c r="I237" i="14"/>
  <c r="E236" i="10"/>
  <c r="E236" i="9"/>
  <c r="E236" i="8"/>
  <c r="D250" i="10"/>
  <c r="D250" i="9"/>
  <c r="D250" i="8"/>
  <c r="J237" i="5"/>
  <c r="C237" i="10"/>
  <c r="C237" i="9"/>
  <c r="C237" i="8"/>
  <c r="M45" i="5"/>
  <c r="N44" i="5" s="1"/>
  <c r="M27" i="5"/>
  <c r="M32" i="5" s="1"/>
  <c r="M25" i="5"/>
  <c r="M30" i="5" s="1"/>
  <c r="M44" i="5"/>
  <c r="M26" i="5"/>
  <c r="M31" i="5" s="1"/>
  <c r="I251" i="5"/>
  <c r="H238" i="5"/>
  <c r="I238" i="14" l="1"/>
  <c r="K237" i="14"/>
  <c r="J251" i="14"/>
  <c r="D251" i="10"/>
  <c r="D251" i="9"/>
  <c r="D251" i="8"/>
  <c r="E237" i="10"/>
  <c r="E237" i="9"/>
  <c r="E237" i="8"/>
  <c r="J238" i="5"/>
  <c r="C238" i="10"/>
  <c r="C238" i="9"/>
  <c r="C238" i="8"/>
  <c r="M33" i="5"/>
  <c r="H239" i="5"/>
  <c r="I252" i="5"/>
  <c r="J252" i="14" l="1"/>
  <c r="I239" i="14"/>
  <c r="K238" i="14"/>
  <c r="E238" i="10"/>
  <c r="E238" i="9"/>
  <c r="E238" i="8"/>
  <c r="D252" i="10"/>
  <c r="D252" i="9"/>
  <c r="D252" i="8"/>
  <c r="J239" i="5"/>
  <c r="C239" i="10"/>
  <c r="C239" i="9"/>
  <c r="C239" i="8"/>
  <c r="I253" i="5"/>
  <c r="H240" i="5"/>
  <c r="J253" i="14" l="1"/>
  <c r="K239" i="14"/>
  <c r="I240" i="14"/>
  <c r="E239" i="10"/>
  <c r="E239" i="9"/>
  <c r="E239" i="8"/>
  <c r="J240" i="5"/>
  <c r="C240" i="10"/>
  <c r="C240" i="9"/>
  <c r="C240" i="8"/>
  <c r="D253" i="10"/>
  <c r="D253" i="9"/>
  <c r="D253" i="8"/>
  <c r="I254" i="5"/>
  <c r="H241" i="5"/>
  <c r="I241" i="14" l="1"/>
  <c r="K240" i="14"/>
  <c r="J254" i="14"/>
  <c r="E240" i="10"/>
  <c r="E240" i="9"/>
  <c r="E240" i="8"/>
  <c r="J241" i="5"/>
  <c r="C241" i="10"/>
  <c r="C241" i="9"/>
  <c r="C241" i="8"/>
  <c r="D254" i="10"/>
  <c r="D254" i="9"/>
  <c r="K6" i="9" s="1"/>
  <c r="K12" i="9" s="1"/>
  <c r="D254" i="8"/>
  <c r="K6" i="8" s="1"/>
  <c r="K12" i="8" s="1"/>
  <c r="H242" i="5"/>
  <c r="K241" i="14" l="1"/>
  <c r="I242" i="14"/>
  <c r="E241" i="10"/>
  <c r="E241" i="9"/>
  <c r="E241" i="8"/>
  <c r="J242" i="5"/>
  <c r="C242" i="10"/>
  <c r="C242" i="9"/>
  <c r="C242" i="8"/>
  <c r="H243" i="5"/>
  <c r="I243" i="14" l="1"/>
  <c r="K242" i="14"/>
  <c r="J243" i="5"/>
  <c r="C243" i="10"/>
  <c r="C243" i="9"/>
  <c r="C243" i="8"/>
  <c r="E242" i="10"/>
  <c r="E242" i="9"/>
  <c r="E242" i="8"/>
  <c r="H244" i="5"/>
  <c r="K243" i="14" l="1"/>
  <c r="I244" i="14"/>
  <c r="E243" i="10"/>
  <c r="E243" i="9"/>
  <c r="E243" i="8"/>
  <c r="J244" i="5"/>
  <c r="C244" i="10"/>
  <c r="C244" i="9"/>
  <c r="C244" i="8"/>
  <c r="H245" i="5"/>
  <c r="K244" i="14" l="1"/>
  <c r="I245" i="14"/>
  <c r="J245" i="5"/>
  <c r="C245" i="10"/>
  <c r="C245" i="9"/>
  <c r="C245" i="8"/>
  <c r="E244" i="10"/>
  <c r="E244" i="9"/>
  <c r="E244" i="8"/>
  <c r="H246" i="5"/>
  <c r="I246" i="14" l="1"/>
  <c r="K245" i="14"/>
  <c r="E245" i="10"/>
  <c r="E245" i="9"/>
  <c r="E245" i="8"/>
  <c r="J246" i="5"/>
  <c r="C246" i="10"/>
  <c r="C246" i="9"/>
  <c r="C246" i="8"/>
  <c r="H247" i="5"/>
  <c r="I247" i="14" l="1"/>
  <c r="K246" i="14"/>
  <c r="J247" i="5"/>
  <c r="C247" i="10"/>
  <c r="C247" i="9"/>
  <c r="C247" i="8"/>
  <c r="E246" i="10"/>
  <c r="E246" i="9"/>
  <c r="E246" i="8"/>
  <c r="H248" i="5"/>
  <c r="K247" i="14" l="1"/>
  <c r="I248" i="14"/>
  <c r="J248" i="5"/>
  <c r="C248" i="10"/>
  <c r="C248" i="9"/>
  <c r="C248" i="8"/>
  <c r="E247" i="10"/>
  <c r="E247" i="9"/>
  <c r="E247" i="8"/>
  <c r="H249" i="5"/>
  <c r="I249" i="14" l="1"/>
  <c r="K248" i="14"/>
  <c r="E248" i="10"/>
  <c r="E248" i="9"/>
  <c r="E248" i="8"/>
  <c r="J249" i="5"/>
  <c r="C249" i="10"/>
  <c r="C249" i="9"/>
  <c r="C249" i="8"/>
  <c r="H250" i="5"/>
  <c r="I250" i="14" l="1"/>
  <c r="K249" i="14"/>
  <c r="J250" i="5"/>
  <c r="C250" i="10"/>
  <c r="C250" i="9"/>
  <c r="C250" i="8"/>
  <c r="E249" i="10"/>
  <c r="E249" i="9"/>
  <c r="E249" i="8"/>
  <c r="H251" i="5"/>
  <c r="K250" i="14" l="1"/>
  <c r="I251" i="14"/>
  <c r="J251" i="5"/>
  <c r="C251" i="10"/>
  <c r="C251" i="9"/>
  <c r="C251" i="8"/>
  <c r="E250" i="10"/>
  <c r="E250" i="9"/>
  <c r="E250" i="8"/>
  <c r="H252" i="5"/>
  <c r="K251" i="14" l="1"/>
  <c r="I252" i="14"/>
  <c r="E251" i="10"/>
  <c r="E251" i="9"/>
  <c r="E251" i="8"/>
  <c r="J252" i="5"/>
  <c r="C252" i="10"/>
  <c r="C252" i="9"/>
  <c r="C252" i="8"/>
  <c r="H253" i="5"/>
  <c r="I253" i="14" l="1"/>
  <c r="K252" i="14"/>
  <c r="E252" i="10"/>
  <c r="E252" i="9"/>
  <c r="E252" i="8"/>
  <c r="J253" i="5"/>
  <c r="C253" i="10"/>
  <c r="C253" i="9"/>
  <c r="C253" i="8"/>
  <c r="H254" i="5"/>
  <c r="I254" i="14" l="1"/>
  <c r="K253" i="14"/>
  <c r="J254" i="5"/>
  <c r="C254" i="10"/>
  <c r="C254" i="9"/>
  <c r="J6" i="9" s="1"/>
  <c r="C254" i="8"/>
  <c r="J6" i="8" s="1"/>
  <c r="E253" i="10"/>
  <c r="E253" i="9"/>
  <c r="E253" i="8"/>
  <c r="P26" i="5"/>
  <c r="P31" i="5" s="1"/>
  <c r="P25" i="5"/>
  <c r="P30" i="5" s="1"/>
  <c r="P47" i="5"/>
  <c r="P27" i="5"/>
  <c r="P32" i="5" s="1"/>
  <c r="N47" i="5"/>
  <c r="P45" i="5" s="1"/>
  <c r="M47" i="5"/>
  <c r="P44" i="5" s="1"/>
  <c r="K254" i="14" l="1"/>
  <c r="J12" i="9"/>
  <c r="H14" i="9" s="1"/>
  <c r="J12" i="8"/>
  <c r="H14" i="8" s="1"/>
  <c r="E254" i="10"/>
  <c r="E254" i="9"/>
  <c r="L6" i="9" s="1"/>
  <c r="H17" i="9" s="1"/>
  <c r="E254" i="8"/>
  <c r="L6" i="8" s="1"/>
  <c r="H17" i="8" s="1"/>
  <c r="P33" i="5"/>
  <c r="H22" i="8" l="1"/>
  <c r="H19" i="8"/>
  <c r="H21" i="8" s="1"/>
  <c r="H22" i="9"/>
  <c r="H19" i="9"/>
  <c r="H21" i="9" s="1"/>
  <c r="N46" i="5"/>
  <c r="O45" i="5" s="1"/>
  <c r="O26" i="5"/>
  <c r="O31" i="5" s="1"/>
  <c r="O25" i="5"/>
  <c r="O30" i="5" s="1"/>
  <c r="O33" i="5" s="1"/>
  <c r="O27" i="5"/>
  <c r="O32" i="5" s="1"/>
  <c r="O46" i="5"/>
  <c r="O47" i="5"/>
  <c r="P46" i="5" s="1"/>
  <c r="M46" i="5"/>
  <c r="O44" i="5" s="1"/>
  <c r="M39" i="5"/>
  <c r="M40" i="5" l="1" a="1"/>
  <c r="M40" i="5" s="1"/>
  <c r="N40" i="5" s="1"/>
  <c r="N39" i="5"/>
  <c r="M41" i="5" l="1"/>
  <c r="N41"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<sst xmlns="http://schemas.openxmlformats.org/spreadsheetml/2006/main" count="443" uniqueCount="216">
  <si>
    <t>sharpe</t>
  </si>
  <si>
    <t>promedio</t>
  </si>
  <si>
    <t>mediana</t>
  </si>
  <si>
    <t>stdev</t>
  </si>
  <si>
    <t>Fecha</t>
  </si>
  <si>
    <t>wi</t>
  </si>
  <si>
    <t>riesgo</t>
  </si>
  <si>
    <t>diario</t>
  </si>
  <si>
    <t>Rentabilidad</t>
  </si>
  <si>
    <t>matriz_cov</t>
  </si>
  <si>
    <t>ponderador</t>
  </si>
  <si>
    <t>anualizado</t>
  </si>
  <si>
    <t>Apple</t>
  </si>
  <si>
    <t>Coca-Cola</t>
  </si>
  <si>
    <t>JPMorgan</t>
  </si>
  <si>
    <t>AT&amp;T</t>
  </si>
  <si>
    <t>1. Ver cómo descargar datos desde Yahoo Finance</t>
  </si>
  <si>
    <t>2. Análisis de Acciones</t>
  </si>
  <si>
    <t>3. Cálculo de Retorno</t>
  </si>
  <si>
    <t>4. Análisis de Retornos</t>
  </si>
  <si>
    <t>1. Por qué son constantes CC y AT</t>
  </si>
  <si>
    <t>2. Por qué JPMorgan no tiene cambios tan cambios abructos como Apple</t>
  </si>
  <si>
    <t>Retornos Continuos</t>
  </si>
  <si>
    <t>Retornos Discretos</t>
  </si>
  <si>
    <t>Media</t>
  </si>
  <si>
    <t>Error típico</t>
  </si>
  <si>
    <t>Mediana</t>
  </si>
  <si>
    <t>Moda</t>
  </si>
  <si>
    <t>Desviación estándar</t>
  </si>
  <si>
    <t>Varianza de la muestra</t>
  </si>
  <si>
    <t>Curtosis</t>
  </si>
  <si>
    <t>Coeficiente de asimetría</t>
  </si>
  <si>
    <t>Rango</t>
  </si>
  <si>
    <t>Mínimo</t>
  </si>
  <si>
    <t>Máximo</t>
  </si>
  <si>
    <t>Suma</t>
  </si>
  <si>
    <t>Cuenta</t>
  </si>
  <si>
    <t>Máxima JPMorgan</t>
  </si>
  <si>
    <t>Test de Jarque-Beta</t>
  </si>
  <si>
    <t>p-value</t>
  </si>
  <si>
    <t>H0: La variable se distribuye como una normal</t>
  </si>
  <si>
    <t>t+1</t>
  </si>
  <si>
    <t>Apple t+1</t>
  </si>
  <si>
    <t>Coca-Cola t+1</t>
  </si>
  <si>
    <t>JPMorgan t+1</t>
  </si>
  <si>
    <t>AT&amp;T t+1</t>
  </si>
  <si>
    <t>Treasury 1term</t>
  </si>
  <si>
    <t>Fuente: https://finance.yahoo.com/</t>
  </si>
  <si>
    <t>Portafolio</t>
  </si>
  <si>
    <t>Desv. Estad.</t>
  </si>
  <si>
    <t>t día(s)</t>
  </si>
  <si>
    <t>Nivel de Confianza</t>
  </si>
  <si>
    <t>Normal Estandar</t>
  </si>
  <si>
    <t>VaR Diario 95% (%)</t>
  </si>
  <si>
    <t>Exposición ($)</t>
  </si>
  <si>
    <t>Perdida ($) al 95%</t>
  </si>
  <si>
    <t>Diversificado</t>
  </si>
  <si>
    <t>No-Diversificado</t>
  </si>
  <si>
    <t>Activos</t>
  </si>
  <si>
    <t>Volatilidad Historica (Desviación Estandar)</t>
  </si>
  <si>
    <t>percentíl 5%</t>
  </si>
  <si>
    <t>Beneficio Diversificación</t>
  </si>
  <si>
    <t>entrada</t>
  </si>
  <si>
    <t>salida</t>
  </si>
  <si>
    <t>Volatilidad Simulación Montecarlos</t>
  </si>
  <si>
    <t>Volatilidad No parámetrica</t>
  </si>
  <si>
    <t>Ajuste de Distribución de Variables Múltiples</t>
  </si>
  <si>
    <t>Resumen Estadístico</t>
  </si>
  <si>
    <t>Nombre de la Variable</t>
  </si>
  <si>
    <t>r_Apple</t>
  </si>
  <si>
    <t>Mejor Supuesto Ajustado</t>
  </si>
  <si>
    <t>Distribución Ajustada</t>
  </si>
  <si>
    <t>Logística</t>
  </si>
  <si>
    <t>Alfa</t>
  </si>
  <si>
    <t>Beta</t>
  </si>
  <si>
    <t>Estadístico Kolmogorov-Smirnov</t>
  </si>
  <si>
    <t>Prueba Estadística de P-Value</t>
  </si>
  <si>
    <t>Real</t>
  </si>
  <si>
    <t>Teórica</t>
  </si>
  <si>
    <t>Desviación Estándar</t>
  </si>
  <si>
    <t>Asimetría</t>
  </si>
  <si>
    <t>r_Coca-Cola</t>
  </si>
  <si>
    <t>Laplace</t>
  </si>
  <si>
    <t>r_JPMorgan</t>
  </si>
  <si>
    <t>r_AT&amp;T</t>
  </si>
  <si>
    <t>Matriz de Correlación</t>
  </si>
  <si>
    <t>SLoYkPQu0APGq0MGAJtL/Znx8FCpo3cRlNPQCK/SFyLT/B4QTyMLOyBSaZwWhemND+QaxRaqbaokYwzkNEKoudMcp2llkonQIJ8RUhZJLOcPf2KwlDB5vgyLtFsNjh9EnCdjI3bdFnNru3MQvVP68pLjTs1Ebhh5aWEnoJXwgMOw5JbeZDEVdhYD46hUVw72MNXCm4OHn5F85WBxq7aWoVTR3uUf/csJNmMkO10Fc7G3LlnDwAeqVMzKP/4=</t>
  </si>
  <si>
    <t>GARCH(1,1)</t>
  </si>
  <si>
    <t>GARCH: Proceso General Autorregresivo de Heterocedasticidad Condicional (Pronóstico de la Volatililidad)</t>
  </si>
  <si>
    <t>GARCH es un término que incorpora una familia de modelos que toman una variedad de formas de acuerdo a sus enfoques (GARCH, T-GARCH, I-GARCH, etc.); específicamente un GARCH (P,Q), es un modelo donde P y Q son enteros positivos que definen el modelo resultante; en este caso, P corresponde al rezago de la varianza condicionada y Q corresponde al rezago de los errores al cuadrado. Los procesos GARCH se utilizan principalmente para calcular la inestabilidad o volatilidad en el precio de un activo financiero, como acciones, opciones financieras, bonos; aunque este modelo también se usa también para modelar otros productos comerciales como el precio del aceite, electricidad, combustibles, productos básicos etc. En términos estadísticos un proceso GARCH busca modelar la volatilidad de la varianza, debido a que esta no es homocedastica, es decir, presenta heterocedasticidad o cambios sistemáticos en la varianza a través del tiempo. Uno de los inconvenientes para construir modelos GARCH es que se requieren muchos datos para hacer funcional el análisis, además de necesitar algo de pericia en modelación econométrica avanzada, y por tanto este enfoque es sumamente susceptible a la manipulación del usuario. El beneficio en la realización de este riguroso análisis econométrico y estadístico esta en encontrar el mejor modelo que ajuste a los datos, dada la inestabilidad de los mismos, permitiendo pronosticar la volatilidad de la varianza.  En la mayoría de los casos para instrumentos financieros, un GARCH (1,1) es suficiente y es generalmente muy utilizado.</t>
  </si>
  <si>
    <t>GARCH Modelo (P,Q)</t>
  </si>
  <si>
    <t>Periodicidad (Períodos/Año)</t>
  </si>
  <si>
    <t>Optimización Alfa</t>
  </si>
  <si>
    <t>Base Predictiva</t>
  </si>
  <si>
    <t>Optimización Beta</t>
  </si>
  <si>
    <t>Pronostique Períodos</t>
  </si>
  <si>
    <t>Optimización Omega</t>
  </si>
  <si>
    <t>Variación Targeting</t>
  </si>
  <si>
    <t>Período</t>
  </si>
  <si>
    <t>Datos</t>
  </si>
  <si>
    <t>Volatilidad</t>
  </si>
  <si>
    <t>Los modelos GARCH son generalmente usados para pronosticar la inestabilidad de instrumentos financieros al usar los precios de si mismo. Solo pueden utilizarse valores positivos para pronosticar la volatilidad en un modelo GARCH. La periodicidad es el número de periodos por año (por ejemplo, 12 para datos mensuales, 252 para días hábiles, 365 para datos diarios, etc.) Es indispensable cerciorarse de tener los valores a modelar en orden cronológico. La Base Predictiva es el número de periodos base, es decir, el número de periodos rezagados que va a usar como una base de pronóstico para predecir la volatilidad futura, se ubica típicamente entre 1 y 12. Varianza Targeting es un método de estimación que consiste en asignarle a la varianza promedio a largo plazo un valor igual a la varianza muestral. Para finalizar debe estar seguro que sus datos originales estén organizados en orden cronológico.</t>
  </si>
  <si>
    <t>1,1</t>
  </si>
  <si>
    <t>MUgCgJOnYkm5j+UrD+6NuUtSY8JqaaZCNxQm//q0448CszIng9j7I6QZerbF7ML6ISVKihaalGfm+t6gyi7fTlaxx8kE47lJJ/U6cFm3u1FP/Da6UghWxu5H0jzk7BClO8+oRUPZdnf7GfPRGi5q2e5yRxaS5EvUxniC9YL87kgO1mrc89CcIhpBlHdnmRzs2B9WPNDPO0LDMgJMUCLWCiVdtwvLnd2vI8H0SDA7D5jDErdnFpSvdWUw7T4=</t>
  </si>
  <si>
    <t>NxomH7RtJrQNQBZdMua3yJXUHxm6jfm4JbbrVxvG3QV7u4Lc0RgdZTSOiUvsT8A3hbsihfkxwK7zsc9gBEQGK9E+NZT3JHNJxhh6c+zTj6Rav9NOm6SyaPoyarUj5n6+DTzAQnvqpKls8d77dvyOejWu+BrjdCFTgJ9ERYUrD79AC1CC3NBwFpBtabFyIpo/JyN/TE/LKafXGxB6ufvPiljjfpCbILGQunXUw98XyfcNG6Y2C2D+V4Ui5KU=</t>
  </si>
  <si>
    <t>LHIFHZOOy68Z0JYHproCRqcfJ6ezE1rV9Cb/PKV7VxlApXWDfJn5MX9sQEuwNYg1uv3JELsWkofyNHOWdxvWAMZ979/9PxG6bnm8bnQgd9ZLV4vEcbHosqmgj5AlxOn2ouzUM3baWpB26wJsKyZLeL77VChs/Iw6LRwIxX7sALo7aJ1n8/b7slUGyTmgEQ3yUgWhw1j1jUmWYA2Cpb/QrcBOezD12YiUjFpwofSA6IN4AXpOhLxm7lxrqgM=</t>
  </si>
  <si>
    <t>PW3tfgjII9HkjIOF+/tgSpew/46jWQS4vDecbnbEfZ2dlZ3SftWKc36xPZ73lkz8U6d93xXyxxOZqwmQU2XL6bgJ3KM5JDpjyVSG4S+fwSGxQ4vsJr4i2Bm8qkygl9sN2VtIcjOVN9wElLwdeDx3YBZNNh+pMu+o01NIQD/B/KMboGTiWA/loOOsXPSovOwAcaKBxZAD7Q8HwE58DvWi1nVw5ouSHHhXEaJ+6SKSHTNM8tCqZou8snZoNLQ=</t>
  </si>
  <si>
    <t>kzviIWvtKy+dFHBNoiJTZG+J5pIYZjk03wuxqY3+CT3qygqyKhVRUqjhBzAOXFDJOKzinByaPg+6VwpSSsRUOkppXBWqvy0cmhvDSq0u/mGysdeJGAnvcDYZn4RSrUjoBsJtLgxrEX+zX8htG3W1uKjgHmfOysA1n4K/zjFy0V/uCutAHAJ9qUrErUjkyRlaHnHtSDCt4yuRY635r46FpqbOMoHQmPYDXBykUXyaVzm0ECC/+0GY0FWwi0s=</t>
  </si>
  <si>
    <t>5jigPaimqdR6J0gf7eDkwpGae70YvoJ9hdLHpML7y7YVG3TYZAwydo4rTmHw2xI25SLF4YtrREdZ2hNVbijaS9VH5T2H+OYUVUmyC4SFQ0mJMCLOpZ7mlBgmi5pw9JgWURMQt3ywUnpnz8RLQbcOhTyu0MJJe3i2LKI4EqZ07qORpwvZVZQniaICiHj7Bqh/Tdn1TU2yZoj/y+iI9kN+Y1Safc0f49nSseksaIcPP/V09pi4d1KvuNPjTMc=</t>
  </si>
  <si>
    <t>Vh5bEu24OIHBHRHxZoZdOQVhXPUps3/C1zW1O+lDNh5pN1aJRjDfKBFlVoG1naZDuk4Ybn5CB4Z17Vw/uWM0kcFca9Ki4ecrTWrGDBCfl65m/mdlY+7gDDRAJo/ww//ReNUjHCHr/IDVwszesdRb0C6SC/YvyfZlwFUDNxvjgmVU8M3aiB5Z4eI41oQ8jIr9C2l5oVG7hog9rkiwy0zG0Ix/lmsTyrkGDaYkUqivR0wDk0lLMzhsSw2Kpu8=</t>
  </si>
  <si>
    <t>Ogq9l5QcILevCvJ4BNNjrQqzBHV2DDbzp/+mo1Pf5xNq3rN9FKo0OMLfoy6EPRBX8AltXA+OjXZl1cvbje4m9ZBg1/F3DgRCAtoHTy9Rir/xs8iqncK95Zx0H3JobmCkpeRfR351+JSDAlxB26ubi7rHO0NZUbGc8B/HzqtDTF1L8qPgcYpFLJroVoewiaPa8SlF/JudsOGGv/HoElKD4gKJ5fYMx4U9LIebMH5hWVR0CVw2TLpnodj3/qs=</t>
  </si>
  <si>
    <t>66jzWV5NL/jzHnTL9vKfy6+ELz2zCDUN8k1ee2h/GmhH5Zic8cDfEVj68ifgSgb/df+X50emVenxfoSuGUlYUvBDSQ35AX4F79yFPeVApdM4gujyxufOcyQ1zqDohdeoYT3G0zH1+nfKJdSr4cqd3mUItjDyNsnMUwO4glQKeNPWiv33HZ8XbWVxEg0dBfIBSnxPPcT7jyPiJzqXF2ev/iHGPY8sEGHeRifY//wZLv6DBqk8GFooNFhvvBM=</t>
  </si>
  <si>
    <t>iAO04sdSIy2SeeYR4DEDObXs8mtMErBtqhDS8nr1I+C+xDS5vKCwuVVy03afbq5chTiiRjoIjDqAtW1OF7/F/XYqeYHWuvXk3X10GEw/feZg84MAf8DZWxsdVt9UWDSUpEPdk/BQw07owAqDQeEy38e9yEt1oTdZqTv1q3CX23nJN1xM6FiiqJz3j3uOA740nJEUB1srZwuY4o0ZRBhfY5+zRs1vtqJn1mpbFzAANvYPsIuzxuH7NHwemjE=</t>
  </si>
  <si>
    <t>DMa0/jmGpLR9rZNmob91Zg1VYdQNyH11vSgYfnlVf86xkmqgAYh0jjqumuUynEcOf62ogbrOqx0IzxYPi79DFizQigWrMDqMS0J8NwyWjAX8si1+bRWMHCEc5hMOTL3BqPVcYG1WKdrtaOUhCyuBo6ga+kBqqrXuLW1wnSB9GVielMo2lkSPqMx9EhP+fhTDEuQD2opNWEmEIR6DD9qwWzRXYb2NtsrbFzY7Z7pmb0auPZjXwRQEWIRszQA=</t>
  </si>
  <si>
    <t>eNMty3OT4jjk2AujQdvovAkLzzCY+nrXDrxm+TLAbdTCJMVF1ppHMV7rVuC1QFh0Q1U3GZP+NsxHdRjvfmTE3RN7iq3wP8fz8qL1wqRzvjbmLCA+qMbVRKbnZVl9Lo7yFy8fxOnMZ8/rDa3lxUIGUWfqzuZGnbsHrKtAHEpkvAPyVzPCEXWFOwc+yhqeTeoxItCyW2+QRT3NBPTaU/iyQnU4bjm6c7G/VYC5O0ebzypLM2hPuX6L7VGRWic=</t>
  </si>
  <si>
    <t>+zUYXnVHmsnAo+cl0PAWp+MnLN60R+wejxufKJ3Izrdg0ZKCdayQ3ulDxPjuZ7g6NGRonWuwSKkCyi/hgj1uDIzxVAef7SxDVjNvMRmb981JjdOqIBCxgTqM8GYn1zaxhd96E2LtVJx6bqj2ougX7k3b8xupdDVMK4Rdtg3gXZMpCgjcGGPxsoV2rnxlpF4g5931ci6sMwfIp9lgjX5w1n0M0YacwEWLjkaIwAFGvpK0ZmlTWstH3Ar53rY=</t>
  </si>
  <si>
    <t>Dwh9HI3kaeXA/yovrVJUDjiH/mVgj00PjASWeH4vKEdNoa96xzED0rhf1mBEytdFWGd7dJRULpNZV4DpsmTs2JH3I/fcWfeixtV32T4qHhkBFkwgLYQ3/TzFXjyF6MUd8m5HQ7OJlb0ilytEWQfmAJVv3GvyXQ6V0/TKbP/C5oFZO3mNsBVNN+BP7JM4U+HYvyprCAfyDrAV7rGvM5rE1leR7GSoNFLT9Y7bKxFDBJVb4N1a4SbqgDv430Q=</t>
  </si>
  <si>
    <t>gyKQm9HLQfNGfuEbcT3ExLzHUU9ymOxUpAslnjZhXn2J8dDWiqa3f/LoJWNYm795k832/6Lm8F0s4aYQTyRWJjtUgGUDEOQuzkcc20/oAKk7BToOSEwDLqx/EM008U9BsX+z5VMvH03pPORqtCddSJcpU0/IpiVFXZrEG53NJER6eQpaLNSzuO59VTbjZceie6yvio5kf4Us7zyTb+Th3SXLcvcYOzSG5NCY+BYb76GhdgSjGrB51hdPQR4=</t>
  </si>
  <si>
    <t>2mm/mRKFBJCztMrdm49GS2i5gaAgMHHLSwbeSzdW5m69Ih7vZ+n3xNxOLp394KzfvD4RPWxYkHTH72r4tXGd56lYTIaMY+mXPzU73IM6Y0nvqjHVpgwXcmSEOoL87WxHml0e1dVXu6V+24rGArK5C0zy8O2vdDWNcfsa8dR52PJhWfpjSQxD9yF5pzu+QBacQawUrorWXqshm57o0eODjOl0gtppgjakl11ALfVtNTR8peQblP/3UGfH+zw=</t>
  </si>
  <si>
    <t>RsX+CWufxL2sX6bBwqePeg8/sXrgVZhYBh0T/koLOX56ANyKAHdEnoqnsFG+WOr9wZ+JpNNER3+1mRWaw0bJ4Tuq+EphdQv7+cbhrzBEAMVGvk5hya/plB+zXcFb7WLqBujpPX5x90znznaYbOR7qVjdxW99zuw6uvQNOFN9a4T3ho7+yU5H2aouL8IJEReD0n77j8JscOEqlr9I18pJf2kxW6IkZ57l6YVz8gfx/6X6WPFd+99Cj3Qt0jk=</t>
  </si>
  <si>
    <t>d3piUNXS1x9CzachFmjF6fdKwBeXG4iSXALOmrqV6j9ovg1qCrOh3BjN8Iy2n7tcJJ8lBTvvxxGqTXiCI3goLfEH6Elrmd2rlmN4egL29Bg366WhrnUnWZ+5/AyH3INQqep4Yxls+8+QuhG4I1o+1tNfIMQuSMZnW/NN4y5VDYYBT3CeDKF8GrR9+SOAvj6euyzScwqMlq4N63Ju5d0Umat/xQ91LwGiCKmQe1LMi3V2EgrqwaYkEemFgCo=</t>
  </si>
  <si>
    <t>8B9pjcaZqeMzankkJBE5m2euMhKXBVfUq/GDB93lIEgQYL7Ddm3AMqNPgVHERynrkLfVG6X2fmS6IqjWu8BtjRN0VlHP7kmS0K8D9M2uHcyBX6Og7rIVuSrxfJKHGWarEcewQNbpyH92YlhB6oZo43Geby8lDzUmqJu+dOXML72y2065L8oRdR/OIHjO2lCf1B4X3GEFb/CH+iGqHTooNUEap9YGF8iC8krXQjDzdU64llkY4/HBeMAKQzA=</t>
  </si>
  <si>
    <t>lcXI453Xg6hYf5h8z7Xzh1n/29Z1CwoQ0LdS3MC2urdyya3DSWEM7ZlTE8sRuSquH96MOcWWDEZ+z0HI7iyZX6+zRmQFehjipRtdFtjqjgP+xila4KDuJdONVJk8f7j5MLe6mlw3YObKj8yVp+dwqWVoIrFyNB7rPvAjYMrkobSaQujd6RdPkMQmSgxYcX5yh55K4xxgXl8F9YZ6dGcMz3D3z/cnBo9x07rB6H4o2f8hWOc30LPi1/6TdmU=</t>
  </si>
  <si>
    <t>fMBuH5rRwBFtvNw7Cn6dNQXG5wH8xl38F9hT59BLgatgvYcmCy+EcZqXtiAeD8Nthv694KKJD5BpPFOCtJlkUpTbNdsYj8kQ8O97nW0JIsLNjLXUCfaCyafO46tle6cGZePlh38c4Ockq+zF+gG0SSMN4cWxUN0rQEGuh9nOOaC+Unqau6QFTvqsS4/nBcncrR6/ay0CbhNVB9jZ1Ti5tXSRCcwDMj02wD5DTkPTb5oNiuRXwuIyo3Ie9r0=</t>
  </si>
  <si>
    <t>KMnHMgAceBmlxiLebsXHxA0I+isO1livtosBeUE4yoGLjvFatd+uRtRzjay+ZMVzw9QsXzon9WdXCtBj10SaL29ISao1GkGFsfmz1q+3/XUFvHsmGbup+si80mYUYvlUBIWmSKCrX5zCmIhR2dJnmVmeVVgidAVAafesxEfLpkOHfDLZlLMRq2YlHdsRhmz8d5lRMSKpeRNEgC1kflU9Ru65VfAU1ZIIb16OR+nttiipGxrlPQuk0Boxf6A=</t>
  </si>
  <si>
    <t>tI9731DpEBKuQNYaxIlGLduvhaVdz7VBpFF1OCSJV1znAfbRREXAsvRlrR5uCgVoED7fqQAhHcMY4ZLq5meleb9HwY9wOuBGJNd/a/aKfLSvit1Y7vCRjXIB+vLqH0MB6TOuKV45OocFhBaAhNWpuvu0jqay0UiWpTm5uNu/oun0GXSBW6JuBg9m0ac2/cTP2AXf4J7MuE+Kz9gKnLn1eOaWkofBD7dbX9IStLp2xao99bpQhpvhNFLR9tw=</t>
  </si>
  <si>
    <t>MGOGZ9YrCMHfL6Mkh+dP0yvs2DC4AGTrCQEb5yK6WLvSgk1ca4isswDAGAayLsxNunwA52fFXbDmNo5r/D29DdKpa4GLzQqVx28EFT30Lp29aYQmth7usOZu/dSRjUQwXUQMCW8d9LfCJ+a2rKnE08GBIoUMied0U5IH8Zbevd6X8LxfCrJgjOo0TujczEQNoocjGhw4eoq3p7du2d3QocxQ+EUVvl93h7XLDQUGgBjWh7/KF6ImFYjKQ34=</t>
  </si>
  <si>
    <t>KBMj3Q1/Az2VBNXoAkGTW4knyKBckyNOZQdxgBRMQ202im8K42MfniN0yZpHNMdOrm7Je+izo0HgKGXBlEIsx0uCnpPC0lULePXpmuZjeoM3fxdD/dA4cS7VDxGawnJQ8m3rZG2erLofF87X2wTlt4xArunLWxjxw6QgzIbp6Zko9voj2NucNMNF6gO7n7rcEYNjRWVqzi/+o6zgjSi8vxwDqaSXWWDUj5UH5dkE4xCtTFwp+X33sOH/D00=</t>
  </si>
  <si>
    <t>p5HC88mkVHGdGqKFoBRxkabJ9cdcNCOXZCQnTkVBMp0a6VpzXNNEU19x5OQs7M4T9wEZWUYmH9lPCFP/AiNsgQSwvQsK0GnZYbAROvwS6TJuzK2pkjIGpOQwcqfomoBwDC7j0Ih0WCbH0ItY461ABJCBy4L/Wy+Avd5Nm/tw+m/JTg3kPctzFyPTBolWkxyfNfDXxSkICqOPXopsn/gkKDHHjp4oIbAH2zQF3bcHWGC7QeWL6KofqEs03uM=</t>
  </si>
  <si>
    <t>HO+w7xTZzSZEV5MeBu2rE+wngXKKTqlAdStNgJQDxZzmUMHDJS3SAA9ZAgtaCvBu0ODdzIceaJ8OjQKfJupygkywPc8Ar48pQvOzA0xiQSY3FsnA1jB/e+MM+au1prjdQT7vwn7QJzCqI2LORgDj1ErbhPYOyLfO7rS3PJe06vd3JPDoNjPpCm+wmzL4jSR7gWRaXPQjXbeH4U3gQPKu6rZe0xCRZf4TiS6pfYNLqrebvhuYoCynaXJZOtA=</t>
  </si>
  <si>
    <t>sZAgZ4Byftbv9Z9m5wXdhX4ayYH0HtvFGPy6vD73Nj6G+uy1waXk6HMNs98T859M2JA8Np4Jt30Exzn+l09R/72bIDh1ihP70h7HcAPSStJ0tKGD/ftJYF3j29TJzvUVpWzLvR5QpGIYCkdzEDVn9iX2JErI3CAK9saB7N5yNQFkIktbR+SxYzS7Bpwis/H60TPKlqkyOHxVu6ThaX42mRZpKkNvzcX98kFDjc3/4AWUbreYnLxU/oSgYTY=</t>
  </si>
  <si>
    <t>sLx7UqzQCDvD7e5gk5Mu1WaeC1FWSjZzyMUw18VqBQawCzmbjVehmbfOzXGKAAbupQvHXVWjHTTZPX43RRi8Dc6q9J+g9o8D9YfzrfC+tivMXF2473R9sDN9VDbpakawH9nCc3qFOge/9GyI6xj4/L7ZFFLyTMo99XOg0bfT5a+K7d7rRYJdhFf/hNCsQV6Dok3igrVZgdain0fC3k0FrPKBscFIqezduZIXcGPd5/qwxcpZMzgO1qPpxpk=</t>
  </si>
  <si>
    <t>2WexRsMkya1/zMXmdBvEmbgrMw19IKh/nMHuEt/NyH/hFSXtHCWnVKQsQxdXnUlM4sYdvb9jmLCmXZ30fLZMLv1v1ngJ4C7zZ9bUWW+UijB3V5a1/cjkAAvUOcYBLscdXY4/ea8rBssptDBJzPjZ0Ec3q53TrKDfd5oeO+A3zsl6+hFvkFxcbdEJN5faZhpup5rYyWitqOBbhBTJypgByoKyz2StCHKCeuAjOW+4bvRThKNTEOo+DsPjORI=</t>
  </si>
  <si>
    <t>2AtgNNY83tkDJKp/EkGTOy33jvCz8vlDTQBqqIx4fHaCVaVjnE/hK9Qf43FWhicc9kHS21X8mu26UGXNmn+Q801hiZyX81KoK80XSuRwUU3PzlyHgBCD/fGS+o+pE6HUA6KyNYw+d8NGWxK+2H8u/p9WiPJBGdts2Lbj/HRWnUS0xDDYDu4ctto4RjWXz0xGr8YyBjpMSUr9FwuqwOrBFvQ1nbCC641yYceJc+fjeWXoSHge2M8SRheWkpM=</t>
  </si>
  <si>
    <t>xn06uDiF+jBTkZsZhPKEnnZuq93T4ti7epFGwzmsV3JeZIU7xx71kNl2JEMryQVkbqSMKPp0ts4wAm0ZmJzOh1QxfnETPUjVV7eHP5M7RMljYcyZNbZtBTRIzw+kLlApNrTP/id9BIhMDvtANx+BgJdhl74y4Swt752FeDH9LGptaTeteCTLFemI8T932Si33hLwojmDOt1tj+IQSGjgjFCVTgkSvG1FNhULw/AdBnnmK57PxEYrCFRzGJI=</t>
  </si>
  <si>
    <t>lRd1fo5YLS3W3Bc4qoXvi/Nw5X+4ouApt+J/d0+ELHtkR/95odAvqXy4azIPMvd5QWCqILN2urbv/lUMpL5HO7asGllAlgxxk206b/fsL+EXoAa8egVJ4bGZKi7yv//5OoSonJpAEssPdbRYWAKVOqd9UzTInmChzJRToYoXCZAkb/CohUoxLCELGXtTuLM1ePUk8YuYm+j6AtV6bMwnSmIcwptSajbAXMrEGEormjeGfhGKXF01M6MNVHs=</t>
  </si>
  <si>
    <t>ov1yqXeRwYPbggIksGRJkUBQ1/cw1jQD2JbhXOIciFpMSdbDLn9E9JUqosrxhpf2E32rBgoH95XcdQiMyw8RvX+KxruEDDKl43Qwtyp02WLX/HLq6qKDJ02/S4C9lOG8yj9oO9ZFaHkKrMtfJlJcMPqBxbBU1Jf0/1i9SS2L60l/wQsp8sU3bABYrfcYTmSTuBuXaLOgAJhFEXFxvAA0e2nJzeF2eTnscwT15Kz9K0X3GOCVk9h/DHqHqDg=</t>
  </si>
  <si>
    <t>tUU1H4mrAvrMDdQJcqG+ieCg2drIS7x/W4+A4iSXxs8WFv9vJfJdp9p3Gm8zBsWeLlkNiSCfditT1Rfd+Vv0d1R7uH8ml7k2+rz/FcCOenPVVgMbk6wHq+hGFfHiEh6ahBLnskg6ikzf2nn/zQBNcXEWXZ3bVzzeJ8KwaUCBsGq0nErnOusRJmo7S5G2NAfhSrsEX2FvT4oSyD+OBBU1tkW1v/VqPR3fiHC37ALKJ0cbs3kMifnGNgewzDA=</t>
  </si>
  <si>
    <t>yjsZW78EZz3S+rXFn+XqbRxpmubOLHIzeCxjytStX3OM1hefTwmPdLLF5pbzi3vhEXQucAU4G9A3UsB88/x+ei2kUJOIyDk5AKNrGYjpw6pcpKNDHJosj2x9ti4Gahup0WS9D5deo/9t3+1CuxFMjWXtajVKN0IzKQkIp7EeR9tvZIDmNg68WofyxGDVHNTpKcYbFudt+NOnfOLWSXmqTbWTl6PZI4XOKiWU2HDjjrRWum26rG3R7mpRn1U=</t>
  </si>
  <si>
    <t>qH2wpLO4hkgxhZ6zfD2dAz9HbiI1xIsZeTDO8Qe8YFXA/Sh46CbdLS5xsGD8h8xQWA9iSCV4ASoaeOxr2vB9QQf5oAC9ske/spGL1daDeWVv+dJKO9Q2U63e3+QsA+XSMMhNV+B7Y2EzxhtO6f5jVR9FAvDzNqRBMLEsdmtNvG/DFmGprZaTgTPH+7SoPw6GvdlC2YWSIb5+UXJgusnW3getTEhbKuWcCMSemF7/OgZcbvN3cyRhqx4/4Kg=</t>
  </si>
  <si>
    <t>2i9Iw60JoppwOPIAsnRwjNIe7kGBwg23afU9d71L4vkESN/tV1uX6yuFLKoGRxNMWDEuiGw3ZZBOMVcfjbxpLCDGk9+LJYlTudTtinO7kms3nzMSpUcefI3esbwaconVpiK6luawZdJnTEcVj4uXQNIa+6LmpXOu+lBf5guEVdnIcaPGCl6UWgLjEI59ksI8fKMlV9hmncLj+zAPO0dwaGPRUWKzyigFFKgcY+xwit+g+kB6HAZ1V3v+5Iw=</t>
  </si>
  <si>
    <t>ahpt63X6ymGzSwGxZmjtaS9ndTjgWOwLu8N7XPcmgjBKVrO9k64P+YaNQ9MAJWM8jdbxOXmKDKT7rIahk3GjU7cqA1Rb8+gb3G/03Mv/wI7qqO0EBcbomjzK6UvYsw1Sc0wRRyo3+HvrLDiUp/UOR7RfkU/YE7B3Y5OW2WZoTmaB+AzYs5hqvgEtrhyfIFQDi1H1ZE8vqJSs3dqKMSg/L82/bEEJ1FSqSu+j09WeMeuHEXQlPcAbw7JVuIA=</t>
  </si>
  <si>
    <t>H+yJ28AHRDByd/Z7/9cBOF0oaV8GX2n9cYWi+t+ZP3h9RG3ZqQzbhnrOSbA+ZQAi83JerALUflf+lH2uz6fLmG9caNYDKDfHUTxKX0M+ICIys/qb11TedT3fFKCjDp+tJTE/eyrnyd2SLJN6PV/aL6w/EwceB6P3pMmJ3DD1QOgQEkq8rrR6qrsMO7cVWtw2wIYtudVMCapXJfiJyXlI3faS9WYi8Wk03D83cwpyWEcbUCxuQssUl+zLw0A=</t>
  </si>
  <si>
    <t>R4UkPY5m51DJa6NvpJ250ihkf/vyBInyWeFYfH9FxBWXOITWKHuvGhU1r9lVgGeTn0NlKbCW4GDCHJLTXcyhK11m8IuUKIViYcHXl0KUmAQGMHgWrkQ+tyk7Yv37CCVcxAES9ChTBPoDDetQDF/R8/uK6EzvNRcQwv7Co+dvmLay0N0Nj6oEYAnDM8bDtX2WnxjZ8QDev+5ZpKEOFboNaP56c3arnQ7dQ/2vPWuaH6gunDT9Dj2IESrZ/hI=</t>
  </si>
  <si>
    <t>Yw3XArFj9TQYsvDMQk9wLZWjKRIasJNhdK+ipr4a30OEbXT2wnBz1c78tY3lV8YlOGESurwlF+YsRbDpJee8+s3Ut+3Dn4xECCsKWXmK8M0d2Ic6hNxjUUxscx0eCvgOG9psJW+voxCVYbMfpd/EyHLakZhD0UTmFQeDNnwJMWqWTOWq01gVBSpVM7G7nO0SIXd9QH8fTrysPFOcQgt3vzO0e1PMxzMLwxwH8+DACLn+bnAbNoqKvfWfj+4=</t>
  </si>
  <si>
    <t>JsQuDXOqVThRJDR48f2s4rbp2iWqpVhah0yE04DEewjcN1x3hj6wOwNZArClamC85iGrhvBFFQgJOK1H19lXUYpV2PqFnh1NSaX1uWNk3DvNsJKbiutRWNevIKwdtCAhOcheZk/Z8jOvn9Tb1LBdzjDT8TmRmum0UmyopNyPGnUNez/IsUH8ll/caJy6P87R2MKDwlpNljfvQ+1lG8X7PCbmNvPaFZngJNNNH/d/k+1btHlxhlp9uUOE78k=</t>
  </si>
  <si>
    <t>BgH95o1AWeb5RchmBalDf/UJWhTyETzWwzzZC6AkyDMYelfdg8z5t8g/uYKZe2dQmW0RbkUJ0IwEfd3HGKh/yqjJuESsM2hoJ5HkaxCoEVfP1ftNEGaWLg3YPbZoYtqTJsLdLmTJevbz41PRV9yHvsHQDZduq+lMlvPdCgOnXyD9JXGQNCwYVUHlRkLZC+PwNKjJ7Q4cLP+GsMxYD7Hjy/myxqx5N2+v3DVdJ/hoNeZIYjZhC+N+1Mt3fMI=</t>
  </si>
  <si>
    <t>9AQc8bky9MeqE7KhbGflh4mPuyUAPKwgsS7aX1JDMJSSxshbn4wxxmreWWrJZ/RG0cNRf24TnvWczxKjaj9piBYGpWoecSC96KtCQYLKo8c9HbAzKSOrX56J7q0oYehcsv+wjopBVcDz4RDOU8RMyluleu3uZ5K0azeAsN35BaWTbc7TIESzOJ3pYucmXXbi3ZV11az9zDqUqM6CdsX3mHz754Qse54Cu9w5KUfh5QArkGQbspzFd1lXYbw=</t>
  </si>
  <si>
    <t>i0pcClJ1sWAwRjY2WZsf3bfuK0Ckpwlsq4Eut/6Zz125AINmpsWvrDxAOPVQ1um31nrFEzbQ2+iQQiG7pBjPexTdbtMiu93lLvtPEgMK0ydwCziVygPNt7dN1mEybqVCTk7Wp2RMGy8KMkr/yurXe5peTr22Rx/HpY92SRfqilcqrQPzTP2odPVnFnGOSyuFYhJUbjoZnCymULrgGNvpgF+TtpFB/qxY0Sv5EuQCzZHptgQHdXsObuB1k/M=</t>
  </si>
  <si>
    <t>2vynHGLNYJYTmhOxJIU72D11ab9ZKNWWEF3BWnBidkMD7sgMGZuzn3ig1rOxXX7FMeE21RDtgHPm5AhUlYbEIDXwJ7iYK4601Tt8ViAIpQ16t1wQGZryDynoR5MUVXZajsnSvR96iNnz6arq8duAbSkg8/x7DLaEJGPk+fe8W4SpZQwPamvbiRVqlp8MrZGDk563OUV1DsNtRBC4+pRRCpU9TUMf+UVR+UEczG5IuI1arKyjMx9f0K0AJJs=</t>
  </si>
  <si>
    <t>eaoGsxt4I/J/stSo72j6lccBK6GQF2TJYlJl3yi7egXTqbqEp5hYM8ZUG1+WKmAL/LCO9H806nE9DON/dqM6C46+dVlkqlzeMilvsBGbc4U7qQRrHSgMtu9whS2f9G+e0qTqn5dYLyl+0/zzQZr7fSoEdLK9+7jsn79pUthBeJRlC6ugqK9Y9CzdZ5UXdRuG2Yt5DSXbpL/0o8UH5W1QweD0O/dFlt8d0XhWyEfLu2XimzOkR6W5p81ebSU=</t>
  </si>
  <si>
    <t>5EXBkBZXCW+J2AVIr/y/slRfMCeFgLx9RqgnjAvUIF4bKRE9PZwte2EwNahAFpTnxeXnMPy/eZmjK20/pjp9XrcVxtOJDkCSBEdDL2SQVfmAu08bwiIZS9Wzx7KpVeYF0jeK873WzTo6K7i3Zf2tU3BABjZgwTb0c2ufoYTq4jKmAT4ssoVGThqt+PkJk2ZuvfjysEWb0g6G/0qk3cGU00aoUUxPDkokgEIjiYukh3299nlSIeoshL2pXEs=</t>
  </si>
  <si>
    <t>f2W3mhKMHa1E8VixvJ88jzaqwk1+KvgArlF8RF7XNokmTMIbfv5mc2WR3nbdepT7dqULaSdBO3kwoasZ7rgZTcdxZqr5d/bj8aiNilQ5t+aGSVRAhx6vZKVvu3fkCY57rrdIgK9LXViTBwQppvNcYeHNx7nK8QA/ntXeu22vB+wInNKuVXxJehKthYprAm4TIXbyx5p6Hdup0qYsvY3hv0oUrUG5V10L9TXUpgfqSPou3ZaN2Z5qIJJxoQk=</t>
  </si>
  <si>
    <t>zl5FBOliTYAIqDMi/qRVquBRRaSfUYIO7VrkO0pJl7Z7HC9P9e1niQZ6XiYTI7pXbHpn2T3f49QgX7OcQBT//Oyb5DFerpr6zbGbDB3KXVEyvKhjjxVp4dss8hzqhK3jfNWuYF+fklHV1ldJ1vUblC9zH2/0Jea43Tw2OIqfpdsAOxtd05szPnq2LoRvtOf6IPr/nw/3vGGO5PdnHStzZm5Ad2lM5IvEvPCsCMLM0jRWRAizwN7W1DQZo+o=</t>
  </si>
  <si>
    <t>+ywo/0ilYQuaaF7YEPJRJzJwMUCgTz6o5m8vvJpohWIc5XjTgTAZHqC9fwnLe5NHPOibTjqtU2hp30fOJ4oVNTCF16Y7uBczSEE6ix+oOdbwl8kTYDBQ3J3WCVD5SdouMk+eg58a+q3KzVYC8Yqo7E5wM1M1lzfOSJriuvKdIm8NXNn/Q+I6+BGKwWzCIlVViECdPMKoSW0hO55qUVfGoOV2wV4tnIdZFNF5dDYvOAMWFHMOmByHVoo2KZQ=</t>
  </si>
  <si>
    <t>cRMy1qRh/9A3eXFgiCFdpKaev+Nh4IaDE7ZLHZeeWU/ytx+Hn1TnrPG0Zpv4D1CsfPufkBdtPmyfex+vrdnEKbgoYgIAQopD1l05oGhb88bcbSvGFpAwrE9yX4nofZmcT5SC+jENY4GBW2EjbiynLvIxRCt66l81H/KvgarUoP/lyFTBh/YZRdR3Y9WCNyVXTdfA9YKLBfC2iJH2sbKB7RB8Levl73+3idXNLRc+rFcKHTZ72Y6Qc8hAM5I=</t>
  </si>
  <si>
    <t>XwNFBV8N7QGrNyF5aiuBW4wW0NJCcdQCZYn+QbQuDuGZOjUCdIXus4bg9lteUFePiplA3hsyhvd9TE3HpkrBukhUDz/5HUG67qPYYTUWVUrlNsPtA6lS8m2EZe6hPuk8dRLsYTw/YioRBZ4xkaf+BzTXuz/71TTAO8A/eAhHAS1yM67fTDdtlg/6q6vSbzmI7ItMmhkVmaptqjYYpB2jLCM9ejDFXB5sRFWxMas6UF11eKf6nU2UsBL9BS0=</t>
  </si>
  <si>
    <t>h6UgCmNTiprp1z/R1b8NYE8S3mhG3tPkIFiDeEmQXdA8T6Fc/ZnTQoUwYqxxw+AfvHBy7yV5A7sCvLz/+JiCrikq8CZsi3PNGubUF0D9Q6rcXGfG1q2zRKNzKt0/6smzUeNo8Zv/Q/crsDfi6x+U+goT54wwdFcjhmWNfzi98Hp5nYDwbdr/UferQbIWMowXIrQzjRuUsfiNOwBChmVfqOP2yDSeXzMUlqqoSqG+6BhI6UAGiPtYLC9YZLE=</t>
  </si>
  <si>
    <t>0XXgQlTmnHZXPMwN0WGW75V7OsM/l9PMuUw2pcyu2UGjmb7IxHxWLRPuUkI7N7je+7zJLG3dWjK8671i8dxD+mevhinEkgNiz6Jp7EZtG6t7RG59iKaEub58a5Zs9G0PjZPHZd0uzOFxtyWB3VTQXAGIPolEb9Y79tOZEmQYnlGnEJltlVx2CBGM1cUrBGk49hVJeTcuK9z9apIpfkyKudhiJ9tJeQJdpAWUwfEVAJOAm4IjVnbkcz0HjBo=</t>
  </si>
  <si>
    <t>bAzixrIiagEsDUO3yqSTwN3y+K2pNv/b9CQ4KZTH3/v25WBB6edxpWGf+i8FiaWuYBV95Vl1yyIA1DbO9oYgbQT83gt8u1m9yFqjW96xahIB1dOTsgP3ZRsKerQPe74jj1nZ15lvIBs5rF8f8i4ftKjgrIxGoZ+G3pqHWRD68WCZIRfYMIZKJGsl1ltX1fqFq7UvSPN+XLTaeDC+iofwfSS6eKqDW5BajkqkpGGmQXxpyFQvW/W+Q9UvAwM=</t>
  </si>
  <si>
    <t>d3st8/3xrJxKOR3kOmJO6tVRC1tuRHN3nLLCy+yTx5vfaDsjzPIOsA7oxTfs1/4Mx1HCQU6Gq8gaL8f5ArKtNY1qJaiCnOS90fdYjIkAT6bSlynsCcZ47mlfqPqM7iPCDFSlYwRHO+lrxQDFP/nUkRRWHR5m5l+0dgDomjPWlIoeQuf1LcCjBNjNuCqSQ0M8sx82v/VJls+VbLbAhPOEaqUBaX/Mt+G9/B4v4DD6rs9cRGLmEhoYelcuxnI=</t>
  </si>
  <si>
    <t>rfTgRBdsp9JPyDZxPEMtBPbyC3pLkXVkBLNdExRVDMI/WoaGfZZWslqeV5vDf6xSpPbqstUaOA1+mQRnJOjJRdkCCsO5nH4Y29HHp683qELX6ocwBwKnkqpg6LUeniG+n0gFfvzXj7JwezrydHUMw//If2wHOfEfXqaLKl7514Oo6MImt3XGCg+VEV3VXh8n5IrDlPWK7RXuvtkMFWIcMQJuu4ht60u8+UufAC4bGJP6qYO+2ZZ8PMdgang=</t>
  </si>
  <si>
    <t>c0RJIsOlvRvG7eg58Fr8KogJ/MXxv0AZg3ONrELypjMLIgGiF9xwoX9rmdB6ytfjUCDMQgo3ZBRBVc4qMFayO3Lp9tkdvn7AF/SEknuM16XHkldU9Zzfi9fwPDktgRjZoaZEgyZyWlBUOBnX1jxsRzGeJIeBgZaIy6Z4HJnyWjp7S14mfTYRS2Lvxvytj87Wf91OvQ7MBZCJVk4wX2RA6qlii+z/NyVYEDUN3K7LPVySj0M9clQRLjDUWnA=</t>
  </si>
  <si>
    <t>iPOn813zqL1IeLIEW+XPAKJDkCTRswJjKaNHTrAxO/7fcZnEA3qaxwCyz3NH8yE+jhIX22spWyA6IOGBlmLgVLDULddbaBqB72PBKR+kbbkLI+stQgP+nk7NNR+XJa51jylSVRnNUDWXAH1JreKLsC0IY/ldmH+2p/H+y7psp2YK2uPWr5U4akxb8Pd5ML5MVNOTv4SH5ncKGp8TZUrAxc8WRQ5nr3Teqrs/s01CdLOjvcsFwdoZ8Wwrd00=</t>
  </si>
  <si>
    <t>BWuuUTh901gxMj50GrFMFfM8ClPA7nPT2UTMjIW+aqZrmVh678ebm4o9QaJDKaM+yjae0Ly67TiJ4i3O6oAOqkkZWIMupr7QkmPmenYj4JN+wGeSI4vW5HL2p4IU+x0ktI+pMAVlrGyi30hhSoI+Q4AqaAJsTOvHkxXFssJ/KOhaopNYCRxwfbEW4PePKMz8iVeM8OQhan7/fe54nTIemzpGjOAH0SdmsjAP+ZWECX51dKB2ry1Nx8R2H1Y=</t>
  </si>
  <si>
    <t>/KlqQGhvDhZygt7H9ao/FLIUIs8b+E96irUPfwg1dGkilDml2Y+XmiZvZkBdjMAQyhkyFXy+RNLKiD4PrCdmwfgnUlzRXFQm3KfMXuGDCocbbNXwqBGl8Iud2yvktAsKKxcKDegjNk3QQlmbWKn6rk6lcuw4rgcrR+bFdLANOaHPgPItIB4XmbzkEyl0M4ZZ8D+s91B+1ENRUQu1CK/3bMuJOHxkTaYsPebYSaPTIFPdx0p1HK3AA1MnZAw=</t>
  </si>
  <si>
    <t>AWomk9qKeKywXYn8+sOy+jFyIK4Gl8vyVUserwvgbIlg1p8oUGCaaufYOk5gLaHwW6niw6tk1v7JlIk5rs99swxkAV5oUoPFaAzaiwg/82IHTnL+EIjETlTwuXhkZ3LEWVQZY10kIkBC1Xko4RWE+FISb7njNUlaHuPyAXUkNdjpCTQJYff21Vq+7Smz78KSU8yKPcrflRpxMo2CllB1KitHTz1/SQBcNt3NJ++vNvXHTtc1q6gecBv/Oss=</t>
  </si>
  <si>
    <t>tEJ0ZGU7rjgMbVWiCxRxGorTmgjUeoYehna2xzcz4WyOKlkm/2APcKKkKueszCUopm/NrYUITJImApiIxVo1DI2IeeccEd3qx1NZfoH40yitHMYtymoIiFiGiFBPTVoMbfwOGXJe/opMMFVlSrvRJSqfCcy13F/Bx7gr2+fHwCWTIcwOK40pSR/IvJiaVbdMZ7BFDFYGP61OllCCZrXAomjYBS85xjDHNQm8otdkuvX5q4uf69UqLZmNaqw=</t>
  </si>
  <si>
    <t>F3HDx3MCPuousVg38/TXHVHWau2FoCawUvS2XR0O7XxmEECdxICrxp+OAEhUHy3ZefR67WJDMsmTMvHGYGeZTBISrFY9hhKrU4ZQv7DVM/XHRpFlTy+QfKrKT91XmDD5GtQYd8i6URa0IHM/GcvQt3ytiREP8AHGeSUGDPmN6zZvynJj0NaZmwnnqzFXHr6nLdtV7iXz0JajsroN4WzsLSpJHi68M6fjxYxgKyID+cRF0zmBj559tJAJl9Y=</t>
  </si>
  <si>
    <t>ShPmRRkpPLY5qUTlQR6loEw7A84m01/NaqlqNvgedSm0nI0LjJ/fBD+576bTSpUz5YOh/o7hn3iHkBdmxHGHuJMasI6Xq5zXxIoeHaTiu0VCa96A4T5306DLUxV5W64yKXnS1AK1IsPdIupENebW2kmim2Eo3gHJKqIWPATCFzf+YWmnjVtwuG2uAPoEFMl+UQt7rrWZu0gOAwtDqFHMfiNTvISzkSrFevh9ASf0+URt+8V274btCQyJVVM=</t>
  </si>
  <si>
    <t>8R0o9yXVUyoPMMzx/dnV58KVcNMIcaFzIgylppSaEFO+qX4cDZ++aAg0g/1eE0HUmrM7POaHwvHwpfUNcnY9nrqpm9p4ttH8b36+j6UiZ6hPStAOgyHYu1x79j7SIvomo2sByHrEljg09N9itTJFk9IIzeceoOkg7Ts5TaO77nUzbMJdmv8hxCWRpVqp48IFyn5sfbo76Ib/wfb6560xI2XoCDT/SDjNbt3Ov7mwtzkyyuEN6qmupMGVedY=</t>
  </si>
  <si>
    <t>y4oFknnsQe12ZHe4KDHA3+MbpLy7WZkwLHU4pWlIVdf/z8iD/iytfTA6E0eXSHvwk2sDhQk4Y83mwXw9A3xvp/4biDH6SshU9Kw2oKUO4JjuxVzj/ZCn9vDjvgEOTzkj82PWn0zO1YULqWzRsfGyEF18W8gYkFUnhq0RQ/YBCP+mMnMQPKx2GAK2b9Qcb4BeGlv2OiZqmUgHhcXYvUtvIC0tvQ3nU2OW4aqP4ezgrDNKJP5CTy0wUXgcR2w=</t>
  </si>
  <si>
    <t>tfhF1ovfvt1OIbiMyCdCn0FfhkRJWUhwXe3cSVE4kk8aJqpp5NPyMziEY2f7eycPkzB4A+Rp+SrCzBorf2URaYzAEOhZyO3r6mVN8FVP1ffGeeJmsDTn32M1xIeqoyaVW3gllw6zx1naV7GFYNAdeQknHex5rq4hGzvGSQp166yuiJ1X7owIglygY3sVpqdgAjqO16Y3Q88qWvpWNa1W/rCEeaSQl/vNa3/xxagxMigJljwwxOw4nDWz7NA=</t>
  </si>
  <si>
    <t>W4uC0J6PxIPg5ARKgTWsLX8gDzeK7mauD4IecnocfBbp5VHEYePn7BQ31/Nztak/D6aObZPHAT1VWc7zKeu2TB7OQKTCVIRCs26ASvz5Atas0ZgvVcEO1S0mwl6rtpdsBaakPBCzC5wiUG/Uu/4bSLQCYps3AEo4Yjwb7cqmNiFBqzYtJFy81kust+3sYsAcBorjTlSVrVL2bgr6WfqIypurccF386jQ9TCdL1jLD6otbUSfPn1i9WcTkZo=</t>
  </si>
  <si>
    <t>0LLG2B4McN0Lt3SetaD9CgKCKsNM2R2YuKpQSf7P7l0PLfOuPhUrW048lUpLkvQ20LRnftSCt0jFW/ljB9n6xBijp0Ea4Ykpf0g8z7xcdhZ2FN+heo1cAg1NBnOgygZBwa21XFhje4ogeK+gKLAWasAh7ZMv3NdzlhEGv4eiiac2TJB2SnNZ99bPqmIsTC0pjODNwYbV4SATSr34PimZmsCyT9bRMmNnVU7M11iWuip7IMK81CA9IAqujDQ=</t>
  </si>
  <si>
    <t>X1fFLQ9piaHEV84y+QSF/dWdc0zELp/ZR0guzKvJ4IldpKLTET3ZBgGxYmOiTSZGeahbQVGtYVSi/Rx0xIrNMuD+TmrW7J+g3XirsRI48xissYNrb3USIbb7KEey55a+Epfi3WB49E9WDF2VE9OT6JRyoAHH5FJSOvZTTS3c8gpSV08iIuQVXiu/PBAGeGgcPLUA+6ZnFhjyhtj9jGsfL16RZR0W2yZM8FSI+hRTy/f/bFyykMh1lf4VB7k=</t>
  </si>
  <si>
    <t>ogADhdepdRfpkRFQyxtFJ7nVAu/UJyEAwozvT7Y6I3bX0YGabh6VATRsZ9DRdZ7FMIUNd0ZWnj8fQgdLSgtDo34s494VwWc9AZtzbmKnRXLnMqfl04J7VBAY6LsFFmywTVU+60zTU0ePYbBN55BcAH6ILQhykw0bvw249S7XXhREI1yeqR/UWcFugOvwOjDfQ2wIDtpwJV/W/sVrALMWxSq0/HE3/XpRJpNQNf7k5UZU+kUnaURcRsZe5H4=</t>
  </si>
  <si>
    <t>ov8/TdOkLqp6QbCz85Bd/AZY0Xb3P8t537hFE78XeBCsa7YRFOuHIPNQHiDTprSYiZEjMuT8komi51SF6wa4vBJPmxlLVSGBnKcN5vJj300jCVIrSL75QMIb2LIQzA/u19XVxHjZj8RZ+eY8hvzpeAwheDd+8Eg9WUNQ9JIsWiI4YaN0cXU7sZlB7BOOTkiW/rMMD7lGSbOXlrsrOcb1j82Ee8efUfy1n1hlpYC3fyKjyLOLct9UF/J57I8=</t>
  </si>
  <si>
    <t>QvBH8e/0atwz6kFX60dIzvnhwbopbw459Owe+UDMs3Y2tcldO2WRF7eWuRcGGAQEVKrKQMFVb8/yTs1xlyMlFMfFpZQ6d7kjVEFOObfDKR3tCF4IbDU/9yh/0gEqGm35PZ3ApvIw1P4xuCqqSpGZdobjQP6DqLmiWaADidgvDn7ECejQ3Nv1fZipO02Nmqm72N7mSAR9d6aQ+dSZpRR1u3xCT2pdriyG510XO4mikcZUXRG+YGgxl3sC+DQ=</t>
  </si>
  <si>
    <t>4jUV+5gs4+PpyU9GjQhiaRQgIWuCYouwcM1X+J5ULGfy3HdBMtVlJ1B2bAD3d5Zs+Nt4PRFmxNEYHR5FK4sMlM7eu2YO4UoPE9pPi9n6yfzOZsH90ciqw05X4sqE3zwUW/AXSqiVn4k4aWlPZwQIhcOq8HXPAnxsMPvA1HRLtb+6Hc59rmd18lsZuREjUdKH0CIKHl/C+EnQ/aqTBboi6029sS9mLNL/2bfhtKf9tzvCdLDfean/RDjsMus=</t>
  </si>
  <si>
    <t>kvkIgoRLcbAY0HF/BjuecGdTyGTVvsnVhsxqaqKE6YFc4t7CpyEewOmB2vYJ4hofDXRgoIyjo8djctdSnUvsVSsIKvPoRRyxL1ZtIBl5vTa+IRea/udGfTAA27V+z8Sj6skdVEFPxltdLGHC388ZlKo7XhY1cBGcDRIf4uVsfFxSfR+H+Xa/wndc4S+XD6aTCM7tGv3FhGknP+zVLChRTdco56NdDpbKuQ4zaMPN+3fAhmlLu4ih7hmxQ8U=</t>
  </si>
  <si>
    <t>nxeu7TARLL8UGeejRL2sISe3VwSAIcBSZnzrvgWft3AHbXv1QvEH4+XvUrWeJUjExwAcjBFSsIoA973xY2buWTBE4I82Ei4i0q/WMVLjKUmE0yply4fcOVeMNsF3Pl9M+INvy4tixO3gnXubg3x+TuVjBR9A4qo9LHBAantQhoxoyTWba2xp+/rTCct5nOJ1iquVA1m2eXAGKS/Y2BYfKQtp+OMzEtLKj/FPaTUKr1kaCMP28VRuHLYc2E8=</t>
  </si>
  <si>
    <t>Vb7ExnefkvG6PwpFhOwDJLgng0IsUgzZGborCQ4thAZLRiZ0nxcUv6NRqn4O3NaZ5tftRyKkl55z1muUmm8Sq92MF4jr8LDeQElALvJPzr5iusnYqo1RplPBpVQatZ5fpfyH4Qh18YvoQHYnQrDxSEaOthOw0zHKBCZPdxXumUpRvo7j4LKaMxCt7i/h0czbmj+fComMQHo4lwT6KgrGBIgG3Sapzxu3MSk/IBl2co3Zyrku21LPDQuI/Hk=</t>
  </si>
  <si>
    <t>2nXW/9SHLaPHpiOMjLQjFNefBOUOrbQ+EwZKGgDJwhVVJSIzUJ+S/xvr5iY26m8td7GM0mscDuo90iA5tdgmDyXOGIhWiu9ZmeS1FzbqCYyWU3GhgTKR++Juh4moSHam2h/Q2t6B1lV+0uPuJHdshG3k8pXZ449ukjmsB2LEE8DqSBSAk+f42tIoivgyF7TdUZ7IZQDVQVkKhlVIOb5EHGb+F8/d6dFijT+ZV/N1bC3Tcxb7ngtn/Wmc7no=</t>
  </si>
  <si>
    <t>POKrI267XdbP/RmiutqL/s0nrwV7KLFSWO5X+QMVCzrnx/7dA/4HQj/XcUh80LaJnvUpD3D/lefEGzm8jkD2Iil5rk1dJI2fcikCWfGbxXf7hLHhsSM6RF0N2zU55tB+Ha9s72jNqeXgqD0X0DFPjCfmxVDyYJIDTRlKZo70GSV+/vHzqXO8Tu1Shs8r9d6Nit7libeMkpCvqXyWN5Q1DJANe68ODnx3hN8g57uaCjEXLrWrzUakwBG45hY=</t>
  </si>
  <si>
    <t>hT3pKAxWzLk9vVvp1LqMxRUsHDnpVgxMSDlcpI4XUv0anp7d+scwi8bUTcwUYYAdrVdBqVz0zNi36loUGjMaVpAEIBpSq/9rpJILG5GjuMi26BRbNP6Ln0UoaHbxs3sKX3fAirMm/MaJKgVanHfOogrr2tf7m8O3zNHKUJQon1QlfSumUa2AQpQQX4c2JkrCIhYhwCfmNLIMY3wqq4QXkhM1ZHkkycTiCgTIxTanDVzVMTq1WRlDMP5YCXQ=</t>
  </si>
  <si>
    <t>Woy0+kBp0PGw3md4jdwl313oR081S5o2BR61p85ZR46Bpj+V7Ngi10AMoIxtUwlokrhbF52dZSOiB/zxE9VJzyLB7Gk1WhsYJ7AKsA3GCUD8s4KxXmAB5Fbh9sCDekDv+nfJZkLKgMOclaIWgNVvzxLF0sRSb1urlxwzEpTnVAHCYTuRbddgkt/ugeNrEJRc24Tgjgdut8rtjAYKAF1E7QW7TQxrGbWwcai27s9jOwceKM1gClhs0kZIkTE=</t>
  </si>
  <si>
    <t>I4OqQLhPZymB2uWsLA2C595yJ7YiS8ARyDq+atuj5MWV11I9ouAB8J4tsbNyMyl1nmjaWXpz7SHcWfy5ERCL9gXaK8yq64ak9mkdCYImrisNU1jUIlGeGDSqJ/QkH4oxrlO19rZ6hrkAiB+nXsP/smFdoTqv2DaoBLEybHkTRhWASEAbIwqJPXU0DISLI8NplY9qkPQuzNU3L1K5r3aZQa21kmoF0jxinEKlMUGSF5WuGdqhki71jE/ntQg=</t>
  </si>
  <si>
    <t>22F6swnfCMjLxt5l3rRTmVxA70XnT1rLSSSpFzst+nfROSs4Ydz8gia+hAwet5lugMfD/SLma0Z+9lhr35cZERXbkQ9MXKNBX6RDhEdrTSsowJjFoe6mDOMkMJFPhIAwqMx1Grr0hFrThnT+Vv23dAkl/lAoKNX/7QoTC2XmZ36xCaZ85AaO5hiyMVqvlF9YBe/DzMQbDirkD7RN0aTCaZI25rDOMeN8Tao2tNDySREk67jeHaF3i1y6Qjs=</t>
  </si>
  <si>
    <t>DA6E7bJ+JrlJfz46UKy3SPX/HkId4pKgo4SZwXIxPCftxeMjODfgsty1XmgUPdk4NI3Ih6+iUvoN5qyisexIOLDUgIAlv79g1V5kQmhy82G7GjMW/wvGRN3H8fmELC29Z2xEXK4dhliyQa7cm4V6yKFvcvCbQD01qauTB2IwUxYTGGqgNrM/nt7jcQuxA8AGjtaNIfLP2UrZ2cFjyDIrAFmY6RRjmTlkX/VcUTTzJ3Y8wewePNRkIj3Z/fo=</t>
  </si>
  <si>
    <t>v40timZ/eWGz7Rn/RCjODvIEr9DBce9h5D9oXw8o06QBJIq4AiAUAt07Y06ZMB3gLv1vQL39OIa7CIQHMsPSH/i4kNssbVIuIEplwWlK4lxlWGl4mz1qUzk8Pd6SziZGdBOc6FHSBJTH06pL+h1JnUAok3ObhTELXZU534cXkjoc03fTIo/DirWe3GxFPEG51l8nV7u3Mc8Pe811CzSbPPXwMFdfCay8SJx4wcG1NYOlmRA0MkFe4TqXp/E=</t>
  </si>
  <si>
    <t>QOrMk9WX+aNZQPlUhhwOxokMe5jWhjpXdgbIVQkftFn+jyklUTckir3pyXS2eMl6XGFBh6/AQeHfORzI4Nph9Hx0z9FuKk33oYf9d9cBP7sAk0BN7oI8+Ma3CjjeARfDXJbTywp9t35ISE7ZezrzsoSzpR7yQcLYnjkqNYLfy0cshS7zaNOON7aBdUGnWqrCRNfg5B74JP1ZeSJgom6GEwi2k6Uq36J1bV7KQlcGanVsffZFu7mDUH6q8Yk=</t>
  </si>
  <si>
    <t>n5DTehqlKnUUatJroO9NbQkVlc76q3rFPlvqakxAbBui48CaJVRhTmuVrnakZD86RMzTGwHxeSNVFQ1w6DEElHitRpmhDrf+nYPIFvtkozVGIUk7RSKh/jjCFKFsjoKOzFSKPf1gnDa+/r7dFf4kMv4wrdMEvnlkp6LZyLQXPL02pg7JX8DdOJOCndaCEXj36wEe95YZw8u4r6Qh2gBHhMWjjDVsCYYf8awBijDR0q0pANjZMDMYd4YnlkM=</t>
  </si>
  <si>
    <t>HxSdlH1eGWozMhXsXihKJaoqfiVvc0vdgXbaDjdK+6PWwSXiFBS3xSQmPFrryUCCEVgPMWI6VApYks9MZzjaeyEovoo9uFa/5urOkZDy8wSsVkKak1r4UvIcqW6okFnJl+BC7ChR/r5scTw8aSRhN5EN/T+97ZfMNbB0AH0U8sZMWU9THP+Xr8Qr5UyDzX8+MDtSHba6rBfk5M9AYkA+rZ7h85m82MbBM3ap+n2MjFUOEEbmhjTIqKN9kqo=</t>
  </si>
  <si>
    <t>AaRQvppJHS4Rgu7/bXCFwvYvemRpGm6g2XAxihV3/5gnt056b9ECsNEcdIIIaEJzukxacEuCT5KZz79QRNxhzWN0DTSth2HGHXbWSK9IT0BwB0HTYDn4gmBZeMPf2XvQ/7o5ZT8Rcwg2MfOJN5iXNKMqLoWnEIoybMYrAyEuSrUVbNORoq4YKDGmGt2ecjnlRUiMFRaU/s1pgidremHxRH7qyrl4SGKjZt1ZcH3wU4NYWMcSK0ijtTQmWZ8=</t>
  </si>
  <si>
    <t>lgf6RgX2Lo4dX/yqyYW1ClyK+nqpyIjkAJ2MS2dUzqqegQKLk7y0sSL8hIcaQCXQQ4SSmzJGDJzUv6sQGStAtGOpX4UdllnrPRipPfNI0U+bH20+p69yEHLLbmRr1hj8AzFlBKgFl+uCwP2AoKsUBX5PMyRLcsq2N7jeWezMrhrTz/ux5fLc7Y1+HQJ4QrIJobyJRGD6cqFs0e4QG/U0he7hhsPQvNAuxPHPat8yRVHeYu+Y51t7H8DO/p8=</t>
  </si>
  <si>
    <t>XHvcWBwxUfC75DSTnC6buCz4rjAC+bLmtkM9fnpvqcsPZCf7Ux9OfnCbjmbaD2/BGjAUWKzWaPNJE/R5Wxhm3+gJg66pfRYkUbDUyCqdr46EjOrHdPM30KPCSlsKXXMVk3yhc1Vu7K4a31uF79QzbdHAAX/76R7L2jEq3BA9kBX2BRPEiacfFEoycVPs0W4KHYWYWfqwnGqzZ0FzTRAs61gyeu1dWEYG3/rhCwuU7iDqWz9VzlBAzjcefiA=</t>
  </si>
  <si>
    <t>IJ8+kHA3/ufFtE2OSG6kr6bVFF9CE9PY6ToeMivADduKZMUxpFNZAoV4VrTB8y/WuOCpcHFVf/ifI4NqfJXyViI03J8xbTPOEMkwXbNdfbrLAa8esuKSdLCrX7u/NKU3WCKCMlWtTfY/o6cxl3MI3EHP7ubk/wkqOmAw1JIqoHO6l8kAaqjSExERku7KZg8Sj1BUK3C6jtmEKUWqsBfHxlsddkO7T5CPEDh0QdIIHLmxdF6/DFOaGsjdFqs=</t>
  </si>
  <si>
    <t>gvSpClb2Dxultz9cek88NohjPOo9nlkoAmFXd9JH48NqvNh0vJ/taRT1sXA4VqNp6w1ACKsgvvUs3OfZM2rfTvyzKeV8fwwPR+VwN4wmWCeSCY2RPl01WESu0fMTAd5Tps3qE/nphw5jfFsid38e9da6t0NSIFUOgfhxFYArAq7JDF9T7ziKq2LbhCYpALfqRzTzN4PUKiUnArvIVYEmyHpHSGjTilJAQ826CA1baXVq/G8U+qPxCJ+Gf6s=</t>
  </si>
  <si>
    <t>G3itv9zbu70z90F3CYE/yy+OyQEoCMjMU70SpJuwcBX3H02QzOam+uaZuHxTHJB4aXE/RdX7e/HvynybyRUz/NojovwpJ9A1WvTa+/hUM4tHaxRymLEBGfgbcBP7SDA6lGptXgCklEVCIXzQPhrniTcMzcLBSQt8A0KltZBbC08Cvdy71pQ6prsRJ4InlPnPeznStGffkFXwyckJwXFlBngUkuXFx5WXmVZQ3kt1wkaNFIJmGjybjOSbBh4=</t>
  </si>
  <si>
    <t>BkhPdVH8f/gVifc+q+1hgCQTbo2ZBTXgE7INWUkku3U5eVBD6ZDrih/yMeHnayOV5Y42MIr0b0LlzT0UKMJWqc5+PPt80N/brCZF5H+6PTpIzqTMHoLzruyGJnG9aBDAHHYLAGRbV6FXdmDfSpiB82ThvH5BbRulcapJytfNvhJ/eYVbYQRGQe8P/PvpuE99/v4pZNknM4udC42plfIb5Y3fgJxBnSJthQHKnbpJIQoOI6APfTZZxsIh1jY=</t>
  </si>
  <si>
    <t>2RlfwaBaRx9Lphi4hPTUnNjQtprfW6W1GLJnnB0dKg2zHpMzx+ruUsE5StIDbuWLcsxgjFR09BCQWg0v5oc9rva/u2EK3h780E0qrip+KyJTGRh7AwQHH7oZ8VWjliCjxjaN7+DSwv3GwPApivZRpts3/wAVSiOPRVzApHOcFiq6kMih1YiuowXo8phZC2RBV7HiksjVMmZCzZRXkFhXMETtj0kKEO+/tLeA/zFb1Wc+0k6H8Amz8z/ZJqQ=</t>
  </si>
  <si>
    <t>J5jDJwCWEa2n7M5Mhb6Bl+ArFqizrXHqXIsULycztJ77ivWzgMTYQW4QQTla1W26N5NytADHGySFFqM9e13DxT8jk9LFP6kY6n4L4nS3ysEfdLAjgFlhgnE4/4a8xKFB33KxRj+LbcfTqGoDB7gpfa5e7ppONa0gTf/mMDSqnThM/3p7ok4Wu6yq+XkI2xOqSwChA5INHs45UmTydr74ywmJ3RQL5vQCZ72mkvv84Zg8b697VUpRJa/G6vk=</t>
  </si>
  <si>
    <t>P6zQsNgDw+DmsbgxGALGlerYFMRvrIKQj3+OCW2BPVa5nfb2SerOOzQ2tnUM1DrTJuQF2WWMa4qdvRX1Jl6qeEoN92VrUsYAm9cBN32sFozbe4aC+Fz1JxrH3wpn4GnaL+5xEMu+X70o5+WaknpMOBtVLHRaNvNYTLtDA4mgCKalyFNEefXg2Gu4BPvOd16abqiDDE4b+NobRNWqgkFZQ9QAFGyxpdrpSgGXl7O8hdwSvCFq7GuSNzblniQ=</t>
  </si>
  <si>
    <t>eKMCnwWiSBxHFf8SK63VJAjZf7E8zNeVUzJRSIdbLJ62Mr3FfcUd6DGONc2FchP5dPrF7h/QVNutv10TeEepz+9y10zo5J8qbxlPS4aI1OMSU6V15M3kcz1wUcHuW2JI6RSntif07lszCjrAGXqzxPJmeZ36XMws9qxHmNufLPUdO1cq10dO1CH1u6I7K0N+rq1NPCdPNlPD3abusPrYAeBF4tHmcP/xeaHNPQPG44xmiQCwhN3Fb+wGJe0=</t>
  </si>
  <si>
    <t>3jtJ9AKkO8pMFDlfuQWAjp+nvPewHyO+dEbE+JEvOPjutfMvVGa7PHqHVF6v7vV5NpAdNiEQtMG41HGufZS/FCKxisCWC6Gt4sIyuNCoy9GCtKqcOriLTu1wpPyr2uUmLH8GEiO0AbKM7/3uW2afMgI8dub+hnw4mwqfDcww+4TI8xqWu61Vu5FDHNoRwQRU/ZF660bKLufl9yUIv1+aAZJ/tKND0M5QlFRb4HDNZMuZbmq9JWwc+Pq6o14=</t>
  </si>
  <si>
    <t>SfXdwYBjV/RPzo4cpgSLfvSlQIKxnq7BlQq19gf/uMq9nBU4gg5p07Ixrs0rr+0FZW3RxU9gJ4mWhdzko4pQUCGM2Z5z3vQUP3g8oVcS3CEkdyjjcS9G3rW4zeFaq1q7PsOUZKMmRGI+MaJxhCofqVCS/jbHIpXkX5GjdM1f+C94kVbF05fE+Vg1DOTxp3PCju2TDPCw/Pv6orzww9cfV/n8fMV/KuTCmf9Z1HNbZkAToefH64iQShGrUNM=</t>
  </si>
  <si>
    <t>cSJ+c2kqeSlKdNNJ8UUOFa1sMkZj5vtf7QlPau95dnyIqjMC0AvLISHF5+dQ/e96i/Nav8R5lDz090pHLjmA/RgJXFgFa02P81RMBBzCielQV7VObao4wsneGmQuFc/FbxPfgAP9csxEZlkbIFmrUPqgQsg4wrTY1aHA3Z1e6sc77TTdzxvXo7Ao+nhz+DIoCby7G2/IrV+cEiRlQit9llO+kNgEz3VRNWorzBqGTA7Js9IktO5pWBfMn3o=</t>
  </si>
  <si>
    <t>pxDFjp5m1U5DbKb0UfPrfSTl+MJJ39Y1/IKWdHjfgQp41xZp6x3SGrXUAzAfcldDXdu7zG/r7U+DB/KxrizrYRUlVqmcOdxeuOzCEnFCvKG79pvi7nKLjJVN4uByicjLjxFFjir/NYHrMtlh2fstq72o0BU99jjo4XVDgBYU4g2Kw7oP49S35FHOUHYMrgs6H6m/etmhkTEc/7iNLc7FkDwieMt8XUidDtnBRQhHOe/n47HoGf85SQra/8k=</t>
  </si>
  <si>
    <t>lrxPx1t/fg02F1QWqbU+97TfiIfKTjwZovePI3rs1Abl4Ecx0zAMutT6735Kv+jALO7NDMhNw1JihxRAYdNyOhTbe4OrSYovpf1wQCppytvuixNcfn86HS+5oQ+LaBIHQDAZP4YzGZadhfbHzcFewNp7CGIKm/L8qAXPZ7kHSbMzZo58j5+5iAfniEVMccMGmGVFcSTNtCc5A7alhRlarLtYESxbqbAw2mWEHJLEazvX2ty0KNw5FJL2dLY=</t>
  </si>
  <si>
    <t>hnulBU5Iqp+38sK3Rpe8n/7h9ZV/PGCDqbY9z5/3QPy2LzNWQ7cWeOMOInwTBeEyk+irGHNC+99lPKxyKRcVSJJoQlZDx15protaL5KaRdThQ54Kl7laTSmtaLBtL67lKahuKjDZZ+8OXIj1JaK+6dwKKXW6YGBtQpleGNw5kPSWtX3h1q39+WQwyT6bH/aKaWeim08ryMtcnEXX8vskpEzsJRgiDr8j/uG/IB/RwV2WuUEBt0ALgLYJJZg=</t>
  </si>
  <si>
    <t>yt9GWV90HOpX6yUpdzIzE4mFJF7ntZsOzA7d9aFBVZ/nlA2ulCLRcDoI4G8NCnqYhU2MdjcrpkT1aini/AErL3QWvnlpXmXdzXNiOlxlzs3b0TVXe81KZ/fnTmOPtOu2ZRIBBvt4Fko8hXAYccWbG227XS3uyfLTIQs5XZEmqJPeHiieY1euwxx0VntEQ7wxLsZW6eCtQG/OlbNwtEbS10buDjbicor+Z0dO/MijS9XKjuRnf87IRVakQgs=</t>
  </si>
  <si>
    <t>WhjZcaMmmrd2/+u4+Ga7kIkwmke1d+enUCKJRluunjRZTM/tkjYu1XIkhNWBy+OIEXOIr4r+tknWg6+qeHrOwuWwi9Bv58uc6fVwkD1YeGwDddFRiIerebbZ5PUDKtJecJPhMV/Botnp5yPUISF0crA+hjMAXKGhq2gdaZ4UVNvXHtg9hNn0L3nugYdSVvXQWMrijsx/vzUpoHGlpj4XiiMhB66b//nkq1L66lNfCzwULMZJ3IwBZk1Yh0o=</t>
  </si>
  <si>
    <t>6Kmo9MP3Dc2SNDUODisWNgulYh//KMWtOmbWd2bCoaD7mKaXKyGgVTD6YHUI+ApFmPF0X20yUo6GIN+BG6b+w1d5vs4yN6GwVD99t/bcqvqfTFCOc8mUI1H0OyqfZ0EXKx5gG/hkjzCtYT+hPJFAOulZ0KiuF/0DsVjoEXt5fmHEk3yYE4oiWKW8Cu8mHzqYrrdqsqaIqb514l0GRHzhtUFuSKZPKiMWeJ05Kwwva/kEyClRszPjV8BIZvQ=</t>
  </si>
  <si>
    <t>upAffXl9YQ30XX4O4oDEu6f7KvEwNJOdMZRcds0+snSeUZuf0tk7ZDVod3PcxpOJfqoGs9QCpEPf7h+DTzlSAkXSlvZSUDwHIIgcjNJ5EUaqG7hu11jDVb/LAc1lBX5mHBTvvm0oYmPaYVdzm1QSzm+y50XwpoIYCwgEtuifTuQhUUnqjLagtEpZEDz1TOadv7pZeInm2y/kUvmQKgvRxfedjgkKwnjupoPfdyLkyYWr2qBkf9In3VuoCZM=</t>
  </si>
  <si>
    <t>wCkK91F7JoR24puSx6zxSABPOConwdcUOcn4PeyDtyjcdvIq0uoqoGyMnWEae5AK/jsTmFTyZww+fwAaPkdABgQC03sEqFgoSQ2heFbuvnSduLgJQsPxJeSI3IU=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</si>
</sst>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quot;$&quot;* #,##0_ ;_ &quot;$&quot;* \-#,##0_ ;_ &quot;$&quot;* &quot;-&quot;_ ;_ @_ "/>
    <numFmt numFmtId="164" formatCode="0.000%"/>
    <numFmt numFmtId="165" formatCode="0.000000"/>
    <numFmt numFmtId="166" formatCode="_-[$$-47A]\ * #,##0_-;\-[$$-47A]\ * #,##0_-;_-[$$-47A]\ * &quot;-&quot;??_-;_-@_-"/>
    <numFmt numFmtId="167" formatCode="0.0000"/>
    <numFmt numFmtId="168" formatCode="0.0000%"/>
    <numFmt numFmtId="169" formatCode="_ [$USD]\ * #,##0_ ;_ [$USD]\ * \-#,##0_ ;_ [$USD]\ * &quot;-&quot;_ ;_ @_ "/>
    <numFmt numFmtId="170" formatCode="_ [$USD]\ * #,##0.00_ ;_ [$USD]\ * \-#,##0.00_ ;_ [$USD]\ * &quot;-&quot;??_ ;_ @_ "/>
  </numFmts>
  <fonts count="17" x14ac:knownFonts="1">
    <font>
      <sz val="11"/>
      <color theme="1"/>
      <name val="Calibri"/>
      <family val="2"/>
      <scheme val="minor"/>
    </font>
    <font>
      <sz val="11"/>
      <color theme="1"/>
      <name val="Calibri"/>
      <family val="2"/>
      <scheme val="minor"/>
    </font>
    <font>
      <sz val="11"/>
      <color theme="1"/>
      <name val="Calibri Light"/>
      <family val="2"/>
      <scheme val="major"/>
    </font>
    <font>
      <i/>
      <sz val="11"/>
      <color theme="1"/>
      <name val="Calibri Light"/>
      <family val="2"/>
      <scheme val="major"/>
    </font>
    <font>
      <sz val="10"/>
      <name val="Arial"/>
      <family val="2"/>
    </font>
    <font>
      <sz val="11"/>
      <color rgb="FF000000"/>
      <name val="Calibri Light"/>
      <family val="2"/>
      <scheme val="major"/>
    </font>
    <font>
      <b/>
      <sz val="11"/>
      <color rgb="FF000000"/>
      <name val="Calibri Light"/>
      <family val="2"/>
      <scheme val="major"/>
    </font>
    <font>
      <b/>
      <sz val="11"/>
      <color theme="1"/>
      <name val="Calibri Light"/>
      <family val="2"/>
      <scheme val="major"/>
    </font>
    <font>
      <b/>
      <sz val="12"/>
      <name val="Arial"/>
      <family val="2"/>
    </font>
    <font>
      <sz val="9"/>
      <name val="Arial"/>
      <family val="2"/>
    </font>
    <font>
      <b/>
      <sz val="11"/>
      <name val="Arial"/>
      <family val="2"/>
    </font>
    <font>
      <b/>
      <sz val="9"/>
      <name val="Arial"/>
      <family val="2"/>
    </font>
    <font>
      <sz val="11"/>
      <name val="Calibri Light"/>
      <family val="2"/>
      <scheme val="major"/>
    </font>
    <font>
      <b/>
      <sz val="14"/>
      <name val="Arial"/>
      <family val="2"/>
    </font>
    <font>
      <b/>
      <sz val="10"/>
      <color theme="1"/>
      <name val="Arial"/>
      <family val="2"/>
    </font>
    <font>
      <b/>
      <sz val="10"/>
      <name val="Arial"/>
      <family val="2"/>
    </font>
    <font>
      <u/>
      <sz val="11"/>
      <color theme="1"/>
      <name val="Calibri"/>
      <family val="2"/>
      <scheme val="minor"/>
    </font>
  </fonts>
  <fills count="10">
    <fill>
      <patternFill patternType="none"/>
    </fill>
    <fill>
      <patternFill patternType="gray125"/>
    </fill>
    <fill>
      <patternFill patternType="solid">
        <fgColor theme="8" tint="0.79998168889431442"/>
        <bgColor indexed="64"/>
      </patternFill>
    </fill>
    <fill>
      <patternFill patternType="solid">
        <fgColor indexed="44"/>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indexed="9"/>
        <bgColor indexed="64"/>
      </patternFill>
    </fill>
    <fill>
      <patternFill patternType="solid">
        <fgColor indexed="42"/>
        <bgColor indexed="64"/>
      </patternFill>
    </fill>
    <fill>
      <patternFill patternType="solid">
        <fgColor indexed="43"/>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bottom style="medium">
        <color indexed="64"/>
      </bottom>
      <diagonal/>
    </border>
    <border>
      <left/>
      <right/>
      <top style="medium">
        <color indexed="64"/>
      </top>
      <bottom style="thin">
        <color indexed="64"/>
      </bottom>
      <diagonal/>
    </border>
    <border>
      <left/>
      <right/>
      <top/>
      <bottom style="dashed">
        <color indexed="64"/>
      </bottom>
      <diagonal/>
    </border>
    <border>
      <left style="dashed">
        <color indexed="64"/>
      </left>
      <right/>
      <top style="dashed">
        <color indexed="64"/>
      </top>
      <bottom style="dashed">
        <color indexed="64"/>
      </bottom>
      <diagonal/>
    </border>
    <border>
      <left/>
      <right style="dashed">
        <color indexed="64"/>
      </right>
      <top style="dashed">
        <color indexed="64"/>
      </top>
      <bottom style="dashed">
        <color indexed="64"/>
      </bottom>
      <diagonal/>
    </border>
    <border>
      <left style="dashed">
        <color indexed="64"/>
      </left>
      <right style="dashed">
        <color indexed="64"/>
      </right>
      <top/>
      <bottom style="dashed">
        <color indexed="64"/>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style="dashed">
        <color indexed="64"/>
      </bottom>
      <diagonal/>
    </border>
    <border>
      <left/>
      <right style="dashed">
        <color indexed="64"/>
      </right>
      <top/>
      <bottom style="dashed">
        <color indexed="64"/>
      </bottom>
      <diagonal/>
    </border>
    <border>
      <left/>
      <right/>
      <top style="thin">
        <color indexed="64"/>
      </top>
      <bottom style="double">
        <color indexed="64"/>
      </bottom>
      <diagonal/>
    </border>
    <border>
      <left style="dashed">
        <color indexed="64"/>
      </left>
      <right style="dashed">
        <color indexed="64"/>
      </right>
      <top style="dashed">
        <color indexed="64"/>
      </top>
      <bottom/>
      <diagonal/>
    </border>
    <border>
      <left style="dotted">
        <color indexed="64"/>
      </left>
      <right style="dotted">
        <color indexed="64"/>
      </right>
      <top style="dotted">
        <color indexed="64"/>
      </top>
      <bottom style="dotted">
        <color indexed="64"/>
      </bottom>
      <diagonal/>
    </border>
  </borders>
  <cellStyleXfs count="4">
    <xf numFmtId="0" fontId="0" fillId="0" borderId="0"/>
    <xf numFmtId="9" fontId="1" fillId="0" borderId="0" applyFont="0" applyFill="0" applyBorder="0" applyAlignment="0" applyProtection="0"/>
    <xf numFmtId="0" fontId="4" fillId="0" borderId="0"/>
    <xf numFmtId="42" fontId="1" fillId="0" borderId="0" applyFont="0" applyFill="0" applyBorder="0" applyAlignment="0" applyProtection="0"/>
  </cellStyleXfs>
  <cellXfs count="117">
    <xf numFmtId="0" fontId="0" fillId="0" borderId="0" xfId="0"/>
    <xf numFmtId="0" fontId="2" fillId="0" borderId="0" xfId="0" applyFont="1"/>
    <xf numFmtId="0" fontId="2" fillId="0" borderId="1" xfId="0" applyFont="1" applyBorder="1" applyAlignment="1">
      <alignment horizontal="center"/>
    </xf>
    <xf numFmtId="0" fontId="2" fillId="2" borderId="1" xfId="0" applyFont="1" applyFill="1" applyBorder="1" applyAlignment="1">
      <alignment horizontal="center" vertical="center"/>
    </xf>
    <xf numFmtId="0" fontId="2" fillId="0" borderId="0" xfId="0" applyFont="1" applyAlignment="1">
      <alignment horizontal="center"/>
    </xf>
    <xf numFmtId="10" fontId="2" fillId="0" borderId="0" xfId="1" applyNumberFormat="1" applyFont="1" applyAlignment="1">
      <alignment horizontal="center"/>
    </xf>
    <xf numFmtId="10" fontId="2" fillId="0" borderId="0" xfId="0" applyNumberFormat="1" applyFont="1" applyAlignment="1">
      <alignment horizontal="center"/>
    </xf>
    <xf numFmtId="0" fontId="2" fillId="0" borderId="1" xfId="0" applyFont="1" applyBorder="1" applyAlignment="1">
      <alignment horizontal="center" vertical="center"/>
    </xf>
    <xf numFmtId="9" fontId="2" fillId="0" borderId="1" xfId="0" applyNumberFormat="1" applyFont="1" applyBorder="1" applyAlignment="1">
      <alignment horizontal="center" vertical="center"/>
    </xf>
    <xf numFmtId="10" fontId="2" fillId="0" borderId="1" xfId="1" applyNumberFormat="1" applyFont="1" applyBorder="1" applyAlignment="1">
      <alignment horizontal="center"/>
    </xf>
    <xf numFmtId="10" fontId="2" fillId="0" borderId="1" xfId="0" applyNumberFormat="1" applyFont="1" applyBorder="1" applyAlignment="1">
      <alignment horizontal="center"/>
    </xf>
    <xf numFmtId="0" fontId="2" fillId="2" borderId="1" xfId="0" applyFont="1" applyFill="1" applyBorder="1" applyAlignment="1">
      <alignment horizontal="center"/>
    </xf>
    <xf numFmtId="9" fontId="2" fillId="3" borderId="1" xfId="0" applyNumberFormat="1" applyFont="1" applyFill="1" applyBorder="1" applyAlignment="1">
      <alignment horizontal="center" vertical="center"/>
    </xf>
    <xf numFmtId="0" fontId="2" fillId="0" borderId="1" xfId="0" applyFont="1" applyBorder="1"/>
    <xf numFmtId="10" fontId="2" fillId="0" borderId="1" xfId="1" applyNumberFormat="1" applyFont="1" applyBorder="1"/>
    <xf numFmtId="164" fontId="2" fillId="0" borderId="0" xfId="1" applyNumberFormat="1" applyFont="1" applyAlignment="1">
      <alignment horizontal="center"/>
    </xf>
    <xf numFmtId="10" fontId="2" fillId="0" borderId="0" xfId="1" applyNumberFormat="1" applyFont="1"/>
    <xf numFmtId="0" fontId="3" fillId="0" borderId="1" xfId="0" applyFont="1" applyBorder="1" applyAlignment="1">
      <alignment horizontal="center" vertical="center"/>
    </xf>
    <xf numFmtId="0" fontId="2" fillId="0" borderId="1" xfId="0" applyFont="1" applyBorder="1" applyAlignment="1">
      <alignment horizontal="left" vertical="center"/>
    </xf>
    <xf numFmtId="165" fontId="2" fillId="0" borderId="1" xfId="0" applyNumberFormat="1" applyFont="1" applyBorder="1" applyAlignment="1">
      <alignment horizontal="center" vertical="center"/>
    </xf>
    <xf numFmtId="165" fontId="2" fillId="0" borderId="1" xfId="0" applyNumberFormat="1" applyFont="1" applyBorder="1" applyAlignment="1">
      <alignment horizontal="center"/>
    </xf>
    <xf numFmtId="1" fontId="2" fillId="0" borderId="0" xfId="0" applyNumberFormat="1" applyFont="1" applyAlignment="1">
      <alignment horizontal="center"/>
    </xf>
    <xf numFmtId="0" fontId="2" fillId="0" borderId="0" xfId="0" applyFont="1" applyAlignment="1">
      <alignment horizontal="left"/>
    </xf>
    <xf numFmtId="0" fontId="6" fillId="0" borderId="2" xfId="0" applyFont="1" applyBorder="1" applyAlignment="1">
      <alignment horizontal="center"/>
    </xf>
    <xf numFmtId="0" fontId="7" fillId="0" borderId="2" xfId="0" applyFont="1" applyBorder="1" applyAlignment="1">
      <alignment horizontal="center"/>
    </xf>
    <xf numFmtId="14" fontId="5" fillId="0" borderId="2" xfId="0" applyNumberFormat="1" applyFont="1" applyBorder="1" applyAlignment="1">
      <alignment horizontal="center"/>
    </xf>
    <xf numFmtId="2" fontId="2" fillId="0" borderId="2" xfId="0" applyNumberFormat="1" applyFont="1" applyBorder="1" applyAlignment="1">
      <alignment horizontal="center"/>
    </xf>
    <xf numFmtId="1" fontId="6" fillId="0" borderId="0" xfId="0" applyNumberFormat="1" applyFont="1" applyAlignment="1">
      <alignment horizontal="left"/>
    </xf>
    <xf numFmtId="1" fontId="5" fillId="0" borderId="0" xfId="0" applyNumberFormat="1" applyFont="1" applyAlignment="1">
      <alignment horizontal="left"/>
    </xf>
    <xf numFmtId="166" fontId="2" fillId="0" borderId="0" xfId="0" applyNumberFormat="1" applyFont="1" applyAlignment="1">
      <alignment horizontal="left"/>
    </xf>
    <xf numFmtId="164" fontId="2" fillId="0" borderId="0" xfId="1" applyNumberFormat="1" applyFont="1" applyAlignment="1">
      <alignment horizontal="center" vertical="center"/>
    </xf>
    <xf numFmtId="0" fontId="3" fillId="0" borderId="4" xfId="0" applyFont="1" applyBorder="1" applyAlignment="1">
      <alignment horizontal="center"/>
    </xf>
    <xf numFmtId="0" fontId="2" fillId="0" borderId="3" xfId="0" applyFont="1" applyBorder="1"/>
    <xf numFmtId="167" fontId="2" fillId="0" borderId="0" xfId="0" applyNumberFormat="1" applyFont="1" applyAlignment="1">
      <alignment horizontal="center"/>
    </xf>
    <xf numFmtId="167" fontId="2" fillId="0" borderId="3" xfId="0" applyNumberFormat="1" applyFont="1" applyBorder="1" applyAlignment="1">
      <alignment horizontal="center"/>
    </xf>
    <xf numFmtId="168" fontId="2" fillId="0" borderId="0" xfId="1" applyNumberFormat="1" applyFont="1" applyFill="1" applyBorder="1" applyAlignment="1">
      <alignment horizontal="center"/>
    </xf>
    <xf numFmtId="9" fontId="2" fillId="0" borderId="0" xfId="1" applyFont="1" applyFill="1" applyBorder="1" applyAlignment="1"/>
    <xf numFmtId="9" fontId="2" fillId="0" borderId="3" xfId="1" applyFont="1" applyFill="1" applyBorder="1" applyAlignment="1"/>
    <xf numFmtId="164" fontId="2" fillId="0" borderId="0" xfId="0" applyNumberFormat="1" applyFont="1" applyAlignment="1">
      <alignment horizontal="left"/>
    </xf>
    <xf numFmtId="0" fontId="7" fillId="0" borderId="0" xfId="0" applyFont="1" applyAlignment="1">
      <alignment horizontal="center"/>
    </xf>
    <xf numFmtId="164" fontId="2" fillId="0" borderId="0" xfId="0" applyNumberFormat="1" applyFont="1" applyAlignment="1">
      <alignment horizontal="center"/>
    </xf>
    <xf numFmtId="167" fontId="2" fillId="0" borderId="1" xfId="0" applyNumberFormat="1" applyFont="1" applyBorder="1" applyAlignment="1">
      <alignment horizontal="center"/>
    </xf>
    <xf numFmtId="0" fontId="0" fillId="0" borderId="2" xfId="0" applyBorder="1"/>
    <xf numFmtId="167" fontId="0" fillId="0" borderId="2" xfId="0" applyNumberFormat="1" applyBorder="1" applyAlignment="1">
      <alignment horizontal="center"/>
    </xf>
    <xf numFmtId="170" fontId="0" fillId="0" borderId="2" xfId="0" applyNumberFormat="1" applyBorder="1"/>
    <xf numFmtId="0" fontId="0" fillId="0" borderId="2" xfId="0" applyBorder="1" applyAlignment="1">
      <alignment horizontal="center"/>
    </xf>
    <xf numFmtId="0" fontId="0" fillId="0" borderId="0" xfId="0" applyAlignment="1">
      <alignment horizontal="center" vertical="center"/>
    </xf>
    <xf numFmtId="0" fontId="0" fillId="0" borderId="2" xfId="0" applyBorder="1" applyAlignment="1">
      <alignment horizontal="left"/>
    </xf>
    <xf numFmtId="0" fontId="0" fillId="0" borderId="8" xfId="0" applyBorder="1" applyAlignment="1">
      <alignment horizontal="left"/>
    </xf>
    <xf numFmtId="0" fontId="0" fillId="0" borderId="8" xfId="0" applyBorder="1" applyAlignment="1">
      <alignment horizontal="center" vertical="center"/>
    </xf>
    <xf numFmtId="9" fontId="0" fillId="0" borderId="2" xfId="0" applyNumberFormat="1" applyBorder="1" applyAlignment="1">
      <alignment horizontal="center" vertical="center"/>
    </xf>
    <xf numFmtId="167" fontId="0" fillId="0" borderId="2" xfId="0" applyNumberFormat="1" applyBorder="1" applyAlignment="1">
      <alignment horizontal="center" vertical="center"/>
    </xf>
    <xf numFmtId="10" fontId="0" fillId="0" borderId="2" xfId="1" applyNumberFormat="1" applyFont="1" applyBorder="1" applyAlignment="1">
      <alignment horizontal="center" vertical="center"/>
    </xf>
    <xf numFmtId="169" fontId="0" fillId="0" borderId="2" xfId="3" applyNumberFormat="1" applyFont="1" applyBorder="1" applyAlignment="1">
      <alignment horizontal="center" vertical="center"/>
    </xf>
    <xf numFmtId="170" fontId="0" fillId="0" borderId="2" xfId="0" applyNumberFormat="1" applyBorder="1" applyAlignment="1">
      <alignment horizontal="center" vertical="center"/>
    </xf>
    <xf numFmtId="167" fontId="0" fillId="0" borderId="2" xfId="0" applyNumberFormat="1" applyBorder="1"/>
    <xf numFmtId="0" fontId="9" fillId="7" borderId="0" xfId="2" applyFont="1" applyFill="1"/>
    <xf numFmtId="2" fontId="9" fillId="7" borderId="0" xfId="2" applyNumberFormat="1" applyFont="1" applyFill="1" applyAlignment="1">
      <alignment horizontal="right"/>
    </xf>
    <xf numFmtId="2" fontId="11" fillId="7" borderId="0" xfId="2" applyNumberFormat="1" applyFont="1" applyFill="1" applyAlignment="1">
      <alignment horizontal="left"/>
    </xf>
    <xf numFmtId="167" fontId="9" fillId="7" borderId="0" xfId="2" applyNumberFormat="1" applyFont="1" applyFill="1" applyAlignment="1">
      <alignment horizontal="right"/>
    </xf>
    <xf numFmtId="167" fontId="9" fillId="7" borderId="0" xfId="2" applyNumberFormat="1" applyFont="1" applyFill="1"/>
    <xf numFmtId="0" fontId="11" fillId="7" borderId="0" xfId="2" applyFont="1" applyFill="1"/>
    <xf numFmtId="2" fontId="9" fillId="8" borderId="0" xfId="2" applyNumberFormat="1" applyFont="1" applyFill="1" applyAlignment="1">
      <alignment horizontal="right"/>
    </xf>
    <xf numFmtId="0" fontId="4" fillId="7" borderId="0" xfId="2" applyFill="1"/>
    <xf numFmtId="0" fontId="10" fillId="7" borderId="0" xfId="2" applyFont="1" applyFill="1" applyAlignment="1">
      <alignment horizontal="center"/>
    </xf>
    <xf numFmtId="167" fontId="10" fillId="7" borderId="0" xfId="2" applyNumberFormat="1" applyFont="1" applyFill="1" applyAlignment="1">
      <alignment horizontal="center"/>
    </xf>
    <xf numFmtId="0" fontId="15" fillId="7" borderId="0" xfId="2" applyFont="1" applyFill="1"/>
    <xf numFmtId="0" fontId="14" fillId="7" borderId="0" xfId="2" applyFont="1" applyFill="1" applyAlignment="1">
      <alignment horizontal="center"/>
    </xf>
    <xf numFmtId="2" fontId="14" fillId="7" borderId="0" xfId="2" applyNumberFormat="1" applyFont="1" applyFill="1" applyAlignment="1">
      <alignment horizontal="center"/>
    </xf>
    <xf numFmtId="0" fontId="4" fillId="7" borderId="0" xfId="2" applyFill="1" applyAlignment="1">
      <alignment horizontal="center"/>
    </xf>
    <xf numFmtId="2" fontId="9" fillId="7" borderId="0" xfId="2" applyNumberFormat="1" applyFont="1" applyFill="1" applyAlignment="1">
      <alignment horizontal="center"/>
    </xf>
    <xf numFmtId="10" fontId="4" fillId="7" borderId="0" xfId="2" applyNumberFormat="1" applyFill="1" applyAlignment="1">
      <alignment horizontal="center"/>
    </xf>
    <xf numFmtId="167" fontId="16" fillId="0" borderId="2" xfId="0" applyNumberFormat="1" applyFont="1" applyBorder="1"/>
    <xf numFmtId="167" fontId="12" fillId="8" borderId="16" xfId="2" applyNumberFormat="1" applyFont="1" applyFill="1" applyBorder="1" applyAlignment="1">
      <alignment horizontal="center"/>
    </xf>
    <xf numFmtId="167" fontId="2" fillId="8" borderId="16" xfId="0" applyNumberFormat="1" applyFont="1" applyFill="1" applyBorder="1" applyAlignment="1">
      <alignment horizontal="center"/>
    </xf>
    <xf numFmtId="167" fontId="2" fillId="9" borderId="16" xfId="0" applyNumberFormat="1" applyFont="1" applyFill="1" applyBorder="1" applyAlignment="1">
      <alignment horizontal="center" vertical="center"/>
    </xf>
    <xf numFmtId="0" fontId="2" fillId="0" borderId="2" xfId="0" applyFont="1" applyBorder="1" applyAlignment="1">
      <alignment horizontal="left"/>
    </xf>
    <xf numFmtId="0" fontId="2" fillId="0" borderId="15" xfId="0" applyFont="1" applyBorder="1" applyAlignment="1">
      <alignment horizontal="center"/>
    </xf>
    <xf numFmtId="0" fontId="2" fillId="0" borderId="6" xfId="0" applyFont="1" applyBorder="1" applyAlignment="1">
      <alignment horizontal="left"/>
    </xf>
    <xf numFmtId="0" fontId="2" fillId="0" borderId="12" xfId="0" applyFont="1" applyBorder="1" applyAlignment="1">
      <alignment horizontal="left"/>
    </xf>
    <xf numFmtId="0" fontId="2" fillId="0" borderId="8" xfId="0" applyFont="1" applyBorder="1" applyAlignment="1">
      <alignment horizontal="center" vertical="center"/>
    </xf>
    <xf numFmtId="0" fontId="2" fillId="0" borderId="0" xfId="0" applyFont="1" applyAlignment="1">
      <alignment horizontal="center" vertical="center"/>
    </xf>
    <xf numFmtId="0" fontId="2" fillId="0" borderId="2" xfId="0" applyFont="1" applyBorder="1"/>
    <xf numFmtId="10" fontId="2" fillId="0" borderId="2" xfId="1" applyNumberFormat="1" applyFont="1" applyBorder="1" applyAlignment="1">
      <alignment horizontal="center" vertical="center"/>
    </xf>
    <xf numFmtId="169" fontId="2" fillId="0" borderId="2" xfId="3" applyNumberFormat="1" applyFont="1" applyBorder="1" applyAlignment="1">
      <alignment horizontal="center" vertical="center"/>
    </xf>
    <xf numFmtId="170" fontId="2" fillId="0" borderId="2" xfId="0" applyNumberFormat="1" applyFont="1" applyBorder="1" applyAlignment="1">
      <alignment horizontal="center" vertical="center"/>
    </xf>
    <xf numFmtId="170" fontId="2" fillId="0" borderId="2" xfId="0" applyNumberFormat="1" applyFont="1" applyBorder="1"/>
    <xf numFmtId="167" fontId="2" fillId="0" borderId="2" xfId="0" applyNumberFormat="1" applyFont="1" applyBorder="1"/>
    <xf numFmtId="0" fontId="2" fillId="0" borderId="2" xfId="0" applyFont="1" applyBorder="1" applyAlignment="1">
      <alignment horizontal="center"/>
    </xf>
    <xf numFmtId="0" fontId="2" fillId="0" borderId="1" xfId="0" applyFont="1" applyBorder="1" applyAlignment="1">
      <alignment horizontal="center"/>
    </xf>
    <xf numFmtId="0" fontId="0" fillId="6" borderId="9" xfId="0" applyFill="1" applyBorder="1" applyAlignment="1">
      <alignment horizontal="center" vertical="center"/>
    </xf>
    <xf numFmtId="0" fontId="0" fillId="6" borderId="10" xfId="0" applyFill="1" applyBorder="1" applyAlignment="1">
      <alignment horizontal="center" vertical="center"/>
    </xf>
    <xf numFmtId="0" fontId="0" fillId="6" borderId="11" xfId="0" applyFill="1" applyBorder="1" applyAlignment="1">
      <alignment horizontal="center" vertical="center"/>
    </xf>
    <xf numFmtId="0" fontId="0" fillId="6" borderId="12" xfId="0" applyFill="1" applyBorder="1" applyAlignment="1">
      <alignment horizontal="center" vertical="center"/>
    </xf>
    <xf numFmtId="0" fontId="0" fillId="6" borderId="5" xfId="0" applyFill="1" applyBorder="1" applyAlignment="1">
      <alignment horizontal="center" vertical="center"/>
    </xf>
    <xf numFmtId="0" fontId="0" fillId="6" borderId="13" xfId="0" applyFill="1" applyBorder="1" applyAlignment="1">
      <alignment horizontal="center" vertical="center"/>
    </xf>
    <xf numFmtId="0" fontId="0" fillId="5" borderId="6" xfId="0" applyFill="1" applyBorder="1" applyAlignment="1">
      <alignment horizontal="center"/>
    </xf>
    <xf numFmtId="0" fontId="0" fillId="5" borderId="7" xfId="0" applyFill="1" applyBorder="1" applyAlignment="1">
      <alignment horizontal="center"/>
    </xf>
    <xf numFmtId="0" fontId="0" fillId="4" borderId="6" xfId="0" applyFill="1" applyBorder="1" applyAlignment="1">
      <alignment horizontal="center"/>
    </xf>
    <xf numFmtId="0" fontId="0" fillId="4" borderId="7" xfId="0" applyFill="1" applyBorder="1" applyAlignment="1">
      <alignment horizontal="center"/>
    </xf>
    <xf numFmtId="0" fontId="2" fillId="6" borderId="9" xfId="0" applyFont="1" applyFill="1" applyBorder="1" applyAlignment="1">
      <alignment horizontal="center" vertical="center"/>
    </xf>
    <xf numFmtId="0" fontId="2" fillId="6" borderId="10" xfId="0" applyFont="1" applyFill="1" applyBorder="1" applyAlignment="1">
      <alignment horizontal="center" vertical="center"/>
    </xf>
    <xf numFmtId="0" fontId="2" fillId="6" borderId="11" xfId="0" applyFont="1" applyFill="1" applyBorder="1" applyAlignment="1">
      <alignment horizontal="center" vertical="center"/>
    </xf>
    <xf numFmtId="0" fontId="2" fillId="6" borderId="12" xfId="0" applyFont="1" applyFill="1" applyBorder="1" applyAlignment="1">
      <alignment horizontal="center" vertical="center"/>
    </xf>
    <xf numFmtId="0" fontId="2" fillId="6" borderId="5" xfId="0" applyFont="1" applyFill="1" applyBorder="1" applyAlignment="1">
      <alignment horizontal="center" vertical="center"/>
    </xf>
    <xf numFmtId="0" fontId="2" fillId="6" borderId="13" xfId="0" applyFont="1" applyFill="1" applyBorder="1" applyAlignment="1">
      <alignment horizontal="center" vertical="center"/>
    </xf>
    <xf numFmtId="0" fontId="2" fillId="4" borderId="6" xfId="0" applyFont="1" applyFill="1" applyBorder="1" applyAlignment="1">
      <alignment horizontal="center"/>
    </xf>
    <xf numFmtId="0" fontId="2" fillId="4" borderId="7" xfId="0" applyFont="1" applyFill="1" applyBorder="1" applyAlignment="1">
      <alignment horizontal="center"/>
    </xf>
    <xf numFmtId="0" fontId="2" fillId="5" borderId="6" xfId="0" applyFont="1" applyFill="1" applyBorder="1" applyAlignment="1">
      <alignment horizontal="center"/>
    </xf>
    <xf numFmtId="0" fontId="2" fillId="5" borderId="7" xfId="0" applyFont="1" applyFill="1" applyBorder="1" applyAlignment="1">
      <alignment horizontal="center"/>
    </xf>
    <xf numFmtId="0" fontId="8" fillId="7" borderId="0" xfId="2" applyFont="1" applyFill="1" applyAlignment="1">
      <alignment horizontal="center" vertical="center"/>
    </xf>
    <xf numFmtId="0" fontId="10" fillId="7" borderId="14" xfId="2" applyFont="1" applyFill="1" applyBorder="1" applyAlignment="1">
      <alignment horizontal="left" vertical="center"/>
    </xf>
    <xf numFmtId="0" fontId="0" fillId="0" borderId="14" xfId="0" applyBorder="1" applyAlignment="1">
      <alignment horizontal="left" vertical="center"/>
    </xf>
    <xf numFmtId="0" fontId="13" fillId="7" borderId="0" xfId="2" applyFont="1" applyFill="1" applyAlignment="1">
      <alignment horizontal="center" vertical="center" wrapText="1"/>
    </xf>
    <xf numFmtId="0" fontId="9" fillId="7" borderId="0" xfId="2" applyFont="1" applyFill="1" applyAlignment="1">
      <alignment horizontal="justify" vertical="center"/>
    </xf>
    <xf numFmtId="0" fontId="14" fillId="7" borderId="0" xfId="2" applyFont="1" applyFill="1"/>
    <xf numFmtId="0" fontId="4" fillId="7" borderId="0" xfId="2" applyFill="1" applyAlignment="1">
      <alignment horizontal="justify" vertical="center"/>
    </xf>
  </cellXfs>
  <cellStyles count="4">
    <cellStyle name="Moneda [0]" xfId="3" builtinId="7"/>
    <cellStyle name="Normal" xfId="0" builtinId="0"/>
    <cellStyle name="Normal 2" xfId="2" xr:uid="{9BEC3B5F-A6A1-4771-A3EC-9BDA64957D72}"/>
    <cellStyle name="Porcentaje" xfId="1" builtinId="5"/>
  </cellStyles>
  <dxfs count="0"/>
  <tableStyles count="1" defaultTableStyle="TableStyleMedium2" defaultPivotStyle="PivotStyleLight16">
    <tableStyle name="Invisible" pivot="0" table="0" count="0" xr9:uid="{38D6587A-7E5F-4418-9D44-CCDC9EA721C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Precios</a:t>
            </a:r>
            <a:r>
              <a:rPr lang="es-MX" baseline="0"/>
              <a:t> Acciones</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0"/>
          <c:order val="0"/>
          <c:tx>
            <c:strRef>
              <c:f>Precios!$B$1</c:f>
              <c:strCache>
                <c:ptCount val="1"/>
                <c:pt idx="0">
                  <c:v>Apple</c:v>
                </c:pt>
              </c:strCache>
            </c:strRef>
          </c:tx>
          <c:spPr>
            <a:ln w="28575" cap="rnd">
              <a:solidFill>
                <a:schemeClr val="accent1"/>
              </a:solidFill>
              <a:round/>
            </a:ln>
            <a:effectLst/>
          </c:spPr>
          <c:marker>
            <c:symbol val="none"/>
          </c:marker>
          <c:cat>
            <c:numRef>
              <c:f>Precios!$A$2:$A$254</c:f>
              <c:numCache>
                <c:formatCode>m/d/yy</c:formatCode>
                <c:ptCount val="253"/>
                <c:pt idx="0">
                  <c:v>45154</c:v>
                </c:pt>
                <c:pt idx="1">
                  <c:v>45155</c:v>
                </c:pt>
                <c:pt idx="2">
                  <c:v>45156</c:v>
                </c:pt>
                <c:pt idx="3">
                  <c:v>45159</c:v>
                </c:pt>
                <c:pt idx="4">
                  <c:v>45160</c:v>
                </c:pt>
                <c:pt idx="5">
                  <c:v>45161</c:v>
                </c:pt>
                <c:pt idx="6">
                  <c:v>45162</c:v>
                </c:pt>
                <c:pt idx="7">
                  <c:v>45163</c:v>
                </c:pt>
                <c:pt idx="8">
                  <c:v>45166</c:v>
                </c:pt>
                <c:pt idx="9">
                  <c:v>45167</c:v>
                </c:pt>
                <c:pt idx="10">
                  <c:v>45168</c:v>
                </c:pt>
                <c:pt idx="11">
                  <c:v>45169</c:v>
                </c:pt>
                <c:pt idx="12">
                  <c:v>45170</c:v>
                </c:pt>
                <c:pt idx="13">
                  <c:v>45174</c:v>
                </c:pt>
                <c:pt idx="14">
                  <c:v>45175</c:v>
                </c:pt>
                <c:pt idx="15">
                  <c:v>45176</c:v>
                </c:pt>
                <c:pt idx="16">
                  <c:v>45177</c:v>
                </c:pt>
                <c:pt idx="17">
                  <c:v>45180</c:v>
                </c:pt>
                <c:pt idx="18">
                  <c:v>45181</c:v>
                </c:pt>
                <c:pt idx="19">
                  <c:v>45182</c:v>
                </c:pt>
                <c:pt idx="20">
                  <c:v>45183</c:v>
                </c:pt>
                <c:pt idx="21">
                  <c:v>45184</c:v>
                </c:pt>
                <c:pt idx="22">
                  <c:v>45187</c:v>
                </c:pt>
                <c:pt idx="23">
                  <c:v>45188</c:v>
                </c:pt>
                <c:pt idx="24">
                  <c:v>45189</c:v>
                </c:pt>
                <c:pt idx="25">
                  <c:v>45190</c:v>
                </c:pt>
                <c:pt idx="26">
                  <c:v>45191</c:v>
                </c:pt>
                <c:pt idx="27">
                  <c:v>45194</c:v>
                </c:pt>
                <c:pt idx="28">
                  <c:v>45195</c:v>
                </c:pt>
                <c:pt idx="29">
                  <c:v>45196</c:v>
                </c:pt>
                <c:pt idx="30">
                  <c:v>45197</c:v>
                </c:pt>
                <c:pt idx="31">
                  <c:v>45198</c:v>
                </c:pt>
                <c:pt idx="32">
                  <c:v>45201</c:v>
                </c:pt>
                <c:pt idx="33">
                  <c:v>45202</c:v>
                </c:pt>
                <c:pt idx="34">
                  <c:v>45203</c:v>
                </c:pt>
                <c:pt idx="35">
                  <c:v>45204</c:v>
                </c:pt>
                <c:pt idx="36">
                  <c:v>45205</c:v>
                </c:pt>
                <c:pt idx="37">
                  <c:v>45208</c:v>
                </c:pt>
                <c:pt idx="38">
                  <c:v>45209</c:v>
                </c:pt>
                <c:pt idx="39">
                  <c:v>45210</c:v>
                </c:pt>
                <c:pt idx="40">
                  <c:v>45211</c:v>
                </c:pt>
                <c:pt idx="41">
                  <c:v>45212</c:v>
                </c:pt>
                <c:pt idx="42">
                  <c:v>45215</c:v>
                </c:pt>
                <c:pt idx="43">
                  <c:v>45216</c:v>
                </c:pt>
                <c:pt idx="44">
                  <c:v>45217</c:v>
                </c:pt>
                <c:pt idx="45">
                  <c:v>45218</c:v>
                </c:pt>
                <c:pt idx="46">
                  <c:v>45219</c:v>
                </c:pt>
                <c:pt idx="47">
                  <c:v>45222</c:v>
                </c:pt>
                <c:pt idx="48">
                  <c:v>45223</c:v>
                </c:pt>
                <c:pt idx="49">
                  <c:v>45224</c:v>
                </c:pt>
                <c:pt idx="50">
                  <c:v>45225</c:v>
                </c:pt>
                <c:pt idx="51">
                  <c:v>45226</c:v>
                </c:pt>
                <c:pt idx="52">
                  <c:v>45229</c:v>
                </c:pt>
                <c:pt idx="53">
                  <c:v>45230</c:v>
                </c:pt>
                <c:pt idx="54">
                  <c:v>45231</c:v>
                </c:pt>
                <c:pt idx="55">
                  <c:v>45232</c:v>
                </c:pt>
                <c:pt idx="56">
                  <c:v>45233</c:v>
                </c:pt>
                <c:pt idx="57">
                  <c:v>45236</c:v>
                </c:pt>
                <c:pt idx="58">
                  <c:v>45237</c:v>
                </c:pt>
                <c:pt idx="59">
                  <c:v>45238</c:v>
                </c:pt>
                <c:pt idx="60">
                  <c:v>45239</c:v>
                </c:pt>
                <c:pt idx="61">
                  <c:v>45240</c:v>
                </c:pt>
                <c:pt idx="62">
                  <c:v>45243</c:v>
                </c:pt>
                <c:pt idx="63">
                  <c:v>45244</c:v>
                </c:pt>
                <c:pt idx="64">
                  <c:v>45245</c:v>
                </c:pt>
                <c:pt idx="65">
                  <c:v>45246</c:v>
                </c:pt>
                <c:pt idx="66">
                  <c:v>45247</c:v>
                </c:pt>
                <c:pt idx="67">
                  <c:v>45250</c:v>
                </c:pt>
                <c:pt idx="68">
                  <c:v>45251</c:v>
                </c:pt>
                <c:pt idx="69">
                  <c:v>45252</c:v>
                </c:pt>
                <c:pt idx="70">
                  <c:v>45254</c:v>
                </c:pt>
                <c:pt idx="71">
                  <c:v>45257</c:v>
                </c:pt>
                <c:pt idx="72">
                  <c:v>45258</c:v>
                </c:pt>
                <c:pt idx="73">
                  <c:v>45259</c:v>
                </c:pt>
                <c:pt idx="74">
                  <c:v>45260</c:v>
                </c:pt>
                <c:pt idx="75">
                  <c:v>45261</c:v>
                </c:pt>
                <c:pt idx="76">
                  <c:v>45264</c:v>
                </c:pt>
                <c:pt idx="77">
                  <c:v>45265</c:v>
                </c:pt>
                <c:pt idx="78">
                  <c:v>45266</c:v>
                </c:pt>
                <c:pt idx="79">
                  <c:v>45267</c:v>
                </c:pt>
                <c:pt idx="80">
                  <c:v>45268</c:v>
                </c:pt>
                <c:pt idx="81">
                  <c:v>45271</c:v>
                </c:pt>
                <c:pt idx="82">
                  <c:v>45272</c:v>
                </c:pt>
                <c:pt idx="83">
                  <c:v>45273</c:v>
                </c:pt>
                <c:pt idx="84">
                  <c:v>45274</c:v>
                </c:pt>
                <c:pt idx="85">
                  <c:v>45275</c:v>
                </c:pt>
                <c:pt idx="86">
                  <c:v>45278</c:v>
                </c:pt>
                <c:pt idx="87">
                  <c:v>45279</c:v>
                </c:pt>
                <c:pt idx="88">
                  <c:v>45280</c:v>
                </c:pt>
                <c:pt idx="89">
                  <c:v>45281</c:v>
                </c:pt>
                <c:pt idx="90">
                  <c:v>45282</c:v>
                </c:pt>
                <c:pt idx="91">
                  <c:v>45286</c:v>
                </c:pt>
                <c:pt idx="92">
                  <c:v>45287</c:v>
                </c:pt>
                <c:pt idx="93">
                  <c:v>45288</c:v>
                </c:pt>
                <c:pt idx="94">
                  <c:v>45289</c:v>
                </c:pt>
                <c:pt idx="95">
                  <c:v>45293</c:v>
                </c:pt>
                <c:pt idx="96">
                  <c:v>45294</c:v>
                </c:pt>
                <c:pt idx="97">
                  <c:v>45295</c:v>
                </c:pt>
                <c:pt idx="98">
                  <c:v>45296</c:v>
                </c:pt>
                <c:pt idx="99">
                  <c:v>45299</c:v>
                </c:pt>
                <c:pt idx="100">
                  <c:v>45300</c:v>
                </c:pt>
                <c:pt idx="101">
                  <c:v>45301</c:v>
                </c:pt>
                <c:pt idx="102">
                  <c:v>45302</c:v>
                </c:pt>
                <c:pt idx="103">
                  <c:v>45303</c:v>
                </c:pt>
                <c:pt idx="104">
                  <c:v>45307</c:v>
                </c:pt>
                <c:pt idx="105">
                  <c:v>45308</c:v>
                </c:pt>
                <c:pt idx="106">
                  <c:v>45309</c:v>
                </c:pt>
                <c:pt idx="107">
                  <c:v>45310</c:v>
                </c:pt>
                <c:pt idx="108">
                  <c:v>45313</c:v>
                </c:pt>
                <c:pt idx="109">
                  <c:v>45314</c:v>
                </c:pt>
                <c:pt idx="110">
                  <c:v>45315</c:v>
                </c:pt>
                <c:pt idx="111">
                  <c:v>45316</c:v>
                </c:pt>
                <c:pt idx="112">
                  <c:v>45317</c:v>
                </c:pt>
                <c:pt idx="113">
                  <c:v>45320</c:v>
                </c:pt>
                <c:pt idx="114">
                  <c:v>45321</c:v>
                </c:pt>
                <c:pt idx="115">
                  <c:v>45322</c:v>
                </c:pt>
                <c:pt idx="116">
                  <c:v>45323</c:v>
                </c:pt>
                <c:pt idx="117">
                  <c:v>45324</c:v>
                </c:pt>
                <c:pt idx="118">
                  <c:v>45327</c:v>
                </c:pt>
                <c:pt idx="119">
                  <c:v>45328</c:v>
                </c:pt>
                <c:pt idx="120">
                  <c:v>45329</c:v>
                </c:pt>
                <c:pt idx="121">
                  <c:v>45330</c:v>
                </c:pt>
                <c:pt idx="122">
                  <c:v>45331</c:v>
                </c:pt>
                <c:pt idx="123">
                  <c:v>45334</c:v>
                </c:pt>
                <c:pt idx="124">
                  <c:v>45335</c:v>
                </c:pt>
                <c:pt idx="125">
                  <c:v>45336</c:v>
                </c:pt>
                <c:pt idx="126">
                  <c:v>45337</c:v>
                </c:pt>
                <c:pt idx="127">
                  <c:v>45338</c:v>
                </c:pt>
                <c:pt idx="128">
                  <c:v>45342</c:v>
                </c:pt>
                <c:pt idx="129">
                  <c:v>45343</c:v>
                </c:pt>
                <c:pt idx="130">
                  <c:v>45344</c:v>
                </c:pt>
                <c:pt idx="131">
                  <c:v>45345</c:v>
                </c:pt>
                <c:pt idx="132">
                  <c:v>45348</c:v>
                </c:pt>
                <c:pt idx="133">
                  <c:v>45349</c:v>
                </c:pt>
                <c:pt idx="134">
                  <c:v>45350</c:v>
                </c:pt>
                <c:pt idx="135">
                  <c:v>45351</c:v>
                </c:pt>
                <c:pt idx="136">
                  <c:v>45352</c:v>
                </c:pt>
                <c:pt idx="137">
                  <c:v>45355</c:v>
                </c:pt>
                <c:pt idx="138">
                  <c:v>45356</c:v>
                </c:pt>
                <c:pt idx="139">
                  <c:v>45357</c:v>
                </c:pt>
                <c:pt idx="140">
                  <c:v>45358</c:v>
                </c:pt>
                <c:pt idx="141">
                  <c:v>45359</c:v>
                </c:pt>
                <c:pt idx="142">
                  <c:v>45362</c:v>
                </c:pt>
                <c:pt idx="143">
                  <c:v>45363</c:v>
                </c:pt>
                <c:pt idx="144">
                  <c:v>45364</c:v>
                </c:pt>
                <c:pt idx="145">
                  <c:v>45365</c:v>
                </c:pt>
                <c:pt idx="146">
                  <c:v>45366</c:v>
                </c:pt>
                <c:pt idx="147">
                  <c:v>45369</c:v>
                </c:pt>
                <c:pt idx="148">
                  <c:v>45370</c:v>
                </c:pt>
                <c:pt idx="149">
                  <c:v>45371</c:v>
                </c:pt>
                <c:pt idx="150">
                  <c:v>45372</c:v>
                </c:pt>
                <c:pt idx="151">
                  <c:v>45373</c:v>
                </c:pt>
                <c:pt idx="152">
                  <c:v>45376</c:v>
                </c:pt>
                <c:pt idx="153">
                  <c:v>45377</c:v>
                </c:pt>
                <c:pt idx="154">
                  <c:v>45378</c:v>
                </c:pt>
                <c:pt idx="155">
                  <c:v>45379</c:v>
                </c:pt>
                <c:pt idx="156">
                  <c:v>45383</c:v>
                </c:pt>
                <c:pt idx="157">
                  <c:v>45384</c:v>
                </c:pt>
                <c:pt idx="158">
                  <c:v>45385</c:v>
                </c:pt>
                <c:pt idx="159">
                  <c:v>45386</c:v>
                </c:pt>
                <c:pt idx="160">
                  <c:v>45387</c:v>
                </c:pt>
                <c:pt idx="161">
                  <c:v>45390</c:v>
                </c:pt>
                <c:pt idx="162">
                  <c:v>45391</c:v>
                </c:pt>
                <c:pt idx="163">
                  <c:v>45392</c:v>
                </c:pt>
                <c:pt idx="164">
                  <c:v>45393</c:v>
                </c:pt>
                <c:pt idx="165">
                  <c:v>45394</c:v>
                </c:pt>
                <c:pt idx="166">
                  <c:v>45397</c:v>
                </c:pt>
                <c:pt idx="167">
                  <c:v>45398</c:v>
                </c:pt>
                <c:pt idx="168">
                  <c:v>45399</c:v>
                </c:pt>
                <c:pt idx="169">
                  <c:v>45400</c:v>
                </c:pt>
                <c:pt idx="170">
                  <c:v>45401</c:v>
                </c:pt>
                <c:pt idx="171">
                  <c:v>45404</c:v>
                </c:pt>
                <c:pt idx="172">
                  <c:v>45405</c:v>
                </c:pt>
                <c:pt idx="173">
                  <c:v>45406</c:v>
                </c:pt>
                <c:pt idx="174">
                  <c:v>45407</c:v>
                </c:pt>
                <c:pt idx="175">
                  <c:v>45408</c:v>
                </c:pt>
                <c:pt idx="176">
                  <c:v>45411</c:v>
                </c:pt>
                <c:pt idx="177">
                  <c:v>45412</c:v>
                </c:pt>
                <c:pt idx="178">
                  <c:v>45413</c:v>
                </c:pt>
                <c:pt idx="179">
                  <c:v>45414</c:v>
                </c:pt>
                <c:pt idx="180">
                  <c:v>45415</c:v>
                </c:pt>
                <c:pt idx="181">
                  <c:v>45418</c:v>
                </c:pt>
                <c:pt idx="182">
                  <c:v>45419</c:v>
                </c:pt>
                <c:pt idx="183">
                  <c:v>45420</c:v>
                </c:pt>
                <c:pt idx="184">
                  <c:v>45421</c:v>
                </c:pt>
                <c:pt idx="185">
                  <c:v>45422</c:v>
                </c:pt>
                <c:pt idx="186">
                  <c:v>45425</c:v>
                </c:pt>
                <c:pt idx="187">
                  <c:v>45426</c:v>
                </c:pt>
                <c:pt idx="188">
                  <c:v>45427</c:v>
                </c:pt>
                <c:pt idx="189">
                  <c:v>45428</c:v>
                </c:pt>
                <c:pt idx="190">
                  <c:v>45429</c:v>
                </c:pt>
                <c:pt idx="191">
                  <c:v>45432</c:v>
                </c:pt>
                <c:pt idx="192">
                  <c:v>45433</c:v>
                </c:pt>
                <c:pt idx="193">
                  <c:v>45434</c:v>
                </c:pt>
                <c:pt idx="194">
                  <c:v>45435</c:v>
                </c:pt>
                <c:pt idx="195">
                  <c:v>45436</c:v>
                </c:pt>
                <c:pt idx="196">
                  <c:v>45440</c:v>
                </c:pt>
                <c:pt idx="197">
                  <c:v>45441</c:v>
                </c:pt>
                <c:pt idx="198">
                  <c:v>45442</c:v>
                </c:pt>
                <c:pt idx="199">
                  <c:v>45443</c:v>
                </c:pt>
                <c:pt idx="200">
                  <c:v>45446</c:v>
                </c:pt>
                <c:pt idx="201">
                  <c:v>45447</c:v>
                </c:pt>
                <c:pt idx="202">
                  <c:v>45448</c:v>
                </c:pt>
                <c:pt idx="203">
                  <c:v>45449</c:v>
                </c:pt>
                <c:pt idx="204">
                  <c:v>45450</c:v>
                </c:pt>
                <c:pt idx="205">
                  <c:v>45453</c:v>
                </c:pt>
                <c:pt idx="206">
                  <c:v>45454</c:v>
                </c:pt>
                <c:pt idx="207">
                  <c:v>45455</c:v>
                </c:pt>
                <c:pt idx="208">
                  <c:v>45456</c:v>
                </c:pt>
                <c:pt idx="209">
                  <c:v>45457</c:v>
                </c:pt>
                <c:pt idx="210">
                  <c:v>45460</c:v>
                </c:pt>
                <c:pt idx="211">
                  <c:v>45461</c:v>
                </c:pt>
                <c:pt idx="212">
                  <c:v>45463</c:v>
                </c:pt>
                <c:pt idx="213">
                  <c:v>45464</c:v>
                </c:pt>
                <c:pt idx="214">
                  <c:v>45467</c:v>
                </c:pt>
                <c:pt idx="215">
                  <c:v>45468</c:v>
                </c:pt>
                <c:pt idx="216">
                  <c:v>45469</c:v>
                </c:pt>
                <c:pt idx="217">
                  <c:v>45470</c:v>
                </c:pt>
                <c:pt idx="218">
                  <c:v>45471</c:v>
                </c:pt>
                <c:pt idx="219">
                  <c:v>45474</c:v>
                </c:pt>
                <c:pt idx="220">
                  <c:v>45475</c:v>
                </c:pt>
                <c:pt idx="221">
                  <c:v>45476</c:v>
                </c:pt>
                <c:pt idx="222">
                  <c:v>45478</c:v>
                </c:pt>
                <c:pt idx="223">
                  <c:v>45481</c:v>
                </c:pt>
                <c:pt idx="224">
                  <c:v>45482</c:v>
                </c:pt>
                <c:pt idx="225">
                  <c:v>45483</c:v>
                </c:pt>
                <c:pt idx="226">
                  <c:v>45484</c:v>
                </c:pt>
                <c:pt idx="227">
                  <c:v>45485</c:v>
                </c:pt>
                <c:pt idx="228">
                  <c:v>45488</c:v>
                </c:pt>
                <c:pt idx="229">
                  <c:v>45489</c:v>
                </c:pt>
                <c:pt idx="230">
                  <c:v>45490</c:v>
                </c:pt>
                <c:pt idx="231">
                  <c:v>45491</c:v>
                </c:pt>
                <c:pt idx="232">
                  <c:v>45492</c:v>
                </c:pt>
                <c:pt idx="233">
                  <c:v>45495</c:v>
                </c:pt>
                <c:pt idx="234">
                  <c:v>45496</c:v>
                </c:pt>
                <c:pt idx="235">
                  <c:v>45497</c:v>
                </c:pt>
                <c:pt idx="236">
                  <c:v>45498</c:v>
                </c:pt>
                <c:pt idx="237">
                  <c:v>45499</c:v>
                </c:pt>
                <c:pt idx="238">
                  <c:v>45502</c:v>
                </c:pt>
                <c:pt idx="239">
                  <c:v>45503</c:v>
                </c:pt>
                <c:pt idx="240">
                  <c:v>45504</c:v>
                </c:pt>
                <c:pt idx="241">
                  <c:v>45505</c:v>
                </c:pt>
                <c:pt idx="242">
                  <c:v>45506</c:v>
                </c:pt>
                <c:pt idx="243">
                  <c:v>45509</c:v>
                </c:pt>
                <c:pt idx="244">
                  <c:v>45510</c:v>
                </c:pt>
                <c:pt idx="245">
                  <c:v>45511</c:v>
                </c:pt>
                <c:pt idx="246">
                  <c:v>45512</c:v>
                </c:pt>
                <c:pt idx="247">
                  <c:v>45513</c:v>
                </c:pt>
                <c:pt idx="248">
                  <c:v>45516</c:v>
                </c:pt>
                <c:pt idx="249">
                  <c:v>45517</c:v>
                </c:pt>
                <c:pt idx="250">
                  <c:v>45518</c:v>
                </c:pt>
                <c:pt idx="251">
                  <c:v>45519</c:v>
                </c:pt>
                <c:pt idx="252">
                  <c:v>45520</c:v>
                </c:pt>
              </c:numCache>
            </c:numRef>
          </c:cat>
          <c:val>
            <c:numRef>
              <c:f>Precios!$B$2:$B$254</c:f>
              <c:numCache>
                <c:formatCode>0.00</c:formatCode>
                <c:ptCount val="253"/>
                <c:pt idx="0">
                  <c:v>175.67108200000001</c:v>
                </c:pt>
                <c:pt idx="1">
                  <c:v>173.11415099999999</c:v>
                </c:pt>
                <c:pt idx="2">
                  <c:v>173.601654</c:v>
                </c:pt>
                <c:pt idx="3">
                  <c:v>174.94477800000001</c:v>
                </c:pt>
                <c:pt idx="4">
                  <c:v>176.327698</c:v>
                </c:pt>
                <c:pt idx="5">
                  <c:v>180.19790599999999</c:v>
                </c:pt>
                <c:pt idx="6">
                  <c:v>175.48202499999999</c:v>
                </c:pt>
                <c:pt idx="7">
                  <c:v>177.70069899999999</c:v>
                </c:pt>
                <c:pt idx="8">
                  <c:v>179.272659</c:v>
                </c:pt>
                <c:pt idx="9">
                  <c:v>183.18263200000001</c:v>
                </c:pt>
                <c:pt idx="10">
                  <c:v>186.69465600000001</c:v>
                </c:pt>
                <c:pt idx="11">
                  <c:v>186.913544</c:v>
                </c:pt>
                <c:pt idx="12">
                  <c:v>188.49546799999999</c:v>
                </c:pt>
                <c:pt idx="13">
                  <c:v>188.734238</c:v>
                </c:pt>
                <c:pt idx="14">
                  <c:v>181.97880599999999</c:v>
                </c:pt>
                <c:pt idx="15">
                  <c:v>176.656036</c:v>
                </c:pt>
                <c:pt idx="16">
                  <c:v>177.27285800000001</c:v>
                </c:pt>
                <c:pt idx="17">
                  <c:v>178.446854</c:v>
                </c:pt>
                <c:pt idx="18">
                  <c:v>175.40245100000001</c:v>
                </c:pt>
                <c:pt idx="19">
                  <c:v>173.32309000000001</c:v>
                </c:pt>
                <c:pt idx="20">
                  <c:v>174.84530599999999</c:v>
                </c:pt>
                <c:pt idx="21">
                  <c:v>174.11900299999999</c:v>
                </c:pt>
                <c:pt idx="22">
                  <c:v>177.06393399999999</c:v>
                </c:pt>
                <c:pt idx="23">
                  <c:v>178.15834000000001</c:v>
                </c:pt>
                <c:pt idx="24">
                  <c:v>174.59657300000001</c:v>
                </c:pt>
                <c:pt idx="25">
                  <c:v>173.04452499999999</c:v>
                </c:pt>
                <c:pt idx="26">
                  <c:v>173.900116</c:v>
                </c:pt>
                <c:pt idx="27">
                  <c:v>175.18356299999999</c:v>
                </c:pt>
                <c:pt idx="28">
                  <c:v>171.08453399999999</c:v>
                </c:pt>
                <c:pt idx="29">
                  <c:v>169.56231700000001</c:v>
                </c:pt>
                <c:pt idx="30">
                  <c:v>169.82101399999999</c:v>
                </c:pt>
                <c:pt idx="31">
                  <c:v>170.33836400000001</c:v>
                </c:pt>
                <c:pt idx="32">
                  <c:v>172.865433</c:v>
                </c:pt>
                <c:pt idx="33">
                  <c:v>171.52229299999999</c:v>
                </c:pt>
                <c:pt idx="34">
                  <c:v>172.77589399999999</c:v>
                </c:pt>
                <c:pt idx="35">
                  <c:v>174.019531</c:v>
                </c:pt>
                <c:pt idx="36">
                  <c:v>176.586411</c:v>
                </c:pt>
                <c:pt idx="37">
                  <c:v>178.07875100000001</c:v>
                </c:pt>
                <c:pt idx="38">
                  <c:v>177.48181199999999</c:v>
                </c:pt>
                <c:pt idx="39">
                  <c:v>178.88462799999999</c:v>
                </c:pt>
                <c:pt idx="40">
                  <c:v>179.790009</c:v>
                </c:pt>
                <c:pt idx="41">
                  <c:v>177.93946800000001</c:v>
                </c:pt>
                <c:pt idx="42">
                  <c:v>177.810135</c:v>
                </c:pt>
                <c:pt idx="43">
                  <c:v>176.248108</c:v>
                </c:pt>
                <c:pt idx="44">
                  <c:v>174.94477800000001</c:v>
                </c:pt>
                <c:pt idx="45">
                  <c:v>174.566742</c:v>
                </c:pt>
                <c:pt idx="46">
                  <c:v>171.999863</c:v>
                </c:pt>
                <c:pt idx="47">
                  <c:v>172.119247</c:v>
                </c:pt>
                <c:pt idx="48">
                  <c:v>172.55702199999999</c:v>
                </c:pt>
                <c:pt idx="49">
                  <c:v>170.228928</c:v>
                </c:pt>
                <c:pt idx="50">
                  <c:v>166.04037500000001</c:v>
                </c:pt>
                <c:pt idx="51">
                  <c:v>167.363586</c:v>
                </c:pt>
                <c:pt idx="52">
                  <c:v>169.423035</c:v>
                </c:pt>
                <c:pt idx="53">
                  <c:v>169.90060399999999</c:v>
                </c:pt>
                <c:pt idx="54">
                  <c:v>173.08431999999999</c:v>
                </c:pt>
                <c:pt idx="55">
                  <c:v>176.666</c:v>
                </c:pt>
                <c:pt idx="56">
                  <c:v>175.75065599999999</c:v>
                </c:pt>
                <c:pt idx="57">
                  <c:v>178.31753499999999</c:v>
                </c:pt>
                <c:pt idx="58">
                  <c:v>180.89434800000001</c:v>
                </c:pt>
                <c:pt idx="59">
                  <c:v>181.958878</c:v>
                </c:pt>
                <c:pt idx="60">
                  <c:v>181.48133899999999</c:v>
                </c:pt>
                <c:pt idx="61">
                  <c:v>185.69534300000001</c:v>
                </c:pt>
                <c:pt idx="62">
                  <c:v>184.101395</c:v>
                </c:pt>
                <c:pt idx="63">
                  <c:v>186.731415</c:v>
                </c:pt>
                <c:pt idx="64">
                  <c:v>187.29925499999999</c:v>
                </c:pt>
                <c:pt idx="65">
                  <c:v>188.99284399999999</c:v>
                </c:pt>
                <c:pt idx="66">
                  <c:v>188.972916</c:v>
                </c:pt>
                <c:pt idx="67">
                  <c:v>190.726257</c:v>
                </c:pt>
                <c:pt idx="68">
                  <c:v>189.91932700000001</c:v>
                </c:pt>
                <c:pt idx="69">
                  <c:v>190.586792</c:v>
                </c:pt>
                <c:pt idx="70">
                  <c:v>189.25186199999999</c:v>
                </c:pt>
                <c:pt idx="71">
                  <c:v>189.07252500000001</c:v>
                </c:pt>
                <c:pt idx="72">
                  <c:v>189.68022199999999</c:v>
                </c:pt>
                <c:pt idx="73">
                  <c:v>188.65412900000001</c:v>
                </c:pt>
                <c:pt idx="74">
                  <c:v>189.23191800000001</c:v>
                </c:pt>
                <c:pt idx="75">
                  <c:v>190.51705899999999</c:v>
                </c:pt>
                <c:pt idx="76">
                  <c:v>188.71388200000001</c:v>
                </c:pt>
                <c:pt idx="77">
                  <c:v>192.68881200000001</c:v>
                </c:pt>
                <c:pt idx="78">
                  <c:v>191.59298699999999</c:v>
                </c:pt>
                <c:pt idx="79">
                  <c:v>193.53559899999999</c:v>
                </c:pt>
                <c:pt idx="80">
                  <c:v>194.97015400000001</c:v>
                </c:pt>
                <c:pt idx="81">
                  <c:v>192.44972200000001</c:v>
                </c:pt>
                <c:pt idx="82">
                  <c:v>193.97395299999999</c:v>
                </c:pt>
                <c:pt idx="83">
                  <c:v>197.21165500000001</c:v>
                </c:pt>
                <c:pt idx="84">
                  <c:v>197.36108400000001</c:v>
                </c:pt>
                <c:pt idx="85">
                  <c:v>196.82311999999999</c:v>
                </c:pt>
                <c:pt idx="86">
                  <c:v>195.149475</c:v>
                </c:pt>
                <c:pt idx="87">
                  <c:v>196.19551100000001</c:v>
                </c:pt>
                <c:pt idx="88">
                  <c:v>194.093491</c:v>
                </c:pt>
                <c:pt idx="89">
                  <c:v>193.944031</c:v>
                </c:pt>
                <c:pt idx="90">
                  <c:v>192.868134</c:v>
                </c:pt>
                <c:pt idx="91">
                  <c:v>192.320221</c:v>
                </c:pt>
                <c:pt idx="92">
                  <c:v>192.41982999999999</c:v>
                </c:pt>
                <c:pt idx="93">
                  <c:v>192.848206</c:v>
                </c:pt>
                <c:pt idx="94">
                  <c:v>191.80216999999999</c:v>
                </c:pt>
                <c:pt idx="95">
                  <c:v>184.93821700000001</c:v>
                </c:pt>
                <c:pt idx="96">
                  <c:v>183.55346700000001</c:v>
                </c:pt>
                <c:pt idx="97">
                  <c:v>181.22232099999999</c:v>
                </c:pt>
                <c:pt idx="98">
                  <c:v>180.49508700000001</c:v>
                </c:pt>
                <c:pt idx="99">
                  <c:v>184.858521</c:v>
                </c:pt>
                <c:pt idx="100">
                  <c:v>184.44010900000001</c:v>
                </c:pt>
                <c:pt idx="101">
                  <c:v>185.48616000000001</c:v>
                </c:pt>
                <c:pt idx="102">
                  <c:v>184.88841199999999</c:v>
                </c:pt>
                <c:pt idx="103">
                  <c:v>185.217163</c:v>
                </c:pt>
                <c:pt idx="104">
                  <c:v>182.935822</c:v>
                </c:pt>
                <c:pt idx="105">
                  <c:v>181.98940999999999</c:v>
                </c:pt>
                <c:pt idx="106">
                  <c:v>187.91691599999999</c:v>
                </c:pt>
                <c:pt idx="107">
                  <c:v>190.83583100000001</c:v>
                </c:pt>
                <c:pt idx="108">
                  <c:v>193.157028</c:v>
                </c:pt>
                <c:pt idx="109">
                  <c:v>194.44215399999999</c:v>
                </c:pt>
                <c:pt idx="110">
                  <c:v>193.764725</c:v>
                </c:pt>
                <c:pt idx="111">
                  <c:v>193.43598900000001</c:v>
                </c:pt>
                <c:pt idx="112">
                  <c:v>191.69258099999999</c:v>
                </c:pt>
                <c:pt idx="113">
                  <c:v>191.005188</c:v>
                </c:pt>
                <c:pt idx="114">
                  <c:v>187.32914700000001</c:v>
                </c:pt>
                <c:pt idx="115">
                  <c:v>183.702911</c:v>
                </c:pt>
                <c:pt idx="116">
                  <c:v>186.15362500000001</c:v>
                </c:pt>
                <c:pt idx="117">
                  <c:v>185.14743000000001</c:v>
                </c:pt>
                <c:pt idx="118">
                  <c:v>186.970505</c:v>
                </c:pt>
                <c:pt idx="119">
                  <c:v>188.58438100000001</c:v>
                </c:pt>
                <c:pt idx="120">
                  <c:v>188.69397000000001</c:v>
                </c:pt>
                <c:pt idx="121">
                  <c:v>187.608093</c:v>
                </c:pt>
                <c:pt idx="122">
                  <c:v>188.37616</c:v>
                </c:pt>
                <c:pt idx="123">
                  <c:v>186.68042</c:v>
                </c:pt>
                <c:pt idx="124">
                  <c:v>184.575714</c:v>
                </c:pt>
                <c:pt idx="125">
                  <c:v>183.68794299999999</c:v>
                </c:pt>
                <c:pt idx="126">
                  <c:v>183.39868200000001</c:v>
                </c:pt>
                <c:pt idx="127">
                  <c:v>181.852554</c:v>
                </c:pt>
                <c:pt idx="128">
                  <c:v>181.104446</c:v>
                </c:pt>
                <c:pt idx="129">
                  <c:v>181.862549</c:v>
                </c:pt>
                <c:pt idx="130">
                  <c:v>183.90739400000001</c:v>
                </c:pt>
                <c:pt idx="131">
                  <c:v>182.06204199999999</c:v>
                </c:pt>
                <c:pt idx="132">
                  <c:v>180.70545999999999</c:v>
                </c:pt>
                <c:pt idx="133">
                  <c:v>182.17176799999999</c:v>
                </c:pt>
                <c:pt idx="134">
                  <c:v>180.964798</c:v>
                </c:pt>
                <c:pt idx="135">
                  <c:v>180.29647800000001</c:v>
                </c:pt>
                <c:pt idx="136">
                  <c:v>179.20922899999999</c:v>
                </c:pt>
                <c:pt idx="137">
                  <c:v>174.66066000000001</c:v>
                </c:pt>
                <c:pt idx="138">
                  <c:v>169.693161</c:v>
                </c:pt>
                <c:pt idx="139">
                  <c:v>168.69564800000001</c:v>
                </c:pt>
                <c:pt idx="140">
                  <c:v>168.57595800000001</c:v>
                </c:pt>
                <c:pt idx="141">
                  <c:v>170.301605</c:v>
                </c:pt>
                <c:pt idx="142">
                  <c:v>172.31655900000001</c:v>
                </c:pt>
                <c:pt idx="143">
                  <c:v>172.795334</c:v>
                </c:pt>
                <c:pt idx="144">
                  <c:v>170.70062300000001</c:v>
                </c:pt>
                <c:pt idx="145">
                  <c:v>172.565933</c:v>
                </c:pt>
                <c:pt idx="146">
                  <c:v>172.18687399999999</c:v>
                </c:pt>
                <c:pt idx="147">
                  <c:v>173.284119</c:v>
                </c:pt>
                <c:pt idx="148">
                  <c:v>175.63819899999999</c:v>
                </c:pt>
                <c:pt idx="149">
                  <c:v>178.22171</c:v>
                </c:pt>
                <c:pt idx="150">
                  <c:v>170.94001800000001</c:v>
                </c:pt>
                <c:pt idx="151">
                  <c:v>171.84773300000001</c:v>
                </c:pt>
                <c:pt idx="152">
                  <c:v>170.42132599999999</c:v>
                </c:pt>
                <c:pt idx="153">
                  <c:v>169.28419500000001</c:v>
                </c:pt>
                <c:pt idx="154">
                  <c:v>172.875137</c:v>
                </c:pt>
                <c:pt idx="155">
                  <c:v>171.049744</c:v>
                </c:pt>
                <c:pt idx="156">
                  <c:v>169.60337799999999</c:v>
                </c:pt>
                <c:pt idx="157">
                  <c:v>168.41635099999999</c:v>
                </c:pt>
                <c:pt idx="158">
                  <c:v>169.22431900000001</c:v>
                </c:pt>
                <c:pt idx="159">
                  <c:v>168.396423</c:v>
                </c:pt>
                <c:pt idx="160">
                  <c:v>169.154495</c:v>
                </c:pt>
                <c:pt idx="161">
                  <c:v>168.027344</c:v>
                </c:pt>
                <c:pt idx="162">
                  <c:v>169.24427800000001</c:v>
                </c:pt>
                <c:pt idx="163">
                  <c:v>167.35902400000001</c:v>
                </c:pt>
                <c:pt idx="164">
                  <c:v>174.60079999999999</c:v>
                </c:pt>
                <c:pt idx="165">
                  <c:v>176.10702499999999</c:v>
                </c:pt>
                <c:pt idx="166">
                  <c:v>172.256699</c:v>
                </c:pt>
                <c:pt idx="167">
                  <c:v>168.955017</c:v>
                </c:pt>
                <c:pt idx="168">
                  <c:v>167.57847599999999</c:v>
                </c:pt>
                <c:pt idx="169">
                  <c:v>166.62088</c:v>
                </c:pt>
                <c:pt idx="170">
                  <c:v>164.58599899999999</c:v>
                </c:pt>
                <c:pt idx="171">
                  <c:v>165.42387400000001</c:v>
                </c:pt>
                <c:pt idx="172">
                  <c:v>166.48121599999999</c:v>
                </c:pt>
                <c:pt idx="173">
                  <c:v>168.59591699999999</c:v>
                </c:pt>
                <c:pt idx="174">
                  <c:v>169.46373</c:v>
                </c:pt>
                <c:pt idx="175">
                  <c:v>168.875214</c:v>
                </c:pt>
                <c:pt idx="176">
                  <c:v>173.06466699999999</c:v>
                </c:pt>
                <c:pt idx="177">
                  <c:v>169.90263400000001</c:v>
                </c:pt>
                <c:pt idx="178">
                  <c:v>168.875214</c:v>
                </c:pt>
                <c:pt idx="179">
                  <c:v>172.59584000000001</c:v>
                </c:pt>
                <c:pt idx="180">
                  <c:v>182.91987599999999</c:v>
                </c:pt>
                <c:pt idx="181">
                  <c:v>181.25408899999999</c:v>
                </c:pt>
                <c:pt idx="182">
                  <c:v>181.94232199999999</c:v>
                </c:pt>
                <c:pt idx="183">
                  <c:v>182.28149400000001</c:v>
                </c:pt>
                <c:pt idx="184">
                  <c:v>184.10690299999999</c:v>
                </c:pt>
                <c:pt idx="185">
                  <c:v>182.83836400000001</c:v>
                </c:pt>
                <c:pt idx="186">
                  <c:v>186.06463600000001</c:v>
                </c:pt>
                <c:pt idx="187">
                  <c:v>187.213303</c:v>
                </c:pt>
                <c:pt idx="188">
                  <c:v>189.50065599999999</c:v>
                </c:pt>
                <c:pt idx="189">
                  <c:v>189.62051400000001</c:v>
                </c:pt>
                <c:pt idx="190">
                  <c:v>189.65048200000001</c:v>
                </c:pt>
                <c:pt idx="191">
                  <c:v>190.81912199999999</c:v>
                </c:pt>
                <c:pt idx="192">
                  <c:v>192.12762499999999</c:v>
                </c:pt>
                <c:pt idx="193">
                  <c:v>190.67929100000001</c:v>
                </c:pt>
                <c:pt idx="194">
                  <c:v>186.66394</c:v>
                </c:pt>
                <c:pt idx="195">
                  <c:v>189.760345</c:v>
                </c:pt>
                <c:pt idx="196">
                  <c:v>189.770355</c:v>
                </c:pt>
                <c:pt idx="197">
                  <c:v>190.06999200000001</c:v>
                </c:pt>
                <c:pt idx="198">
                  <c:v>191.06883199999999</c:v>
                </c:pt>
                <c:pt idx="199">
                  <c:v>192.027725</c:v>
                </c:pt>
                <c:pt idx="200">
                  <c:v>193.80566400000001</c:v>
                </c:pt>
                <c:pt idx="201">
                  <c:v>194.125305</c:v>
                </c:pt>
                <c:pt idx="202">
                  <c:v>195.643539</c:v>
                </c:pt>
                <c:pt idx="203">
                  <c:v>194.25514200000001</c:v>
                </c:pt>
                <c:pt idx="204">
                  <c:v>196.66236900000001</c:v>
                </c:pt>
                <c:pt idx="205">
                  <c:v>192.89671300000001</c:v>
                </c:pt>
                <c:pt idx="206">
                  <c:v>206.910492</c:v>
                </c:pt>
                <c:pt idx="207">
                  <c:v>212.823669</c:v>
                </c:pt>
                <c:pt idx="208">
                  <c:v>213.99231</c:v>
                </c:pt>
                <c:pt idx="209">
                  <c:v>212.244339</c:v>
                </c:pt>
                <c:pt idx="210">
                  <c:v>216.41949500000001</c:v>
                </c:pt>
                <c:pt idx="211">
                  <c:v>214.042236</c:v>
                </c:pt>
                <c:pt idx="212">
                  <c:v>209.43757600000001</c:v>
                </c:pt>
                <c:pt idx="213">
                  <c:v>207.250122</c:v>
                </c:pt>
                <c:pt idx="214">
                  <c:v>207.89935299999999</c:v>
                </c:pt>
                <c:pt idx="215">
                  <c:v>208.828293</c:v>
                </c:pt>
                <c:pt idx="216">
                  <c:v>213.00344799999999</c:v>
                </c:pt>
                <c:pt idx="217">
                  <c:v>213.85247799999999</c:v>
                </c:pt>
                <c:pt idx="218">
                  <c:v>210.37647999999999</c:v>
                </c:pt>
                <c:pt idx="219">
                  <c:v>216.499405</c:v>
                </c:pt>
                <c:pt idx="220">
                  <c:v>220.01533499999999</c:v>
                </c:pt>
                <c:pt idx="221">
                  <c:v>221.29385400000001</c:v>
                </c:pt>
                <c:pt idx="222">
                  <c:v>226.07830799999999</c:v>
                </c:pt>
                <c:pt idx="223">
                  <c:v>227.55661000000001</c:v>
                </c:pt>
                <c:pt idx="224">
                  <c:v>228.415604</c:v>
                </c:pt>
                <c:pt idx="225">
                  <c:v>232.710632</c:v>
                </c:pt>
                <c:pt idx="226">
                  <c:v>227.30690000000001</c:v>
                </c:pt>
                <c:pt idx="227">
                  <c:v>230.27345299999999</c:v>
                </c:pt>
                <c:pt idx="228">
                  <c:v>234.128998</c:v>
                </c:pt>
                <c:pt idx="229">
                  <c:v>234.54852299999999</c:v>
                </c:pt>
                <c:pt idx="230">
                  <c:v>228.615387</c:v>
                </c:pt>
                <c:pt idx="231">
                  <c:v>223.920807</c:v>
                </c:pt>
                <c:pt idx="232">
                  <c:v>224.050659</c:v>
                </c:pt>
                <c:pt idx="233">
                  <c:v>223.70107999999999</c:v>
                </c:pt>
                <c:pt idx="234">
                  <c:v>224.74984699999999</c:v>
                </c:pt>
                <c:pt idx="235">
                  <c:v>218.28732299999999</c:v>
                </c:pt>
                <c:pt idx="236">
                  <c:v>217.23855599999999</c:v>
                </c:pt>
                <c:pt idx="237">
                  <c:v>217.70800800000001</c:v>
                </c:pt>
                <c:pt idx="238">
                  <c:v>217.987686</c:v>
                </c:pt>
                <c:pt idx="239">
                  <c:v>218.547043</c:v>
                </c:pt>
                <c:pt idx="240">
                  <c:v>221.82324199999999</c:v>
                </c:pt>
                <c:pt idx="241">
                  <c:v>218.10754399999999</c:v>
                </c:pt>
                <c:pt idx="242">
                  <c:v>219.60580400000001</c:v>
                </c:pt>
                <c:pt idx="243">
                  <c:v>209.02806100000001</c:v>
                </c:pt>
                <c:pt idx="244">
                  <c:v>206.99040199999999</c:v>
                </c:pt>
                <c:pt idx="245">
                  <c:v>209.57742300000001</c:v>
                </c:pt>
                <c:pt idx="246">
                  <c:v>213.06338500000001</c:v>
                </c:pt>
                <c:pt idx="247">
                  <c:v>215.990005</c:v>
                </c:pt>
                <c:pt idx="248">
                  <c:v>217.529999</c:v>
                </c:pt>
                <c:pt idx="249">
                  <c:v>221.270004</c:v>
                </c:pt>
                <c:pt idx="250">
                  <c:v>221.720001</c:v>
                </c:pt>
                <c:pt idx="251">
                  <c:v>224.720001</c:v>
                </c:pt>
                <c:pt idx="252">
                  <c:v>226.050003</c:v>
                </c:pt>
              </c:numCache>
            </c:numRef>
          </c:val>
          <c:smooth val="0"/>
          <c:extLst>
            <c:ext xmlns:c16="http://schemas.microsoft.com/office/drawing/2014/chart" uri="{C3380CC4-5D6E-409C-BE32-E72D297353CC}">
              <c16:uniqueId val="{00000000-D906-9243-90DC-71263D911D52}"/>
            </c:ext>
          </c:extLst>
        </c:ser>
        <c:ser>
          <c:idx val="1"/>
          <c:order val="1"/>
          <c:tx>
            <c:strRef>
              <c:f>Precios!$C$1</c:f>
              <c:strCache>
                <c:ptCount val="1"/>
                <c:pt idx="0">
                  <c:v>Coca-Cola</c:v>
                </c:pt>
              </c:strCache>
            </c:strRef>
          </c:tx>
          <c:spPr>
            <a:ln w="28575" cap="rnd">
              <a:solidFill>
                <a:schemeClr val="accent2"/>
              </a:solidFill>
              <a:round/>
            </a:ln>
            <a:effectLst/>
          </c:spPr>
          <c:marker>
            <c:symbol val="none"/>
          </c:marker>
          <c:cat>
            <c:numRef>
              <c:f>Precios!$A$2:$A$254</c:f>
              <c:numCache>
                <c:formatCode>m/d/yy</c:formatCode>
                <c:ptCount val="253"/>
                <c:pt idx="0">
                  <c:v>45154</c:v>
                </c:pt>
                <c:pt idx="1">
                  <c:v>45155</c:v>
                </c:pt>
                <c:pt idx="2">
                  <c:v>45156</c:v>
                </c:pt>
                <c:pt idx="3">
                  <c:v>45159</c:v>
                </c:pt>
                <c:pt idx="4">
                  <c:v>45160</c:v>
                </c:pt>
                <c:pt idx="5">
                  <c:v>45161</c:v>
                </c:pt>
                <c:pt idx="6">
                  <c:v>45162</c:v>
                </c:pt>
                <c:pt idx="7">
                  <c:v>45163</c:v>
                </c:pt>
                <c:pt idx="8">
                  <c:v>45166</c:v>
                </c:pt>
                <c:pt idx="9">
                  <c:v>45167</c:v>
                </c:pt>
                <c:pt idx="10">
                  <c:v>45168</c:v>
                </c:pt>
                <c:pt idx="11">
                  <c:v>45169</c:v>
                </c:pt>
                <c:pt idx="12">
                  <c:v>45170</c:v>
                </c:pt>
                <c:pt idx="13">
                  <c:v>45174</c:v>
                </c:pt>
                <c:pt idx="14">
                  <c:v>45175</c:v>
                </c:pt>
                <c:pt idx="15">
                  <c:v>45176</c:v>
                </c:pt>
                <c:pt idx="16">
                  <c:v>45177</c:v>
                </c:pt>
                <c:pt idx="17">
                  <c:v>45180</c:v>
                </c:pt>
                <c:pt idx="18">
                  <c:v>45181</c:v>
                </c:pt>
                <c:pt idx="19">
                  <c:v>45182</c:v>
                </c:pt>
                <c:pt idx="20">
                  <c:v>45183</c:v>
                </c:pt>
                <c:pt idx="21">
                  <c:v>45184</c:v>
                </c:pt>
                <c:pt idx="22">
                  <c:v>45187</c:v>
                </c:pt>
                <c:pt idx="23">
                  <c:v>45188</c:v>
                </c:pt>
                <c:pt idx="24">
                  <c:v>45189</c:v>
                </c:pt>
                <c:pt idx="25">
                  <c:v>45190</c:v>
                </c:pt>
                <c:pt idx="26">
                  <c:v>45191</c:v>
                </c:pt>
                <c:pt idx="27">
                  <c:v>45194</c:v>
                </c:pt>
                <c:pt idx="28">
                  <c:v>45195</c:v>
                </c:pt>
                <c:pt idx="29">
                  <c:v>45196</c:v>
                </c:pt>
                <c:pt idx="30">
                  <c:v>45197</c:v>
                </c:pt>
                <c:pt idx="31">
                  <c:v>45198</c:v>
                </c:pt>
                <c:pt idx="32">
                  <c:v>45201</c:v>
                </c:pt>
                <c:pt idx="33">
                  <c:v>45202</c:v>
                </c:pt>
                <c:pt idx="34">
                  <c:v>45203</c:v>
                </c:pt>
                <c:pt idx="35">
                  <c:v>45204</c:v>
                </c:pt>
                <c:pt idx="36">
                  <c:v>45205</c:v>
                </c:pt>
                <c:pt idx="37">
                  <c:v>45208</c:v>
                </c:pt>
                <c:pt idx="38">
                  <c:v>45209</c:v>
                </c:pt>
                <c:pt idx="39">
                  <c:v>45210</c:v>
                </c:pt>
                <c:pt idx="40">
                  <c:v>45211</c:v>
                </c:pt>
                <c:pt idx="41">
                  <c:v>45212</c:v>
                </c:pt>
                <c:pt idx="42">
                  <c:v>45215</c:v>
                </c:pt>
                <c:pt idx="43">
                  <c:v>45216</c:v>
                </c:pt>
                <c:pt idx="44">
                  <c:v>45217</c:v>
                </c:pt>
                <c:pt idx="45">
                  <c:v>45218</c:v>
                </c:pt>
                <c:pt idx="46">
                  <c:v>45219</c:v>
                </c:pt>
                <c:pt idx="47">
                  <c:v>45222</c:v>
                </c:pt>
                <c:pt idx="48">
                  <c:v>45223</c:v>
                </c:pt>
                <c:pt idx="49">
                  <c:v>45224</c:v>
                </c:pt>
                <c:pt idx="50">
                  <c:v>45225</c:v>
                </c:pt>
                <c:pt idx="51">
                  <c:v>45226</c:v>
                </c:pt>
                <c:pt idx="52">
                  <c:v>45229</c:v>
                </c:pt>
                <c:pt idx="53">
                  <c:v>45230</c:v>
                </c:pt>
                <c:pt idx="54">
                  <c:v>45231</c:v>
                </c:pt>
                <c:pt idx="55">
                  <c:v>45232</c:v>
                </c:pt>
                <c:pt idx="56">
                  <c:v>45233</c:v>
                </c:pt>
                <c:pt idx="57">
                  <c:v>45236</c:v>
                </c:pt>
                <c:pt idx="58">
                  <c:v>45237</c:v>
                </c:pt>
                <c:pt idx="59">
                  <c:v>45238</c:v>
                </c:pt>
                <c:pt idx="60">
                  <c:v>45239</c:v>
                </c:pt>
                <c:pt idx="61">
                  <c:v>45240</c:v>
                </c:pt>
                <c:pt idx="62">
                  <c:v>45243</c:v>
                </c:pt>
                <c:pt idx="63">
                  <c:v>45244</c:v>
                </c:pt>
                <c:pt idx="64">
                  <c:v>45245</c:v>
                </c:pt>
                <c:pt idx="65">
                  <c:v>45246</c:v>
                </c:pt>
                <c:pt idx="66">
                  <c:v>45247</c:v>
                </c:pt>
                <c:pt idx="67">
                  <c:v>45250</c:v>
                </c:pt>
                <c:pt idx="68">
                  <c:v>45251</c:v>
                </c:pt>
                <c:pt idx="69">
                  <c:v>45252</c:v>
                </c:pt>
                <c:pt idx="70">
                  <c:v>45254</c:v>
                </c:pt>
                <c:pt idx="71">
                  <c:v>45257</c:v>
                </c:pt>
                <c:pt idx="72">
                  <c:v>45258</c:v>
                </c:pt>
                <c:pt idx="73">
                  <c:v>45259</c:v>
                </c:pt>
                <c:pt idx="74">
                  <c:v>45260</c:v>
                </c:pt>
                <c:pt idx="75">
                  <c:v>45261</c:v>
                </c:pt>
                <c:pt idx="76">
                  <c:v>45264</c:v>
                </c:pt>
                <c:pt idx="77">
                  <c:v>45265</c:v>
                </c:pt>
                <c:pt idx="78">
                  <c:v>45266</c:v>
                </c:pt>
                <c:pt idx="79">
                  <c:v>45267</c:v>
                </c:pt>
                <c:pt idx="80">
                  <c:v>45268</c:v>
                </c:pt>
                <c:pt idx="81">
                  <c:v>45271</c:v>
                </c:pt>
                <c:pt idx="82">
                  <c:v>45272</c:v>
                </c:pt>
                <c:pt idx="83">
                  <c:v>45273</c:v>
                </c:pt>
                <c:pt idx="84">
                  <c:v>45274</c:v>
                </c:pt>
                <c:pt idx="85">
                  <c:v>45275</c:v>
                </c:pt>
                <c:pt idx="86">
                  <c:v>45278</c:v>
                </c:pt>
                <c:pt idx="87">
                  <c:v>45279</c:v>
                </c:pt>
                <c:pt idx="88">
                  <c:v>45280</c:v>
                </c:pt>
                <c:pt idx="89">
                  <c:v>45281</c:v>
                </c:pt>
                <c:pt idx="90">
                  <c:v>45282</c:v>
                </c:pt>
                <c:pt idx="91">
                  <c:v>45286</c:v>
                </c:pt>
                <c:pt idx="92">
                  <c:v>45287</c:v>
                </c:pt>
                <c:pt idx="93">
                  <c:v>45288</c:v>
                </c:pt>
                <c:pt idx="94">
                  <c:v>45289</c:v>
                </c:pt>
                <c:pt idx="95">
                  <c:v>45293</c:v>
                </c:pt>
                <c:pt idx="96">
                  <c:v>45294</c:v>
                </c:pt>
                <c:pt idx="97">
                  <c:v>45295</c:v>
                </c:pt>
                <c:pt idx="98">
                  <c:v>45296</c:v>
                </c:pt>
                <c:pt idx="99">
                  <c:v>45299</c:v>
                </c:pt>
                <c:pt idx="100">
                  <c:v>45300</c:v>
                </c:pt>
                <c:pt idx="101">
                  <c:v>45301</c:v>
                </c:pt>
                <c:pt idx="102">
                  <c:v>45302</c:v>
                </c:pt>
                <c:pt idx="103">
                  <c:v>45303</c:v>
                </c:pt>
                <c:pt idx="104">
                  <c:v>45307</c:v>
                </c:pt>
                <c:pt idx="105">
                  <c:v>45308</c:v>
                </c:pt>
                <c:pt idx="106">
                  <c:v>45309</c:v>
                </c:pt>
                <c:pt idx="107">
                  <c:v>45310</c:v>
                </c:pt>
                <c:pt idx="108">
                  <c:v>45313</c:v>
                </c:pt>
                <c:pt idx="109">
                  <c:v>45314</c:v>
                </c:pt>
                <c:pt idx="110">
                  <c:v>45315</c:v>
                </c:pt>
                <c:pt idx="111">
                  <c:v>45316</c:v>
                </c:pt>
                <c:pt idx="112">
                  <c:v>45317</c:v>
                </c:pt>
                <c:pt idx="113">
                  <c:v>45320</c:v>
                </c:pt>
                <c:pt idx="114">
                  <c:v>45321</c:v>
                </c:pt>
                <c:pt idx="115">
                  <c:v>45322</c:v>
                </c:pt>
                <c:pt idx="116">
                  <c:v>45323</c:v>
                </c:pt>
                <c:pt idx="117">
                  <c:v>45324</c:v>
                </c:pt>
                <c:pt idx="118">
                  <c:v>45327</c:v>
                </c:pt>
                <c:pt idx="119">
                  <c:v>45328</c:v>
                </c:pt>
                <c:pt idx="120">
                  <c:v>45329</c:v>
                </c:pt>
                <c:pt idx="121">
                  <c:v>45330</c:v>
                </c:pt>
                <c:pt idx="122">
                  <c:v>45331</c:v>
                </c:pt>
                <c:pt idx="123">
                  <c:v>45334</c:v>
                </c:pt>
                <c:pt idx="124">
                  <c:v>45335</c:v>
                </c:pt>
                <c:pt idx="125">
                  <c:v>45336</c:v>
                </c:pt>
                <c:pt idx="126">
                  <c:v>45337</c:v>
                </c:pt>
                <c:pt idx="127">
                  <c:v>45338</c:v>
                </c:pt>
                <c:pt idx="128">
                  <c:v>45342</c:v>
                </c:pt>
                <c:pt idx="129">
                  <c:v>45343</c:v>
                </c:pt>
                <c:pt idx="130">
                  <c:v>45344</c:v>
                </c:pt>
                <c:pt idx="131">
                  <c:v>45345</c:v>
                </c:pt>
                <c:pt idx="132">
                  <c:v>45348</c:v>
                </c:pt>
                <c:pt idx="133">
                  <c:v>45349</c:v>
                </c:pt>
                <c:pt idx="134">
                  <c:v>45350</c:v>
                </c:pt>
                <c:pt idx="135">
                  <c:v>45351</c:v>
                </c:pt>
                <c:pt idx="136">
                  <c:v>45352</c:v>
                </c:pt>
                <c:pt idx="137">
                  <c:v>45355</c:v>
                </c:pt>
                <c:pt idx="138">
                  <c:v>45356</c:v>
                </c:pt>
                <c:pt idx="139">
                  <c:v>45357</c:v>
                </c:pt>
                <c:pt idx="140">
                  <c:v>45358</c:v>
                </c:pt>
                <c:pt idx="141">
                  <c:v>45359</c:v>
                </c:pt>
                <c:pt idx="142">
                  <c:v>45362</c:v>
                </c:pt>
                <c:pt idx="143">
                  <c:v>45363</c:v>
                </c:pt>
                <c:pt idx="144">
                  <c:v>45364</c:v>
                </c:pt>
                <c:pt idx="145">
                  <c:v>45365</c:v>
                </c:pt>
                <c:pt idx="146">
                  <c:v>45366</c:v>
                </c:pt>
                <c:pt idx="147">
                  <c:v>45369</c:v>
                </c:pt>
                <c:pt idx="148">
                  <c:v>45370</c:v>
                </c:pt>
                <c:pt idx="149">
                  <c:v>45371</c:v>
                </c:pt>
                <c:pt idx="150">
                  <c:v>45372</c:v>
                </c:pt>
                <c:pt idx="151">
                  <c:v>45373</c:v>
                </c:pt>
                <c:pt idx="152">
                  <c:v>45376</c:v>
                </c:pt>
                <c:pt idx="153">
                  <c:v>45377</c:v>
                </c:pt>
                <c:pt idx="154">
                  <c:v>45378</c:v>
                </c:pt>
                <c:pt idx="155">
                  <c:v>45379</c:v>
                </c:pt>
                <c:pt idx="156">
                  <c:v>45383</c:v>
                </c:pt>
                <c:pt idx="157">
                  <c:v>45384</c:v>
                </c:pt>
                <c:pt idx="158">
                  <c:v>45385</c:v>
                </c:pt>
                <c:pt idx="159">
                  <c:v>45386</c:v>
                </c:pt>
                <c:pt idx="160">
                  <c:v>45387</c:v>
                </c:pt>
                <c:pt idx="161">
                  <c:v>45390</c:v>
                </c:pt>
                <c:pt idx="162">
                  <c:v>45391</c:v>
                </c:pt>
                <c:pt idx="163">
                  <c:v>45392</c:v>
                </c:pt>
                <c:pt idx="164">
                  <c:v>45393</c:v>
                </c:pt>
                <c:pt idx="165">
                  <c:v>45394</c:v>
                </c:pt>
                <c:pt idx="166">
                  <c:v>45397</c:v>
                </c:pt>
                <c:pt idx="167">
                  <c:v>45398</c:v>
                </c:pt>
                <c:pt idx="168">
                  <c:v>45399</c:v>
                </c:pt>
                <c:pt idx="169">
                  <c:v>45400</c:v>
                </c:pt>
                <c:pt idx="170">
                  <c:v>45401</c:v>
                </c:pt>
                <c:pt idx="171">
                  <c:v>45404</c:v>
                </c:pt>
                <c:pt idx="172">
                  <c:v>45405</c:v>
                </c:pt>
                <c:pt idx="173">
                  <c:v>45406</c:v>
                </c:pt>
                <c:pt idx="174">
                  <c:v>45407</c:v>
                </c:pt>
                <c:pt idx="175">
                  <c:v>45408</c:v>
                </c:pt>
                <c:pt idx="176">
                  <c:v>45411</c:v>
                </c:pt>
                <c:pt idx="177">
                  <c:v>45412</c:v>
                </c:pt>
                <c:pt idx="178">
                  <c:v>45413</c:v>
                </c:pt>
                <c:pt idx="179">
                  <c:v>45414</c:v>
                </c:pt>
                <c:pt idx="180">
                  <c:v>45415</c:v>
                </c:pt>
                <c:pt idx="181">
                  <c:v>45418</c:v>
                </c:pt>
                <c:pt idx="182">
                  <c:v>45419</c:v>
                </c:pt>
                <c:pt idx="183">
                  <c:v>45420</c:v>
                </c:pt>
                <c:pt idx="184">
                  <c:v>45421</c:v>
                </c:pt>
                <c:pt idx="185">
                  <c:v>45422</c:v>
                </c:pt>
                <c:pt idx="186">
                  <c:v>45425</c:v>
                </c:pt>
                <c:pt idx="187">
                  <c:v>45426</c:v>
                </c:pt>
                <c:pt idx="188">
                  <c:v>45427</c:v>
                </c:pt>
                <c:pt idx="189">
                  <c:v>45428</c:v>
                </c:pt>
                <c:pt idx="190">
                  <c:v>45429</c:v>
                </c:pt>
                <c:pt idx="191">
                  <c:v>45432</c:v>
                </c:pt>
                <c:pt idx="192">
                  <c:v>45433</c:v>
                </c:pt>
                <c:pt idx="193">
                  <c:v>45434</c:v>
                </c:pt>
                <c:pt idx="194">
                  <c:v>45435</c:v>
                </c:pt>
                <c:pt idx="195">
                  <c:v>45436</c:v>
                </c:pt>
                <c:pt idx="196">
                  <c:v>45440</c:v>
                </c:pt>
                <c:pt idx="197">
                  <c:v>45441</c:v>
                </c:pt>
                <c:pt idx="198">
                  <c:v>45442</c:v>
                </c:pt>
                <c:pt idx="199">
                  <c:v>45443</c:v>
                </c:pt>
                <c:pt idx="200">
                  <c:v>45446</c:v>
                </c:pt>
                <c:pt idx="201">
                  <c:v>45447</c:v>
                </c:pt>
                <c:pt idx="202">
                  <c:v>45448</c:v>
                </c:pt>
                <c:pt idx="203">
                  <c:v>45449</c:v>
                </c:pt>
                <c:pt idx="204">
                  <c:v>45450</c:v>
                </c:pt>
                <c:pt idx="205">
                  <c:v>45453</c:v>
                </c:pt>
                <c:pt idx="206">
                  <c:v>45454</c:v>
                </c:pt>
                <c:pt idx="207">
                  <c:v>45455</c:v>
                </c:pt>
                <c:pt idx="208">
                  <c:v>45456</c:v>
                </c:pt>
                <c:pt idx="209">
                  <c:v>45457</c:v>
                </c:pt>
                <c:pt idx="210">
                  <c:v>45460</c:v>
                </c:pt>
                <c:pt idx="211">
                  <c:v>45461</c:v>
                </c:pt>
                <c:pt idx="212">
                  <c:v>45463</c:v>
                </c:pt>
                <c:pt idx="213">
                  <c:v>45464</c:v>
                </c:pt>
                <c:pt idx="214">
                  <c:v>45467</c:v>
                </c:pt>
                <c:pt idx="215">
                  <c:v>45468</c:v>
                </c:pt>
                <c:pt idx="216">
                  <c:v>45469</c:v>
                </c:pt>
                <c:pt idx="217">
                  <c:v>45470</c:v>
                </c:pt>
                <c:pt idx="218">
                  <c:v>45471</c:v>
                </c:pt>
                <c:pt idx="219">
                  <c:v>45474</c:v>
                </c:pt>
                <c:pt idx="220">
                  <c:v>45475</c:v>
                </c:pt>
                <c:pt idx="221">
                  <c:v>45476</c:v>
                </c:pt>
                <c:pt idx="222">
                  <c:v>45478</c:v>
                </c:pt>
                <c:pt idx="223">
                  <c:v>45481</c:v>
                </c:pt>
                <c:pt idx="224">
                  <c:v>45482</c:v>
                </c:pt>
                <c:pt idx="225">
                  <c:v>45483</c:v>
                </c:pt>
                <c:pt idx="226">
                  <c:v>45484</c:v>
                </c:pt>
                <c:pt idx="227">
                  <c:v>45485</c:v>
                </c:pt>
                <c:pt idx="228">
                  <c:v>45488</c:v>
                </c:pt>
                <c:pt idx="229">
                  <c:v>45489</c:v>
                </c:pt>
                <c:pt idx="230">
                  <c:v>45490</c:v>
                </c:pt>
                <c:pt idx="231">
                  <c:v>45491</c:v>
                </c:pt>
                <c:pt idx="232">
                  <c:v>45492</c:v>
                </c:pt>
                <c:pt idx="233">
                  <c:v>45495</c:v>
                </c:pt>
                <c:pt idx="234">
                  <c:v>45496</c:v>
                </c:pt>
                <c:pt idx="235">
                  <c:v>45497</c:v>
                </c:pt>
                <c:pt idx="236">
                  <c:v>45498</c:v>
                </c:pt>
                <c:pt idx="237">
                  <c:v>45499</c:v>
                </c:pt>
                <c:pt idx="238">
                  <c:v>45502</c:v>
                </c:pt>
                <c:pt idx="239">
                  <c:v>45503</c:v>
                </c:pt>
                <c:pt idx="240">
                  <c:v>45504</c:v>
                </c:pt>
                <c:pt idx="241">
                  <c:v>45505</c:v>
                </c:pt>
                <c:pt idx="242">
                  <c:v>45506</c:v>
                </c:pt>
                <c:pt idx="243">
                  <c:v>45509</c:v>
                </c:pt>
                <c:pt idx="244">
                  <c:v>45510</c:v>
                </c:pt>
                <c:pt idx="245">
                  <c:v>45511</c:v>
                </c:pt>
                <c:pt idx="246">
                  <c:v>45512</c:v>
                </c:pt>
                <c:pt idx="247">
                  <c:v>45513</c:v>
                </c:pt>
                <c:pt idx="248">
                  <c:v>45516</c:v>
                </c:pt>
                <c:pt idx="249">
                  <c:v>45517</c:v>
                </c:pt>
                <c:pt idx="250">
                  <c:v>45518</c:v>
                </c:pt>
                <c:pt idx="251">
                  <c:v>45519</c:v>
                </c:pt>
                <c:pt idx="252">
                  <c:v>45520</c:v>
                </c:pt>
              </c:numCache>
            </c:numRef>
          </c:cat>
          <c:val>
            <c:numRef>
              <c:f>Precios!$C$2:$C$254</c:f>
              <c:numCache>
                <c:formatCode>0.00</c:formatCode>
                <c:ptCount val="253"/>
                <c:pt idx="0">
                  <c:v>58.602820999999999</c:v>
                </c:pt>
                <c:pt idx="1">
                  <c:v>58.728789999999996</c:v>
                </c:pt>
                <c:pt idx="2">
                  <c:v>59.058239</c:v>
                </c:pt>
                <c:pt idx="3">
                  <c:v>58.554378999999997</c:v>
                </c:pt>
                <c:pt idx="4">
                  <c:v>58.195861999999998</c:v>
                </c:pt>
                <c:pt idx="5">
                  <c:v>58.399344999999997</c:v>
                </c:pt>
                <c:pt idx="6">
                  <c:v>58.244312000000001</c:v>
                </c:pt>
                <c:pt idx="7">
                  <c:v>58.515616999999999</c:v>
                </c:pt>
                <c:pt idx="8">
                  <c:v>58.680340000000001</c:v>
                </c:pt>
                <c:pt idx="9">
                  <c:v>58.622204000000004</c:v>
                </c:pt>
                <c:pt idx="10">
                  <c:v>58.593136000000001</c:v>
                </c:pt>
                <c:pt idx="11">
                  <c:v>57.973002999999999</c:v>
                </c:pt>
                <c:pt idx="12">
                  <c:v>57.469138999999998</c:v>
                </c:pt>
                <c:pt idx="13">
                  <c:v>56.994346999999998</c:v>
                </c:pt>
                <c:pt idx="14">
                  <c:v>56.955589000000003</c:v>
                </c:pt>
                <c:pt idx="15">
                  <c:v>56.519558000000004</c:v>
                </c:pt>
                <c:pt idx="16">
                  <c:v>56.519558000000004</c:v>
                </c:pt>
                <c:pt idx="17">
                  <c:v>57.052486000000002</c:v>
                </c:pt>
                <c:pt idx="18">
                  <c:v>56.490485999999997</c:v>
                </c:pt>
                <c:pt idx="19">
                  <c:v>56.626140999999997</c:v>
                </c:pt>
                <c:pt idx="20">
                  <c:v>57.094935999999997</c:v>
                </c:pt>
                <c:pt idx="21">
                  <c:v>56.587074000000001</c:v>
                </c:pt>
                <c:pt idx="22">
                  <c:v>56.938667000000002</c:v>
                </c:pt>
                <c:pt idx="23">
                  <c:v>56.821472</c:v>
                </c:pt>
                <c:pt idx="24">
                  <c:v>57.075400999999999</c:v>
                </c:pt>
                <c:pt idx="25">
                  <c:v>56.196418999999999</c:v>
                </c:pt>
                <c:pt idx="26">
                  <c:v>56.255015999999998</c:v>
                </c:pt>
                <c:pt idx="27">
                  <c:v>55.669029000000002</c:v>
                </c:pt>
                <c:pt idx="28">
                  <c:v>55.209999000000003</c:v>
                </c:pt>
                <c:pt idx="29">
                  <c:v>54.643543000000001</c:v>
                </c:pt>
                <c:pt idx="30">
                  <c:v>54.506816999999998</c:v>
                </c:pt>
                <c:pt idx="31">
                  <c:v>54.672840000000001</c:v>
                </c:pt>
                <c:pt idx="32">
                  <c:v>54.184517</c:v>
                </c:pt>
                <c:pt idx="33">
                  <c:v>53.598529999999997</c:v>
                </c:pt>
                <c:pt idx="34">
                  <c:v>53.754795000000001</c:v>
                </c:pt>
                <c:pt idx="35">
                  <c:v>51.156905999999999</c:v>
                </c:pt>
                <c:pt idx="36">
                  <c:v>51.899158</c:v>
                </c:pt>
                <c:pt idx="37">
                  <c:v>51.645232999999998</c:v>
                </c:pt>
                <c:pt idx="38">
                  <c:v>52.768374999999999</c:v>
                </c:pt>
                <c:pt idx="39">
                  <c:v>52.455849000000001</c:v>
                </c:pt>
                <c:pt idx="40">
                  <c:v>51.576866000000003</c:v>
                </c:pt>
                <c:pt idx="41">
                  <c:v>51.654995</c:v>
                </c:pt>
                <c:pt idx="42">
                  <c:v>52.182383999999999</c:v>
                </c:pt>
                <c:pt idx="43">
                  <c:v>52.807445999999999</c:v>
                </c:pt>
                <c:pt idx="44">
                  <c:v>52.787909999999997</c:v>
                </c:pt>
                <c:pt idx="45">
                  <c:v>53.080902000000002</c:v>
                </c:pt>
                <c:pt idx="46">
                  <c:v>53.295769</c:v>
                </c:pt>
                <c:pt idx="47">
                  <c:v>52.817211</c:v>
                </c:pt>
                <c:pt idx="48">
                  <c:v>54.340781999999997</c:v>
                </c:pt>
                <c:pt idx="49">
                  <c:v>54.809573999999998</c:v>
                </c:pt>
                <c:pt idx="50">
                  <c:v>54.477511999999997</c:v>
                </c:pt>
                <c:pt idx="51">
                  <c:v>53.950127000000002</c:v>
                </c:pt>
                <c:pt idx="52">
                  <c:v>54.838875000000002</c:v>
                </c:pt>
                <c:pt idx="53">
                  <c:v>55.170937000000002</c:v>
                </c:pt>
                <c:pt idx="54">
                  <c:v>55.122101000000001</c:v>
                </c:pt>
                <c:pt idx="55">
                  <c:v>55.756923999999998</c:v>
                </c:pt>
                <c:pt idx="56">
                  <c:v>55.415095999999998</c:v>
                </c:pt>
                <c:pt idx="57">
                  <c:v>55.639729000000003</c:v>
                </c:pt>
                <c:pt idx="58">
                  <c:v>55.844822000000001</c:v>
                </c:pt>
                <c:pt idx="59">
                  <c:v>55.756923999999998</c:v>
                </c:pt>
                <c:pt idx="60">
                  <c:v>55.336967000000001</c:v>
                </c:pt>
                <c:pt idx="61">
                  <c:v>55.395564999999998</c:v>
                </c:pt>
                <c:pt idx="62">
                  <c:v>55.600662</c:v>
                </c:pt>
                <c:pt idx="63">
                  <c:v>55.766689</c:v>
                </c:pt>
                <c:pt idx="64">
                  <c:v>55.874122999999997</c:v>
                </c:pt>
                <c:pt idx="65">
                  <c:v>55.815520999999997</c:v>
                </c:pt>
                <c:pt idx="66">
                  <c:v>55.922955000000002</c:v>
                </c:pt>
                <c:pt idx="67">
                  <c:v>56.059688999999999</c:v>
                </c:pt>
                <c:pt idx="68">
                  <c:v>56.674973000000001</c:v>
                </c:pt>
                <c:pt idx="69">
                  <c:v>57.055866000000002</c:v>
                </c:pt>
                <c:pt idx="70">
                  <c:v>57.202365999999998</c:v>
                </c:pt>
                <c:pt idx="71">
                  <c:v>57.094935999999997</c:v>
                </c:pt>
                <c:pt idx="72">
                  <c:v>57.212135000000004</c:v>
                </c:pt>
                <c:pt idx="73">
                  <c:v>56.870308000000001</c:v>
                </c:pt>
                <c:pt idx="74">
                  <c:v>57.529868999999998</c:v>
                </c:pt>
                <c:pt idx="75">
                  <c:v>57.726756999999999</c:v>
                </c:pt>
                <c:pt idx="76">
                  <c:v>57.657845000000002</c:v>
                </c:pt>
                <c:pt idx="77">
                  <c:v>57.746445000000001</c:v>
                </c:pt>
                <c:pt idx="78">
                  <c:v>57.687378000000002</c:v>
                </c:pt>
                <c:pt idx="79">
                  <c:v>57.825203000000002</c:v>
                </c:pt>
                <c:pt idx="80">
                  <c:v>57.697223999999999</c:v>
                </c:pt>
                <c:pt idx="81">
                  <c:v>58.120525000000001</c:v>
                </c:pt>
                <c:pt idx="82">
                  <c:v>58.494605999999997</c:v>
                </c:pt>
                <c:pt idx="83">
                  <c:v>58.996665999999998</c:v>
                </c:pt>
                <c:pt idx="84">
                  <c:v>58.120525000000001</c:v>
                </c:pt>
                <c:pt idx="85">
                  <c:v>57.687378000000002</c:v>
                </c:pt>
                <c:pt idx="86">
                  <c:v>58.100842</c:v>
                </c:pt>
                <c:pt idx="87">
                  <c:v>57.913798999999997</c:v>
                </c:pt>
                <c:pt idx="88">
                  <c:v>56.712798999999997</c:v>
                </c:pt>
                <c:pt idx="89">
                  <c:v>57.086883999999998</c:v>
                </c:pt>
                <c:pt idx="90">
                  <c:v>57.411738999999997</c:v>
                </c:pt>
                <c:pt idx="91">
                  <c:v>57.648003000000003</c:v>
                </c:pt>
                <c:pt idx="92">
                  <c:v>57.795662</c:v>
                </c:pt>
                <c:pt idx="93">
                  <c:v>57.835045000000001</c:v>
                </c:pt>
                <c:pt idx="94">
                  <c:v>58.012238000000004</c:v>
                </c:pt>
                <c:pt idx="95">
                  <c:v>58.888378000000003</c:v>
                </c:pt>
                <c:pt idx="96">
                  <c:v>59.026195999999999</c:v>
                </c:pt>
                <c:pt idx="97">
                  <c:v>58.829310999999997</c:v>
                </c:pt>
                <c:pt idx="98">
                  <c:v>58.740715000000002</c:v>
                </c:pt>
                <c:pt idx="99">
                  <c:v>59.173865999999997</c:v>
                </c:pt>
                <c:pt idx="100">
                  <c:v>59.065578000000002</c:v>
                </c:pt>
                <c:pt idx="101">
                  <c:v>59.262462999999997</c:v>
                </c:pt>
                <c:pt idx="102">
                  <c:v>58.878535999999997</c:v>
                </c:pt>
                <c:pt idx="103">
                  <c:v>59.449500999999998</c:v>
                </c:pt>
                <c:pt idx="104">
                  <c:v>59.055732999999996</c:v>
                </c:pt>
                <c:pt idx="105">
                  <c:v>59.055732999999996</c:v>
                </c:pt>
                <c:pt idx="106">
                  <c:v>59.223083000000003</c:v>
                </c:pt>
                <c:pt idx="107">
                  <c:v>58.898228000000003</c:v>
                </c:pt>
                <c:pt idx="108">
                  <c:v>58.642273000000003</c:v>
                </c:pt>
                <c:pt idx="109">
                  <c:v>58.917907999999997</c:v>
                </c:pt>
                <c:pt idx="110">
                  <c:v>57.992553999999998</c:v>
                </c:pt>
                <c:pt idx="111">
                  <c:v>58.238658999999998</c:v>
                </c:pt>
                <c:pt idx="112">
                  <c:v>58.445385000000002</c:v>
                </c:pt>
                <c:pt idx="113">
                  <c:v>58.799782</c:v>
                </c:pt>
                <c:pt idx="114">
                  <c:v>58.967132999999997</c:v>
                </c:pt>
                <c:pt idx="115">
                  <c:v>58.563518999999999</c:v>
                </c:pt>
                <c:pt idx="116">
                  <c:v>60.030315000000002</c:v>
                </c:pt>
                <c:pt idx="117">
                  <c:v>59.597168000000003</c:v>
                </c:pt>
                <c:pt idx="118">
                  <c:v>59.104953999999999</c:v>
                </c:pt>
                <c:pt idx="119">
                  <c:v>59.006512000000001</c:v>
                </c:pt>
                <c:pt idx="120">
                  <c:v>59.055732999999996</c:v>
                </c:pt>
                <c:pt idx="121">
                  <c:v>58.898228000000003</c:v>
                </c:pt>
                <c:pt idx="122">
                  <c:v>58.632430999999997</c:v>
                </c:pt>
                <c:pt idx="123">
                  <c:v>58.770248000000002</c:v>
                </c:pt>
                <c:pt idx="124">
                  <c:v>58.425697</c:v>
                </c:pt>
                <c:pt idx="125">
                  <c:v>58.366633999999998</c:v>
                </c:pt>
                <c:pt idx="126">
                  <c:v>58.474921999999999</c:v>
                </c:pt>
                <c:pt idx="127">
                  <c:v>58.465076000000003</c:v>
                </c:pt>
                <c:pt idx="128">
                  <c:v>59.754677000000001</c:v>
                </c:pt>
                <c:pt idx="129">
                  <c:v>60.286265999999998</c:v>
                </c:pt>
                <c:pt idx="130">
                  <c:v>60.197665999999998</c:v>
                </c:pt>
                <c:pt idx="131">
                  <c:v>60.246890999999998</c:v>
                </c:pt>
                <c:pt idx="132">
                  <c:v>59.764519</c:v>
                </c:pt>
                <c:pt idx="133">
                  <c:v>59.400280000000002</c:v>
                </c:pt>
                <c:pt idx="134">
                  <c:v>59.459347000000001</c:v>
                </c:pt>
                <c:pt idx="135">
                  <c:v>59.085262</c:v>
                </c:pt>
                <c:pt idx="136">
                  <c:v>58.602893999999999</c:v>
                </c:pt>
                <c:pt idx="137">
                  <c:v>58.878535999999997</c:v>
                </c:pt>
                <c:pt idx="138">
                  <c:v>58.593048000000003</c:v>
                </c:pt>
                <c:pt idx="139">
                  <c:v>58.622585000000001</c:v>
                </c:pt>
                <c:pt idx="140">
                  <c:v>58.514296999999999</c:v>
                </c:pt>
                <c:pt idx="141">
                  <c:v>58.593048000000003</c:v>
                </c:pt>
                <c:pt idx="142">
                  <c:v>59.301837999999996</c:v>
                </c:pt>
                <c:pt idx="143">
                  <c:v>59.557789</c:v>
                </c:pt>
                <c:pt idx="144">
                  <c:v>60.168132999999997</c:v>
                </c:pt>
                <c:pt idx="145">
                  <c:v>60.034171999999998</c:v>
                </c:pt>
                <c:pt idx="146">
                  <c:v>59.418948999999998</c:v>
                </c:pt>
                <c:pt idx="147">
                  <c:v>59.667023</c:v>
                </c:pt>
                <c:pt idx="148">
                  <c:v>59.766250999999997</c:v>
                </c:pt>
                <c:pt idx="149">
                  <c:v>60.282249</c:v>
                </c:pt>
                <c:pt idx="150">
                  <c:v>60.004406000000003</c:v>
                </c:pt>
                <c:pt idx="151">
                  <c:v>60.024253999999999</c:v>
                </c:pt>
                <c:pt idx="152">
                  <c:v>59.934944000000002</c:v>
                </c:pt>
                <c:pt idx="153">
                  <c:v>60.073867999999997</c:v>
                </c:pt>
                <c:pt idx="154">
                  <c:v>60.560093000000002</c:v>
                </c:pt>
                <c:pt idx="155">
                  <c:v>60.708939000000001</c:v>
                </c:pt>
                <c:pt idx="156">
                  <c:v>60.212788000000003</c:v>
                </c:pt>
                <c:pt idx="157">
                  <c:v>59.686870999999996</c:v>
                </c:pt>
                <c:pt idx="158">
                  <c:v>59.369335</c:v>
                </c:pt>
                <c:pt idx="159">
                  <c:v>58.843414000000003</c:v>
                </c:pt>
                <c:pt idx="160">
                  <c:v>59.051796000000003</c:v>
                </c:pt>
                <c:pt idx="161">
                  <c:v>58.813643999999996</c:v>
                </c:pt>
                <c:pt idx="162">
                  <c:v>59.260181000000003</c:v>
                </c:pt>
                <c:pt idx="163">
                  <c:v>58.466338999999998</c:v>
                </c:pt>
                <c:pt idx="164">
                  <c:v>58.595337000000001</c:v>
                </c:pt>
                <c:pt idx="165">
                  <c:v>57.831263999999997</c:v>
                </c:pt>
                <c:pt idx="166">
                  <c:v>57.692345000000003</c:v>
                </c:pt>
                <c:pt idx="167">
                  <c:v>57.612960999999999</c:v>
                </c:pt>
                <c:pt idx="168">
                  <c:v>58.059494000000001</c:v>
                </c:pt>
                <c:pt idx="169">
                  <c:v>58.456417000000002</c:v>
                </c:pt>
                <c:pt idx="170">
                  <c:v>59.706710999999999</c:v>
                </c:pt>
                <c:pt idx="171">
                  <c:v>60.08379</c:v>
                </c:pt>
                <c:pt idx="172">
                  <c:v>60.173096000000001</c:v>
                </c:pt>
                <c:pt idx="173">
                  <c:v>61.076087999999999</c:v>
                </c:pt>
                <c:pt idx="174">
                  <c:v>61.264628999999999</c:v>
                </c:pt>
                <c:pt idx="175">
                  <c:v>61.264628999999999</c:v>
                </c:pt>
                <c:pt idx="176">
                  <c:v>61.562317</c:v>
                </c:pt>
                <c:pt idx="177">
                  <c:v>61.294395000000002</c:v>
                </c:pt>
                <c:pt idx="178">
                  <c:v>61.453163000000004</c:v>
                </c:pt>
                <c:pt idx="179">
                  <c:v>61.512703000000002</c:v>
                </c:pt>
                <c:pt idx="180">
                  <c:v>61.691315000000003</c:v>
                </c:pt>
                <c:pt idx="181">
                  <c:v>61.869926</c:v>
                </c:pt>
                <c:pt idx="182">
                  <c:v>62.137847999999998</c:v>
                </c:pt>
                <c:pt idx="183">
                  <c:v>62.366076999999997</c:v>
                </c:pt>
                <c:pt idx="184">
                  <c:v>62.395851</c:v>
                </c:pt>
                <c:pt idx="185">
                  <c:v>62.772922999999999</c:v>
                </c:pt>
                <c:pt idx="186">
                  <c:v>63.090462000000002</c:v>
                </c:pt>
                <c:pt idx="187">
                  <c:v>62.614154999999997</c:v>
                </c:pt>
                <c:pt idx="188">
                  <c:v>62.643925000000003</c:v>
                </c:pt>
                <c:pt idx="189">
                  <c:v>62.832462</c:v>
                </c:pt>
                <c:pt idx="190">
                  <c:v>62.544693000000002</c:v>
                </c:pt>
                <c:pt idx="191">
                  <c:v>62.088234</c:v>
                </c:pt>
                <c:pt idx="192">
                  <c:v>62.425617000000003</c:v>
                </c:pt>
                <c:pt idx="193">
                  <c:v>62.514923000000003</c:v>
                </c:pt>
                <c:pt idx="194">
                  <c:v>61.611930999999998</c:v>
                </c:pt>
                <c:pt idx="195">
                  <c:v>61.522624999999998</c:v>
                </c:pt>
                <c:pt idx="196">
                  <c:v>61.344009</c:v>
                </c:pt>
                <c:pt idx="197">
                  <c:v>61.224933999999998</c:v>
                </c:pt>
                <c:pt idx="198">
                  <c:v>61.492854999999999</c:v>
                </c:pt>
                <c:pt idx="199">
                  <c:v>62.445464999999999</c:v>
                </c:pt>
                <c:pt idx="200">
                  <c:v>62.445464999999999</c:v>
                </c:pt>
                <c:pt idx="201">
                  <c:v>63.447685</c:v>
                </c:pt>
                <c:pt idx="202">
                  <c:v>63.427836999999997</c:v>
                </c:pt>
                <c:pt idx="203">
                  <c:v>63.656070999999997</c:v>
                </c:pt>
                <c:pt idx="204">
                  <c:v>63.417918999999998</c:v>
                </c:pt>
                <c:pt idx="205">
                  <c:v>63.100383999999998</c:v>
                </c:pt>
                <c:pt idx="206">
                  <c:v>63.060687999999999</c:v>
                </c:pt>
                <c:pt idx="207">
                  <c:v>62.395851</c:v>
                </c:pt>
                <c:pt idx="208">
                  <c:v>62.505004999999997</c:v>
                </c:pt>
                <c:pt idx="209">
                  <c:v>62.549999</c:v>
                </c:pt>
                <c:pt idx="210">
                  <c:v>62.619999</c:v>
                </c:pt>
                <c:pt idx="211">
                  <c:v>62.630001</c:v>
                </c:pt>
                <c:pt idx="212">
                  <c:v>62.18</c:v>
                </c:pt>
                <c:pt idx="213">
                  <c:v>62.77</c:v>
                </c:pt>
                <c:pt idx="214">
                  <c:v>63.970001000000003</c:v>
                </c:pt>
                <c:pt idx="215">
                  <c:v>63.84</c:v>
                </c:pt>
                <c:pt idx="216">
                  <c:v>64.050003000000004</c:v>
                </c:pt>
                <c:pt idx="217">
                  <c:v>63.91</c:v>
                </c:pt>
                <c:pt idx="218">
                  <c:v>63.650002000000001</c:v>
                </c:pt>
                <c:pt idx="219">
                  <c:v>63.279998999999997</c:v>
                </c:pt>
                <c:pt idx="220">
                  <c:v>63.150002000000001</c:v>
                </c:pt>
                <c:pt idx="221">
                  <c:v>63.330002</c:v>
                </c:pt>
                <c:pt idx="222">
                  <c:v>63.759998000000003</c:v>
                </c:pt>
                <c:pt idx="223">
                  <c:v>62.959999000000003</c:v>
                </c:pt>
                <c:pt idx="224">
                  <c:v>62.689999</c:v>
                </c:pt>
                <c:pt idx="225">
                  <c:v>62.830002</c:v>
                </c:pt>
                <c:pt idx="226">
                  <c:v>63.099997999999999</c:v>
                </c:pt>
                <c:pt idx="227">
                  <c:v>63.700001</c:v>
                </c:pt>
                <c:pt idx="228">
                  <c:v>63.41</c:v>
                </c:pt>
                <c:pt idx="229">
                  <c:v>64.269997000000004</c:v>
                </c:pt>
                <c:pt idx="230">
                  <c:v>65.209998999999996</c:v>
                </c:pt>
                <c:pt idx="231">
                  <c:v>65.190002000000007</c:v>
                </c:pt>
                <c:pt idx="232">
                  <c:v>65.290001000000004</c:v>
                </c:pt>
                <c:pt idx="233">
                  <c:v>64.769997000000004</c:v>
                </c:pt>
                <c:pt idx="234">
                  <c:v>64.959998999999996</c:v>
                </c:pt>
                <c:pt idx="235">
                  <c:v>65.809997999999993</c:v>
                </c:pt>
                <c:pt idx="236">
                  <c:v>66.069999999999993</c:v>
                </c:pt>
                <c:pt idx="237">
                  <c:v>67.050003000000004</c:v>
                </c:pt>
                <c:pt idx="238">
                  <c:v>66.830001999999993</c:v>
                </c:pt>
                <c:pt idx="239">
                  <c:v>67.680000000000007</c:v>
                </c:pt>
                <c:pt idx="240">
                  <c:v>66.739998</c:v>
                </c:pt>
                <c:pt idx="241">
                  <c:v>67.959998999999996</c:v>
                </c:pt>
                <c:pt idx="242">
                  <c:v>69.330001999999993</c:v>
                </c:pt>
                <c:pt idx="243">
                  <c:v>68.099997999999999</c:v>
                </c:pt>
                <c:pt idx="244">
                  <c:v>68.050003000000004</c:v>
                </c:pt>
                <c:pt idx="245">
                  <c:v>68.459998999999996</c:v>
                </c:pt>
                <c:pt idx="246">
                  <c:v>68.730002999999996</c:v>
                </c:pt>
                <c:pt idx="247">
                  <c:v>68.680000000000007</c:v>
                </c:pt>
                <c:pt idx="248">
                  <c:v>68.169998000000007</c:v>
                </c:pt>
                <c:pt idx="249">
                  <c:v>68.459998999999996</c:v>
                </c:pt>
                <c:pt idx="250">
                  <c:v>68.580001999999993</c:v>
                </c:pt>
                <c:pt idx="251">
                  <c:v>68.650002000000001</c:v>
                </c:pt>
                <c:pt idx="252">
                  <c:v>69.180000000000007</c:v>
                </c:pt>
              </c:numCache>
            </c:numRef>
          </c:val>
          <c:smooth val="0"/>
          <c:extLst>
            <c:ext xmlns:c16="http://schemas.microsoft.com/office/drawing/2014/chart" uri="{C3380CC4-5D6E-409C-BE32-E72D297353CC}">
              <c16:uniqueId val="{00000001-D906-9243-90DC-71263D911D52}"/>
            </c:ext>
          </c:extLst>
        </c:ser>
        <c:ser>
          <c:idx val="2"/>
          <c:order val="2"/>
          <c:tx>
            <c:strRef>
              <c:f>Precios!$D$1</c:f>
              <c:strCache>
                <c:ptCount val="1"/>
                <c:pt idx="0">
                  <c:v>JPMorgan</c:v>
                </c:pt>
              </c:strCache>
            </c:strRef>
          </c:tx>
          <c:spPr>
            <a:ln w="28575" cap="rnd">
              <a:solidFill>
                <a:schemeClr val="accent3"/>
              </a:solidFill>
              <a:round/>
            </a:ln>
            <a:effectLst/>
          </c:spPr>
          <c:marker>
            <c:symbol val="none"/>
          </c:marker>
          <c:cat>
            <c:numRef>
              <c:f>Precios!$A$2:$A$254</c:f>
              <c:numCache>
                <c:formatCode>m/d/yy</c:formatCode>
                <c:ptCount val="253"/>
                <c:pt idx="0">
                  <c:v>45154</c:v>
                </c:pt>
                <c:pt idx="1">
                  <c:v>45155</c:v>
                </c:pt>
                <c:pt idx="2">
                  <c:v>45156</c:v>
                </c:pt>
                <c:pt idx="3">
                  <c:v>45159</c:v>
                </c:pt>
                <c:pt idx="4">
                  <c:v>45160</c:v>
                </c:pt>
                <c:pt idx="5">
                  <c:v>45161</c:v>
                </c:pt>
                <c:pt idx="6">
                  <c:v>45162</c:v>
                </c:pt>
                <c:pt idx="7">
                  <c:v>45163</c:v>
                </c:pt>
                <c:pt idx="8">
                  <c:v>45166</c:v>
                </c:pt>
                <c:pt idx="9">
                  <c:v>45167</c:v>
                </c:pt>
                <c:pt idx="10">
                  <c:v>45168</c:v>
                </c:pt>
                <c:pt idx="11">
                  <c:v>45169</c:v>
                </c:pt>
                <c:pt idx="12">
                  <c:v>45170</c:v>
                </c:pt>
                <c:pt idx="13">
                  <c:v>45174</c:v>
                </c:pt>
                <c:pt idx="14">
                  <c:v>45175</c:v>
                </c:pt>
                <c:pt idx="15">
                  <c:v>45176</c:v>
                </c:pt>
                <c:pt idx="16">
                  <c:v>45177</c:v>
                </c:pt>
                <c:pt idx="17">
                  <c:v>45180</c:v>
                </c:pt>
                <c:pt idx="18">
                  <c:v>45181</c:v>
                </c:pt>
                <c:pt idx="19">
                  <c:v>45182</c:v>
                </c:pt>
                <c:pt idx="20">
                  <c:v>45183</c:v>
                </c:pt>
                <c:pt idx="21">
                  <c:v>45184</c:v>
                </c:pt>
                <c:pt idx="22">
                  <c:v>45187</c:v>
                </c:pt>
                <c:pt idx="23">
                  <c:v>45188</c:v>
                </c:pt>
                <c:pt idx="24">
                  <c:v>45189</c:v>
                </c:pt>
                <c:pt idx="25">
                  <c:v>45190</c:v>
                </c:pt>
                <c:pt idx="26">
                  <c:v>45191</c:v>
                </c:pt>
                <c:pt idx="27">
                  <c:v>45194</c:v>
                </c:pt>
                <c:pt idx="28">
                  <c:v>45195</c:v>
                </c:pt>
                <c:pt idx="29">
                  <c:v>45196</c:v>
                </c:pt>
                <c:pt idx="30">
                  <c:v>45197</c:v>
                </c:pt>
                <c:pt idx="31">
                  <c:v>45198</c:v>
                </c:pt>
                <c:pt idx="32">
                  <c:v>45201</c:v>
                </c:pt>
                <c:pt idx="33">
                  <c:v>45202</c:v>
                </c:pt>
                <c:pt idx="34">
                  <c:v>45203</c:v>
                </c:pt>
                <c:pt idx="35">
                  <c:v>45204</c:v>
                </c:pt>
                <c:pt idx="36">
                  <c:v>45205</c:v>
                </c:pt>
                <c:pt idx="37">
                  <c:v>45208</c:v>
                </c:pt>
                <c:pt idx="38">
                  <c:v>45209</c:v>
                </c:pt>
                <c:pt idx="39">
                  <c:v>45210</c:v>
                </c:pt>
                <c:pt idx="40">
                  <c:v>45211</c:v>
                </c:pt>
                <c:pt idx="41">
                  <c:v>45212</c:v>
                </c:pt>
                <c:pt idx="42">
                  <c:v>45215</c:v>
                </c:pt>
                <c:pt idx="43">
                  <c:v>45216</c:v>
                </c:pt>
                <c:pt idx="44">
                  <c:v>45217</c:v>
                </c:pt>
                <c:pt idx="45">
                  <c:v>45218</c:v>
                </c:pt>
                <c:pt idx="46">
                  <c:v>45219</c:v>
                </c:pt>
                <c:pt idx="47">
                  <c:v>45222</c:v>
                </c:pt>
                <c:pt idx="48">
                  <c:v>45223</c:v>
                </c:pt>
                <c:pt idx="49">
                  <c:v>45224</c:v>
                </c:pt>
                <c:pt idx="50">
                  <c:v>45225</c:v>
                </c:pt>
                <c:pt idx="51">
                  <c:v>45226</c:v>
                </c:pt>
                <c:pt idx="52">
                  <c:v>45229</c:v>
                </c:pt>
                <c:pt idx="53">
                  <c:v>45230</c:v>
                </c:pt>
                <c:pt idx="54">
                  <c:v>45231</c:v>
                </c:pt>
                <c:pt idx="55">
                  <c:v>45232</c:v>
                </c:pt>
                <c:pt idx="56">
                  <c:v>45233</c:v>
                </c:pt>
                <c:pt idx="57">
                  <c:v>45236</c:v>
                </c:pt>
                <c:pt idx="58">
                  <c:v>45237</c:v>
                </c:pt>
                <c:pt idx="59">
                  <c:v>45238</c:v>
                </c:pt>
                <c:pt idx="60">
                  <c:v>45239</c:v>
                </c:pt>
                <c:pt idx="61">
                  <c:v>45240</c:v>
                </c:pt>
                <c:pt idx="62">
                  <c:v>45243</c:v>
                </c:pt>
                <c:pt idx="63">
                  <c:v>45244</c:v>
                </c:pt>
                <c:pt idx="64">
                  <c:v>45245</c:v>
                </c:pt>
                <c:pt idx="65">
                  <c:v>45246</c:v>
                </c:pt>
                <c:pt idx="66">
                  <c:v>45247</c:v>
                </c:pt>
                <c:pt idx="67">
                  <c:v>45250</c:v>
                </c:pt>
                <c:pt idx="68">
                  <c:v>45251</c:v>
                </c:pt>
                <c:pt idx="69">
                  <c:v>45252</c:v>
                </c:pt>
                <c:pt idx="70">
                  <c:v>45254</c:v>
                </c:pt>
                <c:pt idx="71">
                  <c:v>45257</c:v>
                </c:pt>
                <c:pt idx="72">
                  <c:v>45258</c:v>
                </c:pt>
                <c:pt idx="73">
                  <c:v>45259</c:v>
                </c:pt>
                <c:pt idx="74">
                  <c:v>45260</c:v>
                </c:pt>
                <c:pt idx="75">
                  <c:v>45261</c:v>
                </c:pt>
                <c:pt idx="76">
                  <c:v>45264</c:v>
                </c:pt>
                <c:pt idx="77">
                  <c:v>45265</c:v>
                </c:pt>
                <c:pt idx="78">
                  <c:v>45266</c:v>
                </c:pt>
                <c:pt idx="79">
                  <c:v>45267</c:v>
                </c:pt>
                <c:pt idx="80">
                  <c:v>45268</c:v>
                </c:pt>
                <c:pt idx="81">
                  <c:v>45271</c:v>
                </c:pt>
                <c:pt idx="82">
                  <c:v>45272</c:v>
                </c:pt>
                <c:pt idx="83">
                  <c:v>45273</c:v>
                </c:pt>
                <c:pt idx="84">
                  <c:v>45274</c:v>
                </c:pt>
                <c:pt idx="85">
                  <c:v>45275</c:v>
                </c:pt>
                <c:pt idx="86">
                  <c:v>45278</c:v>
                </c:pt>
                <c:pt idx="87">
                  <c:v>45279</c:v>
                </c:pt>
                <c:pt idx="88">
                  <c:v>45280</c:v>
                </c:pt>
                <c:pt idx="89">
                  <c:v>45281</c:v>
                </c:pt>
                <c:pt idx="90">
                  <c:v>45282</c:v>
                </c:pt>
                <c:pt idx="91">
                  <c:v>45286</c:v>
                </c:pt>
                <c:pt idx="92">
                  <c:v>45287</c:v>
                </c:pt>
                <c:pt idx="93">
                  <c:v>45288</c:v>
                </c:pt>
                <c:pt idx="94">
                  <c:v>45289</c:v>
                </c:pt>
                <c:pt idx="95">
                  <c:v>45293</c:v>
                </c:pt>
                <c:pt idx="96">
                  <c:v>45294</c:v>
                </c:pt>
                <c:pt idx="97">
                  <c:v>45295</c:v>
                </c:pt>
                <c:pt idx="98">
                  <c:v>45296</c:v>
                </c:pt>
                <c:pt idx="99">
                  <c:v>45299</c:v>
                </c:pt>
                <c:pt idx="100">
                  <c:v>45300</c:v>
                </c:pt>
                <c:pt idx="101">
                  <c:v>45301</c:v>
                </c:pt>
                <c:pt idx="102">
                  <c:v>45302</c:v>
                </c:pt>
                <c:pt idx="103">
                  <c:v>45303</c:v>
                </c:pt>
                <c:pt idx="104">
                  <c:v>45307</c:v>
                </c:pt>
                <c:pt idx="105">
                  <c:v>45308</c:v>
                </c:pt>
                <c:pt idx="106">
                  <c:v>45309</c:v>
                </c:pt>
                <c:pt idx="107">
                  <c:v>45310</c:v>
                </c:pt>
                <c:pt idx="108">
                  <c:v>45313</c:v>
                </c:pt>
                <c:pt idx="109">
                  <c:v>45314</c:v>
                </c:pt>
                <c:pt idx="110">
                  <c:v>45315</c:v>
                </c:pt>
                <c:pt idx="111">
                  <c:v>45316</c:v>
                </c:pt>
                <c:pt idx="112">
                  <c:v>45317</c:v>
                </c:pt>
                <c:pt idx="113">
                  <c:v>45320</c:v>
                </c:pt>
                <c:pt idx="114">
                  <c:v>45321</c:v>
                </c:pt>
                <c:pt idx="115">
                  <c:v>45322</c:v>
                </c:pt>
                <c:pt idx="116">
                  <c:v>45323</c:v>
                </c:pt>
                <c:pt idx="117">
                  <c:v>45324</c:v>
                </c:pt>
                <c:pt idx="118">
                  <c:v>45327</c:v>
                </c:pt>
                <c:pt idx="119">
                  <c:v>45328</c:v>
                </c:pt>
                <c:pt idx="120">
                  <c:v>45329</c:v>
                </c:pt>
                <c:pt idx="121">
                  <c:v>45330</c:v>
                </c:pt>
                <c:pt idx="122">
                  <c:v>45331</c:v>
                </c:pt>
                <c:pt idx="123">
                  <c:v>45334</c:v>
                </c:pt>
                <c:pt idx="124">
                  <c:v>45335</c:v>
                </c:pt>
                <c:pt idx="125">
                  <c:v>45336</c:v>
                </c:pt>
                <c:pt idx="126">
                  <c:v>45337</c:v>
                </c:pt>
                <c:pt idx="127">
                  <c:v>45338</c:v>
                </c:pt>
                <c:pt idx="128">
                  <c:v>45342</c:v>
                </c:pt>
                <c:pt idx="129">
                  <c:v>45343</c:v>
                </c:pt>
                <c:pt idx="130">
                  <c:v>45344</c:v>
                </c:pt>
                <c:pt idx="131">
                  <c:v>45345</c:v>
                </c:pt>
                <c:pt idx="132">
                  <c:v>45348</c:v>
                </c:pt>
                <c:pt idx="133">
                  <c:v>45349</c:v>
                </c:pt>
                <c:pt idx="134">
                  <c:v>45350</c:v>
                </c:pt>
                <c:pt idx="135">
                  <c:v>45351</c:v>
                </c:pt>
                <c:pt idx="136">
                  <c:v>45352</c:v>
                </c:pt>
                <c:pt idx="137">
                  <c:v>45355</c:v>
                </c:pt>
                <c:pt idx="138">
                  <c:v>45356</c:v>
                </c:pt>
                <c:pt idx="139">
                  <c:v>45357</c:v>
                </c:pt>
                <c:pt idx="140">
                  <c:v>45358</c:v>
                </c:pt>
                <c:pt idx="141">
                  <c:v>45359</c:v>
                </c:pt>
                <c:pt idx="142">
                  <c:v>45362</c:v>
                </c:pt>
                <c:pt idx="143">
                  <c:v>45363</c:v>
                </c:pt>
                <c:pt idx="144">
                  <c:v>45364</c:v>
                </c:pt>
                <c:pt idx="145">
                  <c:v>45365</c:v>
                </c:pt>
                <c:pt idx="146">
                  <c:v>45366</c:v>
                </c:pt>
                <c:pt idx="147">
                  <c:v>45369</c:v>
                </c:pt>
                <c:pt idx="148">
                  <c:v>45370</c:v>
                </c:pt>
                <c:pt idx="149">
                  <c:v>45371</c:v>
                </c:pt>
                <c:pt idx="150">
                  <c:v>45372</c:v>
                </c:pt>
                <c:pt idx="151">
                  <c:v>45373</c:v>
                </c:pt>
                <c:pt idx="152">
                  <c:v>45376</c:v>
                </c:pt>
                <c:pt idx="153">
                  <c:v>45377</c:v>
                </c:pt>
                <c:pt idx="154">
                  <c:v>45378</c:v>
                </c:pt>
                <c:pt idx="155">
                  <c:v>45379</c:v>
                </c:pt>
                <c:pt idx="156">
                  <c:v>45383</c:v>
                </c:pt>
                <c:pt idx="157">
                  <c:v>45384</c:v>
                </c:pt>
                <c:pt idx="158">
                  <c:v>45385</c:v>
                </c:pt>
                <c:pt idx="159">
                  <c:v>45386</c:v>
                </c:pt>
                <c:pt idx="160">
                  <c:v>45387</c:v>
                </c:pt>
                <c:pt idx="161">
                  <c:v>45390</c:v>
                </c:pt>
                <c:pt idx="162">
                  <c:v>45391</c:v>
                </c:pt>
                <c:pt idx="163">
                  <c:v>45392</c:v>
                </c:pt>
                <c:pt idx="164">
                  <c:v>45393</c:v>
                </c:pt>
                <c:pt idx="165">
                  <c:v>45394</c:v>
                </c:pt>
                <c:pt idx="166">
                  <c:v>45397</c:v>
                </c:pt>
                <c:pt idx="167">
                  <c:v>45398</c:v>
                </c:pt>
                <c:pt idx="168">
                  <c:v>45399</c:v>
                </c:pt>
                <c:pt idx="169">
                  <c:v>45400</c:v>
                </c:pt>
                <c:pt idx="170">
                  <c:v>45401</c:v>
                </c:pt>
                <c:pt idx="171">
                  <c:v>45404</c:v>
                </c:pt>
                <c:pt idx="172">
                  <c:v>45405</c:v>
                </c:pt>
                <c:pt idx="173">
                  <c:v>45406</c:v>
                </c:pt>
                <c:pt idx="174">
                  <c:v>45407</c:v>
                </c:pt>
                <c:pt idx="175">
                  <c:v>45408</c:v>
                </c:pt>
                <c:pt idx="176">
                  <c:v>45411</c:v>
                </c:pt>
                <c:pt idx="177">
                  <c:v>45412</c:v>
                </c:pt>
                <c:pt idx="178">
                  <c:v>45413</c:v>
                </c:pt>
                <c:pt idx="179">
                  <c:v>45414</c:v>
                </c:pt>
                <c:pt idx="180">
                  <c:v>45415</c:v>
                </c:pt>
                <c:pt idx="181">
                  <c:v>45418</c:v>
                </c:pt>
                <c:pt idx="182">
                  <c:v>45419</c:v>
                </c:pt>
                <c:pt idx="183">
                  <c:v>45420</c:v>
                </c:pt>
                <c:pt idx="184">
                  <c:v>45421</c:v>
                </c:pt>
                <c:pt idx="185">
                  <c:v>45422</c:v>
                </c:pt>
                <c:pt idx="186">
                  <c:v>45425</c:v>
                </c:pt>
                <c:pt idx="187">
                  <c:v>45426</c:v>
                </c:pt>
                <c:pt idx="188">
                  <c:v>45427</c:v>
                </c:pt>
                <c:pt idx="189">
                  <c:v>45428</c:v>
                </c:pt>
                <c:pt idx="190">
                  <c:v>45429</c:v>
                </c:pt>
                <c:pt idx="191">
                  <c:v>45432</c:v>
                </c:pt>
                <c:pt idx="192">
                  <c:v>45433</c:v>
                </c:pt>
                <c:pt idx="193">
                  <c:v>45434</c:v>
                </c:pt>
                <c:pt idx="194">
                  <c:v>45435</c:v>
                </c:pt>
                <c:pt idx="195">
                  <c:v>45436</c:v>
                </c:pt>
                <c:pt idx="196">
                  <c:v>45440</c:v>
                </c:pt>
                <c:pt idx="197">
                  <c:v>45441</c:v>
                </c:pt>
                <c:pt idx="198">
                  <c:v>45442</c:v>
                </c:pt>
                <c:pt idx="199">
                  <c:v>45443</c:v>
                </c:pt>
                <c:pt idx="200">
                  <c:v>45446</c:v>
                </c:pt>
                <c:pt idx="201">
                  <c:v>45447</c:v>
                </c:pt>
                <c:pt idx="202">
                  <c:v>45448</c:v>
                </c:pt>
                <c:pt idx="203">
                  <c:v>45449</c:v>
                </c:pt>
                <c:pt idx="204">
                  <c:v>45450</c:v>
                </c:pt>
                <c:pt idx="205">
                  <c:v>45453</c:v>
                </c:pt>
                <c:pt idx="206">
                  <c:v>45454</c:v>
                </c:pt>
                <c:pt idx="207">
                  <c:v>45455</c:v>
                </c:pt>
                <c:pt idx="208">
                  <c:v>45456</c:v>
                </c:pt>
                <c:pt idx="209">
                  <c:v>45457</c:v>
                </c:pt>
                <c:pt idx="210">
                  <c:v>45460</c:v>
                </c:pt>
                <c:pt idx="211">
                  <c:v>45461</c:v>
                </c:pt>
                <c:pt idx="212">
                  <c:v>45463</c:v>
                </c:pt>
                <c:pt idx="213">
                  <c:v>45464</c:v>
                </c:pt>
                <c:pt idx="214">
                  <c:v>45467</c:v>
                </c:pt>
                <c:pt idx="215">
                  <c:v>45468</c:v>
                </c:pt>
                <c:pt idx="216">
                  <c:v>45469</c:v>
                </c:pt>
                <c:pt idx="217">
                  <c:v>45470</c:v>
                </c:pt>
                <c:pt idx="218">
                  <c:v>45471</c:v>
                </c:pt>
                <c:pt idx="219">
                  <c:v>45474</c:v>
                </c:pt>
                <c:pt idx="220">
                  <c:v>45475</c:v>
                </c:pt>
                <c:pt idx="221">
                  <c:v>45476</c:v>
                </c:pt>
                <c:pt idx="222">
                  <c:v>45478</c:v>
                </c:pt>
                <c:pt idx="223">
                  <c:v>45481</c:v>
                </c:pt>
                <c:pt idx="224">
                  <c:v>45482</c:v>
                </c:pt>
                <c:pt idx="225">
                  <c:v>45483</c:v>
                </c:pt>
                <c:pt idx="226">
                  <c:v>45484</c:v>
                </c:pt>
                <c:pt idx="227">
                  <c:v>45485</c:v>
                </c:pt>
                <c:pt idx="228">
                  <c:v>45488</c:v>
                </c:pt>
                <c:pt idx="229">
                  <c:v>45489</c:v>
                </c:pt>
                <c:pt idx="230">
                  <c:v>45490</c:v>
                </c:pt>
                <c:pt idx="231">
                  <c:v>45491</c:v>
                </c:pt>
                <c:pt idx="232">
                  <c:v>45492</c:v>
                </c:pt>
                <c:pt idx="233">
                  <c:v>45495</c:v>
                </c:pt>
                <c:pt idx="234">
                  <c:v>45496</c:v>
                </c:pt>
                <c:pt idx="235">
                  <c:v>45497</c:v>
                </c:pt>
                <c:pt idx="236">
                  <c:v>45498</c:v>
                </c:pt>
                <c:pt idx="237">
                  <c:v>45499</c:v>
                </c:pt>
                <c:pt idx="238">
                  <c:v>45502</c:v>
                </c:pt>
                <c:pt idx="239">
                  <c:v>45503</c:v>
                </c:pt>
                <c:pt idx="240">
                  <c:v>45504</c:v>
                </c:pt>
                <c:pt idx="241">
                  <c:v>45505</c:v>
                </c:pt>
                <c:pt idx="242">
                  <c:v>45506</c:v>
                </c:pt>
                <c:pt idx="243">
                  <c:v>45509</c:v>
                </c:pt>
                <c:pt idx="244">
                  <c:v>45510</c:v>
                </c:pt>
                <c:pt idx="245">
                  <c:v>45511</c:v>
                </c:pt>
                <c:pt idx="246">
                  <c:v>45512</c:v>
                </c:pt>
                <c:pt idx="247">
                  <c:v>45513</c:v>
                </c:pt>
                <c:pt idx="248">
                  <c:v>45516</c:v>
                </c:pt>
                <c:pt idx="249">
                  <c:v>45517</c:v>
                </c:pt>
                <c:pt idx="250">
                  <c:v>45518</c:v>
                </c:pt>
                <c:pt idx="251">
                  <c:v>45519</c:v>
                </c:pt>
                <c:pt idx="252">
                  <c:v>45520</c:v>
                </c:pt>
              </c:numCache>
            </c:numRef>
          </c:cat>
          <c:val>
            <c:numRef>
              <c:f>Precios!$D$2:$D$254</c:f>
              <c:numCache>
                <c:formatCode>0.00</c:formatCode>
                <c:ptCount val="253"/>
                <c:pt idx="0">
                  <c:v>146.505066</c:v>
                </c:pt>
                <c:pt idx="1">
                  <c:v>144.98335299999999</c:v>
                </c:pt>
                <c:pt idx="2">
                  <c:v>145.31500199999999</c:v>
                </c:pt>
                <c:pt idx="3">
                  <c:v>145.8125</c:v>
                </c:pt>
                <c:pt idx="4">
                  <c:v>142.78855899999999</c:v>
                </c:pt>
                <c:pt idx="5">
                  <c:v>143.754257</c:v>
                </c:pt>
                <c:pt idx="6">
                  <c:v>143.61769100000001</c:v>
                </c:pt>
                <c:pt idx="7">
                  <c:v>143.44210799999999</c:v>
                </c:pt>
                <c:pt idx="8">
                  <c:v>143.939606</c:v>
                </c:pt>
                <c:pt idx="9">
                  <c:v>145.110153</c:v>
                </c:pt>
                <c:pt idx="10">
                  <c:v>144.52487199999999</c:v>
                </c:pt>
                <c:pt idx="11">
                  <c:v>142.739777</c:v>
                </c:pt>
                <c:pt idx="12">
                  <c:v>143.217758</c:v>
                </c:pt>
                <c:pt idx="13">
                  <c:v>141.63748200000001</c:v>
                </c:pt>
                <c:pt idx="14">
                  <c:v>141.403412</c:v>
                </c:pt>
                <c:pt idx="15">
                  <c:v>140.19380200000001</c:v>
                </c:pt>
                <c:pt idx="16">
                  <c:v>140.301117</c:v>
                </c:pt>
                <c:pt idx="17">
                  <c:v>140.91566499999999</c:v>
                </c:pt>
                <c:pt idx="18">
                  <c:v>142.74954199999999</c:v>
                </c:pt>
                <c:pt idx="19">
                  <c:v>142.817825</c:v>
                </c:pt>
                <c:pt idx="20">
                  <c:v>145.58813499999999</c:v>
                </c:pt>
                <c:pt idx="21">
                  <c:v>145.15891999999999</c:v>
                </c:pt>
                <c:pt idx="22">
                  <c:v>145.461319</c:v>
                </c:pt>
                <c:pt idx="23">
                  <c:v>145.27597</c:v>
                </c:pt>
                <c:pt idx="24">
                  <c:v>144.66145299999999</c:v>
                </c:pt>
                <c:pt idx="25">
                  <c:v>143.52990700000001</c:v>
                </c:pt>
                <c:pt idx="26">
                  <c:v>142.15448000000001</c:v>
                </c:pt>
                <c:pt idx="27">
                  <c:v>142.856842</c:v>
                </c:pt>
                <c:pt idx="28">
                  <c:v>141.37413000000001</c:v>
                </c:pt>
                <c:pt idx="29">
                  <c:v>142.203262</c:v>
                </c:pt>
                <c:pt idx="30">
                  <c:v>143.968872</c:v>
                </c:pt>
                <c:pt idx="31">
                  <c:v>141.46191400000001</c:v>
                </c:pt>
                <c:pt idx="32">
                  <c:v>140.24259900000001</c:v>
                </c:pt>
                <c:pt idx="33">
                  <c:v>139.208618</c:v>
                </c:pt>
                <c:pt idx="34">
                  <c:v>139.832886</c:v>
                </c:pt>
                <c:pt idx="35">
                  <c:v>140.42248499999999</c:v>
                </c:pt>
                <c:pt idx="36">
                  <c:v>142.584351</c:v>
                </c:pt>
                <c:pt idx="37">
                  <c:v>142.260086</c:v>
                </c:pt>
                <c:pt idx="38">
                  <c:v>143.12480199999999</c:v>
                </c:pt>
                <c:pt idx="39">
                  <c:v>143.61615</c:v>
                </c:pt>
                <c:pt idx="40">
                  <c:v>143.282028</c:v>
                </c:pt>
                <c:pt idx="41">
                  <c:v>145.43408199999999</c:v>
                </c:pt>
                <c:pt idx="42">
                  <c:v>145.28668200000001</c:v>
                </c:pt>
                <c:pt idx="43">
                  <c:v>144.97221400000001</c:v>
                </c:pt>
                <c:pt idx="44">
                  <c:v>143.380325</c:v>
                </c:pt>
                <c:pt idx="45">
                  <c:v>142.77105700000001</c:v>
                </c:pt>
                <c:pt idx="46">
                  <c:v>140.47163399999999</c:v>
                </c:pt>
                <c:pt idx="47">
                  <c:v>138.55543499999999</c:v>
                </c:pt>
                <c:pt idx="48">
                  <c:v>138.722488</c:v>
                </c:pt>
                <c:pt idx="49">
                  <c:v>137.96582000000001</c:v>
                </c:pt>
                <c:pt idx="50">
                  <c:v>138.31959499999999</c:v>
                </c:pt>
                <c:pt idx="51">
                  <c:v>133.33750900000001</c:v>
                </c:pt>
                <c:pt idx="52">
                  <c:v>135.03750600000001</c:v>
                </c:pt>
                <c:pt idx="53">
                  <c:v>136.649078</c:v>
                </c:pt>
                <c:pt idx="54">
                  <c:v>136.531158</c:v>
                </c:pt>
                <c:pt idx="55">
                  <c:v>138.96814000000001</c:v>
                </c:pt>
                <c:pt idx="56">
                  <c:v>140.52076700000001</c:v>
                </c:pt>
                <c:pt idx="57">
                  <c:v>141.58204699999999</c:v>
                </c:pt>
                <c:pt idx="58">
                  <c:v>141.513229</c:v>
                </c:pt>
                <c:pt idx="59">
                  <c:v>142.21095299999999</c:v>
                </c:pt>
                <c:pt idx="60">
                  <c:v>141.78839099999999</c:v>
                </c:pt>
                <c:pt idx="61">
                  <c:v>143.89128099999999</c:v>
                </c:pt>
                <c:pt idx="62">
                  <c:v>143.25254799999999</c:v>
                </c:pt>
                <c:pt idx="63">
                  <c:v>145.86644000000001</c:v>
                </c:pt>
                <c:pt idx="64">
                  <c:v>147.14392100000001</c:v>
                </c:pt>
                <c:pt idx="65">
                  <c:v>148.824265</c:v>
                </c:pt>
                <c:pt idx="66">
                  <c:v>150.17051699999999</c:v>
                </c:pt>
                <c:pt idx="67">
                  <c:v>150.63235499999999</c:v>
                </c:pt>
                <c:pt idx="68">
                  <c:v>150.31791699999999</c:v>
                </c:pt>
                <c:pt idx="69">
                  <c:v>150.671661</c:v>
                </c:pt>
                <c:pt idx="70">
                  <c:v>150.878006</c:v>
                </c:pt>
                <c:pt idx="71">
                  <c:v>150.53410299999999</c:v>
                </c:pt>
                <c:pt idx="72">
                  <c:v>150.878006</c:v>
                </c:pt>
                <c:pt idx="73">
                  <c:v>151.64450099999999</c:v>
                </c:pt>
                <c:pt idx="74">
                  <c:v>153.37397799999999</c:v>
                </c:pt>
                <c:pt idx="75">
                  <c:v>154.12081900000001</c:v>
                </c:pt>
                <c:pt idx="76">
                  <c:v>155.25086999999999</c:v>
                </c:pt>
                <c:pt idx="77">
                  <c:v>155.23121599999999</c:v>
                </c:pt>
                <c:pt idx="78">
                  <c:v>153.60000600000001</c:v>
                </c:pt>
                <c:pt idx="79">
                  <c:v>154.071686</c:v>
                </c:pt>
                <c:pt idx="80">
                  <c:v>155.77169799999999</c:v>
                </c:pt>
                <c:pt idx="81">
                  <c:v>156.341644</c:v>
                </c:pt>
                <c:pt idx="82">
                  <c:v>157.73701500000001</c:v>
                </c:pt>
                <c:pt idx="83">
                  <c:v>158.26765399999999</c:v>
                </c:pt>
                <c:pt idx="84">
                  <c:v>161.14686599999999</c:v>
                </c:pt>
                <c:pt idx="85">
                  <c:v>162.36535599999999</c:v>
                </c:pt>
                <c:pt idx="86">
                  <c:v>163.348007</c:v>
                </c:pt>
                <c:pt idx="87">
                  <c:v>165.52950999999999</c:v>
                </c:pt>
                <c:pt idx="88">
                  <c:v>163.66246000000001</c:v>
                </c:pt>
                <c:pt idx="89">
                  <c:v>164.59599299999999</c:v>
                </c:pt>
                <c:pt idx="90">
                  <c:v>164.497726</c:v>
                </c:pt>
                <c:pt idx="91">
                  <c:v>165.47056599999999</c:v>
                </c:pt>
                <c:pt idx="92">
                  <c:v>166.46305799999999</c:v>
                </c:pt>
                <c:pt idx="93">
                  <c:v>167.34747300000001</c:v>
                </c:pt>
                <c:pt idx="94">
                  <c:v>167.150925</c:v>
                </c:pt>
                <c:pt idx="95">
                  <c:v>169.09660299999999</c:v>
                </c:pt>
                <c:pt idx="96">
                  <c:v>168.35960399999999</c:v>
                </c:pt>
                <c:pt idx="97">
                  <c:v>169.47685200000001</c:v>
                </c:pt>
                <c:pt idx="98">
                  <c:v>170.32714799999999</c:v>
                </c:pt>
                <c:pt idx="99">
                  <c:v>170.07998699999999</c:v>
                </c:pt>
                <c:pt idx="100">
                  <c:v>168.735321</c:v>
                </c:pt>
                <c:pt idx="101">
                  <c:v>169.091263</c:v>
                </c:pt>
                <c:pt idx="102">
                  <c:v>168.379379</c:v>
                </c:pt>
                <c:pt idx="103">
                  <c:v>167.143463</c:v>
                </c:pt>
                <c:pt idx="104">
                  <c:v>166.095428</c:v>
                </c:pt>
                <c:pt idx="105">
                  <c:v>165.205566</c:v>
                </c:pt>
                <c:pt idx="106">
                  <c:v>165.53185999999999</c:v>
                </c:pt>
                <c:pt idx="107">
                  <c:v>168.389252</c:v>
                </c:pt>
                <c:pt idx="108">
                  <c:v>168.19151299999999</c:v>
                </c:pt>
                <c:pt idx="109">
                  <c:v>167.08415199999999</c:v>
                </c:pt>
                <c:pt idx="110">
                  <c:v>168.57711800000001</c:v>
                </c:pt>
                <c:pt idx="111">
                  <c:v>170.98959400000001</c:v>
                </c:pt>
                <c:pt idx="112">
                  <c:v>170.337051</c:v>
                </c:pt>
                <c:pt idx="113">
                  <c:v>170.78196700000001</c:v>
                </c:pt>
                <c:pt idx="114">
                  <c:v>174.282059</c:v>
                </c:pt>
                <c:pt idx="115">
                  <c:v>172.393585</c:v>
                </c:pt>
                <c:pt idx="116">
                  <c:v>171.770691</c:v>
                </c:pt>
                <c:pt idx="117">
                  <c:v>172.75941499999999</c:v>
                </c:pt>
                <c:pt idx="118">
                  <c:v>172.53201300000001</c:v>
                </c:pt>
                <c:pt idx="119">
                  <c:v>173.12524400000001</c:v>
                </c:pt>
                <c:pt idx="120">
                  <c:v>173.45150799999999</c:v>
                </c:pt>
                <c:pt idx="121">
                  <c:v>172.82862900000001</c:v>
                </c:pt>
                <c:pt idx="122">
                  <c:v>173.03625500000001</c:v>
                </c:pt>
                <c:pt idx="123">
                  <c:v>173.80744899999999</c:v>
                </c:pt>
                <c:pt idx="124">
                  <c:v>172.29470800000001</c:v>
                </c:pt>
                <c:pt idx="125">
                  <c:v>174.04473899999999</c:v>
                </c:pt>
                <c:pt idx="126">
                  <c:v>177.84144599999999</c:v>
                </c:pt>
                <c:pt idx="127">
                  <c:v>177.01091</c:v>
                </c:pt>
                <c:pt idx="128">
                  <c:v>177.70301799999999</c:v>
                </c:pt>
                <c:pt idx="129">
                  <c:v>178.85983300000001</c:v>
                </c:pt>
                <c:pt idx="130">
                  <c:v>181.00535600000001</c:v>
                </c:pt>
                <c:pt idx="131">
                  <c:v>181.91499300000001</c:v>
                </c:pt>
                <c:pt idx="132">
                  <c:v>181.29208399999999</c:v>
                </c:pt>
                <c:pt idx="133">
                  <c:v>181.38107299999999</c:v>
                </c:pt>
                <c:pt idx="134">
                  <c:v>182.30058299999999</c:v>
                </c:pt>
                <c:pt idx="135">
                  <c:v>183.961624</c:v>
                </c:pt>
                <c:pt idx="136">
                  <c:v>183.20030199999999</c:v>
                </c:pt>
                <c:pt idx="137">
                  <c:v>184.57463100000001</c:v>
                </c:pt>
                <c:pt idx="138">
                  <c:v>186.423553</c:v>
                </c:pt>
                <c:pt idx="139">
                  <c:v>187.39250200000001</c:v>
                </c:pt>
                <c:pt idx="140">
                  <c:v>185.75122099999999</c:v>
                </c:pt>
                <c:pt idx="141">
                  <c:v>186.097275</c:v>
                </c:pt>
                <c:pt idx="142">
                  <c:v>186.166473</c:v>
                </c:pt>
                <c:pt idx="143">
                  <c:v>187.699005</c:v>
                </c:pt>
                <c:pt idx="144">
                  <c:v>189.22163399999999</c:v>
                </c:pt>
                <c:pt idx="145">
                  <c:v>185.85008199999999</c:v>
                </c:pt>
                <c:pt idx="146">
                  <c:v>188.15382399999999</c:v>
                </c:pt>
                <c:pt idx="147">
                  <c:v>190.487213</c:v>
                </c:pt>
                <c:pt idx="148">
                  <c:v>191.60446200000001</c:v>
                </c:pt>
                <c:pt idx="149">
                  <c:v>194.115814</c:v>
                </c:pt>
                <c:pt idx="150">
                  <c:v>196.81501800000001</c:v>
                </c:pt>
                <c:pt idx="151">
                  <c:v>194.40254200000001</c:v>
                </c:pt>
                <c:pt idx="152">
                  <c:v>192.622849</c:v>
                </c:pt>
                <c:pt idx="153">
                  <c:v>193.52256800000001</c:v>
                </c:pt>
                <c:pt idx="154">
                  <c:v>197.269836</c:v>
                </c:pt>
                <c:pt idx="155">
                  <c:v>198.04104599999999</c:v>
                </c:pt>
                <c:pt idx="156">
                  <c:v>196.696381</c:v>
                </c:pt>
                <c:pt idx="157">
                  <c:v>196.617279</c:v>
                </c:pt>
                <c:pt idx="158">
                  <c:v>196.06359900000001</c:v>
                </c:pt>
                <c:pt idx="159">
                  <c:v>194.571854</c:v>
                </c:pt>
                <c:pt idx="160">
                  <c:v>196.36193800000001</c:v>
                </c:pt>
                <c:pt idx="161">
                  <c:v>197.38626099999999</c:v>
                </c:pt>
                <c:pt idx="162">
                  <c:v>196.06358299999999</c:v>
                </c:pt>
                <c:pt idx="163">
                  <c:v>194.392853</c:v>
                </c:pt>
                <c:pt idx="164">
                  <c:v>194.353058</c:v>
                </c:pt>
                <c:pt idx="165">
                  <c:v>181.782715</c:v>
                </c:pt>
                <c:pt idx="166">
                  <c:v>181.882172</c:v>
                </c:pt>
                <c:pt idx="167">
                  <c:v>179.803696</c:v>
                </c:pt>
                <c:pt idx="168">
                  <c:v>179.08766199999999</c:v>
                </c:pt>
                <c:pt idx="169">
                  <c:v>180.251205</c:v>
                </c:pt>
                <c:pt idx="170">
                  <c:v>184.776138</c:v>
                </c:pt>
                <c:pt idx="171">
                  <c:v>188.366241</c:v>
                </c:pt>
                <c:pt idx="172">
                  <c:v>191.08119199999999</c:v>
                </c:pt>
                <c:pt idx="173">
                  <c:v>192.01602199999999</c:v>
                </c:pt>
                <c:pt idx="174">
                  <c:v>192.30441300000001</c:v>
                </c:pt>
                <c:pt idx="175">
                  <c:v>192.423767</c:v>
                </c:pt>
                <c:pt idx="176">
                  <c:v>192.21492000000001</c:v>
                </c:pt>
                <c:pt idx="177">
                  <c:v>190.68341100000001</c:v>
                </c:pt>
                <c:pt idx="178">
                  <c:v>190.80275</c:v>
                </c:pt>
                <c:pt idx="179">
                  <c:v>190.60385099999999</c:v>
                </c:pt>
                <c:pt idx="180">
                  <c:v>189.46017499999999</c:v>
                </c:pt>
                <c:pt idx="181">
                  <c:v>190.941971</c:v>
                </c:pt>
                <c:pt idx="182">
                  <c:v>190.693344</c:v>
                </c:pt>
                <c:pt idx="183">
                  <c:v>194.571854</c:v>
                </c:pt>
                <c:pt idx="184">
                  <c:v>196.41166699999999</c:v>
                </c:pt>
                <c:pt idx="185">
                  <c:v>197.674667</c:v>
                </c:pt>
                <c:pt idx="186">
                  <c:v>197.63488799999999</c:v>
                </c:pt>
                <c:pt idx="187">
                  <c:v>200.39956699999999</c:v>
                </c:pt>
                <c:pt idx="188">
                  <c:v>200.996262</c:v>
                </c:pt>
                <c:pt idx="189">
                  <c:v>201.35427899999999</c:v>
                </c:pt>
                <c:pt idx="190">
                  <c:v>203.661484</c:v>
                </c:pt>
                <c:pt idx="191">
                  <c:v>194.50224299999999</c:v>
                </c:pt>
                <c:pt idx="192">
                  <c:v>198.42053200000001</c:v>
                </c:pt>
                <c:pt idx="193">
                  <c:v>197.21719400000001</c:v>
                </c:pt>
                <c:pt idx="194">
                  <c:v>195.83485400000001</c:v>
                </c:pt>
                <c:pt idx="195">
                  <c:v>199.603973</c:v>
                </c:pt>
                <c:pt idx="196">
                  <c:v>198.40063499999999</c:v>
                </c:pt>
                <c:pt idx="197">
                  <c:v>197.01829499999999</c:v>
                </c:pt>
                <c:pt idx="198">
                  <c:v>198.231583</c:v>
                </c:pt>
                <c:pt idx="199">
                  <c:v>201.513397</c:v>
                </c:pt>
                <c:pt idx="200">
                  <c:v>200.70787000000001</c:v>
                </c:pt>
                <c:pt idx="201">
                  <c:v>198.06251499999999</c:v>
                </c:pt>
                <c:pt idx="202">
                  <c:v>196.17297400000001</c:v>
                </c:pt>
                <c:pt idx="203">
                  <c:v>195.82492099999999</c:v>
                </c:pt>
                <c:pt idx="204">
                  <c:v>198.84816000000001</c:v>
                </c:pt>
                <c:pt idx="205">
                  <c:v>198.51004</c:v>
                </c:pt>
                <c:pt idx="206">
                  <c:v>193.288971</c:v>
                </c:pt>
                <c:pt idx="207">
                  <c:v>190.47456399999999</c:v>
                </c:pt>
                <c:pt idx="208">
                  <c:v>192.59283400000001</c:v>
                </c:pt>
                <c:pt idx="209">
                  <c:v>192.71215799999999</c:v>
                </c:pt>
                <c:pt idx="210">
                  <c:v>193.90554800000001</c:v>
                </c:pt>
                <c:pt idx="211">
                  <c:v>195.914413</c:v>
                </c:pt>
                <c:pt idx="212">
                  <c:v>197.575211</c:v>
                </c:pt>
                <c:pt idx="213">
                  <c:v>195.218277</c:v>
                </c:pt>
                <c:pt idx="214">
                  <c:v>197.78405799999999</c:v>
                </c:pt>
                <c:pt idx="215">
                  <c:v>196.978531</c:v>
                </c:pt>
                <c:pt idx="216">
                  <c:v>196.34204099999999</c:v>
                </c:pt>
                <c:pt idx="217">
                  <c:v>198.072464</c:v>
                </c:pt>
                <c:pt idx="218">
                  <c:v>201.145432</c:v>
                </c:pt>
                <c:pt idx="219">
                  <c:v>204.31785600000001</c:v>
                </c:pt>
                <c:pt idx="220">
                  <c:v>207.67922999999999</c:v>
                </c:pt>
                <c:pt idx="221">
                  <c:v>207.540009</c:v>
                </c:pt>
                <c:pt idx="222">
                  <c:v>204.78999300000001</c:v>
                </c:pt>
                <c:pt idx="223">
                  <c:v>205.16999799999999</c:v>
                </c:pt>
                <c:pt idx="224">
                  <c:v>207.63000500000001</c:v>
                </c:pt>
                <c:pt idx="225">
                  <c:v>207.800003</c:v>
                </c:pt>
                <c:pt idx="226">
                  <c:v>207.449997</c:v>
                </c:pt>
                <c:pt idx="227">
                  <c:v>204.94000199999999</c:v>
                </c:pt>
                <c:pt idx="228">
                  <c:v>210.050003</c:v>
                </c:pt>
                <c:pt idx="229">
                  <c:v>213.61999499999999</c:v>
                </c:pt>
                <c:pt idx="230">
                  <c:v>216.86999499999999</c:v>
                </c:pt>
                <c:pt idx="231">
                  <c:v>209.979996</c:v>
                </c:pt>
                <c:pt idx="232">
                  <c:v>209.779999</c:v>
                </c:pt>
                <c:pt idx="233">
                  <c:v>210.279999</c:v>
                </c:pt>
                <c:pt idx="234">
                  <c:v>210.33000200000001</c:v>
                </c:pt>
                <c:pt idx="235">
                  <c:v>208.58999600000001</c:v>
                </c:pt>
                <c:pt idx="236">
                  <c:v>208.66999799999999</c:v>
                </c:pt>
                <c:pt idx="237">
                  <c:v>212.240005</c:v>
                </c:pt>
                <c:pt idx="238">
                  <c:v>210.85000600000001</c:v>
                </c:pt>
                <c:pt idx="239">
                  <c:v>215.19000199999999</c:v>
                </c:pt>
                <c:pt idx="240">
                  <c:v>212.800003</c:v>
                </c:pt>
                <c:pt idx="241">
                  <c:v>207.96000699999999</c:v>
                </c:pt>
                <c:pt idx="242">
                  <c:v>199.13999899999999</c:v>
                </c:pt>
                <c:pt idx="243">
                  <c:v>194.89999399999999</c:v>
                </c:pt>
                <c:pt idx="244">
                  <c:v>200.33999600000001</c:v>
                </c:pt>
                <c:pt idx="245">
                  <c:v>200.39999399999999</c:v>
                </c:pt>
                <c:pt idx="246">
                  <c:v>204.05999800000001</c:v>
                </c:pt>
                <c:pt idx="247">
                  <c:v>205.800003</c:v>
                </c:pt>
                <c:pt idx="248">
                  <c:v>206.19000199999999</c:v>
                </c:pt>
                <c:pt idx="249">
                  <c:v>207.94000199999999</c:v>
                </c:pt>
                <c:pt idx="250">
                  <c:v>210.240005</c:v>
                </c:pt>
                <c:pt idx="251">
                  <c:v>211.550003</c:v>
                </c:pt>
                <c:pt idx="252">
                  <c:v>213.970001</c:v>
                </c:pt>
              </c:numCache>
            </c:numRef>
          </c:val>
          <c:smooth val="0"/>
          <c:extLst>
            <c:ext xmlns:c16="http://schemas.microsoft.com/office/drawing/2014/chart" uri="{C3380CC4-5D6E-409C-BE32-E72D297353CC}">
              <c16:uniqueId val="{00000002-D906-9243-90DC-71263D911D52}"/>
            </c:ext>
          </c:extLst>
        </c:ser>
        <c:ser>
          <c:idx val="3"/>
          <c:order val="3"/>
          <c:tx>
            <c:strRef>
              <c:f>Precios!$E$1</c:f>
              <c:strCache>
                <c:ptCount val="1"/>
                <c:pt idx="0">
                  <c:v>AT&amp;T</c:v>
                </c:pt>
              </c:strCache>
            </c:strRef>
          </c:tx>
          <c:spPr>
            <a:ln w="28575" cap="rnd">
              <a:solidFill>
                <a:schemeClr val="accent4"/>
              </a:solidFill>
              <a:round/>
            </a:ln>
            <a:effectLst/>
          </c:spPr>
          <c:marker>
            <c:symbol val="none"/>
          </c:marker>
          <c:cat>
            <c:numRef>
              <c:f>Precios!$A$2:$A$254</c:f>
              <c:numCache>
                <c:formatCode>m/d/yy</c:formatCode>
                <c:ptCount val="253"/>
                <c:pt idx="0">
                  <c:v>45154</c:v>
                </c:pt>
                <c:pt idx="1">
                  <c:v>45155</c:v>
                </c:pt>
                <c:pt idx="2">
                  <c:v>45156</c:v>
                </c:pt>
                <c:pt idx="3">
                  <c:v>45159</c:v>
                </c:pt>
                <c:pt idx="4">
                  <c:v>45160</c:v>
                </c:pt>
                <c:pt idx="5">
                  <c:v>45161</c:v>
                </c:pt>
                <c:pt idx="6">
                  <c:v>45162</c:v>
                </c:pt>
                <c:pt idx="7">
                  <c:v>45163</c:v>
                </c:pt>
                <c:pt idx="8">
                  <c:v>45166</c:v>
                </c:pt>
                <c:pt idx="9">
                  <c:v>45167</c:v>
                </c:pt>
                <c:pt idx="10">
                  <c:v>45168</c:v>
                </c:pt>
                <c:pt idx="11">
                  <c:v>45169</c:v>
                </c:pt>
                <c:pt idx="12">
                  <c:v>45170</c:v>
                </c:pt>
                <c:pt idx="13">
                  <c:v>45174</c:v>
                </c:pt>
                <c:pt idx="14">
                  <c:v>45175</c:v>
                </c:pt>
                <c:pt idx="15">
                  <c:v>45176</c:v>
                </c:pt>
                <c:pt idx="16">
                  <c:v>45177</c:v>
                </c:pt>
                <c:pt idx="17">
                  <c:v>45180</c:v>
                </c:pt>
                <c:pt idx="18">
                  <c:v>45181</c:v>
                </c:pt>
                <c:pt idx="19">
                  <c:v>45182</c:v>
                </c:pt>
                <c:pt idx="20">
                  <c:v>45183</c:v>
                </c:pt>
                <c:pt idx="21">
                  <c:v>45184</c:v>
                </c:pt>
                <c:pt idx="22">
                  <c:v>45187</c:v>
                </c:pt>
                <c:pt idx="23">
                  <c:v>45188</c:v>
                </c:pt>
                <c:pt idx="24">
                  <c:v>45189</c:v>
                </c:pt>
                <c:pt idx="25">
                  <c:v>45190</c:v>
                </c:pt>
                <c:pt idx="26">
                  <c:v>45191</c:v>
                </c:pt>
                <c:pt idx="27">
                  <c:v>45194</c:v>
                </c:pt>
                <c:pt idx="28">
                  <c:v>45195</c:v>
                </c:pt>
                <c:pt idx="29">
                  <c:v>45196</c:v>
                </c:pt>
                <c:pt idx="30">
                  <c:v>45197</c:v>
                </c:pt>
                <c:pt idx="31">
                  <c:v>45198</c:v>
                </c:pt>
                <c:pt idx="32">
                  <c:v>45201</c:v>
                </c:pt>
                <c:pt idx="33">
                  <c:v>45202</c:v>
                </c:pt>
                <c:pt idx="34">
                  <c:v>45203</c:v>
                </c:pt>
                <c:pt idx="35">
                  <c:v>45204</c:v>
                </c:pt>
                <c:pt idx="36">
                  <c:v>45205</c:v>
                </c:pt>
                <c:pt idx="37">
                  <c:v>45208</c:v>
                </c:pt>
                <c:pt idx="38">
                  <c:v>45209</c:v>
                </c:pt>
                <c:pt idx="39">
                  <c:v>45210</c:v>
                </c:pt>
                <c:pt idx="40">
                  <c:v>45211</c:v>
                </c:pt>
                <c:pt idx="41">
                  <c:v>45212</c:v>
                </c:pt>
                <c:pt idx="42">
                  <c:v>45215</c:v>
                </c:pt>
                <c:pt idx="43">
                  <c:v>45216</c:v>
                </c:pt>
                <c:pt idx="44">
                  <c:v>45217</c:v>
                </c:pt>
                <c:pt idx="45">
                  <c:v>45218</c:v>
                </c:pt>
                <c:pt idx="46">
                  <c:v>45219</c:v>
                </c:pt>
                <c:pt idx="47">
                  <c:v>45222</c:v>
                </c:pt>
                <c:pt idx="48">
                  <c:v>45223</c:v>
                </c:pt>
                <c:pt idx="49">
                  <c:v>45224</c:v>
                </c:pt>
                <c:pt idx="50">
                  <c:v>45225</c:v>
                </c:pt>
                <c:pt idx="51">
                  <c:v>45226</c:v>
                </c:pt>
                <c:pt idx="52">
                  <c:v>45229</c:v>
                </c:pt>
                <c:pt idx="53">
                  <c:v>45230</c:v>
                </c:pt>
                <c:pt idx="54">
                  <c:v>45231</c:v>
                </c:pt>
                <c:pt idx="55">
                  <c:v>45232</c:v>
                </c:pt>
                <c:pt idx="56">
                  <c:v>45233</c:v>
                </c:pt>
                <c:pt idx="57">
                  <c:v>45236</c:v>
                </c:pt>
                <c:pt idx="58">
                  <c:v>45237</c:v>
                </c:pt>
                <c:pt idx="59">
                  <c:v>45238</c:v>
                </c:pt>
                <c:pt idx="60">
                  <c:v>45239</c:v>
                </c:pt>
                <c:pt idx="61">
                  <c:v>45240</c:v>
                </c:pt>
                <c:pt idx="62">
                  <c:v>45243</c:v>
                </c:pt>
                <c:pt idx="63">
                  <c:v>45244</c:v>
                </c:pt>
                <c:pt idx="64">
                  <c:v>45245</c:v>
                </c:pt>
                <c:pt idx="65">
                  <c:v>45246</c:v>
                </c:pt>
                <c:pt idx="66">
                  <c:v>45247</c:v>
                </c:pt>
                <c:pt idx="67">
                  <c:v>45250</c:v>
                </c:pt>
                <c:pt idx="68">
                  <c:v>45251</c:v>
                </c:pt>
                <c:pt idx="69">
                  <c:v>45252</c:v>
                </c:pt>
                <c:pt idx="70">
                  <c:v>45254</c:v>
                </c:pt>
                <c:pt idx="71">
                  <c:v>45257</c:v>
                </c:pt>
                <c:pt idx="72">
                  <c:v>45258</c:v>
                </c:pt>
                <c:pt idx="73">
                  <c:v>45259</c:v>
                </c:pt>
                <c:pt idx="74">
                  <c:v>45260</c:v>
                </c:pt>
                <c:pt idx="75">
                  <c:v>45261</c:v>
                </c:pt>
                <c:pt idx="76">
                  <c:v>45264</c:v>
                </c:pt>
                <c:pt idx="77">
                  <c:v>45265</c:v>
                </c:pt>
                <c:pt idx="78">
                  <c:v>45266</c:v>
                </c:pt>
                <c:pt idx="79">
                  <c:v>45267</c:v>
                </c:pt>
                <c:pt idx="80">
                  <c:v>45268</c:v>
                </c:pt>
                <c:pt idx="81">
                  <c:v>45271</c:v>
                </c:pt>
                <c:pt idx="82">
                  <c:v>45272</c:v>
                </c:pt>
                <c:pt idx="83">
                  <c:v>45273</c:v>
                </c:pt>
                <c:pt idx="84">
                  <c:v>45274</c:v>
                </c:pt>
                <c:pt idx="85">
                  <c:v>45275</c:v>
                </c:pt>
                <c:pt idx="86">
                  <c:v>45278</c:v>
                </c:pt>
                <c:pt idx="87">
                  <c:v>45279</c:v>
                </c:pt>
                <c:pt idx="88">
                  <c:v>45280</c:v>
                </c:pt>
                <c:pt idx="89">
                  <c:v>45281</c:v>
                </c:pt>
                <c:pt idx="90">
                  <c:v>45282</c:v>
                </c:pt>
                <c:pt idx="91">
                  <c:v>45286</c:v>
                </c:pt>
                <c:pt idx="92">
                  <c:v>45287</c:v>
                </c:pt>
                <c:pt idx="93">
                  <c:v>45288</c:v>
                </c:pt>
                <c:pt idx="94">
                  <c:v>45289</c:v>
                </c:pt>
                <c:pt idx="95">
                  <c:v>45293</c:v>
                </c:pt>
                <c:pt idx="96">
                  <c:v>45294</c:v>
                </c:pt>
                <c:pt idx="97">
                  <c:v>45295</c:v>
                </c:pt>
                <c:pt idx="98">
                  <c:v>45296</c:v>
                </c:pt>
                <c:pt idx="99">
                  <c:v>45299</c:v>
                </c:pt>
                <c:pt idx="100">
                  <c:v>45300</c:v>
                </c:pt>
                <c:pt idx="101">
                  <c:v>45301</c:v>
                </c:pt>
                <c:pt idx="102">
                  <c:v>45302</c:v>
                </c:pt>
                <c:pt idx="103">
                  <c:v>45303</c:v>
                </c:pt>
                <c:pt idx="104">
                  <c:v>45307</c:v>
                </c:pt>
                <c:pt idx="105">
                  <c:v>45308</c:v>
                </c:pt>
                <c:pt idx="106">
                  <c:v>45309</c:v>
                </c:pt>
                <c:pt idx="107">
                  <c:v>45310</c:v>
                </c:pt>
                <c:pt idx="108">
                  <c:v>45313</c:v>
                </c:pt>
                <c:pt idx="109">
                  <c:v>45314</c:v>
                </c:pt>
                <c:pt idx="110">
                  <c:v>45315</c:v>
                </c:pt>
                <c:pt idx="111">
                  <c:v>45316</c:v>
                </c:pt>
                <c:pt idx="112">
                  <c:v>45317</c:v>
                </c:pt>
                <c:pt idx="113">
                  <c:v>45320</c:v>
                </c:pt>
                <c:pt idx="114">
                  <c:v>45321</c:v>
                </c:pt>
                <c:pt idx="115">
                  <c:v>45322</c:v>
                </c:pt>
                <c:pt idx="116">
                  <c:v>45323</c:v>
                </c:pt>
                <c:pt idx="117">
                  <c:v>45324</c:v>
                </c:pt>
                <c:pt idx="118">
                  <c:v>45327</c:v>
                </c:pt>
                <c:pt idx="119">
                  <c:v>45328</c:v>
                </c:pt>
                <c:pt idx="120">
                  <c:v>45329</c:v>
                </c:pt>
                <c:pt idx="121">
                  <c:v>45330</c:v>
                </c:pt>
                <c:pt idx="122">
                  <c:v>45331</c:v>
                </c:pt>
                <c:pt idx="123">
                  <c:v>45334</c:v>
                </c:pt>
                <c:pt idx="124">
                  <c:v>45335</c:v>
                </c:pt>
                <c:pt idx="125">
                  <c:v>45336</c:v>
                </c:pt>
                <c:pt idx="126">
                  <c:v>45337</c:v>
                </c:pt>
                <c:pt idx="127">
                  <c:v>45338</c:v>
                </c:pt>
                <c:pt idx="128">
                  <c:v>45342</c:v>
                </c:pt>
                <c:pt idx="129">
                  <c:v>45343</c:v>
                </c:pt>
                <c:pt idx="130">
                  <c:v>45344</c:v>
                </c:pt>
                <c:pt idx="131">
                  <c:v>45345</c:v>
                </c:pt>
                <c:pt idx="132">
                  <c:v>45348</c:v>
                </c:pt>
                <c:pt idx="133">
                  <c:v>45349</c:v>
                </c:pt>
                <c:pt idx="134">
                  <c:v>45350</c:v>
                </c:pt>
                <c:pt idx="135">
                  <c:v>45351</c:v>
                </c:pt>
                <c:pt idx="136">
                  <c:v>45352</c:v>
                </c:pt>
                <c:pt idx="137">
                  <c:v>45355</c:v>
                </c:pt>
                <c:pt idx="138">
                  <c:v>45356</c:v>
                </c:pt>
                <c:pt idx="139">
                  <c:v>45357</c:v>
                </c:pt>
                <c:pt idx="140">
                  <c:v>45358</c:v>
                </c:pt>
                <c:pt idx="141">
                  <c:v>45359</c:v>
                </c:pt>
                <c:pt idx="142">
                  <c:v>45362</c:v>
                </c:pt>
                <c:pt idx="143">
                  <c:v>45363</c:v>
                </c:pt>
                <c:pt idx="144">
                  <c:v>45364</c:v>
                </c:pt>
                <c:pt idx="145">
                  <c:v>45365</c:v>
                </c:pt>
                <c:pt idx="146">
                  <c:v>45366</c:v>
                </c:pt>
                <c:pt idx="147">
                  <c:v>45369</c:v>
                </c:pt>
                <c:pt idx="148">
                  <c:v>45370</c:v>
                </c:pt>
                <c:pt idx="149">
                  <c:v>45371</c:v>
                </c:pt>
                <c:pt idx="150">
                  <c:v>45372</c:v>
                </c:pt>
                <c:pt idx="151">
                  <c:v>45373</c:v>
                </c:pt>
                <c:pt idx="152">
                  <c:v>45376</c:v>
                </c:pt>
                <c:pt idx="153">
                  <c:v>45377</c:v>
                </c:pt>
                <c:pt idx="154">
                  <c:v>45378</c:v>
                </c:pt>
                <c:pt idx="155">
                  <c:v>45379</c:v>
                </c:pt>
                <c:pt idx="156">
                  <c:v>45383</c:v>
                </c:pt>
                <c:pt idx="157">
                  <c:v>45384</c:v>
                </c:pt>
                <c:pt idx="158">
                  <c:v>45385</c:v>
                </c:pt>
                <c:pt idx="159">
                  <c:v>45386</c:v>
                </c:pt>
                <c:pt idx="160">
                  <c:v>45387</c:v>
                </c:pt>
                <c:pt idx="161">
                  <c:v>45390</c:v>
                </c:pt>
                <c:pt idx="162">
                  <c:v>45391</c:v>
                </c:pt>
                <c:pt idx="163">
                  <c:v>45392</c:v>
                </c:pt>
                <c:pt idx="164">
                  <c:v>45393</c:v>
                </c:pt>
                <c:pt idx="165">
                  <c:v>45394</c:v>
                </c:pt>
                <c:pt idx="166">
                  <c:v>45397</c:v>
                </c:pt>
                <c:pt idx="167">
                  <c:v>45398</c:v>
                </c:pt>
                <c:pt idx="168">
                  <c:v>45399</c:v>
                </c:pt>
                <c:pt idx="169">
                  <c:v>45400</c:v>
                </c:pt>
                <c:pt idx="170">
                  <c:v>45401</c:v>
                </c:pt>
                <c:pt idx="171">
                  <c:v>45404</c:v>
                </c:pt>
                <c:pt idx="172">
                  <c:v>45405</c:v>
                </c:pt>
                <c:pt idx="173">
                  <c:v>45406</c:v>
                </c:pt>
                <c:pt idx="174">
                  <c:v>45407</c:v>
                </c:pt>
                <c:pt idx="175">
                  <c:v>45408</c:v>
                </c:pt>
                <c:pt idx="176">
                  <c:v>45411</c:v>
                </c:pt>
                <c:pt idx="177">
                  <c:v>45412</c:v>
                </c:pt>
                <c:pt idx="178">
                  <c:v>45413</c:v>
                </c:pt>
                <c:pt idx="179">
                  <c:v>45414</c:v>
                </c:pt>
                <c:pt idx="180">
                  <c:v>45415</c:v>
                </c:pt>
                <c:pt idx="181">
                  <c:v>45418</c:v>
                </c:pt>
                <c:pt idx="182">
                  <c:v>45419</c:v>
                </c:pt>
                <c:pt idx="183">
                  <c:v>45420</c:v>
                </c:pt>
                <c:pt idx="184">
                  <c:v>45421</c:v>
                </c:pt>
                <c:pt idx="185">
                  <c:v>45422</c:v>
                </c:pt>
                <c:pt idx="186">
                  <c:v>45425</c:v>
                </c:pt>
                <c:pt idx="187">
                  <c:v>45426</c:v>
                </c:pt>
                <c:pt idx="188">
                  <c:v>45427</c:v>
                </c:pt>
                <c:pt idx="189">
                  <c:v>45428</c:v>
                </c:pt>
                <c:pt idx="190">
                  <c:v>45429</c:v>
                </c:pt>
                <c:pt idx="191">
                  <c:v>45432</c:v>
                </c:pt>
                <c:pt idx="192">
                  <c:v>45433</c:v>
                </c:pt>
                <c:pt idx="193">
                  <c:v>45434</c:v>
                </c:pt>
                <c:pt idx="194">
                  <c:v>45435</c:v>
                </c:pt>
                <c:pt idx="195">
                  <c:v>45436</c:v>
                </c:pt>
                <c:pt idx="196">
                  <c:v>45440</c:v>
                </c:pt>
                <c:pt idx="197">
                  <c:v>45441</c:v>
                </c:pt>
                <c:pt idx="198">
                  <c:v>45442</c:v>
                </c:pt>
                <c:pt idx="199">
                  <c:v>45443</c:v>
                </c:pt>
                <c:pt idx="200">
                  <c:v>45446</c:v>
                </c:pt>
                <c:pt idx="201">
                  <c:v>45447</c:v>
                </c:pt>
                <c:pt idx="202">
                  <c:v>45448</c:v>
                </c:pt>
                <c:pt idx="203">
                  <c:v>45449</c:v>
                </c:pt>
                <c:pt idx="204">
                  <c:v>45450</c:v>
                </c:pt>
                <c:pt idx="205">
                  <c:v>45453</c:v>
                </c:pt>
                <c:pt idx="206">
                  <c:v>45454</c:v>
                </c:pt>
                <c:pt idx="207">
                  <c:v>45455</c:v>
                </c:pt>
                <c:pt idx="208">
                  <c:v>45456</c:v>
                </c:pt>
                <c:pt idx="209">
                  <c:v>45457</c:v>
                </c:pt>
                <c:pt idx="210">
                  <c:v>45460</c:v>
                </c:pt>
                <c:pt idx="211">
                  <c:v>45461</c:v>
                </c:pt>
                <c:pt idx="212">
                  <c:v>45463</c:v>
                </c:pt>
                <c:pt idx="213">
                  <c:v>45464</c:v>
                </c:pt>
                <c:pt idx="214">
                  <c:v>45467</c:v>
                </c:pt>
                <c:pt idx="215">
                  <c:v>45468</c:v>
                </c:pt>
                <c:pt idx="216">
                  <c:v>45469</c:v>
                </c:pt>
                <c:pt idx="217">
                  <c:v>45470</c:v>
                </c:pt>
                <c:pt idx="218">
                  <c:v>45471</c:v>
                </c:pt>
                <c:pt idx="219">
                  <c:v>45474</c:v>
                </c:pt>
                <c:pt idx="220">
                  <c:v>45475</c:v>
                </c:pt>
                <c:pt idx="221">
                  <c:v>45476</c:v>
                </c:pt>
                <c:pt idx="222">
                  <c:v>45478</c:v>
                </c:pt>
                <c:pt idx="223">
                  <c:v>45481</c:v>
                </c:pt>
                <c:pt idx="224">
                  <c:v>45482</c:v>
                </c:pt>
                <c:pt idx="225">
                  <c:v>45483</c:v>
                </c:pt>
                <c:pt idx="226">
                  <c:v>45484</c:v>
                </c:pt>
                <c:pt idx="227">
                  <c:v>45485</c:v>
                </c:pt>
                <c:pt idx="228">
                  <c:v>45488</c:v>
                </c:pt>
                <c:pt idx="229">
                  <c:v>45489</c:v>
                </c:pt>
                <c:pt idx="230">
                  <c:v>45490</c:v>
                </c:pt>
                <c:pt idx="231">
                  <c:v>45491</c:v>
                </c:pt>
                <c:pt idx="232">
                  <c:v>45492</c:v>
                </c:pt>
                <c:pt idx="233">
                  <c:v>45495</c:v>
                </c:pt>
                <c:pt idx="234">
                  <c:v>45496</c:v>
                </c:pt>
                <c:pt idx="235">
                  <c:v>45497</c:v>
                </c:pt>
                <c:pt idx="236">
                  <c:v>45498</c:v>
                </c:pt>
                <c:pt idx="237">
                  <c:v>45499</c:v>
                </c:pt>
                <c:pt idx="238">
                  <c:v>45502</c:v>
                </c:pt>
                <c:pt idx="239">
                  <c:v>45503</c:v>
                </c:pt>
                <c:pt idx="240">
                  <c:v>45504</c:v>
                </c:pt>
                <c:pt idx="241">
                  <c:v>45505</c:v>
                </c:pt>
                <c:pt idx="242">
                  <c:v>45506</c:v>
                </c:pt>
                <c:pt idx="243">
                  <c:v>45509</c:v>
                </c:pt>
                <c:pt idx="244">
                  <c:v>45510</c:v>
                </c:pt>
                <c:pt idx="245">
                  <c:v>45511</c:v>
                </c:pt>
                <c:pt idx="246">
                  <c:v>45512</c:v>
                </c:pt>
                <c:pt idx="247">
                  <c:v>45513</c:v>
                </c:pt>
                <c:pt idx="248">
                  <c:v>45516</c:v>
                </c:pt>
                <c:pt idx="249">
                  <c:v>45517</c:v>
                </c:pt>
                <c:pt idx="250">
                  <c:v>45518</c:v>
                </c:pt>
                <c:pt idx="251">
                  <c:v>45519</c:v>
                </c:pt>
                <c:pt idx="252">
                  <c:v>45520</c:v>
                </c:pt>
              </c:numCache>
            </c:numRef>
          </c:cat>
          <c:val>
            <c:numRef>
              <c:f>Precios!$E$2:$E$254</c:f>
              <c:numCache>
                <c:formatCode>0.00</c:formatCode>
                <c:ptCount val="253"/>
                <c:pt idx="0">
                  <c:v>13.196151</c:v>
                </c:pt>
                <c:pt idx="1">
                  <c:v>13.111919</c:v>
                </c:pt>
                <c:pt idx="2">
                  <c:v>13.149357</c:v>
                </c:pt>
                <c:pt idx="3">
                  <c:v>13.196151</c:v>
                </c:pt>
                <c:pt idx="4">
                  <c:v>13.345895000000001</c:v>
                </c:pt>
                <c:pt idx="5">
                  <c:v>13.252305</c:v>
                </c:pt>
                <c:pt idx="6">
                  <c:v>13.242945000000001</c:v>
                </c:pt>
                <c:pt idx="7">
                  <c:v>13.205508999999999</c:v>
                </c:pt>
                <c:pt idx="8">
                  <c:v>13.299099</c:v>
                </c:pt>
                <c:pt idx="9">
                  <c:v>13.823200999999999</c:v>
                </c:pt>
                <c:pt idx="10">
                  <c:v>13.785766000000001</c:v>
                </c:pt>
                <c:pt idx="11">
                  <c:v>13.841919000000001</c:v>
                </c:pt>
                <c:pt idx="12">
                  <c:v>13.710893</c:v>
                </c:pt>
                <c:pt idx="13">
                  <c:v>13.551791</c:v>
                </c:pt>
                <c:pt idx="14">
                  <c:v>13.673458</c:v>
                </c:pt>
                <c:pt idx="15">
                  <c:v>13.673458</c:v>
                </c:pt>
                <c:pt idx="16">
                  <c:v>13.47692</c:v>
                </c:pt>
                <c:pt idx="17">
                  <c:v>13.589228</c:v>
                </c:pt>
                <c:pt idx="18">
                  <c:v>13.533073</c:v>
                </c:pt>
                <c:pt idx="19">
                  <c:v>13.682817</c:v>
                </c:pt>
                <c:pt idx="20">
                  <c:v>14.094611</c:v>
                </c:pt>
                <c:pt idx="21">
                  <c:v>14.253714</c:v>
                </c:pt>
                <c:pt idx="22">
                  <c:v>14.122688</c:v>
                </c:pt>
                <c:pt idx="23">
                  <c:v>14.234997</c:v>
                </c:pt>
                <c:pt idx="24">
                  <c:v>14.553202000000001</c:v>
                </c:pt>
                <c:pt idx="25">
                  <c:v>14.328587000000001</c:v>
                </c:pt>
                <c:pt idx="26">
                  <c:v>14.150764000000001</c:v>
                </c:pt>
                <c:pt idx="27">
                  <c:v>14.094611</c:v>
                </c:pt>
                <c:pt idx="28">
                  <c:v>14.057176</c:v>
                </c:pt>
                <c:pt idx="29">
                  <c:v>13.916791</c:v>
                </c:pt>
                <c:pt idx="30">
                  <c:v>14.047817</c:v>
                </c:pt>
                <c:pt idx="31">
                  <c:v>14.057176</c:v>
                </c:pt>
                <c:pt idx="32">
                  <c:v>13.729611</c:v>
                </c:pt>
                <c:pt idx="33">
                  <c:v>13.832561</c:v>
                </c:pt>
                <c:pt idx="34">
                  <c:v>13.710893</c:v>
                </c:pt>
                <c:pt idx="35">
                  <c:v>13.879355</c:v>
                </c:pt>
                <c:pt idx="36">
                  <c:v>13.782069999999999</c:v>
                </c:pt>
                <c:pt idx="37">
                  <c:v>14.049127</c:v>
                </c:pt>
                <c:pt idx="38">
                  <c:v>14.268497</c:v>
                </c:pt>
                <c:pt idx="39">
                  <c:v>14.087278</c:v>
                </c:pt>
                <c:pt idx="40">
                  <c:v>13.782069999999999</c:v>
                </c:pt>
                <c:pt idx="41">
                  <c:v>13.696229000000001</c:v>
                </c:pt>
                <c:pt idx="42">
                  <c:v>13.743919</c:v>
                </c:pt>
                <c:pt idx="43">
                  <c:v>13.906060999999999</c:v>
                </c:pt>
                <c:pt idx="44">
                  <c:v>13.658078</c:v>
                </c:pt>
                <c:pt idx="45">
                  <c:v>14.554627999999999</c:v>
                </c:pt>
                <c:pt idx="46">
                  <c:v>14.669083000000001</c:v>
                </c:pt>
                <c:pt idx="47">
                  <c:v>14.258959000000001</c:v>
                </c:pt>
                <c:pt idx="48">
                  <c:v>14.812148000000001</c:v>
                </c:pt>
                <c:pt idx="49">
                  <c:v>14.487864</c:v>
                </c:pt>
                <c:pt idx="50">
                  <c:v>14.421099999999999</c:v>
                </c:pt>
                <c:pt idx="51">
                  <c:v>14.134968000000001</c:v>
                </c:pt>
                <c:pt idx="52">
                  <c:v>14.554627999999999</c:v>
                </c:pt>
                <c:pt idx="53">
                  <c:v>14.688157</c:v>
                </c:pt>
                <c:pt idx="54">
                  <c:v>14.859838</c:v>
                </c:pt>
                <c:pt idx="55">
                  <c:v>15.002903999999999</c:v>
                </c:pt>
                <c:pt idx="56">
                  <c:v>15.14597</c:v>
                </c:pt>
                <c:pt idx="57">
                  <c:v>15.021978000000001</c:v>
                </c:pt>
                <c:pt idx="58">
                  <c:v>15.10782</c:v>
                </c:pt>
                <c:pt idx="59">
                  <c:v>14.926601</c:v>
                </c:pt>
                <c:pt idx="60">
                  <c:v>14.907526000000001</c:v>
                </c:pt>
                <c:pt idx="61">
                  <c:v>14.917064999999999</c:v>
                </c:pt>
                <c:pt idx="62">
                  <c:v>14.859838</c:v>
                </c:pt>
                <c:pt idx="63">
                  <c:v>14.907526000000001</c:v>
                </c:pt>
                <c:pt idx="64">
                  <c:v>15.031516999999999</c:v>
                </c:pt>
                <c:pt idx="65">
                  <c:v>15.14597</c:v>
                </c:pt>
                <c:pt idx="66">
                  <c:v>15.165046</c:v>
                </c:pt>
                <c:pt idx="67">
                  <c:v>15.355801</c:v>
                </c:pt>
                <c:pt idx="68">
                  <c:v>15.441642</c:v>
                </c:pt>
                <c:pt idx="69">
                  <c:v>15.422565000000001</c:v>
                </c:pt>
                <c:pt idx="70">
                  <c:v>15.460716</c:v>
                </c:pt>
                <c:pt idx="71">
                  <c:v>15.460716</c:v>
                </c:pt>
                <c:pt idx="72">
                  <c:v>15.432103</c:v>
                </c:pt>
                <c:pt idx="73">
                  <c:v>15.546556000000001</c:v>
                </c:pt>
                <c:pt idx="74">
                  <c:v>15.804074999999999</c:v>
                </c:pt>
                <c:pt idx="75">
                  <c:v>15.985293</c:v>
                </c:pt>
                <c:pt idx="76">
                  <c:v>15.889915</c:v>
                </c:pt>
                <c:pt idx="77">
                  <c:v>16.424029999999998</c:v>
                </c:pt>
                <c:pt idx="78">
                  <c:v>16.156974999999999</c:v>
                </c:pt>
                <c:pt idx="79">
                  <c:v>16.300039000000002</c:v>
                </c:pt>
                <c:pt idx="80">
                  <c:v>16.137896999999999</c:v>
                </c:pt>
                <c:pt idx="81">
                  <c:v>15.851766</c:v>
                </c:pt>
                <c:pt idx="82">
                  <c:v>15.651472</c:v>
                </c:pt>
                <c:pt idx="83">
                  <c:v>15.689624</c:v>
                </c:pt>
                <c:pt idx="84">
                  <c:v>15.880378</c:v>
                </c:pt>
                <c:pt idx="85">
                  <c:v>15.756387999999999</c:v>
                </c:pt>
                <c:pt idx="86">
                  <c:v>15.699159999999999</c:v>
                </c:pt>
                <c:pt idx="87">
                  <c:v>15.842228</c:v>
                </c:pt>
                <c:pt idx="88">
                  <c:v>15.641933</c:v>
                </c:pt>
                <c:pt idx="89">
                  <c:v>15.727774999999999</c:v>
                </c:pt>
                <c:pt idx="90">
                  <c:v>15.784998999999999</c:v>
                </c:pt>
                <c:pt idx="91">
                  <c:v>15.804074999999999</c:v>
                </c:pt>
                <c:pt idx="92">
                  <c:v>15.813613</c:v>
                </c:pt>
                <c:pt idx="93">
                  <c:v>15.966218</c:v>
                </c:pt>
                <c:pt idx="94">
                  <c:v>16.004370000000002</c:v>
                </c:pt>
                <c:pt idx="95">
                  <c:v>16.452643999999999</c:v>
                </c:pt>
                <c:pt idx="96">
                  <c:v>16.433568999999999</c:v>
                </c:pt>
                <c:pt idx="97">
                  <c:v>16.357265000000002</c:v>
                </c:pt>
                <c:pt idx="98">
                  <c:v>16.662476000000002</c:v>
                </c:pt>
                <c:pt idx="99">
                  <c:v>16.519407000000001</c:v>
                </c:pt>
                <c:pt idx="100">
                  <c:v>16.430229000000001</c:v>
                </c:pt>
                <c:pt idx="101">
                  <c:v>16.352684</c:v>
                </c:pt>
                <c:pt idx="102">
                  <c:v>15.732308</c:v>
                </c:pt>
                <c:pt idx="103">
                  <c:v>15.974641999999999</c:v>
                </c:pt>
                <c:pt idx="104">
                  <c:v>15.935869</c:v>
                </c:pt>
                <c:pt idx="105">
                  <c:v>15.906789</c:v>
                </c:pt>
                <c:pt idx="106">
                  <c:v>15.897095</c:v>
                </c:pt>
                <c:pt idx="107">
                  <c:v>16.158815000000001</c:v>
                </c:pt>
                <c:pt idx="108">
                  <c:v>16.284828000000001</c:v>
                </c:pt>
                <c:pt idx="109">
                  <c:v>16.662870000000002</c:v>
                </c:pt>
                <c:pt idx="110">
                  <c:v>16.168510000000001</c:v>
                </c:pt>
                <c:pt idx="111">
                  <c:v>16.653176999999999</c:v>
                </c:pt>
                <c:pt idx="112">
                  <c:v>16.759803999999999</c:v>
                </c:pt>
                <c:pt idx="113">
                  <c:v>16.721031</c:v>
                </c:pt>
                <c:pt idx="114">
                  <c:v>16.992445</c:v>
                </c:pt>
                <c:pt idx="115">
                  <c:v>17.147537</c:v>
                </c:pt>
                <c:pt idx="116">
                  <c:v>17.486806999999999</c:v>
                </c:pt>
                <c:pt idx="117">
                  <c:v>17.283245000000001</c:v>
                </c:pt>
                <c:pt idx="118">
                  <c:v>17.186309999999999</c:v>
                </c:pt>
                <c:pt idx="119">
                  <c:v>17.069991999999999</c:v>
                </c:pt>
                <c:pt idx="120">
                  <c:v>16.798576000000001</c:v>
                </c:pt>
                <c:pt idx="121">
                  <c:v>16.304216</c:v>
                </c:pt>
                <c:pt idx="122">
                  <c:v>16.323602999999999</c:v>
                </c:pt>
                <c:pt idx="123">
                  <c:v>16.498085</c:v>
                </c:pt>
                <c:pt idx="124">
                  <c:v>16.381762999999999</c:v>
                </c:pt>
                <c:pt idx="125">
                  <c:v>16.391455000000001</c:v>
                </c:pt>
                <c:pt idx="126">
                  <c:v>16.565937000000002</c:v>
                </c:pt>
                <c:pt idx="127">
                  <c:v>16.449615000000001</c:v>
                </c:pt>
                <c:pt idx="128">
                  <c:v>16.391455000000001</c:v>
                </c:pt>
                <c:pt idx="129">
                  <c:v>16.478697</c:v>
                </c:pt>
                <c:pt idx="130">
                  <c:v>16.081268000000001</c:v>
                </c:pt>
                <c:pt idx="131">
                  <c:v>16.284828000000001</c:v>
                </c:pt>
                <c:pt idx="132">
                  <c:v>16.090962999999999</c:v>
                </c:pt>
                <c:pt idx="133">
                  <c:v>16.31391</c:v>
                </c:pt>
                <c:pt idx="134">
                  <c:v>16.439921999999999</c:v>
                </c:pt>
                <c:pt idx="135">
                  <c:v>16.410843</c:v>
                </c:pt>
                <c:pt idx="136">
                  <c:v>16.459311</c:v>
                </c:pt>
                <c:pt idx="137">
                  <c:v>16.284828000000001</c:v>
                </c:pt>
                <c:pt idx="138">
                  <c:v>16.643484000000001</c:v>
                </c:pt>
                <c:pt idx="139">
                  <c:v>16.653176999999999</c:v>
                </c:pt>
                <c:pt idx="140">
                  <c:v>16.527163000000002</c:v>
                </c:pt>
                <c:pt idx="141">
                  <c:v>16.672564000000001</c:v>
                </c:pt>
                <c:pt idx="142">
                  <c:v>16.798576000000001</c:v>
                </c:pt>
                <c:pt idx="143">
                  <c:v>16.672564000000001</c:v>
                </c:pt>
                <c:pt idx="144">
                  <c:v>16.662870000000002</c:v>
                </c:pt>
                <c:pt idx="145">
                  <c:v>16.488389999999999</c:v>
                </c:pt>
                <c:pt idx="146">
                  <c:v>16.527163000000002</c:v>
                </c:pt>
                <c:pt idx="147">
                  <c:v>16.769497000000001</c:v>
                </c:pt>
                <c:pt idx="148">
                  <c:v>16.643484000000001</c:v>
                </c:pt>
                <c:pt idx="149">
                  <c:v>16.682257</c:v>
                </c:pt>
                <c:pt idx="150">
                  <c:v>16.633789</c:v>
                </c:pt>
                <c:pt idx="151">
                  <c:v>16.459311</c:v>
                </c:pt>
                <c:pt idx="152">
                  <c:v>16.595016000000001</c:v>
                </c:pt>
                <c:pt idx="153">
                  <c:v>16.653176999999999</c:v>
                </c:pt>
                <c:pt idx="154">
                  <c:v>17.011831000000001</c:v>
                </c:pt>
                <c:pt idx="155">
                  <c:v>17.060296999999998</c:v>
                </c:pt>
                <c:pt idx="156">
                  <c:v>16.963363999999999</c:v>
                </c:pt>
                <c:pt idx="157">
                  <c:v>16.982749999999999</c:v>
                </c:pt>
                <c:pt idx="158">
                  <c:v>17.069991999999999</c:v>
                </c:pt>
                <c:pt idx="159">
                  <c:v>17.031217999999999</c:v>
                </c:pt>
                <c:pt idx="160">
                  <c:v>16.885818</c:v>
                </c:pt>
                <c:pt idx="161">
                  <c:v>16.721031</c:v>
                </c:pt>
                <c:pt idx="162">
                  <c:v>16.650095</c:v>
                </c:pt>
                <c:pt idx="163">
                  <c:v>16.482609</c:v>
                </c:pt>
                <c:pt idx="164">
                  <c:v>16.177192999999999</c:v>
                </c:pt>
                <c:pt idx="165">
                  <c:v>16.068819000000001</c:v>
                </c:pt>
                <c:pt idx="166">
                  <c:v>15.999855</c:v>
                </c:pt>
                <c:pt idx="167">
                  <c:v>15.852073000000001</c:v>
                </c:pt>
                <c:pt idx="168">
                  <c:v>15.881629999999999</c:v>
                </c:pt>
                <c:pt idx="169">
                  <c:v>16.088524</c:v>
                </c:pt>
                <c:pt idx="170">
                  <c:v>16.265863</c:v>
                </c:pt>
                <c:pt idx="171">
                  <c:v>16.068819000000001</c:v>
                </c:pt>
                <c:pt idx="172">
                  <c:v>16.25601</c:v>
                </c:pt>
                <c:pt idx="173">
                  <c:v>16.561426000000001</c:v>
                </c:pt>
                <c:pt idx="174">
                  <c:v>16.334827000000001</c:v>
                </c:pt>
                <c:pt idx="175">
                  <c:v>16.502313999999998</c:v>
                </c:pt>
                <c:pt idx="176">
                  <c:v>16.768322000000001</c:v>
                </c:pt>
                <c:pt idx="177">
                  <c:v>16.640243999999999</c:v>
                </c:pt>
                <c:pt idx="178">
                  <c:v>16.669799999999999</c:v>
                </c:pt>
                <c:pt idx="179">
                  <c:v>16.571278</c:v>
                </c:pt>
                <c:pt idx="180">
                  <c:v>16.600836000000001</c:v>
                </c:pt>
                <c:pt idx="181">
                  <c:v>16.738764</c:v>
                </c:pt>
                <c:pt idx="182">
                  <c:v>16.827432999999999</c:v>
                </c:pt>
                <c:pt idx="183">
                  <c:v>16.856991000000001</c:v>
                </c:pt>
                <c:pt idx="184">
                  <c:v>16.925954999999998</c:v>
                </c:pt>
                <c:pt idx="185">
                  <c:v>16.916103</c:v>
                </c:pt>
                <c:pt idx="186">
                  <c:v>17.004771999999999</c:v>
                </c:pt>
                <c:pt idx="187">
                  <c:v>17.044180000000001</c:v>
                </c:pt>
                <c:pt idx="188">
                  <c:v>17.073736</c:v>
                </c:pt>
                <c:pt idx="189">
                  <c:v>17.044180000000001</c:v>
                </c:pt>
                <c:pt idx="190">
                  <c:v>17.142702</c:v>
                </c:pt>
                <c:pt idx="191">
                  <c:v>17.260926999999999</c:v>
                </c:pt>
                <c:pt idx="192">
                  <c:v>17.014624000000001</c:v>
                </c:pt>
                <c:pt idx="193">
                  <c:v>17.241222</c:v>
                </c:pt>
                <c:pt idx="194">
                  <c:v>17.211666000000001</c:v>
                </c:pt>
                <c:pt idx="195">
                  <c:v>17.241222</c:v>
                </c:pt>
                <c:pt idx="196">
                  <c:v>17.014624000000001</c:v>
                </c:pt>
                <c:pt idx="197">
                  <c:v>16.866841999999998</c:v>
                </c:pt>
                <c:pt idx="198">
                  <c:v>17.359449000000001</c:v>
                </c:pt>
                <c:pt idx="199">
                  <c:v>17.950575000000001</c:v>
                </c:pt>
                <c:pt idx="200">
                  <c:v>17.743680999999999</c:v>
                </c:pt>
                <c:pt idx="201">
                  <c:v>18.078652999999999</c:v>
                </c:pt>
                <c:pt idx="202">
                  <c:v>18.029392000000001</c:v>
                </c:pt>
                <c:pt idx="203">
                  <c:v>18.009689000000002</c:v>
                </c:pt>
                <c:pt idx="204">
                  <c:v>17.832352</c:v>
                </c:pt>
                <c:pt idx="205">
                  <c:v>17.5959</c:v>
                </c:pt>
                <c:pt idx="206">
                  <c:v>17.5959</c:v>
                </c:pt>
                <c:pt idx="207">
                  <c:v>17.349598</c:v>
                </c:pt>
                <c:pt idx="208">
                  <c:v>17.408709000000002</c:v>
                </c:pt>
                <c:pt idx="209">
                  <c:v>17.379152000000001</c:v>
                </c:pt>
                <c:pt idx="210">
                  <c:v>17.408709000000002</c:v>
                </c:pt>
                <c:pt idx="211">
                  <c:v>17.783089</c:v>
                </c:pt>
                <c:pt idx="212">
                  <c:v>17.842203000000001</c:v>
                </c:pt>
                <c:pt idx="213">
                  <c:v>18.127914000000001</c:v>
                </c:pt>
                <c:pt idx="214">
                  <c:v>18.374217999999999</c:v>
                </c:pt>
                <c:pt idx="215">
                  <c:v>18.413627999999999</c:v>
                </c:pt>
                <c:pt idx="216">
                  <c:v>18.482592</c:v>
                </c:pt>
                <c:pt idx="217">
                  <c:v>18.472738</c:v>
                </c:pt>
                <c:pt idx="218">
                  <c:v>18.827414999999998</c:v>
                </c:pt>
                <c:pt idx="219">
                  <c:v>18.699337</c:v>
                </c:pt>
                <c:pt idx="220">
                  <c:v>18.541703999999999</c:v>
                </c:pt>
                <c:pt idx="221">
                  <c:v>18.403773999999999</c:v>
                </c:pt>
                <c:pt idx="222">
                  <c:v>18.492443000000002</c:v>
                </c:pt>
                <c:pt idx="223">
                  <c:v>18.531851</c:v>
                </c:pt>
                <c:pt idx="224">
                  <c:v>18.521999000000001</c:v>
                </c:pt>
                <c:pt idx="225">
                  <c:v>18.739999999999998</c:v>
                </c:pt>
                <c:pt idx="226">
                  <c:v>18.860001</c:v>
                </c:pt>
                <c:pt idx="227">
                  <c:v>18.809999000000001</c:v>
                </c:pt>
                <c:pt idx="228">
                  <c:v>18.579999999999998</c:v>
                </c:pt>
                <c:pt idx="229">
                  <c:v>18.850000000000001</c:v>
                </c:pt>
                <c:pt idx="230">
                  <c:v>19.16</c:v>
                </c:pt>
                <c:pt idx="231">
                  <c:v>19.149999999999999</c:v>
                </c:pt>
                <c:pt idx="232">
                  <c:v>19.120000999999998</c:v>
                </c:pt>
                <c:pt idx="233">
                  <c:v>18.549999</c:v>
                </c:pt>
                <c:pt idx="234">
                  <c:v>18.209999</c:v>
                </c:pt>
                <c:pt idx="235">
                  <c:v>19.16</c:v>
                </c:pt>
                <c:pt idx="236">
                  <c:v>19.190000999999999</c:v>
                </c:pt>
                <c:pt idx="237">
                  <c:v>19.010000000000002</c:v>
                </c:pt>
                <c:pt idx="238">
                  <c:v>18.899999999999999</c:v>
                </c:pt>
                <c:pt idx="239">
                  <c:v>18.98</c:v>
                </c:pt>
                <c:pt idx="240">
                  <c:v>19.25</c:v>
                </c:pt>
                <c:pt idx="241">
                  <c:v>19.469999000000001</c:v>
                </c:pt>
                <c:pt idx="242">
                  <c:v>19.370000999999998</c:v>
                </c:pt>
                <c:pt idx="243">
                  <c:v>18.91</c:v>
                </c:pt>
                <c:pt idx="244">
                  <c:v>19.190000999999999</c:v>
                </c:pt>
                <c:pt idx="245">
                  <c:v>19.25</c:v>
                </c:pt>
                <c:pt idx="246">
                  <c:v>19.399999999999999</c:v>
                </c:pt>
                <c:pt idx="247">
                  <c:v>19.489999999999998</c:v>
                </c:pt>
                <c:pt idx="248">
                  <c:v>19.43</c:v>
                </c:pt>
                <c:pt idx="249">
                  <c:v>19.52</c:v>
                </c:pt>
                <c:pt idx="250">
                  <c:v>19.629999000000002</c:v>
                </c:pt>
                <c:pt idx="251">
                  <c:v>19.09</c:v>
                </c:pt>
                <c:pt idx="252">
                  <c:v>19.34</c:v>
                </c:pt>
              </c:numCache>
            </c:numRef>
          </c:val>
          <c:smooth val="0"/>
          <c:extLst>
            <c:ext xmlns:c16="http://schemas.microsoft.com/office/drawing/2014/chart" uri="{C3380CC4-5D6E-409C-BE32-E72D297353CC}">
              <c16:uniqueId val="{00000003-D906-9243-90DC-71263D911D52}"/>
            </c:ext>
          </c:extLst>
        </c:ser>
        <c:dLbls>
          <c:showLegendKey val="0"/>
          <c:showVal val="0"/>
          <c:showCatName val="0"/>
          <c:showSerName val="0"/>
          <c:showPercent val="0"/>
          <c:showBubbleSize val="0"/>
        </c:dLbls>
        <c:smooth val="0"/>
        <c:axId val="145702064"/>
        <c:axId val="166189280"/>
      </c:lineChart>
      <c:dateAx>
        <c:axId val="145702064"/>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6189280"/>
        <c:crosses val="autoZero"/>
        <c:auto val="1"/>
        <c:lblOffset val="100"/>
        <c:baseTimeUnit val="days"/>
      </c:dateAx>
      <c:valAx>
        <c:axId val="1661892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5702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Retorno de Acciones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Retorno!$F$1:$F$2</c:f>
              <c:strCache>
                <c:ptCount val="2"/>
                <c:pt idx="0">
                  <c:v>Retornos Continuos</c:v>
                </c:pt>
                <c:pt idx="1">
                  <c:v>Apple</c:v>
                </c:pt>
              </c:strCache>
            </c:strRef>
          </c:tx>
          <c:spPr>
            <a:ln w="0" cap="rnd">
              <a:solidFill>
                <a:schemeClr val="accent1"/>
              </a:solidFill>
              <a:round/>
            </a:ln>
            <a:effectLst/>
          </c:spPr>
          <c:marker>
            <c:symbol val="none"/>
          </c:marker>
          <c:val>
            <c:numRef>
              <c:f>Retorno!$F$3:$F$254</c:f>
              <c:numCache>
                <c:formatCode>0.000%</c:formatCode>
                <c:ptCount val="252"/>
                <c:pt idx="0">
                  <c:v>-1.4662185008184019E-2</c:v>
                </c:pt>
                <c:pt idx="1">
                  <c:v>2.8121205565770678E-3</c:v>
                </c:pt>
                <c:pt idx="2">
                  <c:v>7.7070400094383651E-3</c:v>
                </c:pt>
                <c:pt idx="3">
                  <c:v>7.8738144273404372E-3</c:v>
                </c:pt>
                <c:pt idx="4">
                  <c:v>2.1711540417555734E-2</c:v>
                </c:pt>
                <c:pt idx="5">
                  <c:v>-2.6519108676923038E-2</c:v>
                </c:pt>
                <c:pt idx="6">
                  <c:v>1.2564052740774025E-2</c:v>
                </c:pt>
                <c:pt idx="7">
                  <c:v>8.8072127836774459E-3</c:v>
                </c:pt>
                <c:pt idx="8">
                  <c:v>2.1575762719950167E-2</c:v>
                </c:pt>
                <c:pt idx="9">
                  <c:v>1.899078242547661E-2</c:v>
                </c:pt>
                <c:pt idx="10">
                  <c:v>1.1717517176788328E-3</c:v>
                </c:pt>
                <c:pt idx="11">
                  <c:v>8.4277857631225358E-3</c:v>
                </c:pt>
                <c:pt idx="12">
                  <c:v>1.2659131987154749E-3</c:v>
                </c:pt>
                <c:pt idx="13">
                  <c:v>-3.6449647610985361E-2</c:v>
                </c:pt>
                <c:pt idx="14">
                  <c:v>-2.9685687263803755E-2</c:v>
                </c:pt>
                <c:pt idx="15">
                  <c:v>3.4855737123982338E-3</c:v>
                </c:pt>
                <c:pt idx="16">
                  <c:v>6.6007039975988667E-3</c:v>
                </c:pt>
                <c:pt idx="17">
                  <c:v>-1.7207766577965616E-2</c:v>
                </c:pt>
                <c:pt idx="18">
                  <c:v>-1.1925628607410014E-2</c:v>
                </c:pt>
                <c:pt idx="19">
                  <c:v>8.744192273870471E-3</c:v>
                </c:pt>
                <c:pt idx="20">
                  <c:v>-4.1626265495737849E-3</c:v>
                </c:pt>
                <c:pt idx="21">
                  <c:v>1.6771885661529522E-2</c:v>
                </c:pt>
                <c:pt idx="22">
                  <c:v>6.1618290451625419E-3</c:v>
                </c:pt>
                <c:pt idx="23">
                  <c:v>-2.0194689945887755E-2</c:v>
                </c:pt>
                <c:pt idx="24">
                  <c:v>-8.9290841663582452E-3</c:v>
                </c:pt>
                <c:pt idx="25">
                  <c:v>4.932157084030179E-3</c:v>
                </c:pt>
                <c:pt idx="26">
                  <c:v>7.3532671978666295E-3</c:v>
                </c:pt>
                <c:pt idx="27">
                  <c:v>-2.3676570379196956E-2</c:v>
                </c:pt>
                <c:pt idx="28">
                  <c:v>-8.9372740582099996E-3</c:v>
                </c:pt>
                <c:pt idx="29">
                  <c:v>1.5245124110350558E-3</c:v>
                </c:pt>
                <c:pt idx="30">
                  <c:v>3.0418117645047292E-3</c:v>
                </c:pt>
                <c:pt idx="31">
                  <c:v>1.4726612543542477E-2</c:v>
                </c:pt>
                <c:pt idx="32">
                  <c:v>-7.8002013931504684E-3</c:v>
                </c:pt>
                <c:pt idx="33">
                  <c:v>7.2820978273525263E-3</c:v>
                </c:pt>
                <c:pt idx="34">
                  <c:v>7.1721957179410305E-3</c:v>
                </c:pt>
                <c:pt idx="35">
                  <c:v>1.4642797262619538E-2</c:v>
                </c:pt>
                <c:pt idx="36">
                  <c:v>8.4155364965835446E-3</c:v>
                </c:pt>
                <c:pt idx="37">
                  <c:v>-3.3577377412587176E-3</c:v>
                </c:pt>
                <c:pt idx="38">
                  <c:v>7.8729256654077838E-3</c:v>
                </c:pt>
                <c:pt idx="39">
                  <c:v>5.0484914715231101E-3</c:v>
                </c:pt>
                <c:pt idx="40">
                  <c:v>-1.0346128156285038E-2</c:v>
                </c:pt>
                <c:pt idx="41">
                  <c:v>-7.2710133536225421E-4</c:v>
                </c:pt>
                <c:pt idx="42">
                  <c:v>-8.8236168219693739E-3</c:v>
                </c:pt>
                <c:pt idx="43">
                  <c:v>-7.4223370429170512E-3</c:v>
                </c:pt>
                <c:pt idx="44">
                  <c:v>-2.1632256780532658E-3</c:v>
                </c:pt>
                <c:pt idx="45">
                  <c:v>-1.48134638605088E-2</c:v>
                </c:pt>
                <c:pt idx="46">
                  <c:v>6.9385280456884656E-4</c:v>
                </c:pt>
                <c:pt idx="47">
                  <c:v>2.5402110604923374E-3</c:v>
                </c:pt>
                <c:pt idx="48">
                  <c:v>-1.3583577722310494E-2</c:v>
                </c:pt>
                <c:pt idx="49">
                  <c:v>-2.4913184770041188E-2</c:v>
                </c:pt>
                <c:pt idx="50">
                  <c:v>7.9376258370334254E-3</c:v>
                </c:pt>
                <c:pt idx="51">
                  <c:v>1.2230145391432332E-2</c:v>
                </c:pt>
                <c:pt idx="52">
                  <c:v>2.8148308012558494E-3</c:v>
                </c:pt>
                <c:pt idx="53">
                  <c:v>1.8565290897534802E-2</c:v>
                </c:pt>
                <c:pt idx="54">
                  <c:v>2.0482069684558096E-2</c:v>
                </c:pt>
                <c:pt idx="55">
                  <c:v>-5.1946810275440517E-3</c:v>
                </c:pt>
                <c:pt idx="56">
                  <c:v>1.44996022601437E-2</c:v>
                </c:pt>
                <c:pt idx="57">
                  <c:v>1.4347282613426004E-2</c:v>
                </c:pt>
                <c:pt idx="58">
                  <c:v>5.8675683603629037E-3</c:v>
                </c:pt>
                <c:pt idx="59">
                  <c:v>-2.6278835003809412E-3</c:v>
                </c:pt>
                <c:pt idx="60">
                  <c:v>2.2954556969230551E-2</c:v>
                </c:pt>
                <c:pt idx="61">
                  <c:v>-8.6207243473615386E-3</c:v>
                </c:pt>
                <c:pt idx="62">
                  <c:v>1.4184635374476782E-2</c:v>
                </c:pt>
                <c:pt idx="63">
                  <c:v>3.0363308776654089E-3</c:v>
                </c:pt>
                <c:pt idx="64">
                  <c:v>9.0015200429287429E-3</c:v>
                </c:pt>
                <c:pt idx="65">
                  <c:v>-1.0544870529251719E-4</c:v>
                </c:pt>
                <c:pt idx="66">
                  <c:v>9.2354873918627962E-3</c:v>
                </c:pt>
                <c:pt idx="67">
                  <c:v>-4.2398033377747738E-3</c:v>
                </c:pt>
                <c:pt idx="68">
                  <c:v>3.5083046042034536E-3</c:v>
                </c:pt>
                <c:pt idx="69">
                  <c:v>-7.0289607553052254E-3</c:v>
                </c:pt>
                <c:pt idx="70">
                  <c:v>-9.4805949388913479E-4</c:v>
                </c:pt>
                <c:pt idx="71">
                  <c:v>3.2089405359202782E-3</c:v>
                </c:pt>
                <c:pt idx="72">
                  <c:v>-5.4242788854046205E-3</c:v>
                </c:pt>
                <c:pt idx="73">
                  <c:v>3.0580089148523034E-3</c:v>
                </c:pt>
                <c:pt idx="74">
                  <c:v>6.7683969358011721E-3</c:v>
                </c:pt>
                <c:pt idx="75">
                  <c:v>-9.5097229376474839E-3</c:v>
                </c:pt>
                <c:pt idx="76">
                  <c:v>2.084449839920156E-2</c:v>
                </c:pt>
                <c:pt idx="77">
                  <c:v>-5.7032520050787593E-3</c:v>
                </c:pt>
                <c:pt idx="78">
                  <c:v>1.0088207138443817E-2</c:v>
                </c:pt>
                <c:pt idx="79">
                  <c:v>7.3850207302899578E-3</c:v>
                </c:pt>
                <c:pt idx="80">
                  <c:v>-1.301155524149791E-2</c:v>
                </c:pt>
                <c:pt idx="81">
                  <c:v>7.8889519649972505E-3</c:v>
                </c:pt>
                <c:pt idx="82">
                  <c:v>1.6553655693470191E-2</c:v>
                </c:pt>
                <c:pt idx="83">
                  <c:v>7.5742185089877612E-4</c:v>
                </c:pt>
                <c:pt idx="84">
                  <c:v>-2.7295073142777661E-3</c:v>
                </c:pt>
                <c:pt idx="85">
                  <c:v>-8.53965400802611E-3</c:v>
                </c:pt>
                <c:pt idx="86">
                  <c:v>5.3458637702141027E-3</c:v>
                </c:pt>
                <c:pt idx="87">
                  <c:v>-1.0771711802952852E-2</c:v>
                </c:pt>
                <c:pt idx="88">
                  <c:v>-7.7033791279105483E-4</c:v>
                </c:pt>
                <c:pt idx="89">
                  <c:v>-5.5629055748559423E-3</c:v>
                </c:pt>
                <c:pt idx="90">
                  <c:v>-2.8449113917028523E-3</c:v>
                </c:pt>
                <c:pt idx="91">
                  <c:v>5.1779897604456546E-4</c:v>
                </c:pt>
                <c:pt idx="92">
                  <c:v>2.2237825955231019E-3</c:v>
                </c:pt>
                <c:pt idx="93">
                  <c:v>-5.4389057902563941E-3</c:v>
                </c:pt>
                <c:pt idx="94">
                  <c:v>-3.6442669115568614E-2</c:v>
                </c:pt>
                <c:pt idx="95">
                  <c:v>-7.5158087877084971E-3</c:v>
                </c:pt>
                <c:pt idx="96">
                  <c:v>-1.2781428001649012E-2</c:v>
                </c:pt>
                <c:pt idx="97">
                  <c:v>-4.0210117830922973E-3</c:v>
                </c:pt>
                <c:pt idx="98">
                  <c:v>2.3887222589555022E-2</c:v>
                </c:pt>
                <c:pt idx="99">
                  <c:v>-2.2659828390601978E-3</c:v>
                </c:pt>
                <c:pt idx="100">
                  <c:v>5.655471783241264E-3</c:v>
                </c:pt>
                <c:pt idx="101">
                  <c:v>-3.2278053849822972E-3</c:v>
                </c:pt>
                <c:pt idx="102">
                  <c:v>1.776525989713901E-3</c:v>
                </c:pt>
                <c:pt idx="103">
                  <c:v>-1.2393598825964395E-2</c:v>
                </c:pt>
                <c:pt idx="104">
                  <c:v>-5.186893307744119E-3</c:v>
                </c:pt>
                <c:pt idx="105">
                  <c:v>3.205143040647615E-2</c:v>
                </c:pt>
                <c:pt idx="106">
                  <c:v>1.5413605907075779E-2</c:v>
                </c:pt>
                <c:pt idx="107">
                  <c:v>1.2089939794405298E-2</c:v>
                </c:pt>
                <c:pt idx="108">
                  <c:v>6.6312354047433934E-3</c:v>
                </c:pt>
                <c:pt idx="109">
                  <c:v>-3.4900447377881711E-3</c:v>
                </c:pt>
                <c:pt idx="110">
                  <c:v>-1.6980138057580752E-3</c:v>
                </c:pt>
                <c:pt idx="111">
                  <c:v>-9.053703332614238E-3</c:v>
                </c:pt>
                <c:pt idx="112">
                  <c:v>-3.5923582258243084E-3</c:v>
                </c:pt>
                <c:pt idx="113">
                  <c:v>-1.9433375980611085E-2</c:v>
                </c:pt>
                <c:pt idx="114">
                  <c:v>-1.9547375416428876E-2</c:v>
                </c:pt>
                <c:pt idx="115">
                  <c:v>1.3252435087594459E-2</c:v>
                </c:pt>
                <c:pt idx="116">
                  <c:v>-5.4198470459970276E-3</c:v>
                </c:pt>
                <c:pt idx="117">
                  <c:v>9.7984505156412712E-3</c:v>
                </c:pt>
                <c:pt idx="118">
                  <c:v>8.5946741458582179E-3</c:v>
                </c:pt>
                <c:pt idx="119">
                  <c:v>5.8094509155742779E-4</c:v>
                </c:pt>
                <c:pt idx="120">
                  <c:v>-5.7713210785359176E-3</c:v>
                </c:pt>
                <c:pt idx="121">
                  <c:v>4.0856395568765842E-3</c:v>
                </c:pt>
                <c:pt idx="122">
                  <c:v>-9.0426439389799818E-3</c:v>
                </c:pt>
                <c:pt idx="123">
                  <c:v>-1.133841763443315E-2</c:v>
                </c:pt>
                <c:pt idx="124">
                  <c:v>-4.8213974030586366E-3</c:v>
                </c:pt>
                <c:pt idx="125">
                  <c:v>-1.5759825619922172E-3</c:v>
                </c:pt>
                <c:pt idx="126">
                  <c:v>-8.4661574423176515E-3</c:v>
                </c:pt>
                <c:pt idx="127">
                  <c:v>-4.1223013161664603E-3</c:v>
                </c:pt>
                <c:pt idx="128">
                  <c:v>4.1772619153831059E-3</c:v>
                </c:pt>
                <c:pt idx="129">
                  <c:v>1.118116096025438E-2</c:v>
                </c:pt>
                <c:pt idx="130">
                  <c:v>-1.0084818339197638E-2</c:v>
                </c:pt>
                <c:pt idx="131">
                  <c:v>-7.479106127821062E-3</c:v>
                </c:pt>
                <c:pt idx="132">
                  <c:v>8.0816092470088127E-3</c:v>
                </c:pt>
                <c:pt idx="133">
                  <c:v>-6.647496052951337E-3</c:v>
                </c:pt>
                <c:pt idx="134">
                  <c:v>-3.6999302544279294E-3</c:v>
                </c:pt>
                <c:pt idx="135">
                  <c:v>-6.0485955778969338E-3</c:v>
                </c:pt>
                <c:pt idx="136">
                  <c:v>-2.5708994582135079E-2</c:v>
                </c:pt>
                <c:pt idx="137">
                  <c:v>-2.8853134850884594E-2</c:v>
                </c:pt>
                <c:pt idx="138">
                  <c:v>-5.8956789518436912E-3</c:v>
                </c:pt>
                <c:pt idx="139">
                  <c:v>-7.0975441095678829E-4</c:v>
                </c:pt>
                <c:pt idx="140">
                  <c:v>1.0184574634208254E-2</c:v>
                </c:pt>
                <c:pt idx="141">
                  <c:v>1.1762232376596935E-2</c:v>
                </c:pt>
                <c:pt idx="142">
                  <c:v>2.7746091448219968E-3</c:v>
                </c:pt>
                <c:pt idx="143">
                  <c:v>-1.2196574219039144E-2</c:v>
                </c:pt>
                <c:pt idx="144">
                  <c:v>1.0868104262170121E-2</c:v>
                </c:pt>
                <c:pt idx="145">
                  <c:v>-2.1990199647653258E-3</c:v>
                </c:pt>
                <c:pt idx="146">
                  <c:v>6.3521899768463532E-3</c:v>
                </c:pt>
                <c:pt idx="147">
                  <c:v>1.3493637966671364E-2</c:v>
                </c:pt>
                <c:pt idx="148">
                  <c:v>1.4602145308817756E-2</c:v>
                </c:pt>
                <c:pt idx="149">
                  <c:v>-4.1715613983300662E-2</c:v>
                </c:pt>
                <c:pt idx="150">
                  <c:v>5.2960884338796171E-3</c:v>
                </c:pt>
                <c:pt idx="151">
                  <c:v>-8.3350523254073824E-3</c:v>
                </c:pt>
                <c:pt idx="152">
                  <c:v>-6.6948293563426041E-3</c:v>
                </c:pt>
                <c:pt idx="153">
                  <c:v>2.0990652674622658E-2</c:v>
                </c:pt>
                <c:pt idx="154">
                  <c:v>-1.0615167680639992E-2</c:v>
                </c:pt>
                <c:pt idx="155">
                  <c:v>-8.4917741718009161E-3</c:v>
                </c:pt>
                <c:pt idx="156">
                  <c:v>-7.0234473180625914E-3</c:v>
                </c:pt>
                <c:pt idx="157">
                  <c:v>4.7859728642550272E-3</c:v>
                </c:pt>
                <c:pt idx="158">
                  <c:v>-4.9043056684808586E-3</c:v>
                </c:pt>
                <c:pt idx="159">
                  <c:v>4.4916084303433098E-3</c:v>
                </c:pt>
                <c:pt idx="160">
                  <c:v>-6.685740856598745E-3</c:v>
                </c:pt>
                <c:pt idx="161">
                  <c:v>7.2163751807764352E-3</c:v>
                </c:pt>
                <c:pt idx="162">
                  <c:v>-1.120175412492392E-2</c:v>
                </c:pt>
                <c:pt idx="163">
                  <c:v>4.236087617690229E-2</c:v>
                </c:pt>
                <c:pt idx="164">
                  <c:v>8.5896815167550832E-3</c:v>
                </c:pt>
                <c:pt idx="165">
                  <c:v>-2.2106106529132866E-2</c:v>
                </c:pt>
                <c:pt idx="166">
                  <c:v>-1.9353292388622649E-2</c:v>
                </c:pt>
                <c:pt idx="167">
                  <c:v>-8.1807529156866562E-3</c:v>
                </c:pt>
                <c:pt idx="168">
                  <c:v>-5.7307029681765223E-3</c:v>
                </c:pt>
                <c:pt idx="169">
                  <c:v>-1.2287828139873455E-2</c:v>
                </c:pt>
                <c:pt idx="170">
                  <c:v>5.07788929321121E-3</c:v>
                </c:pt>
                <c:pt idx="171">
                  <c:v>6.3713730744178647E-3</c:v>
                </c:pt>
                <c:pt idx="172">
                  <c:v>1.2622341953280228E-2</c:v>
                </c:pt>
                <c:pt idx="173">
                  <c:v>5.1340934294748482E-3</c:v>
                </c:pt>
                <c:pt idx="174">
                  <c:v>-3.4788581331064421E-3</c:v>
                </c:pt>
                <c:pt idx="175">
                  <c:v>2.4505258851654717E-2</c:v>
                </c:pt>
                <c:pt idx="176">
                  <c:v>-1.8439790545778333E-2</c:v>
                </c:pt>
                <c:pt idx="177">
                  <c:v>-6.0654683058762593E-3</c:v>
                </c:pt>
                <c:pt idx="178">
                  <c:v>2.1792612899963495E-2</c:v>
                </c:pt>
                <c:pt idx="179">
                  <c:v>5.8095544508652106E-2</c:v>
                </c:pt>
                <c:pt idx="180">
                  <c:v>-9.1483674173388676E-3</c:v>
                </c:pt>
                <c:pt idx="181">
                  <c:v>3.7898712813242458E-3</c:v>
                </c:pt>
                <c:pt idx="182">
                  <c:v>1.8624377821563668E-3</c:v>
                </c:pt>
                <c:pt idx="183">
                  <c:v>9.9644209184128335E-3</c:v>
                </c:pt>
                <c:pt idx="184">
                  <c:v>-6.9140777525400921E-3</c:v>
                </c:pt>
                <c:pt idx="185">
                  <c:v>1.7491613013872163E-2</c:v>
                </c:pt>
                <c:pt idx="186">
                  <c:v>6.1545058292852206E-3</c:v>
                </c:pt>
                <c:pt idx="187">
                  <c:v>1.2143861705092206E-2</c:v>
                </c:pt>
                <c:pt idx="188">
                  <c:v>6.3229391275216771E-4</c:v>
                </c:pt>
                <c:pt idx="189">
                  <c:v>1.5802948487189222E-4</c:v>
                </c:pt>
                <c:pt idx="190">
                  <c:v>6.1431644627328542E-3</c:v>
                </c:pt>
                <c:pt idx="191">
                  <c:v>6.8338906269820778E-3</c:v>
                </c:pt>
                <c:pt idx="192">
                  <c:v>-7.5669526869904195E-3</c:v>
                </c:pt>
                <c:pt idx="193">
                  <c:v>-2.128302424671985E-2</c:v>
                </c:pt>
                <c:pt idx="194">
                  <c:v>1.6452046082168593E-2</c:v>
                </c:pt>
                <c:pt idx="195">
                  <c:v>5.2749355993220789E-5</c:v>
                </c:pt>
                <c:pt idx="196">
                  <c:v>1.5777000232845243E-3</c:v>
                </c:pt>
                <c:pt idx="197">
                  <c:v>5.2413568168104213E-3</c:v>
                </c:pt>
                <c:pt idx="198">
                  <c:v>5.0060225548219234E-3</c:v>
                </c:pt>
                <c:pt idx="199">
                  <c:v>9.2161623911649945E-3</c:v>
                </c:pt>
                <c:pt idx="200">
                  <c:v>1.6479275844381797E-3</c:v>
                </c:pt>
                <c:pt idx="201">
                  <c:v>7.7904722351031866E-3</c:v>
                </c:pt>
                <c:pt idx="202">
                  <c:v>-7.121864915451831E-3</c:v>
                </c:pt>
                <c:pt idx="203">
                  <c:v>1.2315935510636394E-2</c:v>
                </c:pt>
                <c:pt idx="204">
                  <c:v>-1.9333515601065478E-2</c:v>
                </c:pt>
                <c:pt idx="205">
                  <c:v>7.0131414104475584E-2</c:v>
                </c:pt>
                <c:pt idx="206">
                  <c:v>2.8177683832117249E-2</c:v>
                </c:pt>
                <c:pt idx="207">
                  <c:v>5.4761020107099078E-3</c:v>
                </c:pt>
                <c:pt idx="208">
                  <c:v>-8.2019263390725322E-3</c:v>
                </c:pt>
                <c:pt idx="209">
                  <c:v>1.948047725735666E-2</c:v>
                </c:pt>
                <c:pt idx="210">
                  <c:v>-1.1045270681009117E-2</c:v>
                </c:pt>
                <c:pt idx="211">
                  <c:v>-2.1747631659808291E-2</c:v>
                </c:pt>
                <c:pt idx="212">
                  <c:v>-1.0499345697948081E-2</c:v>
                </c:pt>
                <c:pt idx="213">
                  <c:v>3.1277001097442104E-3</c:v>
                </c:pt>
                <c:pt idx="214">
                  <c:v>4.4582669163491413E-3</c:v>
                </c:pt>
                <c:pt idx="215">
                  <c:v>1.9796003669469535E-2</c:v>
                </c:pt>
                <c:pt idx="216">
                  <c:v>3.9780687953256729E-3</c:v>
                </c:pt>
                <c:pt idx="217">
                  <c:v>-1.6387734624486144E-2</c:v>
                </c:pt>
                <c:pt idx="218">
                  <c:v>2.8689111628198698E-2</c:v>
                </c:pt>
                <c:pt idx="219">
                  <c:v>1.6109449297697549E-2</c:v>
                </c:pt>
                <c:pt idx="220">
                  <c:v>5.7942259479230023E-3</c:v>
                </c:pt>
                <c:pt idx="221">
                  <c:v>2.1389960415288217E-2</c:v>
                </c:pt>
                <c:pt idx="222">
                  <c:v>6.5176077697273217E-3</c:v>
                </c:pt>
                <c:pt idx="223">
                  <c:v>3.7677515857849927E-3</c:v>
                </c:pt>
                <c:pt idx="224">
                  <c:v>1.8628964806476703E-2</c:v>
                </c:pt>
                <c:pt idx="225">
                  <c:v>-2.3494672238777499E-2</c:v>
                </c:pt>
                <c:pt idx="226">
                  <c:v>1.2966442042243119E-2</c:v>
                </c:pt>
                <c:pt idx="227">
                  <c:v>1.6604708169325119E-2</c:v>
                </c:pt>
                <c:pt idx="228">
                  <c:v>1.7902506232981147E-3</c:v>
                </c:pt>
                <c:pt idx="229">
                  <c:v>-2.5621428783056767E-2</c:v>
                </c:pt>
                <c:pt idx="230">
                  <c:v>-2.074860964039351E-2</c:v>
                </c:pt>
                <c:pt idx="231">
                  <c:v>5.7973336916425204E-4</c:v>
                </c:pt>
                <c:pt idx="232">
                  <c:v>-1.5614861566389346E-3</c:v>
                </c:pt>
                <c:pt idx="233">
                  <c:v>4.6772962161707281E-3</c:v>
                </c:pt>
                <c:pt idx="234">
                  <c:v>-2.9175802186708118E-2</c:v>
                </c:pt>
                <c:pt idx="235">
                  <c:v>-4.8161042901711899E-3</c:v>
                </c:pt>
                <c:pt idx="236">
                  <c:v>2.1586660116600692E-3</c:v>
                </c:pt>
                <c:pt idx="237">
                  <c:v>1.2838228252665619E-3</c:v>
                </c:pt>
                <c:pt idx="238">
                  <c:v>2.562716177992965E-3</c:v>
                </c:pt>
                <c:pt idx="239">
                  <c:v>1.4879566390620118E-2</c:v>
                </c:pt>
                <c:pt idx="240">
                  <c:v>-1.6892595276606047E-2</c:v>
                </c:pt>
                <c:pt idx="241">
                  <c:v>6.8458769114516189E-3</c:v>
                </c:pt>
                <c:pt idx="242">
                  <c:v>-4.936563304839342E-2</c:v>
                </c:pt>
                <c:pt idx="243">
                  <c:v>-9.7960810695936606E-3</c:v>
                </c:pt>
                <c:pt idx="244">
                  <c:v>1.2420806909965328E-2</c:v>
                </c:pt>
                <c:pt idx="245">
                  <c:v>1.6496471649674511E-2</c:v>
                </c:pt>
                <c:pt idx="246">
                  <c:v>1.3642429865120695E-2</c:v>
                </c:pt>
                <c:pt idx="247">
                  <c:v>7.1046339891622338E-3</c:v>
                </c:pt>
                <c:pt idx="248">
                  <c:v>1.7046925905757491E-2</c:v>
                </c:pt>
                <c:pt idx="249">
                  <c:v>2.0316357014954671E-3</c:v>
                </c:pt>
                <c:pt idx="250">
                  <c:v>1.3439858184173351E-2</c:v>
                </c:pt>
                <c:pt idx="251">
                  <c:v>5.9010397660438866E-3</c:v>
                </c:pt>
              </c:numCache>
            </c:numRef>
          </c:val>
          <c:smooth val="0"/>
          <c:extLst>
            <c:ext xmlns:c16="http://schemas.microsoft.com/office/drawing/2014/chart" uri="{C3380CC4-5D6E-409C-BE32-E72D297353CC}">
              <c16:uniqueId val="{00000000-CAD7-0B4E-99CE-0E9C551FF01C}"/>
            </c:ext>
          </c:extLst>
        </c:ser>
        <c:ser>
          <c:idx val="1"/>
          <c:order val="1"/>
          <c:tx>
            <c:strRef>
              <c:f>Retorno!$G$1:$G$2</c:f>
              <c:strCache>
                <c:ptCount val="2"/>
                <c:pt idx="0">
                  <c:v>Retornos Continuos</c:v>
                </c:pt>
                <c:pt idx="1">
                  <c:v>Coca-Cola</c:v>
                </c:pt>
              </c:strCache>
            </c:strRef>
          </c:tx>
          <c:spPr>
            <a:ln w="0" cap="rnd">
              <a:solidFill>
                <a:schemeClr val="accent2"/>
              </a:solidFill>
              <a:round/>
            </a:ln>
            <a:effectLst/>
          </c:spPr>
          <c:marker>
            <c:symbol val="none"/>
          </c:marker>
          <c:val>
            <c:numRef>
              <c:f>Retorno!$G$3:$G$254</c:f>
              <c:numCache>
                <c:formatCode>0.000%</c:formatCode>
                <c:ptCount val="252"/>
                <c:pt idx="0">
                  <c:v>2.1472312077841786E-3</c:v>
                </c:pt>
                <c:pt idx="1">
                  <c:v>5.5939921723177225E-3</c:v>
                </c:pt>
                <c:pt idx="2">
                  <c:v>-8.568180711971048E-3</c:v>
                </c:pt>
                <c:pt idx="3">
                  <c:v>-6.141625470814838E-3</c:v>
                </c:pt>
                <c:pt idx="4">
                  <c:v>3.4904214645253497E-3</c:v>
                </c:pt>
                <c:pt idx="5">
                  <c:v>-2.6582344086022547E-3</c:v>
                </c:pt>
                <c:pt idx="6">
                  <c:v>4.6472362667604817E-3</c:v>
                </c:pt>
                <c:pt idx="7">
                  <c:v>2.811071519673288E-3</c:v>
                </c:pt>
                <c:pt idx="8">
                  <c:v>-9.9121473034572902E-4</c:v>
                </c:pt>
                <c:pt idx="9">
                  <c:v>-4.9597604879833524E-4</c:v>
                </c:pt>
                <c:pt idx="10">
                  <c:v>-1.0640119950070189E-2</c:v>
                </c:pt>
                <c:pt idx="11">
                  <c:v>-8.7293459886518768E-3</c:v>
                </c:pt>
                <c:pt idx="12">
                  <c:v>-8.2960032000802229E-3</c:v>
                </c:pt>
                <c:pt idx="13">
                  <c:v>-6.802636816685408E-4</c:v>
                </c:pt>
                <c:pt idx="14">
                  <c:v>-7.685086250950387E-3</c:v>
                </c:pt>
                <c:pt idx="15">
                  <c:v>0</c:v>
                </c:pt>
                <c:pt idx="16">
                  <c:v>9.3849136242531647E-3</c:v>
                </c:pt>
                <c:pt idx="17">
                  <c:v>-9.8994165765982269E-3</c:v>
                </c:pt>
                <c:pt idx="18">
                  <c:v>2.3984991177818894E-3</c:v>
                </c:pt>
                <c:pt idx="19">
                  <c:v>8.2446925036342867E-3</c:v>
                </c:pt>
                <c:pt idx="20">
                  <c:v>-8.9348416448038568E-3</c:v>
                </c:pt>
                <c:pt idx="21">
                  <c:v>6.1940863988089057E-3</c:v>
                </c:pt>
                <c:pt idx="22">
                  <c:v>-2.0603885067279927E-3</c:v>
                </c:pt>
                <c:pt idx="23">
                  <c:v>4.4589357728930948E-3</c:v>
                </c:pt>
                <c:pt idx="24">
                  <c:v>-1.5520182226064388E-2</c:v>
                </c:pt>
                <c:pt idx="25">
                  <c:v>1.0421744338548341E-3</c:v>
                </c:pt>
                <c:pt idx="26">
                  <c:v>-1.0471250468192831E-2</c:v>
                </c:pt>
                <c:pt idx="27">
                  <c:v>-8.2798817906721903E-3</c:v>
                </c:pt>
                <c:pt idx="28">
                  <c:v>-1.0313022416799286E-2</c:v>
                </c:pt>
                <c:pt idx="29">
                  <c:v>-2.5052793506595878E-3</c:v>
                </c:pt>
                <c:pt idx="30">
                  <c:v>3.0412831937692204E-3</c:v>
                </c:pt>
                <c:pt idx="31">
                  <c:v>-8.9718561804357604E-3</c:v>
                </c:pt>
                <c:pt idx="32">
                  <c:v>-1.0873561101627389E-2</c:v>
                </c:pt>
                <c:pt idx="33">
                  <c:v>2.9112300036451422E-3</c:v>
                </c:pt>
                <c:pt idx="34">
                  <c:v>-4.9535374384451825E-2</c:v>
                </c:pt>
                <c:pt idx="35">
                  <c:v>1.4405068586763934E-2</c:v>
                </c:pt>
                <c:pt idx="36">
                  <c:v>-4.9046695157092994E-3</c:v>
                </c:pt>
                <c:pt idx="37">
                  <c:v>2.1514155913894644E-2</c:v>
                </c:pt>
                <c:pt idx="38">
                  <c:v>-5.9402085775266582E-3</c:v>
                </c:pt>
                <c:pt idx="39">
                  <c:v>-1.6898605731409447E-2</c:v>
                </c:pt>
                <c:pt idx="40">
                  <c:v>1.5136608826072475E-3</c:v>
                </c:pt>
                <c:pt idx="41">
                  <c:v>1.0158067162630343E-2</c:v>
                </c:pt>
                <c:pt idx="42">
                  <c:v>1.1907236828734701E-2</c:v>
                </c:pt>
                <c:pt idx="43">
                  <c:v>-3.7001627652822851E-4</c:v>
                </c:pt>
                <c:pt idx="44">
                  <c:v>5.5350153172178456E-3</c:v>
                </c:pt>
                <c:pt idx="45">
                  <c:v>4.0397446205238134E-3</c:v>
                </c:pt>
                <c:pt idx="46">
                  <c:v>-9.01984365197008E-3</c:v>
                </c:pt>
                <c:pt idx="47">
                  <c:v>2.8437891260977562E-2</c:v>
                </c:pt>
                <c:pt idx="48">
                  <c:v>8.5898919565569297E-3</c:v>
                </c:pt>
                <c:pt idx="49">
                  <c:v>-6.0768940601561034E-3</c:v>
                </c:pt>
                <c:pt idx="50">
                  <c:v>-9.7279469304567372E-3</c:v>
                </c:pt>
                <c:pt idx="51">
                  <c:v>1.6339294527615768E-2</c:v>
                </c:pt>
                <c:pt idx="52">
                  <c:v>6.0369707476601144E-3</c:v>
                </c:pt>
                <c:pt idx="53">
                  <c:v>-8.8556819319023528E-4</c:v>
                </c:pt>
                <c:pt idx="54">
                  <c:v>1.1450857122828546E-2</c:v>
                </c:pt>
                <c:pt idx="55">
                  <c:v>-6.1495523287532295E-3</c:v>
                </c:pt>
                <c:pt idx="56">
                  <c:v>4.0454488376433064E-3</c:v>
                </c:pt>
                <c:pt idx="57">
                  <c:v>3.6793121473435051E-3</c:v>
                </c:pt>
                <c:pt idx="58">
                  <c:v>-1.5752086562333767E-3</c:v>
                </c:pt>
                <c:pt idx="59">
                  <c:v>-7.5604337307585206E-3</c:v>
                </c:pt>
                <c:pt idx="60">
                  <c:v>1.0583701900695479E-3</c:v>
                </c:pt>
                <c:pt idx="61">
                  <c:v>3.6955712633663846E-3</c:v>
                </c:pt>
                <c:pt idx="62">
                  <c:v>2.981612142296002E-3</c:v>
                </c:pt>
                <c:pt idx="63">
                  <c:v>1.9246372583412658E-3</c:v>
                </c:pt>
                <c:pt idx="64">
                  <c:v>-1.0493722296692307E-3</c:v>
                </c:pt>
                <c:pt idx="65">
                  <c:v>1.9229550455904989E-3</c:v>
                </c:pt>
                <c:pt idx="66">
                  <c:v>2.4420582166783792E-3</c:v>
                </c:pt>
                <c:pt idx="67">
                  <c:v>1.0915721899237774E-2</c:v>
                </c:pt>
                <c:pt idx="68">
                  <c:v>6.698173115196048E-3</c:v>
                </c:pt>
                <c:pt idx="69">
                  <c:v>2.564368058518235E-3</c:v>
                </c:pt>
                <c:pt idx="70">
                  <c:v>-1.8798349524674102E-3</c:v>
                </c:pt>
                <c:pt idx="71">
                  <c:v>2.0506000205027385E-3</c:v>
                </c:pt>
                <c:pt idx="72">
                  <c:v>-5.9926490699218782E-3</c:v>
                </c:pt>
                <c:pt idx="73">
                  <c:v>1.1530896635000211E-2</c:v>
                </c:pt>
                <c:pt idx="74">
                  <c:v>3.4165183963682714E-3</c:v>
                </c:pt>
                <c:pt idx="75">
                  <c:v>-1.1944749472458554E-3</c:v>
                </c:pt>
                <c:pt idx="76">
                  <c:v>1.5354718166455639E-3</c:v>
                </c:pt>
                <c:pt idx="77">
                  <c:v>-1.0233916476147672E-3</c:v>
                </c:pt>
                <c:pt idx="78">
                  <c:v>2.3863212857141401E-3</c:v>
                </c:pt>
                <c:pt idx="79">
                  <c:v>-2.2156572655028478E-3</c:v>
                </c:pt>
                <c:pt idx="80">
                  <c:v>7.3098102582420726E-3</c:v>
                </c:pt>
                <c:pt idx="81">
                  <c:v>6.4156731620670822E-3</c:v>
                </c:pt>
                <c:pt idx="82">
                  <c:v>8.5463889760277086E-3</c:v>
                </c:pt>
                <c:pt idx="83">
                  <c:v>-1.4962062138094838E-2</c:v>
                </c:pt>
                <c:pt idx="84">
                  <c:v>-7.4804742784532674E-3</c:v>
                </c:pt>
                <c:pt idx="85">
                  <c:v>7.1417585896560408E-3</c:v>
                </c:pt>
                <c:pt idx="86">
                  <c:v>-3.2244751257021888E-3</c:v>
                </c:pt>
                <c:pt idx="87">
                  <c:v>-2.0955763699396959E-2</c:v>
                </c:pt>
                <c:pt idx="88">
                  <c:v>6.5744708171604086E-3</c:v>
                </c:pt>
                <c:pt idx="89">
                  <c:v>5.6744066112261139E-3</c:v>
                </c:pt>
                <c:pt idx="90">
                  <c:v>4.1068114348282283E-3</c:v>
                </c:pt>
                <c:pt idx="91">
                  <c:v>2.5581149129798759E-3</c:v>
                </c:pt>
                <c:pt idx="92">
                  <c:v>6.811858639393253E-4</c:v>
                </c:pt>
                <c:pt idx="93">
                  <c:v>3.0590814664282501E-3</c:v>
                </c:pt>
                <c:pt idx="94">
                  <c:v>1.4989765411567772E-2</c:v>
                </c:pt>
                <c:pt idx="95">
                  <c:v>2.3375916662677874E-3</c:v>
                </c:pt>
                <c:pt idx="96">
                  <c:v>-3.3411282708156569E-3</c:v>
                </c:pt>
                <c:pt idx="97">
                  <c:v>-1.5071191150336566E-3</c:v>
                </c:pt>
                <c:pt idx="98">
                  <c:v>7.3468937372898847E-3</c:v>
                </c:pt>
                <c:pt idx="99">
                  <c:v>-1.8316735365529078E-3</c:v>
                </c:pt>
                <c:pt idx="100">
                  <c:v>3.3277857054118689E-3</c:v>
                </c:pt>
                <c:pt idx="101">
                  <c:v>-6.4994939061170766E-3</c:v>
                </c:pt>
                <c:pt idx="102">
                  <c:v>9.6506195124218454E-3</c:v>
                </c:pt>
                <c:pt idx="103">
                  <c:v>-6.6456043485522889E-3</c:v>
                </c:pt>
                <c:pt idx="104">
                  <c:v>0</c:v>
                </c:pt>
                <c:pt idx="105">
                  <c:v>2.8297562882526783E-3</c:v>
                </c:pt>
                <c:pt idx="106">
                  <c:v>-5.5003761178523645E-3</c:v>
                </c:pt>
                <c:pt idx="107">
                  <c:v>-4.3551865509223759E-3</c:v>
                </c:pt>
                <c:pt idx="108">
                  <c:v>4.6892664291325829E-3</c:v>
                </c:pt>
                <c:pt idx="109">
                  <c:v>-1.5830462198802939E-2</c:v>
                </c:pt>
                <c:pt idx="110">
                  <c:v>4.2347552165082781E-3</c:v>
                </c:pt>
                <c:pt idx="111">
                  <c:v>3.5433502166368901E-3</c:v>
                </c:pt>
                <c:pt idx="112">
                  <c:v>6.045418986824742E-3</c:v>
                </c:pt>
                <c:pt idx="113">
                  <c:v>2.842073474480988E-3</c:v>
                </c:pt>
                <c:pt idx="114">
                  <c:v>-6.8682608284900979E-3</c:v>
                </c:pt>
                <c:pt idx="115">
                  <c:v>2.4737724565590001E-2</c:v>
                </c:pt>
                <c:pt idx="116">
                  <c:v>-7.2416284624734579E-3</c:v>
                </c:pt>
                <c:pt idx="117">
                  <c:v>-8.2933112377348989E-3</c:v>
                </c:pt>
                <c:pt idx="118">
                  <c:v>-1.6669342296507035E-3</c:v>
                </c:pt>
                <c:pt idx="119">
                  <c:v>8.3381444850086286E-4</c:v>
                </c:pt>
                <c:pt idx="120">
                  <c:v>-2.670619829599635E-3</c:v>
                </c:pt>
                <c:pt idx="121">
                  <c:v>-4.5230317841640829E-3</c:v>
                </c:pt>
                <c:pt idx="122">
                  <c:v>2.3477669245357624E-3</c:v>
                </c:pt>
                <c:pt idx="123">
                  <c:v>-5.8799302773867674E-3</c:v>
                </c:pt>
                <c:pt idx="124">
                  <c:v>-1.0114192349661964E-3</c:v>
                </c:pt>
                <c:pt idx="125">
                  <c:v>1.8535876226185115E-3</c:v>
                </c:pt>
                <c:pt idx="126">
                  <c:v>-1.6839405150777205E-4</c:v>
                </c:pt>
                <c:pt idx="127">
                  <c:v>2.181787938436186E-2</c:v>
                </c:pt>
                <c:pt idx="128">
                  <c:v>8.8568526987604264E-3</c:v>
                </c:pt>
                <c:pt idx="129">
                  <c:v>-1.4707357985398316E-3</c:v>
                </c:pt>
                <c:pt idx="130">
                  <c:v>8.1738858055153973E-4</c:v>
                </c:pt>
                <c:pt idx="131">
                  <c:v>-8.0388122707836501E-3</c:v>
                </c:pt>
                <c:pt idx="132">
                  <c:v>-6.1132169466150627E-3</c:v>
                </c:pt>
                <c:pt idx="133">
                  <c:v>9.9389517455469021E-4</c:v>
                </c:pt>
                <c:pt idx="134">
                  <c:v>-6.311315966027564E-3</c:v>
                </c:pt>
                <c:pt idx="135">
                  <c:v>-8.1974383416661724E-3</c:v>
                </c:pt>
                <c:pt idx="136">
                  <c:v>4.6925289520041878E-3</c:v>
                </c:pt>
                <c:pt idx="137">
                  <c:v>-4.8605552480539922E-3</c:v>
                </c:pt>
                <c:pt idx="138">
                  <c:v>5.0397715508103207E-4</c:v>
                </c:pt>
                <c:pt idx="139">
                  <c:v>-1.848914347035491E-3</c:v>
                </c:pt>
                <c:pt idx="140">
                  <c:v>1.3449371919544843E-3</c:v>
                </c:pt>
                <c:pt idx="141">
                  <c:v>1.2024245731310248E-2</c:v>
                </c:pt>
                <c:pt idx="142">
                  <c:v>4.3067844327523246E-3</c:v>
                </c:pt>
                <c:pt idx="143">
                  <c:v>1.0195775101912073E-2</c:v>
                </c:pt>
                <c:pt idx="144">
                  <c:v>-2.2289265661106588E-3</c:v>
                </c:pt>
                <c:pt idx="145">
                  <c:v>-1.0300751202101817E-2</c:v>
                </c:pt>
                <c:pt idx="146">
                  <c:v>4.1663069910752798E-3</c:v>
                </c:pt>
                <c:pt idx="147">
                  <c:v>1.6616478726241028E-3</c:v>
                </c:pt>
                <c:pt idx="148">
                  <c:v>8.5965451914703454E-3</c:v>
                </c:pt>
                <c:pt idx="149">
                  <c:v>-4.6196894266072042E-3</c:v>
                </c:pt>
                <c:pt idx="150">
                  <c:v>3.3072101581254086E-4</c:v>
                </c:pt>
                <c:pt idx="151">
                  <c:v>-1.4890065620656438E-3</c:v>
                </c:pt>
                <c:pt idx="152">
                  <c:v>2.3152310191375206E-3</c:v>
                </c:pt>
                <c:pt idx="153">
                  <c:v>8.0612064628980545E-3</c:v>
                </c:pt>
                <c:pt idx="154">
                  <c:v>2.4548076667502516E-3</c:v>
                </c:pt>
                <c:pt idx="155">
                  <c:v>-8.2061974569752581E-3</c:v>
                </c:pt>
                <c:pt idx="156">
                  <c:v>-8.7726750393700287E-3</c:v>
                </c:pt>
                <c:pt idx="157">
                  <c:v>-5.3342326889105063E-3</c:v>
                </c:pt>
                <c:pt idx="158">
                  <c:v>-8.8979314726668046E-3</c:v>
                </c:pt>
                <c:pt idx="159">
                  <c:v>3.5350412795235415E-3</c:v>
                </c:pt>
                <c:pt idx="160">
                  <c:v>-4.0410882798711488E-3</c:v>
                </c:pt>
                <c:pt idx="161">
                  <c:v>7.5637276739742845E-3</c:v>
                </c:pt>
                <c:pt idx="162">
                  <c:v>-1.348640955626019E-2</c:v>
                </c:pt>
                <c:pt idx="163">
                  <c:v>2.2039331166826617E-3</c:v>
                </c:pt>
                <c:pt idx="164">
                  <c:v>-1.3125590939175541E-2</c:v>
                </c:pt>
                <c:pt idx="165">
                  <c:v>-2.4050333635455131E-3</c:v>
                </c:pt>
                <c:pt idx="166">
                  <c:v>-1.3769359849297128E-3</c:v>
                </c:pt>
                <c:pt idx="167">
                  <c:v>7.7206836858722564E-3</c:v>
                </c:pt>
                <c:pt idx="168">
                  <c:v>6.8132245978021052E-3</c:v>
                </c:pt>
                <c:pt idx="169">
                  <c:v>2.1162958107073866E-2</c:v>
                </c:pt>
                <c:pt idx="170">
                  <c:v>6.2956618817539729E-3</c:v>
                </c:pt>
                <c:pt idx="171">
                  <c:v>1.4852540987510795E-3</c:v>
                </c:pt>
                <c:pt idx="172">
                  <c:v>1.4895089026447495E-2</c:v>
                </c:pt>
                <c:pt idx="173">
                  <c:v>3.082230575187468E-3</c:v>
                </c:pt>
                <c:pt idx="174">
                  <c:v>0</c:v>
                </c:pt>
                <c:pt idx="175">
                  <c:v>4.8472846158211921E-3</c:v>
                </c:pt>
                <c:pt idx="176">
                  <c:v>-4.3615431401830369E-3</c:v>
                </c:pt>
                <c:pt idx="177">
                  <c:v>2.5869042305606007E-3</c:v>
                </c:pt>
                <c:pt idx="178">
                  <c:v>9.683988994642935E-4</c:v>
                </c:pt>
                <c:pt idx="179">
                  <c:v>2.8994529241732746E-3</c:v>
                </c:pt>
                <c:pt idx="180">
                  <c:v>2.8910542328630683E-3</c:v>
                </c:pt>
                <c:pt idx="181">
                  <c:v>4.3210584019733201E-3</c:v>
                </c:pt>
                <c:pt idx="182">
                  <c:v>3.666217842342803E-3</c:v>
                </c:pt>
                <c:pt idx="183">
                  <c:v>4.7729304993157585E-4</c:v>
                </c:pt>
                <c:pt idx="184">
                  <c:v>6.0250352963449492E-3</c:v>
                </c:pt>
                <c:pt idx="185">
                  <c:v>5.0457831514656758E-3</c:v>
                </c:pt>
                <c:pt idx="186">
                  <c:v>-7.578230471947678E-3</c:v>
                </c:pt>
                <c:pt idx="187">
                  <c:v>4.7533860586955039E-4</c:v>
                </c:pt>
                <c:pt idx="188">
                  <c:v>3.0051413878821489E-3</c:v>
                </c:pt>
                <c:pt idx="189">
                  <c:v>-4.5904615610439566E-3</c:v>
                </c:pt>
                <c:pt idx="190">
                  <c:v>-7.3248867997968373E-3</c:v>
                </c:pt>
                <c:pt idx="191">
                  <c:v>5.4192175886679812E-3</c:v>
                </c:pt>
                <c:pt idx="192">
                  <c:v>1.4295762641888972E-3</c:v>
                </c:pt>
                <c:pt idx="193">
                  <c:v>-1.454975939193497E-2</c:v>
                </c:pt>
                <c:pt idx="194">
                  <c:v>-1.4505435120728959E-3</c:v>
                </c:pt>
                <c:pt idx="195">
                  <c:v>-2.907479760967422E-3</c:v>
                </c:pt>
                <c:pt idx="196">
                  <c:v>-1.9429887302046369E-3</c:v>
                </c:pt>
                <c:pt idx="197">
                  <c:v>4.3664643547632167E-3</c:v>
                </c:pt>
                <c:pt idx="198">
                  <c:v>1.537262663889283E-2</c:v>
                </c:pt>
                <c:pt idx="199">
                  <c:v>0</c:v>
                </c:pt>
                <c:pt idx="200">
                  <c:v>1.5922092232906072E-2</c:v>
                </c:pt>
                <c:pt idx="201">
                  <c:v>-3.1287359214828865E-4</c:v>
                </c:pt>
                <c:pt idx="202">
                  <c:v>3.5918669636785371E-3</c:v>
                </c:pt>
                <c:pt idx="203">
                  <c:v>-3.748245865629597E-3</c:v>
                </c:pt>
                <c:pt idx="204">
                  <c:v>-5.0196004719991047E-3</c:v>
                </c:pt>
                <c:pt idx="205">
                  <c:v>-6.2929080548693986E-4</c:v>
                </c:pt>
                <c:pt idx="206">
                  <c:v>-1.0598781521427382E-2</c:v>
                </c:pt>
                <c:pt idx="207">
                  <c:v>1.7478507559406556E-3</c:v>
                </c:pt>
                <c:pt idx="208">
                  <c:v>7.1958738958610062E-4</c:v>
                </c:pt>
                <c:pt idx="209">
                  <c:v>1.1184790032108326E-3</c:v>
                </c:pt>
                <c:pt idx="210">
                  <c:v>1.5971257518978638E-4</c:v>
                </c:pt>
                <c:pt idx="211">
                  <c:v>-7.2110078735026766E-3</c:v>
                </c:pt>
                <c:pt idx="212">
                  <c:v>9.443847698832648E-3</c:v>
                </c:pt>
                <c:pt idx="213">
                  <c:v>1.8936986764933515E-2</c:v>
                </c:pt>
                <c:pt idx="214">
                  <c:v>-2.0342859528205111E-3</c:v>
                </c:pt>
                <c:pt idx="215">
                  <c:v>3.2841220395962312E-3</c:v>
                </c:pt>
                <c:pt idx="216">
                  <c:v>-2.1882315189594016E-3</c:v>
                </c:pt>
                <c:pt idx="217">
                  <c:v>-4.0764872369371159E-3</c:v>
                </c:pt>
                <c:pt idx="218">
                  <c:v>-5.8300487686362692E-3</c:v>
                </c:pt>
                <c:pt idx="219">
                  <c:v>-2.0564271894918324E-3</c:v>
                </c:pt>
                <c:pt idx="220">
                  <c:v>2.8463016418229037E-3</c:v>
                </c:pt>
                <c:pt idx="221">
                  <c:v>6.7668210053826762E-3</c:v>
                </c:pt>
                <c:pt idx="222">
                  <c:v>-1.2626414888283227E-2</c:v>
                </c:pt>
                <c:pt idx="223">
                  <c:v>-4.2976588916777241E-3</c:v>
                </c:pt>
                <c:pt idx="224">
                  <c:v>2.2307689124128954E-3</c:v>
                </c:pt>
                <c:pt idx="225">
                  <c:v>4.2880396046633875E-3</c:v>
                </c:pt>
                <c:pt idx="226">
                  <c:v>9.4638404252588466E-3</c:v>
                </c:pt>
                <c:pt idx="227">
                  <c:v>-4.563000564764429E-3</c:v>
                </c:pt>
                <c:pt idx="228">
                  <c:v>1.3471334993176645E-2</c:v>
                </c:pt>
                <c:pt idx="229">
                  <c:v>1.4519903364922418E-2</c:v>
                </c:pt>
                <c:pt idx="230">
                  <c:v>-3.067024540397419E-4</c:v>
                </c:pt>
                <c:pt idx="231">
                  <c:v>1.5327868988235308E-3</c:v>
                </c:pt>
                <c:pt idx="232">
                  <c:v>-7.9964136377382936E-3</c:v>
                </c:pt>
                <c:pt idx="233">
                  <c:v>2.9291935822486634E-3</c:v>
                </c:pt>
                <c:pt idx="234">
                  <c:v>1.3000091618175304E-2</c:v>
                </c:pt>
                <c:pt idx="235">
                  <c:v>3.943013964285107E-3</c:v>
                </c:pt>
                <c:pt idx="236">
                  <c:v>1.4723868428621712E-2</c:v>
                </c:pt>
                <c:pt idx="237">
                  <c:v>-3.2865430207580882E-3</c:v>
                </c:pt>
                <c:pt idx="238">
                  <c:v>1.2638603848310002E-2</c:v>
                </c:pt>
                <c:pt idx="239">
                  <c:v>-1.3986271941776691E-2</c:v>
                </c:pt>
                <c:pt idx="240">
                  <c:v>1.8114838733001931E-2</c:v>
                </c:pt>
                <c:pt idx="241">
                  <c:v>1.9958459712746134E-2</c:v>
                </c:pt>
                <c:pt idx="242">
                  <c:v>-1.7900558015048668E-2</c:v>
                </c:pt>
                <c:pt idx="243">
                  <c:v>-7.3441060418495512E-4</c:v>
                </c:pt>
                <c:pt idx="244">
                  <c:v>6.0068453122636119E-3</c:v>
                </c:pt>
                <c:pt idx="245">
                  <c:v>3.9362102876051566E-3</c:v>
                </c:pt>
                <c:pt idx="246">
                  <c:v>-7.2779275329949461E-4</c:v>
                </c:pt>
                <c:pt idx="247">
                  <c:v>-7.4534799929999399E-3</c:v>
                </c:pt>
                <c:pt idx="248">
                  <c:v>4.2450624586943594E-3</c:v>
                </c:pt>
                <c:pt idx="249">
                  <c:v>1.751357702825767E-3</c:v>
                </c:pt>
                <c:pt idx="250">
                  <c:v>1.0201851494693278E-3</c:v>
                </c:pt>
                <c:pt idx="251">
                  <c:v>7.6906421617582866E-3</c:v>
                </c:pt>
              </c:numCache>
            </c:numRef>
          </c:val>
          <c:smooth val="0"/>
          <c:extLst>
            <c:ext xmlns:c16="http://schemas.microsoft.com/office/drawing/2014/chart" uri="{C3380CC4-5D6E-409C-BE32-E72D297353CC}">
              <c16:uniqueId val="{00000001-CAD7-0B4E-99CE-0E9C551FF01C}"/>
            </c:ext>
          </c:extLst>
        </c:ser>
        <c:ser>
          <c:idx val="2"/>
          <c:order val="2"/>
          <c:tx>
            <c:strRef>
              <c:f>Retorno!$H$1:$H$2</c:f>
              <c:strCache>
                <c:ptCount val="2"/>
                <c:pt idx="0">
                  <c:v>Retornos Continuos</c:v>
                </c:pt>
                <c:pt idx="1">
                  <c:v>JPMorgan</c:v>
                </c:pt>
              </c:strCache>
            </c:strRef>
          </c:tx>
          <c:spPr>
            <a:ln w="0" cap="rnd">
              <a:solidFill>
                <a:schemeClr val="accent3"/>
              </a:solidFill>
              <a:round/>
            </a:ln>
            <a:effectLst/>
          </c:spPr>
          <c:marker>
            <c:symbol val="none"/>
          </c:marker>
          <c:val>
            <c:numRef>
              <c:f>Retorno!$H$3:$H$254</c:f>
              <c:numCache>
                <c:formatCode>0.000%</c:formatCode>
                <c:ptCount val="252"/>
                <c:pt idx="0">
                  <c:v>-1.0441079130812173E-2</c:v>
                </c:pt>
                <c:pt idx="1">
                  <c:v>2.2848847647558819E-3</c:v>
                </c:pt>
                <c:pt idx="2">
                  <c:v>3.4177360836862881E-3</c:v>
                </c:pt>
                <c:pt idx="3">
                  <c:v>-2.0956622133486116E-2</c:v>
                </c:pt>
                <c:pt idx="4">
                  <c:v>6.740365503857486E-3</c:v>
                </c:pt>
                <c:pt idx="5">
                  <c:v>-9.5044774711671462E-4</c:v>
                </c:pt>
                <c:pt idx="6">
                  <c:v>-1.2233201758554283E-3</c:v>
                </c:pt>
                <c:pt idx="7">
                  <c:v>3.4622835952314748E-3</c:v>
                </c:pt>
                <c:pt idx="8">
                  <c:v>8.0993210507113115E-3</c:v>
                </c:pt>
                <c:pt idx="9">
                  <c:v>-4.0415125667635282E-3</c:v>
                </c:pt>
                <c:pt idx="10">
                  <c:v>-1.2428386047596607E-2</c:v>
                </c:pt>
                <c:pt idx="11">
                  <c:v>3.3430239573994255E-3</c:v>
                </c:pt>
                <c:pt idx="12">
                  <c:v>-1.1095405596341172E-2</c:v>
                </c:pt>
                <c:pt idx="13">
                  <c:v>-1.65396632304482E-3</c:v>
                </c:pt>
                <c:pt idx="14">
                  <c:v>-8.5911179492632866E-3</c:v>
                </c:pt>
                <c:pt idx="15">
                  <c:v>7.6518323838956222E-4</c:v>
                </c:pt>
                <c:pt idx="16">
                  <c:v>4.3706422775577902E-3</c:v>
                </c:pt>
                <c:pt idx="17">
                  <c:v>1.2930049259339658E-2</c:v>
                </c:pt>
                <c:pt idx="18">
                  <c:v>4.7822692080471709E-4</c:v>
                </c:pt>
                <c:pt idx="19">
                  <c:v>1.9211775011975799E-2</c:v>
                </c:pt>
                <c:pt idx="20">
                  <c:v>-2.9524998063902006E-3</c:v>
                </c:pt>
                <c:pt idx="21">
                  <c:v>2.081060219182381E-3</c:v>
                </c:pt>
                <c:pt idx="22">
                  <c:v>-1.2750275394505101E-3</c:v>
                </c:pt>
                <c:pt idx="23">
                  <c:v>-4.2389693184284203E-3</c:v>
                </c:pt>
                <c:pt idx="24">
                  <c:v>-7.8527809774467452E-3</c:v>
                </c:pt>
                <c:pt idx="25">
                  <c:v>-9.6290710303040105E-3</c:v>
                </c:pt>
                <c:pt idx="26">
                  <c:v>4.9286703199951359E-3</c:v>
                </c:pt>
                <c:pt idx="27">
                  <c:v>-1.0433243353410393E-2</c:v>
                </c:pt>
                <c:pt idx="28">
                  <c:v>5.8476760566381946E-3</c:v>
                </c:pt>
                <c:pt idx="29">
                  <c:v>1.2339652914118577E-2</c:v>
                </c:pt>
                <c:pt idx="30">
                  <c:v>-1.7566587699048578E-2</c:v>
                </c:pt>
                <c:pt idx="31">
                  <c:v>-8.6567488859623613E-3</c:v>
                </c:pt>
                <c:pt idx="32">
                  <c:v>-7.4001160534839551E-3</c:v>
                </c:pt>
                <c:pt idx="33">
                  <c:v>4.4743812840926343E-3</c:v>
                </c:pt>
                <c:pt idx="34">
                  <c:v>4.2075901542361687E-3</c:v>
                </c:pt>
                <c:pt idx="35">
                  <c:v>1.5278133083516892E-2</c:v>
                </c:pt>
                <c:pt idx="36">
                  <c:v>-2.2767875931944174E-3</c:v>
                </c:pt>
                <c:pt idx="37">
                  <c:v>6.0600170693245765E-3</c:v>
                </c:pt>
                <c:pt idx="38">
                  <c:v>3.4271245700145075E-3</c:v>
                </c:pt>
                <c:pt idx="39">
                  <c:v>-2.3292037153074849E-3</c:v>
                </c:pt>
                <c:pt idx="40">
                  <c:v>1.490802752612275E-2</c:v>
                </c:pt>
                <c:pt idx="41">
                  <c:v>-1.0140315442376808E-3</c:v>
                </c:pt>
                <c:pt idx="42">
                  <c:v>-2.1668112665697982E-3</c:v>
                </c:pt>
                <c:pt idx="43">
                  <c:v>-1.1041381345434621E-2</c:v>
                </c:pt>
                <c:pt idx="44">
                  <c:v>-4.2583678361532767E-3</c:v>
                </c:pt>
                <c:pt idx="45">
                  <c:v>-1.623677213768495E-2</c:v>
                </c:pt>
                <c:pt idx="46">
                  <c:v>-1.3735076896956099E-2</c:v>
                </c:pt>
                <c:pt idx="47">
                  <c:v>1.2049500256252955E-3</c:v>
                </c:pt>
                <c:pt idx="48">
                  <c:v>-5.4694749611117069E-3</c:v>
                </c:pt>
                <c:pt idx="49">
                  <c:v>2.5609400579485304E-3</c:v>
                </c:pt>
                <c:pt idx="50">
                  <c:v>-3.6683337928199083E-2</c:v>
                </c:pt>
                <c:pt idx="51">
                  <c:v>1.26689866257148E-2</c:v>
                </c:pt>
                <c:pt idx="52">
                  <c:v>1.1863603111821981E-2</c:v>
                </c:pt>
                <c:pt idx="53">
                  <c:v>-8.6331287395108823E-4</c:v>
                </c:pt>
                <c:pt idx="54">
                  <c:v>1.7691845912209535E-2</c:v>
                </c:pt>
                <c:pt idx="55">
                  <c:v>1.1110587455196269E-2</c:v>
                </c:pt>
                <c:pt idx="56">
                  <c:v>7.5241008178584595E-3</c:v>
                </c:pt>
                <c:pt idx="57">
                  <c:v>-4.8618261899616047E-4</c:v>
                </c:pt>
                <c:pt idx="58">
                  <c:v>4.9183358399554396E-3</c:v>
                </c:pt>
                <c:pt idx="59">
                  <c:v>-2.9757978020443572E-3</c:v>
                </c:pt>
                <c:pt idx="60">
                  <c:v>1.4722279452399911E-2</c:v>
                </c:pt>
                <c:pt idx="61">
                  <c:v>-4.4488788474790633E-3</c:v>
                </c:pt>
                <c:pt idx="62">
                  <c:v>1.8082265985749042E-2</c:v>
                </c:pt>
                <c:pt idx="63">
                  <c:v>8.7197537313942614E-3</c:v>
                </c:pt>
                <c:pt idx="64">
                  <c:v>1.1355018101563337E-2</c:v>
                </c:pt>
                <c:pt idx="65">
                  <c:v>9.0052481102475771E-3</c:v>
                </c:pt>
                <c:pt idx="66">
                  <c:v>3.0707044771690309E-3</c:v>
                </c:pt>
                <c:pt idx="67">
                  <c:v>-2.089635023942204E-3</c:v>
                </c:pt>
                <c:pt idx="68">
                  <c:v>2.3505409404632072E-3</c:v>
                </c:pt>
                <c:pt idx="69">
                  <c:v>1.3685641523619864E-3</c:v>
                </c:pt>
                <c:pt idx="70">
                  <c:v>-2.2819464710573719E-3</c:v>
                </c:pt>
                <c:pt idx="71">
                  <c:v>2.2819464710573632E-3</c:v>
                </c:pt>
                <c:pt idx="72">
                  <c:v>5.0673693523613879E-3</c:v>
                </c:pt>
                <c:pt idx="73">
                  <c:v>1.1340267252648781E-2</c:v>
                </c:pt>
                <c:pt idx="74">
                  <c:v>4.857594182652576E-3</c:v>
                </c:pt>
                <c:pt idx="75">
                  <c:v>7.3054908777762974E-3</c:v>
                </c:pt>
                <c:pt idx="76">
                  <c:v>-1.266031176191559E-4</c:v>
                </c:pt>
                <c:pt idx="77">
                  <c:v>-1.0563861768930536E-2</c:v>
                </c:pt>
                <c:pt idx="78">
                  <c:v>3.0661278355592595E-3</c:v>
                </c:pt>
                <c:pt idx="79">
                  <c:v>1.0973473354382132E-2</c:v>
                </c:pt>
                <c:pt idx="80">
                  <c:v>3.6521773139312004E-3</c:v>
                </c:pt>
                <c:pt idx="81">
                  <c:v>8.8855459657744724E-3</c:v>
                </c:pt>
                <c:pt idx="82">
                  <c:v>3.3584282184013106E-3</c:v>
                </c:pt>
                <c:pt idx="83">
                  <c:v>1.8028547888701854E-2</c:v>
                </c:pt>
                <c:pt idx="84">
                  <c:v>7.5329194945627474E-3</c:v>
                </c:pt>
                <c:pt idx="85">
                  <c:v>6.0338573294274594E-3</c:v>
                </c:pt>
                <c:pt idx="86">
                  <c:v>1.3266549902395489E-2</c:v>
                </c:pt>
                <c:pt idx="87">
                  <c:v>-1.1343350930772851E-2</c:v>
                </c:pt>
                <c:pt idx="88">
                  <c:v>5.6878079343058051E-3</c:v>
                </c:pt>
                <c:pt idx="89">
                  <c:v>-5.9719768106862266E-4</c:v>
                </c:pt>
                <c:pt idx="90">
                  <c:v>5.8965836558493075E-3</c:v>
                </c:pt>
                <c:pt idx="91">
                  <c:v>5.9800808714544585E-3</c:v>
                </c:pt>
                <c:pt idx="92">
                  <c:v>5.2989165247204857E-3</c:v>
                </c:pt>
                <c:pt idx="93">
                  <c:v>-1.1751806513597941E-3</c:v>
                </c:pt>
                <c:pt idx="94">
                  <c:v>1.1573020195509662E-2</c:v>
                </c:pt>
                <c:pt idx="95">
                  <c:v>-4.3679752008790812E-3</c:v>
                </c:pt>
                <c:pt idx="96">
                  <c:v>6.6141593258210608E-3</c:v>
                </c:pt>
                <c:pt idx="97">
                  <c:v>5.0046366419241994E-3</c:v>
                </c:pt>
                <c:pt idx="98">
                  <c:v>-1.4521496056958624E-3</c:v>
                </c:pt>
                <c:pt idx="99">
                  <c:v>-7.9374988566027482E-3</c:v>
                </c:pt>
                <c:pt idx="100">
                  <c:v>2.1072476150256008E-3</c:v>
                </c:pt>
                <c:pt idx="101">
                  <c:v>-4.2189451011928857E-3</c:v>
                </c:pt>
                <c:pt idx="102">
                  <c:v>-7.3671383000021009E-3</c:v>
                </c:pt>
                <c:pt idx="103">
                  <c:v>-6.2900128628262742E-3</c:v>
                </c:pt>
                <c:pt idx="104">
                  <c:v>-5.371937640172391E-3</c:v>
                </c:pt>
                <c:pt idx="105">
                  <c:v>1.9731308295413211E-3</c:v>
                </c:pt>
                <c:pt idx="106">
                  <c:v>1.7114591700558776E-2</c:v>
                </c:pt>
                <c:pt idx="107">
                  <c:v>-1.1749870658817193E-3</c:v>
                </c:pt>
                <c:pt idx="108">
                  <c:v>-6.605698786174531E-3</c:v>
                </c:pt>
                <c:pt idx="109">
                  <c:v>8.8957289910188905E-3</c:v>
                </c:pt>
                <c:pt idx="110">
                  <c:v>1.4209382167514918E-2</c:v>
                </c:pt>
                <c:pt idx="111">
                  <c:v>-3.8235737207052796E-3</c:v>
                </c:pt>
                <c:pt idx="112">
                  <c:v>2.608569026138582E-3</c:v>
                </c:pt>
                <c:pt idx="113">
                  <c:v>2.0287319345977977E-2</c:v>
                </c:pt>
                <c:pt idx="114">
                  <c:v>-1.0894867940747696E-2</c:v>
                </c:pt>
                <c:pt idx="115">
                  <c:v>-3.6197520984293389E-3</c:v>
                </c:pt>
                <c:pt idx="116">
                  <c:v>5.7395664242008678E-3</c:v>
                </c:pt>
                <c:pt idx="117">
                  <c:v>-1.3171600244696804E-3</c:v>
                </c:pt>
                <c:pt idx="118">
                  <c:v>3.4324844651034197E-3</c:v>
                </c:pt>
                <c:pt idx="119">
                  <c:v>1.8827811992427708E-3</c:v>
                </c:pt>
                <c:pt idx="120">
                  <c:v>-3.5975477957779409E-3</c:v>
                </c:pt>
                <c:pt idx="121">
                  <c:v>1.200619285424928E-3</c:v>
                </c:pt>
                <c:pt idx="122">
                  <c:v>4.4469325058092328E-3</c:v>
                </c:pt>
                <c:pt idx="123">
                  <c:v>-8.7416423305419957E-3</c:v>
                </c:pt>
                <c:pt idx="124">
                  <c:v>1.0105957663276266E-2</c:v>
                </c:pt>
                <c:pt idx="125">
                  <c:v>2.1580013672744289E-2</c:v>
                </c:pt>
                <c:pt idx="126">
                  <c:v>-4.6810314347300336E-3</c:v>
                </c:pt>
                <c:pt idx="127">
                  <c:v>3.9023496044056838E-3</c:v>
                </c:pt>
                <c:pt idx="128">
                  <c:v>6.4887245296995355E-3</c:v>
                </c:pt>
                <c:pt idx="129">
                  <c:v>1.1924178761792791E-2</c:v>
                </c:pt>
                <c:pt idx="130">
                  <c:v>5.0128845481506338E-3</c:v>
                </c:pt>
                <c:pt idx="131">
                  <c:v>-3.4300521667624483E-3</c:v>
                </c:pt>
                <c:pt idx="132">
                  <c:v>4.9073938927271261E-4</c:v>
                </c:pt>
                <c:pt idx="133">
                  <c:v>5.0566859458387667E-3</c:v>
                </c:pt>
                <c:pt idx="134">
                  <c:v>9.0702909341080495E-3</c:v>
                </c:pt>
                <c:pt idx="135">
                  <c:v>-4.1470699285579005E-3</c:v>
                </c:pt>
                <c:pt idx="136">
                  <c:v>7.4737850456217817E-3</c:v>
                </c:pt>
                <c:pt idx="137">
                  <c:v>9.9673658093087422E-3</c:v>
                </c:pt>
                <c:pt idx="138">
                  <c:v>5.1841067662975826E-3</c:v>
                </c:pt>
                <c:pt idx="139">
                  <c:v>-8.7971014039722271E-3</c:v>
                </c:pt>
                <c:pt idx="140">
                  <c:v>1.8612639482236896E-3</c:v>
                </c:pt>
                <c:pt idx="141">
                  <c:v>3.7176867835657829E-4</c:v>
                </c:pt>
                <c:pt idx="142">
                  <c:v>8.1983530120362299E-3</c:v>
                </c:pt>
                <c:pt idx="143">
                  <c:v>8.079352123651724E-3</c:v>
                </c:pt>
                <c:pt idx="144">
                  <c:v>-1.7978656730612674E-2</c:v>
                </c:pt>
                <c:pt idx="145">
                  <c:v>1.2319503083121451E-2</c:v>
                </c:pt>
                <c:pt idx="146">
                  <c:v>1.2325227911982373E-2</c:v>
                </c:pt>
                <c:pt idx="147">
                  <c:v>5.8480844115032697E-3</c:v>
                </c:pt>
                <c:pt idx="148">
                  <c:v>1.3021806957661381E-2</c:v>
                </c:pt>
                <c:pt idx="149">
                  <c:v>1.3809332358761774E-2</c:v>
                </c:pt>
                <c:pt idx="150">
                  <c:v>-1.2333324609694349E-2</c:v>
                </c:pt>
                <c:pt idx="151">
                  <c:v>-9.1968412694247506E-3</c:v>
                </c:pt>
                <c:pt idx="152">
                  <c:v>4.6600093568763086E-3</c:v>
                </c:pt>
                <c:pt idx="153">
                  <c:v>1.9178381247547345E-2</c:v>
                </c:pt>
                <c:pt idx="154">
                  <c:v>3.9017948330012063E-3</c:v>
                </c:pt>
                <c:pt idx="155">
                  <c:v>-6.8129855912890617E-3</c:v>
                </c:pt>
                <c:pt idx="156">
                  <c:v>-4.0223368324664339E-4</c:v>
                </c:pt>
                <c:pt idx="157">
                  <c:v>-2.8200016753762752E-3</c:v>
                </c:pt>
                <c:pt idx="158">
                  <c:v>-7.637567148412871E-3</c:v>
                </c:pt>
                <c:pt idx="159">
                  <c:v>9.1580546261534317E-3</c:v>
                </c:pt>
                <c:pt idx="160">
                  <c:v>5.202946011474462E-3</c:v>
                </c:pt>
                <c:pt idx="161">
                  <c:v>-6.7235150953914692E-3</c:v>
                </c:pt>
                <c:pt idx="162">
                  <c:v>-8.557882737226321E-3</c:v>
                </c:pt>
                <c:pt idx="163">
                  <c:v>-2.0473527315899678E-4</c:v>
                </c:pt>
                <c:pt idx="164">
                  <c:v>-6.6864291458487934E-2</c:v>
                </c:pt>
                <c:pt idx="165">
                  <c:v>5.4697060967347623E-4</c:v>
                </c:pt>
                <c:pt idx="166">
                  <c:v>-1.1493392825475091E-2</c:v>
                </c:pt>
                <c:pt idx="167">
                  <c:v>-3.9902601949420831E-3</c:v>
                </c:pt>
                <c:pt idx="168">
                  <c:v>6.4760434973849422E-3</c:v>
                </c:pt>
                <c:pt idx="169">
                  <c:v>2.4793566191605932E-2</c:v>
                </c:pt>
                <c:pt idx="170">
                  <c:v>1.9243130694284457E-2</c:v>
                </c:pt>
                <c:pt idx="171">
                  <c:v>1.4310268539026554E-2</c:v>
                </c:pt>
                <c:pt idx="172">
                  <c:v>4.8803897357337367E-3</c:v>
                </c:pt>
                <c:pt idx="173">
                  <c:v>1.500784386497234E-3</c:v>
                </c:pt>
                <c:pt idx="174">
                  <c:v>6.2045885918183598E-4</c:v>
                </c:pt>
                <c:pt idx="175">
                  <c:v>-1.0859387138235847E-3</c:v>
                </c:pt>
                <c:pt idx="176">
                  <c:v>-7.9996022089060346E-3</c:v>
                </c:pt>
                <c:pt idx="177">
                  <c:v>6.2565312240965142E-4</c:v>
                </c:pt>
                <c:pt idx="178">
                  <c:v>-1.0429762752333207E-3</c:v>
                </c:pt>
                <c:pt idx="179">
                  <c:v>-6.0183515082071516E-3</c:v>
                </c:pt>
                <c:pt idx="180">
                  <c:v>7.7907210062601899E-3</c:v>
                </c:pt>
                <c:pt idx="181">
                  <c:v>-1.3029561227812455E-3</c:v>
                </c:pt>
                <c:pt idx="182">
                  <c:v>2.0134915133947339E-2</c:v>
                </c:pt>
                <c:pt idx="183">
                  <c:v>9.4112742907778765E-3</c:v>
                </c:pt>
                <c:pt idx="184">
                  <c:v>6.4097849393042125E-3</c:v>
                </c:pt>
                <c:pt idx="185">
                  <c:v>-2.0125493872400897E-4</c:v>
                </c:pt>
                <c:pt idx="186">
                  <c:v>1.3891880096165623E-2</c:v>
                </c:pt>
                <c:pt idx="187">
                  <c:v>2.9731023414911141E-3</c:v>
                </c:pt>
                <c:pt idx="188">
                  <c:v>1.7796277524522572E-3</c:v>
                </c:pt>
                <c:pt idx="189">
                  <c:v>1.1393284747523526E-2</c:v>
                </c:pt>
                <c:pt idx="190">
                  <c:v>-4.6015528245516947E-2</c:v>
                </c:pt>
                <c:pt idx="191">
                  <c:v>1.9944982273812171E-2</c:v>
                </c:pt>
                <c:pt idx="192">
                  <c:v>-6.0830483624738684E-3</c:v>
                </c:pt>
                <c:pt idx="193">
                  <c:v>-7.0339066105817626E-3</c:v>
                </c:pt>
                <c:pt idx="194">
                  <c:v>1.9063546062445577E-2</c:v>
                </c:pt>
                <c:pt idx="195">
                  <c:v>-6.0468730383955328E-3</c:v>
                </c:pt>
                <c:pt idx="196">
                  <c:v>-6.99180300416376E-3</c:v>
                </c:pt>
                <c:pt idx="197">
                  <c:v>6.1393658971166812E-3</c:v>
                </c:pt>
                <c:pt idx="198">
                  <c:v>1.6419907185533298E-2</c:v>
                </c:pt>
                <c:pt idx="199">
                  <c:v>-4.0053977401266682E-3</c:v>
                </c:pt>
                <c:pt idx="200">
                  <c:v>-1.3267754604042227E-2</c:v>
                </c:pt>
                <c:pt idx="201">
                  <c:v>-9.5859227382981537E-3</c:v>
                </c:pt>
                <c:pt idx="202">
                  <c:v>-1.7757906147097171E-3</c:v>
                </c:pt>
                <c:pt idx="203">
                  <c:v>1.5320518573155651E-2</c:v>
                </c:pt>
                <c:pt idx="204">
                  <c:v>-1.7018402117130581E-3</c:v>
                </c:pt>
                <c:pt idx="205">
                  <c:v>-2.6653349995766375E-2</c:v>
                </c:pt>
                <c:pt idx="206">
                  <c:v>-1.4667664855327797E-2</c:v>
                </c:pt>
                <c:pt idx="207">
                  <c:v>1.1059628683795456E-2</c:v>
                </c:pt>
                <c:pt idx="208">
                  <c:v>6.1937429460877716E-4</c:v>
                </c:pt>
                <c:pt idx="209">
                  <c:v>6.1735082056717516E-3</c:v>
                </c:pt>
                <c:pt idx="210">
                  <c:v>1.030672096955205E-2</c:v>
                </c:pt>
                <c:pt idx="211">
                  <c:v>8.4414315435738397E-3</c:v>
                </c:pt>
                <c:pt idx="212">
                  <c:v>-1.2001025271443897E-2</c:v>
                </c:pt>
                <c:pt idx="213">
                  <c:v>1.305751761044515E-2</c:v>
                </c:pt>
                <c:pt idx="214">
                  <c:v>-4.0810762745116238E-3</c:v>
                </c:pt>
                <c:pt idx="215">
                  <c:v>-3.2364976607338002E-3</c:v>
                </c:pt>
                <c:pt idx="216">
                  <c:v>8.7746980951394233E-3</c:v>
                </c:pt>
                <c:pt idx="217">
                  <c:v>1.5395245178859948E-2</c:v>
                </c:pt>
                <c:pt idx="218">
                  <c:v>1.5648710168294964E-2</c:v>
                </c:pt>
                <c:pt idx="219">
                  <c:v>1.6317826996333985E-2</c:v>
                </c:pt>
                <c:pt idx="220">
                  <c:v>-6.7059033946733737E-4</c:v>
                </c:pt>
                <c:pt idx="221">
                  <c:v>-1.3339105875401823E-2</c:v>
                </c:pt>
                <c:pt idx="222">
                  <c:v>1.8538643632364745E-3</c:v>
                </c:pt>
                <c:pt idx="223">
                  <c:v>1.1918779573079451E-2</c:v>
                </c:pt>
                <c:pt idx="224">
                  <c:v>8.1841949890559102E-4</c:v>
                </c:pt>
                <c:pt idx="225">
                  <c:v>-1.6857607845247413E-3</c:v>
                </c:pt>
                <c:pt idx="226">
                  <c:v>-1.2173069187035165E-2</c:v>
                </c:pt>
                <c:pt idx="227">
                  <c:v>2.4628348767179134E-2</c:v>
                </c:pt>
                <c:pt idx="228">
                  <c:v>1.6853100357796223E-2</c:v>
                </c:pt>
                <c:pt idx="229">
                  <c:v>1.5099360369527649E-2</c:v>
                </c:pt>
                <c:pt idx="230">
                  <c:v>-3.2285803587666854E-2</c:v>
                </c:pt>
                <c:pt idx="231">
                  <c:v>-9.5291127080258486E-4</c:v>
                </c:pt>
                <c:pt idx="232">
                  <c:v>2.3806134291241197E-3</c:v>
                </c:pt>
                <c:pt idx="233">
                  <c:v>2.3776420016967354E-4</c:v>
                </c:pt>
                <c:pt idx="234">
                  <c:v>-8.307151793191617E-3</c:v>
                </c:pt>
                <c:pt idx="235">
                  <c:v>3.8346355812063522E-4</c:v>
                </c:pt>
                <c:pt idx="236">
                  <c:v>1.6963686226937915E-2</c:v>
                </c:pt>
                <c:pt idx="237">
                  <c:v>-6.5707247389028478E-3</c:v>
                </c:pt>
                <c:pt idx="238">
                  <c:v>2.0374359451747755E-2</c:v>
                </c:pt>
                <c:pt idx="239">
                  <c:v>-1.1168596535331227E-2</c:v>
                </c:pt>
                <c:pt idx="240">
                  <c:v>-2.300698438939985E-2</c:v>
                </c:pt>
                <c:pt idx="241">
                  <c:v>-4.3337697237488322E-2</c:v>
                </c:pt>
                <c:pt idx="242">
                  <c:v>-2.1521514209848672E-2</c:v>
                </c:pt>
                <c:pt idx="243">
                  <c:v>2.7529327489063685E-2</c:v>
                </c:pt>
                <c:pt idx="244">
                  <c:v>2.9943605302915484E-4</c:v>
                </c:pt>
                <c:pt idx="245">
                  <c:v>1.8098719175530638E-2</c:v>
                </c:pt>
                <c:pt idx="246">
                  <c:v>8.4907795310884548E-3</c:v>
                </c:pt>
                <c:pt idx="247">
                  <c:v>1.8932455242062468E-3</c:v>
                </c:pt>
                <c:pt idx="248">
                  <c:v>8.4515026665683331E-3</c:v>
                </c:pt>
                <c:pt idx="249">
                  <c:v>1.1000172910606301E-2</c:v>
                </c:pt>
                <c:pt idx="250">
                  <c:v>6.2116322685317679E-3</c:v>
                </c:pt>
                <c:pt idx="251">
                  <c:v>1.1374431605290789E-2</c:v>
                </c:pt>
              </c:numCache>
            </c:numRef>
          </c:val>
          <c:smooth val="0"/>
          <c:extLst>
            <c:ext xmlns:c16="http://schemas.microsoft.com/office/drawing/2014/chart" uri="{C3380CC4-5D6E-409C-BE32-E72D297353CC}">
              <c16:uniqueId val="{00000002-CAD7-0B4E-99CE-0E9C551FF01C}"/>
            </c:ext>
          </c:extLst>
        </c:ser>
        <c:ser>
          <c:idx val="3"/>
          <c:order val="3"/>
          <c:tx>
            <c:strRef>
              <c:f>Retorno!$I$1:$I$2</c:f>
              <c:strCache>
                <c:ptCount val="2"/>
                <c:pt idx="0">
                  <c:v>Retornos Continuos</c:v>
                </c:pt>
                <c:pt idx="1">
                  <c:v>AT&amp;T</c:v>
                </c:pt>
              </c:strCache>
            </c:strRef>
          </c:tx>
          <c:spPr>
            <a:ln w="12700" cap="rnd">
              <a:solidFill>
                <a:schemeClr val="accent4"/>
              </a:solidFill>
              <a:round/>
            </a:ln>
            <a:effectLst/>
          </c:spPr>
          <c:marker>
            <c:symbol val="none"/>
          </c:marker>
          <c:val>
            <c:numRef>
              <c:f>Retorno!$I$3:$I$254</c:f>
              <c:numCache>
                <c:formatCode>0.000%</c:formatCode>
                <c:ptCount val="252"/>
                <c:pt idx="0">
                  <c:v>-6.4035322871765967E-3</c:v>
                </c:pt>
                <c:pt idx="1">
                  <c:v>2.8511962146941443E-3</c:v>
                </c:pt>
                <c:pt idx="2">
                  <c:v>3.5523360724823969E-3</c:v>
                </c:pt>
                <c:pt idx="3">
                  <c:v>1.1283650762276005E-2</c:v>
                </c:pt>
                <c:pt idx="4">
                  <c:v>-7.0373473579131004E-3</c:v>
                </c:pt>
                <c:pt idx="5">
                  <c:v>-7.0654176800563693E-4</c:v>
                </c:pt>
                <c:pt idx="6">
                  <c:v>-2.830866787178094E-3</c:v>
                </c:pt>
                <c:pt idx="7">
                  <c:v>7.0621975605345338E-3</c:v>
                </c:pt>
                <c:pt idx="8">
                  <c:v>3.8652123786868747E-2</c:v>
                </c:pt>
                <c:pt idx="9">
                  <c:v>-2.7118017809940271E-3</c:v>
                </c:pt>
                <c:pt idx="10">
                  <c:v>4.0649860690958528E-3</c:v>
                </c:pt>
                <c:pt idx="11">
                  <c:v>-9.5109702559868468E-3</c:v>
                </c:pt>
                <c:pt idx="12">
                  <c:v>-1.1671910678181512E-2</c:v>
                </c:pt>
                <c:pt idx="13">
                  <c:v>8.9378657253624903E-3</c:v>
                </c:pt>
                <c:pt idx="14">
                  <c:v>0</c:v>
                </c:pt>
                <c:pt idx="15">
                  <c:v>-1.4477988707991517E-2</c:v>
                </c:pt>
                <c:pt idx="16">
                  <c:v>8.2988273439278445E-3</c:v>
                </c:pt>
                <c:pt idx="17">
                  <c:v>-4.1408787728015178E-3</c:v>
                </c:pt>
                <c:pt idx="18">
                  <c:v>1.1004270746853787E-2</c:v>
                </c:pt>
                <c:pt idx="19">
                  <c:v>2.9651713697862989E-2</c:v>
                </c:pt>
                <c:pt idx="20">
                  <c:v>1.1224978589028094E-2</c:v>
                </c:pt>
                <c:pt idx="21">
                  <c:v>-9.2349221157867391E-3</c:v>
                </c:pt>
                <c:pt idx="22">
                  <c:v>7.9209277625121085E-3</c:v>
                </c:pt>
                <c:pt idx="23">
                  <c:v>2.2107528152630732E-2</c:v>
                </c:pt>
                <c:pt idx="24">
                  <c:v>-1.5554405482686634E-2</c:v>
                </c:pt>
                <c:pt idx="25">
                  <c:v>-1.2488017087223817E-2</c:v>
                </c:pt>
                <c:pt idx="26">
                  <c:v>-3.9760898184737319E-3</c:v>
                </c:pt>
                <c:pt idx="27">
                  <c:v>-2.6595130223768674E-3</c:v>
                </c:pt>
                <c:pt idx="28">
                  <c:v>-1.0036916003110012E-2</c:v>
                </c:pt>
                <c:pt idx="29">
                  <c:v>9.370913321953802E-3</c:v>
                </c:pt>
                <c:pt idx="30">
                  <c:v>6.6600268115622394E-4</c:v>
                </c:pt>
                <c:pt idx="31">
                  <c:v>-2.3578125464621125E-2</c:v>
                </c:pt>
                <c:pt idx="32">
                  <c:v>7.470418425544037E-3</c:v>
                </c:pt>
                <c:pt idx="33">
                  <c:v>-8.8346792935787202E-3</c:v>
                </c:pt>
                <c:pt idx="34">
                  <c:v>1.2211857867236135E-2</c:v>
                </c:pt>
                <c:pt idx="35">
                  <c:v>-7.0340122474886078E-3</c:v>
                </c:pt>
                <c:pt idx="36">
                  <c:v>1.919178660718069E-2</c:v>
                </c:pt>
                <c:pt idx="37">
                  <c:v>1.5493841465178439E-2</c:v>
                </c:pt>
                <c:pt idx="38">
                  <c:v>-1.2781979492703863E-2</c:v>
                </c:pt>
                <c:pt idx="39">
                  <c:v>-2.1903648579655197E-2</c:v>
                </c:pt>
                <c:pt idx="40">
                  <c:v>-6.2479325408984904E-3</c:v>
                </c:pt>
                <c:pt idx="41">
                  <c:v>3.47593227385585E-3</c:v>
                </c:pt>
                <c:pt idx="42">
                  <c:v>1.1728316519177792E-2</c:v>
                </c:pt>
                <c:pt idx="43">
                  <c:v>-1.7993646801684915E-2</c:v>
                </c:pt>
                <c:pt idx="44">
                  <c:v>6.3577877182322051E-2</c:v>
                </c:pt>
                <c:pt idx="45">
                  <c:v>7.8330630368045693E-3</c:v>
                </c:pt>
                <c:pt idx="46">
                  <c:v>-2.8356670761467306E-2</c:v>
                </c:pt>
                <c:pt idx="47">
                  <c:v>3.8062243981015008E-2</c:v>
                </c:pt>
                <c:pt idx="48">
                  <c:v>-2.2136321441816844E-2</c:v>
                </c:pt>
                <c:pt idx="49">
                  <c:v>-4.6189215703234801E-3</c:v>
                </c:pt>
                <c:pt idx="50">
                  <c:v>-2.0040684628752883E-2</c:v>
                </c:pt>
                <c:pt idx="51">
                  <c:v>2.9257291384540907E-2</c:v>
                </c:pt>
                <c:pt idx="52">
                  <c:v>9.1325041752728462E-3</c:v>
                </c:pt>
                <c:pt idx="53">
                  <c:v>1.1620614661695866E-2</c:v>
                </c:pt>
                <c:pt idx="54">
                  <c:v>9.581644883623272E-3</c:v>
                </c:pt>
                <c:pt idx="55">
                  <c:v>9.4907076045383631E-3</c:v>
                </c:pt>
                <c:pt idx="56">
                  <c:v>-8.2201612246451568E-3</c:v>
                </c:pt>
                <c:pt idx="57">
                  <c:v>5.6981618175608508E-3</c:v>
                </c:pt>
                <c:pt idx="58">
                  <c:v>-1.2067567354175589E-2</c:v>
                </c:pt>
                <c:pt idx="59">
                  <c:v>-1.2787371052778911E-3</c:v>
                </c:pt>
                <c:pt idx="60">
                  <c:v>6.3967350467703291E-4</c:v>
                </c:pt>
                <c:pt idx="61">
                  <c:v>-3.8437221263010121E-3</c:v>
                </c:pt>
                <c:pt idx="62">
                  <c:v>3.2040486216239152E-3</c:v>
                </c:pt>
                <c:pt idx="63">
                  <c:v>8.2829440398884853E-3</c:v>
                </c:pt>
                <c:pt idx="64">
                  <c:v>7.5853598266493183E-3</c:v>
                </c:pt>
                <c:pt idx="65">
                  <c:v>1.2586844676198644E-3</c:v>
                </c:pt>
                <c:pt idx="66">
                  <c:v>1.250014351434138E-2</c:v>
                </c:pt>
                <c:pt idx="67">
                  <c:v>5.5745681417839043E-3</c:v>
                </c:pt>
                <c:pt idx="68">
                  <c:v>-1.2361893781621346E-3</c:v>
                </c:pt>
                <c:pt idx="69">
                  <c:v>2.4706584385659168E-3</c:v>
                </c:pt>
                <c:pt idx="70">
                  <c:v>0</c:v>
                </c:pt>
                <c:pt idx="71">
                  <c:v>-1.8524051289652865E-3</c:v>
                </c:pt>
                <c:pt idx="72">
                  <c:v>7.3891849715765874E-3</c:v>
                </c:pt>
                <c:pt idx="73">
                  <c:v>1.6428683176453563E-2</c:v>
                </c:pt>
                <c:pt idx="74">
                  <c:v>1.1401293855996619E-2</c:v>
                </c:pt>
                <c:pt idx="75">
                  <c:v>-5.9844807698541955E-3</c:v>
                </c:pt>
                <c:pt idx="76">
                  <c:v>3.306087505214772E-2</c:v>
                </c:pt>
                <c:pt idx="77">
                  <c:v>-1.6393661333646715E-2</c:v>
                </c:pt>
                <c:pt idx="78">
                  <c:v>8.8156554713472324E-3</c:v>
                </c:pt>
                <c:pt idx="79">
                  <c:v>-9.9971434933014119E-3</c:v>
                </c:pt>
                <c:pt idx="80">
                  <c:v>-1.7889443279638567E-2</c:v>
                </c:pt>
                <c:pt idx="81">
                  <c:v>-1.2715943603931842E-2</c:v>
                </c:pt>
                <c:pt idx="82">
                  <c:v>2.4346320782964847E-3</c:v>
                </c:pt>
                <c:pt idx="83">
                  <c:v>1.208465691282283E-2</c:v>
                </c:pt>
                <c:pt idx="84">
                  <c:v>-7.8383887172057826E-3</c:v>
                </c:pt>
                <c:pt idx="85">
                  <c:v>-3.6386626067303612E-3</c:v>
                </c:pt>
                <c:pt idx="86">
                  <c:v>9.0718253225267661E-3</c:v>
                </c:pt>
                <c:pt idx="87">
                  <c:v>-1.2723712230209391E-2</c:v>
                </c:pt>
                <c:pt idx="88">
                  <c:v>5.4729367751170889E-3</c:v>
                </c:pt>
                <c:pt idx="89">
                  <c:v>3.6318010530331695E-3</c:v>
                </c:pt>
                <c:pt idx="90">
                  <c:v>1.2077595132303129E-3</c:v>
                </c:pt>
                <c:pt idx="91">
                  <c:v>6.0333319054379066E-4</c:v>
                </c:pt>
                <c:pt idx="92">
                  <c:v>9.6039637827291333E-3</c:v>
                </c:pt>
                <c:pt idx="93">
                  <c:v>2.3866948027653455E-3</c:v>
                </c:pt>
                <c:pt idx="94">
                  <c:v>2.7624383831125431E-2</c:v>
                </c:pt>
                <c:pt idx="95">
                  <c:v>-1.1600607305661888E-3</c:v>
                </c:pt>
                <c:pt idx="96">
                  <c:v>-4.6539918884881352E-3</c:v>
                </c:pt>
                <c:pt idx="97">
                  <c:v>1.8487103983690103E-2</c:v>
                </c:pt>
                <c:pt idx="98">
                  <c:v>-8.62337357891769E-3</c:v>
                </c:pt>
                <c:pt idx="99">
                  <c:v>-5.4130016942953952E-3</c:v>
                </c:pt>
                <c:pt idx="100">
                  <c:v>-4.7308269784354078E-3</c:v>
                </c:pt>
                <c:pt idx="101">
                  <c:v>-3.8675610583800438E-2</c:v>
                </c:pt>
                <c:pt idx="102">
                  <c:v>1.5286157688589852E-2</c:v>
                </c:pt>
                <c:pt idx="103">
                  <c:v>-2.4301095699120847E-3</c:v>
                </c:pt>
                <c:pt idx="104">
                  <c:v>-1.8264811991713004E-3</c:v>
                </c:pt>
                <c:pt idx="105">
                  <c:v>-6.0961109656987951E-4</c:v>
                </c:pt>
                <c:pt idx="106">
                  <c:v>1.6329333065123283E-2</c:v>
                </c:pt>
                <c:pt idx="107">
                  <c:v>7.7681556093607577E-3</c:v>
                </c:pt>
                <c:pt idx="108">
                  <c:v>2.2949014004003898E-2</c:v>
                </c:pt>
                <c:pt idx="109">
                  <c:v>-3.011736741564745E-2</c:v>
                </c:pt>
                <c:pt idx="110">
                  <c:v>2.9535485641168389E-2</c:v>
                </c:pt>
                <c:pt idx="111">
                  <c:v>6.382391439619532E-3</c:v>
                </c:pt>
                <c:pt idx="112">
                  <c:v>-2.3161320398991719E-3</c:v>
                </c:pt>
                <c:pt idx="113">
                  <c:v>1.610156507641821E-2</c:v>
                </c:pt>
                <c:pt idx="114">
                  <c:v>9.08571462661973E-3</c:v>
                </c:pt>
                <c:pt idx="115">
                  <c:v>1.9592162762490182E-2</c:v>
                </c:pt>
                <c:pt idx="116">
                  <c:v>-1.1709175802896356E-2</c:v>
                </c:pt>
                <c:pt idx="117">
                  <c:v>-5.6243984313423317E-3</c:v>
                </c:pt>
                <c:pt idx="118">
                  <c:v>-6.7910685184317367E-3</c:v>
                </c:pt>
                <c:pt idx="119">
                  <c:v>-1.6027947235816124E-2</c:v>
                </c:pt>
                <c:pt idx="120">
                  <c:v>-2.9870396236716779E-2</c:v>
                </c:pt>
                <c:pt idx="121">
                  <c:v>1.1883725529783697E-3</c:v>
                </c:pt>
                <c:pt idx="122">
                  <c:v>1.0632216336701443E-2</c:v>
                </c:pt>
                <c:pt idx="123">
                  <c:v>-7.075609674194675E-3</c:v>
                </c:pt>
                <c:pt idx="124">
                  <c:v>5.9145856733030231E-4</c:v>
                </c:pt>
                <c:pt idx="125">
                  <c:v>1.0588436740846002E-2</c:v>
                </c:pt>
                <c:pt idx="126">
                  <c:v>-7.0465265167247411E-3</c:v>
                </c:pt>
                <c:pt idx="127">
                  <c:v>-3.5419102241213379E-3</c:v>
                </c:pt>
                <c:pt idx="128">
                  <c:v>5.3082933634442889E-3</c:v>
                </c:pt>
                <c:pt idx="129">
                  <c:v>-2.4413339458236528E-2</c:v>
                </c:pt>
                <c:pt idx="130">
                  <c:v>1.2578760442407045E-2</c:v>
                </c:pt>
                <c:pt idx="131">
                  <c:v>-1.1976066753339242E-2</c:v>
                </c:pt>
                <c:pt idx="132">
                  <c:v>1.3760308076745754E-2</c:v>
                </c:pt>
                <c:pt idx="133">
                  <c:v>7.6945269621530249E-3</c:v>
                </c:pt>
                <c:pt idx="134">
                  <c:v>-1.7703701935084114E-3</c:v>
                </c:pt>
                <c:pt idx="135">
                  <c:v>2.9490604228386468E-3</c:v>
                </c:pt>
                <c:pt idx="136">
                  <c:v>-1.0657458514889893E-2</c:v>
                </c:pt>
                <c:pt idx="137">
                  <c:v>2.1784911671504949E-2</c:v>
                </c:pt>
                <c:pt idx="138">
                  <c:v>5.8222055801986279E-4</c:v>
                </c:pt>
                <c:pt idx="139">
                  <c:v>-7.5957392761439417E-3</c:v>
                </c:pt>
                <c:pt idx="140">
                  <c:v>8.7592244143747111E-3</c:v>
                </c:pt>
                <c:pt idx="141">
                  <c:v>7.5296267385311973E-3</c:v>
                </c:pt>
                <c:pt idx="142">
                  <c:v>-7.5296267385311115E-3</c:v>
                </c:pt>
                <c:pt idx="143">
                  <c:v>-5.8160336375158385E-4</c:v>
                </c:pt>
                <c:pt idx="144">
                  <c:v>-1.0526393935028697E-2</c:v>
                </c:pt>
                <c:pt idx="145">
                  <c:v>2.3487728844055851E-3</c:v>
                </c:pt>
                <c:pt idx="146">
                  <c:v>1.455631158926427E-2</c:v>
                </c:pt>
                <c:pt idx="147">
                  <c:v>-7.5427928711403599E-3</c:v>
                </c:pt>
                <c:pt idx="148">
                  <c:v>2.3269110502146303E-3</c:v>
                </c:pt>
                <c:pt idx="149">
                  <c:v>-2.9095910236789767E-3</c:v>
                </c:pt>
                <c:pt idx="150">
                  <c:v>-1.0544773183150766E-2</c:v>
                </c:pt>
                <c:pt idx="151">
                  <c:v>8.2110739967389546E-3</c:v>
                </c:pt>
                <c:pt idx="152">
                  <c:v>3.4985997178958793E-3</c:v>
                </c:pt>
                <c:pt idx="153">
                  <c:v>2.130803414272742E-2</c:v>
                </c:pt>
                <c:pt idx="154">
                  <c:v>2.8449078782690519E-3</c:v>
                </c:pt>
                <c:pt idx="155">
                  <c:v>-5.697991304405129E-3</c:v>
                </c:pt>
                <c:pt idx="156">
                  <c:v>1.1421632595400733E-3</c:v>
                </c:pt>
                <c:pt idx="157">
                  <c:v>5.12394513644681E-3</c:v>
                </c:pt>
                <c:pt idx="158">
                  <c:v>-2.2740551851044106E-3</c:v>
                </c:pt>
                <c:pt idx="159">
                  <c:v>-8.5739149328683574E-3</c:v>
                </c:pt>
                <c:pt idx="160">
                  <c:v>-9.8068295948848475E-3</c:v>
                </c:pt>
                <c:pt idx="161">
                  <c:v>-4.2513463190354973E-3</c:v>
                </c:pt>
                <c:pt idx="162">
                  <c:v>-1.0110097057956752E-2</c:v>
                </c:pt>
                <c:pt idx="163">
                  <c:v>-1.8703414262897906E-2</c:v>
                </c:pt>
                <c:pt idx="164">
                  <c:v>-6.7217247231749887E-3</c:v>
                </c:pt>
                <c:pt idx="165">
                  <c:v>-4.3010263731349009E-3</c:v>
                </c:pt>
                <c:pt idx="166">
                  <c:v>-9.2793792839827582E-3</c:v>
                </c:pt>
                <c:pt idx="167">
                  <c:v>1.8628149729069926E-3</c:v>
                </c:pt>
                <c:pt idx="168">
                  <c:v>1.2943127412559438E-2</c:v>
                </c:pt>
                <c:pt idx="169">
                  <c:v>1.0962394432582713E-2</c:v>
                </c:pt>
                <c:pt idx="170">
                  <c:v>-1.2187931160931781E-2</c:v>
                </c:pt>
                <c:pt idx="171">
                  <c:v>1.1582000481511069E-2</c:v>
                </c:pt>
                <c:pt idx="172">
                  <c:v>1.8613569807513386E-2</c:v>
                </c:pt>
                <c:pt idx="173">
                  <c:v>-1.377680211997016E-2</c:v>
                </c:pt>
                <c:pt idx="174">
                  <c:v>1.020115925682203E-2</c:v>
                </c:pt>
                <c:pt idx="175">
                  <c:v>1.5990897700798735E-2</c:v>
                </c:pt>
                <c:pt idx="176">
                  <c:v>-7.6674124514332052E-3</c:v>
                </c:pt>
                <c:pt idx="177">
                  <c:v>1.7746003431574375E-3</c:v>
                </c:pt>
                <c:pt idx="178">
                  <c:v>-5.9277432873759113E-3</c:v>
                </c:pt>
                <c:pt idx="179">
                  <c:v>1.7820997373106853E-3</c:v>
                </c:pt>
                <c:pt idx="180">
                  <c:v>8.2741716697485573E-3</c:v>
                </c:pt>
                <c:pt idx="181">
                  <c:v>5.283244107095986E-3</c:v>
                </c:pt>
                <c:pt idx="182">
                  <c:v>1.7549955781686565E-3</c:v>
                </c:pt>
                <c:pt idx="183">
                  <c:v>4.0827757174903999E-3</c:v>
                </c:pt>
                <c:pt idx="184">
                  <c:v>-5.8223411107649701E-4</c:v>
                </c:pt>
                <c:pt idx="185">
                  <c:v>5.2280020464313707E-3</c:v>
                </c:pt>
                <c:pt idx="186">
                  <c:v>2.3147859350525577E-3</c:v>
                </c:pt>
                <c:pt idx="187">
                  <c:v>1.732579879352201E-3</c:v>
                </c:pt>
                <c:pt idx="188">
                  <c:v>-1.732579879352136E-3</c:v>
                </c:pt>
                <c:pt idx="189">
                  <c:v>5.7637472026845571E-3</c:v>
                </c:pt>
                <c:pt idx="190">
                  <c:v>6.8728485226429662E-3</c:v>
                </c:pt>
                <c:pt idx="191">
                  <c:v>-1.4372182648414963E-2</c:v>
                </c:pt>
                <c:pt idx="192">
                  <c:v>1.3229934834084765E-2</c:v>
                </c:pt>
                <c:pt idx="193">
                  <c:v>-1.7157346722541096E-3</c:v>
                </c:pt>
                <c:pt idx="194">
                  <c:v>1.7157346722542091E-3</c:v>
                </c:pt>
                <c:pt idx="195">
                  <c:v>-1.3229934834084642E-2</c:v>
                </c:pt>
                <c:pt idx="196">
                  <c:v>-8.7235267318123977E-3</c:v>
                </c:pt>
                <c:pt idx="197">
                  <c:v>2.8787286268958209E-2</c:v>
                </c:pt>
                <c:pt idx="198">
                  <c:v>3.3485178750257492E-2</c:v>
                </c:pt>
                <c:pt idx="199">
                  <c:v>-1.1592695309031092E-2</c:v>
                </c:pt>
                <c:pt idx="200">
                  <c:v>1.8702397437831947E-2</c:v>
                </c:pt>
                <c:pt idx="201">
                  <c:v>-2.7285349047250127E-3</c:v>
                </c:pt>
                <c:pt idx="202">
                  <c:v>-1.0934242170624129E-3</c:v>
                </c:pt>
                <c:pt idx="203">
                  <c:v>-9.8955551720559757E-3</c:v>
                </c:pt>
                <c:pt idx="204">
                  <c:v>-1.3348415321843266E-2</c:v>
                </c:pt>
                <c:pt idx="205">
                  <c:v>0</c:v>
                </c:pt>
                <c:pt idx="206">
                  <c:v>-1.4096584264906203E-2</c:v>
                </c:pt>
                <c:pt idx="207">
                  <c:v>3.4012621492683047E-3</c:v>
                </c:pt>
                <c:pt idx="208">
                  <c:v>-1.6992713126116508E-3</c:v>
                </c:pt>
                <c:pt idx="209">
                  <c:v>1.6992713126115697E-3</c:v>
                </c:pt>
                <c:pt idx="210">
                  <c:v>2.1277351283956945E-2</c:v>
                </c:pt>
                <c:pt idx="211">
                  <c:v>3.3186565462668526E-3</c:v>
                </c:pt>
                <c:pt idx="212">
                  <c:v>1.588635415691966E-2</c:v>
                </c:pt>
                <c:pt idx="213">
                  <c:v>1.3495526138129172E-2</c:v>
                </c:pt>
                <c:pt idx="214">
                  <c:v>2.1425562712271934E-3</c:v>
                </c:pt>
                <c:pt idx="215">
                  <c:v>3.738273476931629E-3</c:v>
                </c:pt>
                <c:pt idx="216">
                  <c:v>-5.3329250387106324E-4</c:v>
                </c:pt>
                <c:pt idx="217">
                  <c:v>1.901802869604308E-2</c:v>
                </c:pt>
                <c:pt idx="218">
                  <c:v>-6.8259836239331134E-3</c:v>
                </c:pt>
                <c:pt idx="219">
                  <c:v>-8.4656033871456007E-3</c:v>
                </c:pt>
                <c:pt idx="220">
                  <c:v>-7.466713020734231E-3</c:v>
                </c:pt>
                <c:pt idx="221">
                  <c:v>4.8064098657813409E-3</c:v>
                </c:pt>
                <c:pt idx="222">
                  <c:v>2.1287652308458159E-3</c:v>
                </c:pt>
                <c:pt idx="223">
                  <c:v>-5.3176661708070883E-4</c:v>
                </c:pt>
                <c:pt idx="224">
                  <c:v>1.1701116052050159E-2</c:v>
                </c:pt>
                <c:pt idx="225">
                  <c:v>6.3830534173032645E-3</c:v>
                </c:pt>
                <c:pt idx="226">
                  <c:v>-2.6547400778527642E-3</c:v>
                </c:pt>
                <c:pt idx="227">
                  <c:v>-1.2302856764034255E-2</c:v>
                </c:pt>
                <c:pt idx="228">
                  <c:v>1.4427180508327499E-2</c:v>
                </c:pt>
                <c:pt idx="229">
                  <c:v>1.631185864869468E-2</c:v>
                </c:pt>
                <c:pt idx="230">
                  <c:v>-5.2205691605959625E-4</c:v>
                </c:pt>
                <c:pt idx="231">
                  <c:v>-1.5677557021459298E-3</c:v>
                </c:pt>
                <c:pt idx="232">
                  <c:v>-3.0265224779422156E-2</c:v>
                </c:pt>
                <c:pt idx="233">
                  <c:v>-1.8498896320453713E-2</c:v>
                </c:pt>
                <c:pt idx="234">
                  <c:v>5.0853933718081321E-2</c:v>
                </c:pt>
                <c:pt idx="235">
                  <c:v>1.564589587366755E-3</c:v>
                </c:pt>
                <c:pt idx="236">
                  <c:v>-9.4242056297434203E-3</c:v>
                </c:pt>
                <c:pt idx="237">
                  <c:v>-5.8032344347412621E-3</c:v>
                </c:pt>
                <c:pt idx="238">
                  <c:v>4.2238711161852434E-3</c:v>
                </c:pt>
                <c:pt idx="239">
                  <c:v>1.4125267552011362E-2</c:v>
                </c:pt>
                <c:pt idx="240">
                  <c:v>1.1363707289245462E-2</c:v>
                </c:pt>
                <c:pt idx="241">
                  <c:v>-5.1492389779095047E-3</c:v>
                </c:pt>
                <c:pt idx="242">
                  <c:v>-2.4034646374763047E-2</c:v>
                </c:pt>
                <c:pt idx="243">
                  <c:v>1.4698479459715275E-2</c:v>
                </c:pt>
                <c:pt idx="244">
                  <c:v>3.1216986037119246E-3</c:v>
                </c:pt>
                <c:pt idx="245">
                  <c:v>7.7620053354891094E-3</c:v>
                </c:pt>
                <c:pt idx="246">
                  <c:v>4.6284474501869788E-3</c:v>
                </c:pt>
                <c:pt idx="247">
                  <c:v>-3.0832501301206196E-3</c:v>
                </c:pt>
                <c:pt idx="248">
                  <c:v>4.6213175955976916E-3</c:v>
                </c:pt>
                <c:pt idx="249">
                  <c:v>5.6193763609869146E-3</c:v>
                </c:pt>
                <c:pt idx="250">
                  <c:v>-2.7894319608277238E-2</c:v>
                </c:pt>
                <c:pt idx="251">
                  <c:v>1.3010852287492039E-2</c:v>
                </c:pt>
              </c:numCache>
            </c:numRef>
          </c:val>
          <c:smooth val="0"/>
          <c:extLst>
            <c:ext xmlns:c16="http://schemas.microsoft.com/office/drawing/2014/chart" uri="{C3380CC4-5D6E-409C-BE32-E72D297353CC}">
              <c16:uniqueId val="{00000003-CAD7-0B4E-99CE-0E9C551FF01C}"/>
            </c:ext>
          </c:extLst>
        </c:ser>
        <c:dLbls>
          <c:showLegendKey val="0"/>
          <c:showVal val="0"/>
          <c:showCatName val="0"/>
          <c:showSerName val="0"/>
          <c:showPercent val="0"/>
          <c:showBubbleSize val="0"/>
        </c:dLbls>
        <c:smooth val="0"/>
        <c:axId val="185489424"/>
        <c:axId val="185491136"/>
      </c:lineChart>
      <c:catAx>
        <c:axId val="1854894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5491136"/>
        <c:crosses val="autoZero"/>
        <c:auto val="1"/>
        <c:lblAlgn val="ctr"/>
        <c:lblOffset val="100"/>
        <c:noMultiLvlLbl val="0"/>
      </c:catAx>
      <c:valAx>
        <c:axId val="18549113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5489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Retorno!$N$2</c:f>
              <c:strCache>
                <c:ptCount val="1"/>
                <c:pt idx="0">
                  <c:v>Apple t+1</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6.3487962584698604E-2"/>
                  <c:y val="-0.2974519473434031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xVal>
            <c:numRef>
              <c:f>Retorno!$F$3:$F$254</c:f>
              <c:numCache>
                <c:formatCode>0.000%</c:formatCode>
                <c:ptCount val="252"/>
                <c:pt idx="0">
                  <c:v>-1.4662185008184019E-2</c:v>
                </c:pt>
                <c:pt idx="1">
                  <c:v>2.8121205565770678E-3</c:v>
                </c:pt>
                <c:pt idx="2">
                  <c:v>7.7070400094383651E-3</c:v>
                </c:pt>
                <c:pt idx="3">
                  <c:v>7.8738144273404372E-3</c:v>
                </c:pt>
                <c:pt idx="4">
                  <c:v>2.1711540417555734E-2</c:v>
                </c:pt>
                <c:pt idx="5">
                  <c:v>-2.6519108676923038E-2</c:v>
                </c:pt>
                <c:pt idx="6">
                  <c:v>1.2564052740774025E-2</c:v>
                </c:pt>
                <c:pt idx="7">
                  <c:v>8.8072127836774459E-3</c:v>
                </c:pt>
                <c:pt idx="8">
                  <c:v>2.1575762719950167E-2</c:v>
                </c:pt>
                <c:pt idx="9">
                  <c:v>1.899078242547661E-2</c:v>
                </c:pt>
                <c:pt idx="10">
                  <c:v>1.1717517176788328E-3</c:v>
                </c:pt>
                <c:pt idx="11">
                  <c:v>8.4277857631225358E-3</c:v>
                </c:pt>
                <c:pt idx="12">
                  <c:v>1.2659131987154749E-3</c:v>
                </c:pt>
                <c:pt idx="13">
                  <c:v>-3.6449647610985361E-2</c:v>
                </c:pt>
                <c:pt idx="14">
                  <c:v>-2.9685687263803755E-2</c:v>
                </c:pt>
                <c:pt idx="15">
                  <c:v>3.4855737123982338E-3</c:v>
                </c:pt>
                <c:pt idx="16">
                  <c:v>6.6007039975988667E-3</c:v>
                </c:pt>
                <c:pt idx="17">
                  <c:v>-1.7207766577965616E-2</c:v>
                </c:pt>
                <c:pt idx="18">
                  <c:v>-1.1925628607410014E-2</c:v>
                </c:pt>
                <c:pt idx="19">
                  <c:v>8.744192273870471E-3</c:v>
                </c:pt>
                <c:pt idx="20">
                  <c:v>-4.1626265495737849E-3</c:v>
                </c:pt>
                <c:pt idx="21">
                  <c:v>1.6771885661529522E-2</c:v>
                </c:pt>
                <c:pt idx="22">
                  <c:v>6.1618290451625419E-3</c:v>
                </c:pt>
                <c:pt idx="23">
                  <c:v>-2.0194689945887755E-2</c:v>
                </c:pt>
                <c:pt idx="24">
                  <c:v>-8.9290841663582452E-3</c:v>
                </c:pt>
                <c:pt idx="25">
                  <c:v>4.932157084030179E-3</c:v>
                </c:pt>
                <c:pt idx="26">
                  <c:v>7.3532671978666295E-3</c:v>
                </c:pt>
                <c:pt idx="27">
                  <c:v>-2.3676570379196956E-2</c:v>
                </c:pt>
                <c:pt idx="28">
                  <c:v>-8.9372740582099996E-3</c:v>
                </c:pt>
                <c:pt idx="29">
                  <c:v>1.5245124110350558E-3</c:v>
                </c:pt>
                <c:pt idx="30">
                  <c:v>3.0418117645047292E-3</c:v>
                </c:pt>
                <c:pt idx="31">
                  <c:v>1.4726612543542477E-2</c:v>
                </c:pt>
                <c:pt idx="32">
                  <c:v>-7.8002013931504684E-3</c:v>
                </c:pt>
                <c:pt idx="33">
                  <c:v>7.2820978273525263E-3</c:v>
                </c:pt>
                <c:pt idx="34">
                  <c:v>7.1721957179410305E-3</c:v>
                </c:pt>
                <c:pt idx="35">
                  <c:v>1.4642797262619538E-2</c:v>
                </c:pt>
                <c:pt idx="36">
                  <c:v>8.4155364965835446E-3</c:v>
                </c:pt>
                <c:pt idx="37">
                  <c:v>-3.3577377412587176E-3</c:v>
                </c:pt>
                <c:pt idx="38">
                  <c:v>7.8729256654077838E-3</c:v>
                </c:pt>
                <c:pt idx="39">
                  <c:v>5.0484914715231101E-3</c:v>
                </c:pt>
                <c:pt idx="40">
                  <c:v>-1.0346128156285038E-2</c:v>
                </c:pt>
                <c:pt idx="41">
                  <c:v>-7.2710133536225421E-4</c:v>
                </c:pt>
                <c:pt idx="42">
                  <c:v>-8.8236168219693739E-3</c:v>
                </c:pt>
                <c:pt idx="43">
                  <c:v>-7.4223370429170512E-3</c:v>
                </c:pt>
                <c:pt idx="44">
                  <c:v>-2.1632256780532658E-3</c:v>
                </c:pt>
                <c:pt idx="45">
                  <c:v>-1.48134638605088E-2</c:v>
                </c:pt>
                <c:pt idx="46">
                  <c:v>6.9385280456884656E-4</c:v>
                </c:pt>
                <c:pt idx="47">
                  <c:v>2.5402110604923374E-3</c:v>
                </c:pt>
                <c:pt idx="48">
                  <c:v>-1.3583577722310494E-2</c:v>
                </c:pt>
                <c:pt idx="49">
                  <c:v>-2.4913184770041188E-2</c:v>
                </c:pt>
                <c:pt idx="50">
                  <c:v>7.9376258370334254E-3</c:v>
                </c:pt>
                <c:pt idx="51">
                  <c:v>1.2230145391432332E-2</c:v>
                </c:pt>
                <c:pt idx="52">
                  <c:v>2.8148308012558494E-3</c:v>
                </c:pt>
                <c:pt idx="53">
                  <c:v>1.8565290897534802E-2</c:v>
                </c:pt>
                <c:pt idx="54">
                  <c:v>2.0482069684558096E-2</c:v>
                </c:pt>
                <c:pt idx="55">
                  <c:v>-5.1946810275440517E-3</c:v>
                </c:pt>
                <c:pt idx="56">
                  <c:v>1.44996022601437E-2</c:v>
                </c:pt>
                <c:pt idx="57">
                  <c:v>1.4347282613426004E-2</c:v>
                </c:pt>
                <c:pt idx="58">
                  <c:v>5.8675683603629037E-3</c:v>
                </c:pt>
                <c:pt idx="59">
                  <c:v>-2.6278835003809412E-3</c:v>
                </c:pt>
                <c:pt idx="60">
                  <c:v>2.2954556969230551E-2</c:v>
                </c:pt>
                <c:pt idx="61">
                  <c:v>-8.6207243473615386E-3</c:v>
                </c:pt>
                <c:pt idx="62">
                  <c:v>1.4184635374476782E-2</c:v>
                </c:pt>
                <c:pt idx="63">
                  <c:v>3.0363308776654089E-3</c:v>
                </c:pt>
                <c:pt idx="64">
                  <c:v>9.0015200429287429E-3</c:v>
                </c:pt>
                <c:pt idx="65">
                  <c:v>-1.0544870529251719E-4</c:v>
                </c:pt>
                <c:pt idx="66">
                  <c:v>9.2354873918627962E-3</c:v>
                </c:pt>
                <c:pt idx="67">
                  <c:v>-4.2398033377747738E-3</c:v>
                </c:pt>
                <c:pt idx="68">
                  <c:v>3.5083046042034536E-3</c:v>
                </c:pt>
                <c:pt idx="69">
                  <c:v>-7.0289607553052254E-3</c:v>
                </c:pt>
                <c:pt idx="70">
                  <c:v>-9.4805949388913479E-4</c:v>
                </c:pt>
                <c:pt idx="71">
                  <c:v>3.2089405359202782E-3</c:v>
                </c:pt>
                <c:pt idx="72">
                  <c:v>-5.4242788854046205E-3</c:v>
                </c:pt>
                <c:pt idx="73">
                  <c:v>3.0580089148523034E-3</c:v>
                </c:pt>
                <c:pt idx="74">
                  <c:v>6.7683969358011721E-3</c:v>
                </c:pt>
                <c:pt idx="75">
                  <c:v>-9.5097229376474839E-3</c:v>
                </c:pt>
                <c:pt idx="76">
                  <c:v>2.084449839920156E-2</c:v>
                </c:pt>
                <c:pt idx="77">
                  <c:v>-5.7032520050787593E-3</c:v>
                </c:pt>
                <c:pt idx="78">
                  <c:v>1.0088207138443817E-2</c:v>
                </c:pt>
                <c:pt idx="79">
                  <c:v>7.3850207302899578E-3</c:v>
                </c:pt>
                <c:pt idx="80">
                  <c:v>-1.301155524149791E-2</c:v>
                </c:pt>
                <c:pt idx="81">
                  <c:v>7.8889519649972505E-3</c:v>
                </c:pt>
                <c:pt idx="82">
                  <c:v>1.6553655693470191E-2</c:v>
                </c:pt>
                <c:pt idx="83">
                  <c:v>7.5742185089877612E-4</c:v>
                </c:pt>
                <c:pt idx="84">
                  <c:v>-2.7295073142777661E-3</c:v>
                </c:pt>
                <c:pt idx="85">
                  <c:v>-8.53965400802611E-3</c:v>
                </c:pt>
                <c:pt idx="86">
                  <c:v>5.3458637702141027E-3</c:v>
                </c:pt>
                <c:pt idx="87">
                  <c:v>-1.0771711802952852E-2</c:v>
                </c:pt>
                <c:pt idx="88">
                  <c:v>-7.7033791279105483E-4</c:v>
                </c:pt>
                <c:pt idx="89">
                  <c:v>-5.5629055748559423E-3</c:v>
                </c:pt>
                <c:pt idx="90">
                  <c:v>-2.8449113917028523E-3</c:v>
                </c:pt>
                <c:pt idx="91">
                  <c:v>5.1779897604456546E-4</c:v>
                </c:pt>
                <c:pt idx="92">
                  <c:v>2.2237825955231019E-3</c:v>
                </c:pt>
                <c:pt idx="93">
                  <c:v>-5.4389057902563941E-3</c:v>
                </c:pt>
                <c:pt idx="94">
                  <c:v>-3.6442669115568614E-2</c:v>
                </c:pt>
                <c:pt idx="95">
                  <c:v>-7.5158087877084971E-3</c:v>
                </c:pt>
                <c:pt idx="96">
                  <c:v>-1.2781428001649012E-2</c:v>
                </c:pt>
                <c:pt idx="97">
                  <c:v>-4.0210117830922973E-3</c:v>
                </c:pt>
                <c:pt idx="98">
                  <c:v>2.3887222589555022E-2</c:v>
                </c:pt>
                <c:pt idx="99">
                  <c:v>-2.2659828390601978E-3</c:v>
                </c:pt>
                <c:pt idx="100">
                  <c:v>5.655471783241264E-3</c:v>
                </c:pt>
                <c:pt idx="101">
                  <c:v>-3.2278053849822972E-3</c:v>
                </c:pt>
                <c:pt idx="102">
                  <c:v>1.776525989713901E-3</c:v>
                </c:pt>
                <c:pt idx="103">
                  <c:v>-1.2393598825964395E-2</c:v>
                </c:pt>
                <c:pt idx="104">
                  <c:v>-5.186893307744119E-3</c:v>
                </c:pt>
                <c:pt idx="105">
                  <c:v>3.205143040647615E-2</c:v>
                </c:pt>
                <c:pt idx="106">
                  <c:v>1.5413605907075779E-2</c:v>
                </c:pt>
                <c:pt idx="107">
                  <c:v>1.2089939794405298E-2</c:v>
                </c:pt>
                <c:pt idx="108">
                  <c:v>6.6312354047433934E-3</c:v>
                </c:pt>
                <c:pt idx="109">
                  <c:v>-3.4900447377881711E-3</c:v>
                </c:pt>
                <c:pt idx="110">
                  <c:v>-1.6980138057580752E-3</c:v>
                </c:pt>
                <c:pt idx="111">
                  <c:v>-9.053703332614238E-3</c:v>
                </c:pt>
                <c:pt idx="112">
                  <c:v>-3.5923582258243084E-3</c:v>
                </c:pt>
                <c:pt idx="113">
                  <c:v>-1.9433375980611085E-2</c:v>
                </c:pt>
                <c:pt idx="114">
                  <c:v>-1.9547375416428876E-2</c:v>
                </c:pt>
                <c:pt idx="115">
                  <c:v>1.3252435087594459E-2</c:v>
                </c:pt>
                <c:pt idx="116">
                  <c:v>-5.4198470459970276E-3</c:v>
                </c:pt>
                <c:pt idx="117">
                  <c:v>9.7984505156412712E-3</c:v>
                </c:pt>
                <c:pt idx="118">
                  <c:v>8.5946741458582179E-3</c:v>
                </c:pt>
                <c:pt idx="119">
                  <c:v>5.8094509155742779E-4</c:v>
                </c:pt>
                <c:pt idx="120">
                  <c:v>-5.7713210785359176E-3</c:v>
                </c:pt>
                <c:pt idx="121">
                  <c:v>4.0856395568765842E-3</c:v>
                </c:pt>
                <c:pt idx="122">
                  <c:v>-9.0426439389799818E-3</c:v>
                </c:pt>
                <c:pt idx="123">
                  <c:v>-1.133841763443315E-2</c:v>
                </c:pt>
                <c:pt idx="124">
                  <c:v>-4.8213974030586366E-3</c:v>
                </c:pt>
                <c:pt idx="125">
                  <c:v>-1.5759825619922172E-3</c:v>
                </c:pt>
                <c:pt idx="126">
                  <c:v>-8.4661574423176515E-3</c:v>
                </c:pt>
                <c:pt idx="127">
                  <c:v>-4.1223013161664603E-3</c:v>
                </c:pt>
                <c:pt idx="128">
                  <c:v>4.1772619153831059E-3</c:v>
                </c:pt>
                <c:pt idx="129">
                  <c:v>1.118116096025438E-2</c:v>
                </c:pt>
                <c:pt idx="130">
                  <c:v>-1.0084818339197638E-2</c:v>
                </c:pt>
                <c:pt idx="131">
                  <c:v>-7.479106127821062E-3</c:v>
                </c:pt>
                <c:pt idx="132">
                  <c:v>8.0816092470088127E-3</c:v>
                </c:pt>
                <c:pt idx="133">
                  <c:v>-6.647496052951337E-3</c:v>
                </c:pt>
                <c:pt idx="134">
                  <c:v>-3.6999302544279294E-3</c:v>
                </c:pt>
                <c:pt idx="135">
                  <c:v>-6.0485955778969338E-3</c:v>
                </c:pt>
                <c:pt idx="136">
                  <c:v>-2.5708994582135079E-2</c:v>
                </c:pt>
                <c:pt idx="137">
                  <c:v>-2.8853134850884594E-2</c:v>
                </c:pt>
                <c:pt idx="138">
                  <c:v>-5.8956789518436912E-3</c:v>
                </c:pt>
                <c:pt idx="139">
                  <c:v>-7.0975441095678829E-4</c:v>
                </c:pt>
                <c:pt idx="140">
                  <c:v>1.0184574634208254E-2</c:v>
                </c:pt>
                <c:pt idx="141">
                  <c:v>1.1762232376596935E-2</c:v>
                </c:pt>
                <c:pt idx="142">
                  <c:v>2.7746091448219968E-3</c:v>
                </c:pt>
                <c:pt idx="143">
                  <c:v>-1.2196574219039144E-2</c:v>
                </c:pt>
                <c:pt idx="144">
                  <c:v>1.0868104262170121E-2</c:v>
                </c:pt>
                <c:pt idx="145">
                  <c:v>-2.1990199647653258E-3</c:v>
                </c:pt>
                <c:pt idx="146">
                  <c:v>6.3521899768463532E-3</c:v>
                </c:pt>
                <c:pt idx="147">
                  <c:v>1.3493637966671364E-2</c:v>
                </c:pt>
                <c:pt idx="148">
                  <c:v>1.4602145308817756E-2</c:v>
                </c:pt>
                <c:pt idx="149">
                  <c:v>-4.1715613983300662E-2</c:v>
                </c:pt>
                <c:pt idx="150">
                  <c:v>5.2960884338796171E-3</c:v>
                </c:pt>
                <c:pt idx="151">
                  <c:v>-8.3350523254073824E-3</c:v>
                </c:pt>
                <c:pt idx="152">
                  <c:v>-6.6948293563426041E-3</c:v>
                </c:pt>
                <c:pt idx="153">
                  <c:v>2.0990652674622658E-2</c:v>
                </c:pt>
                <c:pt idx="154">
                  <c:v>-1.0615167680639992E-2</c:v>
                </c:pt>
                <c:pt idx="155">
                  <c:v>-8.4917741718009161E-3</c:v>
                </c:pt>
                <c:pt idx="156">
                  <c:v>-7.0234473180625914E-3</c:v>
                </c:pt>
                <c:pt idx="157">
                  <c:v>4.7859728642550272E-3</c:v>
                </c:pt>
                <c:pt idx="158">
                  <c:v>-4.9043056684808586E-3</c:v>
                </c:pt>
                <c:pt idx="159">
                  <c:v>4.4916084303433098E-3</c:v>
                </c:pt>
                <c:pt idx="160">
                  <c:v>-6.685740856598745E-3</c:v>
                </c:pt>
                <c:pt idx="161">
                  <c:v>7.2163751807764352E-3</c:v>
                </c:pt>
                <c:pt idx="162">
                  <c:v>-1.120175412492392E-2</c:v>
                </c:pt>
                <c:pt idx="163">
                  <c:v>4.236087617690229E-2</c:v>
                </c:pt>
                <c:pt idx="164">
                  <c:v>8.5896815167550832E-3</c:v>
                </c:pt>
                <c:pt idx="165">
                  <c:v>-2.2106106529132866E-2</c:v>
                </c:pt>
                <c:pt idx="166">
                  <c:v>-1.9353292388622649E-2</c:v>
                </c:pt>
                <c:pt idx="167">
                  <c:v>-8.1807529156866562E-3</c:v>
                </c:pt>
                <c:pt idx="168">
                  <c:v>-5.7307029681765223E-3</c:v>
                </c:pt>
                <c:pt idx="169">
                  <c:v>-1.2287828139873455E-2</c:v>
                </c:pt>
                <c:pt idx="170">
                  <c:v>5.07788929321121E-3</c:v>
                </c:pt>
                <c:pt idx="171">
                  <c:v>6.3713730744178647E-3</c:v>
                </c:pt>
                <c:pt idx="172">
                  <c:v>1.2622341953280228E-2</c:v>
                </c:pt>
                <c:pt idx="173">
                  <c:v>5.1340934294748482E-3</c:v>
                </c:pt>
                <c:pt idx="174">
                  <c:v>-3.4788581331064421E-3</c:v>
                </c:pt>
                <c:pt idx="175">
                  <c:v>2.4505258851654717E-2</c:v>
                </c:pt>
                <c:pt idx="176">
                  <c:v>-1.8439790545778333E-2</c:v>
                </c:pt>
                <c:pt idx="177">
                  <c:v>-6.0654683058762593E-3</c:v>
                </c:pt>
                <c:pt idx="178">
                  <c:v>2.1792612899963495E-2</c:v>
                </c:pt>
                <c:pt idx="179">
                  <c:v>5.8095544508652106E-2</c:v>
                </c:pt>
                <c:pt idx="180">
                  <c:v>-9.1483674173388676E-3</c:v>
                </c:pt>
                <c:pt idx="181">
                  <c:v>3.7898712813242458E-3</c:v>
                </c:pt>
                <c:pt idx="182">
                  <c:v>1.8624377821563668E-3</c:v>
                </c:pt>
                <c:pt idx="183">
                  <c:v>9.9644209184128335E-3</c:v>
                </c:pt>
                <c:pt idx="184">
                  <c:v>-6.9140777525400921E-3</c:v>
                </c:pt>
                <c:pt idx="185">
                  <c:v>1.7491613013872163E-2</c:v>
                </c:pt>
                <c:pt idx="186">
                  <c:v>6.1545058292852206E-3</c:v>
                </c:pt>
                <c:pt idx="187">
                  <c:v>1.2143861705092206E-2</c:v>
                </c:pt>
                <c:pt idx="188">
                  <c:v>6.3229391275216771E-4</c:v>
                </c:pt>
                <c:pt idx="189">
                  <c:v>1.5802948487189222E-4</c:v>
                </c:pt>
                <c:pt idx="190">
                  <c:v>6.1431644627328542E-3</c:v>
                </c:pt>
                <c:pt idx="191">
                  <c:v>6.8338906269820778E-3</c:v>
                </c:pt>
                <c:pt idx="192">
                  <c:v>-7.5669526869904195E-3</c:v>
                </c:pt>
                <c:pt idx="193">
                  <c:v>-2.128302424671985E-2</c:v>
                </c:pt>
                <c:pt idx="194">
                  <c:v>1.6452046082168593E-2</c:v>
                </c:pt>
                <c:pt idx="195">
                  <c:v>5.2749355993220789E-5</c:v>
                </c:pt>
                <c:pt idx="196">
                  <c:v>1.5777000232845243E-3</c:v>
                </c:pt>
                <c:pt idx="197">
                  <c:v>5.2413568168104213E-3</c:v>
                </c:pt>
                <c:pt idx="198">
                  <c:v>5.0060225548219234E-3</c:v>
                </c:pt>
                <c:pt idx="199">
                  <c:v>9.2161623911649945E-3</c:v>
                </c:pt>
                <c:pt idx="200">
                  <c:v>1.6479275844381797E-3</c:v>
                </c:pt>
                <c:pt idx="201">
                  <c:v>7.7904722351031866E-3</c:v>
                </c:pt>
                <c:pt idx="202">
                  <c:v>-7.121864915451831E-3</c:v>
                </c:pt>
                <c:pt idx="203">
                  <c:v>1.2315935510636394E-2</c:v>
                </c:pt>
                <c:pt idx="204">
                  <c:v>-1.9333515601065478E-2</c:v>
                </c:pt>
                <c:pt idx="205">
                  <c:v>7.0131414104475584E-2</c:v>
                </c:pt>
                <c:pt idx="206">
                  <c:v>2.8177683832117249E-2</c:v>
                </c:pt>
                <c:pt idx="207">
                  <c:v>5.4761020107099078E-3</c:v>
                </c:pt>
                <c:pt idx="208">
                  <c:v>-8.2019263390725322E-3</c:v>
                </c:pt>
                <c:pt idx="209">
                  <c:v>1.948047725735666E-2</c:v>
                </c:pt>
                <c:pt idx="210">
                  <c:v>-1.1045270681009117E-2</c:v>
                </c:pt>
                <c:pt idx="211">
                  <c:v>-2.1747631659808291E-2</c:v>
                </c:pt>
                <c:pt idx="212">
                  <c:v>-1.0499345697948081E-2</c:v>
                </c:pt>
                <c:pt idx="213">
                  <c:v>3.1277001097442104E-3</c:v>
                </c:pt>
                <c:pt idx="214">
                  <c:v>4.4582669163491413E-3</c:v>
                </c:pt>
                <c:pt idx="215">
                  <c:v>1.9796003669469535E-2</c:v>
                </c:pt>
                <c:pt idx="216">
                  <c:v>3.9780687953256729E-3</c:v>
                </c:pt>
                <c:pt idx="217">
                  <c:v>-1.6387734624486144E-2</c:v>
                </c:pt>
                <c:pt idx="218">
                  <c:v>2.8689111628198698E-2</c:v>
                </c:pt>
                <c:pt idx="219">
                  <c:v>1.6109449297697549E-2</c:v>
                </c:pt>
                <c:pt idx="220">
                  <c:v>5.7942259479230023E-3</c:v>
                </c:pt>
                <c:pt idx="221">
                  <c:v>2.1389960415288217E-2</c:v>
                </c:pt>
                <c:pt idx="222">
                  <c:v>6.5176077697273217E-3</c:v>
                </c:pt>
                <c:pt idx="223">
                  <c:v>3.7677515857849927E-3</c:v>
                </c:pt>
                <c:pt idx="224">
                  <c:v>1.8628964806476703E-2</c:v>
                </c:pt>
                <c:pt idx="225">
                  <c:v>-2.3494672238777499E-2</c:v>
                </c:pt>
                <c:pt idx="226">
                  <c:v>1.2966442042243119E-2</c:v>
                </c:pt>
                <c:pt idx="227">
                  <c:v>1.6604708169325119E-2</c:v>
                </c:pt>
                <c:pt idx="228">
                  <c:v>1.7902506232981147E-3</c:v>
                </c:pt>
                <c:pt idx="229">
                  <c:v>-2.5621428783056767E-2</c:v>
                </c:pt>
                <c:pt idx="230">
                  <c:v>-2.074860964039351E-2</c:v>
                </c:pt>
                <c:pt idx="231">
                  <c:v>5.7973336916425204E-4</c:v>
                </c:pt>
                <c:pt idx="232">
                  <c:v>-1.5614861566389346E-3</c:v>
                </c:pt>
                <c:pt idx="233">
                  <c:v>4.6772962161707281E-3</c:v>
                </c:pt>
                <c:pt idx="234">
                  <c:v>-2.9175802186708118E-2</c:v>
                </c:pt>
                <c:pt idx="235">
                  <c:v>-4.8161042901711899E-3</c:v>
                </c:pt>
                <c:pt idx="236">
                  <c:v>2.1586660116600692E-3</c:v>
                </c:pt>
                <c:pt idx="237">
                  <c:v>1.2838228252665619E-3</c:v>
                </c:pt>
                <c:pt idx="238">
                  <c:v>2.562716177992965E-3</c:v>
                </c:pt>
                <c:pt idx="239">
                  <c:v>1.4879566390620118E-2</c:v>
                </c:pt>
                <c:pt idx="240">
                  <c:v>-1.6892595276606047E-2</c:v>
                </c:pt>
                <c:pt idx="241">
                  <c:v>6.8458769114516189E-3</c:v>
                </c:pt>
                <c:pt idx="242">
                  <c:v>-4.936563304839342E-2</c:v>
                </c:pt>
                <c:pt idx="243">
                  <c:v>-9.7960810695936606E-3</c:v>
                </c:pt>
                <c:pt idx="244">
                  <c:v>1.2420806909965328E-2</c:v>
                </c:pt>
                <c:pt idx="245">
                  <c:v>1.6496471649674511E-2</c:v>
                </c:pt>
                <c:pt idx="246">
                  <c:v>1.3642429865120695E-2</c:v>
                </c:pt>
                <c:pt idx="247">
                  <c:v>7.1046339891622338E-3</c:v>
                </c:pt>
                <c:pt idx="248">
                  <c:v>1.7046925905757491E-2</c:v>
                </c:pt>
                <c:pt idx="249">
                  <c:v>2.0316357014954671E-3</c:v>
                </c:pt>
                <c:pt idx="250">
                  <c:v>1.3439858184173351E-2</c:v>
                </c:pt>
                <c:pt idx="251">
                  <c:v>5.9010397660438866E-3</c:v>
                </c:pt>
              </c:numCache>
            </c:numRef>
          </c:xVal>
          <c:yVal>
            <c:numRef>
              <c:f>Retorno!$N$3:$N$254</c:f>
              <c:numCache>
                <c:formatCode>0.000%</c:formatCode>
                <c:ptCount val="252"/>
                <c:pt idx="0">
                  <c:v>2.8121205565770678E-3</c:v>
                </c:pt>
                <c:pt idx="1">
                  <c:v>7.7070400094383651E-3</c:v>
                </c:pt>
                <c:pt idx="2">
                  <c:v>7.8738144273404372E-3</c:v>
                </c:pt>
                <c:pt idx="3">
                  <c:v>2.1711540417555734E-2</c:v>
                </c:pt>
                <c:pt idx="4">
                  <c:v>-2.6519108676923038E-2</c:v>
                </c:pt>
                <c:pt idx="5">
                  <c:v>1.2564052740774025E-2</c:v>
                </c:pt>
                <c:pt idx="6">
                  <c:v>8.8072127836774459E-3</c:v>
                </c:pt>
                <c:pt idx="7">
                  <c:v>2.1575762719950167E-2</c:v>
                </c:pt>
                <c:pt idx="8">
                  <c:v>1.899078242547661E-2</c:v>
                </c:pt>
                <c:pt idx="9">
                  <c:v>1.1717517176788328E-3</c:v>
                </c:pt>
                <c:pt idx="10">
                  <c:v>8.4277857631225358E-3</c:v>
                </c:pt>
                <c:pt idx="11">
                  <c:v>1.2659131987154749E-3</c:v>
                </c:pt>
                <c:pt idx="12">
                  <c:v>-3.6449647610985361E-2</c:v>
                </c:pt>
                <c:pt idx="13">
                  <c:v>-2.9685687263803755E-2</c:v>
                </c:pt>
                <c:pt idx="14">
                  <c:v>3.4855737123982338E-3</c:v>
                </c:pt>
                <c:pt idx="15">
                  <c:v>6.6007039975988667E-3</c:v>
                </c:pt>
                <c:pt idx="16">
                  <c:v>-1.7207766577965616E-2</c:v>
                </c:pt>
                <c:pt idx="17">
                  <c:v>-1.1925628607410014E-2</c:v>
                </c:pt>
                <c:pt idx="18">
                  <c:v>8.744192273870471E-3</c:v>
                </c:pt>
                <c:pt idx="19">
                  <c:v>-4.1626265495737849E-3</c:v>
                </c:pt>
                <c:pt idx="20">
                  <c:v>1.6771885661529522E-2</c:v>
                </c:pt>
                <c:pt idx="21">
                  <c:v>6.1618290451625419E-3</c:v>
                </c:pt>
                <c:pt idx="22">
                  <c:v>-2.0194689945887755E-2</c:v>
                </c:pt>
                <c:pt idx="23">
                  <c:v>-8.9290841663582452E-3</c:v>
                </c:pt>
                <c:pt idx="24">
                  <c:v>4.932157084030179E-3</c:v>
                </c:pt>
                <c:pt idx="25">
                  <c:v>7.3532671978666295E-3</c:v>
                </c:pt>
                <c:pt idx="26">
                  <c:v>-2.3676570379196956E-2</c:v>
                </c:pt>
                <c:pt idx="27">
                  <c:v>-8.9372740582099996E-3</c:v>
                </c:pt>
                <c:pt idx="28">
                  <c:v>1.5245124110350558E-3</c:v>
                </c:pt>
                <c:pt idx="29">
                  <c:v>3.0418117645047292E-3</c:v>
                </c:pt>
                <c:pt idx="30">
                  <c:v>1.4726612543542477E-2</c:v>
                </c:pt>
                <c:pt idx="31">
                  <c:v>-7.8002013931504684E-3</c:v>
                </c:pt>
                <c:pt idx="32">
                  <c:v>7.2820978273525263E-3</c:v>
                </c:pt>
                <c:pt idx="33">
                  <c:v>7.1721957179410305E-3</c:v>
                </c:pt>
                <c:pt idx="34">
                  <c:v>1.4642797262619538E-2</c:v>
                </c:pt>
                <c:pt idx="35">
                  <c:v>8.4155364965835446E-3</c:v>
                </c:pt>
                <c:pt idx="36">
                  <c:v>-3.3577377412587176E-3</c:v>
                </c:pt>
                <c:pt idx="37">
                  <c:v>7.8729256654077838E-3</c:v>
                </c:pt>
                <c:pt idx="38">
                  <c:v>5.0484914715231101E-3</c:v>
                </c:pt>
                <c:pt idx="39">
                  <c:v>-1.0346128156285038E-2</c:v>
                </c:pt>
                <c:pt idx="40">
                  <c:v>-7.2710133536225421E-4</c:v>
                </c:pt>
                <c:pt idx="41">
                  <c:v>-8.8236168219693739E-3</c:v>
                </c:pt>
                <c:pt idx="42">
                  <c:v>-7.4223370429170512E-3</c:v>
                </c:pt>
                <c:pt idx="43">
                  <c:v>-2.1632256780532658E-3</c:v>
                </c:pt>
                <c:pt idx="44">
                  <c:v>-1.48134638605088E-2</c:v>
                </c:pt>
                <c:pt idx="45">
                  <c:v>6.9385280456884656E-4</c:v>
                </c:pt>
                <c:pt idx="46">
                  <c:v>2.5402110604923374E-3</c:v>
                </c:pt>
                <c:pt idx="47">
                  <c:v>-1.3583577722310494E-2</c:v>
                </c:pt>
                <c:pt idx="48">
                  <c:v>-2.4913184770041188E-2</c:v>
                </c:pt>
                <c:pt idx="49">
                  <c:v>7.9376258370334254E-3</c:v>
                </c:pt>
                <c:pt idx="50">
                  <c:v>1.2230145391432332E-2</c:v>
                </c:pt>
                <c:pt idx="51">
                  <c:v>2.8148308012558494E-3</c:v>
                </c:pt>
                <c:pt idx="52">
                  <c:v>1.8565290897534802E-2</c:v>
                </c:pt>
                <c:pt idx="53">
                  <c:v>2.0482069684558096E-2</c:v>
                </c:pt>
                <c:pt idx="54">
                  <c:v>-5.1946810275440517E-3</c:v>
                </c:pt>
                <c:pt idx="55">
                  <c:v>1.44996022601437E-2</c:v>
                </c:pt>
                <c:pt idx="56">
                  <c:v>1.4347282613426004E-2</c:v>
                </c:pt>
                <c:pt idx="57">
                  <c:v>5.8675683603629037E-3</c:v>
                </c:pt>
                <c:pt idx="58">
                  <c:v>-2.6278835003809412E-3</c:v>
                </c:pt>
                <c:pt idx="59">
                  <c:v>2.2954556969230551E-2</c:v>
                </c:pt>
                <c:pt idx="60">
                  <c:v>-8.6207243473615386E-3</c:v>
                </c:pt>
                <c:pt idx="61">
                  <c:v>1.4184635374476782E-2</c:v>
                </c:pt>
                <c:pt idx="62">
                  <c:v>3.0363308776654089E-3</c:v>
                </c:pt>
                <c:pt idx="63">
                  <c:v>9.0015200429287429E-3</c:v>
                </c:pt>
                <c:pt idx="64">
                  <c:v>-1.0544870529251719E-4</c:v>
                </c:pt>
                <c:pt idx="65">
                  <c:v>9.2354873918627962E-3</c:v>
                </c:pt>
                <c:pt idx="66">
                  <c:v>-4.2398033377747738E-3</c:v>
                </c:pt>
                <c:pt idx="67">
                  <c:v>3.5083046042034536E-3</c:v>
                </c:pt>
                <c:pt idx="68">
                  <c:v>-7.0289607553052254E-3</c:v>
                </c:pt>
                <c:pt idx="69">
                  <c:v>-9.4805949388913479E-4</c:v>
                </c:pt>
                <c:pt idx="70">
                  <c:v>3.2089405359202782E-3</c:v>
                </c:pt>
                <c:pt idx="71">
                  <c:v>-5.4242788854046205E-3</c:v>
                </c:pt>
                <c:pt idx="72">
                  <c:v>3.0580089148523034E-3</c:v>
                </c:pt>
                <c:pt idx="73">
                  <c:v>6.7683969358011721E-3</c:v>
                </c:pt>
                <c:pt idx="74">
                  <c:v>-9.5097229376474839E-3</c:v>
                </c:pt>
                <c:pt idx="75">
                  <c:v>2.084449839920156E-2</c:v>
                </c:pt>
                <c:pt idx="76">
                  <c:v>-5.7032520050787593E-3</c:v>
                </c:pt>
                <c:pt idx="77">
                  <c:v>1.0088207138443817E-2</c:v>
                </c:pt>
                <c:pt idx="78">
                  <c:v>7.3850207302899578E-3</c:v>
                </c:pt>
                <c:pt idx="79">
                  <c:v>-1.301155524149791E-2</c:v>
                </c:pt>
                <c:pt idx="80">
                  <c:v>7.8889519649972505E-3</c:v>
                </c:pt>
                <c:pt idx="81">
                  <c:v>1.6553655693470191E-2</c:v>
                </c:pt>
                <c:pt idx="82">
                  <c:v>7.5742185089877612E-4</c:v>
                </c:pt>
                <c:pt idx="83">
                  <c:v>-2.7295073142777661E-3</c:v>
                </c:pt>
                <c:pt idx="84">
                  <c:v>-8.53965400802611E-3</c:v>
                </c:pt>
                <c:pt idx="85">
                  <c:v>5.3458637702141027E-3</c:v>
                </c:pt>
                <c:pt idx="86">
                  <c:v>-1.0771711802952852E-2</c:v>
                </c:pt>
                <c:pt idx="87">
                  <c:v>-7.7033791279105483E-4</c:v>
                </c:pt>
                <c:pt idx="88">
                  <c:v>-5.5629055748559423E-3</c:v>
                </c:pt>
                <c:pt idx="89">
                  <c:v>-2.8449113917028523E-3</c:v>
                </c:pt>
                <c:pt idx="90">
                  <c:v>5.1779897604456546E-4</c:v>
                </c:pt>
                <c:pt idx="91">
                  <c:v>2.2237825955231019E-3</c:v>
                </c:pt>
                <c:pt idx="92">
                  <c:v>-5.4389057902563941E-3</c:v>
                </c:pt>
                <c:pt idx="93">
                  <c:v>-3.6442669115568614E-2</c:v>
                </c:pt>
                <c:pt idx="94">
                  <c:v>-7.5158087877084971E-3</c:v>
                </c:pt>
                <c:pt idx="95">
                  <c:v>-1.2781428001649012E-2</c:v>
                </c:pt>
                <c:pt idx="96">
                  <c:v>-4.0210117830922973E-3</c:v>
                </c:pt>
                <c:pt idx="97">
                  <c:v>2.3887222589555022E-2</c:v>
                </c:pt>
                <c:pt idx="98">
                  <c:v>-2.2659828390601978E-3</c:v>
                </c:pt>
                <c:pt idx="99">
                  <c:v>5.655471783241264E-3</c:v>
                </c:pt>
                <c:pt idx="100">
                  <c:v>-3.2278053849822972E-3</c:v>
                </c:pt>
                <c:pt idx="101">
                  <c:v>1.776525989713901E-3</c:v>
                </c:pt>
                <c:pt idx="102">
                  <c:v>-1.2393598825964395E-2</c:v>
                </c:pt>
                <c:pt idx="103">
                  <c:v>-5.186893307744119E-3</c:v>
                </c:pt>
                <c:pt idx="104">
                  <c:v>3.205143040647615E-2</c:v>
                </c:pt>
                <c:pt idx="105">
                  <c:v>1.5413605907075779E-2</c:v>
                </c:pt>
                <c:pt idx="106">
                  <c:v>1.2089939794405298E-2</c:v>
                </c:pt>
                <c:pt idx="107">
                  <c:v>6.6312354047433934E-3</c:v>
                </c:pt>
                <c:pt idx="108">
                  <c:v>-3.4900447377881711E-3</c:v>
                </c:pt>
                <c:pt idx="109">
                  <c:v>-1.6980138057580752E-3</c:v>
                </c:pt>
                <c:pt idx="110">
                  <c:v>-9.053703332614238E-3</c:v>
                </c:pt>
                <c:pt idx="111">
                  <c:v>-3.5923582258243084E-3</c:v>
                </c:pt>
                <c:pt idx="112">
                  <c:v>-1.9433375980611085E-2</c:v>
                </c:pt>
                <c:pt idx="113">
                  <c:v>-1.9547375416428876E-2</c:v>
                </c:pt>
                <c:pt idx="114">
                  <c:v>1.3252435087594459E-2</c:v>
                </c:pt>
                <c:pt idx="115">
                  <c:v>-5.4198470459970276E-3</c:v>
                </c:pt>
                <c:pt idx="116">
                  <c:v>9.7984505156412712E-3</c:v>
                </c:pt>
                <c:pt idx="117">
                  <c:v>8.5946741458582179E-3</c:v>
                </c:pt>
                <c:pt idx="118">
                  <c:v>5.8094509155742779E-4</c:v>
                </c:pt>
                <c:pt idx="119">
                  <c:v>-5.7713210785359176E-3</c:v>
                </c:pt>
                <c:pt idx="120">
                  <c:v>4.0856395568765842E-3</c:v>
                </c:pt>
                <c:pt idx="121">
                  <c:v>-9.0426439389799818E-3</c:v>
                </c:pt>
                <c:pt idx="122">
                  <c:v>-1.133841763443315E-2</c:v>
                </c:pt>
                <c:pt idx="123">
                  <c:v>-4.8213974030586366E-3</c:v>
                </c:pt>
                <c:pt idx="124">
                  <c:v>-1.5759825619922172E-3</c:v>
                </c:pt>
                <c:pt idx="125">
                  <c:v>-8.4661574423176515E-3</c:v>
                </c:pt>
                <c:pt idx="126">
                  <c:v>-4.1223013161664603E-3</c:v>
                </c:pt>
                <c:pt idx="127">
                  <c:v>4.1772619153831059E-3</c:v>
                </c:pt>
                <c:pt idx="128">
                  <c:v>1.118116096025438E-2</c:v>
                </c:pt>
                <c:pt idx="129">
                  <c:v>-1.0084818339197638E-2</c:v>
                </c:pt>
                <c:pt idx="130">
                  <c:v>-7.479106127821062E-3</c:v>
                </c:pt>
                <c:pt idx="131">
                  <c:v>8.0816092470088127E-3</c:v>
                </c:pt>
                <c:pt idx="132">
                  <c:v>-6.647496052951337E-3</c:v>
                </c:pt>
                <c:pt idx="133">
                  <c:v>-3.6999302544279294E-3</c:v>
                </c:pt>
                <c:pt idx="134">
                  <c:v>-6.0485955778969338E-3</c:v>
                </c:pt>
                <c:pt idx="135">
                  <c:v>-2.5708994582135079E-2</c:v>
                </c:pt>
                <c:pt idx="136">
                  <c:v>-2.8853134850884594E-2</c:v>
                </c:pt>
                <c:pt idx="137">
                  <c:v>-5.8956789518436912E-3</c:v>
                </c:pt>
                <c:pt idx="138">
                  <c:v>-7.0975441095678829E-4</c:v>
                </c:pt>
                <c:pt idx="139">
                  <c:v>1.0184574634208254E-2</c:v>
                </c:pt>
                <c:pt idx="140">
                  <c:v>1.1762232376596935E-2</c:v>
                </c:pt>
                <c:pt idx="141">
                  <c:v>2.7746091448219968E-3</c:v>
                </c:pt>
                <c:pt idx="142">
                  <c:v>-1.2196574219039144E-2</c:v>
                </c:pt>
                <c:pt idx="143">
                  <c:v>1.0868104262170121E-2</c:v>
                </c:pt>
                <c:pt idx="144">
                  <c:v>-2.1990199647653258E-3</c:v>
                </c:pt>
                <c:pt idx="145">
                  <c:v>6.3521899768463532E-3</c:v>
                </c:pt>
                <c:pt idx="146">
                  <c:v>1.3493637966671364E-2</c:v>
                </c:pt>
                <c:pt idx="147">
                  <c:v>1.4602145308817756E-2</c:v>
                </c:pt>
                <c:pt idx="148">
                  <c:v>-4.1715613983300662E-2</c:v>
                </c:pt>
                <c:pt idx="149">
                  <c:v>5.2960884338796171E-3</c:v>
                </c:pt>
                <c:pt idx="150">
                  <c:v>-8.3350523254073824E-3</c:v>
                </c:pt>
                <c:pt idx="151">
                  <c:v>-6.6948293563426041E-3</c:v>
                </c:pt>
                <c:pt idx="152">
                  <c:v>2.0990652674622658E-2</c:v>
                </c:pt>
                <c:pt idx="153">
                  <c:v>-1.0615167680639992E-2</c:v>
                </c:pt>
                <c:pt idx="154">
                  <c:v>-8.4917741718009161E-3</c:v>
                </c:pt>
                <c:pt idx="155">
                  <c:v>-7.0234473180625914E-3</c:v>
                </c:pt>
                <c:pt idx="156">
                  <c:v>4.7859728642550272E-3</c:v>
                </c:pt>
                <c:pt idx="157">
                  <c:v>-4.9043056684808586E-3</c:v>
                </c:pt>
                <c:pt idx="158">
                  <c:v>4.4916084303433098E-3</c:v>
                </c:pt>
                <c:pt idx="159">
                  <c:v>-6.685740856598745E-3</c:v>
                </c:pt>
                <c:pt idx="160">
                  <c:v>7.2163751807764352E-3</c:v>
                </c:pt>
                <c:pt idx="161">
                  <c:v>-1.120175412492392E-2</c:v>
                </c:pt>
                <c:pt idx="162">
                  <c:v>4.236087617690229E-2</c:v>
                </c:pt>
                <c:pt idx="163">
                  <c:v>8.5896815167550832E-3</c:v>
                </c:pt>
                <c:pt idx="164">
                  <c:v>-2.2106106529132866E-2</c:v>
                </c:pt>
                <c:pt idx="165">
                  <c:v>-1.9353292388622649E-2</c:v>
                </c:pt>
                <c:pt idx="166">
                  <c:v>-8.1807529156866562E-3</c:v>
                </c:pt>
                <c:pt idx="167">
                  <c:v>-5.7307029681765223E-3</c:v>
                </c:pt>
                <c:pt idx="168">
                  <c:v>-1.2287828139873455E-2</c:v>
                </c:pt>
                <c:pt idx="169">
                  <c:v>5.07788929321121E-3</c:v>
                </c:pt>
                <c:pt idx="170">
                  <c:v>6.3713730744178647E-3</c:v>
                </c:pt>
                <c:pt idx="171">
                  <c:v>1.2622341953280228E-2</c:v>
                </c:pt>
                <c:pt idx="172">
                  <c:v>5.1340934294748482E-3</c:v>
                </c:pt>
                <c:pt idx="173">
                  <c:v>-3.4788581331064421E-3</c:v>
                </c:pt>
                <c:pt idx="174">
                  <c:v>2.4505258851654717E-2</c:v>
                </c:pt>
                <c:pt idx="175">
                  <c:v>-1.8439790545778333E-2</c:v>
                </c:pt>
                <c:pt idx="176">
                  <c:v>-6.0654683058762593E-3</c:v>
                </c:pt>
                <c:pt idx="177">
                  <c:v>2.1792612899963495E-2</c:v>
                </c:pt>
                <c:pt idx="178">
                  <c:v>5.8095544508652106E-2</c:v>
                </c:pt>
                <c:pt idx="179">
                  <c:v>-9.1483674173388676E-3</c:v>
                </c:pt>
                <c:pt idx="180">
                  <c:v>3.7898712813242458E-3</c:v>
                </c:pt>
                <c:pt idx="181">
                  <c:v>1.8624377821563668E-3</c:v>
                </c:pt>
                <c:pt idx="182">
                  <c:v>9.9644209184128335E-3</c:v>
                </c:pt>
                <c:pt idx="183">
                  <c:v>-6.9140777525400921E-3</c:v>
                </c:pt>
                <c:pt idx="184">
                  <c:v>1.7491613013872163E-2</c:v>
                </c:pt>
                <c:pt idx="185">
                  <c:v>6.1545058292852206E-3</c:v>
                </c:pt>
                <c:pt idx="186">
                  <c:v>1.2143861705092206E-2</c:v>
                </c:pt>
                <c:pt idx="187">
                  <c:v>6.3229391275216771E-4</c:v>
                </c:pt>
                <c:pt idx="188">
                  <c:v>1.5802948487189222E-4</c:v>
                </c:pt>
                <c:pt idx="189">
                  <c:v>6.1431644627328542E-3</c:v>
                </c:pt>
                <c:pt idx="190">
                  <c:v>6.8338906269820778E-3</c:v>
                </c:pt>
                <c:pt idx="191">
                  <c:v>-7.5669526869904195E-3</c:v>
                </c:pt>
                <c:pt idx="192">
                  <c:v>-2.128302424671985E-2</c:v>
                </c:pt>
                <c:pt idx="193">
                  <c:v>1.6452046082168593E-2</c:v>
                </c:pt>
                <c:pt idx="194">
                  <c:v>5.2749355993220789E-5</c:v>
                </c:pt>
                <c:pt idx="195">
                  <c:v>1.5777000232845243E-3</c:v>
                </c:pt>
                <c:pt idx="196">
                  <c:v>5.2413568168104213E-3</c:v>
                </c:pt>
                <c:pt idx="197">
                  <c:v>5.0060225548219234E-3</c:v>
                </c:pt>
                <c:pt idx="198">
                  <c:v>9.2161623911649945E-3</c:v>
                </c:pt>
                <c:pt idx="199">
                  <c:v>1.6479275844381797E-3</c:v>
                </c:pt>
                <c:pt idx="200">
                  <c:v>7.7904722351031866E-3</c:v>
                </c:pt>
                <c:pt idx="201">
                  <c:v>-7.121864915451831E-3</c:v>
                </c:pt>
                <c:pt idx="202">
                  <c:v>1.2315935510636394E-2</c:v>
                </c:pt>
                <c:pt idx="203">
                  <c:v>-1.9333515601065478E-2</c:v>
                </c:pt>
                <c:pt idx="204">
                  <c:v>7.0131414104475584E-2</c:v>
                </c:pt>
                <c:pt idx="205">
                  <c:v>2.8177683832117249E-2</c:v>
                </c:pt>
                <c:pt idx="206">
                  <c:v>5.4761020107099078E-3</c:v>
                </c:pt>
                <c:pt idx="207">
                  <c:v>-8.2019263390725322E-3</c:v>
                </c:pt>
                <c:pt idx="208">
                  <c:v>1.948047725735666E-2</c:v>
                </c:pt>
                <c:pt idx="209">
                  <c:v>-1.1045270681009117E-2</c:v>
                </c:pt>
                <c:pt idx="210">
                  <c:v>-2.1747631659808291E-2</c:v>
                </c:pt>
                <c:pt idx="211">
                  <c:v>-1.0499345697948081E-2</c:v>
                </c:pt>
                <c:pt idx="212">
                  <c:v>3.1277001097442104E-3</c:v>
                </c:pt>
                <c:pt idx="213">
                  <c:v>4.4582669163491413E-3</c:v>
                </c:pt>
                <c:pt idx="214">
                  <c:v>1.9796003669469535E-2</c:v>
                </c:pt>
                <c:pt idx="215">
                  <c:v>3.9780687953256729E-3</c:v>
                </c:pt>
                <c:pt idx="216">
                  <c:v>-1.6387734624486144E-2</c:v>
                </c:pt>
                <c:pt idx="217">
                  <c:v>2.8689111628198698E-2</c:v>
                </c:pt>
                <c:pt idx="218">
                  <c:v>1.6109449297697549E-2</c:v>
                </c:pt>
                <c:pt idx="219">
                  <c:v>5.7942259479230023E-3</c:v>
                </c:pt>
                <c:pt idx="220">
                  <c:v>2.1389960415288217E-2</c:v>
                </c:pt>
                <c:pt idx="221">
                  <c:v>6.5176077697273217E-3</c:v>
                </c:pt>
                <c:pt idx="222">
                  <c:v>3.7677515857849927E-3</c:v>
                </c:pt>
                <c:pt idx="223">
                  <c:v>1.8628964806476703E-2</c:v>
                </c:pt>
                <c:pt idx="224">
                  <c:v>-2.3494672238777499E-2</c:v>
                </c:pt>
                <c:pt idx="225">
                  <c:v>1.2966442042243119E-2</c:v>
                </c:pt>
                <c:pt idx="226">
                  <c:v>1.6604708169325119E-2</c:v>
                </c:pt>
                <c:pt idx="227">
                  <c:v>1.7902506232981147E-3</c:v>
                </c:pt>
                <c:pt idx="228">
                  <c:v>-2.5621428783056767E-2</c:v>
                </c:pt>
                <c:pt idx="229">
                  <c:v>-2.074860964039351E-2</c:v>
                </c:pt>
                <c:pt idx="230">
                  <c:v>5.7973336916425204E-4</c:v>
                </c:pt>
                <c:pt idx="231">
                  <c:v>-1.5614861566389346E-3</c:v>
                </c:pt>
                <c:pt idx="232">
                  <c:v>4.6772962161707281E-3</c:v>
                </c:pt>
                <c:pt idx="233">
                  <c:v>-2.9175802186708118E-2</c:v>
                </c:pt>
                <c:pt idx="234">
                  <c:v>-4.8161042901711899E-3</c:v>
                </c:pt>
                <c:pt idx="235">
                  <c:v>2.1586660116600692E-3</c:v>
                </c:pt>
                <c:pt idx="236">
                  <c:v>1.2838228252665619E-3</c:v>
                </c:pt>
                <c:pt idx="237">
                  <c:v>2.562716177992965E-3</c:v>
                </c:pt>
                <c:pt idx="238">
                  <c:v>1.4879566390620118E-2</c:v>
                </c:pt>
                <c:pt idx="239">
                  <c:v>-1.6892595276606047E-2</c:v>
                </c:pt>
                <c:pt idx="240">
                  <c:v>6.8458769114516189E-3</c:v>
                </c:pt>
                <c:pt idx="241">
                  <c:v>-4.936563304839342E-2</c:v>
                </c:pt>
                <c:pt idx="242">
                  <c:v>-9.7960810695936606E-3</c:v>
                </c:pt>
                <c:pt idx="243">
                  <c:v>1.2420806909965328E-2</c:v>
                </c:pt>
                <c:pt idx="244">
                  <c:v>1.6496471649674511E-2</c:v>
                </c:pt>
                <c:pt idx="245">
                  <c:v>1.3642429865120695E-2</c:v>
                </c:pt>
                <c:pt idx="246">
                  <c:v>7.1046339891622338E-3</c:v>
                </c:pt>
                <c:pt idx="247">
                  <c:v>1.7046925905757491E-2</c:v>
                </c:pt>
                <c:pt idx="248">
                  <c:v>2.0316357014954671E-3</c:v>
                </c:pt>
                <c:pt idx="249">
                  <c:v>1.3439858184173351E-2</c:v>
                </c:pt>
                <c:pt idx="250">
                  <c:v>5.9010397660438866E-3</c:v>
                </c:pt>
                <c:pt idx="251">
                  <c:v>0</c:v>
                </c:pt>
              </c:numCache>
            </c:numRef>
          </c:yVal>
          <c:smooth val="0"/>
          <c:extLst>
            <c:ext xmlns:c16="http://schemas.microsoft.com/office/drawing/2014/chart" uri="{C3380CC4-5D6E-409C-BE32-E72D297353CC}">
              <c16:uniqueId val="{00000000-D886-D54E-9A87-9D3D382312B6}"/>
            </c:ext>
          </c:extLst>
        </c:ser>
        <c:dLbls>
          <c:showLegendKey val="0"/>
          <c:showVal val="0"/>
          <c:showCatName val="0"/>
          <c:showSerName val="0"/>
          <c:showPercent val="0"/>
          <c:showBubbleSize val="0"/>
        </c:dLbls>
        <c:axId val="610294720"/>
        <c:axId val="610296432"/>
      </c:scatterChart>
      <c:valAx>
        <c:axId val="610294720"/>
        <c:scaling>
          <c:orientation val="minMax"/>
        </c:scaling>
        <c:delete val="0"/>
        <c:axPos val="b"/>
        <c:numFmt formatCode="0.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10296432"/>
        <c:crosses val="autoZero"/>
        <c:crossBetween val="midCat"/>
      </c:valAx>
      <c:valAx>
        <c:axId val="61029643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102947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Retorno!$O$2</c:f>
              <c:strCache>
                <c:ptCount val="1"/>
                <c:pt idx="0">
                  <c:v>Coca-Cola t+1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3217409267117589"/>
                  <c:y val="-0.3111891660670780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xVal>
            <c:numRef>
              <c:f>Retorno!$G$3:$G$254</c:f>
              <c:numCache>
                <c:formatCode>0.000%</c:formatCode>
                <c:ptCount val="252"/>
                <c:pt idx="0">
                  <c:v>2.1472312077841786E-3</c:v>
                </c:pt>
                <c:pt idx="1">
                  <c:v>5.5939921723177225E-3</c:v>
                </c:pt>
                <c:pt idx="2">
                  <c:v>-8.568180711971048E-3</c:v>
                </c:pt>
                <c:pt idx="3">
                  <c:v>-6.141625470814838E-3</c:v>
                </c:pt>
                <c:pt idx="4">
                  <c:v>3.4904214645253497E-3</c:v>
                </c:pt>
                <c:pt idx="5">
                  <c:v>-2.6582344086022547E-3</c:v>
                </c:pt>
                <c:pt idx="6">
                  <c:v>4.6472362667604817E-3</c:v>
                </c:pt>
                <c:pt idx="7">
                  <c:v>2.811071519673288E-3</c:v>
                </c:pt>
                <c:pt idx="8">
                  <c:v>-9.9121473034572902E-4</c:v>
                </c:pt>
                <c:pt idx="9">
                  <c:v>-4.9597604879833524E-4</c:v>
                </c:pt>
                <c:pt idx="10">
                  <c:v>-1.0640119950070189E-2</c:v>
                </c:pt>
                <c:pt idx="11">
                  <c:v>-8.7293459886518768E-3</c:v>
                </c:pt>
                <c:pt idx="12">
                  <c:v>-8.2960032000802229E-3</c:v>
                </c:pt>
                <c:pt idx="13">
                  <c:v>-6.802636816685408E-4</c:v>
                </c:pt>
                <c:pt idx="14">
                  <c:v>-7.685086250950387E-3</c:v>
                </c:pt>
                <c:pt idx="15">
                  <c:v>0</c:v>
                </c:pt>
                <c:pt idx="16">
                  <c:v>9.3849136242531647E-3</c:v>
                </c:pt>
                <c:pt idx="17">
                  <c:v>-9.8994165765982269E-3</c:v>
                </c:pt>
                <c:pt idx="18">
                  <c:v>2.3984991177818894E-3</c:v>
                </c:pt>
                <c:pt idx="19">
                  <c:v>8.2446925036342867E-3</c:v>
                </c:pt>
                <c:pt idx="20">
                  <c:v>-8.9348416448038568E-3</c:v>
                </c:pt>
                <c:pt idx="21">
                  <c:v>6.1940863988089057E-3</c:v>
                </c:pt>
                <c:pt idx="22">
                  <c:v>-2.0603885067279927E-3</c:v>
                </c:pt>
                <c:pt idx="23">
                  <c:v>4.4589357728930948E-3</c:v>
                </c:pt>
                <c:pt idx="24">
                  <c:v>-1.5520182226064388E-2</c:v>
                </c:pt>
                <c:pt idx="25">
                  <c:v>1.0421744338548341E-3</c:v>
                </c:pt>
                <c:pt idx="26">
                  <c:v>-1.0471250468192831E-2</c:v>
                </c:pt>
                <c:pt idx="27">
                  <c:v>-8.2798817906721903E-3</c:v>
                </c:pt>
                <c:pt idx="28">
                  <c:v>-1.0313022416799286E-2</c:v>
                </c:pt>
                <c:pt idx="29">
                  <c:v>-2.5052793506595878E-3</c:v>
                </c:pt>
                <c:pt idx="30">
                  <c:v>3.0412831937692204E-3</c:v>
                </c:pt>
                <c:pt idx="31">
                  <c:v>-8.9718561804357604E-3</c:v>
                </c:pt>
                <c:pt idx="32">
                  <c:v>-1.0873561101627389E-2</c:v>
                </c:pt>
                <c:pt idx="33">
                  <c:v>2.9112300036451422E-3</c:v>
                </c:pt>
                <c:pt idx="34">
                  <c:v>-4.9535374384451825E-2</c:v>
                </c:pt>
                <c:pt idx="35">
                  <c:v>1.4405068586763934E-2</c:v>
                </c:pt>
                <c:pt idx="36">
                  <c:v>-4.9046695157092994E-3</c:v>
                </c:pt>
                <c:pt idx="37">
                  <c:v>2.1514155913894644E-2</c:v>
                </c:pt>
                <c:pt idx="38">
                  <c:v>-5.9402085775266582E-3</c:v>
                </c:pt>
                <c:pt idx="39">
                  <c:v>-1.6898605731409447E-2</c:v>
                </c:pt>
                <c:pt idx="40">
                  <c:v>1.5136608826072475E-3</c:v>
                </c:pt>
                <c:pt idx="41">
                  <c:v>1.0158067162630343E-2</c:v>
                </c:pt>
                <c:pt idx="42">
                  <c:v>1.1907236828734701E-2</c:v>
                </c:pt>
                <c:pt idx="43">
                  <c:v>-3.7001627652822851E-4</c:v>
                </c:pt>
                <c:pt idx="44">
                  <c:v>5.5350153172178456E-3</c:v>
                </c:pt>
                <c:pt idx="45">
                  <c:v>4.0397446205238134E-3</c:v>
                </c:pt>
                <c:pt idx="46">
                  <c:v>-9.01984365197008E-3</c:v>
                </c:pt>
                <c:pt idx="47">
                  <c:v>2.8437891260977562E-2</c:v>
                </c:pt>
                <c:pt idx="48">
                  <c:v>8.5898919565569297E-3</c:v>
                </c:pt>
                <c:pt idx="49">
                  <c:v>-6.0768940601561034E-3</c:v>
                </c:pt>
                <c:pt idx="50">
                  <c:v>-9.7279469304567372E-3</c:v>
                </c:pt>
                <c:pt idx="51">
                  <c:v>1.6339294527615768E-2</c:v>
                </c:pt>
                <c:pt idx="52">
                  <c:v>6.0369707476601144E-3</c:v>
                </c:pt>
                <c:pt idx="53">
                  <c:v>-8.8556819319023528E-4</c:v>
                </c:pt>
                <c:pt idx="54">
                  <c:v>1.1450857122828546E-2</c:v>
                </c:pt>
                <c:pt idx="55">
                  <c:v>-6.1495523287532295E-3</c:v>
                </c:pt>
                <c:pt idx="56">
                  <c:v>4.0454488376433064E-3</c:v>
                </c:pt>
                <c:pt idx="57">
                  <c:v>3.6793121473435051E-3</c:v>
                </c:pt>
                <c:pt idx="58">
                  <c:v>-1.5752086562333767E-3</c:v>
                </c:pt>
                <c:pt idx="59">
                  <c:v>-7.5604337307585206E-3</c:v>
                </c:pt>
                <c:pt idx="60">
                  <c:v>1.0583701900695479E-3</c:v>
                </c:pt>
                <c:pt idx="61">
                  <c:v>3.6955712633663846E-3</c:v>
                </c:pt>
                <c:pt idx="62">
                  <c:v>2.981612142296002E-3</c:v>
                </c:pt>
                <c:pt idx="63">
                  <c:v>1.9246372583412658E-3</c:v>
                </c:pt>
                <c:pt idx="64">
                  <c:v>-1.0493722296692307E-3</c:v>
                </c:pt>
                <c:pt idx="65">
                  <c:v>1.9229550455904989E-3</c:v>
                </c:pt>
                <c:pt idx="66">
                  <c:v>2.4420582166783792E-3</c:v>
                </c:pt>
                <c:pt idx="67">
                  <c:v>1.0915721899237774E-2</c:v>
                </c:pt>
                <c:pt idx="68">
                  <c:v>6.698173115196048E-3</c:v>
                </c:pt>
                <c:pt idx="69">
                  <c:v>2.564368058518235E-3</c:v>
                </c:pt>
                <c:pt idx="70">
                  <c:v>-1.8798349524674102E-3</c:v>
                </c:pt>
                <c:pt idx="71">
                  <c:v>2.0506000205027385E-3</c:v>
                </c:pt>
                <c:pt idx="72">
                  <c:v>-5.9926490699218782E-3</c:v>
                </c:pt>
                <c:pt idx="73">
                  <c:v>1.1530896635000211E-2</c:v>
                </c:pt>
                <c:pt idx="74">
                  <c:v>3.4165183963682714E-3</c:v>
                </c:pt>
                <c:pt idx="75">
                  <c:v>-1.1944749472458554E-3</c:v>
                </c:pt>
                <c:pt idx="76">
                  <c:v>1.5354718166455639E-3</c:v>
                </c:pt>
                <c:pt idx="77">
                  <c:v>-1.0233916476147672E-3</c:v>
                </c:pt>
                <c:pt idx="78">
                  <c:v>2.3863212857141401E-3</c:v>
                </c:pt>
                <c:pt idx="79">
                  <c:v>-2.2156572655028478E-3</c:v>
                </c:pt>
                <c:pt idx="80">
                  <c:v>7.3098102582420726E-3</c:v>
                </c:pt>
                <c:pt idx="81">
                  <c:v>6.4156731620670822E-3</c:v>
                </c:pt>
                <c:pt idx="82">
                  <c:v>8.5463889760277086E-3</c:v>
                </c:pt>
                <c:pt idx="83">
                  <c:v>-1.4962062138094838E-2</c:v>
                </c:pt>
                <c:pt idx="84">
                  <c:v>-7.4804742784532674E-3</c:v>
                </c:pt>
                <c:pt idx="85">
                  <c:v>7.1417585896560408E-3</c:v>
                </c:pt>
                <c:pt idx="86">
                  <c:v>-3.2244751257021888E-3</c:v>
                </c:pt>
                <c:pt idx="87">
                  <c:v>-2.0955763699396959E-2</c:v>
                </c:pt>
                <c:pt idx="88">
                  <c:v>6.5744708171604086E-3</c:v>
                </c:pt>
                <c:pt idx="89">
                  <c:v>5.6744066112261139E-3</c:v>
                </c:pt>
                <c:pt idx="90">
                  <c:v>4.1068114348282283E-3</c:v>
                </c:pt>
                <c:pt idx="91">
                  <c:v>2.5581149129798759E-3</c:v>
                </c:pt>
                <c:pt idx="92">
                  <c:v>6.811858639393253E-4</c:v>
                </c:pt>
                <c:pt idx="93">
                  <c:v>3.0590814664282501E-3</c:v>
                </c:pt>
                <c:pt idx="94">
                  <c:v>1.4989765411567772E-2</c:v>
                </c:pt>
                <c:pt idx="95">
                  <c:v>2.3375916662677874E-3</c:v>
                </c:pt>
                <c:pt idx="96">
                  <c:v>-3.3411282708156569E-3</c:v>
                </c:pt>
                <c:pt idx="97">
                  <c:v>-1.5071191150336566E-3</c:v>
                </c:pt>
                <c:pt idx="98">
                  <c:v>7.3468937372898847E-3</c:v>
                </c:pt>
                <c:pt idx="99">
                  <c:v>-1.8316735365529078E-3</c:v>
                </c:pt>
                <c:pt idx="100">
                  <c:v>3.3277857054118689E-3</c:v>
                </c:pt>
                <c:pt idx="101">
                  <c:v>-6.4994939061170766E-3</c:v>
                </c:pt>
                <c:pt idx="102">
                  <c:v>9.6506195124218454E-3</c:v>
                </c:pt>
                <c:pt idx="103">
                  <c:v>-6.6456043485522889E-3</c:v>
                </c:pt>
                <c:pt idx="104">
                  <c:v>0</c:v>
                </c:pt>
                <c:pt idx="105">
                  <c:v>2.8297562882526783E-3</c:v>
                </c:pt>
                <c:pt idx="106">
                  <c:v>-5.5003761178523645E-3</c:v>
                </c:pt>
                <c:pt idx="107">
                  <c:v>-4.3551865509223759E-3</c:v>
                </c:pt>
                <c:pt idx="108">
                  <c:v>4.6892664291325829E-3</c:v>
                </c:pt>
                <c:pt idx="109">
                  <c:v>-1.5830462198802939E-2</c:v>
                </c:pt>
                <c:pt idx="110">
                  <c:v>4.2347552165082781E-3</c:v>
                </c:pt>
                <c:pt idx="111">
                  <c:v>3.5433502166368901E-3</c:v>
                </c:pt>
                <c:pt idx="112">
                  <c:v>6.045418986824742E-3</c:v>
                </c:pt>
                <c:pt idx="113">
                  <c:v>2.842073474480988E-3</c:v>
                </c:pt>
                <c:pt idx="114">
                  <c:v>-6.8682608284900979E-3</c:v>
                </c:pt>
                <c:pt idx="115">
                  <c:v>2.4737724565590001E-2</c:v>
                </c:pt>
                <c:pt idx="116">
                  <c:v>-7.2416284624734579E-3</c:v>
                </c:pt>
                <c:pt idx="117">
                  <c:v>-8.2933112377348989E-3</c:v>
                </c:pt>
                <c:pt idx="118">
                  <c:v>-1.6669342296507035E-3</c:v>
                </c:pt>
                <c:pt idx="119">
                  <c:v>8.3381444850086286E-4</c:v>
                </c:pt>
                <c:pt idx="120">
                  <c:v>-2.670619829599635E-3</c:v>
                </c:pt>
                <c:pt idx="121">
                  <c:v>-4.5230317841640829E-3</c:v>
                </c:pt>
                <c:pt idx="122">
                  <c:v>2.3477669245357624E-3</c:v>
                </c:pt>
                <c:pt idx="123">
                  <c:v>-5.8799302773867674E-3</c:v>
                </c:pt>
                <c:pt idx="124">
                  <c:v>-1.0114192349661964E-3</c:v>
                </c:pt>
                <c:pt idx="125">
                  <c:v>1.8535876226185115E-3</c:v>
                </c:pt>
                <c:pt idx="126">
                  <c:v>-1.6839405150777205E-4</c:v>
                </c:pt>
                <c:pt idx="127">
                  <c:v>2.181787938436186E-2</c:v>
                </c:pt>
                <c:pt idx="128">
                  <c:v>8.8568526987604264E-3</c:v>
                </c:pt>
                <c:pt idx="129">
                  <c:v>-1.4707357985398316E-3</c:v>
                </c:pt>
                <c:pt idx="130">
                  <c:v>8.1738858055153973E-4</c:v>
                </c:pt>
                <c:pt idx="131">
                  <c:v>-8.0388122707836501E-3</c:v>
                </c:pt>
                <c:pt idx="132">
                  <c:v>-6.1132169466150627E-3</c:v>
                </c:pt>
                <c:pt idx="133">
                  <c:v>9.9389517455469021E-4</c:v>
                </c:pt>
                <c:pt idx="134">
                  <c:v>-6.311315966027564E-3</c:v>
                </c:pt>
                <c:pt idx="135">
                  <c:v>-8.1974383416661724E-3</c:v>
                </c:pt>
                <c:pt idx="136">
                  <c:v>4.6925289520041878E-3</c:v>
                </c:pt>
                <c:pt idx="137">
                  <c:v>-4.8605552480539922E-3</c:v>
                </c:pt>
                <c:pt idx="138">
                  <c:v>5.0397715508103207E-4</c:v>
                </c:pt>
                <c:pt idx="139">
                  <c:v>-1.848914347035491E-3</c:v>
                </c:pt>
                <c:pt idx="140">
                  <c:v>1.3449371919544843E-3</c:v>
                </c:pt>
                <c:pt idx="141">
                  <c:v>1.2024245731310248E-2</c:v>
                </c:pt>
                <c:pt idx="142">
                  <c:v>4.3067844327523246E-3</c:v>
                </c:pt>
                <c:pt idx="143">
                  <c:v>1.0195775101912073E-2</c:v>
                </c:pt>
                <c:pt idx="144">
                  <c:v>-2.2289265661106588E-3</c:v>
                </c:pt>
                <c:pt idx="145">
                  <c:v>-1.0300751202101817E-2</c:v>
                </c:pt>
                <c:pt idx="146">
                  <c:v>4.1663069910752798E-3</c:v>
                </c:pt>
                <c:pt idx="147">
                  <c:v>1.6616478726241028E-3</c:v>
                </c:pt>
                <c:pt idx="148">
                  <c:v>8.5965451914703454E-3</c:v>
                </c:pt>
                <c:pt idx="149">
                  <c:v>-4.6196894266072042E-3</c:v>
                </c:pt>
                <c:pt idx="150">
                  <c:v>3.3072101581254086E-4</c:v>
                </c:pt>
                <c:pt idx="151">
                  <c:v>-1.4890065620656438E-3</c:v>
                </c:pt>
                <c:pt idx="152">
                  <c:v>2.3152310191375206E-3</c:v>
                </c:pt>
                <c:pt idx="153">
                  <c:v>8.0612064628980545E-3</c:v>
                </c:pt>
                <c:pt idx="154">
                  <c:v>2.4548076667502516E-3</c:v>
                </c:pt>
                <c:pt idx="155">
                  <c:v>-8.2061974569752581E-3</c:v>
                </c:pt>
                <c:pt idx="156">
                  <c:v>-8.7726750393700287E-3</c:v>
                </c:pt>
                <c:pt idx="157">
                  <c:v>-5.3342326889105063E-3</c:v>
                </c:pt>
                <c:pt idx="158">
                  <c:v>-8.8979314726668046E-3</c:v>
                </c:pt>
                <c:pt idx="159">
                  <c:v>3.5350412795235415E-3</c:v>
                </c:pt>
                <c:pt idx="160">
                  <c:v>-4.0410882798711488E-3</c:v>
                </c:pt>
                <c:pt idx="161">
                  <c:v>7.5637276739742845E-3</c:v>
                </c:pt>
                <c:pt idx="162">
                  <c:v>-1.348640955626019E-2</c:v>
                </c:pt>
                <c:pt idx="163">
                  <c:v>2.2039331166826617E-3</c:v>
                </c:pt>
                <c:pt idx="164">
                  <c:v>-1.3125590939175541E-2</c:v>
                </c:pt>
                <c:pt idx="165">
                  <c:v>-2.4050333635455131E-3</c:v>
                </c:pt>
                <c:pt idx="166">
                  <c:v>-1.3769359849297128E-3</c:v>
                </c:pt>
                <c:pt idx="167">
                  <c:v>7.7206836858722564E-3</c:v>
                </c:pt>
                <c:pt idx="168">
                  <c:v>6.8132245978021052E-3</c:v>
                </c:pt>
                <c:pt idx="169">
                  <c:v>2.1162958107073866E-2</c:v>
                </c:pt>
                <c:pt idx="170">
                  <c:v>6.2956618817539729E-3</c:v>
                </c:pt>
                <c:pt idx="171">
                  <c:v>1.4852540987510795E-3</c:v>
                </c:pt>
                <c:pt idx="172">
                  <c:v>1.4895089026447495E-2</c:v>
                </c:pt>
                <c:pt idx="173">
                  <c:v>3.082230575187468E-3</c:v>
                </c:pt>
                <c:pt idx="174">
                  <c:v>0</c:v>
                </c:pt>
                <c:pt idx="175">
                  <c:v>4.8472846158211921E-3</c:v>
                </c:pt>
                <c:pt idx="176">
                  <c:v>-4.3615431401830369E-3</c:v>
                </c:pt>
                <c:pt idx="177">
                  <c:v>2.5869042305606007E-3</c:v>
                </c:pt>
                <c:pt idx="178">
                  <c:v>9.683988994642935E-4</c:v>
                </c:pt>
                <c:pt idx="179">
                  <c:v>2.8994529241732746E-3</c:v>
                </c:pt>
                <c:pt idx="180">
                  <c:v>2.8910542328630683E-3</c:v>
                </c:pt>
                <c:pt idx="181">
                  <c:v>4.3210584019733201E-3</c:v>
                </c:pt>
                <c:pt idx="182">
                  <c:v>3.666217842342803E-3</c:v>
                </c:pt>
                <c:pt idx="183">
                  <c:v>4.7729304993157585E-4</c:v>
                </c:pt>
                <c:pt idx="184">
                  <c:v>6.0250352963449492E-3</c:v>
                </c:pt>
                <c:pt idx="185">
                  <c:v>5.0457831514656758E-3</c:v>
                </c:pt>
                <c:pt idx="186">
                  <c:v>-7.578230471947678E-3</c:v>
                </c:pt>
                <c:pt idx="187">
                  <c:v>4.7533860586955039E-4</c:v>
                </c:pt>
                <c:pt idx="188">
                  <c:v>3.0051413878821489E-3</c:v>
                </c:pt>
                <c:pt idx="189">
                  <c:v>-4.5904615610439566E-3</c:v>
                </c:pt>
                <c:pt idx="190">
                  <c:v>-7.3248867997968373E-3</c:v>
                </c:pt>
                <c:pt idx="191">
                  <c:v>5.4192175886679812E-3</c:v>
                </c:pt>
                <c:pt idx="192">
                  <c:v>1.4295762641888972E-3</c:v>
                </c:pt>
                <c:pt idx="193">
                  <c:v>-1.454975939193497E-2</c:v>
                </c:pt>
                <c:pt idx="194">
                  <c:v>-1.4505435120728959E-3</c:v>
                </c:pt>
                <c:pt idx="195">
                  <c:v>-2.907479760967422E-3</c:v>
                </c:pt>
                <c:pt idx="196">
                  <c:v>-1.9429887302046369E-3</c:v>
                </c:pt>
                <c:pt idx="197">
                  <c:v>4.3664643547632167E-3</c:v>
                </c:pt>
                <c:pt idx="198">
                  <c:v>1.537262663889283E-2</c:v>
                </c:pt>
                <c:pt idx="199">
                  <c:v>0</c:v>
                </c:pt>
                <c:pt idx="200">
                  <c:v>1.5922092232906072E-2</c:v>
                </c:pt>
                <c:pt idx="201">
                  <c:v>-3.1287359214828865E-4</c:v>
                </c:pt>
                <c:pt idx="202">
                  <c:v>3.5918669636785371E-3</c:v>
                </c:pt>
                <c:pt idx="203">
                  <c:v>-3.748245865629597E-3</c:v>
                </c:pt>
                <c:pt idx="204">
                  <c:v>-5.0196004719991047E-3</c:v>
                </c:pt>
                <c:pt idx="205">
                  <c:v>-6.2929080548693986E-4</c:v>
                </c:pt>
                <c:pt idx="206">
                  <c:v>-1.0598781521427382E-2</c:v>
                </c:pt>
                <c:pt idx="207">
                  <c:v>1.7478507559406556E-3</c:v>
                </c:pt>
                <c:pt idx="208">
                  <c:v>7.1958738958610062E-4</c:v>
                </c:pt>
                <c:pt idx="209">
                  <c:v>1.1184790032108326E-3</c:v>
                </c:pt>
                <c:pt idx="210">
                  <c:v>1.5971257518978638E-4</c:v>
                </c:pt>
                <c:pt idx="211">
                  <c:v>-7.2110078735026766E-3</c:v>
                </c:pt>
                <c:pt idx="212">
                  <c:v>9.443847698832648E-3</c:v>
                </c:pt>
                <c:pt idx="213">
                  <c:v>1.8936986764933515E-2</c:v>
                </c:pt>
                <c:pt idx="214">
                  <c:v>-2.0342859528205111E-3</c:v>
                </c:pt>
                <c:pt idx="215">
                  <c:v>3.2841220395962312E-3</c:v>
                </c:pt>
                <c:pt idx="216">
                  <c:v>-2.1882315189594016E-3</c:v>
                </c:pt>
                <c:pt idx="217">
                  <c:v>-4.0764872369371159E-3</c:v>
                </c:pt>
                <c:pt idx="218">
                  <c:v>-5.8300487686362692E-3</c:v>
                </c:pt>
                <c:pt idx="219">
                  <c:v>-2.0564271894918324E-3</c:v>
                </c:pt>
                <c:pt idx="220">
                  <c:v>2.8463016418229037E-3</c:v>
                </c:pt>
                <c:pt idx="221">
                  <c:v>6.7668210053826762E-3</c:v>
                </c:pt>
                <c:pt idx="222">
                  <c:v>-1.2626414888283227E-2</c:v>
                </c:pt>
                <c:pt idx="223">
                  <c:v>-4.2976588916777241E-3</c:v>
                </c:pt>
                <c:pt idx="224">
                  <c:v>2.2307689124128954E-3</c:v>
                </c:pt>
                <c:pt idx="225">
                  <c:v>4.2880396046633875E-3</c:v>
                </c:pt>
                <c:pt idx="226">
                  <c:v>9.4638404252588466E-3</c:v>
                </c:pt>
                <c:pt idx="227">
                  <c:v>-4.563000564764429E-3</c:v>
                </c:pt>
                <c:pt idx="228">
                  <c:v>1.3471334993176645E-2</c:v>
                </c:pt>
                <c:pt idx="229">
                  <c:v>1.4519903364922418E-2</c:v>
                </c:pt>
                <c:pt idx="230">
                  <c:v>-3.067024540397419E-4</c:v>
                </c:pt>
                <c:pt idx="231">
                  <c:v>1.5327868988235308E-3</c:v>
                </c:pt>
                <c:pt idx="232">
                  <c:v>-7.9964136377382936E-3</c:v>
                </c:pt>
                <c:pt idx="233">
                  <c:v>2.9291935822486634E-3</c:v>
                </c:pt>
                <c:pt idx="234">
                  <c:v>1.3000091618175304E-2</c:v>
                </c:pt>
                <c:pt idx="235">
                  <c:v>3.943013964285107E-3</c:v>
                </c:pt>
                <c:pt idx="236">
                  <c:v>1.4723868428621712E-2</c:v>
                </c:pt>
                <c:pt idx="237">
                  <c:v>-3.2865430207580882E-3</c:v>
                </c:pt>
                <c:pt idx="238">
                  <c:v>1.2638603848310002E-2</c:v>
                </c:pt>
                <c:pt idx="239">
                  <c:v>-1.3986271941776691E-2</c:v>
                </c:pt>
                <c:pt idx="240">
                  <c:v>1.8114838733001931E-2</c:v>
                </c:pt>
                <c:pt idx="241">
                  <c:v>1.9958459712746134E-2</c:v>
                </c:pt>
                <c:pt idx="242">
                  <c:v>-1.7900558015048668E-2</c:v>
                </c:pt>
                <c:pt idx="243">
                  <c:v>-7.3441060418495512E-4</c:v>
                </c:pt>
                <c:pt idx="244">
                  <c:v>6.0068453122636119E-3</c:v>
                </c:pt>
                <c:pt idx="245">
                  <c:v>3.9362102876051566E-3</c:v>
                </c:pt>
                <c:pt idx="246">
                  <c:v>-7.2779275329949461E-4</c:v>
                </c:pt>
                <c:pt idx="247">
                  <c:v>-7.4534799929999399E-3</c:v>
                </c:pt>
                <c:pt idx="248">
                  <c:v>4.2450624586943594E-3</c:v>
                </c:pt>
                <c:pt idx="249">
                  <c:v>1.751357702825767E-3</c:v>
                </c:pt>
                <c:pt idx="250">
                  <c:v>1.0201851494693278E-3</c:v>
                </c:pt>
                <c:pt idx="251">
                  <c:v>7.6906421617582866E-3</c:v>
                </c:pt>
              </c:numCache>
            </c:numRef>
          </c:xVal>
          <c:yVal>
            <c:numRef>
              <c:f>Retorno!$O$3:$O$254</c:f>
              <c:numCache>
                <c:formatCode>0.000%</c:formatCode>
                <c:ptCount val="252"/>
                <c:pt idx="0">
                  <c:v>5.5939921723177225E-3</c:v>
                </c:pt>
                <c:pt idx="1">
                  <c:v>-8.568180711971048E-3</c:v>
                </c:pt>
                <c:pt idx="2">
                  <c:v>-6.141625470814838E-3</c:v>
                </c:pt>
                <c:pt idx="3">
                  <c:v>3.4904214645253497E-3</c:v>
                </c:pt>
                <c:pt idx="4">
                  <c:v>-2.6582344086022547E-3</c:v>
                </c:pt>
                <c:pt idx="5">
                  <c:v>4.6472362667604817E-3</c:v>
                </c:pt>
                <c:pt idx="6">
                  <c:v>2.811071519673288E-3</c:v>
                </c:pt>
                <c:pt idx="7">
                  <c:v>-9.9121473034572902E-4</c:v>
                </c:pt>
                <c:pt idx="8">
                  <c:v>-4.9597604879833524E-4</c:v>
                </c:pt>
                <c:pt idx="9">
                  <c:v>-1.0640119950070189E-2</c:v>
                </c:pt>
                <c:pt idx="10">
                  <c:v>-8.7293459886518768E-3</c:v>
                </c:pt>
                <c:pt idx="11">
                  <c:v>-8.2960032000802229E-3</c:v>
                </c:pt>
                <c:pt idx="12">
                  <c:v>-6.802636816685408E-4</c:v>
                </c:pt>
                <c:pt idx="13">
                  <c:v>-7.685086250950387E-3</c:v>
                </c:pt>
                <c:pt idx="14">
                  <c:v>0</c:v>
                </c:pt>
                <c:pt idx="15">
                  <c:v>9.3849136242531647E-3</c:v>
                </c:pt>
                <c:pt idx="16">
                  <c:v>-9.8994165765982269E-3</c:v>
                </c:pt>
                <c:pt idx="17">
                  <c:v>2.3984991177818894E-3</c:v>
                </c:pt>
                <c:pt idx="18">
                  <c:v>8.2446925036342867E-3</c:v>
                </c:pt>
                <c:pt idx="19">
                  <c:v>-8.9348416448038568E-3</c:v>
                </c:pt>
                <c:pt idx="20">
                  <c:v>6.1940863988089057E-3</c:v>
                </c:pt>
                <c:pt idx="21">
                  <c:v>-2.0603885067279927E-3</c:v>
                </c:pt>
                <c:pt idx="22">
                  <c:v>4.4589357728930948E-3</c:v>
                </c:pt>
                <c:pt idx="23">
                  <c:v>-1.5520182226064388E-2</c:v>
                </c:pt>
                <c:pt idx="24">
                  <c:v>1.0421744338548341E-3</c:v>
                </c:pt>
                <c:pt idx="25">
                  <c:v>-1.0471250468192831E-2</c:v>
                </c:pt>
                <c:pt idx="26">
                  <c:v>-8.2798817906721903E-3</c:v>
                </c:pt>
                <c:pt idx="27">
                  <c:v>-1.0313022416799286E-2</c:v>
                </c:pt>
                <c:pt idx="28">
                  <c:v>-2.5052793506595878E-3</c:v>
                </c:pt>
                <c:pt idx="29">
                  <c:v>3.0412831937692204E-3</c:v>
                </c:pt>
                <c:pt idx="30">
                  <c:v>-8.9718561804357604E-3</c:v>
                </c:pt>
                <c:pt idx="31">
                  <c:v>-1.0873561101627389E-2</c:v>
                </c:pt>
                <c:pt idx="32">
                  <c:v>2.9112300036451422E-3</c:v>
                </c:pt>
                <c:pt idx="33">
                  <c:v>-4.9535374384451825E-2</c:v>
                </c:pt>
                <c:pt idx="34">
                  <c:v>1.4405068586763934E-2</c:v>
                </c:pt>
                <c:pt idx="35">
                  <c:v>-4.9046695157092994E-3</c:v>
                </c:pt>
                <c:pt idx="36">
                  <c:v>2.1514155913894644E-2</c:v>
                </c:pt>
                <c:pt idx="37">
                  <c:v>-5.9402085775266582E-3</c:v>
                </c:pt>
                <c:pt idx="38">
                  <c:v>-1.6898605731409447E-2</c:v>
                </c:pt>
                <c:pt idx="39">
                  <c:v>1.5136608826072475E-3</c:v>
                </c:pt>
                <c:pt idx="40">
                  <c:v>1.0158067162630343E-2</c:v>
                </c:pt>
                <c:pt idx="41">
                  <c:v>1.1907236828734701E-2</c:v>
                </c:pt>
                <c:pt idx="42">
                  <c:v>-3.7001627652822851E-4</c:v>
                </c:pt>
                <c:pt idx="43">
                  <c:v>5.5350153172178456E-3</c:v>
                </c:pt>
                <c:pt idx="44">
                  <c:v>4.0397446205238134E-3</c:v>
                </c:pt>
                <c:pt idx="45">
                  <c:v>-9.01984365197008E-3</c:v>
                </c:pt>
                <c:pt idx="46">
                  <c:v>2.8437891260977562E-2</c:v>
                </c:pt>
                <c:pt idx="47">
                  <c:v>8.5898919565569297E-3</c:v>
                </c:pt>
                <c:pt idx="48">
                  <c:v>-6.0768940601561034E-3</c:v>
                </c:pt>
                <c:pt idx="49">
                  <c:v>-9.7279469304567372E-3</c:v>
                </c:pt>
                <c:pt idx="50">
                  <c:v>1.6339294527615768E-2</c:v>
                </c:pt>
                <c:pt idx="51">
                  <c:v>6.0369707476601144E-3</c:v>
                </c:pt>
                <c:pt idx="52">
                  <c:v>-8.8556819319023528E-4</c:v>
                </c:pt>
                <c:pt idx="53">
                  <c:v>1.1450857122828546E-2</c:v>
                </c:pt>
                <c:pt idx="54">
                  <c:v>-6.1495523287532295E-3</c:v>
                </c:pt>
                <c:pt idx="55">
                  <c:v>4.0454488376433064E-3</c:v>
                </c:pt>
                <c:pt idx="56">
                  <c:v>3.6793121473435051E-3</c:v>
                </c:pt>
                <c:pt idx="57">
                  <c:v>-1.5752086562333767E-3</c:v>
                </c:pt>
                <c:pt idx="58">
                  <c:v>-7.5604337307585206E-3</c:v>
                </c:pt>
                <c:pt idx="59">
                  <c:v>1.0583701900695479E-3</c:v>
                </c:pt>
                <c:pt idx="60">
                  <c:v>3.6955712633663846E-3</c:v>
                </c:pt>
                <c:pt idx="61">
                  <c:v>2.981612142296002E-3</c:v>
                </c:pt>
                <c:pt idx="62">
                  <c:v>1.9246372583412658E-3</c:v>
                </c:pt>
                <c:pt idx="63">
                  <c:v>-1.0493722296692307E-3</c:v>
                </c:pt>
                <c:pt idx="64">
                  <c:v>1.9229550455904989E-3</c:v>
                </c:pt>
                <c:pt idx="65">
                  <c:v>2.4420582166783792E-3</c:v>
                </c:pt>
                <c:pt idx="66">
                  <c:v>1.0915721899237774E-2</c:v>
                </c:pt>
                <c:pt idx="67">
                  <c:v>6.698173115196048E-3</c:v>
                </c:pt>
                <c:pt idx="68">
                  <c:v>2.564368058518235E-3</c:v>
                </c:pt>
                <c:pt idx="69">
                  <c:v>-1.8798349524674102E-3</c:v>
                </c:pt>
                <c:pt idx="70">
                  <c:v>2.0506000205027385E-3</c:v>
                </c:pt>
                <c:pt idx="71">
                  <c:v>-5.9926490699218782E-3</c:v>
                </c:pt>
                <c:pt idx="72">
                  <c:v>1.1530896635000211E-2</c:v>
                </c:pt>
                <c:pt idx="73">
                  <c:v>3.4165183963682714E-3</c:v>
                </c:pt>
                <c:pt idx="74">
                  <c:v>-1.1944749472458554E-3</c:v>
                </c:pt>
                <c:pt idx="75">
                  <c:v>1.5354718166455639E-3</c:v>
                </c:pt>
                <c:pt idx="76">
                  <c:v>-1.0233916476147672E-3</c:v>
                </c:pt>
                <c:pt idx="77">
                  <c:v>2.3863212857141401E-3</c:v>
                </c:pt>
                <c:pt idx="78">
                  <c:v>-2.2156572655028478E-3</c:v>
                </c:pt>
                <c:pt idx="79">
                  <c:v>7.3098102582420726E-3</c:v>
                </c:pt>
                <c:pt idx="80">
                  <c:v>6.4156731620670822E-3</c:v>
                </c:pt>
                <c:pt idx="81">
                  <c:v>8.5463889760277086E-3</c:v>
                </c:pt>
                <c:pt idx="82">
                  <c:v>-1.4962062138094838E-2</c:v>
                </c:pt>
                <c:pt idx="83">
                  <c:v>-7.4804742784532674E-3</c:v>
                </c:pt>
                <c:pt idx="84">
                  <c:v>7.1417585896560408E-3</c:v>
                </c:pt>
                <c:pt idx="85">
                  <c:v>-3.2244751257021888E-3</c:v>
                </c:pt>
                <c:pt idx="86">
                  <c:v>-2.0955763699396959E-2</c:v>
                </c:pt>
                <c:pt idx="87">
                  <c:v>6.5744708171604086E-3</c:v>
                </c:pt>
                <c:pt idx="88">
                  <c:v>5.6744066112261139E-3</c:v>
                </c:pt>
                <c:pt idx="89">
                  <c:v>4.1068114348282283E-3</c:v>
                </c:pt>
                <c:pt idx="90">
                  <c:v>2.5581149129798759E-3</c:v>
                </c:pt>
                <c:pt idx="91">
                  <c:v>6.811858639393253E-4</c:v>
                </c:pt>
                <c:pt idx="92">
                  <c:v>3.0590814664282501E-3</c:v>
                </c:pt>
                <c:pt idx="93">
                  <c:v>1.4989765411567772E-2</c:v>
                </c:pt>
                <c:pt idx="94">
                  <c:v>2.3375916662677874E-3</c:v>
                </c:pt>
                <c:pt idx="95">
                  <c:v>-3.3411282708156569E-3</c:v>
                </c:pt>
                <c:pt idx="96">
                  <c:v>-1.5071191150336566E-3</c:v>
                </c:pt>
                <c:pt idx="97">
                  <c:v>7.3468937372898847E-3</c:v>
                </c:pt>
                <c:pt idx="98">
                  <c:v>-1.8316735365529078E-3</c:v>
                </c:pt>
                <c:pt idx="99">
                  <c:v>3.3277857054118689E-3</c:v>
                </c:pt>
                <c:pt idx="100">
                  <c:v>-6.4994939061170766E-3</c:v>
                </c:pt>
                <c:pt idx="101">
                  <c:v>9.6506195124218454E-3</c:v>
                </c:pt>
                <c:pt idx="102">
                  <c:v>-6.6456043485522889E-3</c:v>
                </c:pt>
                <c:pt idx="103">
                  <c:v>0</c:v>
                </c:pt>
                <c:pt idx="104">
                  <c:v>2.8297562882526783E-3</c:v>
                </c:pt>
                <c:pt idx="105">
                  <c:v>-5.5003761178523645E-3</c:v>
                </c:pt>
                <c:pt idx="106">
                  <c:v>-4.3551865509223759E-3</c:v>
                </c:pt>
                <c:pt idx="107">
                  <c:v>4.6892664291325829E-3</c:v>
                </c:pt>
                <c:pt idx="108">
                  <c:v>-1.5830462198802939E-2</c:v>
                </c:pt>
                <c:pt idx="109">
                  <c:v>4.2347552165082781E-3</c:v>
                </c:pt>
                <c:pt idx="110">
                  <c:v>3.5433502166368901E-3</c:v>
                </c:pt>
                <c:pt idx="111">
                  <c:v>6.045418986824742E-3</c:v>
                </c:pt>
                <c:pt idx="112">
                  <c:v>2.842073474480988E-3</c:v>
                </c:pt>
                <c:pt idx="113">
                  <c:v>-6.8682608284900979E-3</c:v>
                </c:pt>
                <c:pt idx="114">
                  <c:v>2.4737724565590001E-2</c:v>
                </c:pt>
                <c:pt idx="115">
                  <c:v>-7.2416284624734579E-3</c:v>
                </c:pt>
                <c:pt idx="116">
                  <c:v>-8.2933112377348989E-3</c:v>
                </c:pt>
                <c:pt idx="117">
                  <c:v>-1.6669342296507035E-3</c:v>
                </c:pt>
                <c:pt idx="118">
                  <c:v>8.3381444850086286E-4</c:v>
                </c:pt>
                <c:pt idx="119">
                  <c:v>-2.670619829599635E-3</c:v>
                </c:pt>
                <c:pt idx="120">
                  <c:v>-4.5230317841640829E-3</c:v>
                </c:pt>
                <c:pt idx="121">
                  <c:v>2.3477669245357624E-3</c:v>
                </c:pt>
                <c:pt idx="122">
                  <c:v>-5.8799302773867674E-3</c:v>
                </c:pt>
                <c:pt idx="123">
                  <c:v>-1.0114192349661964E-3</c:v>
                </c:pt>
                <c:pt idx="124">
                  <c:v>1.8535876226185115E-3</c:v>
                </c:pt>
                <c:pt idx="125">
                  <c:v>-1.6839405150777205E-4</c:v>
                </c:pt>
                <c:pt idx="126">
                  <c:v>2.181787938436186E-2</c:v>
                </c:pt>
                <c:pt idx="127">
                  <c:v>8.8568526987604264E-3</c:v>
                </c:pt>
                <c:pt idx="128">
                  <c:v>-1.4707357985398316E-3</c:v>
                </c:pt>
                <c:pt idx="129">
                  <c:v>8.1738858055153973E-4</c:v>
                </c:pt>
                <c:pt idx="130">
                  <c:v>-8.0388122707836501E-3</c:v>
                </c:pt>
                <c:pt idx="131">
                  <c:v>-6.1132169466150627E-3</c:v>
                </c:pt>
                <c:pt idx="132">
                  <c:v>9.9389517455469021E-4</c:v>
                </c:pt>
                <c:pt idx="133">
                  <c:v>-6.311315966027564E-3</c:v>
                </c:pt>
                <c:pt idx="134">
                  <c:v>-8.1974383416661724E-3</c:v>
                </c:pt>
                <c:pt idx="135">
                  <c:v>4.6925289520041878E-3</c:v>
                </c:pt>
                <c:pt idx="136">
                  <c:v>-4.8605552480539922E-3</c:v>
                </c:pt>
                <c:pt idx="137">
                  <c:v>5.0397715508103207E-4</c:v>
                </c:pt>
                <c:pt idx="138">
                  <c:v>-1.848914347035491E-3</c:v>
                </c:pt>
                <c:pt idx="139">
                  <c:v>1.3449371919544843E-3</c:v>
                </c:pt>
                <c:pt idx="140">
                  <c:v>1.2024245731310248E-2</c:v>
                </c:pt>
                <c:pt idx="141">
                  <c:v>4.3067844327523246E-3</c:v>
                </c:pt>
                <c:pt idx="142">
                  <c:v>1.0195775101912073E-2</c:v>
                </c:pt>
                <c:pt idx="143">
                  <c:v>-2.2289265661106588E-3</c:v>
                </c:pt>
                <c:pt idx="144">
                  <c:v>-1.0300751202101817E-2</c:v>
                </c:pt>
                <c:pt idx="145">
                  <c:v>4.1663069910752798E-3</c:v>
                </c:pt>
                <c:pt idx="146">
                  <c:v>1.6616478726241028E-3</c:v>
                </c:pt>
                <c:pt idx="147">
                  <c:v>8.5965451914703454E-3</c:v>
                </c:pt>
                <c:pt idx="148">
                  <c:v>-4.6196894266072042E-3</c:v>
                </c:pt>
                <c:pt idx="149">
                  <c:v>3.3072101581254086E-4</c:v>
                </c:pt>
                <c:pt idx="150">
                  <c:v>-1.4890065620656438E-3</c:v>
                </c:pt>
                <c:pt idx="151">
                  <c:v>2.3152310191375206E-3</c:v>
                </c:pt>
                <c:pt idx="152">
                  <c:v>8.0612064628980545E-3</c:v>
                </c:pt>
                <c:pt idx="153">
                  <c:v>2.4548076667502516E-3</c:v>
                </c:pt>
                <c:pt idx="154">
                  <c:v>-8.2061974569752581E-3</c:v>
                </c:pt>
                <c:pt idx="155">
                  <c:v>-8.7726750393700287E-3</c:v>
                </c:pt>
                <c:pt idx="156">
                  <c:v>-5.3342326889105063E-3</c:v>
                </c:pt>
                <c:pt idx="157">
                  <c:v>-8.8979314726668046E-3</c:v>
                </c:pt>
                <c:pt idx="158">
                  <c:v>3.5350412795235415E-3</c:v>
                </c:pt>
                <c:pt idx="159">
                  <c:v>-4.0410882798711488E-3</c:v>
                </c:pt>
                <c:pt idx="160">
                  <c:v>7.5637276739742845E-3</c:v>
                </c:pt>
                <c:pt idx="161">
                  <c:v>-1.348640955626019E-2</c:v>
                </c:pt>
                <c:pt idx="162">
                  <c:v>2.2039331166826617E-3</c:v>
                </c:pt>
                <c:pt idx="163">
                  <c:v>-1.3125590939175541E-2</c:v>
                </c:pt>
                <c:pt idx="164">
                  <c:v>-2.4050333635455131E-3</c:v>
                </c:pt>
                <c:pt idx="165">
                  <c:v>-1.3769359849297128E-3</c:v>
                </c:pt>
                <c:pt idx="166">
                  <c:v>7.7206836858722564E-3</c:v>
                </c:pt>
                <c:pt idx="167">
                  <c:v>6.8132245978021052E-3</c:v>
                </c:pt>
                <c:pt idx="168">
                  <c:v>2.1162958107073866E-2</c:v>
                </c:pt>
                <c:pt idx="169">
                  <c:v>6.2956618817539729E-3</c:v>
                </c:pt>
                <c:pt idx="170">
                  <c:v>1.4852540987510795E-3</c:v>
                </c:pt>
                <c:pt idx="171">
                  <c:v>1.4895089026447495E-2</c:v>
                </c:pt>
                <c:pt idx="172">
                  <c:v>3.082230575187468E-3</c:v>
                </c:pt>
                <c:pt idx="173">
                  <c:v>0</c:v>
                </c:pt>
                <c:pt idx="174">
                  <c:v>4.8472846158211921E-3</c:v>
                </c:pt>
                <c:pt idx="175">
                  <c:v>-4.3615431401830369E-3</c:v>
                </c:pt>
                <c:pt idx="176">
                  <c:v>2.5869042305606007E-3</c:v>
                </c:pt>
                <c:pt idx="177">
                  <c:v>9.683988994642935E-4</c:v>
                </c:pt>
                <c:pt idx="178">
                  <c:v>2.8994529241732746E-3</c:v>
                </c:pt>
                <c:pt idx="179">
                  <c:v>2.8910542328630683E-3</c:v>
                </c:pt>
                <c:pt idx="180">
                  <c:v>4.3210584019733201E-3</c:v>
                </c:pt>
                <c:pt idx="181">
                  <c:v>3.666217842342803E-3</c:v>
                </c:pt>
                <c:pt idx="182">
                  <c:v>4.7729304993157585E-4</c:v>
                </c:pt>
                <c:pt idx="183">
                  <c:v>6.0250352963449492E-3</c:v>
                </c:pt>
                <c:pt idx="184">
                  <c:v>5.0457831514656758E-3</c:v>
                </c:pt>
                <c:pt idx="185">
                  <c:v>-7.578230471947678E-3</c:v>
                </c:pt>
                <c:pt idx="186">
                  <c:v>4.7533860586955039E-4</c:v>
                </c:pt>
                <c:pt idx="187">
                  <c:v>3.0051413878821489E-3</c:v>
                </c:pt>
                <c:pt idx="188">
                  <c:v>-4.5904615610439566E-3</c:v>
                </c:pt>
                <c:pt idx="189">
                  <c:v>-7.3248867997968373E-3</c:v>
                </c:pt>
                <c:pt idx="190">
                  <c:v>5.4192175886679812E-3</c:v>
                </c:pt>
                <c:pt idx="191">
                  <c:v>1.4295762641888972E-3</c:v>
                </c:pt>
                <c:pt idx="192">
                  <c:v>-1.454975939193497E-2</c:v>
                </c:pt>
                <c:pt idx="193">
                  <c:v>-1.4505435120728959E-3</c:v>
                </c:pt>
                <c:pt idx="194">
                  <c:v>-2.907479760967422E-3</c:v>
                </c:pt>
                <c:pt idx="195">
                  <c:v>-1.9429887302046369E-3</c:v>
                </c:pt>
                <c:pt idx="196">
                  <c:v>4.3664643547632167E-3</c:v>
                </c:pt>
                <c:pt idx="197">
                  <c:v>1.537262663889283E-2</c:v>
                </c:pt>
                <c:pt idx="198">
                  <c:v>0</c:v>
                </c:pt>
                <c:pt idx="199">
                  <c:v>1.5922092232906072E-2</c:v>
                </c:pt>
                <c:pt idx="200">
                  <c:v>-3.1287359214828865E-4</c:v>
                </c:pt>
                <c:pt idx="201">
                  <c:v>3.5918669636785371E-3</c:v>
                </c:pt>
                <c:pt idx="202">
                  <c:v>-3.748245865629597E-3</c:v>
                </c:pt>
                <c:pt idx="203">
                  <c:v>-5.0196004719991047E-3</c:v>
                </c:pt>
                <c:pt idx="204">
                  <c:v>-6.2929080548693986E-4</c:v>
                </c:pt>
                <c:pt idx="205">
                  <c:v>-1.0598781521427382E-2</c:v>
                </c:pt>
                <c:pt idx="206">
                  <c:v>1.7478507559406556E-3</c:v>
                </c:pt>
                <c:pt idx="207">
                  <c:v>7.1958738958610062E-4</c:v>
                </c:pt>
                <c:pt idx="208">
                  <c:v>1.1184790032108326E-3</c:v>
                </c:pt>
                <c:pt idx="209">
                  <c:v>1.5971257518978638E-4</c:v>
                </c:pt>
                <c:pt idx="210">
                  <c:v>-7.2110078735026766E-3</c:v>
                </c:pt>
                <c:pt idx="211">
                  <c:v>9.443847698832648E-3</c:v>
                </c:pt>
                <c:pt idx="212">
                  <c:v>1.8936986764933515E-2</c:v>
                </c:pt>
                <c:pt idx="213">
                  <c:v>-2.0342859528205111E-3</c:v>
                </c:pt>
                <c:pt idx="214">
                  <c:v>3.2841220395962312E-3</c:v>
                </c:pt>
                <c:pt idx="215">
                  <c:v>-2.1882315189594016E-3</c:v>
                </c:pt>
                <c:pt idx="216">
                  <c:v>-4.0764872369371159E-3</c:v>
                </c:pt>
                <c:pt idx="217">
                  <c:v>-5.8300487686362692E-3</c:v>
                </c:pt>
                <c:pt idx="218">
                  <c:v>-2.0564271894918324E-3</c:v>
                </c:pt>
                <c:pt idx="219">
                  <c:v>2.8463016418229037E-3</c:v>
                </c:pt>
                <c:pt idx="220">
                  <c:v>6.7668210053826762E-3</c:v>
                </c:pt>
                <c:pt idx="221">
                  <c:v>-1.2626414888283227E-2</c:v>
                </c:pt>
                <c:pt idx="222">
                  <c:v>-4.2976588916777241E-3</c:v>
                </c:pt>
                <c:pt idx="223">
                  <c:v>2.2307689124128954E-3</c:v>
                </c:pt>
                <c:pt idx="224">
                  <c:v>4.2880396046633875E-3</c:v>
                </c:pt>
                <c:pt idx="225">
                  <c:v>9.4638404252588466E-3</c:v>
                </c:pt>
                <c:pt idx="226">
                  <c:v>-4.563000564764429E-3</c:v>
                </c:pt>
                <c:pt idx="227">
                  <c:v>1.3471334993176645E-2</c:v>
                </c:pt>
                <c:pt idx="228">
                  <c:v>1.4519903364922418E-2</c:v>
                </c:pt>
                <c:pt idx="229">
                  <c:v>-3.067024540397419E-4</c:v>
                </c:pt>
                <c:pt idx="230">
                  <c:v>1.5327868988235308E-3</c:v>
                </c:pt>
                <c:pt idx="231">
                  <c:v>-7.9964136377382936E-3</c:v>
                </c:pt>
                <c:pt idx="232">
                  <c:v>2.9291935822486634E-3</c:v>
                </c:pt>
                <c:pt idx="233">
                  <c:v>1.3000091618175304E-2</c:v>
                </c:pt>
                <c:pt idx="234">
                  <c:v>3.943013964285107E-3</c:v>
                </c:pt>
                <c:pt idx="235">
                  <c:v>1.4723868428621712E-2</c:v>
                </c:pt>
                <c:pt idx="236">
                  <c:v>-3.2865430207580882E-3</c:v>
                </c:pt>
                <c:pt idx="237">
                  <c:v>1.2638603848310002E-2</c:v>
                </c:pt>
                <c:pt idx="238">
                  <c:v>-1.3986271941776691E-2</c:v>
                </c:pt>
                <c:pt idx="239">
                  <c:v>1.8114838733001931E-2</c:v>
                </c:pt>
                <c:pt idx="240">
                  <c:v>1.9958459712746134E-2</c:v>
                </c:pt>
                <c:pt idx="241">
                  <c:v>-1.7900558015048668E-2</c:v>
                </c:pt>
                <c:pt idx="242">
                  <c:v>-7.3441060418495512E-4</c:v>
                </c:pt>
                <c:pt idx="243">
                  <c:v>6.0068453122636119E-3</c:v>
                </c:pt>
                <c:pt idx="244">
                  <c:v>3.9362102876051566E-3</c:v>
                </c:pt>
                <c:pt idx="245">
                  <c:v>-7.2779275329949461E-4</c:v>
                </c:pt>
                <c:pt idx="246">
                  <c:v>-7.4534799929999399E-3</c:v>
                </c:pt>
                <c:pt idx="247">
                  <c:v>4.2450624586943594E-3</c:v>
                </c:pt>
                <c:pt idx="248">
                  <c:v>1.751357702825767E-3</c:v>
                </c:pt>
                <c:pt idx="249">
                  <c:v>1.0201851494693278E-3</c:v>
                </c:pt>
                <c:pt idx="250">
                  <c:v>7.6906421617582866E-3</c:v>
                </c:pt>
                <c:pt idx="251">
                  <c:v>0</c:v>
                </c:pt>
              </c:numCache>
            </c:numRef>
          </c:yVal>
          <c:smooth val="0"/>
          <c:extLst>
            <c:ext xmlns:c16="http://schemas.microsoft.com/office/drawing/2014/chart" uri="{C3380CC4-5D6E-409C-BE32-E72D297353CC}">
              <c16:uniqueId val="{00000000-6DF8-1C40-956C-D008CEA4EB95}"/>
            </c:ext>
          </c:extLst>
        </c:ser>
        <c:dLbls>
          <c:showLegendKey val="0"/>
          <c:showVal val="0"/>
          <c:showCatName val="0"/>
          <c:showSerName val="0"/>
          <c:showPercent val="0"/>
          <c:showBubbleSize val="0"/>
        </c:dLbls>
        <c:axId val="184988944"/>
        <c:axId val="184990656"/>
      </c:scatterChart>
      <c:valAx>
        <c:axId val="18498894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4990656"/>
        <c:crosses val="autoZero"/>
        <c:crossBetween val="midCat"/>
      </c:valAx>
      <c:valAx>
        <c:axId val="18499065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49889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AT&amp;T -&gt; Coca-Cola t+1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Retorno!$O$2</c:f>
              <c:strCache>
                <c:ptCount val="1"/>
                <c:pt idx="0">
                  <c:v>Coca-Cola t+1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1066246465465771"/>
                  <c:y val="-0.2201493467430212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xVal>
            <c:numRef>
              <c:f>Retorno!$I$3:$I$254</c:f>
              <c:numCache>
                <c:formatCode>0.000%</c:formatCode>
                <c:ptCount val="252"/>
                <c:pt idx="0">
                  <c:v>-6.4035322871765967E-3</c:v>
                </c:pt>
                <c:pt idx="1">
                  <c:v>2.8511962146941443E-3</c:v>
                </c:pt>
                <c:pt idx="2">
                  <c:v>3.5523360724823969E-3</c:v>
                </c:pt>
                <c:pt idx="3">
                  <c:v>1.1283650762276005E-2</c:v>
                </c:pt>
                <c:pt idx="4">
                  <c:v>-7.0373473579131004E-3</c:v>
                </c:pt>
                <c:pt idx="5">
                  <c:v>-7.0654176800563693E-4</c:v>
                </c:pt>
                <c:pt idx="6">
                  <c:v>-2.830866787178094E-3</c:v>
                </c:pt>
                <c:pt idx="7">
                  <c:v>7.0621975605345338E-3</c:v>
                </c:pt>
                <c:pt idx="8">
                  <c:v>3.8652123786868747E-2</c:v>
                </c:pt>
                <c:pt idx="9">
                  <c:v>-2.7118017809940271E-3</c:v>
                </c:pt>
                <c:pt idx="10">
                  <c:v>4.0649860690958528E-3</c:v>
                </c:pt>
                <c:pt idx="11">
                  <c:v>-9.5109702559868468E-3</c:v>
                </c:pt>
                <c:pt idx="12">
                  <c:v>-1.1671910678181512E-2</c:v>
                </c:pt>
                <c:pt idx="13">
                  <c:v>8.9378657253624903E-3</c:v>
                </c:pt>
                <c:pt idx="14">
                  <c:v>0</c:v>
                </c:pt>
                <c:pt idx="15">
                  <c:v>-1.4477988707991517E-2</c:v>
                </c:pt>
                <c:pt idx="16">
                  <c:v>8.2988273439278445E-3</c:v>
                </c:pt>
                <c:pt idx="17">
                  <c:v>-4.1408787728015178E-3</c:v>
                </c:pt>
                <c:pt idx="18">
                  <c:v>1.1004270746853787E-2</c:v>
                </c:pt>
                <c:pt idx="19">
                  <c:v>2.9651713697862989E-2</c:v>
                </c:pt>
                <c:pt idx="20">
                  <c:v>1.1224978589028094E-2</c:v>
                </c:pt>
                <c:pt idx="21">
                  <c:v>-9.2349221157867391E-3</c:v>
                </c:pt>
                <c:pt idx="22">
                  <c:v>7.9209277625121085E-3</c:v>
                </c:pt>
                <c:pt idx="23">
                  <c:v>2.2107528152630732E-2</c:v>
                </c:pt>
                <c:pt idx="24">
                  <c:v>-1.5554405482686634E-2</c:v>
                </c:pt>
                <c:pt idx="25">
                  <c:v>-1.2488017087223817E-2</c:v>
                </c:pt>
                <c:pt idx="26">
                  <c:v>-3.9760898184737319E-3</c:v>
                </c:pt>
                <c:pt idx="27">
                  <c:v>-2.6595130223768674E-3</c:v>
                </c:pt>
                <c:pt idx="28">
                  <c:v>-1.0036916003110012E-2</c:v>
                </c:pt>
                <c:pt idx="29">
                  <c:v>9.370913321953802E-3</c:v>
                </c:pt>
                <c:pt idx="30">
                  <c:v>6.6600268115622394E-4</c:v>
                </c:pt>
                <c:pt idx="31">
                  <c:v>-2.3578125464621125E-2</c:v>
                </c:pt>
                <c:pt idx="32">
                  <c:v>7.470418425544037E-3</c:v>
                </c:pt>
                <c:pt idx="33">
                  <c:v>-8.8346792935787202E-3</c:v>
                </c:pt>
                <c:pt idx="34">
                  <c:v>1.2211857867236135E-2</c:v>
                </c:pt>
                <c:pt idx="35">
                  <c:v>-7.0340122474886078E-3</c:v>
                </c:pt>
                <c:pt idx="36">
                  <c:v>1.919178660718069E-2</c:v>
                </c:pt>
                <c:pt idx="37">
                  <c:v>1.5493841465178439E-2</c:v>
                </c:pt>
                <c:pt idx="38">
                  <c:v>-1.2781979492703863E-2</c:v>
                </c:pt>
                <c:pt idx="39">
                  <c:v>-2.1903648579655197E-2</c:v>
                </c:pt>
                <c:pt idx="40">
                  <c:v>-6.2479325408984904E-3</c:v>
                </c:pt>
                <c:pt idx="41">
                  <c:v>3.47593227385585E-3</c:v>
                </c:pt>
                <c:pt idx="42">
                  <c:v>1.1728316519177792E-2</c:v>
                </c:pt>
                <c:pt idx="43">
                  <c:v>-1.7993646801684915E-2</c:v>
                </c:pt>
                <c:pt idx="44">
                  <c:v>6.3577877182322051E-2</c:v>
                </c:pt>
                <c:pt idx="45">
                  <c:v>7.8330630368045693E-3</c:v>
                </c:pt>
                <c:pt idx="46">
                  <c:v>-2.8356670761467306E-2</c:v>
                </c:pt>
                <c:pt idx="47">
                  <c:v>3.8062243981015008E-2</c:v>
                </c:pt>
                <c:pt idx="48">
                  <c:v>-2.2136321441816844E-2</c:v>
                </c:pt>
                <c:pt idx="49">
                  <c:v>-4.6189215703234801E-3</c:v>
                </c:pt>
                <c:pt idx="50">
                  <c:v>-2.0040684628752883E-2</c:v>
                </c:pt>
                <c:pt idx="51">
                  <c:v>2.9257291384540907E-2</c:v>
                </c:pt>
                <c:pt idx="52">
                  <c:v>9.1325041752728462E-3</c:v>
                </c:pt>
                <c:pt idx="53">
                  <c:v>1.1620614661695866E-2</c:v>
                </c:pt>
                <c:pt idx="54">
                  <c:v>9.581644883623272E-3</c:v>
                </c:pt>
                <c:pt idx="55">
                  <c:v>9.4907076045383631E-3</c:v>
                </c:pt>
                <c:pt idx="56">
                  <c:v>-8.2201612246451568E-3</c:v>
                </c:pt>
                <c:pt idx="57">
                  <c:v>5.6981618175608508E-3</c:v>
                </c:pt>
                <c:pt idx="58">
                  <c:v>-1.2067567354175589E-2</c:v>
                </c:pt>
                <c:pt idx="59">
                  <c:v>-1.2787371052778911E-3</c:v>
                </c:pt>
                <c:pt idx="60">
                  <c:v>6.3967350467703291E-4</c:v>
                </c:pt>
                <c:pt idx="61">
                  <c:v>-3.8437221263010121E-3</c:v>
                </c:pt>
                <c:pt idx="62">
                  <c:v>3.2040486216239152E-3</c:v>
                </c:pt>
                <c:pt idx="63">
                  <c:v>8.2829440398884853E-3</c:v>
                </c:pt>
                <c:pt idx="64">
                  <c:v>7.5853598266493183E-3</c:v>
                </c:pt>
                <c:pt idx="65">
                  <c:v>1.2586844676198644E-3</c:v>
                </c:pt>
                <c:pt idx="66">
                  <c:v>1.250014351434138E-2</c:v>
                </c:pt>
                <c:pt idx="67">
                  <c:v>5.5745681417839043E-3</c:v>
                </c:pt>
                <c:pt idx="68">
                  <c:v>-1.2361893781621346E-3</c:v>
                </c:pt>
                <c:pt idx="69">
                  <c:v>2.4706584385659168E-3</c:v>
                </c:pt>
                <c:pt idx="70">
                  <c:v>0</c:v>
                </c:pt>
                <c:pt idx="71">
                  <c:v>-1.8524051289652865E-3</c:v>
                </c:pt>
                <c:pt idx="72">
                  <c:v>7.3891849715765874E-3</c:v>
                </c:pt>
                <c:pt idx="73">
                  <c:v>1.6428683176453563E-2</c:v>
                </c:pt>
                <c:pt idx="74">
                  <c:v>1.1401293855996619E-2</c:v>
                </c:pt>
                <c:pt idx="75">
                  <c:v>-5.9844807698541955E-3</c:v>
                </c:pt>
                <c:pt idx="76">
                  <c:v>3.306087505214772E-2</c:v>
                </c:pt>
                <c:pt idx="77">
                  <c:v>-1.6393661333646715E-2</c:v>
                </c:pt>
                <c:pt idx="78">
                  <c:v>8.8156554713472324E-3</c:v>
                </c:pt>
                <c:pt idx="79">
                  <c:v>-9.9971434933014119E-3</c:v>
                </c:pt>
                <c:pt idx="80">
                  <c:v>-1.7889443279638567E-2</c:v>
                </c:pt>
                <c:pt idx="81">
                  <c:v>-1.2715943603931842E-2</c:v>
                </c:pt>
                <c:pt idx="82">
                  <c:v>2.4346320782964847E-3</c:v>
                </c:pt>
                <c:pt idx="83">
                  <c:v>1.208465691282283E-2</c:v>
                </c:pt>
                <c:pt idx="84">
                  <c:v>-7.8383887172057826E-3</c:v>
                </c:pt>
                <c:pt idx="85">
                  <c:v>-3.6386626067303612E-3</c:v>
                </c:pt>
                <c:pt idx="86">
                  <c:v>9.0718253225267661E-3</c:v>
                </c:pt>
                <c:pt idx="87">
                  <c:v>-1.2723712230209391E-2</c:v>
                </c:pt>
                <c:pt idx="88">
                  <c:v>5.4729367751170889E-3</c:v>
                </c:pt>
                <c:pt idx="89">
                  <c:v>3.6318010530331695E-3</c:v>
                </c:pt>
                <c:pt idx="90">
                  <c:v>1.2077595132303129E-3</c:v>
                </c:pt>
                <c:pt idx="91">
                  <c:v>6.0333319054379066E-4</c:v>
                </c:pt>
                <c:pt idx="92">
                  <c:v>9.6039637827291333E-3</c:v>
                </c:pt>
                <c:pt idx="93">
                  <c:v>2.3866948027653455E-3</c:v>
                </c:pt>
                <c:pt idx="94">
                  <c:v>2.7624383831125431E-2</c:v>
                </c:pt>
                <c:pt idx="95">
                  <c:v>-1.1600607305661888E-3</c:v>
                </c:pt>
                <c:pt idx="96">
                  <c:v>-4.6539918884881352E-3</c:v>
                </c:pt>
                <c:pt idx="97">
                  <c:v>1.8487103983690103E-2</c:v>
                </c:pt>
                <c:pt idx="98">
                  <c:v>-8.62337357891769E-3</c:v>
                </c:pt>
                <c:pt idx="99">
                  <c:v>-5.4130016942953952E-3</c:v>
                </c:pt>
                <c:pt idx="100">
                  <c:v>-4.7308269784354078E-3</c:v>
                </c:pt>
                <c:pt idx="101">
                  <c:v>-3.8675610583800438E-2</c:v>
                </c:pt>
                <c:pt idx="102">
                  <c:v>1.5286157688589852E-2</c:v>
                </c:pt>
                <c:pt idx="103">
                  <c:v>-2.4301095699120847E-3</c:v>
                </c:pt>
                <c:pt idx="104">
                  <c:v>-1.8264811991713004E-3</c:v>
                </c:pt>
                <c:pt idx="105">
                  <c:v>-6.0961109656987951E-4</c:v>
                </c:pt>
                <c:pt idx="106">
                  <c:v>1.6329333065123283E-2</c:v>
                </c:pt>
                <c:pt idx="107">
                  <c:v>7.7681556093607577E-3</c:v>
                </c:pt>
                <c:pt idx="108">
                  <c:v>2.2949014004003898E-2</c:v>
                </c:pt>
                <c:pt idx="109">
                  <c:v>-3.011736741564745E-2</c:v>
                </c:pt>
                <c:pt idx="110">
                  <c:v>2.9535485641168389E-2</c:v>
                </c:pt>
                <c:pt idx="111">
                  <c:v>6.382391439619532E-3</c:v>
                </c:pt>
                <c:pt idx="112">
                  <c:v>-2.3161320398991719E-3</c:v>
                </c:pt>
                <c:pt idx="113">
                  <c:v>1.610156507641821E-2</c:v>
                </c:pt>
                <c:pt idx="114">
                  <c:v>9.08571462661973E-3</c:v>
                </c:pt>
                <c:pt idx="115">
                  <c:v>1.9592162762490182E-2</c:v>
                </c:pt>
                <c:pt idx="116">
                  <c:v>-1.1709175802896356E-2</c:v>
                </c:pt>
                <c:pt idx="117">
                  <c:v>-5.6243984313423317E-3</c:v>
                </c:pt>
                <c:pt idx="118">
                  <c:v>-6.7910685184317367E-3</c:v>
                </c:pt>
                <c:pt idx="119">
                  <c:v>-1.6027947235816124E-2</c:v>
                </c:pt>
                <c:pt idx="120">
                  <c:v>-2.9870396236716779E-2</c:v>
                </c:pt>
                <c:pt idx="121">
                  <c:v>1.1883725529783697E-3</c:v>
                </c:pt>
                <c:pt idx="122">
                  <c:v>1.0632216336701443E-2</c:v>
                </c:pt>
                <c:pt idx="123">
                  <c:v>-7.075609674194675E-3</c:v>
                </c:pt>
                <c:pt idx="124">
                  <c:v>5.9145856733030231E-4</c:v>
                </c:pt>
                <c:pt idx="125">
                  <c:v>1.0588436740846002E-2</c:v>
                </c:pt>
                <c:pt idx="126">
                  <c:v>-7.0465265167247411E-3</c:v>
                </c:pt>
                <c:pt idx="127">
                  <c:v>-3.5419102241213379E-3</c:v>
                </c:pt>
                <c:pt idx="128">
                  <c:v>5.3082933634442889E-3</c:v>
                </c:pt>
                <c:pt idx="129">
                  <c:v>-2.4413339458236528E-2</c:v>
                </c:pt>
                <c:pt idx="130">
                  <c:v>1.2578760442407045E-2</c:v>
                </c:pt>
                <c:pt idx="131">
                  <c:v>-1.1976066753339242E-2</c:v>
                </c:pt>
                <c:pt idx="132">
                  <c:v>1.3760308076745754E-2</c:v>
                </c:pt>
                <c:pt idx="133">
                  <c:v>7.6945269621530249E-3</c:v>
                </c:pt>
                <c:pt idx="134">
                  <c:v>-1.7703701935084114E-3</c:v>
                </c:pt>
                <c:pt idx="135">
                  <c:v>2.9490604228386468E-3</c:v>
                </c:pt>
                <c:pt idx="136">
                  <c:v>-1.0657458514889893E-2</c:v>
                </c:pt>
                <c:pt idx="137">
                  <c:v>2.1784911671504949E-2</c:v>
                </c:pt>
                <c:pt idx="138">
                  <c:v>5.8222055801986279E-4</c:v>
                </c:pt>
                <c:pt idx="139">
                  <c:v>-7.5957392761439417E-3</c:v>
                </c:pt>
                <c:pt idx="140">
                  <c:v>8.7592244143747111E-3</c:v>
                </c:pt>
                <c:pt idx="141">
                  <c:v>7.5296267385311973E-3</c:v>
                </c:pt>
                <c:pt idx="142">
                  <c:v>-7.5296267385311115E-3</c:v>
                </c:pt>
                <c:pt idx="143">
                  <c:v>-5.8160336375158385E-4</c:v>
                </c:pt>
                <c:pt idx="144">
                  <c:v>-1.0526393935028697E-2</c:v>
                </c:pt>
                <c:pt idx="145">
                  <c:v>2.3487728844055851E-3</c:v>
                </c:pt>
                <c:pt idx="146">
                  <c:v>1.455631158926427E-2</c:v>
                </c:pt>
                <c:pt idx="147">
                  <c:v>-7.5427928711403599E-3</c:v>
                </c:pt>
                <c:pt idx="148">
                  <c:v>2.3269110502146303E-3</c:v>
                </c:pt>
                <c:pt idx="149">
                  <c:v>-2.9095910236789767E-3</c:v>
                </c:pt>
                <c:pt idx="150">
                  <c:v>-1.0544773183150766E-2</c:v>
                </c:pt>
                <c:pt idx="151">
                  <c:v>8.2110739967389546E-3</c:v>
                </c:pt>
                <c:pt idx="152">
                  <c:v>3.4985997178958793E-3</c:v>
                </c:pt>
                <c:pt idx="153">
                  <c:v>2.130803414272742E-2</c:v>
                </c:pt>
                <c:pt idx="154">
                  <c:v>2.8449078782690519E-3</c:v>
                </c:pt>
                <c:pt idx="155">
                  <c:v>-5.697991304405129E-3</c:v>
                </c:pt>
                <c:pt idx="156">
                  <c:v>1.1421632595400733E-3</c:v>
                </c:pt>
                <c:pt idx="157">
                  <c:v>5.12394513644681E-3</c:v>
                </c:pt>
                <c:pt idx="158">
                  <c:v>-2.2740551851044106E-3</c:v>
                </c:pt>
                <c:pt idx="159">
                  <c:v>-8.5739149328683574E-3</c:v>
                </c:pt>
                <c:pt idx="160">
                  <c:v>-9.8068295948848475E-3</c:v>
                </c:pt>
                <c:pt idx="161">
                  <c:v>-4.2513463190354973E-3</c:v>
                </c:pt>
                <c:pt idx="162">
                  <c:v>-1.0110097057956752E-2</c:v>
                </c:pt>
                <c:pt idx="163">
                  <c:v>-1.8703414262897906E-2</c:v>
                </c:pt>
                <c:pt idx="164">
                  <c:v>-6.7217247231749887E-3</c:v>
                </c:pt>
                <c:pt idx="165">
                  <c:v>-4.3010263731349009E-3</c:v>
                </c:pt>
                <c:pt idx="166">
                  <c:v>-9.2793792839827582E-3</c:v>
                </c:pt>
                <c:pt idx="167">
                  <c:v>1.8628149729069926E-3</c:v>
                </c:pt>
                <c:pt idx="168">
                  <c:v>1.2943127412559438E-2</c:v>
                </c:pt>
                <c:pt idx="169">
                  <c:v>1.0962394432582713E-2</c:v>
                </c:pt>
                <c:pt idx="170">
                  <c:v>-1.2187931160931781E-2</c:v>
                </c:pt>
                <c:pt idx="171">
                  <c:v>1.1582000481511069E-2</c:v>
                </c:pt>
                <c:pt idx="172">
                  <c:v>1.8613569807513386E-2</c:v>
                </c:pt>
                <c:pt idx="173">
                  <c:v>-1.377680211997016E-2</c:v>
                </c:pt>
                <c:pt idx="174">
                  <c:v>1.020115925682203E-2</c:v>
                </c:pt>
                <c:pt idx="175">
                  <c:v>1.5990897700798735E-2</c:v>
                </c:pt>
                <c:pt idx="176">
                  <c:v>-7.6674124514332052E-3</c:v>
                </c:pt>
                <c:pt idx="177">
                  <c:v>1.7746003431574375E-3</c:v>
                </c:pt>
                <c:pt idx="178">
                  <c:v>-5.9277432873759113E-3</c:v>
                </c:pt>
                <c:pt idx="179">
                  <c:v>1.7820997373106853E-3</c:v>
                </c:pt>
                <c:pt idx="180">
                  <c:v>8.2741716697485573E-3</c:v>
                </c:pt>
                <c:pt idx="181">
                  <c:v>5.283244107095986E-3</c:v>
                </c:pt>
                <c:pt idx="182">
                  <c:v>1.7549955781686565E-3</c:v>
                </c:pt>
                <c:pt idx="183">
                  <c:v>4.0827757174903999E-3</c:v>
                </c:pt>
                <c:pt idx="184">
                  <c:v>-5.8223411107649701E-4</c:v>
                </c:pt>
                <c:pt idx="185">
                  <c:v>5.2280020464313707E-3</c:v>
                </c:pt>
                <c:pt idx="186">
                  <c:v>2.3147859350525577E-3</c:v>
                </c:pt>
                <c:pt idx="187">
                  <c:v>1.732579879352201E-3</c:v>
                </c:pt>
                <c:pt idx="188">
                  <c:v>-1.732579879352136E-3</c:v>
                </c:pt>
                <c:pt idx="189">
                  <c:v>5.7637472026845571E-3</c:v>
                </c:pt>
                <c:pt idx="190">
                  <c:v>6.8728485226429662E-3</c:v>
                </c:pt>
                <c:pt idx="191">
                  <c:v>-1.4372182648414963E-2</c:v>
                </c:pt>
                <c:pt idx="192">
                  <c:v>1.3229934834084765E-2</c:v>
                </c:pt>
                <c:pt idx="193">
                  <c:v>-1.7157346722541096E-3</c:v>
                </c:pt>
                <c:pt idx="194">
                  <c:v>1.7157346722542091E-3</c:v>
                </c:pt>
                <c:pt idx="195">
                  <c:v>-1.3229934834084642E-2</c:v>
                </c:pt>
                <c:pt idx="196">
                  <c:v>-8.7235267318123977E-3</c:v>
                </c:pt>
                <c:pt idx="197">
                  <c:v>2.8787286268958209E-2</c:v>
                </c:pt>
                <c:pt idx="198">
                  <c:v>3.3485178750257492E-2</c:v>
                </c:pt>
                <c:pt idx="199">
                  <c:v>-1.1592695309031092E-2</c:v>
                </c:pt>
                <c:pt idx="200">
                  <c:v>1.8702397437831947E-2</c:v>
                </c:pt>
                <c:pt idx="201">
                  <c:v>-2.7285349047250127E-3</c:v>
                </c:pt>
                <c:pt idx="202">
                  <c:v>-1.0934242170624129E-3</c:v>
                </c:pt>
                <c:pt idx="203">
                  <c:v>-9.8955551720559757E-3</c:v>
                </c:pt>
                <c:pt idx="204">
                  <c:v>-1.3348415321843266E-2</c:v>
                </c:pt>
                <c:pt idx="205">
                  <c:v>0</c:v>
                </c:pt>
                <c:pt idx="206">
                  <c:v>-1.4096584264906203E-2</c:v>
                </c:pt>
                <c:pt idx="207">
                  <c:v>3.4012621492683047E-3</c:v>
                </c:pt>
                <c:pt idx="208">
                  <c:v>-1.6992713126116508E-3</c:v>
                </c:pt>
                <c:pt idx="209">
                  <c:v>1.6992713126115697E-3</c:v>
                </c:pt>
                <c:pt idx="210">
                  <c:v>2.1277351283956945E-2</c:v>
                </c:pt>
                <c:pt idx="211">
                  <c:v>3.3186565462668526E-3</c:v>
                </c:pt>
                <c:pt idx="212">
                  <c:v>1.588635415691966E-2</c:v>
                </c:pt>
                <c:pt idx="213">
                  <c:v>1.3495526138129172E-2</c:v>
                </c:pt>
                <c:pt idx="214">
                  <c:v>2.1425562712271934E-3</c:v>
                </c:pt>
                <c:pt idx="215">
                  <c:v>3.738273476931629E-3</c:v>
                </c:pt>
                <c:pt idx="216">
                  <c:v>-5.3329250387106324E-4</c:v>
                </c:pt>
                <c:pt idx="217">
                  <c:v>1.901802869604308E-2</c:v>
                </c:pt>
                <c:pt idx="218">
                  <c:v>-6.8259836239331134E-3</c:v>
                </c:pt>
                <c:pt idx="219">
                  <c:v>-8.4656033871456007E-3</c:v>
                </c:pt>
                <c:pt idx="220">
                  <c:v>-7.466713020734231E-3</c:v>
                </c:pt>
                <c:pt idx="221">
                  <c:v>4.8064098657813409E-3</c:v>
                </c:pt>
                <c:pt idx="222">
                  <c:v>2.1287652308458159E-3</c:v>
                </c:pt>
                <c:pt idx="223">
                  <c:v>-5.3176661708070883E-4</c:v>
                </c:pt>
                <c:pt idx="224">
                  <c:v>1.1701116052050159E-2</c:v>
                </c:pt>
                <c:pt idx="225">
                  <c:v>6.3830534173032645E-3</c:v>
                </c:pt>
                <c:pt idx="226">
                  <c:v>-2.6547400778527642E-3</c:v>
                </c:pt>
                <c:pt idx="227">
                  <c:v>-1.2302856764034255E-2</c:v>
                </c:pt>
                <c:pt idx="228">
                  <c:v>1.4427180508327499E-2</c:v>
                </c:pt>
                <c:pt idx="229">
                  <c:v>1.631185864869468E-2</c:v>
                </c:pt>
                <c:pt idx="230">
                  <c:v>-5.2205691605959625E-4</c:v>
                </c:pt>
                <c:pt idx="231">
                  <c:v>-1.5677557021459298E-3</c:v>
                </c:pt>
                <c:pt idx="232">
                  <c:v>-3.0265224779422156E-2</c:v>
                </c:pt>
                <c:pt idx="233">
                  <c:v>-1.8498896320453713E-2</c:v>
                </c:pt>
                <c:pt idx="234">
                  <c:v>5.0853933718081321E-2</c:v>
                </c:pt>
                <c:pt idx="235">
                  <c:v>1.564589587366755E-3</c:v>
                </c:pt>
                <c:pt idx="236">
                  <c:v>-9.4242056297434203E-3</c:v>
                </c:pt>
                <c:pt idx="237">
                  <c:v>-5.8032344347412621E-3</c:v>
                </c:pt>
                <c:pt idx="238">
                  <c:v>4.2238711161852434E-3</c:v>
                </c:pt>
                <c:pt idx="239">
                  <c:v>1.4125267552011362E-2</c:v>
                </c:pt>
                <c:pt idx="240">
                  <c:v>1.1363707289245462E-2</c:v>
                </c:pt>
                <c:pt idx="241">
                  <c:v>-5.1492389779095047E-3</c:v>
                </c:pt>
                <c:pt idx="242">
                  <c:v>-2.4034646374763047E-2</c:v>
                </c:pt>
                <c:pt idx="243">
                  <c:v>1.4698479459715275E-2</c:v>
                </c:pt>
                <c:pt idx="244">
                  <c:v>3.1216986037119246E-3</c:v>
                </c:pt>
                <c:pt idx="245">
                  <c:v>7.7620053354891094E-3</c:v>
                </c:pt>
                <c:pt idx="246">
                  <c:v>4.6284474501869788E-3</c:v>
                </c:pt>
                <c:pt idx="247">
                  <c:v>-3.0832501301206196E-3</c:v>
                </c:pt>
                <c:pt idx="248">
                  <c:v>4.6213175955976916E-3</c:v>
                </c:pt>
                <c:pt idx="249">
                  <c:v>5.6193763609869146E-3</c:v>
                </c:pt>
                <c:pt idx="250">
                  <c:v>-2.7894319608277238E-2</c:v>
                </c:pt>
                <c:pt idx="251">
                  <c:v>1.3010852287492039E-2</c:v>
                </c:pt>
              </c:numCache>
            </c:numRef>
          </c:xVal>
          <c:yVal>
            <c:numRef>
              <c:f>Retorno!$O$3:$O$254</c:f>
              <c:numCache>
                <c:formatCode>0.000%</c:formatCode>
                <c:ptCount val="252"/>
                <c:pt idx="0">
                  <c:v>5.5939921723177225E-3</c:v>
                </c:pt>
                <c:pt idx="1">
                  <c:v>-8.568180711971048E-3</c:v>
                </c:pt>
                <c:pt idx="2">
                  <c:v>-6.141625470814838E-3</c:v>
                </c:pt>
                <c:pt idx="3">
                  <c:v>3.4904214645253497E-3</c:v>
                </c:pt>
                <c:pt idx="4">
                  <c:v>-2.6582344086022547E-3</c:v>
                </c:pt>
                <c:pt idx="5">
                  <c:v>4.6472362667604817E-3</c:v>
                </c:pt>
                <c:pt idx="6">
                  <c:v>2.811071519673288E-3</c:v>
                </c:pt>
                <c:pt idx="7">
                  <c:v>-9.9121473034572902E-4</c:v>
                </c:pt>
                <c:pt idx="8">
                  <c:v>-4.9597604879833524E-4</c:v>
                </c:pt>
                <c:pt idx="9">
                  <c:v>-1.0640119950070189E-2</c:v>
                </c:pt>
                <c:pt idx="10">
                  <c:v>-8.7293459886518768E-3</c:v>
                </c:pt>
                <c:pt idx="11">
                  <c:v>-8.2960032000802229E-3</c:v>
                </c:pt>
                <c:pt idx="12">
                  <c:v>-6.802636816685408E-4</c:v>
                </c:pt>
                <c:pt idx="13">
                  <c:v>-7.685086250950387E-3</c:v>
                </c:pt>
                <c:pt idx="14">
                  <c:v>0</c:v>
                </c:pt>
                <c:pt idx="15">
                  <c:v>9.3849136242531647E-3</c:v>
                </c:pt>
                <c:pt idx="16">
                  <c:v>-9.8994165765982269E-3</c:v>
                </c:pt>
                <c:pt idx="17">
                  <c:v>2.3984991177818894E-3</c:v>
                </c:pt>
                <c:pt idx="18">
                  <c:v>8.2446925036342867E-3</c:v>
                </c:pt>
                <c:pt idx="19">
                  <c:v>-8.9348416448038568E-3</c:v>
                </c:pt>
                <c:pt idx="20">
                  <c:v>6.1940863988089057E-3</c:v>
                </c:pt>
                <c:pt idx="21">
                  <c:v>-2.0603885067279927E-3</c:v>
                </c:pt>
                <c:pt idx="22">
                  <c:v>4.4589357728930948E-3</c:v>
                </c:pt>
                <c:pt idx="23">
                  <c:v>-1.5520182226064388E-2</c:v>
                </c:pt>
                <c:pt idx="24">
                  <c:v>1.0421744338548341E-3</c:v>
                </c:pt>
                <c:pt idx="25">
                  <c:v>-1.0471250468192831E-2</c:v>
                </c:pt>
                <c:pt idx="26">
                  <c:v>-8.2798817906721903E-3</c:v>
                </c:pt>
                <c:pt idx="27">
                  <c:v>-1.0313022416799286E-2</c:v>
                </c:pt>
                <c:pt idx="28">
                  <c:v>-2.5052793506595878E-3</c:v>
                </c:pt>
                <c:pt idx="29">
                  <c:v>3.0412831937692204E-3</c:v>
                </c:pt>
                <c:pt idx="30">
                  <c:v>-8.9718561804357604E-3</c:v>
                </c:pt>
                <c:pt idx="31">
                  <c:v>-1.0873561101627389E-2</c:v>
                </c:pt>
                <c:pt idx="32">
                  <c:v>2.9112300036451422E-3</c:v>
                </c:pt>
                <c:pt idx="33">
                  <c:v>-4.9535374384451825E-2</c:v>
                </c:pt>
                <c:pt idx="34">
                  <c:v>1.4405068586763934E-2</c:v>
                </c:pt>
                <c:pt idx="35">
                  <c:v>-4.9046695157092994E-3</c:v>
                </c:pt>
                <c:pt idx="36">
                  <c:v>2.1514155913894644E-2</c:v>
                </c:pt>
                <c:pt idx="37">
                  <c:v>-5.9402085775266582E-3</c:v>
                </c:pt>
                <c:pt idx="38">
                  <c:v>-1.6898605731409447E-2</c:v>
                </c:pt>
                <c:pt idx="39">
                  <c:v>1.5136608826072475E-3</c:v>
                </c:pt>
                <c:pt idx="40">
                  <c:v>1.0158067162630343E-2</c:v>
                </c:pt>
                <c:pt idx="41">
                  <c:v>1.1907236828734701E-2</c:v>
                </c:pt>
                <c:pt idx="42">
                  <c:v>-3.7001627652822851E-4</c:v>
                </c:pt>
                <c:pt idx="43">
                  <c:v>5.5350153172178456E-3</c:v>
                </c:pt>
                <c:pt idx="44">
                  <c:v>4.0397446205238134E-3</c:v>
                </c:pt>
                <c:pt idx="45">
                  <c:v>-9.01984365197008E-3</c:v>
                </c:pt>
                <c:pt idx="46">
                  <c:v>2.8437891260977562E-2</c:v>
                </c:pt>
                <c:pt idx="47">
                  <c:v>8.5898919565569297E-3</c:v>
                </c:pt>
                <c:pt idx="48">
                  <c:v>-6.0768940601561034E-3</c:v>
                </c:pt>
                <c:pt idx="49">
                  <c:v>-9.7279469304567372E-3</c:v>
                </c:pt>
                <c:pt idx="50">
                  <c:v>1.6339294527615768E-2</c:v>
                </c:pt>
                <c:pt idx="51">
                  <c:v>6.0369707476601144E-3</c:v>
                </c:pt>
                <c:pt idx="52">
                  <c:v>-8.8556819319023528E-4</c:v>
                </c:pt>
                <c:pt idx="53">
                  <c:v>1.1450857122828546E-2</c:v>
                </c:pt>
                <c:pt idx="54">
                  <c:v>-6.1495523287532295E-3</c:v>
                </c:pt>
                <c:pt idx="55">
                  <c:v>4.0454488376433064E-3</c:v>
                </c:pt>
                <c:pt idx="56">
                  <c:v>3.6793121473435051E-3</c:v>
                </c:pt>
                <c:pt idx="57">
                  <c:v>-1.5752086562333767E-3</c:v>
                </c:pt>
                <c:pt idx="58">
                  <c:v>-7.5604337307585206E-3</c:v>
                </c:pt>
                <c:pt idx="59">
                  <c:v>1.0583701900695479E-3</c:v>
                </c:pt>
                <c:pt idx="60">
                  <c:v>3.6955712633663846E-3</c:v>
                </c:pt>
                <c:pt idx="61">
                  <c:v>2.981612142296002E-3</c:v>
                </c:pt>
                <c:pt idx="62">
                  <c:v>1.9246372583412658E-3</c:v>
                </c:pt>
                <c:pt idx="63">
                  <c:v>-1.0493722296692307E-3</c:v>
                </c:pt>
                <c:pt idx="64">
                  <c:v>1.9229550455904989E-3</c:v>
                </c:pt>
                <c:pt idx="65">
                  <c:v>2.4420582166783792E-3</c:v>
                </c:pt>
                <c:pt idx="66">
                  <c:v>1.0915721899237774E-2</c:v>
                </c:pt>
                <c:pt idx="67">
                  <c:v>6.698173115196048E-3</c:v>
                </c:pt>
                <c:pt idx="68">
                  <c:v>2.564368058518235E-3</c:v>
                </c:pt>
                <c:pt idx="69">
                  <c:v>-1.8798349524674102E-3</c:v>
                </c:pt>
                <c:pt idx="70">
                  <c:v>2.0506000205027385E-3</c:v>
                </c:pt>
                <c:pt idx="71">
                  <c:v>-5.9926490699218782E-3</c:v>
                </c:pt>
                <c:pt idx="72">
                  <c:v>1.1530896635000211E-2</c:v>
                </c:pt>
                <c:pt idx="73">
                  <c:v>3.4165183963682714E-3</c:v>
                </c:pt>
                <c:pt idx="74">
                  <c:v>-1.1944749472458554E-3</c:v>
                </c:pt>
                <c:pt idx="75">
                  <c:v>1.5354718166455639E-3</c:v>
                </c:pt>
                <c:pt idx="76">
                  <c:v>-1.0233916476147672E-3</c:v>
                </c:pt>
                <c:pt idx="77">
                  <c:v>2.3863212857141401E-3</c:v>
                </c:pt>
                <c:pt idx="78">
                  <c:v>-2.2156572655028478E-3</c:v>
                </c:pt>
                <c:pt idx="79">
                  <c:v>7.3098102582420726E-3</c:v>
                </c:pt>
                <c:pt idx="80">
                  <c:v>6.4156731620670822E-3</c:v>
                </c:pt>
                <c:pt idx="81">
                  <c:v>8.5463889760277086E-3</c:v>
                </c:pt>
                <c:pt idx="82">
                  <c:v>-1.4962062138094838E-2</c:v>
                </c:pt>
                <c:pt idx="83">
                  <c:v>-7.4804742784532674E-3</c:v>
                </c:pt>
                <c:pt idx="84">
                  <c:v>7.1417585896560408E-3</c:v>
                </c:pt>
                <c:pt idx="85">
                  <c:v>-3.2244751257021888E-3</c:v>
                </c:pt>
                <c:pt idx="86">
                  <c:v>-2.0955763699396959E-2</c:v>
                </c:pt>
                <c:pt idx="87">
                  <c:v>6.5744708171604086E-3</c:v>
                </c:pt>
                <c:pt idx="88">
                  <c:v>5.6744066112261139E-3</c:v>
                </c:pt>
                <c:pt idx="89">
                  <c:v>4.1068114348282283E-3</c:v>
                </c:pt>
                <c:pt idx="90">
                  <c:v>2.5581149129798759E-3</c:v>
                </c:pt>
                <c:pt idx="91">
                  <c:v>6.811858639393253E-4</c:v>
                </c:pt>
                <c:pt idx="92">
                  <c:v>3.0590814664282501E-3</c:v>
                </c:pt>
                <c:pt idx="93">
                  <c:v>1.4989765411567772E-2</c:v>
                </c:pt>
                <c:pt idx="94">
                  <c:v>2.3375916662677874E-3</c:v>
                </c:pt>
                <c:pt idx="95">
                  <c:v>-3.3411282708156569E-3</c:v>
                </c:pt>
                <c:pt idx="96">
                  <c:v>-1.5071191150336566E-3</c:v>
                </c:pt>
                <c:pt idx="97">
                  <c:v>7.3468937372898847E-3</c:v>
                </c:pt>
                <c:pt idx="98">
                  <c:v>-1.8316735365529078E-3</c:v>
                </c:pt>
                <c:pt idx="99">
                  <c:v>3.3277857054118689E-3</c:v>
                </c:pt>
                <c:pt idx="100">
                  <c:v>-6.4994939061170766E-3</c:v>
                </c:pt>
                <c:pt idx="101">
                  <c:v>9.6506195124218454E-3</c:v>
                </c:pt>
                <c:pt idx="102">
                  <c:v>-6.6456043485522889E-3</c:v>
                </c:pt>
                <c:pt idx="103">
                  <c:v>0</c:v>
                </c:pt>
                <c:pt idx="104">
                  <c:v>2.8297562882526783E-3</c:v>
                </c:pt>
                <c:pt idx="105">
                  <c:v>-5.5003761178523645E-3</c:v>
                </c:pt>
                <c:pt idx="106">
                  <c:v>-4.3551865509223759E-3</c:v>
                </c:pt>
                <c:pt idx="107">
                  <c:v>4.6892664291325829E-3</c:v>
                </c:pt>
                <c:pt idx="108">
                  <c:v>-1.5830462198802939E-2</c:v>
                </c:pt>
                <c:pt idx="109">
                  <c:v>4.2347552165082781E-3</c:v>
                </c:pt>
                <c:pt idx="110">
                  <c:v>3.5433502166368901E-3</c:v>
                </c:pt>
                <c:pt idx="111">
                  <c:v>6.045418986824742E-3</c:v>
                </c:pt>
                <c:pt idx="112">
                  <c:v>2.842073474480988E-3</c:v>
                </c:pt>
                <c:pt idx="113">
                  <c:v>-6.8682608284900979E-3</c:v>
                </c:pt>
                <c:pt idx="114">
                  <c:v>2.4737724565590001E-2</c:v>
                </c:pt>
                <c:pt idx="115">
                  <c:v>-7.2416284624734579E-3</c:v>
                </c:pt>
                <c:pt idx="116">
                  <c:v>-8.2933112377348989E-3</c:v>
                </c:pt>
                <c:pt idx="117">
                  <c:v>-1.6669342296507035E-3</c:v>
                </c:pt>
                <c:pt idx="118">
                  <c:v>8.3381444850086286E-4</c:v>
                </c:pt>
                <c:pt idx="119">
                  <c:v>-2.670619829599635E-3</c:v>
                </c:pt>
                <c:pt idx="120">
                  <c:v>-4.5230317841640829E-3</c:v>
                </c:pt>
                <c:pt idx="121">
                  <c:v>2.3477669245357624E-3</c:v>
                </c:pt>
                <c:pt idx="122">
                  <c:v>-5.8799302773867674E-3</c:v>
                </c:pt>
                <c:pt idx="123">
                  <c:v>-1.0114192349661964E-3</c:v>
                </c:pt>
                <c:pt idx="124">
                  <c:v>1.8535876226185115E-3</c:v>
                </c:pt>
                <c:pt idx="125">
                  <c:v>-1.6839405150777205E-4</c:v>
                </c:pt>
                <c:pt idx="126">
                  <c:v>2.181787938436186E-2</c:v>
                </c:pt>
                <c:pt idx="127">
                  <c:v>8.8568526987604264E-3</c:v>
                </c:pt>
                <c:pt idx="128">
                  <c:v>-1.4707357985398316E-3</c:v>
                </c:pt>
                <c:pt idx="129">
                  <c:v>8.1738858055153973E-4</c:v>
                </c:pt>
                <c:pt idx="130">
                  <c:v>-8.0388122707836501E-3</c:v>
                </c:pt>
                <c:pt idx="131">
                  <c:v>-6.1132169466150627E-3</c:v>
                </c:pt>
                <c:pt idx="132">
                  <c:v>9.9389517455469021E-4</c:v>
                </c:pt>
                <c:pt idx="133">
                  <c:v>-6.311315966027564E-3</c:v>
                </c:pt>
                <c:pt idx="134">
                  <c:v>-8.1974383416661724E-3</c:v>
                </c:pt>
                <c:pt idx="135">
                  <c:v>4.6925289520041878E-3</c:v>
                </c:pt>
                <c:pt idx="136">
                  <c:v>-4.8605552480539922E-3</c:v>
                </c:pt>
                <c:pt idx="137">
                  <c:v>5.0397715508103207E-4</c:v>
                </c:pt>
                <c:pt idx="138">
                  <c:v>-1.848914347035491E-3</c:v>
                </c:pt>
                <c:pt idx="139">
                  <c:v>1.3449371919544843E-3</c:v>
                </c:pt>
                <c:pt idx="140">
                  <c:v>1.2024245731310248E-2</c:v>
                </c:pt>
                <c:pt idx="141">
                  <c:v>4.3067844327523246E-3</c:v>
                </c:pt>
                <c:pt idx="142">
                  <c:v>1.0195775101912073E-2</c:v>
                </c:pt>
                <c:pt idx="143">
                  <c:v>-2.2289265661106588E-3</c:v>
                </c:pt>
                <c:pt idx="144">
                  <c:v>-1.0300751202101817E-2</c:v>
                </c:pt>
                <c:pt idx="145">
                  <c:v>4.1663069910752798E-3</c:v>
                </c:pt>
                <c:pt idx="146">
                  <c:v>1.6616478726241028E-3</c:v>
                </c:pt>
                <c:pt idx="147">
                  <c:v>8.5965451914703454E-3</c:v>
                </c:pt>
                <c:pt idx="148">
                  <c:v>-4.6196894266072042E-3</c:v>
                </c:pt>
                <c:pt idx="149">
                  <c:v>3.3072101581254086E-4</c:v>
                </c:pt>
                <c:pt idx="150">
                  <c:v>-1.4890065620656438E-3</c:v>
                </c:pt>
                <c:pt idx="151">
                  <c:v>2.3152310191375206E-3</c:v>
                </c:pt>
                <c:pt idx="152">
                  <c:v>8.0612064628980545E-3</c:v>
                </c:pt>
                <c:pt idx="153">
                  <c:v>2.4548076667502516E-3</c:v>
                </c:pt>
                <c:pt idx="154">
                  <c:v>-8.2061974569752581E-3</c:v>
                </c:pt>
                <c:pt idx="155">
                  <c:v>-8.7726750393700287E-3</c:v>
                </c:pt>
                <c:pt idx="156">
                  <c:v>-5.3342326889105063E-3</c:v>
                </c:pt>
                <c:pt idx="157">
                  <c:v>-8.8979314726668046E-3</c:v>
                </c:pt>
                <c:pt idx="158">
                  <c:v>3.5350412795235415E-3</c:v>
                </c:pt>
                <c:pt idx="159">
                  <c:v>-4.0410882798711488E-3</c:v>
                </c:pt>
                <c:pt idx="160">
                  <c:v>7.5637276739742845E-3</c:v>
                </c:pt>
                <c:pt idx="161">
                  <c:v>-1.348640955626019E-2</c:v>
                </c:pt>
                <c:pt idx="162">
                  <c:v>2.2039331166826617E-3</c:v>
                </c:pt>
                <c:pt idx="163">
                  <c:v>-1.3125590939175541E-2</c:v>
                </c:pt>
                <c:pt idx="164">
                  <c:v>-2.4050333635455131E-3</c:v>
                </c:pt>
                <c:pt idx="165">
                  <c:v>-1.3769359849297128E-3</c:v>
                </c:pt>
                <c:pt idx="166">
                  <c:v>7.7206836858722564E-3</c:v>
                </c:pt>
                <c:pt idx="167">
                  <c:v>6.8132245978021052E-3</c:v>
                </c:pt>
                <c:pt idx="168">
                  <c:v>2.1162958107073866E-2</c:v>
                </c:pt>
                <c:pt idx="169">
                  <c:v>6.2956618817539729E-3</c:v>
                </c:pt>
                <c:pt idx="170">
                  <c:v>1.4852540987510795E-3</c:v>
                </c:pt>
                <c:pt idx="171">
                  <c:v>1.4895089026447495E-2</c:v>
                </c:pt>
                <c:pt idx="172">
                  <c:v>3.082230575187468E-3</c:v>
                </c:pt>
                <c:pt idx="173">
                  <c:v>0</c:v>
                </c:pt>
                <c:pt idx="174">
                  <c:v>4.8472846158211921E-3</c:v>
                </c:pt>
                <c:pt idx="175">
                  <c:v>-4.3615431401830369E-3</c:v>
                </c:pt>
                <c:pt idx="176">
                  <c:v>2.5869042305606007E-3</c:v>
                </c:pt>
                <c:pt idx="177">
                  <c:v>9.683988994642935E-4</c:v>
                </c:pt>
                <c:pt idx="178">
                  <c:v>2.8994529241732746E-3</c:v>
                </c:pt>
                <c:pt idx="179">
                  <c:v>2.8910542328630683E-3</c:v>
                </c:pt>
                <c:pt idx="180">
                  <c:v>4.3210584019733201E-3</c:v>
                </c:pt>
                <c:pt idx="181">
                  <c:v>3.666217842342803E-3</c:v>
                </c:pt>
                <c:pt idx="182">
                  <c:v>4.7729304993157585E-4</c:v>
                </c:pt>
                <c:pt idx="183">
                  <c:v>6.0250352963449492E-3</c:v>
                </c:pt>
                <c:pt idx="184">
                  <c:v>5.0457831514656758E-3</c:v>
                </c:pt>
                <c:pt idx="185">
                  <c:v>-7.578230471947678E-3</c:v>
                </c:pt>
                <c:pt idx="186">
                  <c:v>4.7533860586955039E-4</c:v>
                </c:pt>
                <c:pt idx="187">
                  <c:v>3.0051413878821489E-3</c:v>
                </c:pt>
                <c:pt idx="188">
                  <c:v>-4.5904615610439566E-3</c:v>
                </c:pt>
                <c:pt idx="189">
                  <c:v>-7.3248867997968373E-3</c:v>
                </c:pt>
                <c:pt idx="190">
                  <c:v>5.4192175886679812E-3</c:v>
                </c:pt>
                <c:pt idx="191">
                  <c:v>1.4295762641888972E-3</c:v>
                </c:pt>
                <c:pt idx="192">
                  <c:v>-1.454975939193497E-2</c:v>
                </c:pt>
                <c:pt idx="193">
                  <c:v>-1.4505435120728959E-3</c:v>
                </c:pt>
                <c:pt idx="194">
                  <c:v>-2.907479760967422E-3</c:v>
                </c:pt>
                <c:pt idx="195">
                  <c:v>-1.9429887302046369E-3</c:v>
                </c:pt>
                <c:pt idx="196">
                  <c:v>4.3664643547632167E-3</c:v>
                </c:pt>
                <c:pt idx="197">
                  <c:v>1.537262663889283E-2</c:v>
                </c:pt>
                <c:pt idx="198">
                  <c:v>0</c:v>
                </c:pt>
                <c:pt idx="199">
                  <c:v>1.5922092232906072E-2</c:v>
                </c:pt>
                <c:pt idx="200">
                  <c:v>-3.1287359214828865E-4</c:v>
                </c:pt>
                <c:pt idx="201">
                  <c:v>3.5918669636785371E-3</c:v>
                </c:pt>
                <c:pt idx="202">
                  <c:v>-3.748245865629597E-3</c:v>
                </c:pt>
                <c:pt idx="203">
                  <c:v>-5.0196004719991047E-3</c:v>
                </c:pt>
                <c:pt idx="204">
                  <c:v>-6.2929080548693986E-4</c:v>
                </c:pt>
                <c:pt idx="205">
                  <c:v>-1.0598781521427382E-2</c:v>
                </c:pt>
                <c:pt idx="206">
                  <c:v>1.7478507559406556E-3</c:v>
                </c:pt>
                <c:pt idx="207">
                  <c:v>7.1958738958610062E-4</c:v>
                </c:pt>
                <c:pt idx="208">
                  <c:v>1.1184790032108326E-3</c:v>
                </c:pt>
                <c:pt idx="209">
                  <c:v>1.5971257518978638E-4</c:v>
                </c:pt>
                <c:pt idx="210">
                  <c:v>-7.2110078735026766E-3</c:v>
                </c:pt>
                <c:pt idx="211">
                  <c:v>9.443847698832648E-3</c:v>
                </c:pt>
                <c:pt idx="212">
                  <c:v>1.8936986764933515E-2</c:v>
                </c:pt>
                <c:pt idx="213">
                  <c:v>-2.0342859528205111E-3</c:v>
                </c:pt>
                <c:pt idx="214">
                  <c:v>3.2841220395962312E-3</c:v>
                </c:pt>
                <c:pt idx="215">
                  <c:v>-2.1882315189594016E-3</c:v>
                </c:pt>
                <c:pt idx="216">
                  <c:v>-4.0764872369371159E-3</c:v>
                </c:pt>
                <c:pt idx="217">
                  <c:v>-5.8300487686362692E-3</c:v>
                </c:pt>
                <c:pt idx="218">
                  <c:v>-2.0564271894918324E-3</c:v>
                </c:pt>
                <c:pt idx="219">
                  <c:v>2.8463016418229037E-3</c:v>
                </c:pt>
                <c:pt idx="220">
                  <c:v>6.7668210053826762E-3</c:v>
                </c:pt>
                <c:pt idx="221">
                  <c:v>-1.2626414888283227E-2</c:v>
                </c:pt>
                <c:pt idx="222">
                  <c:v>-4.2976588916777241E-3</c:v>
                </c:pt>
                <c:pt idx="223">
                  <c:v>2.2307689124128954E-3</c:v>
                </c:pt>
                <c:pt idx="224">
                  <c:v>4.2880396046633875E-3</c:v>
                </c:pt>
                <c:pt idx="225">
                  <c:v>9.4638404252588466E-3</c:v>
                </c:pt>
                <c:pt idx="226">
                  <c:v>-4.563000564764429E-3</c:v>
                </c:pt>
                <c:pt idx="227">
                  <c:v>1.3471334993176645E-2</c:v>
                </c:pt>
                <c:pt idx="228">
                  <c:v>1.4519903364922418E-2</c:v>
                </c:pt>
                <c:pt idx="229">
                  <c:v>-3.067024540397419E-4</c:v>
                </c:pt>
                <c:pt idx="230">
                  <c:v>1.5327868988235308E-3</c:v>
                </c:pt>
                <c:pt idx="231">
                  <c:v>-7.9964136377382936E-3</c:v>
                </c:pt>
                <c:pt idx="232">
                  <c:v>2.9291935822486634E-3</c:v>
                </c:pt>
                <c:pt idx="233">
                  <c:v>1.3000091618175304E-2</c:v>
                </c:pt>
                <c:pt idx="234">
                  <c:v>3.943013964285107E-3</c:v>
                </c:pt>
                <c:pt idx="235">
                  <c:v>1.4723868428621712E-2</c:v>
                </c:pt>
                <c:pt idx="236">
                  <c:v>-3.2865430207580882E-3</c:v>
                </c:pt>
                <c:pt idx="237">
                  <c:v>1.2638603848310002E-2</c:v>
                </c:pt>
                <c:pt idx="238">
                  <c:v>-1.3986271941776691E-2</c:v>
                </c:pt>
                <c:pt idx="239">
                  <c:v>1.8114838733001931E-2</c:v>
                </c:pt>
                <c:pt idx="240">
                  <c:v>1.9958459712746134E-2</c:v>
                </c:pt>
                <c:pt idx="241">
                  <c:v>-1.7900558015048668E-2</c:v>
                </c:pt>
                <c:pt idx="242">
                  <c:v>-7.3441060418495512E-4</c:v>
                </c:pt>
                <c:pt idx="243">
                  <c:v>6.0068453122636119E-3</c:v>
                </c:pt>
                <c:pt idx="244">
                  <c:v>3.9362102876051566E-3</c:v>
                </c:pt>
                <c:pt idx="245">
                  <c:v>-7.2779275329949461E-4</c:v>
                </c:pt>
                <c:pt idx="246">
                  <c:v>-7.4534799929999399E-3</c:v>
                </c:pt>
                <c:pt idx="247">
                  <c:v>4.2450624586943594E-3</c:v>
                </c:pt>
                <c:pt idx="248">
                  <c:v>1.751357702825767E-3</c:v>
                </c:pt>
                <c:pt idx="249">
                  <c:v>1.0201851494693278E-3</c:v>
                </c:pt>
                <c:pt idx="250">
                  <c:v>7.6906421617582866E-3</c:v>
                </c:pt>
                <c:pt idx="251">
                  <c:v>0</c:v>
                </c:pt>
              </c:numCache>
            </c:numRef>
          </c:yVal>
          <c:smooth val="0"/>
          <c:extLst>
            <c:ext xmlns:c16="http://schemas.microsoft.com/office/drawing/2014/chart" uri="{C3380CC4-5D6E-409C-BE32-E72D297353CC}">
              <c16:uniqueId val="{00000000-D790-3C49-B4E3-F4427FB2CC57}"/>
            </c:ext>
          </c:extLst>
        </c:ser>
        <c:dLbls>
          <c:showLegendKey val="0"/>
          <c:showVal val="0"/>
          <c:showCatName val="0"/>
          <c:showSerName val="0"/>
          <c:showPercent val="0"/>
          <c:showBubbleSize val="0"/>
        </c:dLbls>
        <c:axId val="185009760"/>
        <c:axId val="185011472"/>
      </c:scatterChart>
      <c:valAx>
        <c:axId val="18500976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5011472"/>
        <c:crosses val="autoZero"/>
        <c:crossBetween val="midCat"/>
      </c:valAx>
      <c:valAx>
        <c:axId val="18501147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50097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Serie</a:t>
            </a:r>
            <a:r>
              <a:rPr lang="es-ES" baseline="0"/>
              <a:t> de Retorno de Activos</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Portafolio!$F$2</c:f>
              <c:strCache>
                <c:ptCount val="1"/>
                <c:pt idx="0">
                  <c:v>r_Apple</c:v>
                </c:pt>
              </c:strCache>
            </c:strRef>
          </c:tx>
          <c:spPr>
            <a:ln w="28575" cap="rnd">
              <a:solidFill>
                <a:schemeClr val="accent1"/>
              </a:solidFill>
              <a:round/>
            </a:ln>
            <a:effectLst/>
          </c:spPr>
          <c:marker>
            <c:symbol val="none"/>
          </c:marker>
          <c:val>
            <c:numRef>
              <c:f>Portafolio!$F$3:$F$254</c:f>
              <c:numCache>
                <c:formatCode>0.000%</c:formatCode>
                <c:ptCount val="252"/>
                <c:pt idx="0">
                  <c:v>-1.4662185008184019E-2</c:v>
                </c:pt>
                <c:pt idx="1">
                  <c:v>2.8121205565770678E-3</c:v>
                </c:pt>
                <c:pt idx="2">
                  <c:v>7.7070400094383651E-3</c:v>
                </c:pt>
                <c:pt idx="3">
                  <c:v>7.8738144273404372E-3</c:v>
                </c:pt>
                <c:pt idx="4">
                  <c:v>2.1711540417555734E-2</c:v>
                </c:pt>
                <c:pt idx="5">
                  <c:v>-2.6519108676923038E-2</c:v>
                </c:pt>
                <c:pt idx="6">
                  <c:v>1.2564052740774025E-2</c:v>
                </c:pt>
                <c:pt idx="7">
                  <c:v>8.8072127836774459E-3</c:v>
                </c:pt>
                <c:pt idx="8">
                  <c:v>2.1575762719950167E-2</c:v>
                </c:pt>
                <c:pt idx="9">
                  <c:v>1.899078242547661E-2</c:v>
                </c:pt>
                <c:pt idx="10">
                  <c:v>1.1717517176788328E-3</c:v>
                </c:pt>
                <c:pt idx="11">
                  <c:v>8.4277857631225358E-3</c:v>
                </c:pt>
                <c:pt idx="12">
                  <c:v>1.2659131987154749E-3</c:v>
                </c:pt>
                <c:pt idx="13">
                  <c:v>-3.6449647610985361E-2</c:v>
                </c:pt>
                <c:pt idx="14">
                  <c:v>-2.9685687263803755E-2</c:v>
                </c:pt>
                <c:pt idx="15">
                  <c:v>3.4855737123982338E-3</c:v>
                </c:pt>
                <c:pt idx="16">
                  <c:v>6.6007039975988667E-3</c:v>
                </c:pt>
                <c:pt idx="17">
                  <c:v>-1.7207766577965616E-2</c:v>
                </c:pt>
                <c:pt idx="18">
                  <c:v>-1.1925628607410014E-2</c:v>
                </c:pt>
                <c:pt idx="19">
                  <c:v>8.744192273870471E-3</c:v>
                </c:pt>
                <c:pt idx="20">
                  <c:v>-4.1626265495737849E-3</c:v>
                </c:pt>
                <c:pt idx="21">
                  <c:v>1.6771885661529522E-2</c:v>
                </c:pt>
                <c:pt idx="22">
                  <c:v>6.1618290451625419E-3</c:v>
                </c:pt>
                <c:pt idx="23">
                  <c:v>-2.0194689945887755E-2</c:v>
                </c:pt>
                <c:pt idx="24">
                  <c:v>-8.9290841663582452E-3</c:v>
                </c:pt>
                <c:pt idx="25">
                  <c:v>4.932157084030179E-3</c:v>
                </c:pt>
                <c:pt idx="26">
                  <c:v>7.3532671978666295E-3</c:v>
                </c:pt>
                <c:pt idx="27">
                  <c:v>-2.3676570379196956E-2</c:v>
                </c:pt>
                <c:pt idx="28">
                  <c:v>-8.9372740582099996E-3</c:v>
                </c:pt>
                <c:pt idx="29">
                  <c:v>1.5245124110350558E-3</c:v>
                </c:pt>
                <c:pt idx="30">
                  <c:v>3.0418117645047292E-3</c:v>
                </c:pt>
                <c:pt idx="31">
                  <c:v>1.4726612543542477E-2</c:v>
                </c:pt>
                <c:pt idx="32">
                  <c:v>-7.8002013931504684E-3</c:v>
                </c:pt>
                <c:pt idx="33">
                  <c:v>7.2820978273525263E-3</c:v>
                </c:pt>
                <c:pt idx="34">
                  <c:v>7.1721957179410305E-3</c:v>
                </c:pt>
                <c:pt idx="35">
                  <c:v>1.4642797262619538E-2</c:v>
                </c:pt>
                <c:pt idx="36">
                  <c:v>8.4155364965835446E-3</c:v>
                </c:pt>
                <c:pt idx="37">
                  <c:v>-3.3577377412587176E-3</c:v>
                </c:pt>
                <c:pt idx="38">
                  <c:v>7.8729256654077838E-3</c:v>
                </c:pt>
                <c:pt idx="39">
                  <c:v>5.0484914715231101E-3</c:v>
                </c:pt>
                <c:pt idx="40">
                  <c:v>-1.0346128156285038E-2</c:v>
                </c:pt>
                <c:pt idx="41">
                  <c:v>-7.2710133536225421E-4</c:v>
                </c:pt>
                <c:pt idx="42">
                  <c:v>-8.8236168219693739E-3</c:v>
                </c:pt>
                <c:pt idx="43">
                  <c:v>-7.4223370429170512E-3</c:v>
                </c:pt>
                <c:pt idx="44">
                  <c:v>-2.1632256780532658E-3</c:v>
                </c:pt>
                <c:pt idx="45">
                  <c:v>-1.48134638605088E-2</c:v>
                </c:pt>
                <c:pt idx="46">
                  <c:v>6.9385280456884656E-4</c:v>
                </c:pt>
                <c:pt idx="47">
                  <c:v>2.5402110604923374E-3</c:v>
                </c:pt>
                <c:pt idx="48">
                  <c:v>-1.3583577722310494E-2</c:v>
                </c:pt>
                <c:pt idx="49">
                  <c:v>-2.4913184770041188E-2</c:v>
                </c:pt>
                <c:pt idx="50">
                  <c:v>7.9376258370334254E-3</c:v>
                </c:pt>
                <c:pt idx="51">
                  <c:v>1.2230145391432332E-2</c:v>
                </c:pt>
                <c:pt idx="52">
                  <c:v>2.8148308012558494E-3</c:v>
                </c:pt>
                <c:pt idx="53">
                  <c:v>1.8565290897534802E-2</c:v>
                </c:pt>
                <c:pt idx="54">
                  <c:v>2.0482069684558096E-2</c:v>
                </c:pt>
                <c:pt idx="55">
                  <c:v>-5.1946810275440517E-3</c:v>
                </c:pt>
                <c:pt idx="56">
                  <c:v>1.44996022601437E-2</c:v>
                </c:pt>
                <c:pt idx="57">
                  <c:v>1.4347282613426004E-2</c:v>
                </c:pt>
                <c:pt idx="58">
                  <c:v>5.8675683603629037E-3</c:v>
                </c:pt>
                <c:pt idx="59">
                  <c:v>-2.6278835003809412E-3</c:v>
                </c:pt>
                <c:pt idx="60">
                  <c:v>2.2954556969230551E-2</c:v>
                </c:pt>
                <c:pt idx="61">
                  <c:v>-8.6207243473615386E-3</c:v>
                </c:pt>
                <c:pt idx="62">
                  <c:v>1.4184635374476782E-2</c:v>
                </c:pt>
                <c:pt idx="63">
                  <c:v>3.0363308776654089E-3</c:v>
                </c:pt>
                <c:pt idx="64">
                  <c:v>9.0015200429287429E-3</c:v>
                </c:pt>
                <c:pt idx="65">
                  <c:v>-1.0544870529251719E-4</c:v>
                </c:pt>
                <c:pt idx="66">
                  <c:v>9.2354873918627962E-3</c:v>
                </c:pt>
                <c:pt idx="67">
                  <c:v>-4.2398033377747738E-3</c:v>
                </c:pt>
                <c:pt idx="68">
                  <c:v>3.5083046042034536E-3</c:v>
                </c:pt>
                <c:pt idx="69">
                  <c:v>-7.0289607553052254E-3</c:v>
                </c:pt>
                <c:pt idx="70">
                  <c:v>-9.4805949388913479E-4</c:v>
                </c:pt>
                <c:pt idx="71">
                  <c:v>3.2089405359202782E-3</c:v>
                </c:pt>
                <c:pt idx="72">
                  <c:v>-5.4242788854046205E-3</c:v>
                </c:pt>
                <c:pt idx="73">
                  <c:v>3.0580089148523034E-3</c:v>
                </c:pt>
                <c:pt idx="74">
                  <c:v>6.7683969358011721E-3</c:v>
                </c:pt>
                <c:pt idx="75">
                  <c:v>-9.5097229376474839E-3</c:v>
                </c:pt>
                <c:pt idx="76">
                  <c:v>2.084449839920156E-2</c:v>
                </c:pt>
                <c:pt idx="77">
                  <c:v>-5.7032520050787593E-3</c:v>
                </c:pt>
                <c:pt idx="78">
                  <c:v>1.0088207138443817E-2</c:v>
                </c:pt>
                <c:pt idx="79">
                  <c:v>7.3850207302899578E-3</c:v>
                </c:pt>
                <c:pt idx="80">
                  <c:v>-1.301155524149791E-2</c:v>
                </c:pt>
                <c:pt idx="81">
                  <c:v>7.8889519649972505E-3</c:v>
                </c:pt>
                <c:pt idx="82">
                  <c:v>1.6553655693470191E-2</c:v>
                </c:pt>
                <c:pt idx="83">
                  <c:v>7.5742185089877612E-4</c:v>
                </c:pt>
                <c:pt idx="84">
                  <c:v>-2.7295073142777661E-3</c:v>
                </c:pt>
                <c:pt idx="85">
                  <c:v>-8.53965400802611E-3</c:v>
                </c:pt>
                <c:pt idx="86">
                  <c:v>5.3458637702141027E-3</c:v>
                </c:pt>
                <c:pt idx="87">
                  <c:v>-1.0771711802952852E-2</c:v>
                </c:pt>
                <c:pt idx="88">
                  <c:v>-7.7033791279105483E-4</c:v>
                </c:pt>
                <c:pt idx="89">
                  <c:v>-5.5629055748559423E-3</c:v>
                </c:pt>
                <c:pt idx="90">
                  <c:v>-2.8449113917028523E-3</c:v>
                </c:pt>
                <c:pt idx="91">
                  <c:v>5.1779897604456546E-4</c:v>
                </c:pt>
                <c:pt idx="92">
                  <c:v>2.2237825955231019E-3</c:v>
                </c:pt>
                <c:pt idx="93">
                  <c:v>-5.4389057902563941E-3</c:v>
                </c:pt>
                <c:pt idx="94">
                  <c:v>-3.6442669115568614E-2</c:v>
                </c:pt>
                <c:pt idx="95">
                  <c:v>-7.5158087877084971E-3</c:v>
                </c:pt>
                <c:pt idx="96">
                  <c:v>-1.2781428001649012E-2</c:v>
                </c:pt>
                <c:pt idx="97">
                  <c:v>-4.0210117830922973E-3</c:v>
                </c:pt>
                <c:pt idx="98">
                  <c:v>2.3887222589555022E-2</c:v>
                </c:pt>
                <c:pt idx="99">
                  <c:v>-2.2659828390601978E-3</c:v>
                </c:pt>
                <c:pt idx="100">
                  <c:v>5.655471783241264E-3</c:v>
                </c:pt>
                <c:pt idx="101">
                  <c:v>-3.2278053849822972E-3</c:v>
                </c:pt>
                <c:pt idx="102">
                  <c:v>1.776525989713901E-3</c:v>
                </c:pt>
                <c:pt idx="103">
                  <c:v>-1.2393598825964395E-2</c:v>
                </c:pt>
                <c:pt idx="104">
                  <c:v>-5.186893307744119E-3</c:v>
                </c:pt>
                <c:pt idx="105">
                  <c:v>3.205143040647615E-2</c:v>
                </c:pt>
                <c:pt idx="106">
                  <c:v>1.5413605907075779E-2</c:v>
                </c:pt>
                <c:pt idx="107">
                  <c:v>1.2089939794405298E-2</c:v>
                </c:pt>
                <c:pt idx="108">
                  <c:v>6.6312354047433934E-3</c:v>
                </c:pt>
                <c:pt idx="109">
                  <c:v>-3.4900447377881711E-3</c:v>
                </c:pt>
                <c:pt idx="110">
                  <c:v>-1.6980138057580752E-3</c:v>
                </c:pt>
                <c:pt idx="111">
                  <c:v>-9.053703332614238E-3</c:v>
                </c:pt>
                <c:pt idx="112">
                  <c:v>-3.5923582258243084E-3</c:v>
                </c:pt>
                <c:pt idx="113">
                  <c:v>-1.9433375980611085E-2</c:v>
                </c:pt>
                <c:pt idx="114">
                  <c:v>-1.9547375416428876E-2</c:v>
                </c:pt>
                <c:pt idx="115">
                  <c:v>1.3252435087594459E-2</c:v>
                </c:pt>
                <c:pt idx="116">
                  <c:v>-5.4198470459970276E-3</c:v>
                </c:pt>
                <c:pt idx="117">
                  <c:v>9.7984505156412712E-3</c:v>
                </c:pt>
                <c:pt idx="118">
                  <c:v>8.5946741458582179E-3</c:v>
                </c:pt>
                <c:pt idx="119">
                  <c:v>5.8094509155742779E-4</c:v>
                </c:pt>
                <c:pt idx="120">
                  <c:v>-5.7713210785359176E-3</c:v>
                </c:pt>
                <c:pt idx="121">
                  <c:v>4.0856395568765842E-3</c:v>
                </c:pt>
                <c:pt idx="122">
                  <c:v>-9.0426439389799818E-3</c:v>
                </c:pt>
                <c:pt idx="123">
                  <c:v>-1.133841763443315E-2</c:v>
                </c:pt>
                <c:pt idx="124">
                  <c:v>-4.8213974030586366E-3</c:v>
                </c:pt>
                <c:pt idx="125">
                  <c:v>-1.5759825619922172E-3</c:v>
                </c:pt>
                <c:pt idx="126">
                  <c:v>-8.4661574423176515E-3</c:v>
                </c:pt>
                <c:pt idx="127">
                  <c:v>-4.1223013161664603E-3</c:v>
                </c:pt>
                <c:pt idx="128">
                  <c:v>4.1772619153831059E-3</c:v>
                </c:pt>
                <c:pt idx="129">
                  <c:v>1.118116096025438E-2</c:v>
                </c:pt>
                <c:pt idx="130">
                  <c:v>-1.0084818339197638E-2</c:v>
                </c:pt>
                <c:pt idx="131">
                  <c:v>-7.479106127821062E-3</c:v>
                </c:pt>
                <c:pt idx="132">
                  <c:v>8.0816092470088127E-3</c:v>
                </c:pt>
                <c:pt idx="133">
                  <c:v>-6.647496052951337E-3</c:v>
                </c:pt>
                <c:pt idx="134">
                  <c:v>-3.6999302544279294E-3</c:v>
                </c:pt>
                <c:pt idx="135">
                  <c:v>-6.0485955778969338E-3</c:v>
                </c:pt>
                <c:pt idx="136">
                  <c:v>-2.5708994582135079E-2</c:v>
                </c:pt>
                <c:pt idx="137">
                  <c:v>-2.8853134850884594E-2</c:v>
                </c:pt>
                <c:pt idx="138">
                  <c:v>-5.8956789518436912E-3</c:v>
                </c:pt>
                <c:pt idx="139">
                  <c:v>-7.0975441095678829E-4</c:v>
                </c:pt>
                <c:pt idx="140">
                  <c:v>1.0184574634208254E-2</c:v>
                </c:pt>
                <c:pt idx="141">
                  <c:v>1.1762232376596935E-2</c:v>
                </c:pt>
                <c:pt idx="142">
                  <c:v>2.7746091448219968E-3</c:v>
                </c:pt>
                <c:pt idx="143">
                  <c:v>-1.2196574219039144E-2</c:v>
                </c:pt>
                <c:pt idx="144">
                  <c:v>1.0868104262170121E-2</c:v>
                </c:pt>
                <c:pt idx="145">
                  <c:v>-2.1990199647653258E-3</c:v>
                </c:pt>
                <c:pt idx="146">
                  <c:v>6.3521899768463532E-3</c:v>
                </c:pt>
                <c:pt idx="147">
                  <c:v>1.3493637966671364E-2</c:v>
                </c:pt>
                <c:pt idx="148">
                  <c:v>1.4602145308817756E-2</c:v>
                </c:pt>
                <c:pt idx="149">
                  <c:v>-4.1715613983300662E-2</c:v>
                </c:pt>
                <c:pt idx="150">
                  <c:v>5.2960884338796171E-3</c:v>
                </c:pt>
                <c:pt idx="151">
                  <c:v>-8.3350523254073824E-3</c:v>
                </c:pt>
                <c:pt idx="152">
                  <c:v>-6.6948293563426041E-3</c:v>
                </c:pt>
                <c:pt idx="153">
                  <c:v>2.0990652674622658E-2</c:v>
                </c:pt>
                <c:pt idx="154">
                  <c:v>-1.0615167680639992E-2</c:v>
                </c:pt>
                <c:pt idx="155">
                  <c:v>-8.4917741718009161E-3</c:v>
                </c:pt>
                <c:pt idx="156">
                  <c:v>-7.0234473180625914E-3</c:v>
                </c:pt>
                <c:pt idx="157">
                  <c:v>4.7859728642550272E-3</c:v>
                </c:pt>
                <c:pt idx="158">
                  <c:v>-4.9043056684808586E-3</c:v>
                </c:pt>
                <c:pt idx="159">
                  <c:v>4.4916084303433098E-3</c:v>
                </c:pt>
                <c:pt idx="160">
                  <c:v>-6.685740856598745E-3</c:v>
                </c:pt>
                <c:pt idx="161">
                  <c:v>7.2163751807764352E-3</c:v>
                </c:pt>
                <c:pt idx="162">
                  <c:v>-1.120175412492392E-2</c:v>
                </c:pt>
                <c:pt idx="163">
                  <c:v>4.236087617690229E-2</c:v>
                </c:pt>
                <c:pt idx="164">
                  <c:v>8.5896815167550832E-3</c:v>
                </c:pt>
                <c:pt idx="165">
                  <c:v>-2.2106106529132866E-2</c:v>
                </c:pt>
                <c:pt idx="166">
                  <c:v>-1.9353292388622649E-2</c:v>
                </c:pt>
                <c:pt idx="167">
                  <c:v>-8.1807529156866562E-3</c:v>
                </c:pt>
                <c:pt idx="168">
                  <c:v>-5.7307029681765223E-3</c:v>
                </c:pt>
                <c:pt idx="169">
                  <c:v>-1.2287828139873455E-2</c:v>
                </c:pt>
                <c:pt idx="170">
                  <c:v>5.07788929321121E-3</c:v>
                </c:pt>
                <c:pt idx="171">
                  <c:v>6.3713730744178647E-3</c:v>
                </c:pt>
                <c:pt idx="172">
                  <c:v>1.2622341953280228E-2</c:v>
                </c:pt>
                <c:pt idx="173">
                  <c:v>5.1340934294748482E-3</c:v>
                </c:pt>
                <c:pt idx="174">
                  <c:v>-3.4788581331064421E-3</c:v>
                </c:pt>
                <c:pt idx="175">
                  <c:v>2.4505258851654717E-2</c:v>
                </c:pt>
                <c:pt idx="176">
                  <c:v>-1.8439790545778333E-2</c:v>
                </c:pt>
                <c:pt idx="177">
                  <c:v>-6.0654683058762593E-3</c:v>
                </c:pt>
                <c:pt idx="178">
                  <c:v>2.1792612899963495E-2</c:v>
                </c:pt>
                <c:pt idx="179">
                  <c:v>5.8095544508652106E-2</c:v>
                </c:pt>
                <c:pt idx="180">
                  <c:v>-9.1483674173388676E-3</c:v>
                </c:pt>
                <c:pt idx="181">
                  <c:v>3.7898712813242458E-3</c:v>
                </c:pt>
                <c:pt idx="182">
                  <c:v>1.8624377821563668E-3</c:v>
                </c:pt>
                <c:pt idx="183">
                  <c:v>9.9644209184128335E-3</c:v>
                </c:pt>
                <c:pt idx="184">
                  <c:v>-6.9140777525400921E-3</c:v>
                </c:pt>
                <c:pt idx="185">
                  <c:v>1.7491613013872163E-2</c:v>
                </c:pt>
                <c:pt idx="186">
                  <c:v>6.1545058292852206E-3</c:v>
                </c:pt>
                <c:pt idx="187">
                  <c:v>1.2143861705092206E-2</c:v>
                </c:pt>
                <c:pt idx="188">
                  <c:v>6.3229391275216771E-4</c:v>
                </c:pt>
                <c:pt idx="189">
                  <c:v>1.5802948487189222E-4</c:v>
                </c:pt>
                <c:pt idx="190">
                  <c:v>6.1431644627328542E-3</c:v>
                </c:pt>
                <c:pt idx="191">
                  <c:v>6.8338906269820778E-3</c:v>
                </c:pt>
                <c:pt idx="192">
                  <c:v>-7.5669526869904195E-3</c:v>
                </c:pt>
                <c:pt idx="193">
                  <c:v>-2.128302424671985E-2</c:v>
                </c:pt>
                <c:pt idx="194">
                  <c:v>1.6452046082168593E-2</c:v>
                </c:pt>
                <c:pt idx="195">
                  <c:v>5.2749355993220789E-5</c:v>
                </c:pt>
                <c:pt idx="196">
                  <c:v>1.5777000232845243E-3</c:v>
                </c:pt>
                <c:pt idx="197">
                  <c:v>5.2413568168104213E-3</c:v>
                </c:pt>
                <c:pt idx="198">
                  <c:v>5.0060225548219234E-3</c:v>
                </c:pt>
                <c:pt idx="199">
                  <c:v>9.2161623911649945E-3</c:v>
                </c:pt>
                <c:pt idx="200">
                  <c:v>1.6479275844381797E-3</c:v>
                </c:pt>
                <c:pt idx="201">
                  <c:v>7.7904722351031866E-3</c:v>
                </c:pt>
                <c:pt idx="202">
                  <c:v>-7.121864915451831E-3</c:v>
                </c:pt>
                <c:pt idx="203">
                  <c:v>1.2315935510636394E-2</c:v>
                </c:pt>
                <c:pt idx="204">
                  <c:v>-1.9333515601065478E-2</c:v>
                </c:pt>
                <c:pt idx="205">
                  <c:v>7.0131414104475584E-2</c:v>
                </c:pt>
                <c:pt idx="206">
                  <c:v>2.8177683832117249E-2</c:v>
                </c:pt>
                <c:pt idx="207">
                  <c:v>5.4761020107099078E-3</c:v>
                </c:pt>
                <c:pt idx="208">
                  <c:v>-8.2019263390725322E-3</c:v>
                </c:pt>
                <c:pt idx="209">
                  <c:v>1.948047725735666E-2</c:v>
                </c:pt>
                <c:pt idx="210">
                  <c:v>-1.1045270681009117E-2</c:v>
                </c:pt>
                <c:pt idx="211">
                  <c:v>-2.1747631659808291E-2</c:v>
                </c:pt>
                <c:pt idx="212">
                  <c:v>-1.0499345697948081E-2</c:v>
                </c:pt>
                <c:pt idx="213">
                  <c:v>3.1277001097442104E-3</c:v>
                </c:pt>
                <c:pt idx="214">
                  <c:v>4.4582669163491413E-3</c:v>
                </c:pt>
                <c:pt idx="215">
                  <c:v>1.9796003669469535E-2</c:v>
                </c:pt>
                <c:pt idx="216">
                  <c:v>3.9780687953256729E-3</c:v>
                </c:pt>
                <c:pt idx="217">
                  <c:v>-1.6387734624486144E-2</c:v>
                </c:pt>
                <c:pt idx="218">
                  <c:v>2.8689111628198698E-2</c:v>
                </c:pt>
                <c:pt idx="219">
                  <c:v>1.6109449297697549E-2</c:v>
                </c:pt>
                <c:pt idx="220">
                  <c:v>5.7942259479230023E-3</c:v>
                </c:pt>
                <c:pt idx="221">
                  <c:v>2.1389960415288217E-2</c:v>
                </c:pt>
                <c:pt idx="222">
                  <c:v>6.5176077697273217E-3</c:v>
                </c:pt>
                <c:pt idx="223">
                  <c:v>3.7677515857849927E-3</c:v>
                </c:pt>
                <c:pt idx="224">
                  <c:v>1.8628964806476703E-2</c:v>
                </c:pt>
                <c:pt idx="225">
                  <c:v>-2.3494672238777499E-2</c:v>
                </c:pt>
                <c:pt idx="226">
                  <c:v>1.2966442042243119E-2</c:v>
                </c:pt>
                <c:pt idx="227">
                  <c:v>1.6604708169325119E-2</c:v>
                </c:pt>
                <c:pt idx="228">
                  <c:v>1.7902506232981147E-3</c:v>
                </c:pt>
                <c:pt idx="229">
                  <c:v>-2.5621428783056767E-2</c:v>
                </c:pt>
                <c:pt idx="230">
                  <c:v>-2.074860964039351E-2</c:v>
                </c:pt>
                <c:pt idx="231">
                  <c:v>5.7973336916425204E-4</c:v>
                </c:pt>
                <c:pt idx="232">
                  <c:v>-1.5614861566389346E-3</c:v>
                </c:pt>
                <c:pt idx="233">
                  <c:v>4.6772962161707281E-3</c:v>
                </c:pt>
                <c:pt idx="234">
                  <c:v>-2.9175802186708118E-2</c:v>
                </c:pt>
                <c:pt idx="235">
                  <c:v>-4.8161042901711899E-3</c:v>
                </c:pt>
                <c:pt idx="236">
                  <c:v>2.1586660116600692E-3</c:v>
                </c:pt>
                <c:pt idx="237">
                  <c:v>1.2838228252665619E-3</c:v>
                </c:pt>
                <c:pt idx="238">
                  <c:v>2.562716177992965E-3</c:v>
                </c:pt>
                <c:pt idx="239">
                  <c:v>1.4879566390620118E-2</c:v>
                </c:pt>
                <c:pt idx="240">
                  <c:v>-1.6892595276606047E-2</c:v>
                </c:pt>
                <c:pt idx="241">
                  <c:v>6.8458769114516189E-3</c:v>
                </c:pt>
                <c:pt idx="242">
                  <c:v>-4.936563304839342E-2</c:v>
                </c:pt>
                <c:pt idx="243">
                  <c:v>-9.7960810695936606E-3</c:v>
                </c:pt>
                <c:pt idx="244">
                  <c:v>1.2420806909965328E-2</c:v>
                </c:pt>
                <c:pt idx="245">
                  <c:v>1.6496471649674511E-2</c:v>
                </c:pt>
                <c:pt idx="246">
                  <c:v>1.3642429865120695E-2</c:v>
                </c:pt>
                <c:pt idx="247">
                  <c:v>7.1046339891622338E-3</c:v>
                </c:pt>
                <c:pt idx="248">
                  <c:v>1.7046925905757491E-2</c:v>
                </c:pt>
                <c:pt idx="249">
                  <c:v>2.0316357014954671E-3</c:v>
                </c:pt>
                <c:pt idx="250">
                  <c:v>1.3439858184173351E-2</c:v>
                </c:pt>
                <c:pt idx="251">
                  <c:v>5.9010397660438866E-3</c:v>
                </c:pt>
              </c:numCache>
            </c:numRef>
          </c:val>
          <c:smooth val="0"/>
          <c:extLst>
            <c:ext xmlns:c16="http://schemas.microsoft.com/office/drawing/2014/chart" uri="{C3380CC4-5D6E-409C-BE32-E72D297353CC}">
              <c16:uniqueId val="{00000000-8196-4D4F-8CC8-6155B496AA60}"/>
            </c:ext>
          </c:extLst>
        </c:ser>
        <c:ser>
          <c:idx val="1"/>
          <c:order val="1"/>
          <c:tx>
            <c:strRef>
              <c:f>Portafolio!$G$2</c:f>
              <c:strCache>
                <c:ptCount val="1"/>
                <c:pt idx="0">
                  <c:v>r_Coca-Cola</c:v>
                </c:pt>
              </c:strCache>
            </c:strRef>
          </c:tx>
          <c:spPr>
            <a:ln w="28575" cap="rnd">
              <a:solidFill>
                <a:schemeClr val="accent2"/>
              </a:solidFill>
              <a:round/>
            </a:ln>
            <a:effectLst/>
          </c:spPr>
          <c:marker>
            <c:symbol val="none"/>
          </c:marker>
          <c:val>
            <c:numRef>
              <c:f>Portafolio!$G$3:$G$254</c:f>
              <c:numCache>
                <c:formatCode>0.000%</c:formatCode>
                <c:ptCount val="252"/>
                <c:pt idx="0">
                  <c:v>2.1472312077841786E-3</c:v>
                </c:pt>
                <c:pt idx="1">
                  <c:v>5.5939921723177225E-3</c:v>
                </c:pt>
                <c:pt idx="2">
                  <c:v>-8.568180711971048E-3</c:v>
                </c:pt>
                <c:pt idx="3">
                  <c:v>-6.141625470814838E-3</c:v>
                </c:pt>
                <c:pt idx="4">
                  <c:v>3.4904214645253497E-3</c:v>
                </c:pt>
                <c:pt idx="5">
                  <c:v>-2.6582344086022547E-3</c:v>
                </c:pt>
                <c:pt idx="6">
                  <c:v>4.6472362667604817E-3</c:v>
                </c:pt>
                <c:pt idx="7">
                  <c:v>2.811071519673288E-3</c:v>
                </c:pt>
                <c:pt idx="8">
                  <c:v>-9.9121473034572902E-4</c:v>
                </c:pt>
                <c:pt idx="9">
                  <c:v>-4.9597604879833524E-4</c:v>
                </c:pt>
                <c:pt idx="10">
                  <c:v>-1.0640119950070189E-2</c:v>
                </c:pt>
                <c:pt idx="11">
                  <c:v>-8.7293459886518768E-3</c:v>
                </c:pt>
                <c:pt idx="12">
                  <c:v>-8.2960032000802229E-3</c:v>
                </c:pt>
                <c:pt idx="13">
                  <c:v>-6.802636816685408E-4</c:v>
                </c:pt>
                <c:pt idx="14">
                  <c:v>-7.685086250950387E-3</c:v>
                </c:pt>
                <c:pt idx="15">
                  <c:v>0</c:v>
                </c:pt>
                <c:pt idx="16">
                  <c:v>9.3849136242531647E-3</c:v>
                </c:pt>
                <c:pt idx="17">
                  <c:v>-9.8994165765982269E-3</c:v>
                </c:pt>
                <c:pt idx="18">
                  <c:v>2.3984991177818894E-3</c:v>
                </c:pt>
                <c:pt idx="19">
                  <c:v>8.2446925036342867E-3</c:v>
                </c:pt>
                <c:pt idx="20">
                  <c:v>-8.9348416448038568E-3</c:v>
                </c:pt>
                <c:pt idx="21">
                  <c:v>6.1940863988089057E-3</c:v>
                </c:pt>
                <c:pt idx="22">
                  <c:v>-2.0603885067279927E-3</c:v>
                </c:pt>
                <c:pt idx="23">
                  <c:v>4.4589357728930948E-3</c:v>
                </c:pt>
                <c:pt idx="24">
                  <c:v>-1.5520182226064388E-2</c:v>
                </c:pt>
                <c:pt idx="25">
                  <c:v>1.0421744338548341E-3</c:v>
                </c:pt>
                <c:pt idx="26">
                  <c:v>-1.0471250468192831E-2</c:v>
                </c:pt>
                <c:pt idx="27">
                  <c:v>-8.2798817906721903E-3</c:v>
                </c:pt>
                <c:pt idx="28">
                  <c:v>-1.0313022416799286E-2</c:v>
                </c:pt>
                <c:pt idx="29">
                  <c:v>-2.5052793506595878E-3</c:v>
                </c:pt>
                <c:pt idx="30">
                  <c:v>3.0412831937692204E-3</c:v>
                </c:pt>
                <c:pt idx="31">
                  <c:v>-8.9718561804357604E-3</c:v>
                </c:pt>
                <c:pt idx="32">
                  <c:v>-1.0873561101627389E-2</c:v>
                </c:pt>
                <c:pt idx="33">
                  <c:v>2.9112300036451422E-3</c:v>
                </c:pt>
                <c:pt idx="34">
                  <c:v>-4.9535374384451825E-2</c:v>
                </c:pt>
                <c:pt idx="35">
                  <c:v>1.4405068586763934E-2</c:v>
                </c:pt>
                <c:pt idx="36">
                  <c:v>-4.9046695157092994E-3</c:v>
                </c:pt>
                <c:pt idx="37">
                  <c:v>2.1514155913894644E-2</c:v>
                </c:pt>
                <c:pt idx="38">
                  <c:v>-5.9402085775266582E-3</c:v>
                </c:pt>
                <c:pt idx="39">
                  <c:v>-1.6898605731409447E-2</c:v>
                </c:pt>
                <c:pt idx="40">
                  <c:v>1.5136608826072475E-3</c:v>
                </c:pt>
                <c:pt idx="41">
                  <c:v>1.0158067162630343E-2</c:v>
                </c:pt>
                <c:pt idx="42">
                  <c:v>1.1907236828734701E-2</c:v>
                </c:pt>
                <c:pt idx="43">
                  <c:v>-3.7001627652822851E-4</c:v>
                </c:pt>
                <c:pt idx="44">
                  <c:v>5.5350153172178456E-3</c:v>
                </c:pt>
                <c:pt idx="45">
                  <c:v>4.0397446205238134E-3</c:v>
                </c:pt>
                <c:pt idx="46">
                  <c:v>-9.01984365197008E-3</c:v>
                </c:pt>
                <c:pt idx="47">
                  <c:v>2.8437891260977562E-2</c:v>
                </c:pt>
                <c:pt idx="48">
                  <c:v>8.5898919565569297E-3</c:v>
                </c:pt>
                <c:pt idx="49">
                  <c:v>-6.0768940601561034E-3</c:v>
                </c:pt>
                <c:pt idx="50">
                  <c:v>-9.7279469304567372E-3</c:v>
                </c:pt>
                <c:pt idx="51">
                  <c:v>1.6339294527615768E-2</c:v>
                </c:pt>
                <c:pt idx="52">
                  <c:v>6.0369707476601144E-3</c:v>
                </c:pt>
                <c:pt idx="53">
                  <c:v>-8.8556819319023528E-4</c:v>
                </c:pt>
                <c:pt idx="54">
                  <c:v>1.1450857122828546E-2</c:v>
                </c:pt>
                <c:pt idx="55">
                  <c:v>-6.1495523287532295E-3</c:v>
                </c:pt>
                <c:pt idx="56">
                  <c:v>4.0454488376433064E-3</c:v>
                </c:pt>
                <c:pt idx="57">
                  <c:v>3.6793121473435051E-3</c:v>
                </c:pt>
                <c:pt idx="58">
                  <c:v>-1.5752086562333767E-3</c:v>
                </c:pt>
                <c:pt idx="59">
                  <c:v>-7.5604337307585206E-3</c:v>
                </c:pt>
                <c:pt idx="60">
                  <c:v>1.0583701900695479E-3</c:v>
                </c:pt>
                <c:pt idx="61">
                  <c:v>3.6955712633663846E-3</c:v>
                </c:pt>
                <c:pt idx="62">
                  <c:v>2.981612142296002E-3</c:v>
                </c:pt>
                <c:pt idx="63">
                  <c:v>1.9246372583412658E-3</c:v>
                </c:pt>
                <c:pt idx="64">
                  <c:v>-1.0493722296692307E-3</c:v>
                </c:pt>
                <c:pt idx="65">
                  <c:v>1.9229550455904989E-3</c:v>
                </c:pt>
                <c:pt idx="66">
                  <c:v>2.4420582166783792E-3</c:v>
                </c:pt>
                <c:pt idx="67">
                  <c:v>1.0915721899237774E-2</c:v>
                </c:pt>
                <c:pt idx="68">
                  <c:v>6.698173115196048E-3</c:v>
                </c:pt>
                <c:pt idx="69">
                  <c:v>2.564368058518235E-3</c:v>
                </c:pt>
                <c:pt idx="70">
                  <c:v>-1.8798349524674102E-3</c:v>
                </c:pt>
                <c:pt idx="71">
                  <c:v>2.0506000205027385E-3</c:v>
                </c:pt>
                <c:pt idx="72">
                  <c:v>-5.9926490699218782E-3</c:v>
                </c:pt>
                <c:pt idx="73">
                  <c:v>1.1530896635000211E-2</c:v>
                </c:pt>
                <c:pt idx="74">
                  <c:v>3.4165183963682714E-3</c:v>
                </c:pt>
                <c:pt idx="75">
                  <c:v>-1.1944749472458554E-3</c:v>
                </c:pt>
                <c:pt idx="76">
                  <c:v>1.5354718166455639E-3</c:v>
                </c:pt>
                <c:pt idx="77">
                  <c:v>-1.0233916476147672E-3</c:v>
                </c:pt>
                <c:pt idx="78">
                  <c:v>2.3863212857141401E-3</c:v>
                </c:pt>
                <c:pt idx="79">
                  <c:v>-2.2156572655028478E-3</c:v>
                </c:pt>
                <c:pt idx="80">
                  <c:v>7.3098102582420726E-3</c:v>
                </c:pt>
                <c:pt idx="81">
                  <c:v>6.4156731620670822E-3</c:v>
                </c:pt>
                <c:pt idx="82">
                  <c:v>8.5463889760277086E-3</c:v>
                </c:pt>
                <c:pt idx="83">
                  <c:v>-1.4962062138094838E-2</c:v>
                </c:pt>
                <c:pt idx="84">
                  <c:v>-7.4804742784532674E-3</c:v>
                </c:pt>
                <c:pt idx="85">
                  <c:v>7.1417585896560408E-3</c:v>
                </c:pt>
                <c:pt idx="86">
                  <c:v>-3.2244751257021888E-3</c:v>
                </c:pt>
                <c:pt idx="87">
                  <c:v>-2.0955763699396959E-2</c:v>
                </c:pt>
                <c:pt idx="88">
                  <c:v>6.5744708171604086E-3</c:v>
                </c:pt>
                <c:pt idx="89">
                  <c:v>5.6744066112261139E-3</c:v>
                </c:pt>
                <c:pt idx="90">
                  <c:v>4.1068114348282283E-3</c:v>
                </c:pt>
                <c:pt idx="91">
                  <c:v>2.5581149129798759E-3</c:v>
                </c:pt>
                <c:pt idx="92">
                  <c:v>6.811858639393253E-4</c:v>
                </c:pt>
                <c:pt idx="93">
                  <c:v>3.0590814664282501E-3</c:v>
                </c:pt>
                <c:pt idx="94">
                  <c:v>1.4989765411567772E-2</c:v>
                </c:pt>
                <c:pt idx="95">
                  <c:v>2.3375916662677874E-3</c:v>
                </c:pt>
                <c:pt idx="96">
                  <c:v>-3.3411282708156569E-3</c:v>
                </c:pt>
                <c:pt idx="97">
                  <c:v>-1.5071191150336566E-3</c:v>
                </c:pt>
                <c:pt idx="98">
                  <c:v>7.3468937372898847E-3</c:v>
                </c:pt>
                <c:pt idx="99">
                  <c:v>-1.8316735365529078E-3</c:v>
                </c:pt>
                <c:pt idx="100">
                  <c:v>3.3277857054118689E-3</c:v>
                </c:pt>
                <c:pt idx="101">
                  <c:v>-6.4994939061170766E-3</c:v>
                </c:pt>
                <c:pt idx="102">
                  <c:v>9.6506195124218454E-3</c:v>
                </c:pt>
                <c:pt idx="103">
                  <c:v>-6.6456043485522889E-3</c:v>
                </c:pt>
                <c:pt idx="104">
                  <c:v>0</c:v>
                </c:pt>
                <c:pt idx="105">
                  <c:v>2.8297562882526783E-3</c:v>
                </c:pt>
                <c:pt idx="106">
                  <c:v>-5.5003761178523645E-3</c:v>
                </c:pt>
                <c:pt idx="107">
                  <c:v>-4.3551865509223759E-3</c:v>
                </c:pt>
                <c:pt idx="108">
                  <c:v>4.6892664291325829E-3</c:v>
                </c:pt>
                <c:pt idx="109">
                  <c:v>-1.5830462198802939E-2</c:v>
                </c:pt>
                <c:pt idx="110">
                  <c:v>4.2347552165082781E-3</c:v>
                </c:pt>
                <c:pt idx="111">
                  <c:v>3.5433502166368901E-3</c:v>
                </c:pt>
                <c:pt idx="112">
                  <c:v>6.045418986824742E-3</c:v>
                </c:pt>
                <c:pt idx="113">
                  <c:v>2.842073474480988E-3</c:v>
                </c:pt>
                <c:pt idx="114">
                  <c:v>-6.8682608284900979E-3</c:v>
                </c:pt>
                <c:pt idx="115">
                  <c:v>2.4737724565590001E-2</c:v>
                </c:pt>
                <c:pt idx="116">
                  <c:v>-7.2416284624734579E-3</c:v>
                </c:pt>
                <c:pt idx="117">
                  <c:v>-8.2933112377348989E-3</c:v>
                </c:pt>
                <c:pt idx="118">
                  <c:v>-1.6669342296507035E-3</c:v>
                </c:pt>
                <c:pt idx="119">
                  <c:v>8.3381444850086286E-4</c:v>
                </c:pt>
                <c:pt idx="120">
                  <c:v>-2.670619829599635E-3</c:v>
                </c:pt>
                <c:pt idx="121">
                  <c:v>-4.5230317841640829E-3</c:v>
                </c:pt>
                <c:pt idx="122">
                  <c:v>2.3477669245357624E-3</c:v>
                </c:pt>
                <c:pt idx="123">
                  <c:v>-5.8799302773867674E-3</c:v>
                </c:pt>
                <c:pt idx="124">
                  <c:v>-1.0114192349661964E-3</c:v>
                </c:pt>
                <c:pt idx="125">
                  <c:v>1.8535876226185115E-3</c:v>
                </c:pt>
                <c:pt idx="126">
                  <c:v>-1.6839405150777205E-4</c:v>
                </c:pt>
                <c:pt idx="127">
                  <c:v>2.181787938436186E-2</c:v>
                </c:pt>
                <c:pt idx="128">
                  <c:v>8.8568526987604264E-3</c:v>
                </c:pt>
                <c:pt idx="129">
                  <c:v>-1.4707357985398316E-3</c:v>
                </c:pt>
                <c:pt idx="130">
                  <c:v>8.1738858055153973E-4</c:v>
                </c:pt>
                <c:pt idx="131">
                  <c:v>-8.0388122707836501E-3</c:v>
                </c:pt>
                <c:pt idx="132">
                  <c:v>-6.1132169466150627E-3</c:v>
                </c:pt>
                <c:pt idx="133">
                  <c:v>9.9389517455469021E-4</c:v>
                </c:pt>
                <c:pt idx="134">
                  <c:v>-6.311315966027564E-3</c:v>
                </c:pt>
                <c:pt idx="135">
                  <c:v>-8.1974383416661724E-3</c:v>
                </c:pt>
                <c:pt idx="136">
                  <c:v>4.6925289520041878E-3</c:v>
                </c:pt>
                <c:pt idx="137">
                  <c:v>-4.8605552480539922E-3</c:v>
                </c:pt>
                <c:pt idx="138">
                  <c:v>5.0397715508103207E-4</c:v>
                </c:pt>
                <c:pt idx="139">
                  <c:v>-1.848914347035491E-3</c:v>
                </c:pt>
                <c:pt idx="140">
                  <c:v>1.3449371919544843E-3</c:v>
                </c:pt>
                <c:pt idx="141">
                  <c:v>1.2024245731310248E-2</c:v>
                </c:pt>
                <c:pt idx="142">
                  <c:v>4.3067844327523246E-3</c:v>
                </c:pt>
                <c:pt idx="143">
                  <c:v>1.0195775101912073E-2</c:v>
                </c:pt>
                <c:pt idx="144">
                  <c:v>-2.2289265661106588E-3</c:v>
                </c:pt>
                <c:pt idx="145">
                  <c:v>-1.0300751202101817E-2</c:v>
                </c:pt>
                <c:pt idx="146">
                  <c:v>4.1663069910752798E-3</c:v>
                </c:pt>
                <c:pt idx="147">
                  <c:v>1.6616478726241028E-3</c:v>
                </c:pt>
                <c:pt idx="148">
                  <c:v>8.5965451914703454E-3</c:v>
                </c:pt>
                <c:pt idx="149">
                  <c:v>-4.6196894266072042E-3</c:v>
                </c:pt>
                <c:pt idx="150">
                  <c:v>3.3072101581254086E-4</c:v>
                </c:pt>
                <c:pt idx="151">
                  <c:v>-1.4890065620656438E-3</c:v>
                </c:pt>
                <c:pt idx="152">
                  <c:v>2.3152310191375206E-3</c:v>
                </c:pt>
                <c:pt idx="153">
                  <c:v>8.0612064628980545E-3</c:v>
                </c:pt>
                <c:pt idx="154">
                  <c:v>2.4548076667502516E-3</c:v>
                </c:pt>
                <c:pt idx="155">
                  <c:v>-8.2061974569752581E-3</c:v>
                </c:pt>
                <c:pt idx="156">
                  <c:v>-8.7726750393700287E-3</c:v>
                </c:pt>
                <c:pt idx="157">
                  <c:v>-5.3342326889105063E-3</c:v>
                </c:pt>
                <c:pt idx="158">
                  <c:v>-8.8979314726668046E-3</c:v>
                </c:pt>
                <c:pt idx="159">
                  <c:v>3.5350412795235415E-3</c:v>
                </c:pt>
                <c:pt idx="160">
                  <c:v>-4.0410882798711488E-3</c:v>
                </c:pt>
                <c:pt idx="161">
                  <c:v>7.5637276739742845E-3</c:v>
                </c:pt>
                <c:pt idx="162">
                  <c:v>-1.348640955626019E-2</c:v>
                </c:pt>
                <c:pt idx="163">
                  <c:v>2.2039331166826617E-3</c:v>
                </c:pt>
                <c:pt idx="164">
                  <c:v>-1.3125590939175541E-2</c:v>
                </c:pt>
                <c:pt idx="165">
                  <c:v>-2.4050333635455131E-3</c:v>
                </c:pt>
                <c:pt idx="166">
                  <c:v>-1.3769359849297128E-3</c:v>
                </c:pt>
                <c:pt idx="167">
                  <c:v>7.7206836858722564E-3</c:v>
                </c:pt>
                <c:pt idx="168">
                  <c:v>6.8132245978021052E-3</c:v>
                </c:pt>
                <c:pt idx="169">
                  <c:v>2.1162958107073866E-2</c:v>
                </c:pt>
                <c:pt idx="170">
                  <c:v>6.2956618817539729E-3</c:v>
                </c:pt>
                <c:pt idx="171">
                  <c:v>1.4852540987510795E-3</c:v>
                </c:pt>
                <c:pt idx="172">
                  <c:v>1.4895089026447495E-2</c:v>
                </c:pt>
                <c:pt idx="173">
                  <c:v>3.082230575187468E-3</c:v>
                </c:pt>
                <c:pt idx="174">
                  <c:v>0</c:v>
                </c:pt>
                <c:pt idx="175">
                  <c:v>4.8472846158211921E-3</c:v>
                </c:pt>
                <c:pt idx="176">
                  <c:v>-4.3615431401830369E-3</c:v>
                </c:pt>
                <c:pt idx="177">
                  <c:v>2.5869042305606007E-3</c:v>
                </c:pt>
                <c:pt idx="178">
                  <c:v>9.683988994642935E-4</c:v>
                </c:pt>
                <c:pt idx="179">
                  <c:v>2.8994529241732746E-3</c:v>
                </c:pt>
                <c:pt idx="180">
                  <c:v>2.8910542328630683E-3</c:v>
                </c:pt>
                <c:pt idx="181">
                  <c:v>4.3210584019733201E-3</c:v>
                </c:pt>
                <c:pt idx="182">
                  <c:v>3.666217842342803E-3</c:v>
                </c:pt>
                <c:pt idx="183">
                  <c:v>4.7729304993157585E-4</c:v>
                </c:pt>
                <c:pt idx="184">
                  <c:v>6.0250352963449492E-3</c:v>
                </c:pt>
                <c:pt idx="185">
                  <c:v>5.0457831514656758E-3</c:v>
                </c:pt>
                <c:pt idx="186">
                  <c:v>-7.578230471947678E-3</c:v>
                </c:pt>
                <c:pt idx="187">
                  <c:v>4.7533860586955039E-4</c:v>
                </c:pt>
                <c:pt idx="188">
                  <c:v>3.0051413878821489E-3</c:v>
                </c:pt>
                <c:pt idx="189">
                  <c:v>-4.5904615610439566E-3</c:v>
                </c:pt>
                <c:pt idx="190">
                  <c:v>-7.3248867997968373E-3</c:v>
                </c:pt>
                <c:pt idx="191">
                  <c:v>5.4192175886679812E-3</c:v>
                </c:pt>
                <c:pt idx="192">
                  <c:v>1.4295762641888972E-3</c:v>
                </c:pt>
                <c:pt idx="193">
                  <c:v>-1.454975939193497E-2</c:v>
                </c:pt>
                <c:pt idx="194">
                  <c:v>-1.4505435120728959E-3</c:v>
                </c:pt>
                <c:pt idx="195">
                  <c:v>-2.907479760967422E-3</c:v>
                </c:pt>
                <c:pt idx="196">
                  <c:v>-1.9429887302046369E-3</c:v>
                </c:pt>
                <c:pt idx="197">
                  <c:v>4.3664643547632167E-3</c:v>
                </c:pt>
                <c:pt idx="198">
                  <c:v>1.537262663889283E-2</c:v>
                </c:pt>
                <c:pt idx="199">
                  <c:v>0</c:v>
                </c:pt>
                <c:pt idx="200">
                  <c:v>1.5922092232906072E-2</c:v>
                </c:pt>
                <c:pt idx="201">
                  <c:v>-3.1287359214828865E-4</c:v>
                </c:pt>
                <c:pt idx="202">
                  <c:v>3.5918669636785371E-3</c:v>
                </c:pt>
                <c:pt idx="203">
                  <c:v>-3.748245865629597E-3</c:v>
                </c:pt>
                <c:pt idx="204">
                  <c:v>-5.0196004719991047E-3</c:v>
                </c:pt>
                <c:pt idx="205">
                  <c:v>-6.2929080548693986E-4</c:v>
                </c:pt>
                <c:pt idx="206">
                  <c:v>-1.0598781521427382E-2</c:v>
                </c:pt>
                <c:pt idx="207">
                  <c:v>1.7478507559406556E-3</c:v>
                </c:pt>
                <c:pt idx="208">
                  <c:v>7.1958738958610062E-4</c:v>
                </c:pt>
                <c:pt idx="209">
                  <c:v>1.1184790032108326E-3</c:v>
                </c:pt>
                <c:pt idx="210">
                  <c:v>1.5971257518978638E-4</c:v>
                </c:pt>
                <c:pt idx="211">
                  <c:v>-7.2110078735026766E-3</c:v>
                </c:pt>
                <c:pt idx="212">
                  <c:v>9.443847698832648E-3</c:v>
                </c:pt>
                <c:pt idx="213">
                  <c:v>1.8936986764933515E-2</c:v>
                </c:pt>
                <c:pt idx="214">
                  <c:v>-2.0342859528205111E-3</c:v>
                </c:pt>
                <c:pt idx="215">
                  <c:v>3.2841220395962312E-3</c:v>
                </c:pt>
                <c:pt idx="216">
                  <c:v>-2.1882315189594016E-3</c:v>
                </c:pt>
                <c:pt idx="217">
                  <c:v>-4.0764872369371159E-3</c:v>
                </c:pt>
                <c:pt idx="218">
                  <c:v>-5.8300487686362692E-3</c:v>
                </c:pt>
                <c:pt idx="219">
                  <c:v>-2.0564271894918324E-3</c:v>
                </c:pt>
                <c:pt idx="220">
                  <c:v>2.8463016418229037E-3</c:v>
                </c:pt>
                <c:pt idx="221">
                  <c:v>6.7668210053826762E-3</c:v>
                </c:pt>
                <c:pt idx="222">
                  <c:v>-1.2626414888283227E-2</c:v>
                </c:pt>
                <c:pt idx="223">
                  <c:v>-4.2976588916777241E-3</c:v>
                </c:pt>
                <c:pt idx="224">
                  <c:v>2.2307689124128954E-3</c:v>
                </c:pt>
                <c:pt idx="225">
                  <c:v>4.2880396046633875E-3</c:v>
                </c:pt>
                <c:pt idx="226">
                  <c:v>9.4638404252588466E-3</c:v>
                </c:pt>
                <c:pt idx="227">
                  <c:v>-4.563000564764429E-3</c:v>
                </c:pt>
                <c:pt idx="228">
                  <c:v>1.3471334993176645E-2</c:v>
                </c:pt>
                <c:pt idx="229">
                  <c:v>1.4519903364922418E-2</c:v>
                </c:pt>
                <c:pt idx="230">
                  <c:v>-3.067024540397419E-4</c:v>
                </c:pt>
                <c:pt idx="231">
                  <c:v>1.5327868988235308E-3</c:v>
                </c:pt>
                <c:pt idx="232">
                  <c:v>-7.9964136377382936E-3</c:v>
                </c:pt>
                <c:pt idx="233">
                  <c:v>2.9291935822486634E-3</c:v>
                </c:pt>
                <c:pt idx="234">
                  <c:v>1.3000091618175304E-2</c:v>
                </c:pt>
                <c:pt idx="235">
                  <c:v>3.943013964285107E-3</c:v>
                </c:pt>
                <c:pt idx="236">
                  <c:v>1.4723868428621712E-2</c:v>
                </c:pt>
                <c:pt idx="237">
                  <c:v>-3.2865430207580882E-3</c:v>
                </c:pt>
                <c:pt idx="238">
                  <c:v>1.2638603848310002E-2</c:v>
                </c:pt>
                <c:pt idx="239">
                  <c:v>-1.3986271941776691E-2</c:v>
                </c:pt>
                <c:pt idx="240">
                  <c:v>1.8114838733001931E-2</c:v>
                </c:pt>
                <c:pt idx="241">
                  <c:v>1.9958459712746134E-2</c:v>
                </c:pt>
                <c:pt idx="242">
                  <c:v>-1.7900558015048668E-2</c:v>
                </c:pt>
                <c:pt idx="243">
                  <c:v>-7.3441060418495512E-4</c:v>
                </c:pt>
                <c:pt idx="244">
                  <c:v>6.0068453122636119E-3</c:v>
                </c:pt>
                <c:pt idx="245">
                  <c:v>3.9362102876051566E-3</c:v>
                </c:pt>
                <c:pt idx="246">
                  <c:v>-7.2779275329949461E-4</c:v>
                </c:pt>
                <c:pt idx="247">
                  <c:v>-7.4534799929999399E-3</c:v>
                </c:pt>
                <c:pt idx="248">
                  <c:v>4.2450624586943594E-3</c:v>
                </c:pt>
                <c:pt idx="249">
                  <c:v>1.751357702825767E-3</c:v>
                </c:pt>
                <c:pt idx="250">
                  <c:v>1.0201851494693278E-3</c:v>
                </c:pt>
                <c:pt idx="251">
                  <c:v>7.6906421617582866E-3</c:v>
                </c:pt>
              </c:numCache>
            </c:numRef>
          </c:val>
          <c:smooth val="0"/>
          <c:extLst>
            <c:ext xmlns:c16="http://schemas.microsoft.com/office/drawing/2014/chart" uri="{C3380CC4-5D6E-409C-BE32-E72D297353CC}">
              <c16:uniqueId val="{00000001-8196-4D4F-8CC8-6155B496AA60}"/>
            </c:ext>
          </c:extLst>
        </c:ser>
        <c:ser>
          <c:idx val="2"/>
          <c:order val="2"/>
          <c:tx>
            <c:strRef>
              <c:f>Portafolio!$H$2</c:f>
              <c:strCache>
                <c:ptCount val="1"/>
                <c:pt idx="0">
                  <c:v>r_JPMorgan</c:v>
                </c:pt>
              </c:strCache>
            </c:strRef>
          </c:tx>
          <c:spPr>
            <a:ln w="28575" cap="rnd">
              <a:solidFill>
                <a:schemeClr val="accent3"/>
              </a:solidFill>
              <a:round/>
            </a:ln>
            <a:effectLst/>
          </c:spPr>
          <c:marker>
            <c:symbol val="none"/>
          </c:marker>
          <c:val>
            <c:numRef>
              <c:f>Portafolio!$H$3:$H$254</c:f>
              <c:numCache>
                <c:formatCode>0.000%</c:formatCode>
                <c:ptCount val="252"/>
                <c:pt idx="0">
                  <c:v>-1.0441079130812173E-2</c:v>
                </c:pt>
                <c:pt idx="1">
                  <c:v>2.2848847647558819E-3</c:v>
                </c:pt>
                <c:pt idx="2">
                  <c:v>3.4177360836862881E-3</c:v>
                </c:pt>
                <c:pt idx="3">
                  <c:v>-2.0956622133486116E-2</c:v>
                </c:pt>
                <c:pt idx="4">
                  <c:v>6.740365503857486E-3</c:v>
                </c:pt>
                <c:pt idx="5">
                  <c:v>-9.5044774711671462E-4</c:v>
                </c:pt>
                <c:pt idx="6">
                  <c:v>-1.2233201758554283E-3</c:v>
                </c:pt>
                <c:pt idx="7">
                  <c:v>3.4622835952314748E-3</c:v>
                </c:pt>
                <c:pt idx="8">
                  <c:v>8.0993210507113115E-3</c:v>
                </c:pt>
                <c:pt idx="9">
                  <c:v>-4.0415125667635282E-3</c:v>
                </c:pt>
                <c:pt idx="10">
                  <c:v>-1.2428386047596607E-2</c:v>
                </c:pt>
                <c:pt idx="11">
                  <c:v>3.3430239573994255E-3</c:v>
                </c:pt>
                <c:pt idx="12">
                  <c:v>-1.1095405596341172E-2</c:v>
                </c:pt>
                <c:pt idx="13">
                  <c:v>-1.65396632304482E-3</c:v>
                </c:pt>
                <c:pt idx="14">
                  <c:v>-8.5911179492632866E-3</c:v>
                </c:pt>
                <c:pt idx="15">
                  <c:v>7.6518323838956222E-4</c:v>
                </c:pt>
                <c:pt idx="16">
                  <c:v>4.3706422775577902E-3</c:v>
                </c:pt>
                <c:pt idx="17">
                  <c:v>1.2930049259339658E-2</c:v>
                </c:pt>
                <c:pt idx="18">
                  <c:v>4.7822692080471709E-4</c:v>
                </c:pt>
                <c:pt idx="19">
                  <c:v>1.9211775011975799E-2</c:v>
                </c:pt>
                <c:pt idx="20">
                  <c:v>-2.9524998063902006E-3</c:v>
                </c:pt>
                <c:pt idx="21">
                  <c:v>2.081060219182381E-3</c:v>
                </c:pt>
                <c:pt idx="22">
                  <c:v>-1.2750275394505101E-3</c:v>
                </c:pt>
                <c:pt idx="23">
                  <c:v>-4.2389693184284203E-3</c:v>
                </c:pt>
                <c:pt idx="24">
                  <c:v>-7.8527809774467452E-3</c:v>
                </c:pt>
                <c:pt idx="25">
                  <c:v>-9.6290710303040105E-3</c:v>
                </c:pt>
                <c:pt idx="26">
                  <c:v>4.9286703199951359E-3</c:v>
                </c:pt>
                <c:pt idx="27">
                  <c:v>-1.0433243353410393E-2</c:v>
                </c:pt>
                <c:pt idx="28">
                  <c:v>5.8476760566381946E-3</c:v>
                </c:pt>
                <c:pt idx="29">
                  <c:v>1.2339652914118577E-2</c:v>
                </c:pt>
                <c:pt idx="30">
                  <c:v>-1.7566587699048578E-2</c:v>
                </c:pt>
                <c:pt idx="31">
                  <c:v>-8.6567488859623613E-3</c:v>
                </c:pt>
                <c:pt idx="32">
                  <c:v>-7.4001160534839551E-3</c:v>
                </c:pt>
                <c:pt idx="33">
                  <c:v>4.4743812840926343E-3</c:v>
                </c:pt>
                <c:pt idx="34">
                  <c:v>4.2075901542361687E-3</c:v>
                </c:pt>
                <c:pt idx="35">
                  <c:v>1.5278133083516892E-2</c:v>
                </c:pt>
                <c:pt idx="36">
                  <c:v>-2.2767875931944174E-3</c:v>
                </c:pt>
                <c:pt idx="37">
                  <c:v>6.0600170693245765E-3</c:v>
                </c:pt>
                <c:pt idx="38">
                  <c:v>3.4271245700145075E-3</c:v>
                </c:pt>
                <c:pt idx="39">
                  <c:v>-2.3292037153074849E-3</c:v>
                </c:pt>
                <c:pt idx="40">
                  <c:v>1.490802752612275E-2</c:v>
                </c:pt>
                <c:pt idx="41">
                  <c:v>-1.0140315442376808E-3</c:v>
                </c:pt>
                <c:pt idx="42">
                  <c:v>-2.1668112665697982E-3</c:v>
                </c:pt>
                <c:pt idx="43">
                  <c:v>-1.1041381345434621E-2</c:v>
                </c:pt>
                <c:pt idx="44">
                  <c:v>-4.2583678361532767E-3</c:v>
                </c:pt>
                <c:pt idx="45">
                  <c:v>-1.623677213768495E-2</c:v>
                </c:pt>
                <c:pt idx="46">
                  <c:v>-1.3735076896956099E-2</c:v>
                </c:pt>
                <c:pt idx="47">
                  <c:v>1.2049500256252955E-3</c:v>
                </c:pt>
                <c:pt idx="48">
                  <c:v>-5.4694749611117069E-3</c:v>
                </c:pt>
                <c:pt idx="49">
                  <c:v>2.5609400579485304E-3</c:v>
                </c:pt>
                <c:pt idx="50">
                  <c:v>-3.6683337928199083E-2</c:v>
                </c:pt>
                <c:pt idx="51">
                  <c:v>1.26689866257148E-2</c:v>
                </c:pt>
                <c:pt idx="52">
                  <c:v>1.1863603111821981E-2</c:v>
                </c:pt>
                <c:pt idx="53">
                  <c:v>-8.6331287395108823E-4</c:v>
                </c:pt>
                <c:pt idx="54">
                  <c:v>1.7691845912209535E-2</c:v>
                </c:pt>
                <c:pt idx="55">
                  <c:v>1.1110587455196269E-2</c:v>
                </c:pt>
                <c:pt idx="56">
                  <c:v>7.5241008178584595E-3</c:v>
                </c:pt>
                <c:pt idx="57">
                  <c:v>-4.8618261899616047E-4</c:v>
                </c:pt>
                <c:pt idx="58">
                  <c:v>4.9183358399554396E-3</c:v>
                </c:pt>
                <c:pt idx="59">
                  <c:v>-2.9757978020443572E-3</c:v>
                </c:pt>
                <c:pt idx="60">
                  <c:v>1.4722279452399911E-2</c:v>
                </c:pt>
                <c:pt idx="61">
                  <c:v>-4.4488788474790633E-3</c:v>
                </c:pt>
                <c:pt idx="62">
                  <c:v>1.8082265985749042E-2</c:v>
                </c:pt>
                <c:pt idx="63">
                  <c:v>8.7197537313942614E-3</c:v>
                </c:pt>
                <c:pt idx="64">
                  <c:v>1.1355018101563337E-2</c:v>
                </c:pt>
                <c:pt idx="65">
                  <c:v>9.0052481102475771E-3</c:v>
                </c:pt>
                <c:pt idx="66">
                  <c:v>3.0707044771690309E-3</c:v>
                </c:pt>
                <c:pt idx="67">
                  <c:v>-2.089635023942204E-3</c:v>
                </c:pt>
                <c:pt idx="68">
                  <c:v>2.3505409404632072E-3</c:v>
                </c:pt>
                <c:pt idx="69">
                  <c:v>1.3685641523619864E-3</c:v>
                </c:pt>
                <c:pt idx="70">
                  <c:v>-2.2819464710573719E-3</c:v>
                </c:pt>
                <c:pt idx="71">
                  <c:v>2.2819464710573632E-3</c:v>
                </c:pt>
                <c:pt idx="72">
                  <c:v>5.0673693523613879E-3</c:v>
                </c:pt>
                <c:pt idx="73">
                  <c:v>1.1340267252648781E-2</c:v>
                </c:pt>
                <c:pt idx="74">
                  <c:v>4.857594182652576E-3</c:v>
                </c:pt>
                <c:pt idx="75">
                  <c:v>7.3054908777762974E-3</c:v>
                </c:pt>
                <c:pt idx="76">
                  <c:v>-1.266031176191559E-4</c:v>
                </c:pt>
                <c:pt idx="77">
                  <c:v>-1.0563861768930536E-2</c:v>
                </c:pt>
                <c:pt idx="78">
                  <c:v>3.0661278355592595E-3</c:v>
                </c:pt>
                <c:pt idx="79">
                  <c:v>1.0973473354382132E-2</c:v>
                </c:pt>
                <c:pt idx="80">
                  <c:v>3.6521773139312004E-3</c:v>
                </c:pt>
                <c:pt idx="81">
                  <c:v>8.8855459657744724E-3</c:v>
                </c:pt>
                <c:pt idx="82">
                  <c:v>3.3584282184013106E-3</c:v>
                </c:pt>
                <c:pt idx="83">
                  <c:v>1.8028547888701854E-2</c:v>
                </c:pt>
                <c:pt idx="84">
                  <c:v>7.5329194945627474E-3</c:v>
                </c:pt>
                <c:pt idx="85">
                  <c:v>6.0338573294274594E-3</c:v>
                </c:pt>
                <c:pt idx="86">
                  <c:v>1.3266549902395489E-2</c:v>
                </c:pt>
                <c:pt idx="87">
                  <c:v>-1.1343350930772851E-2</c:v>
                </c:pt>
                <c:pt idx="88">
                  <c:v>5.6878079343058051E-3</c:v>
                </c:pt>
                <c:pt idx="89">
                  <c:v>-5.9719768106862266E-4</c:v>
                </c:pt>
                <c:pt idx="90">
                  <c:v>5.8965836558493075E-3</c:v>
                </c:pt>
                <c:pt idx="91">
                  <c:v>5.9800808714544585E-3</c:v>
                </c:pt>
                <c:pt idx="92">
                  <c:v>5.2989165247204857E-3</c:v>
                </c:pt>
                <c:pt idx="93">
                  <c:v>-1.1751806513597941E-3</c:v>
                </c:pt>
                <c:pt idx="94">
                  <c:v>1.1573020195509662E-2</c:v>
                </c:pt>
                <c:pt idx="95">
                  <c:v>-4.3679752008790812E-3</c:v>
                </c:pt>
                <c:pt idx="96">
                  <c:v>6.6141593258210608E-3</c:v>
                </c:pt>
                <c:pt idx="97">
                  <c:v>5.0046366419241994E-3</c:v>
                </c:pt>
                <c:pt idx="98">
                  <c:v>-1.4521496056958624E-3</c:v>
                </c:pt>
                <c:pt idx="99">
                  <c:v>-7.9374988566027482E-3</c:v>
                </c:pt>
                <c:pt idx="100">
                  <c:v>2.1072476150256008E-3</c:v>
                </c:pt>
                <c:pt idx="101">
                  <c:v>-4.2189451011928857E-3</c:v>
                </c:pt>
                <c:pt idx="102">
                  <c:v>-7.3671383000021009E-3</c:v>
                </c:pt>
                <c:pt idx="103">
                  <c:v>-6.2900128628262742E-3</c:v>
                </c:pt>
                <c:pt idx="104">
                  <c:v>-5.371937640172391E-3</c:v>
                </c:pt>
                <c:pt idx="105">
                  <c:v>1.9731308295413211E-3</c:v>
                </c:pt>
                <c:pt idx="106">
                  <c:v>1.7114591700558776E-2</c:v>
                </c:pt>
                <c:pt idx="107">
                  <c:v>-1.1749870658817193E-3</c:v>
                </c:pt>
                <c:pt idx="108">
                  <c:v>-6.605698786174531E-3</c:v>
                </c:pt>
                <c:pt idx="109">
                  <c:v>8.8957289910188905E-3</c:v>
                </c:pt>
                <c:pt idx="110">
                  <c:v>1.4209382167514918E-2</c:v>
                </c:pt>
                <c:pt idx="111">
                  <c:v>-3.8235737207052796E-3</c:v>
                </c:pt>
                <c:pt idx="112">
                  <c:v>2.608569026138582E-3</c:v>
                </c:pt>
                <c:pt idx="113">
                  <c:v>2.0287319345977977E-2</c:v>
                </c:pt>
                <c:pt idx="114">
                  <c:v>-1.0894867940747696E-2</c:v>
                </c:pt>
                <c:pt idx="115">
                  <c:v>-3.6197520984293389E-3</c:v>
                </c:pt>
                <c:pt idx="116">
                  <c:v>5.7395664242008678E-3</c:v>
                </c:pt>
                <c:pt idx="117">
                  <c:v>-1.3171600244696804E-3</c:v>
                </c:pt>
                <c:pt idx="118">
                  <c:v>3.4324844651034197E-3</c:v>
                </c:pt>
                <c:pt idx="119">
                  <c:v>1.8827811992427708E-3</c:v>
                </c:pt>
                <c:pt idx="120">
                  <c:v>-3.5975477957779409E-3</c:v>
                </c:pt>
                <c:pt idx="121">
                  <c:v>1.200619285424928E-3</c:v>
                </c:pt>
                <c:pt idx="122">
                  <c:v>4.4469325058092328E-3</c:v>
                </c:pt>
                <c:pt idx="123">
                  <c:v>-8.7416423305419957E-3</c:v>
                </c:pt>
                <c:pt idx="124">
                  <c:v>1.0105957663276266E-2</c:v>
                </c:pt>
                <c:pt idx="125">
                  <c:v>2.1580013672744289E-2</c:v>
                </c:pt>
                <c:pt idx="126">
                  <c:v>-4.6810314347300336E-3</c:v>
                </c:pt>
                <c:pt idx="127">
                  <c:v>3.9023496044056838E-3</c:v>
                </c:pt>
                <c:pt idx="128">
                  <c:v>6.4887245296995355E-3</c:v>
                </c:pt>
                <c:pt idx="129">
                  <c:v>1.1924178761792791E-2</c:v>
                </c:pt>
                <c:pt idx="130">
                  <c:v>5.0128845481506338E-3</c:v>
                </c:pt>
                <c:pt idx="131">
                  <c:v>-3.4300521667624483E-3</c:v>
                </c:pt>
                <c:pt idx="132">
                  <c:v>4.9073938927271261E-4</c:v>
                </c:pt>
                <c:pt idx="133">
                  <c:v>5.0566859458387667E-3</c:v>
                </c:pt>
                <c:pt idx="134">
                  <c:v>9.0702909341080495E-3</c:v>
                </c:pt>
                <c:pt idx="135">
                  <c:v>-4.1470699285579005E-3</c:v>
                </c:pt>
                <c:pt idx="136">
                  <c:v>7.4737850456217817E-3</c:v>
                </c:pt>
                <c:pt idx="137">
                  <c:v>9.9673658093087422E-3</c:v>
                </c:pt>
                <c:pt idx="138">
                  <c:v>5.1841067662975826E-3</c:v>
                </c:pt>
                <c:pt idx="139">
                  <c:v>-8.7971014039722271E-3</c:v>
                </c:pt>
                <c:pt idx="140">
                  <c:v>1.8612639482236896E-3</c:v>
                </c:pt>
                <c:pt idx="141">
                  <c:v>3.7176867835657829E-4</c:v>
                </c:pt>
                <c:pt idx="142">
                  <c:v>8.1983530120362299E-3</c:v>
                </c:pt>
                <c:pt idx="143">
                  <c:v>8.079352123651724E-3</c:v>
                </c:pt>
                <c:pt idx="144">
                  <c:v>-1.7978656730612674E-2</c:v>
                </c:pt>
                <c:pt idx="145">
                  <c:v>1.2319503083121451E-2</c:v>
                </c:pt>
                <c:pt idx="146">
                  <c:v>1.2325227911982373E-2</c:v>
                </c:pt>
                <c:pt idx="147">
                  <c:v>5.8480844115032697E-3</c:v>
                </c:pt>
                <c:pt idx="148">
                  <c:v>1.3021806957661381E-2</c:v>
                </c:pt>
                <c:pt idx="149">
                  <c:v>1.3809332358761774E-2</c:v>
                </c:pt>
                <c:pt idx="150">
                  <c:v>-1.2333324609694349E-2</c:v>
                </c:pt>
                <c:pt idx="151">
                  <c:v>-9.1968412694247506E-3</c:v>
                </c:pt>
                <c:pt idx="152">
                  <c:v>4.6600093568763086E-3</c:v>
                </c:pt>
                <c:pt idx="153">
                  <c:v>1.9178381247547345E-2</c:v>
                </c:pt>
                <c:pt idx="154">
                  <c:v>3.9017948330012063E-3</c:v>
                </c:pt>
                <c:pt idx="155">
                  <c:v>-6.8129855912890617E-3</c:v>
                </c:pt>
                <c:pt idx="156">
                  <c:v>-4.0223368324664339E-4</c:v>
                </c:pt>
                <c:pt idx="157">
                  <c:v>-2.8200016753762752E-3</c:v>
                </c:pt>
                <c:pt idx="158">
                  <c:v>-7.637567148412871E-3</c:v>
                </c:pt>
                <c:pt idx="159">
                  <c:v>9.1580546261534317E-3</c:v>
                </c:pt>
                <c:pt idx="160">
                  <c:v>5.202946011474462E-3</c:v>
                </c:pt>
                <c:pt idx="161">
                  <c:v>-6.7235150953914692E-3</c:v>
                </c:pt>
                <c:pt idx="162">
                  <c:v>-8.557882737226321E-3</c:v>
                </c:pt>
                <c:pt idx="163">
                  <c:v>-2.0473527315899678E-4</c:v>
                </c:pt>
                <c:pt idx="164">
                  <c:v>-6.6864291458487934E-2</c:v>
                </c:pt>
                <c:pt idx="165">
                  <c:v>5.4697060967347623E-4</c:v>
                </c:pt>
                <c:pt idx="166">
                  <c:v>-1.1493392825475091E-2</c:v>
                </c:pt>
                <c:pt idx="167">
                  <c:v>-3.9902601949420831E-3</c:v>
                </c:pt>
                <c:pt idx="168">
                  <c:v>6.4760434973849422E-3</c:v>
                </c:pt>
                <c:pt idx="169">
                  <c:v>2.4793566191605932E-2</c:v>
                </c:pt>
                <c:pt idx="170">
                  <c:v>1.9243130694284457E-2</c:v>
                </c:pt>
                <c:pt idx="171">
                  <c:v>1.4310268539026554E-2</c:v>
                </c:pt>
                <c:pt idx="172">
                  <c:v>4.8803897357337367E-3</c:v>
                </c:pt>
                <c:pt idx="173">
                  <c:v>1.500784386497234E-3</c:v>
                </c:pt>
                <c:pt idx="174">
                  <c:v>6.2045885918183598E-4</c:v>
                </c:pt>
                <c:pt idx="175">
                  <c:v>-1.0859387138235847E-3</c:v>
                </c:pt>
                <c:pt idx="176">
                  <c:v>-7.9996022089060346E-3</c:v>
                </c:pt>
                <c:pt idx="177">
                  <c:v>6.2565312240965142E-4</c:v>
                </c:pt>
                <c:pt idx="178">
                  <c:v>-1.0429762752333207E-3</c:v>
                </c:pt>
                <c:pt idx="179">
                  <c:v>-6.0183515082071516E-3</c:v>
                </c:pt>
                <c:pt idx="180">
                  <c:v>7.7907210062601899E-3</c:v>
                </c:pt>
                <c:pt idx="181">
                  <c:v>-1.3029561227812455E-3</c:v>
                </c:pt>
                <c:pt idx="182">
                  <c:v>2.0134915133947339E-2</c:v>
                </c:pt>
                <c:pt idx="183">
                  <c:v>9.4112742907778765E-3</c:v>
                </c:pt>
                <c:pt idx="184">
                  <c:v>6.4097849393042125E-3</c:v>
                </c:pt>
                <c:pt idx="185">
                  <c:v>-2.0125493872400897E-4</c:v>
                </c:pt>
                <c:pt idx="186">
                  <c:v>1.3891880096165623E-2</c:v>
                </c:pt>
                <c:pt idx="187">
                  <c:v>2.9731023414911141E-3</c:v>
                </c:pt>
                <c:pt idx="188">
                  <c:v>1.7796277524522572E-3</c:v>
                </c:pt>
                <c:pt idx="189">
                  <c:v>1.1393284747523526E-2</c:v>
                </c:pt>
                <c:pt idx="190">
                  <c:v>-4.6015528245516947E-2</c:v>
                </c:pt>
                <c:pt idx="191">
                  <c:v>1.9944982273812171E-2</c:v>
                </c:pt>
                <c:pt idx="192">
                  <c:v>-6.0830483624738684E-3</c:v>
                </c:pt>
                <c:pt idx="193">
                  <c:v>-7.0339066105817626E-3</c:v>
                </c:pt>
                <c:pt idx="194">
                  <c:v>1.9063546062445577E-2</c:v>
                </c:pt>
                <c:pt idx="195">
                  <c:v>-6.0468730383955328E-3</c:v>
                </c:pt>
                <c:pt idx="196">
                  <c:v>-6.99180300416376E-3</c:v>
                </c:pt>
                <c:pt idx="197">
                  <c:v>6.1393658971166812E-3</c:v>
                </c:pt>
                <c:pt idx="198">
                  <c:v>1.6419907185533298E-2</c:v>
                </c:pt>
                <c:pt idx="199">
                  <c:v>-4.0053977401266682E-3</c:v>
                </c:pt>
                <c:pt idx="200">
                  <c:v>-1.3267754604042227E-2</c:v>
                </c:pt>
                <c:pt idx="201">
                  <c:v>-9.5859227382981537E-3</c:v>
                </c:pt>
                <c:pt idx="202">
                  <c:v>-1.7757906147097171E-3</c:v>
                </c:pt>
                <c:pt idx="203">
                  <c:v>1.5320518573155651E-2</c:v>
                </c:pt>
                <c:pt idx="204">
                  <c:v>-1.7018402117130581E-3</c:v>
                </c:pt>
                <c:pt idx="205">
                  <c:v>-2.6653349995766375E-2</c:v>
                </c:pt>
                <c:pt idx="206">
                  <c:v>-1.4667664855327797E-2</c:v>
                </c:pt>
                <c:pt idx="207">
                  <c:v>1.1059628683795456E-2</c:v>
                </c:pt>
                <c:pt idx="208">
                  <c:v>6.1937429460877716E-4</c:v>
                </c:pt>
                <c:pt idx="209">
                  <c:v>6.1735082056717516E-3</c:v>
                </c:pt>
                <c:pt idx="210">
                  <c:v>1.030672096955205E-2</c:v>
                </c:pt>
                <c:pt idx="211">
                  <c:v>8.4414315435738397E-3</c:v>
                </c:pt>
                <c:pt idx="212">
                  <c:v>-1.2001025271443897E-2</c:v>
                </c:pt>
                <c:pt idx="213">
                  <c:v>1.305751761044515E-2</c:v>
                </c:pt>
                <c:pt idx="214">
                  <c:v>-4.0810762745116238E-3</c:v>
                </c:pt>
                <c:pt idx="215">
                  <c:v>-3.2364976607338002E-3</c:v>
                </c:pt>
                <c:pt idx="216">
                  <c:v>8.7746980951394233E-3</c:v>
                </c:pt>
                <c:pt idx="217">
                  <c:v>1.5395245178859948E-2</c:v>
                </c:pt>
                <c:pt idx="218">
                  <c:v>1.5648710168294964E-2</c:v>
                </c:pt>
                <c:pt idx="219">
                  <c:v>1.6317826996333985E-2</c:v>
                </c:pt>
                <c:pt idx="220">
                  <c:v>-6.7059033946733737E-4</c:v>
                </c:pt>
                <c:pt idx="221">
                  <c:v>-1.3339105875401823E-2</c:v>
                </c:pt>
                <c:pt idx="222">
                  <c:v>1.8538643632364745E-3</c:v>
                </c:pt>
                <c:pt idx="223">
                  <c:v>1.1918779573079451E-2</c:v>
                </c:pt>
                <c:pt idx="224">
                  <c:v>8.1841949890559102E-4</c:v>
                </c:pt>
                <c:pt idx="225">
                  <c:v>-1.6857607845247413E-3</c:v>
                </c:pt>
                <c:pt idx="226">
                  <c:v>-1.2173069187035165E-2</c:v>
                </c:pt>
                <c:pt idx="227">
                  <c:v>2.4628348767179134E-2</c:v>
                </c:pt>
                <c:pt idx="228">
                  <c:v>1.6853100357796223E-2</c:v>
                </c:pt>
                <c:pt idx="229">
                  <c:v>1.5099360369527649E-2</c:v>
                </c:pt>
                <c:pt idx="230">
                  <c:v>-3.2285803587666854E-2</c:v>
                </c:pt>
                <c:pt idx="231">
                  <c:v>-9.5291127080258486E-4</c:v>
                </c:pt>
                <c:pt idx="232">
                  <c:v>2.3806134291241197E-3</c:v>
                </c:pt>
                <c:pt idx="233">
                  <c:v>2.3776420016967354E-4</c:v>
                </c:pt>
                <c:pt idx="234">
                  <c:v>-8.307151793191617E-3</c:v>
                </c:pt>
                <c:pt idx="235">
                  <c:v>3.8346355812063522E-4</c:v>
                </c:pt>
                <c:pt idx="236">
                  <c:v>1.6963686226937915E-2</c:v>
                </c:pt>
                <c:pt idx="237">
                  <c:v>-6.5707247389028478E-3</c:v>
                </c:pt>
                <c:pt idx="238">
                  <c:v>2.0374359451747755E-2</c:v>
                </c:pt>
                <c:pt idx="239">
                  <c:v>-1.1168596535331227E-2</c:v>
                </c:pt>
                <c:pt idx="240">
                  <c:v>-2.300698438939985E-2</c:v>
                </c:pt>
                <c:pt idx="241">
                  <c:v>-4.3337697237488322E-2</c:v>
                </c:pt>
                <c:pt idx="242">
                  <c:v>-2.1521514209848672E-2</c:v>
                </c:pt>
                <c:pt idx="243">
                  <c:v>2.7529327489063685E-2</c:v>
                </c:pt>
                <c:pt idx="244">
                  <c:v>2.9943605302915484E-4</c:v>
                </c:pt>
                <c:pt idx="245">
                  <c:v>1.8098719175530638E-2</c:v>
                </c:pt>
                <c:pt idx="246">
                  <c:v>8.4907795310884548E-3</c:v>
                </c:pt>
                <c:pt idx="247">
                  <c:v>1.8932455242062468E-3</c:v>
                </c:pt>
                <c:pt idx="248">
                  <c:v>8.4515026665683331E-3</c:v>
                </c:pt>
                <c:pt idx="249">
                  <c:v>1.1000172910606301E-2</c:v>
                </c:pt>
                <c:pt idx="250">
                  <c:v>6.2116322685317679E-3</c:v>
                </c:pt>
                <c:pt idx="251">
                  <c:v>1.1374431605290789E-2</c:v>
                </c:pt>
              </c:numCache>
            </c:numRef>
          </c:val>
          <c:smooth val="0"/>
          <c:extLst>
            <c:ext xmlns:c16="http://schemas.microsoft.com/office/drawing/2014/chart" uri="{C3380CC4-5D6E-409C-BE32-E72D297353CC}">
              <c16:uniqueId val="{00000002-8196-4D4F-8CC8-6155B496AA60}"/>
            </c:ext>
          </c:extLst>
        </c:ser>
        <c:ser>
          <c:idx val="3"/>
          <c:order val="3"/>
          <c:tx>
            <c:strRef>
              <c:f>Portafolio!$I$2</c:f>
              <c:strCache>
                <c:ptCount val="1"/>
                <c:pt idx="0">
                  <c:v>r_AT&amp;T</c:v>
                </c:pt>
              </c:strCache>
            </c:strRef>
          </c:tx>
          <c:spPr>
            <a:ln w="28575" cap="rnd">
              <a:solidFill>
                <a:schemeClr val="accent4"/>
              </a:solidFill>
              <a:round/>
            </a:ln>
            <a:effectLst/>
          </c:spPr>
          <c:marker>
            <c:symbol val="none"/>
          </c:marker>
          <c:val>
            <c:numRef>
              <c:f>Portafolio!$I$3:$I$254</c:f>
              <c:numCache>
                <c:formatCode>0.000%</c:formatCode>
                <c:ptCount val="252"/>
                <c:pt idx="0">
                  <c:v>-6.4035322871765967E-3</c:v>
                </c:pt>
                <c:pt idx="1">
                  <c:v>2.8511962146941443E-3</c:v>
                </c:pt>
                <c:pt idx="2">
                  <c:v>3.5523360724823969E-3</c:v>
                </c:pt>
                <c:pt idx="3">
                  <c:v>1.1283650762276005E-2</c:v>
                </c:pt>
                <c:pt idx="4">
                  <c:v>-7.0373473579131004E-3</c:v>
                </c:pt>
                <c:pt idx="5">
                  <c:v>-7.0654176800563693E-4</c:v>
                </c:pt>
                <c:pt idx="6">
                  <c:v>-2.830866787178094E-3</c:v>
                </c:pt>
                <c:pt idx="7">
                  <c:v>7.0621975605345338E-3</c:v>
                </c:pt>
                <c:pt idx="8">
                  <c:v>3.8652123786868747E-2</c:v>
                </c:pt>
                <c:pt idx="9">
                  <c:v>-2.7118017809940271E-3</c:v>
                </c:pt>
                <c:pt idx="10">
                  <c:v>4.0649860690958528E-3</c:v>
                </c:pt>
                <c:pt idx="11">
                  <c:v>-9.5109702559868468E-3</c:v>
                </c:pt>
                <c:pt idx="12">
                  <c:v>-1.1671910678181512E-2</c:v>
                </c:pt>
                <c:pt idx="13">
                  <c:v>8.9378657253624903E-3</c:v>
                </c:pt>
                <c:pt idx="14">
                  <c:v>0</c:v>
                </c:pt>
                <c:pt idx="15">
                  <c:v>-1.4477988707991517E-2</c:v>
                </c:pt>
                <c:pt idx="16">
                  <c:v>8.2988273439278445E-3</c:v>
                </c:pt>
                <c:pt idx="17">
                  <c:v>-4.1408787728015178E-3</c:v>
                </c:pt>
                <c:pt idx="18">
                  <c:v>1.1004270746853787E-2</c:v>
                </c:pt>
                <c:pt idx="19">
                  <c:v>2.9651713697862989E-2</c:v>
                </c:pt>
                <c:pt idx="20">
                  <c:v>1.1224978589028094E-2</c:v>
                </c:pt>
                <c:pt idx="21">
                  <c:v>-9.2349221157867391E-3</c:v>
                </c:pt>
                <c:pt idx="22">
                  <c:v>7.9209277625121085E-3</c:v>
                </c:pt>
                <c:pt idx="23">
                  <c:v>2.2107528152630732E-2</c:v>
                </c:pt>
                <c:pt idx="24">
                  <c:v>-1.5554405482686634E-2</c:v>
                </c:pt>
                <c:pt idx="25">
                  <c:v>-1.2488017087223817E-2</c:v>
                </c:pt>
                <c:pt idx="26">
                  <c:v>-3.9760898184737319E-3</c:v>
                </c:pt>
                <c:pt idx="27">
                  <c:v>-2.6595130223768674E-3</c:v>
                </c:pt>
                <c:pt idx="28">
                  <c:v>-1.0036916003110012E-2</c:v>
                </c:pt>
                <c:pt idx="29">
                  <c:v>9.370913321953802E-3</c:v>
                </c:pt>
                <c:pt idx="30">
                  <c:v>6.6600268115622394E-4</c:v>
                </c:pt>
                <c:pt idx="31">
                  <c:v>-2.3578125464621125E-2</c:v>
                </c:pt>
                <c:pt idx="32">
                  <c:v>7.470418425544037E-3</c:v>
                </c:pt>
                <c:pt idx="33">
                  <c:v>-8.8346792935787202E-3</c:v>
                </c:pt>
                <c:pt idx="34">
                  <c:v>1.2211857867236135E-2</c:v>
                </c:pt>
                <c:pt idx="35">
                  <c:v>-7.0340122474886078E-3</c:v>
                </c:pt>
                <c:pt idx="36">
                  <c:v>1.919178660718069E-2</c:v>
                </c:pt>
                <c:pt idx="37">
                  <c:v>1.5493841465178439E-2</c:v>
                </c:pt>
                <c:pt idx="38">
                  <c:v>-1.2781979492703863E-2</c:v>
                </c:pt>
                <c:pt idx="39">
                  <c:v>-2.1903648579655197E-2</c:v>
                </c:pt>
                <c:pt idx="40">
                  <c:v>-6.2479325408984904E-3</c:v>
                </c:pt>
                <c:pt idx="41">
                  <c:v>3.47593227385585E-3</c:v>
                </c:pt>
                <c:pt idx="42">
                  <c:v>1.1728316519177792E-2</c:v>
                </c:pt>
                <c:pt idx="43">
                  <c:v>-1.7993646801684915E-2</c:v>
                </c:pt>
                <c:pt idx="44">
                  <c:v>6.3577877182322051E-2</c:v>
                </c:pt>
                <c:pt idx="45">
                  <c:v>7.8330630368045693E-3</c:v>
                </c:pt>
                <c:pt idx="46">
                  <c:v>-2.8356670761467306E-2</c:v>
                </c:pt>
                <c:pt idx="47">
                  <c:v>3.8062243981015008E-2</c:v>
                </c:pt>
                <c:pt idx="48">
                  <c:v>-2.2136321441816844E-2</c:v>
                </c:pt>
                <c:pt idx="49">
                  <c:v>-4.6189215703234801E-3</c:v>
                </c:pt>
                <c:pt idx="50">
                  <c:v>-2.0040684628752883E-2</c:v>
                </c:pt>
                <c:pt idx="51">
                  <c:v>2.9257291384540907E-2</c:v>
                </c:pt>
                <c:pt idx="52">
                  <c:v>9.1325041752728462E-3</c:v>
                </c:pt>
                <c:pt idx="53">
                  <c:v>1.1620614661695866E-2</c:v>
                </c:pt>
                <c:pt idx="54">
                  <c:v>9.581644883623272E-3</c:v>
                </c:pt>
                <c:pt idx="55">
                  <c:v>9.4907076045383631E-3</c:v>
                </c:pt>
                <c:pt idx="56">
                  <c:v>-8.2201612246451568E-3</c:v>
                </c:pt>
                <c:pt idx="57">
                  <c:v>5.6981618175608508E-3</c:v>
                </c:pt>
                <c:pt idx="58">
                  <c:v>-1.2067567354175589E-2</c:v>
                </c:pt>
                <c:pt idx="59">
                  <c:v>-1.2787371052778911E-3</c:v>
                </c:pt>
                <c:pt idx="60">
                  <c:v>6.3967350467703291E-4</c:v>
                </c:pt>
                <c:pt idx="61">
                  <c:v>-3.8437221263010121E-3</c:v>
                </c:pt>
                <c:pt idx="62">
                  <c:v>3.2040486216239152E-3</c:v>
                </c:pt>
                <c:pt idx="63">
                  <c:v>8.2829440398884853E-3</c:v>
                </c:pt>
                <c:pt idx="64">
                  <c:v>7.5853598266493183E-3</c:v>
                </c:pt>
                <c:pt idx="65">
                  <c:v>1.2586844676198644E-3</c:v>
                </c:pt>
                <c:pt idx="66">
                  <c:v>1.250014351434138E-2</c:v>
                </c:pt>
                <c:pt idx="67">
                  <c:v>5.5745681417839043E-3</c:v>
                </c:pt>
                <c:pt idx="68">
                  <c:v>-1.2361893781621346E-3</c:v>
                </c:pt>
                <c:pt idx="69">
                  <c:v>2.4706584385659168E-3</c:v>
                </c:pt>
                <c:pt idx="70">
                  <c:v>0</c:v>
                </c:pt>
                <c:pt idx="71">
                  <c:v>-1.8524051289652865E-3</c:v>
                </c:pt>
                <c:pt idx="72">
                  <c:v>7.3891849715765874E-3</c:v>
                </c:pt>
                <c:pt idx="73">
                  <c:v>1.6428683176453563E-2</c:v>
                </c:pt>
                <c:pt idx="74">
                  <c:v>1.1401293855996619E-2</c:v>
                </c:pt>
                <c:pt idx="75">
                  <c:v>-5.9844807698541955E-3</c:v>
                </c:pt>
                <c:pt idx="76">
                  <c:v>3.306087505214772E-2</c:v>
                </c:pt>
                <c:pt idx="77">
                  <c:v>-1.6393661333646715E-2</c:v>
                </c:pt>
                <c:pt idx="78">
                  <c:v>8.8156554713472324E-3</c:v>
                </c:pt>
                <c:pt idx="79">
                  <c:v>-9.9971434933014119E-3</c:v>
                </c:pt>
                <c:pt idx="80">
                  <c:v>-1.7889443279638567E-2</c:v>
                </c:pt>
                <c:pt idx="81">
                  <c:v>-1.2715943603931842E-2</c:v>
                </c:pt>
                <c:pt idx="82">
                  <c:v>2.4346320782964847E-3</c:v>
                </c:pt>
                <c:pt idx="83">
                  <c:v>1.208465691282283E-2</c:v>
                </c:pt>
                <c:pt idx="84">
                  <c:v>-7.8383887172057826E-3</c:v>
                </c:pt>
                <c:pt idx="85">
                  <c:v>-3.6386626067303612E-3</c:v>
                </c:pt>
                <c:pt idx="86">
                  <c:v>9.0718253225267661E-3</c:v>
                </c:pt>
                <c:pt idx="87">
                  <c:v>-1.2723712230209391E-2</c:v>
                </c:pt>
                <c:pt idx="88">
                  <c:v>5.4729367751170889E-3</c:v>
                </c:pt>
                <c:pt idx="89">
                  <c:v>3.6318010530331695E-3</c:v>
                </c:pt>
                <c:pt idx="90">
                  <c:v>1.2077595132303129E-3</c:v>
                </c:pt>
                <c:pt idx="91">
                  <c:v>6.0333319054379066E-4</c:v>
                </c:pt>
                <c:pt idx="92">
                  <c:v>9.6039637827291333E-3</c:v>
                </c:pt>
                <c:pt idx="93">
                  <c:v>2.3866948027653455E-3</c:v>
                </c:pt>
                <c:pt idx="94">
                  <c:v>2.7624383831125431E-2</c:v>
                </c:pt>
                <c:pt idx="95">
                  <c:v>-1.1600607305661888E-3</c:v>
                </c:pt>
                <c:pt idx="96">
                  <c:v>-4.6539918884881352E-3</c:v>
                </c:pt>
                <c:pt idx="97">
                  <c:v>1.8487103983690103E-2</c:v>
                </c:pt>
                <c:pt idx="98">
                  <c:v>-8.62337357891769E-3</c:v>
                </c:pt>
                <c:pt idx="99">
                  <c:v>-5.4130016942953952E-3</c:v>
                </c:pt>
                <c:pt idx="100">
                  <c:v>-4.7308269784354078E-3</c:v>
                </c:pt>
                <c:pt idx="101">
                  <c:v>-3.8675610583800438E-2</c:v>
                </c:pt>
                <c:pt idx="102">
                  <c:v>1.5286157688589852E-2</c:v>
                </c:pt>
                <c:pt idx="103">
                  <c:v>-2.4301095699120847E-3</c:v>
                </c:pt>
                <c:pt idx="104">
                  <c:v>-1.8264811991713004E-3</c:v>
                </c:pt>
                <c:pt idx="105">
                  <c:v>-6.0961109656987951E-4</c:v>
                </c:pt>
                <c:pt idx="106">
                  <c:v>1.6329333065123283E-2</c:v>
                </c:pt>
                <c:pt idx="107">
                  <c:v>7.7681556093607577E-3</c:v>
                </c:pt>
                <c:pt idx="108">
                  <c:v>2.2949014004003898E-2</c:v>
                </c:pt>
                <c:pt idx="109">
                  <c:v>-3.011736741564745E-2</c:v>
                </c:pt>
                <c:pt idx="110">
                  <c:v>2.9535485641168389E-2</c:v>
                </c:pt>
                <c:pt idx="111">
                  <c:v>6.382391439619532E-3</c:v>
                </c:pt>
                <c:pt idx="112">
                  <c:v>-2.3161320398991719E-3</c:v>
                </c:pt>
                <c:pt idx="113">
                  <c:v>1.610156507641821E-2</c:v>
                </c:pt>
                <c:pt idx="114">
                  <c:v>9.08571462661973E-3</c:v>
                </c:pt>
                <c:pt idx="115">
                  <c:v>1.9592162762490182E-2</c:v>
                </c:pt>
                <c:pt idx="116">
                  <c:v>-1.1709175802896356E-2</c:v>
                </c:pt>
                <c:pt idx="117">
                  <c:v>-5.6243984313423317E-3</c:v>
                </c:pt>
                <c:pt idx="118">
                  <c:v>-6.7910685184317367E-3</c:v>
                </c:pt>
                <c:pt idx="119">
                  <c:v>-1.6027947235816124E-2</c:v>
                </c:pt>
                <c:pt idx="120">
                  <c:v>-2.9870396236716779E-2</c:v>
                </c:pt>
                <c:pt idx="121">
                  <c:v>1.1883725529783697E-3</c:v>
                </c:pt>
                <c:pt idx="122">
                  <c:v>1.0632216336701443E-2</c:v>
                </c:pt>
                <c:pt idx="123">
                  <c:v>-7.075609674194675E-3</c:v>
                </c:pt>
                <c:pt idx="124">
                  <c:v>5.9145856733030231E-4</c:v>
                </c:pt>
                <c:pt idx="125">
                  <c:v>1.0588436740846002E-2</c:v>
                </c:pt>
                <c:pt idx="126">
                  <c:v>-7.0465265167247411E-3</c:v>
                </c:pt>
                <c:pt idx="127">
                  <c:v>-3.5419102241213379E-3</c:v>
                </c:pt>
                <c:pt idx="128">
                  <c:v>5.3082933634442889E-3</c:v>
                </c:pt>
                <c:pt idx="129">
                  <c:v>-2.4413339458236528E-2</c:v>
                </c:pt>
                <c:pt idx="130">
                  <c:v>1.2578760442407045E-2</c:v>
                </c:pt>
                <c:pt idx="131">
                  <c:v>-1.1976066753339242E-2</c:v>
                </c:pt>
                <c:pt idx="132">
                  <c:v>1.3760308076745754E-2</c:v>
                </c:pt>
                <c:pt idx="133">
                  <c:v>7.6945269621530249E-3</c:v>
                </c:pt>
                <c:pt idx="134">
                  <c:v>-1.7703701935084114E-3</c:v>
                </c:pt>
                <c:pt idx="135">
                  <c:v>2.9490604228386468E-3</c:v>
                </c:pt>
                <c:pt idx="136">
                  <c:v>-1.0657458514889893E-2</c:v>
                </c:pt>
                <c:pt idx="137">
                  <c:v>2.1784911671504949E-2</c:v>
                </c:pt>
                <c:pt idx="138">
                  <c:v>5.8222055801986279E-4</c:v>
                </c:pt>
                <c:pt idx="139">
                  <c:v>-7.5957392761439417E-3</c:v>
                </c:pt>
                <c:pt idx="140">
                  <c:v>8.7592244143747111E-3</c:v>
                </c:pt>
                <c:pt idx="141">
                  <c:v>7.5296267385311973E-3</c:v>
                </c:pt>
                <c:pt idx="142">
                  <c:v>-7.5296267385311115E-3</c:v>
                </c:pt>
                <c:pt idx="143">
                  <c:v>-5.8160336375158385E-4</c:v>
                </c:pt>
                <c:pt idx="144">
                  <c:v>-1.0526393935028697E-2</c:v>
                </c:pt>
                <c:pt idx="145">
                  <c:v>2.3487728844055851E-3</c:v>
                </c:pt>
                <c:pt idx="146">
                  <c:v>1.455631158926427E-2</c:v>
                </c:pt>
                <c:pt idx="147">
                  <c:v>-7.5427928711403599E-3</c:v>
                </c:pt>
                <c:pt idx="148">
                  <c:v>2.3269110502146303E-3</c:v>
                </c:pt>
                <c:pt idx="149">
                  <c:v>-2.9095910236789767E-3</c:v>
                </c:pt>
                <c:pt idx="150">
                  <c:v>-1.0544773183150766E-2</c:v>
                </c:pt>
                <c:pt idx="151">
                  <c:v>8.2110739967389546E-3</c:v>
                </c:pt>
                <c:pt idx="152">
                  <c:v>3.4985997178958793E-3</c:v>
                </c:pt>
                <c:pt idx="153">
                  <c:v>2.130803414272742E-2</c:v>
                </c:pt>
                <c:pt idx="154">
                  <c:v>2.8449078782690519E-3</c:v>
                </c:pt>
                <c:pt idx="155">
                  <c:v>-5.697991304405129E-3</c:v>
                </c:pt>
                <c:pt idx="156">
                  <c:v>1.1421632595400733E-3</c:v>
                </c:pt>
                <c:pt idx="157">
                  <c:v>5.12394513644681E-3</c:v>
                </c:pt>
                <c:pt idx="158">
                  <c:v>-2.2740551851044106E-3</c:v>
                </c:pt>
                <c:pt idx="159">
                  <c:v>-8.5739149328683574E-3</c:v>
                </c:pt>
                <c:pt idx="160">
                  <c:v>-9.8068295948848475E-3</c:v>
                </c:pt>
                <c:pt idx="161">
                  <c:v>-4.2513463190354973E-3</c:v>
                </c:pt>
                <c:pt idx="162">
                  <c:v>-1.0110097057956752E-2</c:v>
                </c:pt>
                <c:pt idx="163">
                  <c:v>-1.8703414262897906E-2</c:v>
                </c:pt>
                <c:pt idx="164">
                  <c:v>-6.7217247231749887E-3</c:v>
                </c:pt>
                <c:pt idx="165">
                  <c:v>-4.3010263731349009E-3</c:v>
                </c:pt>
                <c:pt idx="166">
                  <c:v>-9.2793792839827582E-3</c:v>
                </c:pt>
                <c:pt idx="167">
                  <c:v>1.8628149729069926E-3</c:v>
                </c:pt>
                <c:pt idx="168">
                  <c:v>1.2943127412559438E-2</c:v>
                </c:pt>
                <c:pt idx="169">
                  <c:v>1.0962394432582713E-2</c:v>
                </c:pt>
                <c:pt idx="170">
                  <c:v>-1.2187931160931781E-2</c:v>
                </c:pt>
                <c:pt idx="171">
                  <c:v>1.1582000481511069E-2</c:v>
                </c:pt>
                <c:pt idx="172">
                  <c:v>1.8613569807513386E-2</c:v>
                </c:pt>
                <c:pt idx="173">
                  <c:v>-1.377680211997016E-2</c:v>
                </c:pt>
                <c:pt idx="174">
                  <c:v>1.020115925682203E-2</c:v>
                </c:pt>
                <c:pt idx="175">
                  <c:v>1.5990897700798735E-2</c:v>
                </c:pt>
                <c:pt idx="176">
                  <c:v>-7.6674124514332052E-3</c:v>
                </c:pt>
                <c:pt idx="177">
                  <c:v>1.7746003431574375E-3</c:v>
                </c:pt>
                <c:pt idx="178">
                  <c:v>-5.9277432873759113E-3</c:v>
                </c:pt>
                <c:pt idx="179">
                  <c:v>1.7820997373106853E-3</c:v>
                </c:pt>
                <c:pt idx="180">
                  <c:v>8.2741716697485573E-3</c:v>
                </c:pt>
                <c:pt idx="181">
                  <c:v>5.283244107095986E-3</c:v>
                </c:pt>
                <c:pt idx="182">
                  <c:v>1.7549955781686565E-3</c:v>
                </c:pt>
                <c:pt idx="183">
                  <c:v>4.0827757174903999E-3</c:v>
                </c:pt>
                <c:pt idx="184">
                  <c:v>-5.8223411107649701E-4</c:v>
                </c:pt>
                <c:pt idx="185">
                  <c:v>5.2280020464313707E-3</c:v>
                </c:pt>
                <c:pt idx="186">
                  <c:v>2.3147859350525577E-3</c:v>
                </c:pt>
                <c:pt idx="187">
                  <c:v>1.732579879352201E-3</c:v>
                </c:pt>
                <c:pt idx="188">
                  <c:v>-1.732579879352136E-3</c:v>
                </c:pt>
                <c:pt idx="189">
                  <c:v>5.7637472026845571E-3</c:v>
                </c:pt>
                <c:pt idx="190">
                  <c:v>6.8728485226429662E-3</c:v>
                </c:pt>
                <c:pt idx="191">
                  <c:v>-1.4372182648414963E-2</c:v>
                </c:pt>
                <c:pt idx="192">
                  <c:v>1.3229934834084765E-2</c:v>
                </c:pt>
                <c:pt idx="193">
                  <c:v>-1.7157346722541096E-3</c:v>
                </c:pt>
                <c:pt idx="194">
                  <c:v>1.7157346722542091E-3</c:v>
                </c:pt>
                <c:pt idx="195">
                  <c:v>-1.3229934834084642E-2</c:v>
                </c:pt>
                <c:pt idx="196">
                  <c:v>-8.7235267318123977E-3</c:v>
                </c:pt>
                <c:pt idx="197">
                  <c:v>2.8787286268958209E-2</c:v>
                </c:pt>
                <c:pt idx="198">
                  <c:v>3.3485178750257492E-2</c:v>
                </c:pt>
                <c:pt idx="199">
                  <c:v>-1.1592695309031092E-2</c:v>
                </c:pt>
                <c:pt idx="200">
                  <c:v>1.8702397437831947E-2</c:v>
                </c:pt>
                <c:pt idx="201">
                  <c:v>-2.7285349047250127E-3</c:v>
                </c:pt>
                <c:pt idx="202">
                  <c:v>-1.0934242170624129E-3</c:v>
                </c:pt>
                <c:pt idx="203">
                  <c:v>-9.8955551720559757E-3</c:v>
                </c:pt>
                <c:pt idx="204">
                  <c:v>-1.3348415321843266E-2</c:v>
                </c:pt>
                <c:pt idx="205">
                  <c:v>0</c:v>
                </c:pt>
                <c:pt idx="206">
                  <c:v>-1.4096584264906203E-2</c:v>
                </c:pt>
                <c:pt idx="207">
                  <c:v>3.4012621492683047E-3</c:v>
                </c:pt>
                <c:pt idx="208">
                  <c:v>-1.6992713126116508E-3</c:v>
                </c:pt>
                <c:pt idx="209">
                  <c:v>1.6992713126115697E-3</c:v>
                </c:pt>
                <c:pt idx="210">
                  <c:v>2.1277351283956945E-2</c:v>
                </c:pt>
                <c:pt idx="211">
                  <c:v>3.3186565462668526E-3</c:v>
                </c:pt>
                <c:pt idx="212">
                  <c:v>1.588635415691966E-2</c:v>
                </c:pt>
                <c:pt idx="213">
                  <c:v>1.3495526138129172E-2</c:v>
                </c:pt>
                <c:pt idx="214">
                  <c:v>2.1425562712271934E-3</c:v>
                </c:pt>
                <c:pt idx="215">
                  <c:v>3.738273476931629E-3</c:v>
                </c:pt>
                <c:pt idx="216">
                  <c:v>-5.3329250387106324E-4</c:v>
                </c:pt>
                <c:pt idx="217">
                  <c:v>1.901802869604308E-2</c:v>
                </c:pt>
                <c:pt idx="218">
                  <c:v>-6.8259836239331134E-3</c:v>
                </c:pt>
                <c:pt idx="219">
                  <c:v>-8.4656033871456007E-3</c:v>
                </c:pt>
                <c:pt idx="220">
                  <c:v>-7.466713020734231E-3</c:v>
                </c:pt>
                <c:pt idx="221">
                  <c:v>4.8064098657813409E-3</c:v>
                </c:pt>
                <c:pt idx="222">
                  <c:v>2.1287652308458159E-3</c:v>
                </c:pt>
                <c:pt idx="223">
                  <c:v>-5.3176661708070883E-4</c:v>
                </c:pt>
                <c:pt idx="224">
                  <c:v>1.1701116052050159E-2</c:v>
                </c:pt>
                <c:pt idx="225">
                  <c:v>6.3830534173032645E-3</c:v>
                </c:pt>
                <c:pt idx="226">
                  <c:v>-2.6547400778527642E-3</c:v>
                </c:pt>
                <c:pt idx="227">
                  <c:v>-1.2302856764034255E-2</c:v>
                </c:pt>
                <c:pt idx="228">
                  <c:v>1.4427180508327499E-2</c:v>
                </c:pt>
                <c:pt idx="229">
                  <c:v>1.631185864869468E-2</c:v>
                </c:pt>
                <c:pt idx="230">
                  <c:v>-5.2205691605959625E-4</c:v>
                </c:pt>
                <c:pt idx="231">
                  <c:v>-1.5677557021459298E-3</c:v>
                </c:pt>
                <c:pt idx="232">
                  <c:v>-3.0265224779422156E-2</c:v>
                </c:pt>
                <c:pt idx="233">
                  <c:v>-1.8498896320453713E-2</c:v>
                </c:pt>
                <c:pt idx="234">
                  <c:v>5.0853933718081321E-2</c:v>
                </c:pt>
                <c:pt idx="235">
                  <c:v>1.564589587366755E-3</c:v>
                </c:pt>
                <c:pt idx="236">
                  <c:v>-9.4242056297434203E-3</c:v>
                </c:pt>
                <c:pt idx="237">
                  <c:v>-5.8032344347412621E-3</c:v>
                </c:pt>
                <c:pt idx="238">
                  <c:v>4.2238711161852434E-3</c:v>
                </c:pt>
                <c:pt idx="239">
                  <c:v>1.4125267552011362E-2</c:v>
                </c:pt>
                <c:pt idx="240">
                  <c:v>1.1363707289245462E-2</c:v>
                </c:pt>
                <c:pt idx="241">
                  <c:v>-5.1492389779095047E-3</c:v>
                </c:pt>
                <c:pt idx="242">
                  <c:v>-2.4034646374763047E-2</c:v>
                </c:pt>
                <c:pt idx="243">
                  <c:v>1.4698479459715275E-2</c:v>
                </c:pt>
                <c:pt idx="244">
                  <c:v>3.1216986037119246E-3</c:v>
                </c:pt>
                <c:pt idx="245">
                  <c:v>7.7620053354891094E-3</c:v>
                </c:pt>
                <c:pt idx="246">
                  <c:v>4.6284474501869788E-3</c:v>
                </c:pt>
                <c:pt idx="247">
                  <c:v>-3.0832501301206196E-3</c:v>
                </c:pt>
                <c:pt idx="248">
                  <c:v>4.6213175955976916E-3</c:v>
                </c:pt>
                <c:pt idx="249">
                  <c:v>5.6193763609869146E-3</c:v>
                </c:pt>
                <c:pt idx="250">
                  <c:v>-2.7894319608277238E-2</c:v>
                </c:pt>
                <c:pt idx="251">
                  <c:v>1.3010852287492039E-2</c:v>
                </c:pt>
              </c:numCache>
            </c:numRef>
          </c:val>
          <c:smooth val="0"/>
          <c:extLst>
            <c:ext xmlns:c16="http://schemas.microsoft.com/office/drawing/2014/chart" uri="{C3380CC4-5D6E-409C-BE32-E72D297353CC}">
              <c16:uniqueId val="{00000003-8196-4D4F-8CC8-6155B496AA60}"/>
            </c:ext>
          </c:extLst>
        </c:ser>
        <c:dLbls>
          <c:showLegendKey val="0"/>
          <c:showVal val="0"/>
          <c:showCatName val="0"/>
          <c:showSerName val="0"/>
          <c:showPercent val="0"/>
          <c:showBubbleSize val="0"/>
        </c:dLbls>
        <c:smooth val="0"/>
        <c:axId val="1483445136"/>
        <c:axId val="1110448544"/>
      </c:lineChart>
      <c:catAx>
        <c:axId val="14834451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10448544"/>
        <c:crosses val="autoZero"/>
        <c:auto val="1"/>
        <c:lblAlgn val="ctr"/>
        <c:lblOffset val="100"/>
        <c:noMultiLvlLbl val="0"/>
      </c:catAx>
      <c:valAx>
        <c:axId val="1110448544"/>
        <c:scaling>
          <c:orientation val="minMax"/>
          <c:min val="-0.1"/>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83445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313267</xdr:colOff>
      <xdr:row>5</xdr:row>
      <xdr:rowOff>76199</xdr:rowOff>
    </xdr:from>
    <xdr:to>
      <xdr:col>13</xdr:col>
      <xdr:colOff>533400</xdr:colOff>
      <xdr:row>21</xdr:row>
      <xdr:rowOff>143933</xdr:rowOff>
    </xdr:to>
    <xdr:graphicFrame macro="">
      <xdr:nvGraphicFramePr>
        <xdr:cNvPr id="3" name="Gráfico 2">
          <a:extLst>
            <a:ext uri="{FF2B5EF4-FFF2-40B4-BE49-F238E27FC236}">
              <a16:creationId xmlns:a16="http://schemas.microsoft.com/office/drawing/2014/main" id="{C172A8C6-E7FE-7E41-959F-F6B50FB25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48226</xdr:colOff>
      <xdr:row>1</xdr:row>
      <xdr:rowOff>136647</xdr:rowOff>
    </xdr:from>
    <xdr:to>
      <xdr:col>27</xdr:col>
      <xdr:colOff>747530</xdr:colOff>
      <xdr:row>21</xdr:row>
      <xdr:rowOff>32153</xdr:rowOff>
    </xdr:to>
    <xdr:graphicFrame macro="">
      <xdr:nvGraphicFramePr>
        <xdr:cNvPr id="6" name="Gráfico 5">
          <a:extLst>
            <a:ext uri="{FF2B5EF4-FFF2-40B4-BE49-F238E27FC236}">
              <a16:creationId xmlns:a16="http://schemas.microsoft.com/office/drawing/2014/main" id="{BD930239-D209-F446-9257-DFC6DC5A8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605079</xdr:colOff>
      <xdr:row>44</xdr:row>
      <xdr:rowOff>132984</xdr:rowOff>
    </xdr:from>
    <xdr:to>
      <xdr:col>21</xdr:col>
      <xdr:colOff>31916</xdr:colOff>
      <xdr:row>57</xdr:row>
      <xdr:rowOff>75002</xdr:rowOff>
    </xdr:to>
    <xdr:graphicFrame macro="">
      <xdr:nvGraphicFramePr>
        <xdr:cNvPr id="8" name="Gráfico 7">
          <a:extLst>
            <a:ext uri="{FF2B5EF4-FFF2-40B4-BE49-F238E27FC236}">
              <a16:creationId xmlns:a16="http://schemas.microsoft.com/office/drawing/2014/main" id="{D79F35AB-4F5B-2E46-85BE-E3444A229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119686</xdr:colOff>
      <xdr:row>44</xdr:row>
      <xdr:rowOff>139632</xdr:rowOff>
    </xdr:from>
    <xdr:to>
      <xdr:col>25</xdr:col>
      <xdr:colOff>59843</xdr:colOff>
      <xdr:row>57</xdr:row>
      <xdr:rowOff>66491</xdr:rowOff>
    </xdr:to>
    <xdr:graphicFrame macro="">
      <xdr:nvGraphicFramePr>
        <xdr:cNvPr id="10" name="Gráfico 9">
          <a:extLst>
            <a:ext uri="{FF2B5EF4-FFF2-40B4-BE49-F238E27FC236}">
              <a16:creationId xmlns:a16="http://schemas.microsoft.com/office/drawing/2014/main" id="{B8549645-EAB2-EF48-944B-783F20350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611729</xdr:colOff>
      <xdr:row>57</xdr:row>
      <xdr:rowOff>172880</xdr:rowOff>
    </xdr:from>
    <xdr:to>
      <xdr:col>21</xdr:col>
      <xdr:colOff>39896</xdr:colOff>
      <xdr:row>70</xdr:row>
      <xdr:rowOff>73142</xdr:rowOff>
    </xdr:to>
    <xdr:graphicFrame macro="">
      <xdr:nvGraphicFramePr>
        <xdr:cNvPr id="12" name="Gráfico 11">
          <a:extLst>
            <a:ext uri="{FF2B5EF4-FFF2-40B4-BE49-F238E27FC236}">
              <a16:creationId xmlns:a16="http://schemas.microsoft.com/office/drawing/2014/main" id="{DA6272A2-C6A7-6143-99FA-82414B797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809624</xdr:colOff>
      <xdr:row>0</xdr:row>
      <xdr:rowOff>0</xdr:rowOff>
    </xdr:from>
    <xdr:to>
      <xdr:col>19</xdr:col>
      <xdr:colOff>242887</xdr:colOff>
      <xdr:row>21</xdr:row>
      <xdr:rowOff>133350</xdr:rowOff>
    </xdr:to>
    <xdr:graphicFrame macro="">
      <xdr:nvGraphicFramePr>
        <xdr:cNvPr id="3" name="Gráfico 2">
          <a:extLst>
            <a:ext uri="{FF2B5EF4-FFF2-40B4-BE49-F238E27FC236}">
              <a16:creationId xmlns:a16="http://schemas.microsoft.com/office/drawing/2014/main" id="{A20ADBED-C9B3-4542-9910-08CD19D6A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656167</xdr:colOff>
      <xdr:row>31</xdr:row>
      <xdr:rowOff>84667</xdr:rowOff>
    </xdr:from>
    <xdr:to>
      <xdr:col>20</xdr:col>
      <xdr:colOff>453339</xdr:colOff>
      <xdr:row>33</xdr:row>
      <xdr:rowOff>172048</xdr:rowOff>
    </xdr:to>
    <mc:AlternateContent xmlns:mc="http://schemas.openxmlformats.org/markup-compatibility/2006">
      <mc:Choice xmlns:a14="http://schemas.microsoft.com/office/drawing/2010/main" Requires="a14">
        <xdr:sp macro="" textlink="">
          <xdr:nvSpPr>
            <xdr:cNvPr id="2" name="CuadroTexto 1">
              <a:extLst>
                <a:ext uri="{FF2B5EF4-FFF2-40B4-BE49-F238E27FC236}">
                  <a16:creationId xmlns:a16="http://schemas.microsoft.com/office/drawing/2014/main" id="{3564F7D0-D73B-6447-9493-4997FD8DD902}"/>
                </a:ext>
              </a:extLst>
            </xdr:cNvPr>
            <xdr:cNvSpPr txBox="1"/>
          </xdr:nvSpPr>
          <xdr:spPr>
            <a:xfrm>
              <a:off x="14795500" y="5990167"/>
              <a:ext cx="3437839" cy="468381"/>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r>
                      <a:rPr lang="es-CO" sz="1200" b="0" i="1">
                        <a:latin typeface="Cambria Math" panose="02040503050406030204" pitchFamily="18" charset="0"/>
                      </a:rPr>
                      <m:t>𝑆h</m:t>
                    </m:r>
                    <m:r>
                      <a:rPr lang="es-CO" sz="1200" b="0" i="1">
                        <a:latin typeface="Cambria Math" panose="02040503050406030204" pitchFamily="18" charset="0"/>
                      </a:rPr>
                      <m:t>=</m:t>
                    </m:r>
                    <m:f>
                      <m:fPr>
                        <m:ctrlPr>
                          <a:rPr lang="es-CO" sz="1200" b="0" i="1">
                            <a:latin typeface="Cambria Math" panose="02040503050406030204" pitchFamily="18" charset="0"/>
                          </a:rPr>
                        </m:ctrlPr>
                      </m:fPr>
                      <m:num>
                        <m:r>
                          <a:rPr lang="es-CO" sz="1200" b="0" i="1">
                            <a:latin typeface="Cambria Math" panose="02040503050406030204" pitchFamily="18" charset="0"/>
                          </a:rPr>
                          <m:t>𝑤𝐸</m:t>
                        </m:r>
                        <m:d>
                          <m:dPr>
                            <m:ctrlPr>
                              <a:rPr lang="es-CO" sz="1200" b="0" i="1">
                                <a:latin typeface="Cambria Math" panose="02040503050406030204" pitchFamily="18" charset="0"/>
                              </a:rPr>
                            </m:ctrlPr>
                          </m:dPr>
                          <m:e>
                            <m:r>
                              <a:rPr lang="es-CO" sz="1200" b="0" i="1">
                                <a:latin typeface="Cambria Math" panose="02040503050406030204" pitchFamily="18" charset="0"/>
                              </a:rPr>
                              <m:t>𝑟</m:t>
                            </m:r>
                          </m:e>
                        </m:d>
                        <m:r>
                          <a:rPr lang="es-CO" sz="1200" b="0" i="1">
                            <a:latin typeface="Cambria Math" panose="02040503050406030204" pitchFamily="18" charset="0"/>
                          </a:rPr>
                          <m:t>−</m:t>
                        </m:r>
                        <m:sSub>
                          <m:sSubPr>
                            <m:ctrlPr>
                              <a:rPr lang="es-CO" sz="1200" b="0" i="1">
                                <a:latin typeface="Cambria Math" panose="02040503050406030204" pitchFamily="18" charset="0"/>
                              </a:rPr>
                            </m:ctrlPr>
                          </m:sSubPr>
                          <m:e>
                            <m:r>
                              <a:rPr lang="es-CO" sz="1200" b="0" i="1">
                                <a:latin typeface="Cambria Math" panose="02040503050406030204" pitchFamily="18" charset="0"/>
                              </a:rPr>
                              <m:t>𝑟</m:t>
                            </m:r>
                          </m:e>
                          <m:sub>
                            <m:r>
                              <a:rPr lang="es-CO" sz="1200" b="0" i="1">
                                <a:latin typeface="Cambria Math" panose="02040503050406030204" pitchFamily="18" charset="0"/>
                              </a:rPr>
                              <m:t>𝑓</m:t>
                            </m:r>
                          </m:sub>
                        </m:sSub>
                      </m:num>
                      <m:den>
                        <m:rad>
                          <m:radPr>
                            <m:degHide m:val="on"/>
                            <m:ctrlPr>
                              <a:rPr lang="es-CO" sz="1200" b="0" i="1">
                                <a:latin typeface="Cambria Math" panose="02040503050406030204" pitchFamily="18" charset="0"/>
                              </a:rPr>
                            </m:ctrlPr>
                          </m:radPr>
                          <m:deg/>
                          <m:e>
                            <m:sSup>
                              <m:sSupPr>
                                <m:ctrlPr>
                                  <a:rPr lang="es-CO" sz="1200" b="0" i="1">
                                    <a:latin typeface="Cambria Math" panose="02040503050406030204" pitchFamily="18" charset="0"/>
                                  </a:rPr>
                                </m:ctrlPr>
                              </m:sSupPr>
                              <m:e>
                                <m:r>
                                  <a:rPr lang="es-CO" sz="1200" b="0" i="1">
                                    <a:latin typeface="Cambria Math" panose="02040503050406030204" pitchFamily="18" charset="0"/>
                                  </a:rPr>
                                  <m:t>𝑤</m:t>
                                </m:r>
                              </m:e>
                              <m:sup>
                                <m:r>
                                  <a:rPr lang="es-CO" sz="1200" b="0" i="1">
                                    <a:latin typeface="Cambria Math" panose="02040503050406030204" pitchFamily="18" charset="0"/>
                                  </a:rPr>
                                  <m:t>′</m:t>
                                </m:r>
                              </m:sup>
                            </m:sSup>
                            <m:r>
                              <a:rPr lang="es-CO" sz="1200" b="0" i="1">
                                <a:latin typeface="Cambria Math" panose="02040503050406030204" pitchFamily="18" charset="0"/>
                              </a:rPr>
                              <m:t>𝑉𝑤</m:t>
                            </m:r>
                          </m:e>
                        </m:rad>
                      </m:den>
                    </m:f>
                    <m:r>
                      <a:rPr lang="es-CO" sz="1200" b="0" i="1">
                        <a:latin typeface="Cambria Math" panose="02040503050406030204" pitchFamily="18" charset="0"/>
                      </a:rPr>
                      <m:t>=</m:t>
                    </m:r>
                    <m:f>
                      <m:fPr>
                        <m:ctrlPr>
                          <a:rPr lang="es-CO" sz="1200" b="0" i="1">
                            <a:latin typeface="Cambria Math" panose="02040503050406030204" pitchFamily="18" charset="0"/>
                          </a:rPr>
                        </m:ctrlPr>
                      </m:fPr>
                      <m:num>
                        <m:r>
                          <a:rPr lang="es-CO" sz="1200" b="0" i="1">
                            <a:latin typeface="Cambria Math" panose="02040503050406030204" pitchFamily="18" charset="0"/>
                          </a:rPr>
                          <m:t>𝑤</m:t>
                        </m:r>
                        <m:d>
                          <m:dPr>
                            <m:begChr m:val="["/>
                            <m:endChr m:val="]"/>
                            <m:ctrlPr>
                              <a:rPr lang="es-CO" sz="1200" b="0" i="1">
                                <a:latin typeface="Cambria Math" panose="02040503050406030204" pitchFamily="18" charset="0"/>
                              </a:rPr>
                            </m:ctrlPr>
                          </m:dPr>
                          <m:e>
                            <m:r>
                              <a:rPr lang="es-CO" sz="1200" b="0" i="1">
                                <a:latin typeface="Cambria Math" panose="02040503050406030204" pitchFamily="18" charset="0"/>
                              </a:rPr>
                              <m:t>𝑚𝐸</m:t>
                            </m:r>
                            <m:d>
                              <m:dPr>
                                <m:ctrlPr>
                                  <a:rPr lang="es-CO" sz="1200" b="0" i="1">
                                    <a:latin typeface="Cambria Math" panose="02040503050406030204" pitchFamily="18" charset="0"/>
                                  </a:rPr>
                                </m:ctrlPr>
                              </m:dPr>
                              <m:e>
                                <m:sSub>
                                  <m:sSubPr>
                                    <m:ctrlPr>
                                      <a:rPr lang="es-CO" sz="1200" b="0" i="1">
                                        <a:latin typeface="Cambria Math" panose="02040503050406030204" pitchFamily="18" charset="0"/>
                                      </a:rPr>
                                    </m:ctrlPr>
                                  </m:sSubPr>
                                  <m:e>
                                    <m:r>
                                      <a:rPr lang="es-CO" sz="1200" b="0" i="1">
                                        <a:latin typeface="Cambria Math" panose="02040503050406030204" pitchFamily="18" charset="0"/>
                                      </a:rPr>
                                      <m:t>𝑟</m:t>
                                    </m:r>
                                  </m:e>
                                  <m:sub>
                                    <m:r>
                                      <a:rPr lang="es-CO" sz="1200" b="0" i="1">
                                        <a:latin typeface="Cambria Math" panose="02040503050406030204" pitchFamily="18" charset="0"/>
                                      </a:rPr>
                                      <m:t>𝐹𝑅𝑀</m:t>
                                    </m:r>
                                  </m:sub>
                                </m:sSub>
                              </m:e>
                            </m:d>
                          </m:e>
                        </m:d>
                        <m:r>
                          <a:rPr lang="es-CO" sz="1200" b="0" i="1">
                            <a:latin typeface="Cambria Math" panose="02040503050406030204" pitchFamily="18" charset="0"/>
                          </a:rPr>
                          <m:t>−</m:t>
                        </m:r>
                        <m:sSub>
                          <m:sSubPr>
                            <m:ctrlPr>
                              <a:rPr lang="es-CO" sz="1200" b="0" i="1">
                                <a:latin typeface="Cambria Math" panose="02040503050406030204" pitchFamily="18" charset="0"/>
                              </a:rPr>
                            </m:ctrlPr>
                          </m:sSubPr>
                          <m:e>
                            <m:r>
                              <a:rPr lang="es-CO" sz="1200" b="0" i="1">
                                <a:latin typeface="Cambria Math" panose="02040503050406030204" pitchFamily="18" charset="0"/>
                              </a:rPr>
                              <m:t>𝑟</m:t>
                            </m:r>
                          </m:e>
                          <m:sub>
                            <m:r>
                              <a:rPr lang="es-CO" sz="1200" b="0" i="1">
                                <a:latin typeface="Cambria Math" panose="02040503050406030204" pitchFamily="18" charset="0"/>
                              </a:rPr>
                              <m:t>𝑓</m:t>
                            </m:r>
                          </m:sub>
                        </m:sSub>
                      </m:num>
                      <m:den>
                        <m:rad>
                          <m:radPr>
                            <m:degHide m:val="on"/>
                            <m:ctrlPr>
                              <a:rPr lang="es-CO" sz="1200" b="0" i="1">
                                <a:latin typeface="Cambria Math" panose="02040503050406030204" pitchFamily="18" charset="0"/>
                              </a:rPr>
                            </m:ctrlPr>
                          </m:radPr>
                          <m:deg/>
                          <m:e>
                            <m:sSup>
                              <m:sSupPr>
                                <m:ctrlPr>
                                  <a:rPr lang="es-CO" sz="1200" b="0" i="1">
                                    <a:latin typeface="Cambria Math" panose="02040503050406030204" pitchFamily="18" charset="0"/>
                                  </a:rPr>
                                </m:ctrlPr>
                              </m:sSupPr>
                              <m:e>
                                <m:r>
                                  <a:rPr lang="es-CO" sz="1200" b="0" i="1">
                                    <a:latin typeface="Cambria Math" panose="02040503050406030204" pitchFamily="18" charset="0"/>
                                  </a:rPr>
                                  <m:t>𝑤</m:t>
                                </m:r>
                              </m:e>
                              <m:sup>
                                <m:r>
                                  <a:rPr lang="es-CO" sz="1200" b="0" i="1">
                                    <a:latin typeface="Cambria Math" panose="02040503050406030204" pitchFamily="18" charset="0"/>
                                  </a:rPr>
                                  <m:t>′</m:t>
                                </m:r>
                              </m:sup>
                            </m:sSup>
                            <m:d>
                              <m:dPr>
                                <m:begChr m:val="["/>
                                <m:endChr m:val="]"/>
                                <m:ctrlPr>
                                  <a:rPr lang="es-CO" sz="1200" b="0" i="1">
                                    <a:latin typeface="Cambria Math" panose="02040503050406030204" pitchFamily="18" charset="0"/>
                                  </a:rPr>
                                </m:ctrlPr>
                              </m:dPr>
                              <m:e>
                                <m:r>
                                  <a:rPr lang="es-CO" sz="1200" b="0" i="1">
                                    <a:latin typeface="Cambria Math" panose="02040503050406030204" pitchFamily="18" charset="0"/>
                                  </a:rPr>
                                  <m:t>𝑚</m:t>
                                </m:r>
                                <m:sSub>
                                  <m:sSubPr>
                                    <m:ctrlPr>
                                      <a:rPr lang="es-CO" sz="1200" b="0" i="1">
                                        <a:latin typeface="Cambria Math" panose="02040503050406030204" pitchFamily="18" charset="0"/>
                                      </a:rPr>
                                    </m:ctrlPr>
                                  </m:sSubPr>
                                  <m:e>
                                    <m:r>
                                      <a:rPr lang="es-CO" sz="1200" b="0" i="1">
                                        <a:latin typeface="Cambria Math" panose="02040503050406030204" pitchFamily="18" charset="0"/>
                                      </a:rPr>
                                      <m:t>𝑉</m:t>
                                    </m:r>
                                  </m:e>
                                  <m:sub>
                                    <m:r>
                                      <a:rPr lang="es-CO" sz="1200" b="0" i="1">
                                        <a:latin typeface="Cambria Math" panose="02040503050406030204" pitchFamily="18" charset="0"/>
                                      </a:rPr>
                                      <m:t>𝐹𝑅𝑀</m:t>
                                    </m:r>
                                  </m:sub>
                                </m:sSub>
                                <m:r>
                                  <a:rPr lang="es-CO" sz="1200" b="0" i="1">
                                    <a:latin typeface="Cambria Math" panose="02040503050406030204" pitchFamily="18" charset="0"/>
                                  </a:rPr>
                                  <m:t>𝑚</m:t>
                                </m:r>
                                <m:r>
                                  <a:rPr lang="es-CO" sz="1200" b="0" i="1">
                                    <a:latin typeface="Cambria Math" panose="02040503050406030204" pitchFamily="18" charset="0"/>
                                  </a:rPr>
                                  <m:t>′</m:t>
                                </m:r>
                              </m:e>
                            </m:d>
                            <m:r>
                              <a:rPr lang="es-CO" sz="1200" b="0" i="1">
                                <a:latin typeface="Cambria Math" panose="02040503050406030204" pitchFamily="18" charset="0"/>
                              </a:rPr>
                              <m:t>𝑤</m:t>
                            </m:r>
                          </m:e>
                        </m:rad>
                      </m:den>
                    </m:f>
                  </m:oMath>
                </m:oMathPara>
              </a14:m>
              <a:endParaRPr lang="es-CO" sz="1200"/>
            </a:p>
          </xdr:txBody>
        </xdr:sp>
      </mc:Choice>
      <mc:Fallback>
        <xdr:sp macro="" textlink="">
          <xdr:nvSpPr>
            <xdr:cNvPr id="2" name="CuadroTexto 1">
              <a:extLst>
                <a:ext uri="{FF2B5EF4-FFF2-40B4-BE49-F238E27FC236}">
                  <a16:creationId xmlns:a16="http://schemas.microsoft.com/office/drawing/2014/main" id="{3564F7D0-D73B-6447-9493-4997FD8DD902}"/>
                </a:ext>
              </a:extLst>
            </xdr:cNvPr>
            <xdr:cNvSpPr txBox="1"/>
          </xdr:nvSpPr>
          <xdr:spPr>
            <a:xfrm>
              <a:off x="14795500" y="5990167"/>
              <a:ext cx="3437839" cy="468381"/>
            </a:xfrm>
            <a:prstGeom prst="rect">
              <a:avLst/>
            </a:prstGeom>
            <a:noFill/>
          </xdr:spPr>
          <xdr:txBody>
            <a:bodyPr wrap="square" lIns="0" tIns="0" rIns="0" bIns="0" rtlCol="0">
              <a:sp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O" sz="1200" b="0" i="0">
                  <a:latin typeface="Cambria Math" panose="02040503050406030204" pitchFamily="18" charset="0"/>
                </a:rPr>
                <a:t>𝑆ℎ=(𝑤𝐸(𝑟)−𝑟_𝑓)/√(𝑤^′ 𝑉𝑤)=(𝑤[𝑚𝐸(𝑟_𝐹𝑅𝑀 )]−𝑟_𝑓)/√(𝑤^′ [𝑚𝑉_𝐹𝑅𝑀 𝑚′]𝑤)</a:t>
              </a:r>
              <a:endParaRPr lang="es-CO" sz="1200"/>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0B01603A-0E5E-5B9D-7FC8-05A5A603B89D}"/>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12633933-0CA4-95AB-B1E2-8308078762C5}"/>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536A2D72-453D-DE1B-A988-F3952F5F7A2B}"/>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9926E25C-8710-2D2E-8EAD-C9E49ADF58EC}"/>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14</xdr:col>
      <xdr:colOff>389763</xdr:colOff>
      <xdr:row>42</xdr:row>
      <xdr:rowOff>104418</xdr:rowOff>
    </xdr:to>
    <xdr:pic>
      <xdr:nvPicPr>
        <xdr:cNvPr id="2" name="Imagen 1">
          <a:extLst>
            <a:ext uri="{FF2B5EF4-FFF2-40B4-BE49-F238E27FC236}">
              <a16:creationId xmlns:a16="http://schemas.microsoft.com/office/drawing/2014/main" id="{C2EAB40D-83B1-F0E3-959C-F391C596400E}"/>
            </a:ext>
          </a:extLst>
        </xdr:cNvPr>
        <xdr:cNvPicPr>
          <a:picLocks noChangeAspect="1"/>
        </xdr:cNvPicPr>
      </xdr:nvPicPr>
      <xdr:blipFill>
        <a:blip xmlns:r="http://schemas.openxmlformats.org/officeDocument/2006/relationships" r:embed="rId1"/>
        <a:stretch>
          <a:fillRect/>
        </a:stretch>
      </xdr:blipFill>
      <xdr:spPr>
        <a:xfrm>
          <a:off x="3276600" y="4657725"/>
          <a:ext cx="6095238" cy="2857143"/>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2E793-0527-4F74-BC08-76B507BC534E}">
  <dimension ref="A1:A114"/>
  <sheetViews>
    <sheetView workbookViewId="0"/>
  </sheetViews>
  <sheetFormatPr baseColWidth="10" defaultRowHeight="15" x14ac:dyDescent="0.2"/>
  <sheetData>
    <row r="1" spans="1:1" x14ac:dyDescent="0.2">
      <c r="A1" t="s">
        <v>86</v>
      </c>
    </row>
    <row r="2" spans="1:1" x14ac:dyDescent="0.2">
      <c r="A2" t="s">
        <v>103</v>
      </c>
    </row>
    <row r="3" spans="1:1" x14ac:dyDescent="0.2">
      <c r="A3" t="s">
        <v>104</v>
      </c>
    </row>
    <row r="4" spans="1:1" x14ac:dyDescent="0.2">
      <c r="A4" t="s">
        <v>105</v>
      </c>
    </row>
    <row r="5" spans="1:1" x14ac:dyDescent="0.2">
      <c r="A5" t="s">
        <v>106</v>
      </c>
    </row>
    <row r="6" spans="1:1" x14ac:dyDescent="0.2">
      <c r="A6" t="s">
        <v>107</v>
      </c>
    </row>
    <row r="7" spans="1:1" x14ac:dyDescent="0.2">
      <c r="A7" t="s">
        <v>108</v>
      </c>
    </row>
    <row r="8" spans="1:1" x14ac:dyDescent="0.2">
      <c r="A8" t="s">
        <v>109</v>
      </c>
    </row>
    <row r="9" spans="1:1" x14ac:dyDescent="0.2">
      <c r="A9" t="s">
        <v>110</v>
      </c>
    </row>
    <row r="10" spans="1:1" x14ac:dyDescent="0.2">
      <c r="A10" t="s">
        <v>111</v>
      </c>
    </row>
    <row r="11" spans="1:1" x14ac:dyDescent="0.2">
      <c r="A11" t="s">
        <v>112</v>
      </c>
    </row>
    <row r="12" spans="1:1" x14ac:dyDescent="0.2">
      <c r="A12" t="s">
        <v>113</v>
      </c>
    </row>
    <row r="13" spans="1:1" x14ac:dyDescent="0.2">
      <c r="A13" t="s">
        <v>114</v>
      </c>
    </row>
    <row r="14" spans="1:1" x14ac:dyDescent="0.2">
      <c r="A14" t="s">
        <v>115</v>
      </c>
    </row>
    <row r="15" spans="1:1" x14ac:dyDescent="0.2">
      <c r="A15" t="s">
        <v>116</v>
      </c>
    </row>
    <row r="16" spans="1:1" x14ac:dyDescent="0.2">
      <c r="A16" t="s">
        <v>117</v>
      </c>
    </row>
    <row r="17" spans="1:1" x14ac:dyDescent="0.2">
      <c r="A17" t="s">
        <v>118</v>
      </c>
    </row>
    <row r="18" spans="1:1" x14ac:dyDescent="0.2">
      <c r="A18" t="s">
        <v>119</v>
      </c>
    </row>
    <row r="19" spans="1:1" x14ac:dyDescent="0.2">
      <c r="A19" t="s">
        <v>120</v>
      </c>
    </row>
    <row r="20" spans="1:1" x14ac:dyDescent="0.2">
      <c r="A20" t="s">
        <v>121</v>
      </c>
    </row>
    <row r="21" spans="1:1" x14ac:dyDescent="0.2">
      <c r="A21" t="s">
        <v>122</v>
      </c>
    </row>
    <row r="22" spans="1:1" x14ac:dyDescent="0.2">
      <c r="A22" t="s">
        <v>123</v>
      </c>
    </row>
    <row r="23" spans="1:1" x14ac:dyDescent="0.2">
      <c r="A23" t="s">
        <v>124</v>
      </c>
    </row>
    <row r="24" spans="1:1" x14ac:dyDescent="0.2">
      <c r="A24" t="s">
        <v>125</v>
      </c>
    </row>
    <row r="25" spans="1:1" x14ac:dyDescent="0.2">
      <c r="A25" t="s">
        <v>126</v>
      </c>
    </row>
    <row r="26" spans="1:1" x14ac:dyDescent="0.2">
      <c r="A26" t="s">
        <v>127</v>
      </c>
    </row>
    <row r="27" spans="1:1" x14ac:dyDescent="0.2">
      <c r="A27" t="s">
        <v>128</v>
      </c>
    </row>
    <row r="28" spans="1:1" x14ac:dyDescent="0.2">
      <c r="A28" t="s">
        <v>129</v>
      </c>
    </row>
    <row r="29" spans="1:1" x14ac:dyDescent="0.2">
      <c r="A29" t="s">
        <v>130</v>
      </c>
    </row>
    <row r="30" spans="1:1" x14ac:dyDescent="0.2">
      <c r="A30" t="s">
        <v>131</v>
      </c>
    </row>
    <row r="31" spans="1:1" x14ac:dyDescent="0.2">
      <c r="A31" t="s">
        <v>132</v>
      </c>
    </row>
    <row r="32" spans="1:1" x14ac:dyDescent="0.2">
      <c r="A32" t="s">
        <v>133</v>
      </c>
    </row>
    <row r="33" spans="1:1" x14ac:dyDescent="0.2">
      <c r="A33" t="s">
        <v>134</v>
      </c>
    </row>
    <row r="34" spans="1:1" x14ac:dyDescent="0.2">
      <c r="A34" t="s">
        <v>135</v>
      </c>
    </row>
    <row r="35" spans="1:1" x14ac:dyDescent="0.2">
      <c r="A35" t="s">
        <v>136</v>
      </c>
    </row>
    <row r="36" spans="1:1" x14ac:dyDescent="0.2">
      <c r="A36" t="s">
        <v>137</v>
      </c>
    </row>
    <row r="37" spans="1:1" x14ac:dyDescent="0.2">
      <c r="A37" t="s">
        <v>138</v>
      </c>
    </row>
    <row r="38" spans="1:1" x14ac:dyDescent="0.2">
      <c r="A38" t="s">
        <v>139</v>
      </c>
    </row>
    <row r="39" spans="1:1" x14ac:dyDescent="0.2">
      <c r="A39" t="s">
        <v>140</v>
      </c>
    </row>
    <row r="40" spans="1:1" x14ac:dyDescent="0.2">
      <c r="A40" t="s">
        <v>141</v>
      </c>
    </row>
    <row r="41" spans="1:1" x14ac:dyDescent="0.2">
      <c r="A41" t="s">
        <v>142</v>
      </c>
    </row>
    <row r="42" spans="1:1" x14ac:dyDescent="0.2">
      <c r="A42" t="s">
        <v>143</v>
      </c>
    </row>
    <row r="43" spans="1:1" x14ac:dyDescent="0.2">
      <c r="A43" t="s">
        <v>144</v>
      </c>
    </row>
    <row r="44" spans="1:1" x14ac:dyDescent="0.2">
      <c r="A44" t="s">
        <v>145</v>
      </c>
    </row>
    <row r="45" spans="1:1" x14ac:dyDescent="0.2">
      <c r="A45" t="s">
        <v>146</v>
      </c>
    </row>
    <row r="46" spans="1:1" x14ac:dyDescent="0.2">
      <c r="A46" t="s">
        <v>147</v>
      </c>
    </row>
    <row r="47" spans="1:1" x14ac:dyDescent="0.2">
      <c r="A47" t="s">
        <v>148</v>
      </c>
    </row>
    <row r="48" spans="1:1" x14ac:dyDescent="0.2">
      <c r="A48" t="s">
        <v>149</v>
      </c>
    </row>
    <row r="49" spans="1:1" x14ac:dyDescent="0.2">
      <c r="A49" t="s">
        <v>150</v>
      </c>
    </row>
    <row r="50" spans="1:1" x14ac:dyDescent="0.2">
      <c r="A50" t="s">
        <v>151</v>
      </c>
    </row>
    <row r="51" spans="1:1" x14ac:dyDescent="0.2">
      <c r="A51" t="s">
        <v>152</v>
      </c>
    </row>
    <row r="52" spans="1:1" x14ac:dyDescent="0.2">
      <c r="A52" t="s">
        <v>153</v>
      </c>
    </row>
    <row r="53" spans="1:1" x14ac:dyDescent="0.2">
      <c r="A53" t="s">
        <v>154</v>
      </c>
    </row>
    <row r="54" spans="1:1" x14ac:dyDescent="0.2">
      <c r="A54" t="s">
        <v>155</v>
      </c>
    </row>
    <row r="55" spans="1:1" x14ac:dyDescent="0.2">
      <c r="A55" t="s">
        <v>156</v>
      </c>
    </row>
    <row r="56" spans="1:1" x14ac:dyDescent="0.2">
      <c r="A56" t="s">
        <v>157</v>
      </c>
    </row>
    <row r="57" spans="1:1" x14ac:dyDescent="0.2">
      <c r="A57" t="s">
        <v>158</v>
      </c>
    </row>
    <row r="58" spans="1:1" x14ac:dyDescent="0.2">
      <c r="A58" t="s">
        <v>159</v>
      </c>
    </row>
    <row r="59" spans="1:1" x14ac:dyDescent="0.2">
      <c r="A59" t="s">
        <v>160</v>
      </c>
    </row>
    <row r="60" spans="1:1" x14ac:dyDescent="0.2">
      <c r="A60" t="s">
        <v>161</v>
      </c>
    </row>
    <row r="61" spans="1:1" x14ac:dyDescent="0.2">
      <c r="A61" t="s">
        <v>162</v>
      </c>
    </row>
    <row r="62" spans="1:1" x14ac:dyDescent="0.2">
      <c r="A62" t="s">
        <v>163</v>
      </c>
    </row>
    <row r="63" spans="1:1" x14ac:dyDescent="0.2">
      <c r="A63" t="s">
        <v>164</v>
      </c>
    </row>
    <row r="64" spans="1:1" x14ac:dyDescent="0.2">
      <c r="A64" t="s">
        <v>165</v>
      </c>
    </row>
    <row r="65" spans="1:1" x14ac:dyDescent="0.2">
      <c r="A65" t="s">
        <v>166</v>
      </c>
    </row>
    <row r="66" spans="1:1" x14ac:dyDescent="0.2">
      <c r="A66" t="s">
        <v>167</v>
      </c>
    </row>
    <row r="67" spans="1:1" x14ac:dyDescent="0.2">
      <c r="A67" t="s">
        <v>168</v>
      </c>
    </row>
    <row r="68" spans="1:1" x14ac:dyDescent="0.2">
      <c r="A68" t="s">
        <v>169</v>
      </c>
    </row>
    <row r="69" spans="1:1" x14ac:dyDescent="0.2">
      <c r="A69" t="s">
        <v>170</v>
      </c>
    </row>
    <row r="70" spans="1:1" x14ac:dyDescent="0.2">
      <c r="A70" t="s">
        <v>171</v>
      </c>
    </row>
    <row r="71" spans="1:1" x14ac:dyDescent="0.2">
      <c r="A71" t="s">
        <v>172</v>
      </c>
    </row>
    <row r="72" spans="1:1" x14ac:dyDescent="0.2">
      <c r="A72" t="s">
        <v>173</v>
      </c>
    </row>
    <row r="73" spans="1:1" x14ac:dyDescent="0.2">
      <c r="A73" t="s">
        <v>174</v>
      </c>
    </row>
    <row r="74" spans="1:1" x14ac:dyDescent="0.2">
      <c r="A74" t="s">
        <v>175</v>
      </c>
    </row>
    <row r="75" spans="1:1" x14ac:dyDescent="0.2">
      <c r="A75" t="s">
        <v>176</v>
      </c>
    </row>
    <row r="76" spans="1:1" x14ac:dyDescent="0.2">
      <c r="A76" t="s">
        <v>177</v>
      </c>
    </row>
    <row r="77" spans="1:1" x14ac:dyDescent="0.2">
      <c r="A77" t="s">
        <v>178</v>
      </c>
    </row>
    <row r="78" spans="1:1" x14ac:dyDescent="0.2">
      <c r="A78" t="s">
        <v>179</v>
      </c>
    </row>
    <row r="79" spans="1:1" x14ac:dyDescent="0.2">
      <c r="A79" t="s">
        <v>180</v>
      </c>
    </row>
    <row r="80" spans="1:1" x14ac:dyDescent="0.2">
      <c r="A80" t="s">
        <v>181</v>
      </c>
    </row>
    <row r="81" spans="1:1" x14ac:dyDescent="0.2">
      <c r="A81" t="s">
        <v>182</v>
      </c>
    </row>
    <row r="82" spans="1:1" x14ac:dyDescent="0.2">
      <c r="A82" t="s">
        <v>183</v>
      </c>
    </row>
    <row r="83" spans="1:1" x14ac:dyDescent="0.2">
      <c r="A83" t="s">
        <v>184</v>
      </c>
    </row>
    <row r="84" spans="1:1" x14ac:dyDescent="0.2">
      <c r="A84" t="s">
        <v>185</v>
      </c>
    </row>
    <row r="85" spans="1:1" x14ac:dyDescent="0.2">
      <c r="A85" t="s">
        <v>186</v>
      </c>
    </row>
    <row r="86" spans="1:1" x14ac:dyDescent="0.2">
      <c r="A86" t="s">
        <v>187</v>
      </c>
    </row>
    <row r="87" spans="1:1" x14ac:dyDescent="0.2">
      <c r="A87" t="s">
        <v>188</v>
      </c>
    </row>
    <row r="88" spans="1:1" x14ac:dyDescent="0.2">
      <c r="A88" t="s">
        <v>189</v>
      </c>
    </row>
    <row r="89" spans="1:1" x14ac:dyDescent="0.2">
      <c r="A89" t="s">
        <v>190</v>
      </c>
    </row>
    <row r="90" spans="1:1" x14ac:dyDescent="0.2">
      <c r="A90" t="s">
        <v>191</v>
      </c>
    </row>
    <row r="91" spans="1:1" x14ac:dyDescent="0.2">
      <c r="A91" t="s">
        <v>192</v>
      </c>
    </row>
    <row r="92" spans="1:1" x14ac:dyDescent="0.2">
      <c r="A92" t="s">
        <v>193</v>
      </c>
    </row>
    <row r="93" spans="1:1" x14ac:dyDescent="0.2">
      <c r="A93" t="s">
        <v>194</v>
      </c>
    </row>
    <row r="94" spans="1:1" x14ac:dyDescent="0.2">
      <c r="A94" t="s">
        <v>195</v>
      </c>
    </row>
    <row r="95" spans="1:1" x14ac:dyDescent="0.2">
      <c r="A95" t="s">
        <v>196</v>
      </c>
    </row>
    <row r="96" spans="1:1" x14ac:dyDescent="0.2">
      <c r="A96" t="s">
        <v>197</v>
      </c>
    </row>
    <row r="97" spans="1:1" x14ac:dyDescent="0.2">
      <c r="A97" t="s">
        <v>198</v>
      </c>
    </row>
    <row r="98" spans="1:1" x14ac:dyDescent="0.2">
      <c r="A98" t="s">
        <v>199</v>
      </c>
    </row>
    <row r="99" spans="1:1" x14ac:dyDescent="0.2">
      <c r="A99" t="s">
        <v>200</v>
      </c>
    </row>
    <row r="100" spans="1:1" x14ac:dyDescent="0.2">
      <c r="A100" t="s">
        <v>201</v>
      </c>
    </row>
    <row r="101" spans="1:1" x14ac:dyDescent="0.2">
      <c r="A101" t="s">
        <v>202</v>
      </c>
    </row>
    <row r="102" spans="1:1" x14ac:dyDescent="0.2">
      <c r="A102" t="s">
        <v>203</v>
      </c>
    </row>
    <row r="103" spans="1:1" x14ac:dyDescent="0.2">
      <c r="A103" t="s">
        <v>204</v>
      </c>
    </row>
    <row r="104" spans="1:1" x14ac:dyDescent="0.2">
      <c r="A104" t="s">
        <v>205</v>
      </c>
    </row>
    <row r="105" spans="1:1" x14ac:dyDescent="0.2">
      <c r="A105" t="s">
        <v>206</v>
      </c>
    </row>
    <row r="106" spans="1:1" x14ac:dyDescent="0.2">
      <c r="A106" t="s">
        <v>207</v>
      </c>
    </row>
    <row r="107" spans="1:1" x14ac:dyDescent="0.2">
      <c r="A107" t="s">
        <v>208</v>
      </c>
    </row>
    <row r="108" spans="1:1" x14ac:dyDescent="0.2">
      <c r="A108" t="s">
        <v>209</v>
      </c>
    </row>
    <row r="109" spans="1:1" x14ac:dyDescent="0.2">
      <c r="A109" t="s">
        <v>210</v>
      </c>
    </row>
    <row r="110" spans="1:1" x14ac:dyDescent="0.2">
      <c r="A110" t="s">
        <v>211</v>
      </c>
    </row>
    <row r="111" spans="1:1" x14ac:dyDescent="0.2">
      <c r="A111" t="s">
        <v>212</v>
      </c>
    </row>
    <row r="112" spans="1:1" x14ac:dyDescent="0.2">
      <c r="A112" t="s">
        <v>213</v>
      </c>
    </row>
    <row r="113" spans="1:1" x14ac:dyDescent="0.2">
      <c r="A113" t="s">
        <v>214</v>
      </c>
    </row>
    <row r="114" spans="1:1" x14ac:dyDescent="0.2">
      <c r="A114" t="s">
        <v>215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D0752-125F-7842-861F-02AB2310454F}">
  <dimension ref="A1:G254"/>
  <sheetViews>
    <sheetView showGridLines="0" zoomScale="150" zoomScaleNormal="150" workbookViewId="0">
      <selection activeCell="G4" sqref="G4"/>
    </sheetView>
  </sheetViews>
  <sheetFormatPr baseColWidth="10" defaultRowHeight="15" x14ac:dyDescent="0.2"/>
  <sheetData>
    <row r="1" spans="1:7" x14ac:dyDescent="0.2">
      <c r="A1" s="23" t="s">
        <v>4</v>
      </c>
      <c r="B1" s="24" t="s">
        <v>12</v>
      </c>
      <c r="C1" s="24" t="s">
        <v>13</v>
      </c>
      <c r="D1" s="24" t="s">
        <v>14</v>
      </c>
      <c r="E1" s="24" t="s">
        <v>15</v>
      </c>
    </row>
    <row r="2" spans="1:7" x14ac:dyDescent="0.2">
      <c r="A2" s="25">
        <v>45154</v>
      </c>
      <c r="B2" s="26">
        <v>175.67108200000001</v>
      </c>
      <c r="C2" s="26">
        <v>58.602820999999999</v>
      </c>
      <c r="D2" s="26">
        <v>146.505066</v>
      </c>
      <c r="E2" s="26">
        <v>13.196151</v>
      </c>
    </row>
    <row r="3" spans="1:7" x14ac:dyDescent="0.2">
      <c r="A3" s="25">
        <v>45155</v>
      </c>
      <c r="B3" s="26">
        <v>173.11415099999999</v>
      </c>
      <c r="C3" s="26">
        <v>58.728789999999996</v>
      </c>
      <c r="D3" s="26">
        <v>144.98335299999999</v>
      </c>
      <c r="E3" s="26">
        <v>13.111919</v>
      </c>
      <c r="G3" s="1" t="s">
        <v>47</v>
      </c>
    </row>
    <row r="4" spans="1:7" x14ac:dyDescent="0.2">
      <c r="A4" s="25">
        <v>45156</v>
      </c>
      <c r="B4" s="26">
        <v>173.601654</v>
      </c>
      <c r="C4" s="26">
        <v>59.058239</v>
      </c>
      <c r="D4" s="26">
        <v>145.31500199999999</v>
      </c>
      <c r="E4" s="26">
        <v>13.149357</v>
      </c>
    </row>
    <row r="5" spans="1:7" x14ac:dyDescent="0.2">
      <c r="A5" s="25">
        <v>45159</v>
      </c>
      <c r="B5" s="26">
        <v>174.94477800000001</v>
      </c>
      <c r="C5" s="26">
        <v>58.554378999999997</v>
      </c>
      <c r="D5" s="26">
        <v>145.8125</v>
      </c>
      <c r="E5" s="26">
        <v>13.196151</v>
      </c>
    </row>
    <row r="6" spans="1:7" x14ac:dyDescent="0.2">
      <c r="A6" s="25">
        <v>45160</v>
      </c>
      <c r="B6" s="26">
        <v>176.327698</v>
      </c>
      <c r="C6" s="26">
        <v>58.195861999999998</v>
      </c>
      <c r="D6" s="26">
        <v>142.78855899999999</v>
      </c>
      <c r="E6" s="26">
        <v>13.345895000000001</v>
      </c>
    </row>
    <row r="7" spans="1:7" x14ac:dyDescent="0.2">
      <c r="A7" s="25">
        <v>45161</v>
      </c>
      <c r="B7" s="26">
        <v>180.19790599999999</v>
      </c>
      <c r="C7" s="26">
        <v>58.399344999999997</v>
      </c>
      <c r="D7" s="26">
        <v>143.754257</v>
      </c>
      <c r="E7" s="26">
        <v>13.252305</v>
      </c>
    </row>
    <row r="8" spans="1:7" x14ac:dyDescent="0.2">
      <c r="A8" s="25">
        <v>45162</v>
      </c>
      <c r="B8" s="26">
        <v>175.48202499999999</v>
      </c>
      <c r="C8" s="26">
        <v>58.244312000000001</v>
      </c>
      <c r="D8" s="26">
        <v>143.61769100000001</v>
      </c>
      <c r="E8" s="26">
        <v>13.242945000000001</v>
      </c>
    </row>
    <row r="9" spans="1:7" x14ac:dyDescent="0.2">
      <c r="A9" s="25">
        <v>45163</v>
      </c>
      <c r="B9" s="26">
        <v>177.70069899999999</v>
      </c>
      <c r="C9" s="26">
        <v>58.515616999999999</v>
      </c>
      <c r="D9" s="26">
        <v>143.44210799999999</v>
      </c>
      <c r="E9" s="26">
        <v>13.205508999999999</v>
      </c>
    </row>
    <row r="10" spans="1:7" x14ac:dyDescent="0.2">
      <c r="A10" s="25">
        <v>45166</v>
      </c>
      <c r="B10" s="26">
        <v>179.272659</v>
      </c>
      <c r="C10" s="26">
        <v>58.680340000000001</v>
      </c>
      <c r="D10" s="26">
        <v>143.939606</v>
      </c>
      <c r="E10" s="26">
        <v>13.299099</v>
      </c>
    </row>
    <row r="11" spans="1:7" x14ac:dyDescent="0.2">
      <c r="A11" s="25">
        <v>45167</v>
      </c>
      <c r="B11" s="26">
        <v>183.18263200000001</v>
      </c>
      <c r="C11" s="26">
        <v>58.622204000000004</v>
      </c>
      <c r="D11" s="26">
        <v>145.110153</v>
      </c>
      <c r="E11" s="26">
        <v>13.823200999999999</v>
      </c>
    </row>
    <row r="12" spans="1:7" x14ac:dyDescent="0.2">
      <c r="A12" s="25">
        <v>45168</v>
      </c>
      <c r="B12" s="26">
        <v>186.69465600000001</v>
      </c>
      <c r="C12" s="26">
        <v>58.593136000000001</v>
      </c>
      <c r="D12" s="26">
        <v>144.52487199999999</v>
      </c>
      <c r="E12" s="26">
        <v>13.785766000000001</v>
      </c>
    </row>
    <row r="13" spans="1:7" x14ac:dyDescent="0.2">
      <c r="A13" s="25">
        <v>45169</v>
      </c>
      <c r="B13" s="26">
        <v>186.913544</v>
      </c>
      <c r="C13" s="26">
        <v>57.973002999999999</v>
      </c>
      <c r="D13" s="26">
        <v>142.739777</v>
      </c>
      <c r="E13" s="26">
        <v>13.841919000000001</v>
      </c>
    </row>
    <row r="14" spans="1:7" x14ac:dyDescent="0.2">
      <c r="A14" s="25">
        <v>45170</v>
      </c>
      <c r="B14" s="26">
        <v>188.49546799999999</v>
      </c>
      <c r="C14" s="26">
        <v>57.469138999999998</v>
      </c>
      <c r="D14" s="26">
        <v>143.217758</v>
      </c>
      <c r="E14" s="26">
        <v>13.710893</v>
      </c>
    </row>
    <row r="15" spans="1:7" x14ac:dyDescent="0.2">
      <c r="A15" s="25">
        <v>45174</v>
      </c>
      <c r="B15" s="26">
        <v>188.734238</v>
      </c>
      <c r="C15" s="26">
        <v>56.994346999999998</v>
      </c>
      <c r="D15" s="26">
        <v>141.63748200000001</v>
      </c>
      <c r="E15" s="26">
        <v>13.551791</v>
      </c>
    </row>
    <row r="16" spans="1:7" x14ac:dyDescent="0.2">
      <c r="A16" s="25">
        <v>45175</v>
      </c>
      <c r="B16" s="26">
        <v>181.97880599999999</v>
      </c>
      <c r="C16" s="26">
        <v>56.955589000000003</v>
      </c>
      <c r="D16" s="26">
        <v>141.403412</v>
      </c>
      <c r="E16" s="26">
        <v>13.673458</v>
      </c>
    </row>
    <row r="17" spans="1:5" x14ac:dyDescent="0.2">
      <c r="A17" s="25">
        <v>45176</v>
      </c>
      <c r="B17" s="26">
        <v>176.656036</v>
      </c>
      <c r="C17" s="26">
        <v>56.519558000000004</v>
      </c>
      <c r="D17" s="26">
        <v>140.19380200000001</v>
      </c>
      <c r="E17" s="26">
        <v>13.673458</v>
      </c>
    </row>
    <row r="18" spans="1:5" x14ac:dyDescent="0.2">
      <c r="A18" s="25">
        <v>45177</v>
      </c>
      <c r="B18" s="26">
        <v>177.27285800000001</v>
      </c>
      <c r="C18" s="26">
        <v>56.519558000000004</v>
      </c>
      <c r="D18" s="26">
        <v>140.301117</v>
      </c>
      <c r="E18" s="26">
        <v>13.47692</v>
      </c>
    </row>
    <row r="19" spans="1:5" x14ac:dyDescent="0.2">
      <c r="A19" s="25">
        <v>45180</v>
      </c>
      <c r="B19" s="26">
        <v>178.446854</v>
      </c>
      <c r="C19" s="26">
        <v>57.052486000000002</v>
      </c>
      <c r="D19" s="26">
        <v>140.91566499999999</v>
      </c>
      <c r="E19" s="26">
        <v>13.589228</v>
      </c>
    </row>
    <row r="20" spans="1:5" x14ac:dyDescent="0.2">
      <c r="A20" s="25">
        <v>45181</v>
      </c>
      <c r="B20" s="26">
        <v>175.40245100000001</v>
      </c>
      <c r="C20" s="26">
        <v>56.490485999999997</v>
      </c>
      <c r="D20" s="26">
        <v>142.74954199999999</v>
      </c>
      <c r="E20" s="26">
        <v>13.533073</v>
      </c>
    </row>
    <row r="21" spans="1:5" x14ac:dyDescent="0.2">
      <c r="A21" s="25">
        <v>45182</v>
      </c>
      <c r="B21" s="26">
        <v>173.32309000000001</v>
      </c>
      <c r="C21" s="26">
        <v>56.626140999999997</v>
      </c>
      <c r="D21" s="26">
        <v>142.817825</v>
      </c>
      <c r="E21" s="26">
        <v>13.682817</v>
      </c>
    </row>
    <row r="22" spans="1:5" x14ac:dyDescent="0.2">
      <c r="A22" s="25">
        <v>45183</v>
      </c>
      <c r="B22" s="26">
        <v>174.84530599999999</v>
      </c>
      <c r="C22" s="26">
        <v>57.094935999999997</v>
      </c>
      <c r="D22" s="26">
        <v>145.58813499999999</v>
      </c>
      <c r="E22" s="26">
        <v>14.094611</v>
      </c>
    </row>
    <row r="23" spans="1:5" x14ac:dyDescent="0.2">
      <c r="A23" s="25">
        <v>45184</v>
      </c>
      <c r="B23" s="26">
        <v>174.11900299999999</v>
      </c>
      <c r="C23" s="26">
        <v>56.587074000000001</v>
      </c>
      <c r="D23" s="26">
        <v>145.15891999999999</v>
      </c>
      <c r="E23" s="26">
        <v>14.253714</v>
      </c>
    </row>
    <row r="24" spans="1:5" x14ac:dyDescent="0.2">
      <c r="A24" s="25">
        <v>45187</v>
      </c>
      <c r="B24" s="26">
        <v>177.06393399999999</v>
      </c>
      <c r="C24" s="26">
        <v>56.938667000000002</v>
      </c>
      <c r="D24" s="26">
        <v>145.461319</v>
      </c>
      <c r="E24" s="26">
        <v>14.122688</v>
      </c>
    </row>
    <row r="25" spans="1:5" x14ac:dyDescent="0.2">
      <c r="A25" s="25">
        <v>45188</v>
      </c>
      <c r="B25" s="26">
        <v>178.15834000000001</v>
      </c>
      <c r="C25" s="26">
        <v>56.821472</v>
      </c>
      <c r="D25" s="26">
        <v>145.27597</v>
      </c>
      <c r="E25" s="26">
        <v>14.234997</v>
      </c>
    </row>
    <row r="26" spans="1:5" x14ac:dyDescent="0.2">
      <c r="A26" s="25">
        <v>45189</v>
      </c>
      <c r="B26" s="26">
        <v>174.59657300000001</v>
      </c>
      <c r="C26" s="26">
        <v>57.075400999999999</v>
      </c>
      <c r="D26" s="26">
        <v>144.66145299999999</v>
      </c>
      <c r="E26" s="26">
        <v>14.553202000000001</v>
      </c>
    </row>
    <row r="27" spans="1:5" x14ac:dyDescent="0.2">
      <c r="A27" s="25">
        <v>45190</v>
      </c>
      <c r="B27" s="26">
        <v>173.04452499999999</v>
      </c>
      <c r="C27" s="26">
        <v>56.196418999999999</v>
      </c>
      <c r="D27" s="26">
        <v>143.52990700000001</v>
      </c>
      <c r="E27" s="26">
        <v>14.328587000000001</v>
      </c>
    </row>
    <row r="28" spans="1:5" x14ac:dyDescent="0.2">
      <c r="A28" s="25">
        <v>45191</v>
      </c>
      <c r="B28" s="26">
        <v>173.900116</v>
      </c>
      <c r="C28" s="26">
        <v>56.255015999999998</v>
      </c>
      <c r="D28" s="26">
        <v>142.15448000000001</v>
      </c>
      <c r="E28" s="26">
        <v>14.150764000000001</v>
      </c>
    </row>
    <row r="29" spans="1:5" x14ac:dyDescent="0.2">
      <c r="A29" s="25">
        <v>45194</v>
      </c>
      <c r="B29" s="26">
        <v>175.18356299999999</v>
      </c>
      <c r="C29" s="26">
        <v>55.669029000000002</v>
      </c>
      <c r="D29" s="26">
        <v>142.856842</v>
      </c>
      <c r="E29" s="26">
        <v>14.094611</v>
      </c>
    </row>
    <row r="30" spans="1:5" x14ac:dyDescent="0.2">
      <c r="A30" s="25">
        <v>45195</v>
      </c>
      <c r="B30" s="26">
        <v>171.08453399999999</v>
      </c>
      <c r="C30" s="26">
        <v>55.209999000000003</v>
      </c>
      <c r="D30" s="26">
        <v>141.37413000000001</v>
      </c>
      <c r="E30" s="26">
        <v>14.057176</v>
      </c>
    </row>
    <row r="31" spans="1:5" x14ac:dyDescent="0.2">
      <c r="A31" s="25">
        <v>45196</v>
      </c>
      <c r="B31" s="26">
        <v>169.56231700000001</v>
      </c>
      <c r="C31" s="26">
        <v>54.643543000000001</v>
      </c>
      <c r="D31" s="26">
        <v>142.203262</v>
      </c>
      <c r="E31" s="26">
        <v>13.916791</v>
      </c>
    </row>
    <row r="32" spans="1:5" x14ac:dyDescent="0.2">
      <c r="A32" s="25">
        <v>45197</v>
      </c>
      <c r="B32" s="26">
        <v>169.82101399999999</v>
      </c>
      <c r="C32" s="26">
        <v>54.506816999999998</v>
      </c>
      <c r="D32" s="26">
        <v>143.968872</v>
      </c>
      <c r="E32" s="26">
        <v>14.047817</v>
      </c>
    </row>
    <row r="33" spans="1:5" x14ac:dyDescent="0.2">
      <c r="A33" s="25">
        <v>45198</v>
      </c>
      <c r="B33" s="26">
        <v>170.33836400000001</v>
      </c>
      <c r="C33" s="26">
        <v>54.672840000000001</v>
      </c>
      <c r="D33" s="26">
        <v>141.46191400000001</v>
      </c>
      <c r="E33" s="26">
        <v>14.057176</v>
      </c>
    </row>
    <row r="34" spans="1:5" x14ac:dyDescent="0.2">
      <c r="A34" s="25">
        <v>45201</v>
      </c>
      <c r="B34" s="26">
        <v>172.865433</v>
      </c>
      <c r="C34" s="26">
        <v>54.184517</v>
      </c>
      <c r="D34" s="26">
        <v>140.24259900000001</v>
      </c>
      <c r="E34" s="26">
        <v>13.729611</v>
      </c>
    </row>
    <row r="35" spans="1:5" x14ac:dyDescent="0.2">
      <c r="A35" s="25">
        <v>45202</v>
      </c>
      <c r="B35" s="26">
        <v>171.52229299999999</v>
      </c>
      <c r="C35" s="26">
        <v>53.598529999999997</v>
      </c>
      <c r="D35" s="26">
        <v>139.208618</v>
      </c>
      <c r="E35" s="26">
        <v>13.832561</v>
      </c>
    </row>
    <row r="36" spans="1:5" x14ac:dyDescent="0.2">
      <c r="A36" s="25">
        <v>45203</v>
      </c>
      <c r="B36" s="26">
        <v>172.77589399999999</v>
      </c>
      <c r="C36" s="26">
        <v>53.754795000000001</v>
      </c>
      <c r="D36" s="26">
        <v>139.832886</v>
      </c>
      <c r="E36" s="26">
        <v>13.710893</v>
      </c>
    </row>
    <row r="37" spans="1:5" x14ac:dyDescent="0.2">
      <c r="A37" s="25">
        <v>45204</v>
      </c>
      <c r="B37" s="26">
        <v>174.019531</v>
      </c>
      <c r="C37" s="26">
        <v>51.156905999999999</v>
      </c>
      <c r="D37" s="26">
        <v>140.42248499999999</v>
      </c>
      <c r="E37" s="26">
        <v>13.879355</v>
      </c>
    </row>
    <row r="38" spans="1:5" x14ac:dyDescent="0.2">
      <c r="A38" s="25">
        <v>45205</v>
      </c>
      <c r="B38" s="26">
        <v>176.586411</v>
      </c>
      <c r="C38" s="26">
        <v>51.899158</v>
      </c>
      <c r="D38" s="26">
        <v>142.584351</v>
      </c>
      <c r="E38" s="26">
        <v>13.782069999999999</v>
      </c>
    </row>
    <row r="39" spans="1:5" x14ac:dyDescent="0.2">
      <c r="A39" s="25">
        <v>45208</v>
      </c>
      <c r="B39" s="26">
        <v>178.07875100000001</v>
      </c>
      <c r="C39" s="26">
        <v>51.645232999999998</v>
      </c>
      <c r="D39" s="26">
        <v>142.260086</v>
      </c>
      <c r="E39" s="26">
        <v>14.049127</v>
      </c>
    </row>
    <row r="40" spans="1:5" x14ac:dyDescent="0.2">
      <c r="A40" s="25">
        <v>45209</v>
      </c>
      <c r="B40" s="26">
        <v>177.48181199999999</v>
      </c>
      <c r="C40" s="26">
        <v>52.768374999999999</v>
      </c>
      <c r="D40" s="26">
        <v>143.12480199999999</v>
      </c>
      <c r="E40" s="26">
        <v>14.268497</v>
      </c>
    </row>
    <row r="41" spans="1:5" x14ac:dyDescent="0.2">
      <c r="A41" s="25">
        <v>45210</v>
      </c>
      <c r="B41" s="26">
        <v>178.88462799999999</v>
      </c>
      <c r="C41" s="26">
        <v>52.455849000000001</v>
      </c>
      <c r="D41" s="26">
        <v>143.61615</v>
      </c>
      <c r="E41" s="26">
        <v>14.087278</v>
      </c>
    </row>
    <row r="42" spans="1:5" x14ac:dyDescent="0.2">
      <c r="A42" s="25">
        <v>45211</v>
      </c>
      <c r="B42" s="26">
        <v>179.790009</v>
      </c>
      <c r="C42" s="26">
        <v>51.576866000000003</v>
      </c>
      <c r="D42" s="26">
        <v>143.282028</v>
      </c>
      <c r="E42" s="26">
        <v>13.782069999999999</v>
      </c>
    </row>
    <row r="43" spans="1:5" x14ac:dyDescent="0.2">
      <c r="A43" s="25">
        <v>45212</v>
      </c>
      <c r="B43" s="26">
        <v>177.93946800000001</v>
      </c>
      <c r="C43" s="26">
        <v>51.654995</v>
      </c>
      <c r="D43" s="26">
        <v>145.43408199999999</v>
      </c>
      <c r="E43" s="26">
        <v>13.696229000000001</v>
      </c>
    </row>
    <row r="44" spans="1:5" x14ac:dyDescent="0.2">
      <c r="A44" s="25">
        <v>45215</v>
      </c>
      <c r="B44" s="26">
        <v>177.810135</v>
      </c>
      <c r="C44" s="26">
        <v>52.182383999999999</v>
      </c>
      <c r="D44" s="26">
        <v>145.28668200000001</v>
      </c>
      <c r="E44" s="26">
        <v>13.743919</v>
      </c>
    </row>
    <row r="45" spans="1:5" x14ac:dyDescent="0.2">
      <c r="A45" s="25">
        <v>45216</v>
      </c>
      <c r="B45" s="26">
        <v>176.248108</v>
      </c>
      <c r="C45" s="26">
        <v>52.807445999999999</v>
      </c>
      <c r="D45" s="26">
        <v>144.97221400000001</v>
      </c>
      <c r="E45" s="26">
        <v>13.906060999999999</v>
      </c>
    </row>
    <row r="46" spans="1:5" x14ac:dyDescent="0.2">
      <c r="A46" s="25">
        <v>45217</v>
      </c>
      <c r="B46" s="26">
        <v>174.94477800000001</v>
      </c>
      <c r="C46" s="26">
        <v>52.787909999999997</v>
      </c>
      <c r="D46" s="26">
        <v>143.380325</v>
      </c>
      <c r="E46" s="26">
        <v>13.658078</v>
      </c>
    </row>
    <row r="47" spans="1:5" x14ac:dyDescent="0.2">
      <c r="A47" s="25">
        <v>45218</v>
      </c>
      <c r="B47" s="26">
        <v>174.566742</v>
      </c>
      <c r="C47" s="26">
        <v>53.080902000000002</v>
      </c>
      <c r="D47" s="26">
        <v>142.77105700000001</v>
      </c>
      <c r="E47" s="26">
        <v>14.554627999999999</v>
      </c>
    </row>
    <row r="48" spans="1:5" x14ac:dyDescent="0.2">
      <c r="A48" s="25">
        <v>45219</v>
      </c>
      <c r="B48" s="26">
        <v>171.999863</v>
      </c>
      <c r="C48" s="26">
        <v>53.295769</v>
      </c>
      <c r="D48" s="26">
        <v>140.47163399999999</v>
      </c>
      <c r="E48" s="26">
        <v>14.669083000000001</v>
      </c>
    </row>
    <row r="49" spans="1:5" x14ac:dyDescent="0.2">
      <c r="A49" s="25">
        <v>45222</v>
      </c>
      <c r="B49" s="26">
        <v>172.119247</v>
      </c>
      <c r="C49" s="26">
        <v>52.817211</v>
      </c>
      <c r="D49" s="26">
        <v>138.55543499999999</v>
      </c>
      <c r="E49" s="26">
        <v>14.258959000000001</v>
      </c>
    </row>
    <row r="50" spans="1:5" x14ac:dyDescent="0.2">
      <c r="A50" s="25">
        <v>45223</v>
      </c>
      <c r="B50" s="26">
        <v>172.55702199999999</v>
      </c>
      <c r="C50" s="26">
        <v>54.340781999999997</v>
      </c>
      <c r="D50" s="26">
        <v>138.722488</v>
      </c>
      <c r="E50" s="26">
        <v>14.812148000000001</v>
      </c>
    </row>
    <row r="51" spans="1:5" x14ac:dyDescent="0.2">
      <c r="A51" s="25">
        <v>45224</v>
      </c>
      <c r="B51" s="26">
        <v>170.228928</v>
      </c>
      <c r="C51" s="26">
        <v>54.809573999999998</v>
      </c>
      <c r="D51" s="26">
        <v>137.96582000000001</v>
      </c>
      <c r="E51" s="26">
        <v>14.487864</v>
      </c>
    </row>
    <row r="52" spans="1:5" x14ac:dyDescent="0.2">
      <c r="A52" s="25">
        <v>45225</v>
      </c>
      <c r="B52" s="26">
        <v>166.04037500000001</v>
      </c>
      <c r="C52" s="26">
        <v>54.477511999999997</v>
      </c>
      <c r="D52" s="26">
        <v>138.31959499999999</v>
      </c>
      <c r="E52" s="26">
        <v>14.421099999999999</v>
      </c>
    </row>
    <row r="53" spans="1:5" x14ac:dyDescent="0.2">
      <c r="A53" s="25">
        <v>45226</v>
      </c>
      <c r="B53" s="26">
        <v>167.363586</v>
      </c>
      <c r="C53" s="26">
        <v>53.950127000000002</v>
      </c>
      <c r="D53" s="26">
        <v>133.33750900000001</v>
      </c>
      <c r="E53" s="26">
        <v>14.134968000000001</v>
      </c>
    </row>
    <row r="54" spans="1:5" x14ac:dyDescent="0.2">
      <c r="A54" s="25">
        <v>45229</v>
      </c>
      <c r="B54" s="26">
        <v>169.423035</v>
      </c>
      <c r="C54" s="26">
        <v>54.838875000000002</v>
      </c>
      <c r="D54" s="26">
        <v>135.03750600000001</v>
      </c>
      <c r="E54" s="26">
        <v>14.554627999999999</v>
      </c>
    </row>
    <row r="55" spans="1:5" x14ac:dyDescent="0.2">
      <c r="A55" s="25">
        <v>45230</v>
      </c>
      <c r="B55" s="26">
        <v>169.90060399999999</v>
      </c>
      <c r="C55" s="26">
        <v>55.170937000000002</v>
      </c>
      <c r="D55" s="26">
        <v>136.649078</v>
      </c>
      <c r="E55" s="26">
        <v>14.688157</v>
      </c>
    </row>
    <row r="56" spans="1:5" x14ac:dyDescent="0.2">
      <c r="A56" s="25">
        <v>45231</v>
      </c>
      <c r="B56" s="26">
        <v>173.08431999999999</v>
      </c>
      <c r="C56" s="26">
        <v>55.122101000000001</v>
      </c>
      <c r="D56" s="26">
        <v>136.531158</v>
      </c>
      <c r="E56" s="26">
        <v>14.859838</v>
      </c>
    </row>
    <row r="57" spans="1:5" x14ac:dyDescent="0.2">
      <c r="A57" s="25">
        <v>45232</v>
      </c>
      <c r="B57" s="26">
        <v>176.666</v>
      </c>
      <c r="C57" s="26">
        <v>55.756923999999998</v>
      </c>
      <c r="D57" s="26">
        <v>138.96814000000001</v>
      </c>
      <c r="E57" s="26">
        <v>15.002903999999999</v>
      </c>
    </row>
    <row r="58" spans="1:5" x14ac:dyDescent="0.2">
      <c r="A58" s="25">
        <v>45233</v>
      </c>
      <c r="B58" s="26">
        <v>175.75065599999999</v>
      </c>
      <c r="C58" s="26">
        <v>55.415095999999998</v>
      </c>
      <c r="D58" s="26">
        <v>140.52076700000001</v>
      </c>
      <c r="E58" s="26">
        <v>15.14597</v>
      </c>
    </row>
    <row r="59" spans="1:5" x14ac:dyDescent="0.2">
      <c r="A59" s="25">
        <v>45236</v>
      </c>
      <c r="B59" s="26">
        <v>178.31753499999999</v>
      </c>
      <c r="C59" s="26">
        <v>55.639729000000003</v>
      </c>
      <c r="D59" s="26">
        <v>141.58204699999999</v>
      </c>
      <c r="E59" s="26">
        <v>15.021978000000001</v>
      </c>
    </row>
    <row r="60" spans="1:5" x14ac:dyDescent="0.2">
      <c r="A60" s="25">
        <v>45237</v>
      </c>
      <c r="B60" s="26">
        <v>180.89434800000001</v>
      </c>
      <c r="C60" s="26">
        <v>55.844822000000001</v>
      </c>
      <c r="D60" s="26">
        <v>141.513229</v>
      </c>
      <c r="E60" s="26">
        <v>15.10782</v>
      </c>
    </row>
    <row r="61" spans="1:5" x14ac:dyDescent="0.2">
      <c r="A61" s="25">
        <v>45238</v>
      </c>
      <c r="B61" s="26">
        <v>181.958878</v>
      </c>
      <c r="C61" s="26">
        <v>55.756923999999998</v>
      </c>
      <c r="D61" s="26">
        <v>142.21095299999999</v>
      </c>
      <c r="E61" s="26">
        <v>14.926601</v>
      </c>
    </row>
    <row r="62" spans="1:5" x14ac:dyDescent="0.2">
      <c r="A62" s="25">
        <v>45239</v>
      </c>
      <c r="B62" s="26">
        <v>181.48133899999999</v>
      </c>
      <c r="C62" s="26">
        <v>55.336967000000001</v>
      </c>
      <c r="D62" s="26">
        <v>141.78839099999999</v>
      </c>
      <c r="E62" s="26">
        <v>14.907526000000001</v>
      </c>
    </row>
    <row r="63" spans="1:5" x14ac:dyDescent="0.2">
      <c r="A63" s="25">
        <v>45240</v>
      </c>
      <c r="B63" s="26">
        <v>185.69534300000001</v>
      </c>
      <c r="C63" s="26">
        <v>55.395564999999998</v>
      </c>
      <c r="D63" s="26">
        <v>143.89128099999999</v>
      </c>
      <c r="E63" s="26">
        <v>14.917064999999999</v>
      </c>
    </row>
    <row r="64" spans="1:5" x14ac:dyDescent="0.2">
      <c r="A64" s="25">
        <v>45243</v>
      </c>
      <c r="B64" s="26">
        <v>184.101395</v>
      </c>
      <c r="C64" s="26">
        <v>55.600662</v>
      </c>
      <c r="D64" s="26">
        <v>143.25254799999999</v>
      </c>
      <c r="E64" s="26">
        <v>14.859838</v>
      </c>
    </row>
    <row r="65" spans="1:5" x14ac:dyDescent="0.2">
      <c r="A65" s="25">
        <v>45244</v>
      </c>
      <c r="B65" s="26">
        <v>186.731415</v>
      </c>
      <c r="C65" s="26">
        <v>55.766689</v>
      </c>
      <c r="D65" s="26">
        <v>145.86644000000001</v>
      </c>
      <c r="E65" s="26">
        <v>14.907526000000001</v>
      </c>
    </row>
    <row r="66" spans="1:5" x14ac:dyDescent="0.2">
      <c r="A66" s="25">
        <v>45245</v>
      </c>
      <c r="B66" s="26">
        <v>187.29925499999999</v>
      </c>
      <c r="C66" s="26">
        <v>55.874122999999997</v>
      </c>
      <c r="D66" s="26">
        <v>147.14392100000001</v>
      </c>
      <c r="E66" s="26">
        <v>15.031516999999999</v>
      </c>
    </row>
    <row r="67" spans="1:5" x14ac:dyDescent="0.2">
      <c r="A67" s="25">
        <v>45246</v>
      </c>
      <c r="B67" s="26">
        <v>188.99284399999999</v>
      </c>
      <c r="C67" s="26">
        <v>55.815520999999997</v>
      </c>
      <c r="D67" s="26">
        <v>148.824265</v>
      </c>
      <c r="E67" s="26">
        <v>15.14597</v>
      </c>
    </row>
    <row r="68" spans="1:5" x14ac:dyDescent="0.2">
      <c r="A68" s="25">
        <v>45247</v>
      </c>
      <c r="B68" s="26">
        <v>188.972916</v>
      </c>
      <c r="C68" s="26">
        <v>55.922955000000002</v>
      </c>
      <c r="D68" s="26">
        <v>150.17051699999999</v>
      </c>
      <c r="E68" s="26">
        <v>15.165046</v>
      </c>
    </row>
    <row r="69" spans="1:5" x14ac:dyDescent="0.2">
      <c r="A69" s="25">
        <v>45250</v>
      </c>
      <c r="B69" s="26">
        <v>190.726257</v>
      </c>
      <c r="C69" s="26">
        <v>56.059688999999999</v>
      </c>
      <c r="D69" s="26">
        <v>150.63235499999999</v>
      </c>
      <c r="E69" s="26">
        <v>15.355801</v>
      </c>
    </row>
    <row r="70" spans="1:5" x14ac:dyDescent="0.2">
      <c r="A70" s="25">
        <v>45251</v>
      </c>
      <c r="B70" s="26">
        <v>189.91932700000001</v>
      </c>
      <c r="C70" s="26">
        <v>56.674973000000001</v>
      </c>
      <c r="D70" s="26">
        <v>150.31791699999999</v>
      </c>
      <c r="E70" s="26">
        <v>15.441642</v>
      </c>
    </row>
    <row r="71" spans="1:5" x14ac:dyDescent="0.2">
      <c r="A71" s="25">
        <v>45252</v>
      </c>
      <c r="B71" s="26">
        <v>190.586792</v>
      </c>
      <c r="C71" s="26">
        <v>57.055866000000002</v>
      </c>
      <c r="D71" s="26">
        <v>150.671661</v>
      </c>
      <c r="E71" s="26">
        <v>15.422565000000001</v>
      </c>
    </row>
    <row r="72" spans="1:5" x14ac:dyDescent="0.2">
      <c r="A72" s="25">
        <v>45254</v>
      </c>
      <c r="B72" s="26">
        <v>189.25186199999999</v>
      </c>
      <c r="C72" s="26">
        <v>57.202365999999998</v>
      </c>
      <c r="D72" s="26">
        <v>150.878006</v>
      </c>
      <c r="E72" s="26">
        <v>15.460716</v>
      </c>
    </row>
    <row r="73" spans="1:5" x14ac:dyDescent="0.2">
      <c r="A73" s="25">
        <v>45257</v>
      </c>
      <c r="B73" s="26">
        <v>189.07252500000001</v>
      </c>
      <c r="C73" s="26">
        <v>57.094935999999997</v>
      </c>
      <c r="D73" s="26">
        <v>150.53410299999999</v>
      </c>
      <c r="E73" s="26">
        <v>15.460716</v>
      </c>
    </row>
    <row r="74" spans="1:5" x14ac:dyDescent="0.2">
      <c r="A74" s="25">
        <v>45258</v>
      </c>
      <c r="B74" s="26">
        <v>189.68022199999999</v>
      </c>
      <c r="C74" s="26">
        <v>57.212135000000004</v>
      </c>
      <c r="D74" s="26">
        <v>150.878006</v>
      </c>
      <c r="E74" s="26">
        <v>15.432103</v>
      </c>
    </row>
    <row r="75" spans="1:5" x14ac:dyDescent="0.2">
      <c r="A75" s="25">
        <v>45259</v>
      </c>
      <c r="B75" s="26">
        <v>188.65412900000001</v>
      </c>
      <c r="C75" s="26">
        <v>56.870308000000001</v>
      </c>
      <c r="D75" s="26">
        <v>151.64450099999999</v>
      </c>
      <c r="E75" s="26">
        <v>15.546556000000001</v>
      </c>
    </row>
    <row r="76" spans="1:5" x14ac:dyDescent="0.2">
      <c r="A76" s="25">
        <v>45260</v>
      </c>
      <c r="B76" s="26">
        <v>189.23191800000001</v>
      </c>
      <c r="C76" s="26">
        <v>57.529868999999998</v>
      </c>
      <c r="D76" s="26">
        <v>153.37397799999999</v>
      </c>
      <c r="E76" s="26">
        <v>15.804074999999999</v>
      </c>
    </row>
    <row r="77" spans="1:5" x14ac:dyDescent="0.2">
      <c r="A77" s="25">
        <v>45261</v>
      </c>
      <c r="B77" s="26">
        <v>190.51705899999999</v>
      </c>
      <c r="C77" s="26">
        <v>57.726756999999999</v>
      </c>
      <c r="D77" s="26">
        <v>154.12081900000001</v>
      </c>
      <c r="E77" s="26">
        <v>15.985293</v>
      </c>
    </row>
    <row r="78" spans="1:5" x14ac:dyDescent="0.2">
      <c r="A78" s="25">
        <v>45264</v>
      </c>
      <c r="B78" s="26">
        <v>188.71388200000001</v>
      </c>
      <c r="C78" s="26">
        <v>57.657845000000002</v>
      </c>
      <c r="D78" s="26">
        <v>155.25086999999999</v>
      </c>
      <c r="E78" s="26">
        <v>15.889915</v>
      </c>
    </row>
    <row r="79" spans="1:5" x14ac:dyDescent="0.2">
      <c r="A79" s="25">
        <v>45265</v>
      </c>
      <c r="B79" s="26">
        <v>192.68881200000001</v>
      </c>
      <c r="C79" s="26">
        <v>57.746445000000001</v>
      </c>
      <c r="D79" s="26">
        <v>155.23121599999999</v>
      </c>
      <c r="E79" s="26">
        <v>16.424029999999998</v>
      </c>
    </row>
    <row r="80" spans="1:5" x14ac:dyDescent="0.2">
      <c r="A80" s="25">
        <v>45266</v>
      </c>
      <c r="B80" s="26">
        <v>191.59298699999999</v>
      </c>
      <c r="C80" s="26">
        <v>57.687378000000002</v>
      </c>
      <c r="D80" s="26">
        <v>153.60000600000001</v>
      </c>
      <c r="E80" s="26">
        <v>16.156974999999999</v>
      </c>
    </row>
    <row r="81" spans="1:5" x14ac:dyDescent="0.2">
      <c r="A81" s="25">
        <v>45267</v>
      </c>
      <c r="B81" s="26">
        <v>193.53559899999999</v>
      </c>
      <c r="C81" s="26">
        <v>57.825203000000002</v>
      </c>
      <c r="D81" s="26">
        <v>154.071686</v>
      </c>
      <c r="E81" s="26">
        <v>16.300039000000002</v>
      </c>
    </row>
    <row r="82" spans="1:5" x14ac:dyDescent="0.2">
      <c r="A82" s="25">
        <v>45268</v>
      </c>
      <c r="B82" s="26">
        <v>194.97015400000001</v>
      </c>
      <c r="C82" s="26">
        <v>57.697223999999999</v>
      </c>
      <c r="D82" s="26">
        <v>155.77169799999999</v>
      </c>
      <c r="E82" s="26">
        <v>16.137896999999999</v>
      </c>
    </row>
    <row r="83" spans="1:5" x14ac:dyDescent="0.2">
      <c r="A83" s="25">
        <v>45271</v>
      </c>
      <c r="B83" s="26">
        <v>192.44972200000001</v>
      </c>
      <c r="C83" s="26">
        <v>58.120525000000001</v>
      </c>
      <c r="D83" s="26">
        <v>156.341644</v>
      </c>
      <c r="E83" s="26">
        <v>15.851766</v>
      </c>
    </row>
    <row r="84" spans="1:5" x14ac:dyDescent="0.2">
      <c r="A84" s="25">
        <v>45272</v>
      </c>
      <c r="B84" s="26">
        <v>193.97395299999999</v>
      </c>
      <c r="C84" s="26">
        <v>58.494605999999997</v>
      </c>
      <c r="D84" s="26">
        <v>157.73701500000001</v>
      </c>
      <c r="E84" s="26">
        <v>15.651472</v>
      </c>
    </row>
    <row r="85" spans="1:5" x14ac:dyDescent="0.2">
      <c r="A85" s="25">
        <v>45273</v>
      </c>
      <c r="B85" s="26">
        <v>197.21165500000001</v>
      </c>
      <c r="C85" s="26">
        <v>58.996665999999998</v>
      </c>
      <c r="D85" s="26">
        <v>158.26765399999999</v>
      </c>
      <c r="E85" s="26">
        <v>15.689624</v>
      </c>
    </row>
    <row r="86" spans="1:5" x14ac:dyDescent="0.2">
      <c r="A86" s="25">
        <v>45274</v>
      </c>
      <c r="B86" s="26">
        <v>197.36108400000001</v>
      </c>
      <c r="C86" s="26">
        <v>58.120525000000001</v>
      </c>
      <c r="D86" s="26">
        <v>161.14686599999999</v>
      </c>
      <c r="E86" s="26">
        <v>15.880378</v>
      </c>
    </row>
    <row r="87" spans="1:5" x14ac:dyDescent="0.2">
      <c r="A87" s="25">
        <v>45275</v>
      </c>
      <c r="B87" s="26">
        <v>196.82311999999999</v>
      </c>
      <c r="C87" s="26">
        <v>57.687378000000002</v>
      </c>
      <c r="D87" s="26">
        <v>162.36535599999999</v>
      </c>
      <c r="E87" s="26">
        <v>15.756387999999999</v>
      </c>
    </row>
    <row r="88" spans="1:5" x14ac:dyDescent="0.2">
      <c r="A88" s="25">
        <v>45278</v>
      </c>
      <c r="B88" s="26">
        <v>195.149475</v>
      </c>
      <c r="C88" s="26">
        <v>58.100842</v>
      </c>
      <c r="D88" s="26">
        <v>163.348007</v>
      </c>
      <c r="E88" s="26">
        <v>15.699159999999999</v>
      </c>
    </row>
    <row r="89" spans="1:5" x14ac:dyDescent="0.2">
      <c r="A89" s="25">
        <v>45279</v>
      </c>
      <c r="B89" s="26">
        <v>196.19551100000001</v>
      </c>
      <c r="C89" s="26">
        <v>57.913798999999997</v>
      </c>
      <c r="D89" s="26">
        <v>165.52950999999999</v>
      </c>
      <c r="E89" s="26">
        <v>15.842228</v>
      </c>
    </row>
    <row r="90" spans="1:5" x14ac:dyDescent="0.2">
      <c r="A90" s="25">
        <v>45280</v>
      </c>
      <c r="B90" s="26">
        <v>194.093491</v>
      </c>
      <c r="C90" s="26">
        <v>56.712798999999997</v>
      </c>
      <c r="D90" s="26">
        <v>163.66246000000001</v>
      </c>
      <c r="E90" s="26">
        <v>15.641933</v>
      </c>
    </row>
    <row r="91" spans="1:5" x14ac:dyDescent="0.2">
      <c r="A91" s="25">
        <v>45281</v>
      </c>
      <c r="B91" s="26">
        <v>193.944031</v>
      </c>
      <c r="C91" s="26">
        <v>57.086883999999998</v>
      </c>
      <c r="D91" s="26">
        <v>164.59599299999999</v>
      </c>
      <c r="E91" s="26">
        <v>15.727774999999999</v>
      </c>
    </row>
    <row r="92" spans="1:5" x14ac:dyDescent="0.2">
      <c r="A92" s="25">
        <v>45282</v>
      </c>
      <c r="B92" s="26">
        <v>192.868134</v>
      </c>
      <c r="C92" s="26">
        <v>57.411738999999997</v>
      </c>
      <c r="D92" s="26">
        <v>164.497726</v>
      </c>
      <c r="E92" s="26">
        <v>15.784998999999999</v>
      </c>
    </row>
    <row r="93" spans="1:5" x14ac:dyDescent="0.2">
      <c r="A93" s="25">
        <v>45286</v>
      </c>
      <c r="B93" s="26">
        <v>192.320221</v>
      </c>
      <c r="C93" s="26">
        <v>57.648003000000003</v>
      </c>
      <c r="D93" s="26">
        <v>165.47056599999999</v>
      </c>
      <c r="E93" s="26">
        <v>15.804074999999999</v>
      </c>
    </row>
    <row r="94" spans="1:5" x14ac:dyDescent="0.2">
      <c r="A94" s="25">
        <v>45287</v>
      </c>
      <c r="B94" s="26">
        <v>192.41982999999999</v>
      </c>
      <c r="C94" s="26">
        <v>57.795662</v>
      </c>
      <c r="D94" s="26">
        <v>166.46305799999999</v>
      </c>
      <c r="E94" s="26">
        <v>15.813613</v>
      </c>
    </row>
    <row r="95" spans="1:5" x14ac:dyDescent="0.2">
      <c r="A95" s="25">
        <v>45288</v>
      </c>
      <c r="B95" s="26">
        <v>192.848206</v>
      </c>
      <c r="C95" s="26">
        <v>57.835045000000001</v>
      </c>
      <c r="D95" s="26">
        <v>167.34747300000001</v>
      </c>
      <c r="E95" s="26">
        <v>15.966218</v>
      </c>
    </row>
    <row r="96" spans="1:5" x14ac:dyDescent="0.2">
      <c r="A96" s="25">
        <v>45289</v>
      </c>
      <c r="B96" s="26">
        <v>191.80216999999999</v>
      </c>
      <c r="C96" s="26">
        <v>58.012238000000004</v>
      </c>
      <c r="D96" s="26">
        <v>167.150925</v>
      </c>
      <c r="E96" s="26">
        <v>16.004370000000002</v>
      </c>
    </row>
    <row r="97" spans="1:5" x14ac:dyDescent="0.2">
      <c r="A97" s="25">
        <v>45293</v>
      </c>
      <c r="B97" s="26">
        <v>184.93821700000001</v>
      </c>
      <c r="C97" s="26">
        <v>58.888378000000003</v>
      </c>
      <c r="D97" s="26">
        <v>169.09660299999999</v>
      </c>
      <c r="E97" s="26">
        <v>16.452643999999999</v>
      </c>
    </row>
    <row r="98" spans="1:5" x14ac:dyDescent="0.2">
      <c r="A98" s="25">
        <v>45294</v>
      </c>
      <c r="B98" s="26">
        <v>183.55346700000001</v>
      </c>
      <c r="C98" s="26">
        <v>59.026195999999999</v>
      </c>
      <c r="D98" s="26">
        <v>168.35960399999999</v>
      </c>
      <c r="E98" s="26">
        <v>16.433568999999999</v>
      </c>
    </row>
    <row r="99" spans="1:5" x14ac:dyDescent="0.2">
      <c r="A99" s="25">
        <v>45295</v>
      </c>
      <c r="B99" s="26">
        <v>181.22232099999999</v>
      </c>
      <c r="C99" s="26">
        <v>58.829310999999997</v>
      </c>
      <c r="D99" s="26">
        <v>169.47685200000001</v>
      </c>
      <c r="E99" s="26">
        <v>16.357265000000002</v>
      </c>
    </row>
    <row r="100" spans="1:5" x14ac:dyDescent="0.2">
      <c r="A100" s="25">
        <v>45296</v>
      </c>
      <c r="B100" s="26">
        <v>180.49508700000001</v>
      </c>
      <c r="C100" s="26">
        <v>58.740715000000002</v>
      </c>
      <c r="D100" s="26">
        <v>170.32714799999999</v>
      </c>
      <c r="E100" s="26">
        <v>16.662476000000002</v>
      </c>
    </row>
    <row r="101" spans="1:5" x14ac:dyDescent="0.2">
      <c r="A101" s="25">
        <v>45299</v>
      </c>
      <c r="B101" s="26">
        <v>184.858521</v>
      </c>
      <c r="C101" s="26">
        <v>59.173865999999997</v>
      </c>
      <c r="D101" s="26">
        <v>170.07998699999999</v>
      </c>
      <c r="E101" s="26">
        <v>16.519407000000001</v>
      </c>
    </row>
    <row r="102" spans="1:5" x14ac:dyDescent="0.2">
      <c r="A102" s="25">
        <v>45300</v>
      </c>
      <c r="B102" s="26">
        <v>184.44010900000001</v>
      </c>
      <c r="C102" s="26">
        <v>59.065578000000002</v>
      </c>
      <c r="D102" s="26">
        <v>168.735321</v>
      </c>
      <c r="E102" s="26">
        <v>16.430229000000001</v>
      </c>
    </row>
    <row r="103" spans="1:5" x14ac:dyDescent="0.2">
      <c r="A103" s="25">
        <v>45301</v>
      </c>
      <c r="B103" s="26">
        <v>185.48616000000001</v>
      </c>
      <c r="C103" s="26">
        <v>59.262462999999997</v>
      </c>
      <c r="D103" s="26">
        <v>169.091263</v>
      </c>
      <c r="E103" s="26">
        <v>16.352684</v>
      </c>
    </row>
    <row r="104" spans="1:5" x14ac:dyDescent="0.2">
      <c r="A104" s="25">
        <v>45302</v>
      </c>
      <c r="B104" s="26">
        <v>184.88841199999999</v>
      </c>
      <c r="C104" s="26">
        <v>58.878535999999997</v>
      </c>
      <c r="D104" s="26">
        <v>168.379379</v>
      </c>
      <c r="E104" s="26">
        <v>15.732308</v>
      </c>
    </row>
    <row r="105" spans="1:5" x14ac:dyDescent="0.2">
      <c r="A105" s="25">
        <v>45303</v>
      </c>
      <c r="B105" s="26">
        <v>185.217163</v>
      </c>
      <c r="C105" s="26">
        <v>59.449500999999998</v>
      </c>
      <c r="D105" s="26">
        <v>167.143463</v>
      </c>
      <c r="E105" s="26">
        <v>15.974641999999999</v>
      </c>
    </row>
    <row r="106" spans="1:5" x14ac:dyDescent="0.2">
      <c r="A106" s="25">
        <v>45307</v>
      </c>
      <c r="B106" s="26">
        <v>182.935822</v>
      </c>
      <c r="C106" s="26">
        <v>59.055732999999996</v>
      </c>
      <c r="D106" s="26">
        <v>166.095428</v>
      </c>
      <c r="E106" s="26">
        <v>15.935869</v>
      </c>
    </row>
    <row r="107" spans="1:5" x14ac:dyDescent="0.2">
      <c r="A107" s="25">
        <v>45308</v>
      </c>
      <c r="B107" s="26">
        <v>181.98940999999999</v>
      </c>
      <c r="C107" s="26">
        <v>59.055732999999996</v>
      </c>
      <c r="D107" s="26">
        <v>165.205566</v>
      </c>
      <c r="E107" s="26">
        <v>15.906789</v>
      </c>
    </row>
    <row r="108" spans="1:5" x14ac:dyDescent="0.2">
      <c r="A108" s="25">
        <v>45309</v>
      </c>
      <c r="B108" s="26">
        <v>187.91691599999999</v>
      </c>
      <c r="C108" s="26">
        <v>59.223083000000003</v>
      </c>
      <c r="D108" s="26">
        <v>165.53185999999999</v>
      </c>
      <c r="E108" s="26">
        <v>15.897095</v>
      </c>
    </row>
    <row r="109" spans="1:5" x14ac:dyDescent="0.2">
      <c r="A109" s="25">
        <v>45310</v>
      </c>
      <c r="B109" s="26">
        <v>190.83583100000001</v>
      </c>
      <c r="C109" s="26">
        <v>58.898228000000003</v>
      </c>
      <c r="D109" s="26">
        <v>168.389252</v>
      </c>
      <c r="E109" s="26">
        <v>16.158815000000001</v>
      </c>
    </row>
    <row r="110" spans="1:5" x14ac:dyDescent="0.2">
      <c r="A110" s="25">
        <v>45313</v>
      </c>
      <c r="B110" s="26">
        <v>193.157028</v>
      </c>
      <c r="C110" s="26">
        <v>58.642273000000003</v>
      </c>
      <c r="D110" s="26">
        <v>168.19151299999999</v>
      </c>
      <c r="E110" s="26">
        <v>16.284828000000001</v>
      </c>
    </row>
    <row r="111" spans="1:5" x14ac:dyDescent="0.2">
      <c r="A111" s="25">
        <v>45314</v>
      </c>
      <c r="B111" s="26">
        <v>194.44215399999999</v>
      </c>
      <c r="C111" s="26">
        <v>58.917907999999997</v>
      </c>
      <c r="D111" s="26">
        <v>167.08415199999999</v>
      </c>
      <c r="E111" s="26">
        <v>16.662870000000002</v>
      </c>
    </row>
    <row r="112" spans="1:5" x14ac:dyDescent="0.2">
      <c r="A112" s="25">
        <v>45315</v>
      </c>
      <c r="B112" s="26">
        <v>193.764725</v>
      </c>
      <c r="C112" s="26">
        <v>57.992553999999998</v>
      </c>
      <c r="D112" s="26">
        <v>168.57711800000001</v>
      </c>
      <c r="E112" s="26">
        <v>16.168510000000001</v>
      </c>
    </row>
    <row r="113" spans="1:5" x14ac:dyDescent="0.2">
      <c r="A113" s="25">
        <v>45316</v>
      </c>
      <c r="B113" s="26">
        <v>193.43598900000001</v>
      </c>
      <c r="C113" s="26">
        <v>58.238658999999998</v>
      </c>
      <c r="D113" s="26">
        <v>170.98959400000001</v>
      </c>
      <c r="E113" s="26">
        <v>16.653176999999999</v>
      </c>
    </row>
    <row r="114" spans="1:5" x14ac:dyDescent="0.2">
      <c r="A114" s="25">
        <v>45317</v>
      </c>
      <c r="B114" s="26">
        <v>191.69258099999999</v>
      </c>
      <c r="C114" s="26">
        <v>58.445385000000002</v>
      </c>
      <c r="D114" s="26">
        <v>170.337051</v>
      </c>
      <c r="E114" s="26">
        <v>16.759803999999999</v>
      </c>
    </row>
    <row r="115" spans="1:5" x14ac:dyDescent="0.2">
      <c r="A115" s="25">
        <v>45320</v>
      </c>
      <c r="B115" s="26">
        <v>191.005188</v>
      </c>
      <c r="C115" s="26">
        <v>58.799782</v>
      </c>
      <c r="D115" s="26">
        <v>170.78196700000001</v>
      </c>
      <c r="E115" s="26">
        <v>16.721031</v>
      </c>
    </row>
    <row r="116" spans="1:5" x14ac:dyDescent="0.2">
      <c r="A116" s="25">
        <v>45321</v>
      </c>
      <c r="B116" s="26">
        <v>187.32914700000001</v>
      </c>
      <c r="C116" s="26">
        <v>58.967132999999997</v>
      </c>
      <c r="D116" s="26">
        <v>174.282059</v>
      </c>
      <c r="E116" s="26">
        <v>16.992445</v>
      </c>
    </row>
    <row r="117" spans="1:5" x14ac:dyDescent="0.2">
      <c r="A117" s="25">
        <v>45322</v>
      </c>
      <c r="B117" s="26">
        <v>183.702911</v>
      </c>
      <c r="C117" s="26">
        <v>58.563518999999999</v>
      </c>
      <c r="D117" s="26">
        <v>172.393585</v>
      </c>
      <c r="E117" s="26">
        <v>17.147537</v>
      </c>
    </row>
    <row r="118" spans="1:5" x14ac:dyDescent="0.2">
      <c r="A118" s="25">
        <v>45323</v>
      </c>
      <c r="B118" s="26">
        <v>186.15362500000001</v>
      </c>
      <c r="C118" s="26">
        <v>60.030315000000002</v>
      </c>
      <c r="D118" s="26">
        <v>171.770691</v>
      </c>
      <c r="E118" s="26">
        <v>17.486806999999999</v>
      </c>
    </row>
    <row r="119" spans="1:5" x14ac:dyDescent="0.2">
      <c r="A119" s="25">
        <v>45324</v>
      </c>
      <c r="B119" s="26">
        <v>185.14743000000001</v>
      </c>
      <c r="C119" s="26">
        <v>59.597168000000003</v>
      </c>
      <c r="D119" s="26">
        <v>172.75941499999999</v>
      </c>
      <c r="E119" s="26">
        <v>17.283245000000001</v>
      </c>
    </row>
    <row r="120" spans="1:5" x14ac:dyDescent="0.2">
      <c r="A120" s="25">
        <v>45327</v>
      </c>
      <c r="B120" s="26">
        <v>186.970505</v>
      </c>
      <c r="C120" s="26">
        <v>59.104953999999999</v>
      </c>
      <c r="D120" s="26">
        <v>172.53201300000001</v>
      </c>
      <c r="E120" s="26">
        <v>17.186309999999999</v>
      </c>
    </row>
    <row r="121" spans="1:5" x14ac:dyDescent="0.2">
      <c r="A121" s="25">
        <v>45328</v>
      </c>
      <c r="B121" s="26">
        <v>188.58438100000001</v>
      </c>
      <c r="C121" s="26">
        <v>59.006512000000001</v>
      </c>
      <c r="D121" s="26">
        <v>173.12524400000001</v>
      </c>
      <c r="E121" s="26">
        <v>17.069991999999999</v>
      </c>
    </row>
    <row r="122" spans="1:5" x14ac:dyDescent="0.2">
      <c r="A122" s="25">
        <v>45329</v>
      </c>
      <c r="B122" s="26">
        <v>188.69397000000001</v>
      </c>
      <c r="C122" s="26">
        <v>59.055732999999996</v>
      </c>
      <c r="D122" s="26">
        <v>173.45150799999999</v>
      </c>
      <c r="E122" s="26">
        <v>16.798576000000001</v>
      </c>
    </row>
    <row r="123" spans="1:5" x14ac:dyDescent="0.2">
      <c r="A123" s="25">
        <v>45330</v>
      </c>
      <c r="B123" s="26">
        <v>187.608093</v>
      </c>
      <c r="C123" s="26">
        <v>58.898228000000003</v>
      </c>
      <c r="D123" s="26">
        <v>172.82862900000001</v>
      </c>
      <c r="E123" s="26">
        <v>16.304216</v>
      </c>
    </row>
    <row r="124" spans="1:5" x14ac:dyDescent="0.2">
      <c r="A124" s="25">
        <v>45331</v>
      </c>
      <c r="B124" s="26">
        <v>188.37616</v>
      </c>
      <c r="C124" s="26">
        <v>58.632430999999997</v>
      </c>
      <c r="D124" s="26">
        <v>173.03625500000001</v>
      </c>
      <c r="E124" s="26">
        <v>16.323602999999999</v>
      </c>
    </row>
    <row r="125" spans="1:5" x14ac:dyDescent="0.2">
      <c r="A125" s="25">
        <v>45334</v>
      </c>
      <c r="B125" s="26">
        <v>186.68042</v>
      </c>
      <c r="C125" s="26">
        <v>58.770248000000002</v>
      </c>
      <c r="D125" s="26">
        <v>173.80744899999999</v>
      </c>
      <c r="E125" s="26">
        <v>16.498085</v>
      </c>
    </row>
    <row r="126" spans="1:5" x14ac:dyDescent="0.2">
      <c r="A126" s="25">
        <v>45335</v>
      </c>
      <c r="B126" s="26">
        <v>184.575714</v>
      </c>
      <c r="C126" s="26">
        <v>58.425697</v>
      </c>
      <c r="D126" s="26">
        <v>172.29470800000001</v>
      </c>
      <c r="E126" s="26">
        <v>16.381762999999999</v>
      </c>
    </row>
    <row r="127" spans="1:5" x14ac:dyDescent="0.2">
      <c r="A127" s="25">
        <v>45336</v>
      </c>
      <c r="B127" s="26">
        <v>183.68794299999999</v>
      </c>
      <c r="C127" s="26">
        <v>58.366633999999998</v>
      </c>
      <c r="D127" s="26">
        <v>174.04473899999999</v>
      </c>
      <c r="E127" s="26">
        <v>16.391455000000001</v>
      </c>
    </row>
    <row r="128" spans="1:5" x14ac:dyDescent="0.2">
      <c r="A128" s="25">
        <v>45337</v>
      </c>
      <c r="B128" s="26">
        <v>183.39868200000001</v>
      </c>
      <c r="C128" s="26">
        <v>58.474921999999999</v>
      </c>
      <c r="D128" s="26">
        <v>177.84144599999999</v>
      </c>
      <c r="E128" s="26">
        <v>16.565937000000002</v>
      </c>
    </row>
    <row r="129" spans="1:5" x14ac:dyDescent="0.2">
      <c r="A129" s="25">
        <v>45338</v>
      </c>
      <c r="B129" s="26">
        <v>181.852554</v>
      </c>
      <c r="C129" s="26">
        <v>58.465076000000003</v>
      </c>
      <c r="D129" s="26">
        <v>177.01091</v>
      </c>
      <c r="E129" s="26">
        <v>16.449615000000001</v>
      </c>
    </row>
    <row r="130" spans="1:5" x14ac:dyDescent="0.2">
      <c r="A130" s="25">
        <v>45342</v>
      </c>
      <c r="B130" s="26">
        <v>181.104446</v>
      </c>
      <c r="C130" s="26">
        <v>59.754677000000001</v>
      </c>
      <c r="D130" s="26">
        <v>177.70301799999999</v>
      </c>
      <c r="E130" s="26">
        <v>16.391455000000001</v>
      </c>
    </row>
    <row r="131" spans="1:5" x14ac:dyDescent="0.2">
      <c r="A131" s="25">
        <v>45343</v>
      </c>
      <c r="B131" s="26">
        <v>181.862549</v>
      </c>
      <c r="C131" s="26">
        <v>60.286265999999998</v>
      </c>
      <c r="D131" s="26">
        <v>178.85983300000001</v>
      </c>
      <c r="E131" s="26">
        <v>16.478697</v>
      </c>
    </row>
    <row r="132" spans="1:5" x14ac:dyDescent="0.2">
      <c r="A132" s="25">
        <v>45344</v>
      </c>
      <c r="B132" s="26">
        <v>183.90739400000001</v>
      </c>
      <c r="C132" s="26">
        <v>60.197665999999998</v>
      </c>
      <c r="D132" s="26">
        <v>181.00535600000001</v>
      </c>
      <c r="E132" s="26">
        <v>16.081268000000001</v>
      </c>
    </row>
    <row r="133" spans="1:5" x14ac:dyDescent="0.2">
      <c r="A133" s="25">
        <v>45345</v>
      </c>
      <c r="B133" s="26">
        <v>182.06204199999999</v>
      </c>
      <c r="C133" s="26">
        <v>60.246890999999998</v>
      </c>
      <c r="D133" s="26">
        <v>181.91499300000001</v>
      </c>
      <c r="E133" s="26">
        <v>16.284828000000001</v>
      </c>
    </row>
    <row r="134" spans="1:5" x14ac:dyDescent="0.2">
      <c r="A134" s="25">
        <v>45348</v>
      </c>
      <c r="B134" s="26">
        <v>180.70545999999999</v>
      </c>
      <c r="C134" s="26">
        <v>59.764519</v>
      </c>
      <c r="D134" s="26">
        <v>181.29208399999999</v>
      </c>
      <c r="E134" s="26">
        <v>16.090962999999999</v>
      </c>
    </row>
    <row r="135" spans="1:5" x14ac:dyDescent="0.2">
      <c r="A135" s="25">
        <v>45349</v>
      </c>
      <c r="B135" s="26">
        <v>182.17176799999999</v>
      </c>
      <c r="C135" s="26">
        <v>59.400280000000002</v>
      </c>
      <c r="D135" s="26">
        <v>181.38107299999999</v>
      </c>
      <c r="E135" s="26">
        <v>16.31391</v>
      </c>
    </row>
    <row r="136" spans="1:5" x14ac:dyDescent="0.2">
      <c r="A136" s="25">
        <v>45350</v>
      </c>
      <c r="B136" s="26">
        <v>180.964798</v>
      </c>
      <c r="C136" s="26">
        <v>59.459347000000001</v>
      </c>
      <c r="D136" s="26">
        <v>182.30058299999999</v>
      </c>
      <c r="E136" s="26">
        <v>16.439921999999999</v>
      </c>
    </row>
    <row r="137" spans="1:5" x14ac:dyDescent="0.2">
      <c r="A137" s="25">
        <v>45351</v>
      </c>
      <c r="B137" s="26">
        <v>180.29647800000001</v>
      </c>
      <c r="C137" s="26">
        <v>59.085262</v>
      </c>
      <c r="D137" s="26">
        <v>183.961624</v>
      </c>
      <c r="E137" s="26">
        <v>16.410843</v>
      </c>
    </row>
    <row r="138" spans="1:5" x14ac:dyDescent="0.2">
      <c r="A138" s="25">
        <v>45352</v>
      </c>
      <c r="B138" s="26">
        <v>179.20922899999999</v>
      </c>
      <c r="C138" s="26">
        <v>58.602893999999999</v>
      </c>
      <c r="D138" s="26">
        <v>183.20030199999999</v>
      </c>
      <c r="E138" s="26">
        <v>16.459311</v>
      </c>
    </row>
    <row r="139" spans="1:5" x14ac:dyDescent="0.2">
      <c r="A139" s="25">
        <v>45355</v>
      </c>
      <c r="B139" s="26">
        <v>174.66066000000001</v>
      </c>
      <c r="C139" s="26">
        <v>58.878535999999997</v>
      </c>
      <c r="D139" s="26">
        <v>184.57463100000001</v>
      </c>
      <c r="E139" s="26">
        <v>16.284828000000001</v>
      </c>
    </row>
    <row r="140" spans="1:5" x14ac:dyDescent="0.2">
      <c r="A140" s="25">
        <v>45356</v>
      </c>
      <c r="B140" s="26">
        <v>169.693161</v>
      </c>
      <c r="C140" s="26">
        <v>58.593048000000003</v>
      </c>
      <c r="D140" s="26">
        <v>186.423553</v>
      </c>
      <c r="E140" s="26">
        <v>16.643484000000001</v>
      </c>
    </row>
    <row r="141" spans="1:5" x14ac:dyDescent="0.2">
      <c r="A141" s="25">
        <v>45357</v>
      </c>
      <c r="B141" s="26">
        <v>168.69564800000001</v>
      </c>
      <c r="C141" s="26">
        <v>58.622585000000001</v>
      </c>
      <c r="D141" s="26">
        <v>187.39250200000001</v>
      </c>
      <c r="E141" s="26">
        <v>16.653176999999999</v>
      </c>
    </row>
    <row r="142" spans="1:5" x14ac:dyDescent="0.2">
      <c r="A142" s="25">
        <v>45358</v>
      </c>
      <c r="B142" s="26">
        <v>168.57595800000001</v>
      </c>
      <c r="C142" s="26">
        <v>58.514296999999999</v>
      </c>
      <c r="D142" s="26">
        <v>185.75122099999999</v>
      </c>
      <c r="E142" s="26">
        <v>16.527163000000002</v>
      </c>
    </row>
    <row r="143" spans="1:5" x14ac:dyDescent="0.2">
      <c r="A143" s="25">
        <v>45359</v>
      </c>
      <c r="B143" s="26">
        <v>170.301605</v>
      </c>
      <c r="C143" s="26">
        <v>58.593048000000003</v>
      </c>
      <c r="D143" s="26">
        <v>186.097275</v>
      </c>
      <c r="E143" s="26">
        <v>16.672564000000001</v>
      </c>
    </row>
    <row r="144" spans="1:5" x14ac:dyDescent="0.2">
      <c r="A144" s="25">
        <v>45362</v>
      </c>
      <c r="B144" s="26">
        <v>172.31655900000001</v>
      </c>
      <c r="C144" s="26">
        <v>59.301837999999996</v>
      </c>
      <c r="D144" s="26">
        <v>186.166473</v>
      </c>
      <c r="E144" s="26">
        <v>16.798576000000001</v>
      </c>
    </row>
    <row r="145" spans="1:5" x14ac:dyDescent="0.2">
      <c r="A145" s="25">
        <v>45363</v>
      </c>
      <c r="B145" s="26">
        <v>172.795334</v>
      </c>
      <c r="C145" s="26">
        <v>59.557789</v>
      </c>
      <c r="D145" s="26">
        <v>187.699005</v>
      </c>
      <c r="E145" s="26">
        <v>16.672564000000001</v>
      </c>
    </row>
    <row r="146" spans="1:5" x14ac:dyDescent="0.2">
      <c r="A146" s="25">
        <v>45364</v>
      </c>
      <c r="B146" s="26">
        <v>170.70062300000001</v>
      </c>
      <c r="C146" s="26">
        <v>60.168132999999997</v>
      </c>
      <c r="D146" s="26">
        <v>189.22163399999999</v>
      </c>
      <c r="E146" s="26">
        <v>16.662870000000002</v>
      </c>
    </row>
    <row r="147" spans="1:5" x14ac:dyDescent="0.2">
      <c r="A147" s="25">
        <v>45365</v>
      </c>
      <c r="B147" s="26">
        <v>172.565933</v>
      </c>
      <c r="C147" s="26">
        <v>60.034171999999998</v>
      </c>
      <c r="D147" s="26">
        <v>185.85008199999999</v>
      </c>
      <c r="E147" s="26">
        <v>16.488389999999999</v>
      </c>
    </row>
    <row r="148" spans="1:5" x14ac:dyDescent="0.2">
      <c r="A148" s="25">
        <v>45366</v>
      </c>
      <c r="B148" s="26">
        <v>172.18687399999999</v>
      </c>
      <c r="C148" s="26">
        <v>59.418948999999998</v>
      </c>
      <c r="D148" s="26">
        <v>188.15382399999999</v>
      </c>
      <c r="E148" s="26">
        <v>16.527163000000002</v>
      </c>
    </row>
    <row r="149" spans="1:5" x14ac:dyDescent="0.2">
      <c r="A149" s="25">
        <v>45369</v>
      </c>
      <c r="B149" s="26">
        <v>173.284119</v>
      </c>
      <c r="C149" s="26">
        <v>59.667023</v>
      </c>
      <c r="D149" s="26">
        <v>190.487213</v>
      </c>
      <c r="E149" s="26">
        <v>16.769497000000001</v>
      </c>
    </row>
    <row r="150" spans="1:5" x14ac:dyDescent="0.2">
      <c r="A150" s="25">
        <v>45370</v>
      </c>
      <c r="B150" s="26">
        <v>175.63819899999999</v>
      </c>
      <c r="C150" s="26">
        <v>59.766250999999997</v>
      </c>
      <c r="D150" s="26">
        <v>191.60446200000001</v>
      </c>
      <c r="E150" s="26">
        <v>16.643484000000001</v>
      </c>
    </row>
    <row r="151" spans="1:5" x14ac:dyDescent="0.2">
      <c r="A151" s="25">
        <v>45371</v>
      </c>
      <c r="B151" s="26">
        <v>178.22171</v>
      </c>
      <c r="C151" s="26">
        <v>60.282249</v>
      </c>
      <c r="D151" s="26">
        <v>194.115814</v>
      </c>
      <c r="E151" s="26">
        <v>16.682257</v>
      </c>
    </row>
    <row r="152" spans="1:5" x14ac:dyDescent="0.2">
      <c r="A152" s="25">
        <v>45372</v>
      </c>
      <c r="B152" s="26">
        <v>170.94001800000001</v>
      </c>
      <c r="C152" s="26">
        <v>60.004406000000003</v>
      </c>
      <c r="D152" s="26">
        <v>196.81501800000001</v>
      </c>
      <c r="E152" s="26">
        <v>16.633789</v>
      </c>
    </row>
    <row r="153" spans="1:5" x14ac:dyDescent="0.2">
      <c r="A153" s="25">
        <v>45373</v>
      </c>
      <c r="B153" s="26">
        <v>171.84773300000001</v>
      </c>
      <c r="C153" s="26">
        <v>60.024253999999999</v>
      </c>
      <c r="D153" s="26">
        <v>194.40254200000001</v>
      </c>
      <c r="E153" s="26">
        <v>16.459311</v>
      </c>
    </row>
    <row r="154" spans="1:5" x14ac:dyDescent="0.2">
      <c r="A154" s="25">
        <v>45376</v>
      </c>
      <c r="B154" s="26">
        <v>170.42132599999999</v>
      </c>
      <c r="C154" s="26">
        <v>59.934944000000002</v>
      </c>
      <c r="D154" s="26">
        <v>192.622849</v>
      </c>
      <c r="E154" s="26">
        <v>16.595016000000001</v>
      </c>
    </row>
    <row r="155" spans="1:5" x14ac:dyDescent="0.2">
      <c r="A155" s="25">
        <v>45377</v>
      </c>
      <c r="B155" s="26">
        <v>169.28419500000001</v>
      </c>
      <c r="C155" s="26">
        <v>60.073867999999997</v>
      </c>
      <c r="D155" s="26">
        <v>193.52256800000001</v>
      </c>
      <c r="E155" s="26">
        <v>16.653176999999999</v>
      </c>
    </row>
    <row r="156" spans="1:5" x14ac:dyDescent="0.2">
      <c r="A156" s="25">
        <v>45378</v>
      </c>
      <c r="B156" s="26">
        <v>172.875137</v>
      </c>
      <c r="C156" s="26">
        <v>60.560093000000002</v>
      </c>
      <c r="D156" s="26">
        <v>197.269836</v>
      </c>
      <c r="E156" s="26">
        <v>17.011831000000001</v>
      </c>
    </row>
    <row r="157" spans="1:5" x14ac:dyDescent="0.2">
      <c r="A157" s="25">
        <v>45379</v>
      </c>
      <c r="B157" s="26">
        <v>171.049744</v>
      </c>
      <c r="C157" s="26">
        <v>60.708939000000001</v>
      </c>
      <c r="D157" s="26">
        <v>198.04104599999999</v>
      </c>
      <c r="E157" s="26">
        <v>17.060296999999998</v>
      </c>
    </row>
    <row r="158" spans="1:5" x14ac:dyDescent="0.2">
      <c r="A158" s="25">
        <v>45383</v>
      </c>
      <c r="B158" s="26">
        <v>169.60337799999999</v>
      </c>
      <c r="C158" s="26">
        <v>60.212788000000003</v>
      </c>
      <c r="D158" s="26">
        <v>196.696381</v>
      </c>
      <c r="E158" s="26">
        <v>16.963363999999999</v>
      </c>
    </row>
    <row r="159" spans="1:5" x14ac:dyDescent="0.2">
      <c r="A159" s="25">
        <v>45384</v>
      </c>
      <c r="B159" s="26">
        <v>168.41635099999999</v>
      </c>
      <c r="C159" s="26">
        <v>59.686870999999996</v>
      </c>
      <c r="D159" s="26">
        <v>196.617279</v>
      </c>
      <c r="E159" s="26">
        <v>16.982749999999999</v>
      </c>
    </row>
    <row r="160" spans="1:5" x14ac:dyDescent="0.2">
      <c r="A160" s="25">
        <v>45385</v>
      </c>
      <c r="B160" s="26">
        <v>169.22431900000001</v>
      </c>
      <c r="C160" s="26">
        <v>59.369335</v>
      </c>
      <c r="D160" s="26">
        <v>196.06359900000001</v>
      </c>
      <c r="E160" s="26">
        <v>17.069991999999999</v>
      </c>
    </row>
    <row r="161" spans="1:5" x14ac:dyDescent="0.2">
      <c r="A161" s="25">
        <v>45386</v>
      </c>
      <c r="B161" s="26">
        <v>168.396423</v>
      </c>
      <c r="C161" s="26">
        <v>58.843414000000003</v>
      </c>
      <c r="D161" s="26">
        <v>194.571854</v>
      </c>
      <c r="E161" s="26">
        <v>17.031217999999999</v>
      </c>
    </row>
    <row r="162" spans="1:5" x14ac:dyDescent="0.2">
      <c r="A162" s="25">
        <v>45387</v>
      </c>
      <c r="B162" s="26">
        <v>169.154495</v>
      </c>
      <c r="C162" s="26">
        <v>59.051796000000003</v>
      </c>
      <c r="D162" s="26">
        <v>196.36193800000001</v>
      </c>
      <c r="E162" s="26">
        <v>16.885818</v>
      </c>
    </row>
    <row r="163" spans="1:5" x14ac:dyDescent="0.2">
      <c r="A163" s="25">
        <v>45390</v>
      </c>
      <c r="B163" s="26">
        <v>168.027344</v>
      </c>
      <c r="C163" s="26">
        <v>58.813643999999996</v>
      </c>
      <c r="D163" s="26">
        <v>197.38626099999999</v>
      </c>
      <c r="E163" s="26">
        <v>16.721031</v>
      </c>
    </row>
    <row r="164" spans="1:5" x14ac:dyDescent="0.2">
      <c r="A164" s="25">
        <v>45391</v>
      </c>
      <c r="B164" s="26">
        <v>169.24427800000001</v>
      </c>
      <c r="C164" s="26">
        <v>59.260181000000003</v>
      </c>
      <c r="D164" s="26">
        <v>196.06358299999999</v>
      </c>
      <c r="E164" s="26">
        <v>16.650095</v>
      </c>
    </row>
    <row r="165" spans="1:5" x14ac:dyDescent="0.2">
      <c r="A165" s="25">
        <v>45392</v>
      </c>
      <c r="B165" s="26">
        <v>167.35902400000001</v>
      </c>
      <c r="C165" s="26">
        <v>58.466338999999998</v>
      </c>
      <c r="D165" s="26">
        <v>194.392853</v>
      </c>
      <c r="E165" s="26">
        <v>16.482609</v>
      </c>
    </row>
    <row r="166" spans="1:5" x14ac:dyDescent="0.2">
      <c r="A166" s="25">
        <v>45393</v>
      </c>
      <c r="B166" s="26">
        <v>174.60079999999999</v>
      </c>
      <c r="C166" s="26">
        <v>58.595337000000001</v>
      </c>
      <c r="D166" s="26">
        <v>194.353058</v>
      </c>
      <c r="E166" s="26">
        <v>16.177192999999999</v>
      </c>
    </row>
    <row r="167" spans="1:5" x14ac:dyDescent="0.2">
      <c r="A167" s="25">
        <v>45394</v>
      </c>
      <c r="B167" s="26">
        <v>176.10702499999999</v>
      </c>
      <c r="C167" s="26">
        <v>57.831263999999997</v>
      </c>
      <c r="D167" s="26">
        <v>181.782715</v>
      </c>
      <c r="E167" s="26">
        <v>16.068819000000001</v>
      </c>
    </row>
    <row r="168" spans="1:5" x14ac:dyDescent="0.2">
      <c r="A168" s="25">
        <v>45397</v>
      </c>
      <c r="B168" s="26">
        <v>172.256699</v>
      </c>
      <c r="C168" s="26">
        <v>57.692345000000003</v>
      </c>
      <c r="D168" s="26">
        <v>181.882172</v>
      </c>
      <c r="E168" s="26">
        <v>15.999855</v>
      </c>
    </row>
    <row r="169" spans="1:5" x14ac:dyDescent="0.2">
      <c r="A169" s="25">
        <v>45398</v>
      </c>
      <c r="B169" s="26">
        <v>168.955017</v>
      </c>
      <c r="C169" s="26">
        <v>57.612960999999999</v>
      </c>
      <c r="D169" s="26">
        <v>179.803696</v>
      </c>
      <c r="E169" s="26">
        <v>15.852073000000001</v>
      </c>
    </row>
    <row r="170" spans="1:5" x14ac:dyDescent="0.2">
      <c r="A170" s="25">
        <v>45399</v>
      </c>
      <c r="B170" s="26">
        <v>167.57847599999999</v>
      </c>
      <c r="C170" s="26">
        <v>58.059494000000001</v>
      </c>
      <c r="D170" s="26">
        <v>179.08766199999999</v>
      </c>
      <c r="E170" s="26">
        <v>15.881629999999999</v>
      </c>
    </row>
    <row r="171" spans="1:5" x14ac:dyDescent="0.2">
      <c r="A171" s="25">
        <v>45400</v>
      </c>
      <c r="B171" s="26">
        <v>166.62088</v>
      </c>
      <c r="C171" s="26">
        <v>58.456417000000002</v>
      </c>
      <c r="D171" s="26">
        <v>180.251205</v>
      </c>
      <c r="E171" s="26">
        <v>16.088524</v>
      </c>
    </row>
    <row r="172" spans="1:5" x14ac:dyDescent="0.2">
      <c r="A172" s="25">
        <v>45401</v>
      </c>
      <c r="B172" s="26">
        <v>164.58599899999999</v>
      </c>
      <c r="C172" s="26">
        <v>59.706710999999999</v>
      </c>
      <c r="D172" s="26">
        <v>184.776138</v>
      </c>
      <c r="E172" s="26">
        <v>16.265863</v>
      </c>
    </row>
    <row r="173" spans="1:5" x14ac:dyDescent="0.2">
      <c r="A173" s="25">
        <v>45404</v>
      </c>
      <c r="B173" s="26">
        <v>165.42387400000001</v>
      </c>
      <c r="C173" s="26">
        <v>60.08379</v>
      </c>
      <c r="D173" s="26">
        <v>188.366241</v>
      </c>
      <c r="E173" s="26">
        <v>16.068819000000001</v>
      </c>
    </row>
    <row r="174" spans="1:5" x14ac:dyDescent="0.2">
      <c r="A174" s="25">
        <v>45405</v>
      </c>
      <c r="B174" s="26">
        <v>166.48121599999999</v>
      </c>
      <c r="C174" s="26">
        <v>60.173096000000001</v>
      </c>
      <c r="D174" s="26">
        <v>191.08119199999999</v>
      </c>
      <c r="E174" s="26">
        <v>16.25601</v>
      </c>
    </row>
    <row r="175" spans="1:5" x14ac:dyDescent="0.2">
      <c r="A175" s="25">
        <v>45406</v>
      </c>
      <c r="B175" s="26">
        <v>168.59591699999999</v>
      </c>
      <c r="C175" s="26">
        <v>61.076087999999999</v>
      </c>
      <c r="D175" s="26">
        <v>192.01602199999999</v>
      </c>
      <c r="E175" s="26">
        <v>16.561426000000001</v>
      </c>
    </row>
    <row r="176" spans="1:5" x14ac:dyDescent="0.2">
      <c r="A176" s="25">
        <v>45407</v>
      </c>
      <c r="B176" s="26">
        <v>169.46373</v>
      </c>
      <c r="C176" s="26">
        <v>61.264628999999999</v>
      </c>
      <c r="D176" s="26">
        <v>192.30441300000001</v>
      </c>
      <c r="E176" s="26">
        <v>16.334827000000001</v>
      </c>
    </row>
    <row r="177" spans="1:5" x14ac:dyDescent="0.2">
      <c r="A177" s="25">
        <v>45408</v>
      </c>
      <c r="B177" s="26">
        <v>168.875214</v>
      </c>
      <c r="C177" s="26">
        <v>61.264628999999999</v>
      </c>
      <c r="D177" s="26">
        <v>192.423767</v>
      </c>
      <c r="E177" s="26">
        <v>16.502313999999998</v>
      </c>
    </row>
    <row r="178" spans="1:5" x14ac:dyDescent="0.2">
      <c r="A178" s="25">
        <v>45411</v>
      </c>
      <c r="B178" s="26">
        <v>173.06466699999999</v>
      </c>
      <c r="C178" s="26">
        <v>61.562317</v>
      </c>
      <c r="D178" s="26">
        <v>192.21492000000001</v>
      </c>
      <c r="E178" s="26">
        <v>16.768322000000001</v>
      </c>
    </row>
    <row r="179" spans="1:5" x14ac:dyDescent="0.2">
      <c r="A179" s="25">
        <v>45412</v>
      </c>
      <c r="B179" s="26">
        <v>169.90263400000001</v>
      </c>
      <c r="C179" s="26">
        <v>61.294395000000002</v>
      </c>
      <c r="D179" s="26">
        <v>190.68341100000001</v>
      </c>
      <c r="E179" s="26">
        <v>16.640243999999999</v>
      </c>
    </row>
    <row r="180" spans="1:5" x14ac:dyDescent="0.2">
      <c r="A180" s="25">
        <v>45413</v>
      </c>
      <c r="B180" s="26">
        <v>168.875214</v>
      </c>
      <c r="C180" s="26">
        <v>61.453163000000004</v>
      </c>
      <c r="D180" s="26">
        <v>190.80275</v>
      </c>
      <c r="E180" s="26">
        <v>16.669799999999999</v>
      </c>
    </row>
    <row r="181" spans="1:5" x14ac:dyDescent="0.2">
      <c r="A181" s="25">
        <v>45414</v>
      </c>
      <c r="B181" s="26">
        <v>172.59584000000001</v>
      </c>
      <c r="C181" s="26">
        <v>61.512703000000002</v>
      </c>
      <c r="D181" s="26">
        <v>190.60385099999999</v>
      </c>
      <c r="E181" s="26">
        <v>16.571278</v>
      </c>
    </row>
    <row r="182" spans="1:5" x14ac:dyDescent="0.2">
      <c r="A182" s="25">
        <v>45415</v>
      </c>
      <c r="B182" s="26">
        <v>182.91987599999999</v>
      </c>
      <c r="C182" s="26">
        <v>61.691315000000003</v>
      </c>
      <c r="D182" s="26">
        <v>189.46017499999999</v>
      </c>
      <c r="E182" s="26">
        <v>16.600836000000001</v>
      </c>
    </row>
    <row r="183" spans="1:5" x14ac:dyDescent="0.2">
      <c r="A183" s="25">
        <v>45418</v>
      </c>
      <c r="B183" s="26">
        <v>181.25408899999999</v>
      </c>
      <c r="C183" s="26">
        <v>61.869926</v>
      </c>
      <c r="D183" s="26">
        <v>190.941971</v>
      </c>
      <c r="E183" s="26">
        <v>16.738764</v>
      </c>
    </row>
    <row r="184" spans="1:5" x14ac:dyDescent="0.2">
      <c r="A184" s="25">
        <v>45419</v>
      </c>
      <c r="B184" s="26">
        <v>181.94232199999999</v>
      </c>
      <c r="C184" s="26">
        <v>62.137847999999998</v>
      </c>
      <c r="D184" s="26">
        <v>190.693344</v>
      </c>
      <c r="E184" s="26">
        <v>16.827432999999999</v>
      </c>
    </row>
    <row r="185" spans="1:5" x14ac:dyDescent="0.2">
      <c r="A185" s="25">
        <v>45420</v>
      </c>
      <c r="B185" s="26">
        <v>182.28149400000001</v>
      </c>
      <c r="C185" s="26">
        <v>62.366076999999997</v>
      </c>
      <c r="D185" s="26">
        <v>194.571854</v>
      </c>
      <c r="E185" s="26">
        <v>16.856991000000001</v>
      </c>
    </row>
    <row r="186" spans="1:5" x14ac:dyDescent="0.2">
      <c r="A186" s="25">
        <v>45421</v>
      </c>
      <c r="B186" s="26">
        <v>184.10690299999999</v>
      </c>
      <c r="C186" s="26">
        <v>62.395851</v>
      </c>
      <c r="D186" s="26">
        <v>196.41166699999999</v>
      </c>
      <c r="E186" s="26">
        <v>16.925954999999998</v>
      </c>
    </row>
    <row r="187" spans="1:5" x14ac:dyDescent="0.2">
      <c r="A187" s="25">
        <v>45422</v>
      </c>
      <c r="B187" s="26">
        <v>182.83836400000001</v>
      </c>
      <c r="C187" s="26">
        <v>62.772922999999999</v>
      </c>
      <c r="D187" s="26">
        <v>197.674667</v>
      </c>
      <c r="E187" s="26">
        <v>16.916103</v>
      </c>
    </row>
    <row r="188" spans="1:5" x14ac:dyDescent="0.2">
      <c r="A188" s="25">
        <v>45425</v>
      </c>
      <c r="B188" s="26">
        <v>186.06463600000001</v>
      </c>
      <c r="C188" s="26">
        <v>63.090462000000002</v>
      </c>
      <c r="D188" s="26">
        <v>197.63488799999999</v>
      </c>
      <c r="E188" s="26">
        <v>17.004771999999999</v>
      </c>
    </row>
    <row r="189" spans="1:5" x14ac:dyDescent="0.2">
      <c r="A189" s="25">
        <v>45426</v>
      </c>
      <c r="B189" s="26">
        <v>187.213303</v>
      </c>
      <c r="C189" s="26">
        <v>62.614154999999997</v>
      </c>
      <c r="D189" s="26">
        <v>200.39956699999999</v>
      </c>
      <c r="E189" s="26">
        <v>17.044180000000001</v>
      </c>
    </row>
    <row r="190" spans="1:5" x14ac:dyDescent="0.2">
      <c r="A190" s="25">
        <v>45427</v>
      </c>
      <c r="B190" s="26">
        <v>189.50065599999999</v>
      </c>
      <c r="C190" s="26">
        <v>62.643925000000003</v>
      </c>
      <c r="D190" s="26">
        <v>200.996262</v>
      </c>
      <c r="E190" s="26">
        <v>17.073736</v>
      </c>
    </row>
    <row r="191" spans="1:5" x14ac:dyDescent="0.2">
      <c r="A191" s="25">
        <v>45428</v>
      </c>
      <c r="B191" s="26">
        <v>189.62051400000001</v>
      </c>
      <c r="C191" s="26">
        <v>62.832462</v>
      </c>
      <c r="D191" s="26">
        <v>201.35427899999999</v>
      </c>
      <c r="E191" s="26">
        <v>17.044180000000001</v>
      </c>
    </row>
    <row r="192" spans="1:5" x14ac:dyDescent="0.2">
      <c r="A192" s="25">
        <v>45429</v>
      </c>
      <c r="B192" s="26">
        <v>189.65048200000001</v>
      </c>
      <c r="C192" s="26">
        <v>62.544693000000002</v>
      </c>
      <c r="D192" s="26">
        <v>203.661484</v>
      </c>
      <c r="E192" s="26">
        <v>17.142702</v>
      </c>
    </row>
    <row r="193" spans="1:5" x14ac:dyDescent="0.2">
      <c r="A193" s="25">
        <v>45432</v>
      </c>
      <c r="B193" s="26">
        <v>190.81912199999999</v>
      </c>
      <c r="C193" s="26">
        <v>62.088234</v>
      </c>
      <c r="D193" s="26">
        <v>194.50224299999999</v>
      </c>
      <c r="E193" s="26">
        <v>17.260926999999999</v>
      </c>
    </row>
    <row r="194" spans="1:5" x14ac:dyDescent="0.2">
      <c r="A194" s="25">
        <v>45433</v>
      </c>
      <c r="B194" s="26">
        <v>192.12762499999999</v>
      </c>
      <c r="C194" s="26">
        <v>62.425617000000003</v>
      </c>
      <c r="D194" s="26">
        <v>198.42053200000001</v>
      </c>
      <c r="E194" s="26">
        <v>17.014624000000001</v>
      </c>
    </row>
    <row r="195" spans="1:5" x14ac:dyDescent="0.2">
      <c r="A195" s="25">
        <v>45434</v>
      </c>
      <c r="B195" s="26">
        <v>190.67929100000001</v>
      </c>
      <c r="C195" s="26">
        <v>62.514923000000003</v>
      </c>
      <c r="D195" s="26">
        <v>197.21719400000001</v>
      </c>
      <c r="E195" s="26">
        <v>17.241222</v>
      </c>
    </row>
    <row r="196" spans="1:5" x14ac:dyDescent="0.2">
      <c r="A196" s="25">
        <v>45435</v>
      </c>
      <c r="B196" s="26">
        <v>186.66394</v>
      </c>
      <c r="C196" s="26">
        <v>61.611930999999998</v>
      </c>
      <c r="D196" s="26">
        <v>195.83485400000001</v>
      </c>
      <c r="E196" s="26">
        <v>17.211666000000001</v>
      </c>
    </row>
    <row r="197" spans="1:5" x14ac:dyDescent="0.2">
      <c r="A197" s="25">
        <v>45436</v>
      </c>
      <c r="B197" s="26">
        <v>189.760345</v>
      </c>
      <c r="C197" s="26">
        <v>61.522624999999998</v>
      </c>
      <c r="D197" s="26">
        <v>199.603973</v>
      </c>
      <c r="E197" s="26">
        <v>17.241222</v>
      </c>
    </row>
    <row r="198" spans="1:5" x14ac:dyDescent="0.2">
      <c r="A198" s="25">
        <v>45440</v>
      </c>
      <c r="B198" s="26">
        <v>189.770355</v>
      </c>
      <c r="C198" s="26">
        <v>61.344009</v>
      </c>
      <c r="D198" s="26">
        <v>198.40063499999999</v>
      </c>
      <c r="E198" s="26">
        <v>17.014624000000001</v>
      </c>
    </row>
    <row r="199" spans="1:5" x14ac:dyDescent="0.2">
      <c r="A199" s="25">
        <v>45441</v>
      </c>
      <c r="B199" s="26">
        <v>190.06999200000001</v>
      </c>
      <c r="C199" s="26">
        <v>61.224933999999998</v>
      </c>
      <c r="D199" s="26">
        <v>197.01829499999999</v>
      </c>
      <c r="E199" s="26">
        <v>16.866841999999998</v>
      </c>
    </row>
    <row r="200" spans="1:5" x14ac:dyDescent="0.2">
      <c r="A200" s="25">
        <v>45442</v>
      </c>
      <c r="B200" s="26">
        <v>191.06883199999999</v>
      </c>
      <c r="C200" s="26">
        <v>61.492854999999999</v>
      </c>
      <c r="D200" s="26">
        <v>198.231583</v>
      </c>
      <c r="E200" s="26">
        <v>17.359449000000001</v>
      </c>
    </row>
    <row r="201" spans="1:5" x14ac:dyDescent="0.2">
      <c r="A201" s="25">
        <v>45443</v>
      </c>
      <c r="B201" s="26">
        <v>192.027725</v>
      </c>
      <c r="C201" s="26">
        <v>62.445464999999999</v>
      </c>
      <c r="D201" s="26">
        <v>201.513397</v>
      </c>
      <c r="E201" s="26">
        <v>17.950575000000001</v>
      </c>
    </row>
    <row r="202" spans="1:5" x14ac:dyDescent="0.2">
      <c r="A202" s="25">
        <v>45446</v>
      </c>
      <c r="B202" s="26">
        <v>193.80566400000001</v>
      </c>
      <c r="C202" s="26">
        <v>62.445464999999999</v>
      </c>
      <c r="D202" s="26">
        <v>200.70787000000001</v>
      </c>
      <c r="E202" s="26">
        <v>17.743680999999999</v>
      </c>
    </row>
    <row r="203" spans="1:5" x14ac:dyDescent="0.2">
      <c r="A203" s="25">
        <v>45447</v>
      </c>
      <c r="B203" s="26">
        <v>194.125305</v>
      </c>
      <c r="C203" s="26">
        <v>63.447685</v>
      </c>
      <c r="D203" s="26">
        <v>198.06251499999999</v>
      </c>
      <c r="E203" s="26">
        <v>18.078652999999999</v>
      </c>
    </row>
    <row r="204" spans="1:5" x14ac:dyDescent="0.2">
      <c r="A204" s="25">
        <v>45448</v>
      </c>
      <c r="B204" s="26">
        <v>195.643539</v>
      </c>
      <c r="C204" s="26">
        <v>63.427836999999997</v>
      </c>
      <c r="D204" s="26">
        <v>196.17297400000001</v>
      </c>
      <c r="E204" s="26">
        <v>18.029392000000001</v>
      </c>
    </row>
    <row r="205" spans="1:5" x14ac:dyDescent="0.2">
      <c r="A205" s="25">
        <v>45449</v>
      </c>
      <c r="B205" s="26">
        <v>194.25514200000001</v>
      </c>
      <c r="C205" s="26">
        <v>63.656070999999997</v>
      </c>
      <c r="D205" s="26">
        <v>195.82492099999999</v>
      </c>
      <c r="E205" s="26">
        <v>18.009689000000002</v>
      </c>
    </row>
    <row r="206" spans="1:5" x14ac:dyDescent="0.2">
      <c r="A206" s="25">
        <v>45450</v>
      </c>
      <c r="B206" s="26">
        <v>196.66236900000001</v>
      </c>
      <c r="C206" s="26">
        <v>63.417918999999998</v>
      </c>
      <c r="D206" s="26">
        <v>198.84816000000001</v>
      </c>
      <c r="E206" s="26">
        <v>17.832352</v>
      </c>
    </row>
    <row r="207" spans="1:5" x14ac:dyDescent="0.2">
      <c r="A207" s="25">
        <v>45453</v>
      </c>
      <c r="B207" s="26">
        <v>192.89671300000001</v>
      </c>
      <c r="C207" s="26">
        <v>63.100383999999998</v>
      </c>
      <c r="D207" s="26">
        <v>198.51004</v>
      </c>
      <c r="E207" s="26">
        <v>17.5959</v>
      </c>
    </row>
    <row r="208" spans="1:5" x14ac:dyDescent="0.2">
      <c r="A208" s="25">
        <v>45454</v>
      </c>
      <c r="B208" s="26">
        <v>206.910492</v>
      </c>
      <c r="C208" s="26">
        <v>63.060687999999999</v>
      </c>
      <c r="D208" s="26">
        <v>193.288971</v>
      </c>
      <c r="E208" s="26">
        <v>17.5959</v>
      </c>
    </row>
    <row r="209" spans="1:5" x14ac:dyDescent="0.2">
      <c r="A209" s="25">
        <v>45455</v>
      </c>
      <c r="B209" s="26">
        <v>212.823669</v>
      </c>
      <c r="C209" s="26">
        <v>62.395851</v>
      </c>
      <c r="D209" s="26">
        <v>190.47456399999999</v>
      </c>
      <c r="E209" s="26">
        <v>17.349598</v>
      </c>
    </row>
    <row r="210" spans="1:5" x14ac:dyDescent="0.2">
      <c r="A210" s="25">
        <v>45456</v>
      </c>
      <c r="B210" s="26">
        <v>213.99231</v>
      </c>
      <c r="C210" s="26">
        <v>62.505004999999997</v>
      </c>
      <c r="D210" s="26">
        <v>192.59283400000001</v>
      </c>
      <c r="E210" s="26">
        <v>17.408709000000002</v>
      </c>
    </row>
    <row r="211" spans="1:5" x14ac:dyDescent="0.2">
      <c r="A211" s="25">
        <v>45457</v>
      </c>
      <c r="B211" s="26">
        <v>212.244339</v>
      </c>
      <c r="C211" s="26">
        <v>62.549999</v>
      </c>
      <c r="D211" s="26">
        <v>192.71215799999999</v>
      </c>
      <c r="E211" s="26">
        <v>17.379152000000001</v>
      </c>
    </row>
    <row r="212" spans="1:5" x14ac:dyDescent="0.2">
      <c r="A212" s="25">
        <v>45460</v>
      </c>
      <c r="B212" s="26">
        <v>216.41949500000001</v>
      </c>
      <c r="C212" s="26">
        <v>62.619999</v>
      </c>
      <c r="D212" s="26">
        <v>193.90554800000001</v>
      </c>
      <c r="E212" s="26">
        <v>17.408709000000002</v>
      </c>
    </row>
    <row r="213" spans="1:5" x14ac:dyDescent="0.2">
      <c r="A213" s="25">
        <v>45461</v>
      </c>
      <c r="B213" s="26">
        <v>214.042236</v>
      </c>
      <c r="C213" s="26">
        <v>62.630001</v>
      </c>
      <c r="D213" s="26">
        <v>195.914413</v>
      </c>
      <c r="E213" s="26">
        <v>17.783089</v>
      </c>
    </row>
    <row r="214" spans="1:5" x14ac:dyDescent="0.2">
      <c r="A214" s="25">
        <v>45463</v>
      </c>
      <c r="B214" s="26">
        <v>209.43757600000001</v>
      </c>
      <c r="C214" s="26">
        <v>62.18</v>
      </c>
      <c r="D214" s="26">
        <v>197.575211</v>
      </c>
      <c r="E214" s="26">
        <v>17.842203000000001</v>
      </c>
    </row>
    <row r="215" spans="1:5" x14ac:dyDescent="0.2">
      <c r="A215" s="25">
        <v>45464</v>
      </c>
      <c r="B215" s="26">
        <v>207.250122</v>
      </c>
      <c r="C215" s="26">
        <v>62.77</v>
      </c>
      <c r="D215" s="26">
        <v>195.218277</v>
      </c>
      <c r="E215" s="26">
        <v>18.127914000000001</v>
      </c>
    </row>
    <row r="216" spans="1:5" x14ac:dyDescent="0.2">
      <c r="A216" s="25">
        <v>45467</v>
      </c>
      <c r="B216" s="26">
        <v>207.89935299999999</v>
      </c>
      <c r="C216" s="26">
        <v>63.970001000000003</v>
      </c>
      <c r="D216" s="26">
        <v>197.78405799999999</v>
      </c>
      <c r="E216" s="26">
        <v>18.374217999999999</v>
      </c>
    </row>
    <row r="217" spans="1:5" x14ac:dyDescent="0.2">
      <c r="A217" s="25">
        <v>45468</v>
      </c>
      <c r="B217" s="26">
        <v>208.828293</v>
      </c>
      <c r="C217" s="26">
        <v>63.84</v>
      </c>
      <c r="D217" s="26">
        <v>196.978531</v>
      </c>
      <c r="E217" s="26">
        <v>18.413627999999999</v>
      </c>
    </row>
    <row r="218" spans="1:5" x14ac:dyDescent="0.2">
      <c r="A218" s="25">
        <v>45469</v>
      </c>
      <c r="B218" s="26">
        <v>213.00344799999999</v>
      </c>
      <c r="C218" s="26">
        <v>64.050003000000004</v>
      </c>
      <c r="D218" s="26">
        <v>196.34204099999999</v>
      </c>
      <c r="E218" s="26">
        <v>18.482592</v>
      </c>
    </row>
    <row r="219" spans="1:5" x14ac:dyDescent="0.2">
      <c r="A219" s="25">
        <v>45470</v>
      </c>
      <c r="B219" s="26">
        <v>213.85247799999999</v>
      </c>
      <c r="C219" s="26">
        <v>63.91</v>
      </c>
      <c r="D219" s="26">
        <v>198.072464</v>
      </c>
      <c r="E219" s="26">
        <v>18.472738</v>
      </c>
    </row>
    <row r="220" spans="1:5" x14ac:dyDescent="0.2">
      <c r="A220" s="25">
        <v>45471</v>
      </c>
      <c r="B220" s="26">
        <v>210.37647999999999</v>
      </c>
      <c r="C220" s="26">
        <v>63.650002000000001</v>
      </c>
      <c r="D220" s="26">
        <v>201.145432</v>
      </c>
      <c r="E220" s="26">
        <v>18.827414999999998</v>
      </c>
    </row>
    <row r="221" spans="1:5" x14ac:dyDescent="0.2">
      <c r="A221" s="25">
        <v>45474</v>
      </c>
      <c r="B221" s="26">
        <v>216.499405</v>
      </c>
      <c r="C221" s="26">
        <v>63.279998999999997</v>
      </c>
      <c r="D221" s="26">
        <v>204.31785600000001</v>
      </c>
      <c r="E221" s="26">
        <v>18.699337</v>
      </c>
    </row>
    <row r="222" spans="1:5" x14ac:dyDescent="0.2">
      <c r="A222" s="25">
        <v>45475</v>
      </c>
      <c r="B222" s="26">
        <v>220.01533499999999</v>
      </c>
      <c r="C222" s="26">
        <v>63.150002000000001</v>
      </c>
      <c r="D222" s="26">
        <v>207.67922999999999</v>
      </c>
      <c r="E222" s="26">
        <v>18.541703999999999</v>
      </c>
    </row>
    <row r="223" spans="1:5" x14ac:dyDescent="0.2">
      <c r="A223" s="25">
        <v>45476</v>
      </c>
      <c r="B223" s="26">
        <v>221.29385400000001</v>
      </c>
      <c r="C223" s="26">
        <v>63.330002</v>
      </c>
      <c r="D223" s="26">
        <v>207.540009</v>
      </c>
      <c r="E223" s="26">
        <v>18.403773999999999</v>
      </c>
    </row>
    <row r="224" spans="1:5" x14ac:dyDescent="0.2">
      <c r="A224" s="25">
        <v>45478</v>
      </c>
      <c r="B224" s="26">
        <v>226.07830799999999</v>
      </c>
      <c r="C224" s="26">
        <v>63.759998000000003</v>
      </c>
      <c r="D224" s="26">
        <v>204.78999300000001</v>
      </c>
      <c r="E224" s="26">
        <v>18.492443000000002</v>
      </c>
    </row>
    <row r="225" spans="1:5" x14ac:dyDescent="0.2">
      <c r="A225" s="25">
        <v>45481</v>
      </c>
      <c r="B225" s="26">
        <v>227.55661000000001</v>
      </c>
      <c r="C225" s="26">
        <v>62.959999000000003</v>
      </c>
      <c r="D225" s="26">
        <v>205.16999799999999</v>
      </c>
      <c r="E225" s="26">
        <v>18.531851</v>
      </c>
    </row>
    <row r="226" spans="1:5" x14ac:dyDescent="0.2">
      <c r="A226" s="25">
        <v>45482</v>
      </c>
      <c r="B226" s="26">
        <v>228.415604</v>
      </c>
      <c r="C226" s="26">
        <v>62.689999</v>
      </c>
      <c r="D226" s="26">
        <v>207.63000500000001</v>
      </c>
      <c r="E226" s="26">
        <v>18.521999000000001</v>
      </c>
    </row>
    <row r="227" spans="1:5" x14ac:dyDescent="0.2">
      <c r="A227" s="25">
        <v>45483</v>
      </c>
      <c r="B227" s="26">
        <v>232.710632</v>
      </c>
      <c r="C227" s="26">
        <v>62.830002</v>
      </c>
      <c r="D227" s="26">
        <v>207.800003</v>
      </c>
      <c r="E227" s="26">
        <v>18.739999999999998</v>
      </c>
    </row>
    <row r="228" spans="1:5" x14ac:dyDescent="0.2">
      <c r="A228" s="25">
        <v>45484</v>
      </c>
      <c r="B228" s="26">
        <v>227.30690000000001</v>
      </c>
      <c r="C228" s="26">
        <v>63.099997999999999</v>
      </c>
      <c r="D228" s="26">
        <v>207.449997</v>
      </c>
      <c r="E228" s="26">
        <v>18.860001</v>
      </c>
    </row>
    <row r="229" spans="1:5" x14ac:dyDescent="0.2">
      <c r="A229" s="25">
        <v>45485</v>
      </c>
      <c r="B229" s="26">
        <v>230.27345299999999</v>
      </c>
      <c r="C229" s="26">
        <v>63.700001</v>
      </c>
      <c r="D229" s="26">
        <v>204.94000199999999</v>
      </c>
      <c r="E229" s="26">
        <v>18.809999000000001</v>
      </c>
    </row>
    <row r="230" spans="1:5" x14ac:dyDescent="0.2">
      <c r="A230" s="25">
        <v>45488</v>
      </c>
      <c r="B230" s="26">
        <v>234.128998</v>
      </c>
      <c r="C230" s="26">
        <v>63.41</v>
      </c>
      <c r="D230" s="26">
        <v>210.050003</v>
      </c>
      <c r="E230" s="26">
        <v>18.579999999999998</v>
      </c>
    </row>
    <row r="231" spans="1:5" x14ac:dyDescent="0.2">
      <c r="A231" s="25">
        <v>45489</v>
      </c>
      <c r="B231" s="26">
        <v>234.54852299999999</v>
      </c>
      <c r="C231" s="26">
        <v>64.269997000000004</v>
      </c>
      <c r="D231" s="26">
        <v>213.61999499999999</v>
      </c>
      <c r="E231" s="26">
        <v>18.850000000000001</v>
      </c>
    </row>
    <row r="232" spans="1:5" x14ac:dyDescent="0.2">
      <c r="A232" s="25">
        <v>45490</v>
      </c>
      <c r="B232" s="26">
        <v>228.615387</v>
      </c>
      <c r="C232" s="26">
        <v>65.209998999999996</v>
      </c>
      <c r="D232" s="26">
        <v>216.86999499999999</v>
      </c>
      <c r="E232" s="26">
        <v>19.16</v>
      </c>
    </row>
    <row r="233" spans="1:5" x14ac:dyDescent="0.2">
      <c r="A233" s="25">
        <v>45491</v>
      </c>
      <c r="B233" s="26">
        <v>223.920807</v>
      </c>
      <c r="C233" s="26">
        <v>65.190002000000007</v>
      </c>
      <c r="D233" s="26">
        <v>209.979996</v>
      </c>
      <c r="E233" s="26">
        <v>19.149999999999999</v>
      </c>
    </row>
    <row r="234" spans="1:5" x14ac:dyDescent="0.2">
      <c r="A234" s="25">
        <v>45492</v>
      </c>
      <c r="B234" s="26">
        <v>224.050659</v>
      </c>
      <c r="C234" s="26">
        <v>65.290001000000004</v>
      </c>
      <c r="D234" s="26">
        <v>209.779999</v>
      </c>
      <c r="E234" s="26">
        <v>19.120000999999998</v>
      </c>
    </row>
    <row r="235" spans="1:5" x14ac:dyDescent="0.2">
      <c r="A235" s="25">
        <v>45495</v>
      </c>
      <c r="B235" s="26">
        <v>223.70107999999999</v>
      </c>
      <c r="C235" s="26">
        <v>64.769997000000004</v>
      </c>
      <c r="D235" s="26">
        <v>210.279999</v>
      </c>
      <c r="E235" s="26">
        <v>18.549999</v>
      </c>
    </row>
    <row r="236" spans="1:5" x14ac:dyDescent="0.2">
      <c r="A236" s="25">
        <v>45496</v>
      </c>
      <c r="B236" s="26">
        <v>224.74984699999999</v>
      </c>
      <c r="C236" s="26">
        <v>64.959998999999996</v>
      </c>
      <c r="D236" s="26">
        <v>210.33000200000001</v>
      </c>
      <c r="E236" s="26">
        <v>18.209999</v>
      </c>
    </row>
    <row r="237" spans="1:5" x14ac:dyDescent="0.2">
      <c r="A237" s="25">
        <v>45497</v>
      </c>
      <c r="B237" s="26">
        <v>218.28732299999999</v>
      </c>
      <c r="C237" s="26">
        <v>65.809997999999993</v>
      </c>
      <c r="D237" s="26">
        <v>208.58999600000001</v>
      </c>
      <c r="E237" s="26">
        <v>19.16</v>
      </c>
    </row>
    <row r="238" spans="1:5" x14ac:dyDescent="0.2">
      <c r="A238" s="25">
        <v>45498</v>
      </c>
      <c r="B238" s="26">
        <v>217.23855599999999</v>
      </c>
      <c r="C238" s="26">
        <v>66.069999999999993</v>
      </c>
      <c r="D238" s="26">
        <v>208.66999799999999</v>
      </c>
      <c r="E238" s="26">
        <v>19.190000999999999</v>
      </c>
    </row>
    <row r="239" spans="1:5" x14ac:dyDescent="0.2">
      <c r="A239" s="25">
        <v>45499</v>
      </c>
      <c r="B239" s="26">
        <v>217.70800800000001</v>
      </c>
      <c r="C239" s="26">
        <v>67.050003000000004</v>
      </c>
      <c r="D239" s="26">
        <v>212.240005</v>
      </c>
      <c r="E239" s="26">
        <v>19.010000000000002</v>
      </c>
    </row>
    <row r="240" spans="1:5" x14ac:dyDescent="0.2">
      <c r="A240" s="25">
        <v>45502</v>
      </c>
      <c r="B240" s="26">
        <v>217.987686</v>
      </c>
      <c r="C240" s="26">
        <v>66.830001999999993</v>
      </c>
      <c r="D240" s="26">
        <v>210.85000600000001</v>
      </c>
      <c r="E240" s="26">
        <v>18.899999999999999</v>
      </c>
    </row>
    <row r="241" spans="1:5" x14ac:dyDescent="0.2">
      <c r="A241" s="25">
        <v>45503</v>
      </c>
      <c r="B241" s="26">
        <v>218.547043</v>
      </c>
      <c r="C241" s="26">
        <v>67.680000000000007</v>
      </c>
      <c r="D241" s="26">
        <v>215.19000199999999</v>
      </c>
      <c r="E241" s="26">
        <v>18.98</v>
      </c>
    </row>
    <row r="242" spans="1:5" x14ac:dyDescent="0.2">
      <c r="A242" s="25">
        <v>45504</v>
      </c>
      <c r="B242" s="26">
        <v>221.82324199999999</v>
      </c>
      <c r="C242" s="26">
        <v>66.739998</v>
      </c>
      <c r="D242" s="26">
        <v>212.800003</v>
      </c>
      <c r="E242" s="26">
        <v>19.25</v>
      </c>
    </row>
    <row r="243" spans="1:5" x14ac:dyDescent="0.2">
      <c r="A243" s="25">
        <v>45505</v>
      </c>
      <c r="B243" s="26">
        <v>218.10754399999999</v>
      </c>
      <c r="C243" s="26">
        <v>67.959998999999996</v>
      </c>
      <c r="D243" s="26">
        <v>207.96000699999999</v>
      </c>
      <c r="E243" s="26">
        <v>19.469999000000001</v>
      </c>
    </row>
    <row r="244" spans="1:5" x14ac:dyDescent="0.2">
      <c r="A244" s="25">
        <v>45506</v>
      </c>
      <c r="B244" s="26">
        <v>219.60580400000001</v>
      </c>
      <c r="C244" s="26">
        <v>69.330001999999993</v>
      </c>
      <c r="D244" s="26">
        <v>199.13999899999999</v>
      </c>
      <c r="E244" s="26">
        <v>19.370000999999998</v>
      </c>
    </row>
    <row r="245" spans="1:5" x14ac:dyDescent="0.2">
      <c r="A245" s="25">
        <v>45509</v>
      </c>
      <c r="B245" s="26">
        <v>209.02806100000001</v>
      </c>
      <c r="C245" s="26">
        <v>68.099997999999999</v>
      </c>
      <c r="D245" s="26">
        <v>194.89999399999999</v>
      </c>
      <c r="E245" s="26">
        <v>18.91</v>
      </c>
    </row>
    <row r="246" spans="1:5" x14ac:dyDescent="0.2">
      <c r="A246" s="25">
        <v>45510</v>
      </c>
      <c r="B246" s="26">
        <v>206.99040199999999</v>
      </c>
      <c r="C246" s="26">
        <v>68.050003000000004</v>
      </c>
      <c r="D246" s="26">
        <v>200.33999600000001</v>
      </c>
      <c r="E246" s="26">
        <v>19.190000999999999</v>
      </c>
    </row>
    <row r="247" spans="1:5" x14ac:dyDescent="0.2">
      <c r="A247" s="25">
        <v>45511</v>
      </c>
      <c r="B247" s="26">
        <v>209.57742300000001</v>
      </c>
      <c r="C247" s="26">
        <v>68.459998999999996</v>
      </c>
      <c r="D247" s="26">
        <v>200.39999399999999</v>
      </c>
      <c r="E247" s="26">
        <v>19.25</v>
      </c>
    </row>
    <row r="248" spans="1:5" x14ac:dyDescent="0.2">
      <c r="A248" s="25">
        <v>45512</v>
      </c>
      <c r="B248" s="26">
        <v>213.06338500000001</v>
      </c>
      <c r="C248" s="26">
        <v>68.730002999999996</v>
      </c>
      <c r="D248" s="26">
        <v>204.05999800000001</v>
      </c>
      <c r="E248" s="26">
        <v>19.399999999999999</v>
      </c>
    </row>
    <row r="249" spans="1:5" x14ac:dyDescent="0.2">
      <c r="A249" s="25">
        <v>45513</v>
      </c>
      <c r="B249" s="26">
        <v>215.990005</v>
      </c>
      <c r="C249" s="26">
        <v>68.680000000000007</v>
      </c>
      <c r="D249" s="26">
        <v>205.800003</v>
      </c>
      <c r="E249" s="26">
        <v>19.489999999999998</v>
      </c>
    </row>
    <row r="250" spans="1:5" x14ac:dyDescent="0.2">
      <c r="A250" s="25">
        <v>45516</v>
      </c>
      <c r="B250" s="26">
        <v>217.529999</v>
      </c>
      <c r="C250" s="26">
        <v>68.169998000000007</v>
      </c>
      <c r="D250" s="26">
        <v>206.19000199999999</v>
      </c>
      <c r="E250" s="26">
        <v>19.43</v>
      </c>
    </row>
    <row r="251" spans="1:5" x14ac:dyDescent="0.2">
      <c r="A251" s="25">
        <v>45517</v>
      </c>
      <c r="B251" s="26">
        <v>221.270004</v>
      </c>
      <c r="C251" s="26">
        <v>68.459998999999996</v>
      </c>
      <c r="D251" s="26">
        <v>207.94000199999999</v>
      </c>
      <c r="E251" s="26">
        <v>19.52</v>
      </c>
    </row>
    <row r="252" spans="1:5" x14ac:dyDescent="0.2">
      <c r="A252" s="25">
        <v>45518</v>
      </c>
      <c r="B252" s="26">
        <v>221.720001</v>
      </c>
      <c r="C252" s="26">
        <v>68.580001999999993</v>
      </c>
      <c r="D252" s="26">
        <v>210.240005</v>
      </c>
      <c r="E252" s="26">
        <v>19.629999000000002</v>
      </c>
    </row>
    <row r="253" spans="1:5" x14ac:dyDescent="0.2">
      <c r="A253" s="25">
        <v>45519</v>
      </c>
      <c r="B253" s="26">
        <v>224.720001</v>
      </c>
      <c r="C253" s="26">
        <v>68.650002000000001</v>
      </c>
      <c r="D253" s="26">
        <v>211.550003</v>
      </c>
      <c r="E253" s="26">
        <v>19.09</v>
      </c>
    </row>
    <row r="254" spans="1:5" x14ac:dyDescent="0.2">
      <c r="A254" s="25">
        <v>45520</v>
      </c>
      <c r="B254" s="26">
        <v>226.050003</v>
      </c>
      <c r="C254" s="26">
        <v>69.180000000000007</v>
      </c>
      <c r="D254" s="26">
        <v>213.970001</v>
      </c>
      <c r="E254" s="26">
        <v>19.34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1AB39-366A-4DA0-8AF5-1BBFC178B52A}">
  <dimension ref="A1:AF1005"/>
  <sheetViews>
    <sheetView showGridLines="0" zoomScale="150" zoomScaleNormal="150" workbookViewId="0">
      <selection activeCell="C7" sqref="C7"/>
    </sheetView>
  </sheetViews>
  <sheetFormatPr baseColWidth="10" defaultColWidth="10.6640625" defaultRowHeight="15" x14ac:dyDescent="0.2"/>
  <cols>
    <col min="1" max="1" width="11.5" style="4" bestFit="1" customWidth="1"/>
    <col min="2" max="2" width="13.33203125" style="4" customWidth="1"/>
    <col min="3" max="3" width="12.83203125" style="4" bestFit="1" customWidth="1"/>
    <col min="4" max="4" width="10.83203125" style="21" customWidth="1"/>
    <col min="5" max="5" width="12.5" style="4" bestFit="1" customWidth="1"/>
    <col min="6" max="6" width="11.6640625" style="22" bestFit="1" customWidth="1"/>
    <col min="7" max="7" width="10.83203125" style="22" bestFit="1" customWidth="1"/>
    <col min="8" max="10" width="10.6640625" style="22"/>
    <col min="11" max="11" width="10.83203125" style="22" customWidth="1"/>
    <col min="12" max="32" width="10.6640625" style="22"/>
    <col min="33" max="16384" width="10.6640625" style="4"/>
  </cols>
  <sheetData>
    <row r="1" spans="1:15" x14ac:dyDescent="0.2">
      <c r="A1" s="23" t="s">
        <v>4</v>
      </c>
      <c r="B1" s="24" t="s">
        <v>12</v>
      </c>
      <c r="C1" s="24" t="s">
        <v>13</v>
      </c>
      <c r="D1" s="24" t="s">
        <v>14</v>
      </c>
      <c r="E1" s="24" t="s">
        <v>15</v>
      </c>
    </row>
    <row r="2" spans="1:15" ht="14.25" customHeight="1" x14ac:dyDescent="0.2">
      <c r="A2" s="25">
        <v>45154</v>
      </c>
      <c r="B2" s="26">
        <v>175.67108200000001</v>
      </c>
      <c r="C2" s="26">
        <v>58.602820999999999</v>
      </c>
      <c r="D2" s="26">
        <v>146.505066</v>
      </c>
      <c r="E2" s="26">
        <v>13.196151</v>
      </c>
      <c r="J2" s="22" t="s">
        <v>16</v>
      </c>
    </row>
    <row r="3" spans="1:15" ht="14.25" customHeight="1" x14ac:dyDescent="0.2">
      <c r="A3" s="25">
        <v>45155</v>
      </c>
      <c r="B3" s="26">
        <v>173.11415099999999</v>
      </c>
      <c r="C3" s="26">
        <v>58.728789999999996</v>
      </c>
      <c r="D3" s="26">
        <v>144.98335299999999</v>
      </c>
      <c r="E3" s="26">
        <v>13.111919</v>
      </c>
      <c r="J3" s="22" t="s">
        <v>17</v>
      </c>
    </row>
    <row r="4" spans="1:15" x14ac:dyDescent="0.2">
      <c r="A4" s="25">
        <v>45156</v>
      </c>
      <c r="B4" s="26">
        <v>173.601654</v>
      </c>
      <c r="C4" s="26">
        <v>59.058239</v>
      </c>
      <c r="D4" s="26">
        <v>145.31500199999999</v>
      </c>
      <c r="E4" s="26">
        <v>13.149357</v>
      </c>
      <c r="J4" s="22" t="s">
        <v>18</v>
      </c>
    </row>
    <row r="5" spans="1:15" x14ac:dyDescent="0.2">
      <c r="A5" s="25">
        <v>45159</v>
      </c>
      <c r="B5" s="26">
        <v>174.94477800000001</v>
      </c>
      <c r="C5" s="26">
        <v>58.554378999999997</v>
      </c>
      <c r="D5" s="26">
        <v>145.8125</v>
      </c>
      <c r="E5" s="26">
        <v>13.196151</v>
      </c>
      <c r="J5" s="22" t="s">
        <v>19</v>
      </c>
    </row>
    <row r="6" spans="1:15" x14ac:dyDescent="0.2">
      <c r="A6" s="25">
        <v>45160</v>
      </c>
      <c r="B6" s="26">
        <v>176.327698</v>
      </c>
      <c r="C6" s="26">
        <v>58.195861999999998</v>
      </c>
      <c r="D6" s="26">
        <v>142.78855899999999</v>
      </c>
      <c r="E6" s="26">
        <v>13.345895000000001</v>
      </c>
    </row>
    <row r="7" spans="1:15" x14ac:dyDescent="0.2">
      <c r="A7" s="25">
        <v>45161</v>
      </c>
      <c r="B7" s="26">
        <v>180.19790599999999</v>
      </c>
      <c r="C7" s="26">
        <v>58.399344999999997</v>
      </c>
      <c r="D7" s="26">
        <v>143.754257</v>
      </c>
      <c r="E7" s="26">
        <v>13.252305</v>
      </c>
      <c r="O7" s="22" t="s">
        <v>20</v>
      </c>
    </row>
    <row r="8" spans="1:15" x14ac:dyDescent="0.2">
      <c r="A8" s="25">
        <v>45162</v>
      </c>
      <c r="B8" s="26">
        <v>175.48202499999999</v>
      </c>
      <c r="C8" s="26">
        <v>58.244312000000001</v>
      </c>
      <c r="D8" s="26">
        <v>143.61769100000001</v>
      </c>
      <c r="E8" s="26">
        <v>13.242945000000001</v>
      </c>
      <c r="K8" s="27"/>
      <c r="O8" s="22" t="s">
        <v>21</v>
      </c>
    </row>
    <row r="9" spans="1:15" x14ac:dyDescent="0.2">
      <c r="A9" s="25">
        <v>45163</v>
      </c>
      <c r="B9" s="26">
        <v>177.70069899999999</v>
      </c>
      <c r="C9" s="26">
        <v>58.515616999999999</v>
      </c>
      <c r="D9" s="26">
        <v>143.44210799999999</v>
      </c>
      <c r="E9" s="26">
        <v>13.205508999999999</v>
      </c>
      <c r="K9" s="28"/>
    </row>
    <row r="10" spans="1:15" x14ac:dyDescent="0.2">
      <c r="A10" s="25">
        <v>45166</v>
      </c>
      <c r="B10" s="26">
        <v>179.272659</v>
      </c>
      <c r="C10" s="26">
        <v>58.680340000000001</v>
      </c>
      <c r="D10" s="26">
        <v>143.939606</v>
      </c>
      <c r="E10" s="26">
        <v>13.299099</v>
      </c>
      <c r="K10" s="28"/>
    </row>
    <row r="11" spans="1:15" x14ac:dyDescent="0.2">
      <c r="A11" s="25">
        <v>45167</v>
      </c>
      <c r="B11" s="26">
        <v>183.18263200000001</v>
      </c>
      <c r="C11" s="26">
        <v>58.622204000000004</v>
      </c>
      <c r="D11" s="26">
        <v>145.110153</v>
      </c>
      <c r="E11" s="26">
        <v>13.823200999999999</v>
      </c>
      <c r="K11" s="28"/>
    </row>
    <row r="12" spans="1:15" x14ac:dyDescent="0.2">
      <c r="A12" s="25">
        <v>45168</v>
      </c>
      <c r="B12" s="26">
        <v>186.69465600000001</v>
      </c>
      <c r="C12" s="26">
        <v>58.593136000000001</v>
      </c>
      <c r="D12" s="26">
        <v>144.52487199999999</v>
      </c>
      <c r="E12" s="26">
        <v>13.785766000000001</v>
      </c>
      <c r="K12" s="28"/>
    </row>
    <row r="13" spans="1:15" x14ac:dyDescent="0.2">
      <c r="A13" s="25">
        <v>45169</v>
      </c>
      <c r="B13" s="26">
        <v>186.913544</v>
      </c>
      <c r="C13" s="26">
        <v>57.973002999999999</v>
      </c>
      <c r="D13" s="26">
        <v>142.739777</v>
      </c>
      <c r="E13" s="26">
        <v>13.841919000000001</v>
      </c>
      <c r="K13" s="28"/>
    </row>
    <row r="14" spans="1:15" x14ac:dyDescent="0.2">
      <c r="A14" s="25">
        <v>45170</v>
      </c>
      <c r="B14" s="26">
        <v>188.49546799999999</v>
      </c>
      <c r="C14" s="26">
        <v>57.469138999999998</v>
      </c>
      <c r="D14" s="26">
        <v>143.217758</v>
      </c>
      <c r="E14" s="26">
        <v>13.710893</v>
      </c>
      <c r="K14" s="28"/>
    </row>
    <row r="15" spans="1:15" x14ac:dyDescent="0.2">
      <c r="A15" s="25">
        <v>45174</v>
      </c>
      <c r="B15" s="26">
        <v>188.734238</v>
      </c>
      <c r="C15" s="26">
        <v>56.994346999999998</v>
      </c>
      <c r="D15" s="26">
        <v>141.63748200000001</v>
      </c>
      <c r="E15" s="26">
        <v>13.551791</v>
      </c>
      <c r="K15" s="28"/>
    </row>
    <row r="16" spans="1:15" x14ac:dyDescent="0.2">
      <c r="A16" s="25">
        <v>45175</v>
      </c>
      <c r="B16" s="26">
        <v>181.97880599999999</v>
      </c>
      <c r="C16" s="26">
        <v>56.955589000000003</v>
      </c>
      <c r="D16" s="26">
        <v>141.403412</v>
      </c>
      <c r="E16" s="26">
        <v>13.673458</v>
      </c>
      <c r="K16" s="28"/>
    </row>
    <row r="17" spans="1:11" x14ac:dyDescent="0.2">
      <c r="A17" s="25">
        <v>45176</v>
      </c>
      <c r="B17" s="26">
        <v>176.656036</v>
      </c>
      <c r="C17" s="26">
        <v>56.519558000000004</v>
      </c>
      <c r="D17" s="26">
        <v>140.19380200000001</v>
      </c>
      <c r="E17" s="26">
        <v>13.673458</v>
      </c>
      <c r="K17" s="28"/>
    </row>
    <row r="18" spans="1:11" x14ac:dyDescent="0.2">
      <c r="A18" s="25">
        <v>45177</v>
      </c>
      <c r="B18" s="26">
        <v>177.27285800000001</v>
      </c>
      <c r="C18" s="26">
        <v>56.519558000000004</v>
      </c>
      <c r="D18" s="26">
        <v>140.301117</v>
      </c>
      <c r="E18" s="26">
        <v>13.47692</v>
      </c>
      <c r="K18" s="28"/>
    </row>
    <row r="19" spans="1:11" x14ac:dyDescent="0.2">
      <c r="A19" s="25">
        <v>45180</v>
      </c>
      <c r="B19" s="26">
        <v>178.446854</v>
      </c>
      <c r="C19" s="26">
        <v>57.052486000000002</v>
      </c>
      <c r="D19" s="26">
        <v>140.91566499999999</v>
      </c>
      <c r="E19" s="26">
        <v>13.589228</v>
      </c>
      <c r="K19" s="28"/>
    </row>
    <row r="20" spans="1:11" x14ac:dyDescent="0.2">
      <c r="A20" s="25">
        <v>45181</v>
      </c>
      <c r="B20" s="26">
        <v>175.40245100000001</v>
      </c>
      <c r="C20" s="26">
        <v>56.490485999999997</v>
      </c>
      <c r="D20" s="26">
        <v>142.74954199999999</v>
      </c>
      <c r="E20" s="26">
        <v>13.533073</v>
      </c>
      <c r="K20" s="28"/>
    </row>
    <row r="21" spans="1:11" x14ac:dyDescent="0.2">
      <c r="A21" s="25">
        <v>45182</v>
      </c>
      <c r="B21" s="26">
        <v>173.32309000000001</v>
      </c>
      <c r="C21" s="26">
        <v>56.626140999999997</v>
      </c>
      <c r="D21" s="26">
        <v>142.817825</v>
      </c>
      <c r="E21" s="26">
        <v>13.682817</v>
      </c>
      <c r="K21" s="28"/>
    </row>
    <row r="22" spans="1:11" x14ac:dyDescent="0.2">
      <c r="A22" s="25">
        <v>45183</v>
      </c>
      <c r="B22" s="26">
        <v>174.84530599999999</v>
      </c>
      <c r="C22" s="26">
        <v>57.094935999999997</v>
      </c>
      <c r="D22" s="26">
        <v>145.58813499999999</v>
      </c>
      <c r="E22" s="26">
        <v>14.094611</v>
      </c>
      <c r="K22" s="28"/>
    </row>
    <row r="23" spans="1:11" x14ac:dyDescent="0.2">
      <c r="A23" s="25">
        <v>45184</v>
      </c>
      <c r="B23" s="26">
        <v>174.11900299999999</v>
      </c>
      <c r="C23" s="26">
        <v>56.587074000000001</v>
      </c>
      <c r="D23" s="26">
        <v>145.15891999999999</v>
      </c>
      <c r="E23" s="26">
        <v>14.253714</v>
      </c>
      <c r="K23" s="28"/>
    </row>
    <row r="24" spans="1:11" x14ac:dyDescent="0.2">
      <c r="A24" s="25">
        <v>45187</v>
      </c>
      <c r="B24" s="26">
        <v>177.06393399999999</v>
      </c>
      <c r="C24" s="26">
        <v>56.938667000000002</v>
      </c>
      <c r="D24" s="26">
        <v>145.461319</v>
      </c>
      <c r="E24" s="26">
        <v>14.122688</v>
      </c>
      <c r="K24" s="28"/>
    </row>
    <row r="25" spans="1:11" x14ac:dyDescent="0.2">
      <c r="A25" s="25">
        <v>45188</v>
      </c>
      <c r="B25" s="26">
        <v>178.15834000000001</v>
      </c>
      <c r="C25" s="26">
        <v>56.821472</v>
      </c>
      <c r="D25" s="26">
        <v>145.27597</v>
      </c>
      <c r="E25" s="26">
        <v>14.234997</v>
      </c>
      <c r="K25" s="28"/>
    </row>
    <row r="26" spans="1:11" x14ac:dyDescent="0.2">
      <c r="A26" s="25">
        <v>45189</v>
      </c>
      <c r="B26" s="26">
        <v>174.59657300000001</v>
      </c>
      <c r="C26" s="26">
        <v>57.075400999999999</v>
      </c>
      <c r="D26" s="26">
        <v>144.66145299999999</v>
      </c>
      <c r="E26" s="26">
        <v>14.553202000000001</v>
      </c>
      <c r="K26" s="28"/>
    </row>
    <row r="27" spans="1:11" x14ac:dyDescent="0.2">
      <c r="A27" s="25">
        <v>45190</v>
      </c>
      <c r="B27" s="26">
        <v>173.04452499999999</v>
      </c>
      <c r="C27" s="26">
        <v>56.196418999999999</v>
      </c>
      <c r="D27" s="26">
        <v>143.52990700000001</v>
      </c>
      <c r="E27" s="26">
        <v>14.328587000000001</v>
      </c>
      <c r="K27" s="28"/>
    </row>
    <row r="28" spans="1:11" x14ac:dyDescent="0.2">
      <c r="A28" s="25">
        <v>45191</v>
      </c>
      <c r="B28" s="26">
        <v>173.900116</v>
      </c>
      <c r="C28" s="26">
        <v>56.255015999999998</v>
      </c>
      <c r="D28" s="26">
        <v>142.15448000000001</v>
      </c>
      <c r="E28" s="26">
        <v>14.150764000000001</v>
      </c>
      <c r="K28" s="28"/>
    </row>
    <row r="29" spans="1:11" x14ac:dyDescent="0.2">
      <c r="A29" s="25">
        <v>45194</v>
      </c>
      <c r="B29" s="26">
        <v>175.18356299999999</v>
      </c>
      <c r="C29" s="26">
        <v>55.669029000000002</v>
      </c>
      <c r="D29" s="26">
        <v>142.856842</v>
      </c>
      <c r="E29" s="26">
        <v>14.094611</v>
      </c>
      <c r="K29" s="28"/>
    </row>
    <row r="30" spans="1:11" x14ac:dyDescent="0.2">
      <c r="A30" s="25">
        <v>45195</v>
      </c>
      <c r="B30" s="26">
        <v>171.08453399999999</v>
      </c>
      <c r="C30" s="26">
        <v>55.209999000000003</v>
      </c>
      <c r="D30" s="26">
        <v>141.37413000000001</v>
      </c>
      <c r="E30" s="26">
        <v>14.057176</v>
      </c>
      <c r="K30" s="28"/>
    </row>
    <row r="31" spans="1:11" x14ac:dyDescent="0.2">
      <c r="A31" s="25">
        <v>45196</v>
      </c>
      <c r="B31" s="26">
        <v>169.56231700000001</v>
      </c>
      <c r="C31" s="26">
        <v>54.643543000000001</v>
      </c>
      <c r="D31" s="26">
        <v>142.203262</v>
      </c>
      <c r="E31" s="26">
        <v>13.916791</v>
      </c>
      <c r="K31" s="28"/>
    </row>
    <row r="32" spans="1:11" x14ac:dyDescent="0.2">
      <c r="A32" s="25">
        <v>45197</v>
      </c>
      <c r="B32" s="26">
        <v>169.82101399999999</v>
      </c>
      <c r="C32" s="26">
        <v>54.506816999999998</v>
      </c>
      <c r="D32" s="26">
        <v>143.968872</v>
      </c>
      <c r="E32" s="26">
        <v>14.047817</v>
      </c>
      <c r="K32" s="28"/>
    </row>
    <row r="33" spans="1:11" x14ac:dyDescent="0.2">
      <c r="A33" s="25">
        <v>45198</v>
      </c>
      <c r="B33" s="26">
        <v>170.33836400000001</v>
      </c>
      <c r="C33" s="26">
        <v>54.672840000000001</v>
      </c>
      <c r="D33" s="26">
        <v>141.46191400000001</v>
      </c>
      <c r="E33" s="26">
        <v>14.057176</v>
      </c>
      <c r="K33" s="28"/>
    </row>
    <row r="34" spans="1:11" x14ac:dyDescent="0.2">
      <c r="A34" s="25">
        <v>45201</v>
      </c>
      <c r="B34" s="26">
        <v>172.865433</v>
      </c>
      <c r="C34" s="26">
        <v>54.184517</v>
      </c>
      <c r="D34" s="26">
        <v>140.24259900000001</v>
      </c>
      <c r="E34" s="26">
        <v>13.729611</v>
      </c>
      <c r="K34" s="28"/>
    </row>
    <row r="35" spans="1:11" x14ac:dyDescent="0.2">
      <c r="A35" s="25">
        <v>45202</v>
      </c>
      <c r="B35" s="26">
        <v>171.52229299999999</v>
      </c>
      <c r="C35" s="26">
        <v>53.598529999999997</v>
      </c>
      <c r="D35" s="26">
        <v>139.208618</v>
      </c>
      <c r="E35" s="26">
        <v>13.832561</v>
      </c>
      <c r="K35" s="28"/>
    </row>
    <row r="36" spans="1:11" x14ac:dyDescent="0.2">
      <c r="A36" s="25">
        <v>45203</v>
      </c>
      <c r="B36" s="26">
        <v>172.77589399999999</v>
      </c>
      <c r="C36" s="26">
        <v>53.754795000000001</v>
      </c>
      <c r="D36" s="26">
        <v>139.832886</v>
      </c>
      <c r="E36" s="26">
        <v>13.710893</v>
      </c>
      <c r="K36" s="28"/>
    </row>
    <row r="37" spans="1:11" x14ac:dyDescent="0.2">
      <c r="A37" s="25">
        <v>45204</v>
      </c>
      <c r="B37" s="26">
        <v>174.019531</v>
      </c>
      <c r="C37" s="26">
        <v>51.156905999999999</v>
      </c>
      <c r="D37" s="26">
        <v>140.42248499999999</v>
      </c>
      <c r="E37" s="26">
        <v>13.879355</v>
      </c>
      <c r="K37" s="28"/>
    </row>
    <row r="38" spans="1:11" x14ac:dyDescent="0.2">
      <c r="A38" s="25">
        <v>45205</v>
      </c>
      <c r="B38" s="26">
        <v>176.586411</v>
      </c>
      <c r="C38" s="26">
        <v>51.899158</v>
      </c>
      <c r="D38" s="26">
        <v>142.584351</v>
      </c>
      <c r="E38" s="26">
        <v>13.782069999999999</v>
      </c>
      <c r="K38" s="28"/>
    </row>
    <row r="39" spans="1:11" x14ac:dyDescent="0.2">
      <c r="A39" s="25">
        <v>45208</v>
      </c>
      <c r="B39" s="26">
        <v>178.07875100000001</v>
      </c>
      <c r="C39" s="26">
        <v>51.645232999999998</v>
      </c>
      <c r="D39" s="26">
        <v>142.260086</v>
      </c>
      <c r="E39" s="26">
        <v>14.049127</v>
      </c>
      <c r="K39" s="28"/>
    </row>
    <row r="40" spans="1:11" x14ac:dyDescent="0.2">
      <c r="A40" s="25">
        <v>45209</v>
      </c>
      <c r="B40" s="26">
        <v>177.48181199999999</v>
      </c>
      <c r="C40" s="26">
        <v>52.768374999999999</v>
      </c>
      <c r="D40" s="26">
        <v>143.12480199999999</v>
      </c>
      <c r="E40" s="26">
        <v>14.268497</v>
      </c>
      <c r="K40" s="28"/>
    </row>
    <row r="41" spans="1:11" x14ac:dyDescent="0.2">
      <c r="A41" s="25">
        <v>45210</v>
      </c>
      <c r="B41" s="26">
        <v>178.88462799999999</v>
      </c>
      <c r="C41" s="26">
        <v>52.455849000000001</v>
      </c>
      <c r="D41" s="26">
        <v>143.61615</v>
      </c>
      <c r="E41" s="26">
        <v>14.087278</v>
      </c>
      <c r="K41" s="28"/>
    </row>
    <row r="42" spans="1:11" x14ac:dyDescent="0.2">
      <c r="A42" s="25">
        <v>45211</v>
      </c>
      <c r="B42" s="26">
        <v>179.790009</v>
      </c>
      <c r="C42" s="26">
        <v>51.576866000000003</v>
      </c>
      <c r="D42" s="26">
        <v>143.282028</v>
      </c>
      <c r="E42" s="26">
        <v>13.782069999999999</v>
      </c>
      <c r="K42" s="28"/>
    </row>
    <row r="43" spans="1:11" x14ac:dyDescent="0.2">
      <c r="A43" s="25">
        <v>45212</v>
      </c>
      <c r="B43" s="26">
        <v>177.93946800000001</v>
      </c>
      <c r="C43" s="26">
        <v>51.654995</v>
      </c>
      <c r="D43" s="26">
        <v>145.43408199999999</v>
      </c>
      <c r="E43" s="26">
        <v>13.696229000000001</v>
      </c>
      <c r="K43" s="28"/>
    </row>
    <row r="44" spans="1:11" x14ac:dyDescent="0.2">
      <c r="A44" s="25">
        <v>45215</v>
      </c>
      <c r="B44" s="26">
        <v>177.810135</v>
      </c>
      <c r="C44" s="26">
        <v>52.182383999999999</v>
      </c>
      <c r="D44" s="26">
        <v>145.28668200000001</v>
      </c>
      <c r="E44" s="26">
        <v>13.743919</v>
      </c>
      <c r="K44" s="28"/>
    </row>
    <row r="45" spans="1:11" x14ac:dyDescent="0.2">
      <c r="A45" s="25">
        <v>45216</v>
      </c>
      <c r="B45" s="26">
        <v>176.248108</v>
      </c>
      <c r="C45" s="26">
        <v>52.807445999999999</v>
      </c>
      <c r="D45" s="26">
        <v>144.97221400000001</v>
      </c>
      <c r="E45" s="26">
        <v>13.906060999999999</v>
      </c>
      <c r="K45" s="28"/>
    </row>
    <row r="46" spans="1:11" x14ac:dyDescent="0.2">
      <c r="A46" s="25">
        <v>45217</v>
      </c>
      <c r="B46" s="26">
        <v>174.94477800000001</v>
      </c>
      <c r="C46" s="26">
        <v>52.787909999999997</v>
      </c>
      <c r="D46" s="26">
        <v>143.380325</v>
      </c>
      <c r="E46" s="26">
        <v>13.658078</v>
      </c>
      <c r="K46" s="28"/>
    </row>
    <row r="47" spans="1:11" x14ac:dyDescent="0.2">
      <c r="A47" s="25">
        <v>45218</v>
      </c>
      <c r="B47" s="26">
        <v>174.566742</v>
      </c>
      <c r="C47" s="26">
        <v>53.080902000000002</v>
      </c>
      <c r="D47" s="26">
        <v>142.77105700000001</v>
      </c>
      <c r="E47" s="26">
        <v>14.554627999999999</v>
      </c>
      <c r="K47" s="28"/>
    </row>
    <row r="48" spans="1:11" x14ac:dyDescent="0.2">
      <c r="A48" s="25">
        <v>45219</v>
      </c>
      <c r="B48" s="26">
        <v>171.999863</v>
      </c>
      <c r="C48" s="26">
        <v>53.295769</v>
      </c>
      <c r="D48" s="26">
        <v>140.47163399999999</v>
      </c>
      <c r="E48" s="26">
        <v>14.669083000000001</v>
      </c>
      <c r="K48" s="28"/>
    </row>
    <row r="49" spans="1:11" x14ac:dyDescent="0.2">
      <c r="A49" s="25">
        <v>45222</v>
      </c>
      <c r="B49" s="26">
        <v>172.119247</v>
      </c>
      <c r="C49" s="26">
        <v>52.817211</v>
      </c>
      <c r="D49" s="26">
        <v>138.55543499999999</v>
      </c>
      <c r="E49" s="26">
        <v>14.258959000000001</v>
      </c>
      <c r="K49" s="28"/>
    </row>
    <row r="50" spans="1:11" x14ac:dyDescent="0.2">
      <c r="A50" s="25">
        <v>45223</v>
      </c>
      <c r="B50" s="26">
        <v>172.55702199999999</v>
      </c>
      <c r="C50" s="26">
        <v>54.340781999999997</v>
      </c>
      <c r="D50" s="26">
        <v>138.722488</v>
      </c>
      <c r="E50" s="26">
        <v>14.812148000000001</v>
      </c>
      <c r="K50" s="28"/>
    </row>
    <row r="51" spans="1:11" x14ac:dyDescent="0.2">
      <c r="A51" s="25">
        <v>45224</v>
      </c>
      <c r="B51" s="26">
        <v>170.228928</v>
      </c>
      <c r="C51" s="26">
        <v>54.809573999999998</v>
      </c>
      <c r="D51" s="26">
        <v>137.96582000000001</v>
      </c>
      <c r="E51" s="26">
        <v>14.487864</v>
      </c>
      <c r="K51" s="28"/>
    </row>
    <row r="52" spans="1:11" x14ac:dyDescent="0.2">
      <c r="A52" s="25">
        <v>45225</v>
      </c>
      <c r="B52" s="26">
        <v>166.04037500000001</v>
      </c>
      <c r="C52" s="26">
        <v>54.477511999999997</v>
      </c>
      <c r="D52" s="26">
        <v>138.31959499999999</v>
      </c>
      <c r="E52" s="26">
        <v>14.421099999999999</v>
      </c>
      <c r="K52" s="28"/>
    </row>
    <row r="53" spans="1:11" x14ac:dyDescent="0.2">
      <c r="A53" s="25">
        <v>45226</v>
      </c>
      <c r="B53" s="26">
        <v>167.363586</v>
      </c>
      <c r="C53" s="26">
        <v>53.950127000000002</v>
      </c>
      <c r="D53" s="26">
        <v>133.33750900000001</v>
      </c>
      <c r="E53" s="26">
        <v>14.134968000000001</v>
      </c>
      <c r="K53" s="28"/>
    </row>
    <row r="54" spans="1:11" x14ac:dyDescent="0.2">
      <c r="A54" s="25">
        <v>45229</v>
      </c>
      <c r="B54" s="26">
        <v>169.423035</v>
      </c>
      <c r="C54" s="26">
        <v>54.838875000000002</v>
      </c>
      <c r="D54" s="26">
        <v>135.03750600000001</v>
      </c>
      <c r="E54" s="26">
        <v>14.554627999999999</v>
      </c>
      <c r="K54" s="28"/>
    </row>
    <row r="55" spans="1:11" x14ac:dyDescent="0.2">
      <c r="A55" s="25">
        <v>45230</v>
      </c>
      <c r="B55" s="26">
        <v>169.90060399999999</v>
      </c>
      <c r="C55" s="26">
        <v>55.170937000000002</v>
      </c>
      <c r="D55" s="26">
        <v>136.649078</v>
      </c>
      <c r="E55" s="26">
        <v>14.688157</v>
      </c>
      <c r="K55" s="28"/>
    </row>
    <row r="56" spans="1:11" x14ac:dyDescent="0.2">
      <c r="A56" s="25">
        <v>45231</v>
      </c>
      <c r="B56" s="26">
        <v>173.08431999999999</v>
      </c>
      <c r="C56" s="26">
        <v>55.122101000000001</v>
      </c>
      <c r="D56" s="26">
        <v>136.531158</v>
      </c>
      <c r="E56" s="26">
        <v>14.859838</v>
      </c>
      <c r="K56" s="28"/>
    </row>
    <row r="57" spans="1:11" x14ac:dyDescent="0.2">
      <c r="A57" s="25">
        <v>45232</v>
      </c>
      <c r="B57" s="26">
        <v>176.666</v>
      </c>
      <c r="C57" s="26">
        <v>55.756923999999998</v>
      </c>
      <c r="D57" s="26">
        <v>138.96814000000001</v>
      </c>
      <c r="E57" s="26">
        <v>15.002903999999999</v>
      </c>
      <c r="K57" s="28"/>
    </row>
    <row r="58" spans="1:11" x14ac:dyDescent="0.2">
      <c r="A58" s="25">
        <v>45233</v>
      </c>
      <c r="B58" s="26">
        <v>175.75065599999999</v>
      </c>
      <c r="C58" s="26">
        <v>55.415095999999998</v>
      </c>
      <c r="D58" s="26">
        <v>140.52076700000001</v>
      </c>
      <c r="E58" s="26">
        <v>15.14597</v>
      </c>
      <c r="K58" s="28"/>
    </row>
    <row r="59" spans="1:11" x14ac:dyDescent="0.2">
      <c r="A59" s="25">
        <v>45236</v>
      </c>
      <c r="B59" s="26">
        <v>178.31753499999999</v>
      </c>
      <c r="C59" s="26">
        <v>55.639729000000003</v>
      </c>
      <c r="D59" s="26">
        <v>141.58204699999999</v>
      </c>
      <c r="E59" s="26">
        <v>15.021978000000001</v>
      </c>
      <c r="K59" s="28"/>
    </row>
    <row r="60" spans="1:11" x14ac:dyDescent="0.2">
      <c r="A60" s="25">
        <v>45237</v>
      </c>
      <c r="B60" s="26">
        <v>180.89434800000001</v>
      </c>
      <c r="C60" s="26">
        <v>55.844822000000001</v>
      </c>
      <c r="D60" s="26">
        <v>141.513229</v>
      </c>
      <c r="E60" s="26">
        <v>15.10782</v>
      </c>
      <c r="K60" s="28"/>
    </row>
    <row r="61" spans="1:11" x14ac:dyDescent="0.2">
      <c r="A61" s="25">
        <v>45238</v>
      </c>
      <c r="B61" s="26">
        <v>181.958878</v>
      </c>
      <c r="C61" s="26">
        <v>55.756923999999998</v>
      </c>
      <c r="D61" s="26">
        <v>142.21095299999999</v>
      </c>
      <c r="E61" s="26">
        <v>14.926601</v>
      </c>
      <c r="K61" s="28"/>
    </row>
    <row r="62" spans="1:11" x14ac:dyDescent="0.2">
      <c r="A62" s="25">
        <v>45239</v>
      </c>
      <c r="B62" s="26">
        <v>181.48133899999999</v>
      </c>
      <c r="C62" s="26">
        <v>55.336967000000001</v>
      </c>
      <c r="D62" s="26">
        <v>141.78839099999999</v>
      </c>
      <c r="E62" s="26">
        <v>14.907526000000001</v>
      </c>
      <c r="K62" s="28"/>
    </row>
    <row r="63" spans="1:11" x14ac:dyDescent="0.2">
      <c r="A63" s="25">
        <v>45240</v>
      </c>
      <c r="B63" s="26">
        <v>185.69534300000001</v>
      </c>
      <c r="C63" s="26">
        <v>55.395564999999998</v>
      </c>
      <c r="D63" s="26">
        <v>143.89128099999999</v>
      </c>
      <c r="E63" s="26">
        <v>14.917064999999999</v>
      </c>
      <c r="K63" s="28"/>
    </row>
    <row r="64" spans="1:11" x14ac:dyDescent="0.2">
      <c r="A64" s="25">
        <v>45243</v>
      </c>
      <c r="B64" s="26">
        <v>184.101395</v>
      </c>
      <c r="C64" s="26">
        <v>55.600662</v>
      </c>
      <c r="D64" s="26">
        <v>143.25254799999999</v>
      </c>
      <c r="E64" s="26">
        <v>14.859838</v>
      </c>
      <c r="K64" s="28"/>
    </row>
    <row r="65" spans="1:11" x14ac:dyDescent="0.2">
      <c r="A65" s="25">
        <v>45244</v>
      </c>
      <c r="B65" s="26">
        <v>186.731415</v>
      </c>
      <c r="C65" s="26">
        <v>55.766689</v>
      </c>
      <c r="D65" s="26">
        <v>145.86644000000001</v>
      </c>
      <c r="E65" s="26">
        <v>14.907526000000001</v>
      </c>
      <c r="K65" s="28"/>
    </row>
    <row r="66" spans="1:11" x14ac:dyDescent="0.2">
      <c r="A66" s="25">
        <v>45245</v>
      </c>
      <c r="B66" s="26">
        <v>187.29925499999999</v>
      </c>
      <c r="C66" s="26">
        <v>55.874122999999997</v>
      </c>
      <c r="D66" s="26">
        <v>147.14392100000001</v>
      </c>
      <c r="E66" s="26">
        <v>15.031516999999999</v>
      </c>
      <c r="K66" s="28"/>
    </row>
    <row r="67" spans="1:11" x14ac:dyDescent="0.2">
      <c r="A67" s="25">
        <v>45246</v>
      </c>
      <c r="B67" s="26">
        <v>188.99284399999999</v>
      </c>
      <c r="C67" s="26">
        <v>55.815520999999997</v>
      </c>
      <c r="D67" s="26">
        <v>148.824265</v>
      </c>
      <c r="E67" s="26">
        <v>15.14597</v>
      </c>
      <c r="K67" s="28"/>
    </row>
    <row r="68" spans="1:11" x14ac:dyDescent="0.2">
      <c r="A68" s="25">
        <v>45247</v>
      </c>
      <c r="B68" s="26">
        <v>188.972916</v>
      </c>
      <c r="C68" s="26">
        <v>55.922955000000002</v>
      </c>
      <c r="D68" s="26">
        <v>150.17051699999999</v>
      </c>
      <c r="E68" s="26">
        <v>15.165046</v>
      </c>
      <c r="K68" s="28"/>
    </row>
    <row r="69" spans="1:11" x14ac:dyDescent="0.2">
      <c r="A69" s="25">
        <v>45250</v>
      </c>
      <c r="B69" s="26">
        <v>190.726257</v>
      </c>
      <c r="C69" s="26">
        <v>56.059688999999999</v>
      </c>
      <c r="D69" s="26">
        <v>150.63235499999999</v>
      </c>
      <c r="E69" s="26">
        <v>15.355801</v>
      </c>
      <c r="K69" s="28"/>
    </row>
    <row r="70" spans="1:11" x14ac:dyDescent="0.2">
      <c r="A70" s="25">
        <v>45251</v>
      </c>
      <c r="B70" s="26">
        <v>189.91932700000001</v>
      </c>
      <c r="C70" s="26">
        <v>56.674973000000001</v>
      </c>
      <c r="D70" s="26">
        <v>150.31791699999999</v>
      </c>
      <c r="E70" s="26">
        <v>15.441642</v>
      </c>
      <c r="K70" s="28"/>
    </row>
    <row r="71" spans="1:11" x14ac:dyDescent="0.2">
      <c r="A71" s="25">
        <v>45252</v>
      </c>
      <c r="B71" s="26">
        <v>190.586792</v>
      </c>
      <c r="C71" s="26">
        <v>57.055866000000002</v>
      </c>
      <c r="D71" s="26">
        <v>150.671661</v>
      </c>
      <c r="E71" s="26">
        <v>15.422565000000001</v>
      </c>
      <c r="K71" s="28"/>
    </row>
    <row r="72" spans="1:11" x14ac:dyDescent="0.2">
      <c r="A72" s="25">
        <v>45254</v>
      </c>
      <c r="B72" s="26">
        <v>189.25186199999999</v>
      </c>
      <c r="C72" s="26">
        <v>57.202365999999998</v>
      </c>
      <c r="D72" s="26">
        <v>150.878006</v>
      </c>
      <c r="E72" s="26">
        <v>15.460716</v>
      </c>
      <c r="K72" s="28"/>
    </row>
    <row r="73" spans="1:11" x14ac:dyDescent="0.2">
      <c r="A73" s="25">
        <v>45257</v>
      </c>
      <c r="B73" s="26">
        <v>189.07252500000001</v>
      </c>
      <c r="C73" s="26">
        <v>57.094935999999997</v>
      </c>
      <c r="D73" s="26">
        <v>150.53410299999999</v>
      </c>
      <c r="E73" s="26">
        <v>15.460716</v>
      </c>
      <c r="K73" s="28"/>
    </row>
    <row r="74" spans="1:11" x14ac:dyDescent="0.2">
      <c r="A74" s="25">
        <v>45258</v>
      </c>
      <c r="B74" s="26">
        <v>189.68022199999999</v>
      </c>
      <c r="C74" s="26">
        <v>57.212135000000004</v>
      </c>
      <c r="D74" s="26">
        <v>150.878006</v>
      </c>
      <c r="E74" s="26">
        <v>15.432103</v>
      </c>
      <c r="K74" s="28"/>
    </row>
    <row r="75" spans="1:11" x14ac:dyDescent="0.2">
      <c r="A75" s="25">
        <v>45259</v>
      </c>
      <c r="B75" s="26">
        <v>188.65412900000001</v>
      </c>
      <c r="C75" s="26">
        <v>56.870308000000001</v>
      </c>
      <c r="D75" s="26">
        <v>151.64450099999999</v>
      </c>
      <c r="E75" s="26">
        <v>15.546556000000001</v>
      </c>
      <c r="K75" s="28"/>
    </row>
    <row r="76" spans="1:11" x14ac:dyDescent="0.2">
      <c r="A76" s="25">
        <v>45260</v>
      </c>
      <c r="B76" s="26">
        <v>189.23191800000001</v>
      </c>
      <c r="C76" s="26">
        <v>57.529868999999998</v>
      </c>
      <c r="D76" s="26">
        <v>153.37397799999999</v>
      </c>
      <c r="E76" s="26">
        <v>15.804074999999999</v>
      </c>
      <c r="K76" s="28"/>
    </row>
    <row r="77" spans="1:11" x14ac:dyDescent="0.2">
      <c r="A77" s="25">
        <v>45261</v>
      </c>
      <c r="B77" s="26">
        <v>190.51705899999999</v>
      </c>
      <c r="C77" s="26">
        <v>57.726756999999999</v>
      </c>
      <c r="D77" s="26">
        <v>154.12081900000001</v>
      </c>
      <c r="E77" s="26">
        <v>15.985293</v>
      </c>
      <c r="K77" s="28"/>
    </row>
    <row r="78" spans="1:11" x14ac:dyDescent="0.2">
      <c r="A78" s="25">
        <v>45264</v>
      </c>
      <c r="B78" s="26">
        <v>188.71388200000001</v>
      </c>
      <c r="C78" s="26">
        <v>57.657845000000002</v>
      </c>
      <c r="D78" s="26">
        <v>155.25086999999999</v>
      </c>
      <c r="E78" s="26">
        <v>15.889915</v>
      </c>
      <c r="K78" s="28"/>
    </row>
    <row r="79" spans="1:11" x14ac:dyDescent="0.2">
      <c r="A79" s="25">
        <v>45265</v>
      </c>
      <c r="B79" s="26">
        <v>192.68881200000001</v>
      </c>
      <c r="C79" s="26">
        <v>57.746445000000001</v>
      </c>
      <c r="D79" s="26">
        <v>155.23121599999999</v>
      </c>
      <c r="E79" s="26">
        <v>16.424029999999998</v>
      </c>
      <c r="K79" s="28"/>
    </row>
    <row r="80" spans="1:11" x14ac:dyDescent="0.2">
      <c r="A80" s="25">
        <v>45266</v>
      </c>
      <c r="B80" s="26">
        <v>191.59298699999999</v>
      </c>
      <c r="C80" s="26">
        <v>57.687378000000002</v>
      </c>
      <c r="D80" s="26">
        <v>153.60000600000001</v>
      </c>
      <c r="E80" s="26">
        <v>16.156974999999999</v>
      </c>
      <c r="K80" s="28"/>
    </row>
    <row r="81" spans="1:11" x14ac:dyDescent="0.2">
      <c r="A81" s="25">
        <v>45267</v>
      </c>
      <c r="B81" s="26">
        <v>193.53559899999999</v>
      </c>
      <c r="C81" s="26">
        <v>57.825203000000002</v>
      </c>
      <c r="D81" s="26">
        <v>154.071686</v>
      </c>
      <c r="E81" s="26">
        <v>16.300039000000002</v>
      </c>
      <c r="K81" s="28"/>
    </row>
    <row r="82" spans="1:11" x14ac:dyDescent="0.2">
      <c r="A82" s="25">
        <v>45268</v>
      </c>
      <c r="B82" s="26">
        <v>194.97015400000001</v>
      </c>
      <c r="C82" s="26">
        <v>57.697223999999999</v>
      </c>
      <c r="D82" s="26">
        <v>155.77169799999999</v>
      </c>
      <c r="E82" s="26">
        <v>16.137896999999999</v>
      </c>
      <c r="K82" s="28"/>
    </row>
    <row r="83" spans="1:11" x14ac:dyDescent="0.2">
      <c r="A83" s="25">
        <v>45271</v>
      </c>
      <c r="B83" s="26">
        <v>192.44972200000001</v>
      </c>
      <c r="C83" s="26">
        <v>58.120525000000001</v>
      </c>
      <c r="D83" s="26">
        <v>156.341644</v>
      </c>
      <c r="E83" s="26">
        <v>15.851766</v>
      </c>
      <c r="K83" s="28"/>
    </row>
    <row r="84" spans="1:11" x14ac:dyDescent="0.2">
      <c r="A84" s="25">
        <v>45272</v>
      </c>
      <c r="B84" s="26">
        <v>193.97395299999999</v>
      </c>
      <c r="C84" s="26">
        <v>58.494605999999997</v>
      </c>
      <c r="D84" s="26">
        <v>157.73701500000001</v>
      </c>
      <c r="E84" s="26">
        <v>15.651472</v>
      </c>
      <c r="K84" s="28"/>
    </row>
    <row r="85" spans="1:11" x14ac:dyDescent="0.2">
      <c r="A85" s="25">
        <v>45273</v>
      </c>
      <c r="B85" s="26">
        <v>197.21165500000001</v>
      </c>
      <c r="C85" s="26">
        <v>58.996665999999998</v>
      </c>
      <c r="D85" s="26">
        <v>158.26765399999999</v>
      </c>
      <c r="E85" s="26">
        <v>15.689624</v>
      </c>
      <c r="K85" s="28"/>
    </row>
    <row r="86" spans="1:11" x14ac:dyDescent="0.2">
      <c r="A86" s="25">
        <v>45274</v>
      </c>
      <c r="B86" s="26">
        <v>197.36108400000001</v>
      </c>
      <c r="C86" s="26">
        <v>58.120525000000001</v>
      </c>
      <c r="D86" s="26">
        <v>161.14686599999999</v>
      </c>
      <c r="E86" s="26">
        <v>15.880378</v>
      </c>
      <c r="K86" s="28"/>
    </row>
    <row r="87" spans="1:11" x14ac:dyDescent="0.2">
      <c r="A87" s="25">
        <v>45275</v>
      </c>
      <c r="B87" s="26">
        <v>196.82311999999999</v>
      </c>
      <c r="C87" s="26">
        <v>57.687378000000002</v>
      </c>
      <c r="D87" s="26">
        <v>162.36535599999999</v>
      </c>
      <c r="E87" s="26">
        <v>15.756387999999999</v>
      </c>
      <c r="K87" s="28"/>
    </row>
    <row r="88" spans="1:11" x14ac:dyDescent="0.2">
      <c r="A88" s="25">
        <v>45278</v>
      </c>
      <c r="B88" s="26">
        <v>195.149475</v>
      </c>
      <c r="C88" s="26">
        <v>58.100842</v>
      </c>
      <c r="D88" s="26">
        <v>163.348007</v>
      </c>
      <c r="E88" s="26">
        <v>15.699159999999999</v>
      </c>
      <c r="K88" s="28"/>
    </row>
    <row r="89" spans="1:11" x14ac:dyDescent="0.2">
      <c r="A89" s="25">
        <v>45279</v>
      </c>
      <c r="B89" s="26">
        <v>196.19551100000001</v>
      </c>
      <c r="C89" s="26">
        <v>57.913798999999997</v>
      </c>
      <c r="D89" s="26">
        <v>165.52950999999999</v>
      </c>
      <c r="E89" s="26">
        <v>15.842228</v>
      </c>
      <c r="K89" s="28"/>
    </row>
    <row r="90" spans="1:11" x14ac:dyDescent="0.2">
      <c r="A90" s="25">
        <v>45280</v>
      </c>
      <c r="B90" s="26">
        <v>194.093491</v>
      </c>
      <c r="C90" s="26">
        <v>56.712798999999997</v>
      </c>
      <c r="D90" s="26">
        <v>163.66246000000001</v>
      </c>
      <c r="E90" s="26">
        <v>15.641933</v>
      </c>
      <c r="K90" s="28"/>
    </row>
    <row r="91" spans="1:11" x14ac:dyDescent="0.2">
      <c r="A91" s="25">
        <v>45281</v>
      </c>
      <c r="B91" s="26">
        <v>193.944031</v>
      </c>
      <c r="C91" s="26">
        <v>57.086883999999998</v>
      </c>
      <c r="D91" s="26">
        <v>164.59599299999999</v>
      </c>
      <c r="E91" s="26">
        <v>15.727774999999999</v>
      </c>
      <c r="K91" s="28"/>
    </row>
    <row r="92" spans="1:11" x14ac:dyDescent="0.2">
      <c r="A92" s="25">
        <v>45282</v>
      </c>
      <c r="B92" s="26">
        <v>192.868134</v>
      </c>
      <c r="C92" s="26">
        <v>57.411738999999997</v>
      </c>
      <c r="D92" s="26">
        <v>164.497726</v>
      </c>
      <c r="E92" s="26">
        <v>15.784998999999999</v>
      </c>
      <c r="K92" s="28"/>
    </row>
    <row r="93" spans="1:11" x14ac:dyDescent="0.2">
      <c r="A93" s="25">
        <v>45286</v>
      </c>
      <c r="B93" s="26">
        <v>192.320221</v>
      </c>
      <c r="C93" s="26">
        <v>57.648003000000003</v>
      </c>
      <c r="D93" s="26">
        <v>165.47056599999999</v>
      </c>
      <c r="E93" s="26">
        <v>15.804074999999999</v>
      </c>
      <c r="K93" s="28"/>
    </row>
    <row r="94" spans="1:11" x14ac:dyDescent="0.2">
      <c r="A94" s="25">
        <v>45287</v>
      </c>
      <c r="B94" s="26">
        <v>192.41982999999999</v>
      </c>
      <c r="C94" s="26">
        <v>57.795662</v>
      </c>
      <c r="D94" s="26">
        <v>166.46305799999999</v>
      </c>
      <c r="E94" s="26">
        <v>15.813613</v>
      </c>
      <c r="K94" s="28"/>
    </row>
    <row r="95" spans="1:11" x14ac:dyDescent="0.2">
      <c r="A95" s="25">
        <v>45288</v>
      </c>
      <c r="B95" s="26">
        <v>192.848206</v>
      </c>
      <c r="C95" s="26">
        <v>57.835045000000001</v>
      </c>
      <c r="D95" s="26">
        <v>167.34747300000001</v>
      </c>
      <c r="E95" s="26">
        <v>15.966218</v>
      </c>
      <c r="K95" s="28"/>
    </row>
    <row r="96" spans="1:11" x14ac:dyDescent="0.2">
      <c r="A96" s="25">
        <v>45289</v>
      </c>
      <c r="B96" s="26">
        <v>191.80216999999999</v>
      </c>
      <c r="C96" s="26">
        <v>58.012238000000004</v>
      </c>
      <c r="D96" s="26">
        <v>167.150925</v>
      </c>
      <c r="E96" s="26">
        <v>16.004370000000002</v>
      </c>
      <c r="K96" s="28"/>
    </row>
    <row r="97" spans="1:11" x14ac:dyDescent="0.2">
      <c r="A97" s="25">
        <v>45293</v>
      </c>
      <c r="B97" s="26">
        <v>184.93821700000001</v>
      </c>
      <c r="C97" s="26">
        <v>58.888378000000003</v>
      </c>
      <c r="D97" s="26">
        <v>169.09660299999999</v>
      </c>
      <c r="E97" s="26">
        <v>16.452643999999999</v>
      </c>
      <c r="K97" s="28"/>
    </row>
    <row r="98" spans="1:11" x14ac:dyDescent="0.2">
      <c r="A98" s="25">
        <v>45294</v>
      </c>
      <c r="B98" s="26">
        <v>183.55346700000001</v>
      </c>
      <c r="C98" s="26">
        <v>59.026195999999999</v>
      </c>
      <c r="D98" s="26">
        <v>168.35960399999999</v>
      </c>
      <c r="E98" s="26">
        <v>16.433568999999999</v>
      </c>
      <c r="K98" s="28"/>
    </row>
    <row r="99" spans="1:11" x14ac:dyDescent="0.2">
      <c r="A99" s="25">
        <v>45295</v>
      </c>
      <c r="B99" s="26">
        <v>181.22232099999999</v>
      </c>
      <c r="C99" s="26">
        <v>58.829310999999997</v>
      </c>
      <c r="D99" s="26">
        <v>169.47685200000001</v>
      </c>
      <c r="E99" s="26">
        <v>16.357265000000002</v>
      </c>
      <c r="K99" s="28"/>
    </row>
    <row r="100" spans="1:11" x14ac:dyDescent="0.2">
      <c r="A100" s="25">
        <v>45296</v>
      </c>
      <c r="B100" s="26">
        <v>180.49508700000001</v>
      </c>
      <c r="C100" s="26">
        <v>58.740715000000002</v>
      </c>
      <c r="D100" s="26">
        <v>170.32714799999999</v>
      </c>
      <c r="E100" s="26">
        <v>16.662476000000002</v>
      </c>
      <c r="K100" s="28"/>
    </row>
    <row r="101" spans="1:11" x14ac:dyDescent="0.2">
      <c r="A101" s="25">
        <v>45299</v>
      </c>
      <c r="B101" s="26">
        <v>184.858521</v>
      </c>
      <c r="C101" s="26">
        <v>59.173865999999997</v>
      </c>
      <c r="D101" s="26">
        <v>170.07998699999999</v>
      </c>
      <c r="E101" s="26">
        <v>16.519407000000001</v>
      </c>
      <c r="K101" s="28"/>
    </row>
    <row r="102" spans="1:11" x14ac:dyDescent="0.2">
      <c r="A102" s="25">
        <v>45300</v>
      </c>
      <c r="B102" s="26">
        <v>184.44010900000001</v>
      </c>
      <c r="C102" s="26">
        <v>59.065578000000002</v>
      </c>
      <c r="D102" s="26">
        <v>168.735321</v>
      </c>
      <c r="E102" s="26">
        <v>16.430229000000001</v>
      </c>
      <c r="K102" s="28"/>
    </row>
    <row r="103" spans="1:11" x14ac:dyDescent="0.2">
      <c r="A103" s="25">
        <v>45301</v>
      </c>
      <c r="B103" s="26">
        <v>185.48616000000001</v>
      </c>
      <c r="C103" s="26">
        <v>59.262462999999997</v>
      </c>
      <c r="D103" s="26">
        <v>169.091263</v>
      </c>
      <c r="E103" s="26">
        <v>16.352684</v>
      </c>
      <c r="K103" s="28"/>
    </row>
    <row r="104" spans="1:11" x14ac:dyDescent="0.2">
      <c r="A104" s="25">
        <v>45302</v>
      </c>
      <c r="B104" s="26">
        <v>184.88841199999999</v>
      </c>
      <c r="C104" s="26">
        <v>58.878535999999997</v>
      </c>
      <c r="D104" s="26">
        <v>168.379379</v>
      </c>
      <c r="E104" s="26">
        <v>15.732308</v>
      </c>
      <c r="K104" s="28"/>
    </row>
    <row r="105" spans="1:11" x14ac:dyDescent="0.2">
      <c r="A105" s="25">
        <v>45303</v>
      </c>
      <c r="B105" s="26">
        <v>185.217163</v>
      </c>
      <c r="C105" s="26">
        <v>59.449500999999998</v>
      </c>
      <c r="D105" s="26">
        <v>167.143463</v>
      </c>
      <c r="E105" s="26">
        <v>15.974641999999999</v>
      </c>
      <c r="K105" s="28"/>
    </row>
    <row r="106" spans="1:11" x14ac:dyDescent="0.2">
      <c r="A106" s="25">
        <v>45307</v>
      </c>
      <c r="B106" s="26">
        <v>182.935822</v>
      </c>
      <c r="C106" s="26">
        <v>59.055732999999996</v>
      </c>
      <c r="D106" s="26">
        <v>166.095428</v>
      </c>
      <c r="E106" s="26">
        <v>15.935869</v>
      </c>
      <c r="K106" s="28"/>
    </row>
    <row r="107" spans="1:11" x14ac:dyDescent="0.2">
      <c r="A107" s="25">
        <v>45308</v>
      </c>
      <c r="B107" s="26">
        <v>181.98940999999999</v>
      </c>
      <c r="C107" s="26">
        <v>59.055732999999996</v>
      </c>
      <c r="D107" s="26">
        <v>165.205566</v>
      </c>
      <c r="E107" s="26">
        <v>15.906789</v>
      </c>
      <c r="K107" s="28"/>
    </row>
    <row r="108" spans="1:11" x14ac:dyDescent="0.2">
      <c r="A108" s="25">
        <v>45309</v>
      </c>
      <c r="B108" s="26">
        <v>187.91691599999999</v>
      </c>
      <c r="C108" s="26">
        <v>59.223083000000003</v>
      </c>
      <c r="D108" s="26">
        <v>165.53185999999999</v>
      </c>
      <c r="E108" s="26">
        <v>15.897095</v>
      </c>
      <c r="K108" s="28"/>
    </row>
    <row r="109" spans="1:11" x14ac:dyDescent="0.2">
      <c r="A109" s="25">
        <v>45310</v>
      </c>
      <c r="B109" s="26">
        <v>190.83583100000001</v>
      </c>
      <c r="C109" s="26">
        <v>58.898228000000003</v>
      </c>
      <c r="D109" s="26">
        <v>168.389252</v>
      </c>
      <c r="E109" s="26">
        <v>16.158815000000001</v>
      </c>
      <c r="K109" s="28"/>
    </row>
    <row r="110" spans="1:11" x14ac:dyDescent="0.2">
      <c r="A110" s="25">
        <v>45313</v>
      </c>
      <c r="B110" s="26">
        <v>193.157028</v>
      </c>
      <c r="C110" s="26">
        <v>58.642273000000003</v>
      </c>
      <c r="D110" s="26">
        <v>168.19151299999999</v>
      </c>
      <c r="E110" s="26">
        <v>16.284828000000001</v>
      </c>
      <c r="K110" s="28"/>
    </row>
    <row r="111" spans="1:11" x14ac:dyDescent="0.2">
      <c r="A111" s="25">
        <v>45314</v>
      </c>
      <c r="B111" s="26">
        <v>194.44215399999999</v>
      </c>
      <c r="C111" s="26">
        <v>58.917907999999997</v>
      </c>
      <c r="D111" s="26">
        <v>167.08415199999999</v>
      </c>
      <c r="E111" s="26">
        <v>16.662870000000002</v>
      </c>
      <c r="K111" s="28"/>
    </row>
    <row r="112" spans="1:11" x14ac:dyDescent="0.2">
      <c r="A112" s="25">
        <v>45315</v>
      </c>
      <c r="B112" s="26">
        <v>193.764725</v>
      </c>
      <c r="C112" s="26">
        <v>57.992553999999998</v>
      </c>
      <c r="D112" s="26">
        <v>168.57711800000001</v>
      </c>
      <c r="E112" s="26">
        <v>16.168510000000001</v>
      </c>
      <c r="K112" s="28"/>
    </row>
    <row r="113" spans="1:11" x14ac:dyDescent="0.2">
      <c r="A113" s="25">
        <v>45316</v>
      </c>
      <c r="B113" s="26">
        <v>193.43598900000001</v>
      </c>
      <c r="C113" s="26">
        <v>58.238658999999998</v>
      </c>
      <c r="D113" s="26">
        <v>170.98959400000001</v>
      </c>
      <c r="E113" s="26">
        <v>16.653176999999999</v>
      </c>
      <c r="K113" s="28"/>
    </row>
    <row r="114" spans="1:11" x14ac:dyDescent="0.2">
      <c r="A114" s="25">
        <v>45317</v>
      </c>
      <c r="B114" s="26">
        <v>191.69258099999999</v>
      </c>
      <c r="C114" s="26">
        <v>58.445385000000002</v>
      </c>
      <c r="D114" s="26">
        <v>170.337051</v>
      </c>
      <c r="E114" s="26">
        <v>16.759803999999999</v>
      </c>
      <c r="K114" s="28"/>
    </row>
    <row r="115" spans="1:11" x14ac:dyDescent="0.2">
      <c r="A115" s="25">
        <v>45320</v>
      </c>
      <c r="B115" s="26">
        <v>191.005188</v>
      </c>
      <c r="C115" s="26">
        <v>58.799782</v>
      </c>
      <c r="D115" s="26">
        <v>170.78196700000001</v>
      </c>
      <c r="E115" s="26">
        <v>16.721031</v>
      </c>
      <c r="K115" s="28"/>
    </row>
    <row r="116" spans="1:11" x14ac:dyDescent="0.2">
      <c r="A116" s="25">
        <v>45321</v>
      </c>
      <c r="B116" s="26">
        <v>187.32914700000001</v>
      </c>
      <c r="C116" s="26">
        <v>58.967132999999997</v>
      </c>
      <c r="D116" s="26">
        <v>174.282059</v>
      </c>
      <c r="E116" s="26">
        <v>16.992445</v>
      </c>
      <c r="K116" s="28"/>
    </row>
    <row r="117" spans="1:11" x14ac:dyDescent="0.2">
      <c r="A117" s="25">
        <v>45322</v>
      </c>
      <c r="B117" s="26">
        <v>183.702911</v>
      </c>
      <c r="C117" s="26">
        <v>58.563518999999999</v>
      </c>
      <c r="D117" s="26">
        <v>172.393585</v>
      </c>
      <c r="E117" s="26">
        <v>17.147537</v>
      </c>
      <c r="K117" s="28"/>
    </row>
    <row r="118" spans="1:11" x14ac:dyDescent="0.2">
      <c r="A118" s="25">
        <v>45323</v>
      </c>
      <c r="B118" s="26">
        <v>186.15362500000001</v>
      </c>
      <c r="C118" s="26">
        <v>60.030315000000002</v>
      </c>
      <c r="D118" s="26">
        <v>171.770691</v>
      </c>
      <c r="E118" s="26">
        <v>17.486806999999999</v>
      </c>
      <c r="K118" s="28"/>
    </row>
    <row r="119" spans="1:11" x14ac:dyDescent="0.2">
      <c r="A119" s="25">
        <v>45324</v>
      </c>
      <c r="B119" s="26">
        <v>185.14743000000001</v>
      </c>
      <c r="C119" s="26">
        <v>59.597168000000003</v>
      </c>
      <c r="D119" s="26">
        <v>172.75941499999999</v>
      </c>
      <c r="E119" s="26">
        <v>17.283245000000001</v>
      </c>
      <c r="K119" s="28"/>
    </row>
    <row r="120" spans="1:11" x14ac:dyDescent="0.2">
      <c r="A120" s="25">
        <v>45327</v>
      </c>
      <c r="B120" s="26">
        <v>186.970505</v>
      </c>
      <c r="C120" s="26">
        <v>59.104953999999999</v>
      </c>
      <c r="D120" s="26">
        <v>172.53201300000001</v>
      </c>
      <c r="E120" s="26">
        <v>17.186309999999999</v>
      </c>
      <c r="K120" s="28"/>
    </row>
    <row r="121" spans="1:11" x14ac:dyDescent="0.2">
      <c r="A121" s="25">
        <v>45328</v>
      </c>
      <c r="B121" s="26">
        <v>188.58438100000001</v>
      </c>
      <c r="C121" s="26">
        <v>59.006512000000001</v>
      </c>
      <c r="D121" s="26">
        <v>173.12524400000001</v>
      </c>
      <c r="E121" s="26">
        <v>17.069991999999999</v>
      </c>
      <c r="K121" s="28"/>
    </row>
    <row r="122" spans="1:11" x14ac:dyDescent="0.2">
      <c r="A122" s="25">
        <v>45329</v>
      </c>
      <c r="B122" s="26">
        <v>188.69397000000001</v>
      </c>
      <c r="C122" s="26">
        <v>59.055732999999996</v>
      </c>
      <c r="D122" s="26">
        <v>173.45150799999999</v>
      </c>
      <c r="E122" s="26">
        <v>16.798576000000001</v>
      </c>
      <c r="K122" s="28"/>
    </row>
    <row r="123" spans="1:11" x14ac:dyDescent="0.2">
      <c r="A123" s="25">
        <v>45330</v>
      </c>
      <c r="B123" s="26">
        <v>187.608093</v>
      </c>
      <c r="C123" s="26">
        <v>58.898228000000003</v>
      </c>
      <c r="D123" s="26">
        <v>172.82862900000001</v>
      </c>
      <c r="E123" s="26">
        <v>16.304216</v>
      </c>
      <c r="K123" s="28"/>
    </row>
    <row r="124" spans="1:11" x14ac:dyDescent="0.2">
      <c r="A124" s="25">
        <v>45331</v>
      </c>
      <c r="B124" s="26">
        <v>188.37616</v>
      </c>
      <c r="C124" s="26">
        <v>58.632430999999997</v>
      </c>
      <c r="D124" s="26">
        <v>173.03625500000001</v>
      </c>
      <c r="E124" s="26">
        <v>16.323602999999999</v>
      </c>
      <c r="K124" s="28"/>
    </row>
    <row r="125" spans="1:11" x14ac:dyDescent="0.2">
      <c r="A125" s="25">
        <v>45334</v>
      </c>
      <c r="B125" s="26">
        <v>186.68042</v>
      </c>
      <c r="C125" s="26">
        <v>58.770248000000002</v>
      </c>
      <c r="D125" s="26">
        <v>173.80744899999999</v>
      </c>
      <c r="E125" s="26">
        <v>16.498085</v>
      </c>
      <c r="K125" s="28"/>
    </row>
    <row r="126" spans="1:11" x14ac:dyDescent="0.2">
      <c r="A126" s="25">
        <v>45335</v>
      </c>
      <c r="B126" s="26">
        <v>184.575714</v>
      </c>
      <c r="C126" s="26">
        <v>58.425697</v>
      </c>
      <c r="D126" s="26">
        <v>172.29470800000001</v>
      </c>
      <c r="E126" s="26">
        <v>16.381762999999999</v>
      </c>
      <c r="K126" s="28"/>
    </row>
    <row r="127" spans="1:11" x14ac:dyDescent="0.2">
      <c r="A127" s="25">
        <v>45336</v>
      </c>
      <c r="B127" s="26">
        <v>183.68794299999999</v>
      </c>
      <c r="C127" s="26">
        <v>58.366633999999998</v>
      </c>
      <c r="D127" s="26">
        <v>174.04473899999999</v>
      </c>
      <c r="E127" s="26">
        <v>16.391455000000001</v>
      </c>
      <c r="K127" s="28"/>
    </row>
    <row r="128" spans="1:11" x14ac:dyDescent="0.2">
      <c r="A128" s="25">
        <v>45337</v>
      </c>
      <c r="B128" s="26">
        <v>183.39868200000001</v>
      </c>
      <c r="C128" s="26">
        <v>58.474921999999999</v>
      </c>
      <c r="D128" s="26">
        <v>177.84144599999999</v>
      </c>
      <c r="E128" s="26">
        <v>16.565937000000002</v>
      </c>
      <c r="K128" s="28"/>
    </row>
    <row r="129" spans="1:11" x14ac:dyDescent="0.2">
      <c r="A129" s="25">
        <v>45338</v>
      </c>
      <c r="B129" s="26">
        <v>181.852554</v>
      </c>
      <c r="C129" s="26">
        <v>58.465076000000003</v>
      </c>
      <c r="D129" s="26">
        <v>177.01091</v>
      </c>
      <c r="E129" s="26">
        <v>16.449615000000001</v>
      </c>
      <c r="K129" s="28"/>
    </row>
    <row r="130" spans="1:11" x14ac:dyDescent="0.2">
      <c r="A130" s="25">
        <v>45342</v>
      </c>
      <c r="B130" s="26">
        <v>181.104446</v>
      </c>
      <c r="C130" s="26">
        <v>59.754677000000001</v>
      </c>
      <c r="D130" s="26">
        <v>177.70301799999999</v>
      </c>
      <c r="E130" s="26">
        <v>16.391455000000001</v>
      </c>
      <c r="K130" s="28"/>
    </row>
    <row r="131" spans="1:11" x14ac:dyDescent="0.2">
      <c r="A131" s="25">
        <v>45343</v>
      </c>
      <c r="B131" s="26">
        <v>181.862549</v>
      </c>
      <c r="C131" s="26">
        <v>60.286265999999998</v>
      </c>
      <c r="D131" s="26">
        <v>178.85983300000001</v>
      </c>
      <c r="E131" s="26">
        <v>16.478697</v>
      </c>
      <c r="K131" s="28"/>
    </row>
    <row r="132" spans="1:11" x14ac:dyDescent="0.2">
      <c r="A132" s="25">
        <v>45344</v>
      </c>
      <c r="B132" s="26">
        <v>183.90739400000001</v>
      </c>
      <c r="C132" s="26">
        <v>60.197665999999998</v>
      </c>
      <c r="D132" s="26">
        <v>181.00535600000001</v>
      </c>
      <c r="E132" s="26">
        <v>16.081268000000001</v>
      </c>
      <c r="K132" s="28"/>
    </row>
    <row r="133" spans="1:11" x14ac:dyDescent="0.2">
      <c r="A133" s="25">
        <v>45345</v>
      </c>
      <c r="B133" s="26">
        <v>182.06204199999999</v>
      </c>
      <c r="C133" s="26">
        <v>60.246890999999998</v>
      </c>
      <c r="D133" s="26">
        <v>181.91499300000001</v>
      </c>
      <c r="E133" s="26">
        <v>16.284828000000001</v>
      </c>
      <c r="K133" s="28"/>
    </row>
    <row r="134" spans="1:11" x14ac:dyDescent="0.2">
      <c r="A134" s="25">
        <v>45348</v>
      </c>
      <c r="B134" s="26">
        <v>180.70545999999999</v>
      </c>
      <c r="C134" s="26">
        <v>59.764519</v>
      </c>
      <c r="D134" s="26">
        <v>181.29208399999999</v>
      </c>
      <c r="E134" s="26">
        <v>16.090962999999999</v>
      </c>
      <c r="K134" s="28"/>
    </row>
    <row r="135" spans="1:11" x14ac:dyDescent="0.2">
      <c r="A135" s="25">
        <v>45349</v>
      </c>
      <c r="B135" s="26">
        <v>182.17176799999999</v>
      </c>
      <c r="C135" s="26">
        <v>59.400280000000002</v>
      </c>
      <c r="D135" s="26">
        <v>181.38107299999999</v>
      </c>
      <c r="E135" s="26">
        <v>16.31391</v>
      </c>
      <c r="K135" s="28"/>
    </row>
    <row r="136" spans="1:11" x14ac:dyDescent="0.2">
      <c r="A136" s="25">
        <v>45350</v>
      </c>
      <c r="B136" s="26">
        <v>180.964798</v>
      </c>
      <c r="C136" s="26">
        <v>59.459347000000001</v>
      </c>
      <c r="D136" s="26">
        <v>182.30058299999999</v>
      </c>
      <c r="E136" s="26">
        <v>16.439921999999999</v>
      </c>
      <c r="K136" s="28"/>
    </row>
    <row r="137" spans="1:11" x14ac:dyDescent="0.2">
      <c r="A137" s="25">
        <v>45351</v>
      </c>
      <c r="B137" s="26">
        <v>180.29647800000001</v>
      </c>
      <c r="C137" s="26">
        <v>59.085262</v>
      </c>
      <c r="D137" s="26">
        <v>183.961624</v>
      </c>
      <c r="E137" s="26">
        <v>16.410843</v>
      </c>
      <c r="K137" s="28"/>
    </row>
    <row r="138" spans="1:11" x14ac:dyDescent="0.2">
      <c r="A138" s="25">
        <v>45352</v>
      </c>
      <c r="B138" s="26">
        <v>179.20922899999999</v>
      </c>
      <c r="C138" s="26">
        <v>58.602893999999999</v>
      </c>
      <c r="D138" s="26">
        <v>183.20030199999999</v>
      </c>
      <c r="E138" s="26">
        <v>16.459311</v>
      </c>
      <c r="K138" s="28"/>
    </row>
    <row r="139" spans="1:11" x14ac:dyDescent="0.2">
      <c r="A139" s="25">
        <v>45355</v>
      </c>
      <c r="B139" s="26">
        <v>174.66066000000001</v>
      </c>
      <c r="C139" s="26">
        <v>58.878535999999997</v>
      </c>
      <c r="D139" s="26">
        <v>184.57463100000001</v>
      </c>
      <c r="E139" s="26">
        <v>16.284828000000001</v>
      </c>
      <c r="K139" s="28"/>
    </row>
    <row r="140" spans="1:11" x14ac:dyDescent="0.2">
      <c r="A140" s="25">
        <v>45356</v>
      </c>
      <c r="B140" s="26">
        <v>169.693161</v>
      </c>
      <c r="C140" s="26">
        <v>58.593048000000003</v>
      </c>
      <c r="D140" s="26">
        <v>186.423553</v>
      </c>
      <c r="E140" s="26">
        <v>16.643484000000001</v>
      </c>
      <c r="K140" s="28"/>
    </row>
    <row r="141" spans="1:11" x14ac:dyDescent="0.2">
      <c r="A141" s="25">
        <v>45357</v>
      </c>
      <c r="B141" s="26">
        <v>168.69564800000001</v>
      </c>
      <c r="C141" s="26">
        <v>58.622585000000001</v>
      </c>
      <c r="D141" s="26">
        <v>187.39250200000001</v>
      </c>
      <c r="E141" s="26">
        <v>16.653176999999999</v>
      </c>
      <c r="K141" s="28"/>
    </row>
    <row r="142" spans="1:11" x14ac:dyDescent="0.2">
      <c r="A142" s="25">
        <v>45358</v>
      </c>
      <c r="B142" s="26">
        <v>168.57595800000001</v>
      </c>
      <c r="C142" s="26">
        <v>58.514296999999999</v>
      </c>
      <c r="D142" s="26">
        <v>185.75122099999999</v>
      </c>
      <c r="E142" s="26">
        <v>16.527163000000002</v>
      </c>
      <c r="K142" s="28"/>
    </row>
    <row r="143" spans="1:11" x14ac:dyDescent="0.2">
      <c r="A143" s="25">
        <v>45359</v>
      </c>
      <c r="B143" s="26">
        <v>170.301605</v>
      </c>
      <c r="C143" s="26">
        <v>58.593048000000003</v>
      </c>
      <c r="D143" s="26">
        <v>186.097275</v>
      </c>
      <c r="E143" s="26">
        <v>16.672564000000001</v>
      </c>
      <c r="K143" s="28"/>
    </row>
    <row r="144" spans="1:11" x14ac:dyDescent="0.2">
      <c r="A144" s="25">
        <v>45362</v>
      </c>
      <c r="B144" s="26">
        <v>172.31655900000001</v>
      </c>
      <c r="C144" s="26">
        <v>59.301837999999996</v>
      </c>
      <c r="D144" s="26">
        <v>186.166473</v>
      </c>
      <c r="E144" s="26">
        <v>16.798576000000001</v>
      </c>
      <c r="K144" s="28"/>
    </row>
    <row r="145" spans="1:11" x14ac:dyDescent="0.2">
      <c r="A145" s="25">
        <v>45363</v>
      </c>
      <c r="B145" s="26">
        <v>172.795334</v>
      </c>
      <c r="C145" s="26">
        <v>59.557789</v>
      </c>
      <c r="D145" s="26">
        <v>187.699005</v>
      </c>
      <c r="E145" s="26">
        <v>16.672564000000001</v>
      </c>
      <c r="K145" s="28"/>
    </row>
    <row r="146" spans="1:11" x14ac:dyDescent="0.2">
      <c r="A146" s="25">
        <v>45364</v>
      </c>
      <c r="B146" s="26">
        <v>170.70062300000001</v>
      </c>
      <c r="C146" s="26">
        <v>60.168132999999997</v>
      </c>
      <c r="D146" s="26">
        <v>189.22163399999999</v>
      </c>
      <c r="E146" s="26">
        <v>16.662870000000002</v>
      </c>
      <c r="K146" s="28"/>
    </row>
    <row r="147" spans="1:11" x14ac:dyDescent="0.2">
      <c r="A147" s="25">
        <v>45365</v>
      </c>
      <c r="B147" s="26">
        <v>172.565933</v>
      </c>
      <c r="C147" s="26">
        <v>60.034171999999998</v>
      </c>
      <c r="D147" s="26">
        <v>185.85008199999999</v>
      </c>
      <c r="E147" s="26">
        <v>16.488389999999999</v>
      </c>
      <c r="K147" s="28"/>
    </row>
    <row r="148" spans="1:11" x14ac:dyDescent="0.2">
      <c r="A148" s="25">
        <v>45366</v>
      </c>
      <c r="B148" s="26">
        <v>172.18687399999999</v>
      </c>
      <c r="C148" s="26">
        <v>59.418948999999998</v>
      </c>
      <c r="D148" s="26">
        <v>188.15382399999999</v>
      </c>
      <c r="E148" s="26">
        <v>16.527163000000002</v>
      </c>
      <c r="K148" s="28"/>
    </row>
    <row r="149" spans="1:11" x14ac:dyDescent="0.2">
      <c r="A149" s="25">
        <v>45369</v>
      </c>
      <c r="B149" s="26">
        <v>173.284119</v>
      </c>
      <c r="C149" s="26">
        <v>59.667023</v>
      </c>
      <c r="D149" s="26">
        <v>190.487213</v>
      </c>
      <c r="E149" s="26">
        <v>16.769497000000001</v>
      </c>
      <c r="K149" s="28"/>
    </row>
    <row r="150" spans="1:11" x14ac:dyDescent="0.2">
      <c r="A150" s="25">
        <v>45370</v>
      </c>
      <c r="B150" s="26">
        <v>175.63819899999999</v>
      </c>
      <c r="C150" s="26">
        <v>59.766250999999997</v>
      </c>
      <c r="D150" s="26">
        <v>191.60446200000001</v>
      </c>
      <c r="E150" s="26">
        <v>16.643484000000001</v>
      </c>
      <c r="K150" s="28"/>
    </row>
    <row r="151" spans="1:11" x14ac:dyDescent="0.2">
      <c r="A151" s="25">
        <v>45371</v>
      </c>
      <c r="B151" s="26">
        <v>178.22171</v>
      </c>
      <c r="C151" s="26">
        <v>60.282249</v>
      </c>
      <c r="D151" s="26">
        <v>194.115814</v>
      </c>
      <c r="E151" s="26">
        <v>16.682257</v>
      </c>
      <c r="K151" s="28"/>
    </row>
    <row r="152" spans="1:11" x14ac:dyDescent="0.2">
      <c r="A152" s="25">
        <v>45372</v>
      </c>
      <c r="B152" s="26">
        <v>170.94001800000001</v>
      </c>
      <c r="C152" s="26">
        <v>60.004406000000003</v>
      </c>
      <c r="D152" s="26">
        <v>196.81501800000001</v>
      </c>
      <c r="E152" s="26">
        <v>16.633789</v>
      </c>
      <c r="K152" s="28"/>
    </row>
    <row r="153" spans="1:11" x14ac:dyDescent="0.2">
      <c r="A153" s="25">
        <v>45373</v>
      </c>
      <c r="B153" s="26">
        <v>171.84773300000001</v>
      </c>
      <c r="C153" s="26">
        <v>60.024253999999999</v>
      </c>
      <c r="D153" s="26">
        <v>194.40254200000001</v>
      </c>
      <c r="E153" s="26">
        <v>16.459311</v>
      </c>
      <c r="K153" s="28"/>
    </row>
    <row r="154" spans="1:11" x14ac:dyDescent="0.2">
      <c r="A154" s="25">
        <v>45376</v>
      </c>
      <c r="B154" s="26">
        <v>170.42132599999999</v>
      </c>
      <c r="C154" s="26">
        <v>59.934944000000002</v>
      </c>
      <c r="D154" s="26">
        <v>192.622849</v>
      </c>
      <c r="E154" s="26">
        <v>16.595016000000001</v>
      </c>
      <c r="K154" s="28"/>
    </row>
    <row r="155" spans="1:11" x14ac:dyDescent="0.2">
      <c r="A155" s="25">
        <v>45377</v>
      </c>
      <c r="B155" s="26">
        <v>169.28419500000001</v>
      </c>
      <c r="C155" s="26">
        <v>60.073867999999997</v>
      </c>
      <c r="D155" s="26">
        <v>193.52256800000001</v>
      </c>
      <c r="E155" s="26">
        <v>16.653176999999999</v>
      </c>
      <c r="K155" s="28"/>
    </row>
    <row r="156" spans="1:11" x14ac:dyDescent="0.2">
      <c r="A156" s="25">
        <v>45378</v>
      </c>
      <c r="B156" s="26">
        <v>172.875137</v>
      </c>
      <c r="C156" s="26">
        <v>60.560093000000002</v>
      </c>
      <c r="D156" s="26">
        <v>197.269836</v>
      </c>
      <c r="E156" s="26">
        <v>17.011831000000001</v>
      </c>
      <c r="K156" s="28"/>
    </row>
    <row r="157" spans="1:11" x14ac:dyDescent="0.2">
      <c r="A157" s="25">
        <v>45379</v>
      </c>
      <c r="B157" s="26">
        <v>171.049744</v>
      </c>
      <c r="C157" s="26">
        <v>60.708939000000001</v>
      </c>
      <c r="D157" s="26">
        <v>198.04104599999999</v>
      </c>
      <c r="E157" s="26">
        <v>17.060296999999998</v>
      </c>
      <c r="K157" s="28"/>
    </row>
    <row r="158" spans="1:11" x14ac:dyDescent="0.2">
      <c r="A158" s="25">
        <v>45383</v>
      </c>
      <c r="B158" s="26">
        <v>169.60337799999999</v>
      </c>
      <c r="C158" s="26">
        <v>60.212788000000003</v>
      </c>
      <c r="D158" s="26">
        <v>196.696381</v>
      </c>
      <c r="E158" s="26">
        <v>16.963363999999999</v>
      </c>
      <c r="K158" s="28"/>
    </row>
    <row r="159" spans="1:11" x14ac:dyDescent="0.2">
      <c r="A159" s="25">
        <v>45384</v>
      </c>
      <c r="B159" s="26">
        <v>168.41635099999999</v>
      </c>
      <c r="C159" s="26">
        <v>59.686870999999996</v>
      </c>
      <c r="D159" s="26">
        <v>196.617279</v>
      </c>
      <c r="E159" s="26">
        <v>16.982749999999999</v>
      </c>
      <c r="K159" s="28"/>
    </row>
    <row r="160" spans="1:11" x14ac:dyDescent="0.2">
      <c r="A160" s="25">
        <v>45385</v>
      </c>
      <c r="B160" s="26">
        <v>169.22431900000001</v>
      </c>
      <c r="C160" s="26">
        <v>59.369335</v>
      </c>
      <c r="D160" s="26">
        <v>196.06359900000001</v>
      </c>
      <c r="E160" s="26">
        <v>17.069991999999999</v>
      </c>
      <c r="K160" s="28"/>
    </row>
    <row r="161" spans="1:11" x14ac:dyDescent="0.2">
      <c r="A161" s="25">
        <v>45386</v>
      </c>
      <c r="B161" s="26">
        <v>168.396423</v>
      </c>
      <c r="C161" s="26">
        <v>58.843414000000003</v>
      </c>
      <c r="D161" s="26">
        <v>194.571854</v>
      </c>
      <c r="E161" s="26">
        <v>17.031217999999999</v>
      </c>
      <c r="K161" s="28"/>
    </row>
    <row r="162" spans="1:11" x14ac:dyDescent="0.2">
      <c r="A162" s="25">
        <v>45387</v>
      </c>
      <c r="B162" s="26">
        <v>169.154495</v>
      </c>
      <c r="C162" s="26">
        <v>59.051796000000003</v>
      </c>
      <c r="D162" s="26">
        <v>196.36193800000001</v>
      </c>
      <c r="E162" s="26">
        <v>16.885818</v>
      </c>
      <c r="K162" s="28"/>
    </row>
    <row r="163" spans="1:11" x14ac:dyDescent="0.2">
      <c r="A163" s="25">
        <v>45390</v>
      </c>
      <c r="B163" s="26">
        <v>168.027344</v>
      </c>
      <c r="C163" s="26">
        <v>58.813643999999996</v>
      </c>
      <c r="D163" s="26">
        <v>197.38626099999999</v>
      </c>
      <c r="E163" s="26">
        <v>16.721031</v>
      </c>
      <c r="K163" s="28"/>
    </row>
    <row r="164" spans="1:11" x14ac:dyDescent="0.2">
      <c r="A164" s="25">
        <v>45391</v>
      </c>
      <c r="B164" s="26">
        <v>169.24427800000001</v>
      </c>
      <c r="C164" s="26">
        <v>59.260181000000003</v>
      </c>
      <c r="D164" s="26">
        <v>196.06358299999999</v>
      </c>
      <c r="E164" s="26">
        <v>16.650095</v>
      </c>
      <c r="K164" s="28"/>
    </row>
    <row r="165" spans="1:11" x14ac:dyDescent="0.2">
      <c r="A165" s="25">
        <v>45392</v>
      </c>
      <c r="B165" s="26">
        <v>167.35902400000001</v>
      </c>
      <c r="C165" s="26">
        <v>58.466338999999998</v>
      </c>
      <c r="D165" s="26">
        <v>194.392853</v>
      </c>
      <c r="E165" s="26">
        <v>16.482609</v>
      </c>
      <c r="K165" s="28"/>
    </row>
    <row r="166" spans="1:11" x14ac:dyDescent="0.2">
      <c r="A166" s="25">
        <v>45393</v>
      </c>
      <c r="B166" s="26">
        <v>174.60079999999999</v>
      </c>
      <c r="C166" s="26">
        <v>58.595337000000001</v>
      </c>
      <c r="D166" s="26">
        <v>194.353058</v>
      </c>
      <c r="E166" s="26">
        <v>16.177192999999999</v>
      </c>
      <c r="K166" s="28"/>
    </row>
    <row r="167" spans="1:11" x14ac:dyDescent="0.2">
      <c r="A167" s="25">
        <v>45394</v>
      </c>
      <c r="B167" s="26">
        <v>176.10702499999999</v>
      </c>
      <c r="C167" s="26">
        <v>57.831263999999997</v>
      </c>
      <c r="D167" s="26">
        <v>181.782715</v>
      </c>
      <c r="E167" s="26">
        <v>16.068819000000001</v>
      </c>
      <c r="K167" s="28"/>
    </row>
    <row r="168" spans="1:11" x14ac:dyDescent="0.2">
      <c r="A168" s="25">
        <v>45397</v>
      </c>
      <c r="B168" s="26">
        <v>172.256699</v>
      </c>
      <c r="C168" s="26">
        <v>57.692345000000003</v>
      </c>
      <c r="D168" s="26">
        <v>181.882172</v>
      </c>
      <c r="E168" s="26">
        <v>15.999855</v>
      </c>
      <c r="K168" s="28"/>
    </row>
    <row r="169" spans="1:11" x14ac:dyDescent="0.2">
      <c r="A169" s="25">
        <v>45398</v>
      </c>
      <c r="B169" s="26">
        <v>168.955017</v>
      </c>
      <c r="C169" s="26">
        <v>57.612960999999999</v>
      </c>
      <c r="D169" s="26">
        <v>179.803696</v>
      </c>
      <c r="E169" s="26">
        <v>15.852073000000001</v>
      </c>
      <c r="K169" s="28"/>
    </row>
    <row r="170" spans="1:11" x14ac:dyDescent="0.2">
      <c r="A170" s="25">
        <v>45399</v>
      </c>
      <c r="B170" s="26">
        <v>167.57847599999999</v>
      </c>
      <c r="C170" s="26">
        <v>58.059494000000001</v>
      </c>
      <c r="D170" s="26">
        <v>179.08766199999999</v>
      </c>
      <c r="E170" s="26">
        <v>15.881629999999999</v>
      </c>
      <c r="K170" s="28"/>
    </row>
    <row r="171" spans="1:11" x14ac:dyDescent="0.2">
      <c r="A171" s="25">
        <v>45400</v>
      </c>
      <c r="B171" s="26">
        <v>166.62088</v>
      </c>
      <c r="C171" s="26">
        <v>58.456417000000002</v>
      </c>
      <c r="D171" s="26">
        <v>180.251205</v>
      </c>
      <c r="E171" s="26">
        <v>16.088524</v>
      </c>
      <c r="K171" s="28"/>
    </row>
    <row r="172" spans="1:11" x14ac:dyDescent="0.2">
      <c r="A172" s="25">
        <v>45401</v>
      </c>
      <c r="B172" s="26">
        <v>164.58599899999999</v>
      </c>
      <c r="C172" s="26">
        <v>59.706710999999999</v>
      </c>
      <c r="D172" s="26">
        <v>184.776138</v>
      </c>
      <c r="E172" s="26">
        <v>16.265863</v>
      </c>
      <c r="K172" s="28"/>
    </row>
    <row r="173" spans="1:11" x14ac:dyDescent="0.2">
      <c r="A173" s="25">
        <v>45404</v>
      </c>
      <c r="B173" s="26">
        <v>165.42387400000001</v>
      </c>
      <c r="C173" s="26">
        <v>60.08379</v>
      </c>
      <c r="D173" s="26">
        <v>188.366241</v>
      </c>
      <c r="E173" s="26">
        <v>16.068819000000001</v>
      </c>
      <c r="K173" s="28"/>
    </row>
    <row r="174" spans="1:11" x14ac:dyDescent="0.2">
      <c r="A174" s="25">
        <v>45405</v>
      </c>
      <c r="B174" s="26">
        <v>166.48121599999999</v>
      </c>
      <c r="C174" s="26">
        <v>60.173096000000001</v>
      </c>
      <c r="D174" s="26">
        <v>191.08119199999999</v>
      </c>
      <c r="E174" s="26">
        <v>16.25601</v>
      </c>
      <c r="K174" s="28"/>
    </row>
    <row r="175" spans="1:11" x14ac:dyDescent="0.2">
      <c r="A175" s="25">
        <v>45406</v>
      </c>
      <c r="B175" s="26">
        <v>168.59591699999999</v>
      </c>
      <c r="C175" s="26">
        <v>61.076087999999999</v>
      </c>
      <c r="D175" s="26">
        <v>192.01602199999999</v>
      </c>
      <c r="E175" s="26">
        <v>16.561426000000001</v>
      </c>
      <c r="K175" s="28"/>
    </row>
    <row r="176" spans="1:11" x14ac:dyDescent="0.2">
      <c r="A176" s="25">
        <v>45407</v>
      </c>
      <c r="B176" s="26">
        <v>169.46373</v>
      </c>
      <c r="C176" s="26">
        <v>61.264628999999999</v>
      </c>
      <c r="D176" s="26">
        <v>192.30441300000001</v>
      </c>
      <c r="E176" s="26">
        <v>16.334827000000001</v>
      </c>
      <c r="K176" s="28"/>
    </row>
    <row r="177" spans="1:11" x14ac:dyDescent="0.2">
      <c r="A177" s="25">
        <v>45408</v>
      </c>
      <c r="B177" s="26">
        <v>168.875214</v>
      </c>
      <c r="C177" s="26">
        <v>61.264628999999999</v>
      </c>
      <c r="D177" s="26">
        <v>192.423767</v>
      </c>
      <c r="E177" s="26">
        <v>16.502313999999998</v>
      </c>
      <c r="K177" s="28"/>
    </row>
    <row r="178" spans="1:11" x14ac:dyDescent="0.2">
      <c r="A178" s="25">
        <v>45411</v>
      </c>
      <c r="B178" s="26">
        <v>173.06466699999999</v>
      </c>
      <c r="C178" s="26">
        <v>61.562317</v>
      </c>
      <c r="D178" s="26">
        <v>192.21492000000001</v>
      </c>
      <c r="E178" s="26">
        <v>16.768322000000001</v>
      </c>
      <c r="K178" s="28"/>
    </row>
    <row r="179" spans="1:11" x14ac:dyDescent="0.2">
      <c r="A179" s="25">
        <v>45412</v>
      </c>
      <c r="B179" s="26">
        <v>169.90263400000001</v>
      </c>
      <c r="C179" s="26">
        <v>61.294395000000002</v>
      </c>
      <c r="D179" s="26">
        <v>190.68341100000001</v>
      </c>
      <c r="E179" s="26">
        <v>16.640243999999999</v>
      </c>
      <c r="K179" s="28"/>
    </row>
    <row r="180" spans="1:11" x14ac:dyDescent="0.2">
      <c r="A180" s="25">
        <v>45413</v>
      </c>
      <c r="B180" s="26">
        <v>168.875214</v>
      </c>
      <c r="C180" s="26">
        <v>61.453163000000004</v>
      </c>
      <c r="D180" s="26">
        <v>190.80275</v>
      </c>
      <c r="E180" s="26">
        <v>16.669799999999999</v>
      </c>
      <c r="K180" s="28"/>
    </row>
    <row r="181" spans="1:11" x14ac:dyDescent="0.2">
      <c r="A181" s="25">
        <v>45414</v>
      </c>
      <c r="B181" s="26">
        <v>172.59584000000001</v>
      </c>
      <c r="C181" s="26">
        <v>61.512703000000002</v>
      </c>
      <c r="D181" s="26">
        <v>190.60385099999999</v>
      </c>
      <c r="E181" s="26">
        <v>16.571278</v>
      </c>
      <c r="K181" s="28"/>
    </row>
    <row r="182" spans="1:11" x14ac:dyDescent="0.2">
      <c r="A182" s="25">
        <v>45415</v>
      </c>
      <c r="B182" s="26">
        <v>182.91987599999999</v>
      </c>
      <c r="C182" s="26">
        <v>61.691315000000003</v>
      </c>
      <c r="D182" s="26">
        <v>189.46017499999999</v>
      </c>
      <c r="E182" s="26">
        <v>16.600836000000001</v>
      </c>
      <c r="K182" s="28"/>
    </row>
    <row r="183" spans="1:11" x14ac:dyDescent="0.2">
      <c r="A183" s="25">
        <v>45418</v>
      </c>
      <c r="B183" s="26">
        <v>181.25408899999999</v>
      </c>
      <c r="C183" s="26">
        <v>61.869926</v>
      </c>
      <c r="D183" s="26">
        <v>190.941971</v>
      </c>
      <c r="E183" s="26">
        <v>16.738764</v>
      </c>
      <c r="K183" s="28"/>
    </row>
    <row r="184" spans="1:11" x14ac:dyDescent="0.2">
      <c r="A184" s="25">
        <v>45419</v>
      </c>
      <c r="B184" s="26">
        <v>181.94232199999999</v>
      </c>
      <c r="C184" s="26">
        <v>62.137847999999998</v>
      </c>
      <c r="D184" s="26">
        <v>190.693344</v>
      </c>
      <c r="E184" s="26">
        <v>16.827432999999999</v>
      </c>
      <c r="K184" s="28"/>
    </row>
    <row r="185" spans="1:11" x14ac:dyDescent="0.2">
      <c r="A185" s="25">
        <v>45420</v>
      </c>
      <c r="B185" s="26">
        <v>182.28149400000001</v>
      </c>
      <c r="C185" s="26">
        <v>62.366076999999997</v>
      </c>
      <c r="D185" s="26">
        <v>194.571854</v>
      </c>
      <c r="E185" s="26">
        <v>16.856991000000001</v>
      </c>
      <c r="K185" s="28"/>
    </row>
    <row r="186" spans="1:11" x14ac:dyDescent="0.2">
      <c r="A186" s="25">
        <v>45421</v>
      </c>
      <c r="B186" s="26">
        <v>184.10690299999999</v>
      </c>
      <c r="C186" s="26">
        <v>62.395851</v>
      </c>
      <c r="D186" s="26">
        <v>196.41166699999999</v>
      </c>
      <c r="E186" s="26">
        <v>16.925954999999998</v>
      </c>
      <c r="K186" s="28"/>
    </row>
    <row r="187" spans="1:11" x14ac:dyDescent="0.2">
      <c r="A187" s="25">
        <v>45422</v>
      </c>
      <c r="B187" s="26">
        <v>182.83836400000001</v>
      </c>
      <c r="C187" s="26">
        <v>62.772922999999999</v>
      </c>
      <c r="D187" s="26">
        <v>197.674667</v>
      </c>
      <c r="E187" s="26">
        <v>16.916103</v>
      </c>
      <c r="K187" s="28"/>
    </row>
    <row r="188" spans="1:11" x14ac:dyDescent="0.2">
      <c r="A188" s="25">
        <v>45425</v>
      </c>
      <c r="B188" s="26">
        <v>186.06463600000001</v>
      </c>
      <c r="C188" s="26">
        <v>63.090462000000002</v>
      </c>
      <c r="D188" s="26">
        <v>197.63488799999999</v>
      </c>
      <c r="E188" s="26">
        <v>17.004771999999999</v>
      </c>
      <c r="K188" s="28"/>
    </row>
    <row r="189" spans="1:11" x14ac:dyDescent="0.2">
      <c r="A189" s="25">
        <v>45426</v>
      </c>
      <c r="B189" s="26">
        <v>187.213303</v>
      </c>
      <c r="C189" s="26">
        <v>62.614154999999997</v>
      </c>
      <c r="D189" s="26">
        <v>200.39956699999999</v>
      </c>
      <c r="E189" s="26">
        <v>17.044180000000001</v>
      </c>
      <c r="K189" s="28"/>
    </row>
    <row r="190" spans="1:11" x14ac:dyDescent="0.2">
      <c r="A190" s="25">
        <v>45427</v>
      </c>
      <c r="B190" s="26">
        <v>189.50065599999999</v>
      </c>
      <c r="C190" s="26">
        <v>62.643925000000003</v>
      </c>
      <c r="D190" s="26">
        <v>200.996262</v>
      </c>
      <c r="E190" s="26">
        <v>17.073736</v>
      </c>
      <c r="K190" s="28"/>
    </row>
    <row r="191" spans="1:11" x14ac:dyDescent="0.2">
      <c r="A191" s="25">
        <v>45428</v>
      </c>
      <c r="B191" s="26">
        <v>189.62051400000001</v>
      </c>
      <c r="C191" s="26">
        <v>62.832462</v>
      </c>
      <c r="D191" s="26">
        <v>201.35427899999999</v>
      </c>
      <c r="E191" s="26">
        <v>17.044180000000001</v>
      </c>
      <c r="K191" s="28"/>
    </row>
    <row r="192" spans="1:11" x14ac:dyDescent="0.2">
      <c r="A192" s="25">
        <v>45429</v>
      </c>
      <c r="B192" s="26">
        <v>189.65048200000001</v>
      </c>
      <c r="C192" s="26">
        <v>62.544693000000002</v>
      </c>
      <c r="D192" s="26">
        <v>203.661484</v>
      </c>
      <c r="E192" s="26">
        <v>17.142702</v>
      </c>
      <c r="K192" s="28"/>
    </row>
    <row r="193" spans="1:11" x14ac:dyDescent="0.2">
      <c r="A193" s="25">
        <v>45432</v>
      </c>
      <c r="B193" s="26">
        <v>190.81912199999999</v>
      </c>
      <c r="C193" s="26">
        <v>62.088234</v>
      </c>
      <c r="D193" s="26">
        <v>194.50224299999999</v>
      </c>
      <c r="E193" s="26">
        <v>17.260926999999999</v>
      </c>
      <c r="K193" s="28"/>
    </row>
    <row r="194" spans="1:11" x14ac:dyDescent="0.2">
      <c r="A194" s="25">
        <v>45433</v>
      </c>
      <c r="B194" s="26">
        <v>192.12762499999999</v>
      </c>
      <c r="C194" s="26">
        <v>62.425617000000003</v>
      </c>
      <c r="D194" s="26">
        <v>198.42053200000001</v>
      </c>
      <c r="E194" s="26">
        <v>17.014624000000001</v>
      </c>
      <c r="K194" s="28"/>
    </row>
    <row r="195" spans="1:11" x14ac:dyDescent="0.2">
      <c r="A195" s="25">
        <v>45434</v>
      </c>
      <c r="B195" s="26">
        <v>190.67929100000001</v>
      </c>
      <c r="C195" s="26">
        <v>62.514923000000003</v>
      </c>
      <c r="D195" s="26">
        <v>197.21719400000001</v>
      </c>
      <c r="E195" s="26">
        <v>17.241222</v>
      </c>
      <c r="K195" s="28"/>
    </row>
    <row r="196" spans="1:11" x14ac:dyDescent="0.2">
      <c r="A196" s="25">
        <v>45435</v>
      </c>
      <c r="B196" s="26">
        <v>186.66394</v>
      </c>
      <c r="C196" s="26">
        <v>61.611930999999998</v>
      </c>
      <c r="D196" s="26">
        <v>195.83485400000001</v>
      </c>
      <c r="E196" s="26">
        <v>17.211666000000001</v>
      </c>
      <c r="K196" s="28"/>
    </row>
    <row r="197" spans="1:11" x14ac:dyDescent="0.2">
      <c r="A197" s="25">
        <v>45436</v>
      </c>
      <c r="B197" s="26">
        <v>189.760345</v>
      </c>
      <c r="C197" s="26">
        <v>61.522624999999998</v>
      </c>
      <c r="D197" s="26">
        <v>199.603973</v>
      </c>
      <c r="E197" s="26">
        <v>17.241222</v>
      </c>
      <c r="K197" s="28"/>
    </row>
    <row r="198" spans="1:11" x14ac:dyDescent="0.2">
      <c r="A198" s="25">
        <v>45440</v>
      </c>
      <c r="B198" s="26">
        <v>189.770355</v>
      </c>
      <c r="C198" s="26">
        <v>61.344009</v>
      </c>
      <c r="D198" s="26">
        <v>198.40063499999999</v>
      </c>
      <c r="E198" s="26">
        <v>17.014624000000001</v>
      </c>
      <c r="K198" s="28"/>
    </row>
    <row r="199" spans="1:11" x14ac:dyDescent="0.2">
      <c r="A199" s="25">
        <v>45441</v>
      </c>
      <c r="B199" s="26">
        <v>190.06999200000001</v>
      </c>
      <c r="C199" s="26">
        <v>61.224933999999998</v>
      </c>
      <c r="D199" s="26">
        <v>197.01829499999999</v>
      </c>
      <c r="E199" s="26">
        <v>16.866841999999998</v>
      </c>
      <c r="K199" s="28"/>
    </row>
    <row r="200" spans="1:11" x14ac:dyDescent="0.2">
      <c r="A200" s="25">
        <v>45442</v>
      </c>
      <c r="B200" s="26">
        <v>191.06883199999999</v>
      </c>
      <c r="C200" s="26">
        <v>61.492854999999999</v>
      </c>
      <c r="D200" s="26">
        <v>198.231583</v>
      </c>
      <c r="E200" s="26">
        <v>17.359449000000001</v>
      </c>
      <c r="K200" s="28"/>
    </row>
    <row r="201" spans="1:11" x14ac:dyDescent="0.2">
      <c r="A201" s="25">
        <v>45443</v>
      </c>
      <c r="B201" s="26">
        <v>192.027725</v>
      </c>
      <c r="C201" s="26">
        <v>62.445464999999999</v>
      </c>
      <c r="D201" s="26">
        <v>201.513397</v>
      </c>
      <c r="E201" s="26">
        <v>17.950575000000001</v>
      </c>
      <c r="K201" s="28"/>
    </row>
    <row r="202" spans="1:11" x14ac:dyDescent="0.2">
      <c r="A202" s="25">
        <v>45446</v>
      </c>
      <c r="B202" s="26">
        <v>193.80566400000001</v>
      </c>
      <c r="C202" s="26">
        <v>62.445464999999999</v>
      </c>
      <c r="D202" s="26">
        <v>200.70787000000001</v>
      </c>
      <c r="E202" s="26">
        <v>17.743680999999999</v>
      </c>
      <c r="K202" s="28"/>
    </row>
    <row r="203" spans="1:11" x14ac:dyDescent="0.2">
      <c r="A203" s="25">
        <v>45447</v>
      </c>
      <c r="B203" s="26">
        <v>194.125305</v>
      </c>
      <c r="C203" s="26">
        <v>63.447685</v>
      </c>
      <c r="D203" s="26">
        <v>198.06251499999999</v>
      </c>
      <c r="E203" s="26">
        <v>18.078652999999999</v>
      </c>
      <c r="K203" s="28"/>
    </row>
    <row r="204" spans="1:11" x14ac:dyDescent="0.2">
      <c r="A204" s="25">
        <v>45448</v>
      </c>
      <c r="B204" s="26">
        <v>195.643539</v>
      </c>
      <c r="C204" s="26">
        <v>63.427836999999997</v>
      </c>
      <c r="D204" s="26">
        <v>196.17297400000001</v>
      </c>
      <c r="E204" s="26">
        <v>18.029392000000001</v>
      </c>
      <c r="K204" s="28"/>
    </row>
    <row r="205" spans="1:11" x14ac:dyDescent="0.2">
      <c r="A205" s="25">
        <v>45449</v>
      </c>
      <c r="B205" s="26">
        <v>194.25514200000001</v>
      </c>
      <c r="C205" s="26">
        <v>63.656070999999997</v>
      </c>
      <c r="D205" s="26">
        <v>195.82492099999999</v>
      </c>
      <c r="E205" s="26">
        <v>18.009689000000002</v>
      </c>
      <c r="K205" s="28"/>
    </row>
    <row r="206" spans="1:11" x14ac:dyDescent="0.2">
      <c r="A206" s="25">
        <v>45450</v>
      </c>
      <c r="B206" s="26">
        <v>196.66236900000001</v>
      </c>
      <c r="C206" s="26">
        <v>63.417918999999998</v>
      </c>
      <c r="D206" s="26">
        <v>198.84816000000001</v>
      </c>
      <c r="E206" s="26">
        <v>17.832352</v>
      </c>
      <c r="K206" s="28"/>
    </row>
    <row r="207" spans="1:11" x14ac:dyDescent="0.2">
      <c r="A207" s="25">
        <v>45453</v>
      </c>
      <c r="B207" s="26">
        <v>192.89671300000001</v>
      </c>
      <c r="C207" s="26">
        <v>63.100383999999998</v>
      </c>
      <c r="D207" s="26">
        <v>198.51004</v>
      </c>
      <c r="E207" s="26">
        <v>17.5959</v>
      </c>
      <c r="K207" s="28"/>
    </row>
    <row r="208" spans="1:11" x14ac:dyDescent="0.2">
      <c r="A208" s="25">
        <v>45454</v>
      </c>
      <c r="B208" s="26">
        <v>206.910492</v>
      </c>
      <c r="C208" s="26">
        <v>63.060687999999999</v>
      </c>
      <c r="D208" s="26">
        <v>193.288971</v>
      </c>
      <c r="E208" s="26">
        <v>17.5959</v>
      </c>
      <c r="K208" s="28"/>
    </row>
    <row r="209" spans="1:11" x14ac:dyDescent="0.2">
      <c r="A209" s="25">
        <v>45455</v>
      </c>
      <c r="B209" s="26">
        <v>212.823669</v>
      </c>
      <c r="C209" s="26">
        <v>62.395851</v>
      </c>
      <c r="D209" s="26">
        <v>190.47456399999999</v>
      </c>
      <c r="E209" s="26">
        <v>17.349598</v>
      </c>
      <c r="K209" s="28"/>
    </row>
    <row r="210" spans="1:11" x14ac:dyDescent="0.2">
      <c r="A210" s="25">
        <v>45456</v>
      </c>
      <c r="B210" s="26">
        <v>213.99231</v>
      </c>
      <c r="C210" s="26">
        <v>62.505004999999997</v>
      </c>
      <c r="D210" s="26">
        <v>192.59283400000001</v>
      </c>
      <c r="E210" s="26">
        <v>17.408709000000002</v>
      </c>
      <c r="K210" s="28"/>
    </row>
    <row r="211" spans="1:11" x14ac:dyDescent="0.2">
      <c r="A211" s="25">
        <v>45457</v>
      </c>
      <c r="B211" s="26">
        <v>212.244339</v>
      </c>
      <c r="C211" s="26">
        <v>62.549999</v>
      </c>
      <c r="D211" s="26">
        <v>192.71215799999999</v>
      </c>
      <c r="E211" s="26">
        <v>17.379152000000001</v>
      </c>
      <c r="K211" s="28"/>
    </row>
    <row r="212" spans="1:11" x14ac:dyDescent="0.2">
      <c r="A212" s="25">
        <v>45460</v>
      </c>
      <c r="B212" s="26">
        <v>216.41949500000001</v>
      </c>
      <c r="C212" s="26">
        <v>62.619999</v>
      </c>
      <c r="D212" s="26">
        <v>193.90554800000001</v>
      </c>
      <c r="E212" s="26">
        <v>17.408709000000002</v>
      </c>
      <c r="K212" s="28"/>
    </row>
    <row r="213" spans="1:11" x14ac:dyDescent="0.2">
      <c r="A213" s="25">
        <v>45461</v>
      </c>
      <c r="B213" s="26">
        <v>214.042236</v>
      </c>
      <c r="C213" s="26">
        <v>62.630001</v>
      </c>
      <c r="D213" s="26">
        <v>195.914413</v>
      </c>
      <c r="E213" s="26">
        <v>17.783089</v>
      </c>
      <c r="K213" s="28"/>
    </row>
    <row r="214" spans="1:11" x14ac:dyDescent="0.2">
      <c r="A214" s="25">
        <v>45463</v>
      </c>
      <c r="B214" s="26">
        <v>209.43757600000001</v>
      </c>
      <c r="C214" s="26">
        <v>62.18</v>
      </c>
      <c r="D214" s="26">
        <v>197.575211</v>
      </c>
      <c r="E214" s="26">
        <v>17.842203000000001</v>
      </c>
      <c r="K214" s="28"/>
    </row>
    <row r="215" spans="1:11" x14ac:dyDescent="0.2">
      <c r="A215" s="25">
        <v>45464</v>
      </c>
      <c r="B215" s="26">
        <v>207.250122</v>
      </c>
      <c r="C215" s="26">
        <v>62.77</v>
      </c>
      <c r="D215" s="26">
        <v>195.218277</v>
      </c>
      <c r="E215" s="26">
        <v>18.127914000000001</v>
      </c>
      <c r="K215" s="28"/>
    </row>
    <row r="216" spans="1:11" x14ac:dyDescent="0.2">
      <c r="A216" s="25">
        <v>45467</v>
      </c>
      <c r="B216" s="26">
        <v>207.89935299999999</v>
      </c>
      <c r="C216" s="26">
        <v>63.970001000000003</v>
      </c>
      <c r="D216" s="26">
        <v>197.78405799999999</v>
      </c>
      <c r="E216" s="26">
        <v>18.374217999999999</v>
      </c>
      <c r="K216" s="28"/>
    </row>
    <row r="217" spans="1:11" x14ac:dyDescent="0.2">
      <c r="A217" s="25">
        <v>45468</v>
      </c>
      <c r="B217" s="26">
        <v>208.828293</v>
      </c>
      <c r="C217" s="26">
        <v>63.84</v>
      </c>
      <c r="D217" s="26">
        <v>196.978531</v>
      </c>
      <c r="E217" s="26">
        <v>18.413627999999999</v>
      </c>
      <c r="K217" s="28"/>
    </row>
    <row r="218" spans="1:11" x14ac:dyDescent="0.2">
      <c r="A218" s="25">
        <v>45469</v>
      </c>
      <c r="B218" s="26">
        <v>213.00344799999999</v>
      </c>
      <c r="C218" s="26">
        <v>64.050003000000004</v>
      </c>
      <c r="D218" s="26">
        <v>196.34204099999999</v>
      </c>
      <c r="E218" s="26">
        <v>18.482592</v>
      </c>
      <c r="K218" s="28"/>
    </row>
    <row r="219" spans="1:11" x14ac:dyDescent="0.2">
      <c r="A219" s="25">
        <v>45470</v>
      </c>
      <c r="B219" s="26">
        <v>213.85247799999999</v>
      </c>
      <c r="C219" s="26">
        <v>63.91</v>
      </c>
      <c r="D219" s="26">
        <v>198.072464</v>
      </c>
      <c r="E219" s="26">
        <v>18.472738</v>
      </c>
      <c r="K219" s="28"/>
    </row>
    <row r="220" spans="1:11" x14ac:dyDescent="0.2">
      <c r="A220" s="25">
        <v>45471</v>
      </c>
      <c r="B220" s="26">
        <v>210.37647999999999</v>
      </c>
      <c r="C220" s="26">
        <v>63.650002000000001</v>
      </c>
      <c r="D220" s="26">
        <v>201.145432</v>
      </c>
      <c r="E220" s="26">
        <v>18.827414999999998</v>
      </c>
      <c r="K220" s="28"/>
    </row>
    <row r="221" spans="1:11" x14ac:dyDescent="0.2">
      <c r="A221" s="25">
        <v>45474</v>
      </c>
      <c r="B221" s="26">
        <v>216.499405</v>
      </c>
      <c r="C221" s="26">
        <v>63.279998999999997</v>
      </c>
      <c r="D221" s="26">
        <v>204.31785600000001</v>
      </c>
      <c r="E221" s="26">
        <v>18.699337</v>
      </c>
      <c r="K221" s="28"/>
    </row>
    <row r="222" spans="1:11" x14ac:dyDescent="0.2">
      <c r="A222" s="25">
        <v>45475</v>
      </c>
      <c r="B222" s="26">
        <v>220.01533499999999</v>
      </c>
      <c r="C222" s="26">
        <v>63.150002000000001</v>
      </c>
      <c r="D222" s="26">
        <v>207.67922999999999</v>
      </c>
      <c r="E222" s="26">
        <v>18.541703999999999</v>
      </c>
      <c r="K222" s="28"/>
    </row>
    <row r="223" spans="1:11" x14ac:dyDescent="0.2">
      <c r="A223" s="25">
        <v>45476</v>
      </c>
      <c r="B223" s="26">
        <v>221.29385400000001</v>
      </c>
      <c r="C223" s="26">
        <v>63.330002</v>
      </c>
      <c r="D223" s="26">
        <v>207.540009</v>
      </c>
      <c r="E223" s="26">
        <v>18.403773999999999</v>
      </c>
      <c r="K223" s="28"/>
    </row>
    <row r="224" spans="1:11" x14ac:dyDescent="0.2">
      <c r="A224" s="25">
        <v>45478</v>
      </c>
      <c r="B224" s="26">
        <v>226.07830799999999</v>
      </c>
      <c r="C224" s="26">
        <v>63.759998000000003</v>
      </c>
      <c r="D224" s="26">
        <v>204.78999300000001</v>
      </c>
      <c r="E224" s="26">
        <v>18.492443000000002</v>
      </c>
      <c r="K224" s="28"/>
    </row>
    <row r="225" spans="1:11" x14ac:dyDescent="0.2">
      <c r="A225" s="25">
        <v>45481</v>
      </c>
      <c r="B225" s="26">
        <v>227.55661000000001</v>
      </c>
      <c r="C225" s="26">
        <v>62.959999000000003</v>
      </c>
      <c r="D225" s="26">
        <v>205.16999799999999</v>
      </c>
      <c r="E225" s="26">
        <v>18.531851</v>
      </c>
      <c r="K225" s="28"/>
    </row>
    <row r="226" spans="1:11" x14ac:dyDescent="0.2">
      <c r="A226" s="25">
        <v>45482</v>
      </c>
      <c r="B226" s="26">
        <v>228.415604</v>
      </c>
      <c r="C226" s="26">
        <v>62.689999</v>
      </c>
      <c r="D226" s="26">
        <v>207.63000500000001</v>
      </c>
      <c r="E226" s="26">
        <v>18.521999000000001</v>
      </c>
      <c r="K226" s="28"/>
    </row>
    <row r="227" spans="1:11" x14ac:dyDescent="0.2">
      <c r="A227" s="25">
        <v>45483</v>
      </c>
      <c r="B227" s="26">
        <v>232.710632</v>
      </c>
      <c r="C227" s="26">
        <v>62.830002</v>
      </c>
      <c r="D227" s="26">
        <v>207.800003</v>
      </c>
      <c r="E227" s="26">
        <v>18.739999999999998</v>
      </c>
      <c r="K227" s="28"/>
    </row>
    <row r="228" spans="1:11" x14ac:dyDescent="0.2">
      <c r="A228" s="25">
        <v>45484</v>
      </c>
      <c r="B228" s="26">
        <v>227.30690000000001</v>
      </c>
      <c r="C228" s="26">
        <v>63.099997999999999</v>
      </c>
      <c r="D228" s="26">
        <v>207.449997</v>
      </c>
      <c r="E228" s="26">
        <v>18.860001</v>
      </c>
      <c r="K228" s="28"/>
    </row>
    <row r="229" spans="1:11" x14ac:dyDescent="0.2">
      <c r="A229" s="25">
        <v>45485</v>
      </c>
      <c r="B229" s="26">
        <v>230.27345299999999</v>
      </c>
      <c r="C229" s="26">
        <v>63.700001</v>
      </c>
      <c r="D229" s="26">
        <v>204.94000199999999</v>
      </c>
      <c r="E229" s="26">
        <v>18.809999000000001</v>
      </c>
      <c r="K229" s="28"/>
    </row>
    <row r="230" spans="1:11" x14ac:dyDescent="0.2">
      <c r="A230" s="25">
        <v>45488</v>
      </c>
      <c r="B230" s="26">
        <v>234.128998</v>
      </c>
      <c r="C230" s="26">
        <v>63.41</v>
      </c>
      <c r="D230" s="26">
        <v>210.050003</v>
      </c>
      <c r="E230" s="26">
        <v>18.579999999999998</v>
      </c>
      <c r="K230" s="28"/>
    </row>
    <row r="231" spans="1:11" x14ac:dyDescent="0.2">
      <c r="A231" s="25">
        <v>45489</v>
      </c>
      <c r="B231" s="26">
        <v>234.54852299999999</v>
      </c>
      <c r="C231" s="26">
        <v>64.269997000000004</v>
      </c>
      <c r="D231" s="26">
        <v>213.61999499999999</v>
      </c>
      <c r="E231" s="26">
        <v>18.850000000000001</v>
      </c>
      <c r="K231" s="28"/>
    </row>
    <row r="232" spans="1:11" x14ac:dyDescent="0.2">
      <c r="A232" s="25">
        <v>45490</v>
      </c>
      <c r="B232" s="26">
        <v>228.615387</v>
      </c>
      <c r="C232" s="26">
        <v>65.209998999999996</v>
      </c>
      <c r="D232" s="26">
        <v>216.86999499999999</v>
      </c>
      <c r="E232" s="26">
        <v>19.16</v>
      </c>
      <c r="K232" s="28"/>
    </row>
    <row r="233" spans="1:11" x14ac:dyDescent="0.2">
      <c r="A233" s="25">
        <v>45491</v>
      </c>
      <c r="B233" s="26">
        <v>223.920807</v>
      </c>
      <c r="C233" s="26">
        <v>65.190002000000007</v>
      </c>
      <c r="D233" s="26">
        <v>209.979996</v>
      </c>
      <c r="E233" s="26">
        <v>19.149999999999999</v>
      </c>
      <c r="K233" s="28"/>
    </row>
    <row r="234" spans="1:11" x14ac:dyDescent="0.2">
      <c r="A234" s="25">
        <v>45492</v>
      </c>
      <c r="B234" s="26">
        <v>224.050659</v>
      </c>
      <c r="C234" s="26">
        <v>65.290001000000004</v>
      </c>
      <c r="D234" s="26">
        <v>209.779999</v>
      </c>
      <c r="E234" s="26">
        <v>19.120000999999998</v>
      </c>
      <c r="K234" s="28"/>
    </row>
    <row r="235" spans="1:11" x14ac:dyDescent="0.2">
      <c r="A235" s="25">
        <v>45495</v>
      </c>
      <c r="B235" s="26">
        <v>223.70107999999999</v>
      </c>
      <c r="C235" s="26">
        <v>64.769997000000004</v>
      </c>
      <c r="D235" s="26">
        <v>210.279999</v>
      </c>
      <c r="E235" s="26">
        <v>18.549999</v>
      </c>
      <c r="K235" s="28"/>
    </row>
    <row r="236" spans="1:11" x14ac:dyDescent="0.2">
      <c r="A236" s="25">
        <v>45496</v>
      </c>
      <c r="B236" s="26">
        <v>224.74984699999999</v>
      </c>
      <c r="C236" s="26">
        <v>64.959998999999996</v>
      </c>
      <c r="D236" s="26">
        <v>210.33000200000001</v>
      </c>
      <c r="E236" s="26">
        <v>18.209999</v>
      </c>
      <c r="K236" s="28"/>
    </row>
    <row r="237" spans="1:11" x14ac:dyDescent="0.2">
      <c r="A237" s="25">
        <v>45497</v>
      </c>
      <c r="B237" s="26">
        <v>218.28732299999999</v>
      </c>
      <c r="C237" s="26">
        <v>65.809997999999993</v>
      </c>
      <c r="D237" s="26">
        <v>208.58999600000001</v>
      </c>
      <c r="E237" s="26">
        <v>19.16</v>
      </c>
      <c r="K237" s="28"/>
    </row>
    <row r="238" spans="1:11" x14ac:dyDescent="0.2">
      <c r="A238" s="25">
        <v>45498</v>
      </c>
      <c r="B238" s="26">
        <v>217.23855599999999</v>
      </c>
      <c r="C238" s="26">
        <v>66.069999999999993</v>
      </c>
      <c r="D238" s="26">
        <v>208.66999799999999</v>
      </c>
      <c r="E238" s="26">
        <v>19.190000999999999</v>
      </c>
      <c r="K238" s="28"/>
    </row>
    <row r="239" spans="1:11" x14ac:dyDescent="0.2">
      <c r="A239" s="25">
        <v>45499</v>
      </c>
      <c r="B239" s="26">
        <v>217.70800800000001</v>
      </c>
      <c r="C239" s="26">
        <v>67.050003000000004</v>
      </c>
      <c r="D239" s="26">
        <v>212.240005</v>
      </c>
      <c r="E239" s="26">
        <v>19.010000000000002</v>
      </c>
      <c r="K239" s="28"/>
    </row>
    <row r="240" spans="1:11" x14ac:dyDescent="0.2">
      <c r="A240" s="25">
        <v>45502</v>
      </c>
      <c r="B240" s="26">
        <v>217.987686</v>
      </c>
      <c r="C240" s="26">
        <v>66.830001999999993</v>
      </c>
      <c r="D240" s="26">
        <v>210.85000600000001</v>
      </c>
      <c r="E240" s="26">
        <v>18.899999999999999</v>
      </c>
      <c r="K240" s="28"/>
    </row>
    <row r="241" spans="1:11" x14ac:dyDescent="0.2">
      <c r="A241" s="25">
        <v>45503</v>
      </c>
      <c r="B241" s="26">
        <v>218.547043</v>
      </c>
      <c r="C241" s="26">
        <v>67.680000000000007</v>
      </c>
      <c r="D241" s="26">
        <v>215.19000199999999</v>
      </c>
      <c r="E241" s="26">
        <v>18.98</v>
      </c>
      <c r="K241" s="28"/>
    </row>
    <row r="242" spans="1:11" x14ac:dyDescent="0.2">
      <c r="A242" s="25">
        <v>45504</v>
      </c>
      <c r="B242" s="26">
        <v>221.82324199999999</v>
      </c>
      <c r="C242" s="26">
        <v>66.739998</v>
      </c>
      <c r="D242" s="26">
        <v>212.800003</v>
      </c>
      <c r="E242" s="26">
        <v>19.25</v>
      </c>
      <c r="K242" s="28"/>
    </row>
    <row r="243" spans="1:11" x14ac:dyDescent="0.2">
      <c r="A243" s="25">
        <v>45505</v>
      </c>
      <c r="B243" s="26">
        <v>218.10754399999999</v>
      </c>
      <c r="C243" s="26">
        <v>67.959998999999996</v>
      </c>
      <c r="D243" s="26">
        <v>207.96000699999999</v>
      </c>
      <c r="E243" s="26">
        <v>19.469999000000001</v>
      </c>
      <c r="K243" s="28"/>
    </row>
    <row r="244" spans="1:11" x14ac:dyDescent="0.2">
      <c r="A244" s="25">
        <v>45506</v>
      </c>
      <c r="B244" s="26">
        <v>219.60580400000001</v>
      </c>
      <c r="C244" s="26">
        <v>69.330001999999993</v>
      </c>
      <c r="D244" s="26">
        <v>199.13999899999999</v>
      </c>
      <c r="E244" s="26">
        <v>19.370000999999998</v>
      </c>
      <c r="K244" s="28"/>
    </row>
    <row r="245" spans="1:11" x14ac:dyDescent="0.2">
      <c r="A245" s="25">
        <v>45509</v>
      </c>
      <c r="B245" s="26">
        <v>209.02806100000001</v>
      </c>
      <c r="C245" s="26">
        <v>68.099997999999999</v>
      </c>
      <c r="D245" s="26">
        <v>194.89999399999999</v>
      </c>
      <c r="E245" s="26">
        <v>18.91</v>
      </c>
      <c r="K245" s="28"/>
    </row>
    <row r="246" spans="1:11" x14ac:dyDescent="0.2">
      <c r="A246" s="25">
        <v>45510</v>
      </c>
      <c r="B246" s="26">
        <v>206.99040199999999</v>
      </c>
      <c r="C246" s="26">
        <v>68.050003000000004</v>
      </c>
      <c r="D246" s="26">
        <v>200.33999600000001</v>
      </c>
      <c r="E246" s="26">
        <v>19.190000999999999</v>
      </c>
      <c r="K246" s="28"/>
    </row>
    <row r="247" spans="1:11" x14ac:dyDescent="0.2">
      <c r="A247" s="25">
        <v>45511</v>
      </c>
      <c r="B247" s="26">
        <v>209.57742300000001</v>
      </c>
      <c r="C247" s="26">
        <v>68.459998999999996</v>
      </c>
      <c r="D247" s="26">
        <v>200.39999399999999</v>
      </c>
      <c r="E247" s="26">
        <v>19.25</v>
      </c>
      <c r="K247" s="28"/>
    </row>
    <row r="248" spans="1:11" x14ac:dyDescent="0.2">
      <c r="A248" s="25">
        <v>45512</v>
      </c>
      <c r="B248" s="26">
        <v>213.06338500000001</v>
      </c>
      <c r="C248" s="26">
        <v>68.730002999999996</v>
      </c>
      <c r="D248" s="26">
        <v>204.05999800000001</v>
      </c>
      <c r="E248" s="26">
        <v>19.399999999999999</v>
      </c>
      <c r="K248" s="28"/>
    </row>
    <row r="249" spans="1:11" x14ac:dyDescent="0.2">
      <c r="A249" s="25">
        <v>45513</v>
      </c>
      <c r="B249" s="26">
        <v>215.990005</v>
      </c>
      <c r="C249" s="26">
        <v>68.680000000000007</v>
      </c>
      <c r="D249" s="26">
        <v>205.800003</v>
      </c>
      <c r="E249" s="26">
        <v>19.489999999999998</v>
      </c>
      <c r="K249" s="28"/>
    </row>
    <row r="250" spans="1:11" x14ac:dyDescent="0.2">
      <c r="A250" s="25">
        <v>45516</v>
      </c>
      <c r="B250" s="26">
        <v>217.529999</v>
      </c>
      <c r="C250" s="26">
        <v>68.169998000000007</v>
      </c>
      <c r="D250" s="26">
        <v>206.19000199999999</v>
      </c>
      <c r="E250" s="26">
        <v>19.43</v>
      </c>
      <c r="K250" s="28"/>
    </row>
    <row r="251" spans="1:11" x14ac:dyDescent="0.2">
      <c r="A251" s="25">
        <v>45517</v>
      </c>
      <c r="B251" s="26">
        <v>221.270004</v>
      </c>
      <c r="C251" s="26">
        <v>68.459998999999996</v>
      </c>
      <c r="D251" s="26">
        <v>207.94000199999999</v>
      </c>
      <c r="E251" s="26">
        <v>19.52</v>
      </c>
      <c r="K251" s="28"/>
    </row>
    <row r="252" spans="1:11" x14ac:dyDescent="0.2">
      <c r="A252" s="25">
        <v>45518</v>
      </c>
      <c r="B252" s="26">
        <v>221.720001</v>
      </c>
      <c r="C252" s="26">
        <v>68.580001999999993</v>
      </c>
      <c r="D252" s="26">
        <v>210.240005</v>
      </c>
      <c r="E252" s="26">
        <v>19.629999000000002</v>
      </c>
      <c r="K252" s="28"/>
    </row>
    <row r="253" spans="1:11" x14ac:dyDescent="0.2">
      <c r="A253" s="25">
        <v>45519</v>
      </c>
      <c r="B253" s="26">
        <v>224.720001</v>
      </c>
      <c r="C253" s="26">
        <v>68.650002000000001</v>
      </c>
      <c r="D253" s="26">
        <v>211.550003</v>
      </c>
      <c r="E253" s="26">
        <v>19.09</v>
      </c>
      <c r="K253" s="28"/>
    </row>
    <row r="254" spans="1:11" x14ac:dyDescent="0.2">
      <c r="A254" s="25">
        <v>45520</v>
      </c>
      <c r="B254" s="26">
        <v>226.050003</v>
      </c>
      <c r="C254" s="26">
        <v>69.180000000000007</v>
      </c>
      <c r="D254" s="26">
        <v>213.970001</v>
      </c>
      <c r="E254" s="26">
        <v>19.34</v>
      </c>
      <c r="K254" s="28"/>
    </row>
    <row r="255" spans="1:11" x14ac:dyDescent="0.2">
      <c r="D255" s="4"/>
      <c r="K255" s="28"/>
    </row>
    <row r="256" spans="1:11" x14ac:dyDescent="0.2">
      <c r="D256" s="4"/>
      <c r="K256" s="28"/>
    </row>
    <row r="257" spans="4:11" x14ac:dyDescent="0.2">
      <c r="D257" s="4"/>
      <c r="K257" s="28"/>
    </row>
    <row r="258" spans="4:11" x14ac:dyDescent="0.2">
      <c r="D258" s="4"/>
      <c r="K258" s="28"/>
    </row>
    <row r="259" spans="4:11" x14ac:dyDescent="0.2">
      <c r="D259" s="4"/>
      <c r="K259" s="28"/>
    </row>
    <row r="260" spans="4:11" x14ac:dyDescent="0.2">
      <c r="E260" s="1"/>
      <c r="F260" s="29"/>
      <c r="G260" s="29"/>
      <c r="K260" s="28"/>
    </row>
    <row r="261" spans="4:11" x14ac:dyDescent="0.2">
      <c r="E261" s="1"/>
      <c r="F261" s="29"/>
      <c r="G261" s="29"/>
      <c r="K261" s="28"/>
    </row>
    <row r="262" spans="4:11" x14ac:dyDescent="0.2">
      <c r="E262" s="1"/>
      <c r="F262" s="29"/>
      <c r="G262" s="29"/>
    </row>
    <row r="263" spans="4:11" x14ac:dyDescent="0.2">
      <c r="E263" s="1"/>
      <c r="F263" s="29"/>
      <c r="G263" s="29"/>
    </row>
    <row r="264" spans="4:11" x14ac:dyDescent="0.2">
      <c r="E264" s="1"/>
      <c r="F264" s="29"/>
      <c r="G264" s="29"/>
    </row>
    <row r="265" spans="4:11" x14ac:dyDescent="0.2">
      <c r="E265" s="1"/>
      <c r="F265" s="29"/>
      <c r="G265" s="29"/>
    </row>
    <row r="266" spans="4:11" x14ac:dyDescent="0.2">
      <c r="E266" s="1"/>
      <c r="F266" s="29"/>
      <c r="G266" s="29"/>
    </row>
    <row r="267" spans="4:11" x14ac:dyDescent="0.2">
      <c r="E267" s="1"/>
      <c r="F267" s="29"/>
      <c r="G267" s="29"/>
    </row>
    <row r="268" spans="4:11" x14ac:dyDescent="0.2">
      <c r="E268" s="1"/>
      <c r="F268" s="29"/>
      <c r="G268" s="29"/>
    </row>
    <row r="269" spans="4:11" x14ac:dyDescent="0.2">
      <c r="E269" s="1"/>
      <c r="F269" s="29"/>
      <c r="G269" s="29"/>
    </row>
    <row r="270" spans="4:11" x14ac:dyDescent="0.2">
      <c r="E270" s="1"/>
      <c r="F270" s="29"/>
      <c r="G270" s="29"/>
    </row>
    <row r="271" spans="4:11" x14ac:dyDescent="0.2">
      <c r="E271" s="1"/>
      <c r="F271" s="29"/>
      <c r="G271" s="29"/>
    </row>
    <row r="272" spans="4:11" x14ac:dyDescent="0.2">
      <c r="E272" s="1"/>
      <c r="F272" s="29"/>
      <c r="G272" s="29"/>
    </row>
    <row r="273" spans="5:7" x14ac:dyDescent="0.2">
      <c r="E273" s="1"/>
      <c r="F273" s="29"/>
      <c r="G273" s="29"/>
    </row>
    <row r="274" spans="5:7" x14ac:dyDescent="0.2">
      <c r="E274" s="1"/>
      <c r="F274" s="29"/>
      <c r="G274" s="29"/>
    </row>
    <row r="275" spans="5:7" x14ac:dyDescent="0.2">
      <c r="E275" s="1"/>
      <c r="F275" s="29"/>
      <c r="G275" s="29"/>
    </row>
    <row r="276" spans="5:7" x14ac:dyDescent="0.2">
      <c r="E276" s="1"/>
      <c r="F276" s="29"/>
      <c r="G276" s="29"/>
    </row>
    <row r="277" spans="5:7" x14ac:dyDescent="0.2">
      <c r="E277" s="1"/>
      <c r="F277" s="29"/>
      <c r="G277" s="29"/>
    </row>
    <row r="278" spans="5:7" x14ac:dyDescent="0.2">
      <c r="E278" s="1"/>
      <c r="F278" s="29"/>
      <c r="G278" s="29"/>
    </row>
    <row r="279" spans="5:7" x14ac:dyDescent="0.2">
      <c r="E279" s="1"/>
    </row>
    <row r="280" spans="5:7" x14ac:dyDescent="0.2">
      <c r="E280" s="1"/>
    </row>
    <row r="281" spans="5:7" x14ac:dyDescent="0.2">
      <c r="E281" s="1"/>
    </row>
    <row r="282" spans="5:7" x14ac:dyDescent="0.2">
      <c r="E282" s="1"/>
    </row>
    <row r="283" spans="5:7" x14ac:dyDescent="0.2">
      <c r="E283" s="1"/>
    </row>
    <row r="284" spans="5:7" x14ac:dyDescent="0.2">
      <c r="E284" s="1"/>
    </row>
    <row r="285" spans="5:7" x14ac:dyDescent="0.2">
      <c r="E285" s="1"/>
    </row>
    <row r="286" spans="5:7" x14ac:dyDescent="0.2">
      <c r="E286" s="1"/>
    </row>
    <row r="287" spans="5:7" x14ac:dyDescent="0.2">
      <c r="E287" s="1"/>
    </row>
    <row r="288" spans="5:7" x14ac:dyDescent="0.2">
      <c r="E288" s="1"/>
    </row>
    <row r="289" spans="5:5" x14ac:dyDescent="0.2">
      <c r="E289" s="1"/>
    </row>
    <row r="290" spans="5:5" x14ac:dyDescent="0.2">
      <c r="E290" s="1"/>
    </row>
    <row r="291" spans="5:5" x14ac:dyDescent="0.2">
      <c r="E291" s="1"/>
    </row>
    <row r="292" spans="5:5" x14ac:dyDescent="0.2">
      <c r="E292" s="1"/>
    </row>
    <row r="293" spans="5:5" x14ac:dyDescent="0.2">
      <c r="E293" s="1"/>
    </row>
    <row r="294" spans="5:5" x14ac:dyDescent="0.2">
      <c r="E294" s="1"/>
    </row>
    <row r="295" spans="5:5" x14ac:dyDescent="0.2">
      <c r="E295" s="1"/>
    </row>
    <row r="296" spans="5:5" x14ac:dyDescent="0.2">
      <c r="E296" s="1"/>
    </row>
    <row r="297" spans="5:5" x14ac:dyDescent="0.2">
      <c r="E297" s="1"/>
    </row>
    <row r="298" spans="5:5" x14ac:dyDescent="0.2">
      <c r="E298" s="1"/>
    </row>
    <row r="299" spans="5:5" x14ac:dyDescent="0.2">
      <c r="E299" s="1"/>
    </row>
    <row r="300" spans="5:5" x14ac:dyDescent="0.2">
      <c r="E300" s="1"/>
    </row>
    <row r="301" spans="5:5" x14ac:dyDescent="0.2">
      <c r="E301" s="1"/>
    </row>
    <row r="302" spans="5:5" x14ac:dyDescent="0.2">
      <c r="E302" s="1"/>
    </row>
    <row r="303" spans="5:5" x14ac:dyDescent="0.2">
      <c r="E303" s="1"/>
    </row>
    <row r="304" spans="5:5" x14ac:dyDescent="0.2">
      <c r="E304" s="1"/>
    </row>
    <row r="305" spans="5:5" x14ac:dyDescent="0.2">
      <c r="E305" s="1"/>
    </row>
    <row r="306" spans="5:5" x14ac:dyDescent="0.2">
      <c r="E306" s="1"/>
    </row>
    <row r="307" spans="5:5" x14ac:dyDescent="0.2">
      <c r="E307" s="1"/>
    </row>
    <row r="308" spans="5:5" x14ac:dyDescent="0.2">
      <c r="E308" s="1"/>
    </row>
    <row r="309" spans="5:5" x14ac:dyDescent="0.2">
      <c r="E309" s="1"/>
    </row>
    <row r="310" spans="5:5" x14ac:dyDescent="0.2">
      <c r="E310" s="1"/>
    </row>
    <row r="311" spans="5:5" x14ac:dyDescent="0.2">
      <c r="E311" s="1"/>
    </row>
    <row r="312" spans="5:5" x14ac:dyDescent="0.2">
      <c r="E312" s="1"/>
    </row>
    <row r="313" spans="5:5" x14ac:dyDescent="0.2">
      <c r="E313" s="1"/>
    </row>
    <row r="314" spans="5:5" x14ac:dyDescent="0.2">
      <c r="E314" s="1"/>
    </row>
    <row r="315" spans="5:5" x14ac:dyDescent="0.2">
      <c r="E315" s="1"/>
    </row>
    <row r="316" spans="5:5" x14ac:dyDescent="0.2">
      <c r="E316" s="1"/>
    </row>
    <row r="317" spans="5:5" x14ac:dyDescent="0.2">
      <c r="E317" s="1"/>
    </row>
    <row r="318" spans="5:5" x14ac:dyDescent="0.2">
      <c r="E318" s="1"/>
    </row>
    <row r="319" spans="5:5" x14ac:dyDescent="0.2">
      <c r="E319" s="1"/>
    </row>
    <row r="320" spans="5:5" x14ac:dyDescent="0.2">
      <c r="E320" s="1"/>
    </row>
    <row r="321" spans="5:5" x14ac:dyDescent="0.2">
      <c r="E321" s="1"/>
    </row>
    <row r="322" spans="5:5" x14ac:dyDescent="0.2">
      <c r="E322" s="1"/>
    </row>
    <row r="323" spans="5:5" x14ac:dyDescent="0.2">
      <c r="E323" s="1"/>
    </row>
    <row r="324" spans="5:5" x14ac:dyDescent="0.2">
      <c r="E324" s="1"/>
    </row>
    <row r="325" spans="5:5" x14ac:dyDescent="0.2">
      <c r="E325" s="1"/>
    </row>
    <row r="326" spans="5:5" x14ac:dyDescent="0.2">
      <c r="E326" s="1"/>
    </row>
    <row r="327" spans="5:5" x14ac:dyDescent="0.2">
      <c r="E327" s="1"/>
    </row>
    <row r="328" spans="5:5" x14ac:dyDescent="0.2">
      <c r="E328" s="1"/>
    </row>
    <row r="329" spans="5:5" x14ac:dyDescent="0.2">
      <c r="E329" s="1"/>
    </row>
    <row r="330" spans="5:5" x14ac:dyDescent="0.2">
      <c r="E330" s="1"/>
    </row>
    <row r="331" spans="5:5" x14ac:dyDescent="0.2">
      <c r="E331" s="1"/>
    </row>
    <row r="332" spans="5:5" x14ac:dyDescent="0.2">
      <c r="E332" s="1"/>
    </row>
    <row r="333" spans="5:5" x14ac:dyDescent="0.2">
      <c r="E333" s="1"/>
    </row>
    <row r="334" spans="5:5" x14ac:dyDescent="0.2">
      <c r="E334" s="1"/>
    </row>
    <row r="335" spans="5:5" x14ac:dyDescent="0.2">
      <c r="E335" s="1"/>
    </row>
    <row r="336" spans="5:5" x14ac:dyDescent="0.2">
      <c r="E336" s="1"/>
    </row>
    <row r="337" spans="5:5" x14ac:dyDescent="0.2">
      <c r="E337" s="1"/>
    </row>
    <row r="338" spans="5:5" x14ac:dyDescent="0.2">
      <c r="E338" s="1"/>
    </row>
    <row r="339" spans="5:5" x14ac:dyDescent="0.2">
      <c r="E339" s="1"/>
    </row>
    <row r="340" spans="5:5" x14ac:dyDescent="0.2">
      <c r="E340" s="1"/>
    </row>
    <row r="341" spans="5:5" x14ac:dyDescent="0.2">
      <c r="E341" s="1"/>
    </row>
    <row r="342" spans="5:5" x14ac:dyDescent="0.2">
      <c r="E342" s="1"/>
    </row>
    <row r="343" spans="5:5" x14ac:dyDescent="0.2">
      <c r="E343" s="1"/>
    </row>
    <row r="344" spans="5:5" x14ac:dyDescent="0.2">
      <c r="E344" s="1"/>
    </row>
    <row r="345" spans="5:5" x14ac:dyDescent="0.2">
      <c r="E345" s="1"/>
    </row>
    <row r="346" spans="5:5" x14ac:dyDescent="0.2">
      <c r="E346" s="1"/>
    </row>
    <row r="347" spans="5:5" x14ac:dyDescent="0.2">
      <c r="E347" s="1"/>
    </row>
    <row r="348" spans="5:5" x14ac:dyDescent="0.2">
      <c r="E348" s="1"/>
    </row>
    <row r="349" spans="5:5" x14ac:dyDescent="0.2">
      <c r="E349" s="1"/>
    </row>
    <row r="350" spans="5:5" x14ac:dyDescent="0.2">
      <c r="E350" s="1"/>
    </row>
    <row r="351" spans="5:5" x14ac:dyDescent="0.2">
      <c r="E351" s="1"/>
    </row>
    <row r="352" spans="5:5" x14ac:dyDescent="0.2">
      <c r="E352" s="1"/>
    </row>
    <row r="353" spans="5:5" x14ac:dyDescent="0.2">
      <c r="E353" s="1"/>
    </row>
    <row r="354" spans="5:5" x14ac:dyDescent="0.2">
      <c r="E354" s="1"/>
    </row>
    <row r="355" spans="5:5" x14ac:dyDescent="0.2">
      <c r="E355" s="1"/>
    </row>
    <row r="356" spans="5:5" x14ac:dyDescent="0.2">
      <c r="E356" s="1"/>
    </row>
    <row r="357" spans="5:5" x14ac:dyDescent="0.2">
      <c r="E357" s="1"/>
    </row>
    <row r="358" spans="5:5" x14ac:dyDescent="0.2">
      <c r="E358" s="1"/>
    </row>
    <row r="359" spans="5:5" x14ac:dyDescent="0.2">
      <c r="E359" s="1"/>
    </row>
    <row r="360" spans="5:5" x14ac:dyDescent="0.2">
      <c r="E360" s="1"/>
    </row>
    <row r="361" spans="5:5" x14ac:dyDescent="0.2">
      <c r="E361" s="1"/>
    </row>
    <row r="362" spans="5:5" x14ac:dyDescent="0.2">
      <c r="E362" s="1"/>
    </row>
    <row r="363" spans="5:5" x14ac:dyDescent="0.2">
      <c r="E363" s="1"/>
    </row>
    <row r="364" spans="5:5" x14ac:dyDescent="0.2">
      <c r="E364" s="1"/>
    </row>
    <row r="365" spans="5:5" x14ac:dyDescent="0.2">
      <c r="E365" s="1"/>
    </row>
    <row r="366" spans="5:5" x14ac:dyDescent="0.2">
      <c r="E366" s="1"/>
    </row>
    <row r="367" spans="5:5" x14ac:dyDescent="0.2">
      <c r="E367" s="1"/>
    </row>
    <row r="368" spans="5:5" x14ac:dyDescent="0.2">
      <c r="E368" s="1"/>
    </row>
    <row r="369" spans="5:5" x14ac:dyDescent="0.2">
      <c r="E369" s="1"/>
    </row>
    <row r="370" spans="5:5" x14ac:dyDescent="0.2">
      <c r="E370" s="1"/>
    </row>
    <row r="371" spans="5:5" x14ac:dyDescent="0.2">
      <c r="E371" s="1"/>
    </row>
    <row r="372" spans="5:5" x14ac:dyDescent="0.2">
      <c r="E372" s="1"/>
    </row>
    <row r="373" spans="5:5" x14ac:dyDescent="0.2">
      <c r="E373" s="1"/>
    </row>
    <row r="374" spans="5:5" x14ac:dyDescent="0.2">
      <c r="E374" s="1"/>
    </row>
    <row r="375" spans="5:5" x14ac:dyDescent="0.2">
      <c r="E375" s="1"/>
    </row>
    <row r="376" spans="5:5" x14ac:dyDescent="0.2">
      <c r="E376" s="1"/>
    </row>
    <row r="377" spans="5:5" x14ac:dyDescent="0.2">
      <c r="E377" s="1"/>
    </row>
    <row r="378" spans="5:5" x14ac:dyDescent="0.2">
      <c r="E378" s="1"/>
    </row>
    <row r="379" spans="5:5" x14ac:dyDescent="0.2">
      <c r="E379" s="1"/>
    </row>
    <row r="380" spans="5:5" x14ac:dyDescent="0.2">
      <c r="E380" s="1"/>
    </row>
    <row r="381" spans="5:5" x14ac:dyDescent="0.2">
      <c r="E381" s="1"/>
    </row>
    <row r="382" spans="5:5" x14ac:dyDescent="0.2">
      <c r="E382" s="1"/>
    </row>
    <row r="383" spans="5:5" x14ac:dyDescent="0.2">
      <c r="E383" s="1"/>
    </row>
    <row r="384" spans="5:5" x14ac:dyDescent="0.2">
      <c r="E384" s="1"/>
    </row>
    <row r="385" spans="5:5" x14ac:dyDescent="0.2">
      <c r="E385" s="1"/>
    </row>
    <row r="386" spans="5:5" x14ac:dyDescent="0.2">
      <c r="E386" s="1"/>
    </row>
    <row r="387" spans="5:5" x14ac:dyDescent="0.2">
      <c r="E387" s="1"/>
    </row>
    <row r="388" spans="5:5" x14ac:dyDescent="0.2">
      <c r="E388" s="1"/>
    </row>
    <row r="389" spans="5:5" x14ac:dyDescent="0.2">
      <c r="E389" s="1"/>
    </row>
    <row r="390" spans="5:5" x14ac:dyDescent="0.2">
      <c r="E390" s="1"/>
    </row>
    <row r="391" spans="5:5" x14ac:dyDescent="0.2">
      <c r="E391" s="1"/>
    </row>
    <row r="392" spans="5:5" x14ac:dyDescent="0.2">
      <c r="E392" s="1"/>
    </row>
    <row r="393" spans="5:5" x14ac:dyDescent="0.2">
      <c r="E393" s="1"/>
    </row>
    <row r="394" spans="5:5" x14ac:dyDescent="0.2">
      <c r="E394" s="1"/>
    </row>
    <row r="395" spans="5:5" x14ac:dyDescent="0.2">
      <c r="E395" s="1"/>
    </row>
    <row r="396" spans="5:5" x14ac:dyDescent="0.2">
      <c r="E396" s="1"/>
    </row>
    <row r="397" spans="5:5" x14ac:dyDescent="0.2">
      <c r="E397" s="1"/>
    </row>
    <row r="398" spans="5:5" x14ac:dyDescent="0.2">
      <c r="E398" s="1"/>
    </row>
    <row r="399" spans="5:5" x14ac:dyDescent="0.2">
      <c r="E399" s="1"/>
    </row>
    <row r="400" spans="5:5" x14ac:dyDescent="0.2">
      <c r="E400" s="1"/>
    </row>
    <row r="401" spans="5:5" x14ac:dyDescent="0.2">
      <c r="E401" s="1"/>
    </row>
    <row r="402" spans="5:5" x14ac:dyDescent="0.2">
      <c r="E402" s="1"/>
    </row>
    <row r="403" spans="5:5" x14ac:dyDescent="0.2">
      <c r="E403" s="1"/>
    </row>
    <row r="404" spans="5:5" x14ac:dyDescent="0.2">
      <c r="E404" s="1"/>
    </row>
    <row r="405" spans="5:5" x14ac:dyDescent="0.2">
      <c r="E405" s="1"/>
    </row>
    <row r="406" spans="5:5" x14ac:dyDescent="0.2">
      <c r="E406" s="1"/>
    </row>
    <row r="407" spans="5:5" x14ac:dyDescent="0.2">
      <c r="E407" s="1"/>
    </row>
    <row r="408" spans="5:5" x14ac:dyDescent="0.2">
      <c r="E408" s="1"/>
    </row>
    <row r="409" spans="5:5" x14ac:dyDescent="0.2">
      <c r="E409" s="1"/>
    </row>
    <row r="410" spans="5:5" x14ac:dyDescent="0.2">
      <c r="E410" s="1"/>
    </row>
    <row r="411" spans="5:5" x14ac:dyDescent="0.2">
      <c r="E411" s="1"/>
    </row>
    <row r="412" spans="5:5" x14ac:dyDescent="0.2">
      <c r="E412" s="1"/>
    </row>
    <row r="413" spans="5:5" x14ac:dyDescent="0.2">
      <c r="E413" s="1"/>
    </row>
    <row r="414" spans="5:5" x14ac:dyDescent="0.2">
      <c r="E414" s="1"/>
    </row>
    <row r="415" spans="5:5" x14ac:dyDescent="0.2">
      <c r="E415" s="1"/>
    </row>
    <row r="416" spans="5:5" x14ac:dyDescent="0.2">
      <c r="E416" s="1"/>
    </row>
    <row r="417" spans="5:5" x14ac:dyDescent="0.2">
      <c r="E417" s="1"/>
    </row>
    <row r="418" spans="5:5" x14ac:dyDescent="0.2">
      <c r="E418" s="1"/>
    </row>
    <row r="419" spans="5:5" x14ac:dyDescent="0.2">
      <c r="E419" s="1"/>
    </row>
    <row r="420" spans="5:5" x14ac:dyDescent="0.2">
      <c r="E420" s="1"/>
    </row>
    <row r="421" spans="5:5" x14ac:dyDescent="0.2">
      <c r="E421" s="1"/>
    </row>
    <row r="422" spans="5:5" x14ac:dyDescent="0.2">
      <c r="E422" s="1"/>
    </row>
    <row r="423" spans="5:5" x14ac:dyDescent="0.2">
      <c r="E423" s="1"/>
    </row>
    <row r="424" spans="5:5" x14ac:dyDescent="0.2">
      <c r="E424" s="1"/>
    </row>
    <row r="425" spans="5:5" x14ac:dyDescent="0.2">
      <c r="E425" s="1"/>
    </row>
    <row r="426" spans="5:5" x14ac:dyDescent="0.2">
      <c r="E426" s="1"/>
    </row>
    <row r="427" spans="5:5" x14ac:dyDescent="0.2">
      <c r="E427" s="1"/>
    </row>
    <row r="428" spans="5:5" x14ac:dyDescent="0.2">
      <c r="E428" s="1"/>
    </row>
    <row r="429" spans="5:5" x14ac:dyDescent="0.2">
      <c r="E429" s="1"/>
    </row>
    <row r="430" spans="5:5" x14ac:dyDescent="0.2">
      <c r="E430" s="1"/>
    </row>
    <row r="431" spans="5:5" x14ac:dyDescent="0.2">
      <c r="E431" s="1"/>
    </row>
    <row r="432" spans="5:5" x14ac:dyDescent="0.2">
      <c r="E432" s="1"/>
    </row>
    <row r="433" spans="5:5" x14ac:dyDescent="0.2">
      <c r="E433" s="1"/>
    </row>
    <row r="434" spans="5:5" x14ac:dyDescent="0.2">
      <c r="E434" s="1"/>
    </row>
    <row r="435" spans="5:5" x14ac:dyDescent="0.2">
      <c r="E435" s="1"/>
    </row>
    <row r="436" spans="5:5" x14ac:dyDescent="0.2">
      <c r="E436" s="1"/>
    </row>
    <row r="437" spans="5:5" x14ac:dyDescent="0.2">
      <c r="E437" s="1"/>
    </row>
    <row r="438" spans="5:5" x14ac:dyDescent="0.2">
      <c r="E438" s="1"/>
    </row>
    <row r="439" spans="5:5" x14ac:dyDescent="0.2">
      <c r="E439" s="1"/>
    </row>
    <row r="440" spans="5:5" x14ac:dyDescent="0.2">
      <c r="E440" s="1"/>
    </row>
    <row r="441" spans="5:5" x14ac:dyDescent="0.2">
      <c r="E441" s="1"/>
    </row>
    <row r="442" spans="5:5" x14ac:dyDescent="0.2">
      <c r="E442" s="1"/>
    </row>
    <row r="443" spans="5:5" x14ac:dyDescent="0.2">
      <c r="E443" s="1"/>
    </row>
    <row r="444" spans="5:5" x14ac:dyDescent="0.2">
      <c r="E444" s="1"/>
    </row>
    <row r="445" spans="5:5" x14ac:dyDescent="0.2">
      <c r="E445" s="1"/>
    </row>
    <row r="446" spans="5:5" x14ac:dyDescent="0.2">
      <c r="E446" s="1"/>
    </row>
    <row r="447" spans="5:5" x14ac:dyDescent="0.2">
      <c r="E447" s="1"/>
    </row>
    <row r="448" spans="5:5" x14ac:dyDescent="0.2">
      <c r="E448" s="1"/>
    </row>
    <row r="449" spans="5:5" x14ac:dyDescent="0.2">
      <c r="E449" s="1"/>
    </row>
    <row r="450" spans="5:5" x14ac:dyDescent="0.2">
      <c r="E450" s="1"/>
    </row>
    <row r="451" spans="5:5" x14ac:dyDescent="0.2">
      <c r="E451" s="1"/>
    </row>
    <row r="452" spans="5:5" x14ac:dyDescent="0.2">
      <c r="E452" s="1"/>
    </row>
    <row r="453" spans="5:5" x14ac:dyDescent="0.2">
      <c r="E453" s="1"/>
    </row>
    <row r="454" spans="5:5" x14ac:dyDescent="0.2">
      <c r="E454" s="1"/>
    </row>
    <row r="455" spans="5:5" x14ac:dyDescent="0.2">
      <c r="E455" s="1"/>
    </row>
    <row r="456" spans="5:5" x14ac:dyDescent="0.2">
      <c r="E456" s="1"/>
    </row>
    <row r="457" spans="5:5" x14ac:dyDescent="0.2">
      <c r="E457" s="1"/>
    </row>
    <row r="458" spans="5:5" x14ac:dyDescent="0.2">
      <c r="E458" s="1"/>
    </row>
    <row r="459" spans="5:5" x14ac:dyDescent="0.2">
      <c r="E459" s="1"/>
    </row>
    <row r="460" spans="5:5" x14ac:dyDescent="0.2">
      <c r="E460" s="1"/>
    </row>
    <row r="461" spans="5:5" x14ac:dyDescent="0.2">
      <c r="E461" s="1"/>
    </row>
    <row r="462" spans="5:5" x14ac:dyDescent="0.2">
      <c r="E462" s="1"/>
    </row>
    <row r="463" spans="5:5" x14ac:dyDescent="0.2">
      <c r="E463" s="1"/>
    </row>
    <row r="464" spans="5:5" x14ac:dyDescent="0.2">
      <c r="E464" s="1"/>
    </row>
    <row r="465" spans="5:5" x14ac:dyDescent="0.2">
      <c r="E465" s="1"/>
    </row>
    <row r="466" spans="5:5" x14ac:dyDescent="0.2">
      <c r="E466" s="1"/>
    </row>
    <row r="467" spans="5:5" x14ac:dyDescent="0.2">
      <c r="E467" s="1"/>
    </row>
    <row r="468" spans="5:5" x14ac:dyDescent="0.2">
      <c r="E468" s="1"/>
    </row>
    <row r="469" spans="5:5" x14ac:dyDescent="0.2">
      <c r="E469" s="1"/>
    </row>
    <row r="470" spans="5:5" x14ac:dyDescent="0.2">
      <c r="E470" s="1"/>
    </row>
    <row r="471" spans="5:5" x14ac:dyDescent="0.2">
      <c r="E471" s="1"/>
    </row>
    <row r="472" spans="5:5" x14ac:dyDescent="0.2">
      <c r="E472" s="1"/>
    </row>
    <row r="473" spans="5:5" x14ac:dyDescent="0.2">
      <c r="E473" s="1"/>
    </row>
    <row r="474" spans="5:5" x14ac:dyDescent="0.2">
      <c r="E474" s="1"/>
    </row>
    <row r="475" spans="5:5" x14ac:dyDescent="0.2">
      <c r="E475" s="1"/>
    </row>
    <row r="476" spans="5:5" x14ac:dyDescent="0.2">
      <c r="E476" s="1"/>
    </row>
    <row r="477" spans="5:5" x14ac:dyDescent="0.2">
      <c r="E477" s="1"/>
    </row>
    <row r="478" spans="5:5" x14ac:dyDescent="0.2">
      <c r="E478" s="1"/>
    </row>
    <row r="479" spans="5:5" x14ac:dyDescent="0.2">
      <c r="E479" s="1"/>
    </row>
    <row r="480" spans="5:5" x14ac:dyDescent="0.2">
      <c r="E480" s="1"/>
    </row>
    <row r="481" spans="5:5" x14ac:dyDescent="0.2">
      <c r="E481" s="1"/>
    </row>
    <row r="482" spans="5:5" x14ac:dyDescent="0.2">
      <c r="E482" s="1"/>
    </row>
    <row r="483" spans="5:5" x14ac:dyDescent="0.2">
      <c r="E483" s="1"/>
    </row>
    <row r="484" spans="5:5" x14ac:dyDescent="0.2">
      <c r="E484" s="1"/>
    </row>
    <row r="485" spans="5:5" x14ac:dyDescent="0.2">
      <c r="E485" s="1"/>
    </row>
    <row r="486" spans="5:5" x14ac:dyDescent="0.2">
      <c r="E486" s="1"/>
    </row>
    <row r="487" spans="5:5" x14ac:dyDescent="0.2">
      <c r="E487" s="1"/>
    </row>
    <row r="488" spans="5:5" x14ac:dyDescent="0.2">
      <c r="E488" s="1"/>
    </row>
    <row r="489" spans="5:5" x14ac:dyDescent="0.2">
      <c r="E489" s="1"/>
    </row>
    <row r="490" spans="5:5" x14ac:dyDescent="0.2">
      <c r="E490" s="1"/>
    </row>
    <row r="491" spans="5:5" x14ac:dyDescent="0.2">
      <c r="E491" s="1"/>
    </row>
    <row r="492" spans="5:5" x14ac:dyDescent="0.2">
      <c r="E492" s="1"/>
    </row>
    <row r="493" spans="5:5" x14ac:dyDescent="0.2">
      <c r="E493" s="1"/>
    </row>
    <row r="494" spans="5:5" x14ac:dyDescent="0.2">
      <c r="E494" s="1"/>
    </row>
    <row r="495" spans="5:5" x14ac:dyDescent="0.2">
      <c r="E495" s="1"/>
    </row>
    <row r="496" spans="5:5" x14ac:dyDescent="0.2">
      <c r="E496" s="1"/>
    </row>
    <row r="497" spans="5:5" x14ac:dyDescent="0.2">
      <c r="E497" s="1"/>
    </row>
    <row r="498" spans="5:5" x14ac:dyDescent="0.2">
      <c r="E498" s="1"/>
    </row>
    <row r="499" spans="5:5" x14ac:dyDescent="0.2">
      <c r="E499" s="1"/>
    </row>
    <row r="500" spans="5:5" x14ac:dyDescent="0.2">
      <c r="E500" s="1"/>
    </row>
    <row r="501" spans="5:5" x14ac:dyDescent="0.2">
      <c r="E501" s="1"/>
    </row>
    <row r="502" spans="5:5" x14ac:dyDescent="0.2">
      <c r="E502" s="1"/>
    </row>
    <row r="503" spans="5:5" x14ac:dyDescent="0.2">
      <c r="E503" s="1"/>
    </row>
    <row r="504" spans="5:5" x14ac:dyDescent="0.2">
      <c r="E504" s="1"/>
    </row>
    <row r="505" spans="5:5" x14ac:dyDescent="0.2">
      <c r="E505" s="1"/>
    </row>
    <row r="506" spans="5:5" x14ac:dyDescent="0.2">
      <c r="E506" s="1"/>
    </row>
    <row r="507" spans="5:5" x14ac:dyDescent="0.2">
      <c r="E507" s="1"/>
    </row>
    <row r="508" spans="5:5" x14ac:dyDescent="0.2">
      <c r="E508" s="1"/>
    </row>
    <row r="509" spans="5:5" x14ac:dyDescent="0.2">
      <c r="E509" s="1"/>
    </row>
    <row r="510" spans="5:5" x14ac:dyDescent="0.2">
      <c r="E510" s="1"/>
    </row>
    <row r="511" spans="5:5" x14ac:dyDescent="0.2">
      <c r="E511" s="1"/>
    </row>
    <row r="512" spans="5:5" x14ac:dyDescent="0.2">
      <c r="E512" s="1"/>
    </row>
    <row r="513" spans="5:5" x14ac:dyDescent="0.2">
      <c r="E513" s="1"/>
    </row>
    <row r="514" spans="5:5" x14ac:dyDescent="0.2">
      <c r="E514" s="1"/>
    </row>
    <row r="515" spans="5:5" x14ac:dyDescent="0.2">
      <c r="E515" s="1"/>
    </row>
    <row r="516" spans="5:5" x14ac:dyDescent="0.2">
      <c r="E516" s="1"/>
    </row>
    <row r="517" spans="5:5" x14ac:dyDescent="0.2">
      <c r="E517" s="1"/>
    </row>
    <row r="518" spans="5:5" x14ac:dyDescent="0.2">
      <c r="E518" s="1"/>
    </row>
    <row r="519" spans="5:5" x14ac:dyDescent="0.2">
      <c r="E519" s="1"/>
    </row>
    <row r="520" spans="5:5" x14ac:dyDescent="0.2">
      <c r="E520" s="1"/>
    </row>
    <row r="521" spans="5:5" x14ac:dyDescent="0.2">
      <c r="E521" s="1"/>
    </row>
    <row r="522" spans="5:5" x14ac:dyDescent="0.2">
      <c r="E522" s="1"/>
    </row>
    <row r="523" spans="5:5" x14ac:dyDescent="0.2">
      <c r="E523" s="1"/>
    </row>
    <row r="524" spans="5:5" x14ac:dyDescent="0.2">
      <c r="E524" s="1"/>
    </row>
    <row r="525" spans="5:5" x14ac:dyDescent="0.2">
      <c r="E525" s="1"/>
    </row>
    <row r="526" spans="5:5" x14ac:dyDescent="0.2">
      <c r="E526" s="1"/>
    </row>
    <row r="527" spans="5:5" x14ac:dyDescent="0.2">
      <c r="E527" s="1"/>
    </row>
    <row r="528" spans="5:5" x14ac:dyDescent="0.2">
      <c r="E528" s="1"/>
    </row>
    <row r="529" spans="5:5" x14ac:dyDescent="0.2">
      <c r="E529" s="1"/>
    </row>
    <row r="530" spans="5:5" x14ac:dyDescent="0.2">
      <c r="E530" s="1"/>
    </row>
    <row r="531" spans="5:5" x14ac:dyDescent="0.2">
      <c r="E531" s="1"/>
    </row>
    <row r="532" spans="5:5" x14ac:dyDescent="0.2">
      <c r="E532" s="1"/>
    </row>
    <row r="533" spans="5:5" x14ac:dyDescent="0.2">
      <c r="E533" s="1"/>
    </row>
    <row r="534" spans="5:5" x14ac:dyDescent="0.2">
      <c r="E534" s="1"/>
    </row>
    <row r="535" spans="5:5" x14ac:dyDescent="0.2">
      <c r="E535" s="1"/>
    </row>
    <row r="536" spans="5:5" x14ac:dyDescent="0.2">
      <c r="E536" s="1"/>
    </row>
    <row r="537" spans="5:5" x14ac:dyDescent="0.2">
      <c r="E537" s="1"/>
    </row>
    <row r="538" spans="5:5" x14ac:dyDescent="0.2">
      <c r="E538" s="1"/>
    </row>
    <row r="539" spans="5:5" x14ac:dyDescent="0.2">
      <c r="E539" s="1"/>
    </row>
    <row r="540" spans="5:5" x14ac:dyDescent="0.2">
      <c r="E540" s="1"/>
    </row>
    <row r="541" spans="5:5" x14ac:dyDescent="0.2">
      <c r="E541" s="1"/>
    </row>
    <row r="542" spans="5:5" x14ac:dyDescent="0.2">
      <c r="E542" s="1"/>
    </row>
    <row r="543" spans="5:5" x14ac:dyDescent="0.2">
      <c r="E543" s="1"/>
    </row>
    <row r="544" spans="5:5" x14ac:dyDescent="0.2">
      <c r="E544" s="1"/>
    </row>
    <row r="545" spans="5:5" x14ac:dyDescent="0.2">
      <c r="E545" s="1"/>
    </row>
    <row r="546" spans="5:5" x14ac:dyDescent="0.2">
      <c r="E546" s="1"/>
    </row>
    <row r="547" spans="5:5" x14ac:dyDescent="0.2">
      <c r="E547" s="1"/>
    </row>
    <row r="548" spans="5:5" x14ac:dyDescent="0.2">
      <c r="E548" s="1"/>
    </row>
    <row r="549" spans="5:5" x14ac:dyDescent="0.2">
      <c r="E549" s="1"/>
    </row>
    <row r="550" spans="5:5" x14ac:dyDescent="0.2">
      <c r="E550" s="1"/>
    </row>
    <row r="551" spans="5:5" x14ac:dyDescent="0.2">
      <c r="E551" s="1"/>
    </row>
    <row r="552" spans="5:5" x14ac:dyDescent="0.2">
      <c r="E552" s="1"/>
    </row>
    <row r="553" spans="5:5" x14ac:dyDescent="0.2">
      <c r="E553" s="1"/>
    </row>
    <row r="554" spans="5:5" x14ac:dyDescent="0.2">
      <c r="E554" s="1"/>
    </row>
    <row r="555" spans="5:5" x14ac:dyDescent="0.2">
      <c r="E555" s="1"/>
    </row>
    <row r="556" spans="5:5" x14ac:dyDescent="0.2">
      <c r="E556" s="1"/>
    </row>
    <row r="557" spans="5:5" x14ac:dyDescent="0.2">
      <c r="E557" s="1"/>
    </row>
    <row r="558" spans="5:5" x14ac:dyDescent="0.2">
      <c r="E558" s="1"/>
    </row>
    <row r="559" spans="5:5" x14ac:dyDescent="0.2">
      <c r="E559" s="1"/>
    </row>
    <row r="560" spans="5:5" x14ac:dyDescent="0.2">
      <c r="E560" s="1"/>
    </row>
    <row r="561" spans="5:5" x14ac:dyDescent="0.2">
      <c r="E561" s="1"/>
    </row>
    <row r="562" spans="5:5" x14ac:dyDescent="0.2">
      <c r="E562" s="1"/>
    </row>
    <row r="563" spans="5:5" x14ac:dyDescent="0.2">
      <c r="E563" s="1"/>
    </row>
    <row r="564" spans="5:5" x14ac:dyDescent="0.2">
      <c r="E564" s="1"/>
    </row>
    <row r="565" spans="5:5" x14ac:dyDescent="0.2">
      <c r="E565" s="1"/>
    </row>
    <row r="566" spans="5:5" x14ac:dyDescent="0.2">
      <c r="E566" s="1"/>
    </row>
    <row r="567" spans="5:5" x14ac:dyDescent="0.2">
      <c r="E567" s="1"/>
    </row>
    <row r="568" spans="5:5" x14ac:dyDescent="0.2">
      <c r="E568" s="1"/>
    </row>
    <row r="569" spans="5:5" x14ac:dyDescent="0.2">
      <c r="E569" s="1"/>
    </row>
    <row r="570" spans="5:5" x14ac:dyDescent="0.2">
      <c r="E570" s="1"/>
    </row>
    <row r="571" spans="5:5" x14ac:dyDescent="0.2">
      <c r="E571" s="1"/>
    </row>
    <row r="572" spans="5:5" x14ac:dyDescent="0.2">
      <c r="E572" s="1"/>
    </row>
    <row r="573" spans="5:5" x14ac:dyDescent="0.2">
      <c r="E573" s="1"/>
    </row>
    <row r="574" spans="5:5" x14ac:dyDescent="0.2">
      <c r="E574" s="1"/>
    </row>
    <row r="575" spans="5:5" x14ac:dyDescent="0.2">
      <c r="E575" s="1"/>
    </row>
    <row r="576" spans="5:5" x14ac:dyDescent="0.2">
      <c r="E576" s="1"/>
    </row>
    <row r="577" spans="5:5" x14ac:dyDescent="0.2">
      <c r="E577" s="1"/>
    </row>
    <row r="578" spans="5:5" x14ac:dyDescent="0.2">
      <c r="E578" s="1"/>
    </row>
    <row r="579" spans="5:5" x14ac:dyDescent="0.2">
      <c r="E579" s="1"/>
    </row>
    <row r="580" spans="5:5" x14ac:dyDescent="0.2">
      <c r="E580" s="1"/>
    </row>
    <row r="581" spans="5:5" x14ac:dyDescent="0.2">
      <c r="E581" s="1"/>
    </row>
    <row r="582" spans="5:5" x14ac:dyDescent="0.2">
      <c r="E582" s="1"/>
    </row>
    <row r="583" spans="5:5" x14ac:dyDescent="0.2">
      <c r="E583" s="1"/>
    </row>
    <row r="584" spans="5:5" x14ac:dyDescent="0.2">
      <c r="E584" s="1"/>
    </row>
    <row r="585" spans="5:5" x14ac:dyDescent="0.2">
      <c r="E585" s="1"/>
    </row>
    <row r="586" spans="5:5" x14ac:dyDescent="0.2">
      <c r="E586" s="1"/>
    </row>
    <row r="587" spans="5:5" x14ac:dyDescent="0.2">
      <c r="E587" s="1"/>
    </row>
    <row r="588" spans="5:5" x14ac:dyDescent="0.2">
      <c r="E588" s="1"/>
    </row>
    <row r="589" spans="5:5" x14ac:dyDescent="0.2">
      <c r="E589" s="1"/>
    </row>
    <row r="590" spans="5:5" x14ac:dyDescent="0.2">
      <c r="E590" s="1"/>
    </row>
    <row r="591" spans="5:5" x14ac:dyDescent="0.2">
      <c r="E591" s="1"/>
    </row>
    <row r="592" spans="5:5" x14ac:dyDescent="0.2">
      <c r="E592" s="1"/>
    </row>
    <row r="593" spans="5:5" x14ac:dyDescent="0.2">
      <c r="E593" s="1"/>
    </row>
    <row r="594" spans="5:5" x14ac:dyDescent="0.2">
      <c r="E594" s="1"/>
    </row>
    <row r="595" spans="5:5" x14ac:dyDescent="0.2">
      <c r="E595" s="1"/>
    </row>
    <row r="596" spans="5:5" x14ac:dyDescent="0.2">
      <c r="E596" s="1"/>
    </row>
    <row r="597" spans="5:5" x14ac:dyDescent="0.2">
      <c r="E597" s="1"/>
    </row>
    <row r="598" spans="5:5" x14ac:dyDescent="0.2">
      <c r="E598" s="1"/>
    </row>
    <row r="599" spans="5:5" x14ac:dyDescent="0.2">
      <c r="E599" s="1"/>
    </row>
    <row r="600" spans="5:5" x14ac:dyDescent="0.2">
      <c r="E600" s="1"/>
    </row>
    <row r="601" spans="5:5" x14ac:dyDescent="0.2">
      <c r="E601" s="1"/>
    </row>
    <row r="602" spans="5:5" x14ac:dyDescent="0.2">
      <c r="E602" s="1"/>
    </row>
    <row r="603" spans="5:5" x14ac:dyDescent="0.2">
      <c r="E603" s="1"/>
    </row>
    <row r="604" spans="5:5" x14ac:dyDescent="0.2">
      <c r="E604" s="1"/>
    </row>
    <row r="605" spans="5:5" x14ac:dyDescent="0.2">
      <c r="E605" s="1"/>
    </row>
    <row r="606" spans="5:5" x14ac:dyDescent="0.2">
      <c r="E606" s="1"/>
    </row>
    <row r="607" spans="5:5" x14ac:dyDescent="0.2">
      <c r="E607" s="1"/>
    </row>
    <row r="608" spans="5:5" x14ac:dyDescent="0.2">
      <c r="E608" s="1"/>
    </row>
    <row r="609" spans="5:5" x14ac:dyDescent="0.2">
      <c r="E609" s="1"/>
    </row>
    <row r="610" spans="5:5" x14ac:dyDescent="0.2">
      <c r="E610" s="1"/>
    </row>
    <row r="611" spans="5:5" x14ac:dyDescent="0.2">
      <c r="E611" s="1"/>
    </row>
    <row r="612" spans="5:5" x14ac:dyDescent="0.2">
      <c r="E612" s="1"/>
    </row>
    <row r="613" spans="5:5" x14ac:dyDescent="0.2">
      <c r="E613" s="1"/>
    </row>
    <row r="614" spans="5:5" x14ac:dyDescent="0.2">
      <c r="E614" s="1"/>
    </row>
    <row r="615" spans="5:5" x14ac:dyDescent="0.2">
      <c r="E615" s="1"/>
    </row>
    <row r="616" spans="5:5" x14ac:dyDescent="0.2">
      <c r="E616" s="1"/>
    </row>
    <row r="617" spans="5:5" x14ac:dyDescent="0.2">
      <c r="E617" s="1"/>
    </row>
    <row r="618" spans="5:5" x14ac:dyDescent="0.2">
      <c r="E618" s="1"/>
    </row>
    <row r="619" spans="5:5" x14ac:dyDescent="0.2">
      <c r="E619" s="1"/>
    </row>
    <row r="620" spans="5:5" x14ac:dyDescent="0.2">
      <c r="E620" s="1"/>
    </row>
    <row r="621" spans="5:5" x14ac:dyDescent="0.2">
      <c r="E621" s="1"/>
    </row>
    <row r="622" spans="5:5" x14ac:dyDescent="0.2">
      <c r="E622" s="1"/>
    </row>
    <row r="623" spans="5:5" x14ac:dyDescent="0.2">
      <c r="E623" s="1"/>
    </row>
    <row r="624" spans="5:5" x14ac:dyDescent="0.2">
      <c r="E624" s="1"/>
    </row>
    <row r="625" spans="5:5" x14ac:dyDescent="0.2">
      <c r="E625" s="1"/>
    </row>
    <row r="626" spans="5:5" x14ac:dyDescent="0.2">
      <c r="E626" s="1"/>
    </row>
    <row r="627" spans="5:5" x14ac:dyDescent="0.2">
      <c r="E627" s="1"/>
    </row>
    <row r="628" spans="5:5" x14ac:dyDescent="0.2">
      <c r="E628" s="1"/>
    </row>
    <row r="629" spans="5:5" x14ac:dyDescent="0.2">
      <c r="E629" s="1"/>
    </row>
    <row r="630" spans="5:5" x14ac:dyDescent="0.2">
      <c r="E630" s="1"/>
    </row>
    <row r="631" spans="5:5" x14ac:dyDescent="0.2">
      <c r="E631" s="1"/>
    </row>
    <row r="632" spans="5:5" x14ac:dyDescent="0.2">
      <c r="E632" s="1"/>
    </row>
    <row r="633" spans="5:5" x14ac:dyDescent="0.2">
      <c r="E633" s="1"/>
    </row>
    <row r="634" spans="5:5" x14ac:dyDescent="0.2">
      <c r="E634" s="1"/>
    </row>
    <row r="635" spans="5:5" x14ac:dyDescent="0.2">
      <c r="E635" s="1"/>
    </row>
    <row r="636" spans="5:5" x14ac:dyDescent="0.2">
      <c r="E636" s="1"/>
    </row>
    <row r="637" spans="5:5" x14ac:dyDescent="0.2">
      <c r="E637" s="1"/>
    </row>
    <row r="638" spans="5:5" x14ac:dyDescent="0.2">
      <c r="E638" s="1"/>
    </row>
    <row r="639" spans="5:5" x14ac:dyDescent="0.2">
      <c r="E639" s="1"/>
    </row>
    <row r="640" spans="5:5" x14ac:dyDescent="0.2">
      <c r="E640" s="1"/>
    </row>
    <row r="641" spans="5:5" x14ac:dyDescent="0.2">
      <c r="E641" s="1"/>
    </row>
    <row r="642" spans="5:5" x14ac:dyDescent="0.2">
      <c r="E642" s="1"/>
    </row>
    <row r="643" spans="5:5" x14ac:dyDescent="0.2">
      <c r="E643" s="1"/>
    </row>
    <row r="644" spans="5:5" x14ac:dyDescent="0.2">
      <c r="E644" s="1"/>
    </row>
    <row r="645" spans="5:5" x14ac:dyDescent="0.2">
      <c r="E645" s="1"/>
    </row>
    <row r="646" spans="5:5" x14ac:dyDescent="0.2">
      <c r="E646" s="1"/>
    </row>
    <row r="647" spans="5:5" x14ac:dyDescent="0.2">
      <c r="E647" s="1"/>
    </row>
    <row r="648" spans="5:5" x14ac:dyDescent="0.2">
      <c r="E648" s="1"/>
    </row>
    <row r="649" spans="5:5" x14ac:dyDescent="0.2">
      <c r="E649" s="1"/>
    </row>
    <row r="650" spans="5:5" x14ac:dyDescent="0.2">
      <c r="E650" s="1"/>
    </row>
    <row r="651" spans="5:5" x14ac:dyDescent="0.2">
      <c r="E651" s="1"/>
    </row>
    <row r="652" spans="5:5" x14ac:dyDescent="0.2">
      <c r="E652" s="1"/>
    </row>
    <row r="653" spans="5:5" x14ac:dyDescent="0.2">
      <c r="E653" s="1"/>
    </row>
    <row r="654" spans="5:5" x14ac:dyDescent="0.2">
      <c r="E654" s="1"/>
    </row>
    <row r="655" spans="5:5" x14ac:dyDescent="0.2">
      <c r="E655" s="1"/>
    </row>
    <row r="656" spans="5:5" x14ac:dyDescent="0.2">
      <c r="E656" s="1"/>
    </row>
    <row r="657" spans="5:5" x14ac:dyDescent="0.2">
      <c r="E657" s="1"/>
    </row>
    <row r="658" spans="5:5" x14ac:dyDescent="0.2">
      <c r="E658" s="1"/>
    </row>
    <row r="659" spans="5:5" x14ac:dyDescent="0.2">
      <c r="E659" s="1"/>
    </row>
    <row r="660" spans="5:5" x14ac:dyDescent="0.2">
      <c r="E660" s="1"/>
    </row>
    <row r="661" spans="5:5" x14ac:dyDescent="0.2">
      <c r="E661" s="1"/>
    </row>
    <row r="662" spans="5:5" x14ac:dyDescent="0.2">
      <c r="E662" s="1"/>
    </row>
    <row r="663" spans="5:5" x14ac:dyDescent="0.2">
      <c r="E663" s="1"/>
    </row>
    <row r="664" spans="5:5" x14ac:dyDescent="0.2">
      <c r="E664" s="1"/>
    </row>
    <row r="665" spans="5:5" x14ac:dyDescent="0.2">
      <c r="E665" s="1"/>
    </row>
    <row r="666" spans="5:5" x14ac:dyDescent="0.2">
      <c r="E666" s="1"/>
    </row>
    <row r="667" spans="5:5" x14ac:dyDescent="0.2">
      <c r="E667" s="1"/>
    </row>
    <row r="668" spans="5:5" x14ac:dyDescent="0.2">
      <c r="E668" s="1"/>
    </row>
    <row r="669" spans="5:5" x14ac:dyDescent="0.2">
      <c r="E669" s="1"/>
    </row>
    <row r="670" spans="5:5" x14ac:dyDescent="0.2">
      <c r="E670" s="1"/>
    </row>
    <row r="671" spans="5:5" x14ac:dyDescent="0.2">
      <c r="E671" s="1"/>
    </row>
    <row r="672" spans="5:5" x14ac:dyDescent="0.2">
      <c r="E672" s="1"/>
    </row>
    <row r="673" spans="5:5" x14ac:dyDescent="0.2">
      <c r="E673" s="1"/>
    </row>
    <row r="674" spans="5:5" x14ac:dyDescent="0.2">
      <c r="E674" s="1"/>
    </row>
    <row r="675" spans="5:5" x14ac:dyDescent="0.2">
      <c r="E675" s="1"/>
    </row>
    <row r="676" spans="5:5" x14ac:dyDescent="0.2">
      <c r="E676" s="1"/>
    </row>
    <row r="677" spans="5:5" x14ac:dyDescent="0.2">
      <c r="E677" s="1"/>
    </row>
    <row r="678" spans="5:5" x14ac:dyDescent="0.2">
      <c r="E678" s="1"/>
    </row>
    <row r="679" spans="5:5" x14ac:dyDescent="0.2">
      <c r="E679" s="1"/>
    </row>
    <row r="680" spans="5:5" x14ac:dyDescent="0.2">
      <c r="E680" s="1"/>
    </row>
    <row r="681" spans="5:5" x14ac:dyDescent="0.2">
      <c r="E681" s="1"/>
    </row>
    <row r="682" spans="5:5" x14ac:dyDescent="0.2">
      <c r="E682" s="1"/>
    </row>
    <row r="683" spans="5:5" x14ac:dyDescent="0.2">
      <c r="E683" s="1"/>
    </row>
    <row r="684" spans="5:5" x14ac:dyDescent="0.2">
      <c r="E684" s="1"/>
    </row>
    <row r="685" spans="5:5" x14ac:dyDescent="0.2">
      <c r="E685" s="1"/>
    </row>
    <row r="686" spans="5:5" x14ac:dyDescent="0.2">
      <c r="E686" s="1"/>
    </row>
    <row r="687" spans="5:5" x14ac:dyDescent="0.2">
      <c r="E687" s="1"/>
    </row>
    <row r="688" spans="5:5" x14ac:dyDescent="0.2">
      <c r="E688" s="1"/>
    </row>
    <row r="689" spans="5:5" x14ac:dyDescent="0.2">
      <c r="E689" s="1"/>
    </row>
    <row r="690" spans="5:5" x14ac:dyDescent="0.2">
      <c r="E690" s="1"/>
    </row>
    <row r="691" spans="5:5" x14ac:dyDescent="0.2">
      <c r="E691" s="1"/>
    </row>
    <row r="692" spans="5:5" x14ac:dyDescent="0.2">
      <c r="E692" s="1"/>
    </row>
    <row r="693" spans="5:5" x14ac:dyDescent="0.2">
      <c r="E693" s="1"/>
    </row>
    <row r="694" spans="5:5" x14ac:dyDescent="0.2">
      <c r="E694" s="1"/>
    </row>
    <row r="695" spans="5:5" x14ac:dyDescent="0.2">
      <c r="E695" s="1"/>
    </row>
    <row r="696" spans="5:5" x14ac:dyDescent="0.2">
      <c r="E696" s="1"/>
    </row>
    <row r="697" spans="5:5" x14ac:dyDescent="0.2">
      <c r="E697" s="1"/>
    </row>
    <row r="698" spans="5:5" x14ac:dyDescent="0.2">
      <c r="E698" s="1"/>
    </row>
    <row r="699" spans="5:5" x14ac:dyDescent="0.2">
      <c r="E699" s="1"/>
    </row>
    <row r="700" spans="5:5" x14ac:dyDescent="0.2">
      <c r="E700" s="1"/>
    </row>
    <row r="701" spans="5:5" x14ac:dyDescent="0.2">
      <c r="E701" s="1"/>
    </row>
    <row r="702" spans="5:5" x14ac:dyDescent="0.2">
      <c r="E702" s="1"/>
    </row>
    <row r="703" spans="5:5" x14ac:dyDescent="0.2">
      <c r="E703" s="1"/>
    </row>
    <row r="704" spans="5:5" x14ac:dyDescent="0.2">
      <c r="E704" s="1"/>
    </row>
    <row r="705" spans="5:5" x14ac:dyDescent="0.2">
      <c r="E705" s="1"/>
    </row>
    <row r="706" spans="5:5" x14ac:dyDescent="0.2">
      <c r="E706" s="1"/>
    </row>
    <row r="707" spans="5:5" x14ac:dyDescent="0.2">
      <c r="E707" s="1"/>
    </row>
    <row r="708" spans="5:5" x14ac:dyDescent="0.2">
      <c r="E708" s="1"/>
    </row>
    <row r="709" spans="5:5" x14ac:dyDescent="0.2">
      <c r="E709" s="1"/>
    </row>
    <row r="710" spans="5:5" x14ac:dyDescent="0.2">
      <c r="E710" s="1"/>
    </row>
    <row r="711" spans="5:5" x14ac:dyDescent="0.2">
      <c r="E711" s="1"/>
    </row>
    <row r="712" spans="5:5" x14ac:dyDescent="0.2">
      <c r="E712" s="1"/>
    </row>
    <row r="713" spans="5:5" x14ac:dyDescent="0.2">
      <c r="E713" s="1"/>
    </row>
    <row r="714" spans="5:5" x14ac:dyDescent="0.2">
      <c r="E714" s="1"/>
    </row>
    <row r="715" spans="5:5" x14ac:dyDescent="0.2">
      <c r="E715" s="1"/>
    </row>
    <row r="716" spans="5:5" x14ac:dyDescent="0.2">
      <c r="E716" s="1"/>
    </row>
    <row r="717" spans="5:5" x14ac:dyDescent="0.2">
      <c r="E717" s="1"/>
    </row>
    <row r="718" spans="5:5" x14ac:dyDescent="0.2">
      <c r="E718" s="1"/>
    </row>
    <row r="719" spans="5:5" x14ac:dyDescent="0.2">
      <c r="E719" s="1"/>
    </row>
    <row r="720" spans="5:5" x14ac:dyDescent="0.2">
      <c r="E720" s="1"/>
    </row>
    <row r="721" spans="5:5" x14ac:dyDescent="0.2">
      <c r="E721" s="1"/>
    </row>
    <row r="722" spans="5:5" x14ac:dyDescent="0.2">
      <c r="E722" s="1"/>
    </row>
    <row r="723" spans="5:5" x14ac:dyDescent="0.2">
      <c r="E723" s="1"/>
    </row>
    <row r="724" spans="5:5" x14ac:dyDescent="0.2">
      <c r="E724" s="1"/>
    </row>
    <row r="725" spans="5:5" x14ac:dyDescent="0.2">
      <c r="E725" s="1"/>
    </row>
    <row r="726" spans="5:5" x14ac:dyDescent="0.2">
      <c r="E726" s="1"/>
    </row>
    <row r="727" spans="5:5" x14ac:dyDescent="0.2">
      <c r="E727" s="1"/>
    </row>
    <row r="728" spans="5:5" x14ac:dyDescent="0.2">
      <c r="E728" s="1"/>
    </row>
    <row r="729" spans="5:5" x14ac:dyDescent="0.2">
      <c r="E729" s="1"/>
    </row>
    <row r="730" spans="5:5" x14ac:dyDescent="0.2">
      <c r="E730" s="1"/>
    </row>
    <row r="731" spans="5:5" x14ac:dyDescent="0.2">
      <c r="E731" s="1"/>
    </row>
    <row r="732" spans="5:5" x14ac:dyDescent="0.2">
      <c r="E732" s="1"/>
    </row>
    <row r="733" spans="5:5" x14ac:dyDescent="0.2">
      <c r="E733" s="1"/>
    </row>
    <row r="734" spans="5:5" x14ac:dyDescent="0.2">
      <c r="E734" s="1"/>
    </row>
    <row r="735" spans="5:5" x14ac:dyDescent="0.2">
      <c r="E735" s="1"/>
    </row>
    <row r="736" spans="5:5" x14ac:dyDescent="0.2">
      <c r="E736" s="1"/>
    </row>
    <row r="737" spans="5:5" x14ac:dyDescent="0.2">
      <c r="E737" s="1"/>
    </row>
    <row r="738" spans="5:5" x14ac:dyDescent="0.2">
      <c r="E738" s="1"/>
    </row>
    <row r="739" spans="5:5" x14ac:dyDescent="0.2">
      <c r="E739" s="1"/>
    </row>
    <row r="740" spans="5:5" x14ac:dyDescent="0.2">
      <c r="E740" s="1"/>
    </row>
    <row r="741" spans="5:5" x14ac:dyDescent="0.2">
      <c r="E741" s="1"/>
    </row>
    <row r="742" spans="5:5" x14ac:dyDescent="0.2">
      <c r="E742" s="1"/>
    </row>
    <row r="743" spans="5:5" x14ac:dyDescent="0.2">
      <c r="E743" s="1"/>
    </row>
    <row r="744" spans="5:5" x14ac:dyDescent="0.2">
      <c r="E744" s="1"/>
    </row>
    <row r="745" spans="5:5" x14ac:dyDescent="0.2">
      <c r="E745" s="1"/>
    </row>
    <row r="746" spans="5:5" x14ac:dyDescent="0.2">
      <c r="E746" s="1"/>
    </row>
    <row r="747" spans="5:5" x14ac:dyDescent="0.2">
      <c r="E747" s="1"/>
    </row>
    <row r="748" spans="5:5" x14ac:dyDescent="0.2">
      <c r="E748" s="1"/>
    </row>
    <row r="749" spans="5:5" x14ac:dyDescent="0.2">
      <c r="E749" s="1"/>
    </row>
    <row r="750" spans="5:5" x14ac:dyDescent="0.2">
      <c r="E750" s="1"/>
    </row>
    <row r="751" spans="5:5" x14ac:dyDescent="0.2">
      <c r="E751" s="1"/>
    </row>
    <row r="752" spans="5:5" x14ac:dyDescent="0.2">
      <c r="E752" s="1"/>
    </row>
    <row r="753" spans="5:5" x14ac:dyDescent="0.2">
      <c r="E753" s="1"/>
    </row>
    <row r="754" spans="5:5" x14ac:dyDescent="0.2">
      <c r="E754" s="1"/>
    </row>
    <row r="755" spans="5:5" x14ac:dyDescent="0.2">
      <c r="E755" s="1"/>
    </row>
    <row r="756" spans="5:5" x14ac:dyDescent="0.2">
      <c r="E756" s="1"/>
    </row>
    <row r="757" spans="5:5" x14ac:dyDescent="0.2">
      <c r="E757" s="1"/>
    </row>
    <row r="758" spans="5:5" x14ac:dyDescent="0.2">
      <c r="E758" s="1"/>
    </row>
    <row r="759" spans="5:5" x14ac:dyDescent="0.2">
      <c r="E759" s="1"/>
    </row>
    <row r="760" spans="5:5" x14ac:dyDescent="0.2">
      <c r="E760" s="1"/>
    </row>
    <row r="761" spans="5:5" x14ac:dyDescent="0.2">
      <c r="E761" s="1"/>
    </row>
    <row r="762" spans="5:5" x14ac:dyDescent="0.2">
      <c r="E762" s="1"/>
    </row>
    <row r="763" spans="5:5" x14ac:dyDescent="0.2">
      <c r="E763" s="1"/>
    </row>
    <row r="764" spans="5:5" x14ac:dyDescent="0.2">
      <c r="E764" s="1"/>
    </row>
    <row r="765" spans="5:5" x14ac:dyDescent="0.2">
      <c r="E765" s="1"/>
    </row>
    <row r="766" spans="5:5" x14ac:dyDescent="0.2">
      <c r="E766" s="1"/>
    </row>
    <row r="767" spans="5:5" x14ac:dyDescent="0.2">
      <c r="E767" s="1"/>
    </row>
    <row r="768" spans="5:5" x14ac:dyDescent="0.2">
      <c r="E768" s="1"/>
    </row>
    <row r="769" spans="5:5" x14ac:dyDescent="0.2">
      <c r="E769" s="1"/>
    </row>
    <row r="770" spans="5:5" x14ac:dyDescent="0.2">
      <c r="E770" s="1"/>
    </row>
    <row r="771" spans="5:5" x14ac:dyDescent="0.2">
      <c r="E771" s="1"/>
    </row>
    <row r="772" spans="5:5" x14ac:dyDescent="0.2">
      <c r="E772" s="1"/>
    </row>
    <row r="773" spans="5:5" x14ac:dyDescent="0.2">
      <c r="E773" s="1"/>
    </row>
    <row r="774" spans="5:5" x14ac:dyDescent="0.2">
      <c r="E774" s="1"/>
    </row>
    <row r="775" spans="5:5" x14ac:dyDescent="0.2">
      <c r="E775" s="1"/>
    </row>
    <row r="776" spans="5:5" x14ac:dyDescent="0.2">
      <c r="E776" s="1"/>
    </row>
    <row r="777" spans="5:5" x14ac:dyDescent="0.2">
      <c r="E777" s="1"/>
    </row>
    <row r="778" spans="5:5" x14ac:dyDescent="0.2">
      <c r="E778" s="1"/>
    </row>
    <row r="779" spans="5:5" x14ac:dyDescent="0.2">
      <c r="E779" s="1"/>
    </row>
    <row r="780" spans="5:5" x14ac:dyDescent="0.2">
      <c r="E780" s="1"/>
    </row>
    <row r="781" spans="5:5" x14ac:dyDescent="0.2">
      <c r="E781" s="1"/>
    </row>
    <row r="782" spans="5:5" x14ac:dyDescent="0.2">
      <c r="E782" s="1"/>
    </row>
    <row r="783" spans="5:5" x14ac:dyDescent="0.2">
      <c r="E783" s="1"/>
    </row>
    <row r="784" spans="5:5" x14ac:dyDescent="0.2">
      <c r="E784" s="1"/>
    </row>
    <row r="785" spans="5:5" x14ac:dyDescent="0.2">
      <c r="E785" s="1"/>
    </row>
    <row r="786" spans="5:5" x14ac:dyDescent="0.2">
      <c r="E786" s="1"/>
    </row>
    <row r="787" spans="5:5" x14ac:dyDescent="0.2">
      <c r="E787" s="1"/>
    </row>
    <row r="788" spans="5:5" x14ac:dyDescent="0.2">
      <c r="E788" s="1"/>
    </row>
    <row r="789" spans="5:5" x14ac:dyDescent="0.2">
      <c r="E789" s="1"/>
    </row>
    <row r="790" spans="5:5" x14ac:dyDescent="0.2">
      <c r="E790" s="1"/>
    </row>
    <row r="791" spans="5:5" x14ac:dyDescent="0.2">
      <c r="E791" s="1"/>
    </row>
    <row r="792" spans="5:5" x14ac:dyDescent="0.2">
      <c r="E792" s="1"/>
    </row>
    <row r="793" spans="5:5" x14ac:dyDescent="0.2">
      <c r="E793" s="1"/>
    </row>
    <row r="794" spans="5:5" x14ac:dyDescent="0.2">
      <c r="E794" s="1"/>
    </row>
    <row r="795" spans="5:5" x14ac:dyDescent="0.2">
      <c r="E795" s="1"/>
    </row>
    <row r="796" spans="5:5" x14ac:dyDescent="0.2">
      <c r="E796" s="1"/>
    </row>
    <row r="797" spans="5:5" x14ac:dyDescent="0.2">
      <c r="E797" s="1"/>
    </row>
    <row r="798" spans="5:5" x14ac:dyDescent="0.2">
      <c r="E798" s="1"/>
    </row>
    <row r="799" spans="5:5" x14ac:dyDescent="0.2">
      <c r="E799" s="1"/>
    </row>
    <row r="800" spans="5:5" x14ac:dyDescent="0.2">
      <c r="E800" s="1"/>
    </row>
    <row r="801" spans="5:5" x14ac:dyDescent="0.2">
      <c r="E801" s="1"/>
    </row>
    <row r="802" spans="5:5" x14ac:dyDescent="0.2">
      <c r="E802" s="1"/>
    </row>
    <row r="803" spans="5:5" x14ac:dyDescent="0.2">
      <c r="E803" s="1"/>
    </row>
    <row r="804" spans="5:5" x14ac:dyDescent="0.2">
      <c r="E804" s="1"/>
    </row>
    <row r="805" spans="5:5" x14ac:dyDescent="0.2">
      <c r="E805" s="1"/>
    </row>
    <row r="806" spans="5:5" x14ac:dyDescent="0.2">
      <c r="E806" s="1"/>
    </row>
    <row r="807" spans="5:5" x14ac:dyDescent="0.2">
      <c r="E807" s="1"/>
    </row>
    <row r="808" spans="5:5" x14ac:dyDescent="0.2">
      <c r="E808" s="1"/>
    </row>
    <row r="809" spans="5:5" x14ac:dyDescent="0.2">
      <c r="E809" s="1"/>
    </row>
    <row r="810" spans="5:5" x14ac:dyDescent="0.2">
      <c r="E810" s="1"/>
    </row>
    <row r="811" spans="5:5" x14ac:dyDescent="0.2">
      <c r="E811" s="1"/>
    </row>
    <row r="812" spans="5:5" x14ac:dyDescent="0.2">
      <c r="E812" s="1"/>
    </row>
    <row r="813" spans="5:5" x14ac:dyDescent="0.2">
      <c r="E813" s="1"/>
    </row>
    <row r="814" spans="5:5" x14ac:dyDescent="0.2">
      <c r="E814" s="1"/>
    </row>
    <row r="815" spans="5:5" x14ac:dyDescent="0.2">
      <c r="E815" s="1"/>
    </row>
    <row r="816" spans="5:5" x14ac:dyDescent="0.2">
      <c r="E816" s="1"/>
    </row>
    <row r="817" spans="5:5" x14ac:dyDescent="0.2">
      <c r="E817" s="1"/>
    </row>
    <row r="818" spans="5:5" x14ac:dyDescent="0.2">
      <c r="E818" s="1"/>
    </row>
    <row r="819" spans="5:5" x14ac:dyDescent="0.2">
      <c r="E819" s="1"/>
    </row>
    <row r="820" spans="5:5" x14ac:dyDescent="0.2">
      <c r="E820" s="1"/>
    </row>
    <row r="821" spans="5:5" x14ac:dyDescent="0.2">
      <c r="E821" s="1"/>
    </row>
    <row r="822" spans="5:5" x14ac:dyDescent="0.2">
      <c r="E822" s="1"/>
    </row>
    <row r="823" spans="5:5" x14ac:dyDescent="0.2">
      <c r="E823" s="1"/>
    </row>
    <row r="824" spans="5:5" x14ac:dyDescent="0.2">
      <c r="E824" s="1"/>
    </row>
    <row r="825" spans="5:5" x14ac:dyDescent="0.2">
      <c r="E825" s="1"/>
    </row>
    <row r="826" spans="5:5" x14ac:dyDescent="0.2">
      <c r="E826" s="1"/>
    </row>
    <row r="827" spans="5:5" x14ac:dyDescent="0.2">
      <c r="E827" s="1"/>
    </row>
    <row r="828" spans="5:5" x14ac:dyDescent="0.2">
      <c r="E828" s="1"/>
    </row>
    <row r="829" spans="5:5" x14ac:dyDescent="0.2">
      <c r="E829" s="1"/>
    </row>
    <row r="830" spans="5:5" x14ac:dyDescent="0.2">
      <c r="E830" s="1"/>
    </row>
    <row r="831" spans="5:5" x14ac:dyDescent="0.2">
      <c r="E831" s="1"/>
    </row>
    <row r="832" spans="5:5" x14ac:dyDescent="0.2">
      <c r="E832" s="1"/>
    </row>
    <row r="833" spans="5:5" x14ac:dyDescent="0.2">
      <c r="E833" s="1"/>
    </row>
    <row r="834" spans="5:5" x14ac:dyDescent="0.2">
      <c r="E834" s="1"/>
    </row>
    <row r="835" spans="5:5" x14ac:dyDescent="0.2">
      <c r="E835" s="1"/>
    </row>
    <row r="836" spans="5:5" x14ac:dyDescent="0.2">
      <c r="E836" s="1"/>
    </row>
    <row r="837" spans="5:5" x14ac:dyDescent="0.2">
      <c r="E837" s="1"/>
    </row>
    <row r="838" spans="5:5" x14ac:dyDescent="0.2">
      <c r="E838" s="1"/>
    </row>
    <row r="839" spans="5:5" x14ac:dyDescent="0.2">
      <c r="E839" s="1"/>
    </row>
    <row r="840" spans="5:5" x14ac:dyDescent="0.2">
      <c r="E840" s="1"/>
    </row>
    <row r="841" spans="5:5" x14ac:dyDescent="0.2">
      <c r="E841" s="1"/>
    </row>
    <row r="842" spans="5:5" x14ac:dyDescent="0.2">
      <c r="E842" s="1"/>
    </row>
    <row r="843" spans="5:5" x14ac:dyDescent="0.2">
      <c r="E843" s="1"/>
    </row>
    <row r="844" spans="5:5" x14ac:dyDescent="0.2">
      <c r="E844" s="1"/>
    </row>
    <row r="845" spans="5:5" x14ac:dyDescent="0.2">
      <c r="E845" s="1"/>
    </row>
    <row r="846" spans="5:5" x14ac:dyDescent="0.2">
      <c r="E846" s="1"/>
    </row>
    <row r="847" spans="5:5" x14ac:dyDescent="0.2">
      <c r="E847" s="1"/>
    </row>
    <row r="848" spans="5:5" x14ac:dyDescent="0.2">
      <c r="E848" s="1"/>
    </row>
    <row r="849" spans="5:5" x14ac:dyDescent="0.2">
      <c r="E849" s="1"/>
    </row>
    <row r="850" spans="5:5" x14ac:dyDescent="0.2">
      <c r="E850" s="1"/>
    </row>
    <row r="851" spans="5:5" x14ac:dyDescent="0.2">
      <c r="E851" s="1"/>
    </row>
    <row r="852" spans="5:5" x14ac:dyDescent="0.2">
      <c r="E852" s="1"/>
    </row>
    <row r="853" spans="5:5" x14ac:dyDescent="0.2">
      <c r="E853" s="1"/>
    </row>
    <row r="854" spans="5:5" x14ac:dyDescent="0.2">
      <c r="E854" s="1"/>
    </row>
    <row r="855" spans="5:5" x14ac:dyDescent="0.2">
      <c r="E855" s="1"/>
    </row>
    <row r="856" spans="5:5" x14ac:dyDescent="0.2">
      <c r="E856" s="1"/>
    </row>
    <row r="857" spans="5:5" x14ac:dyDescent="0.2">
      <c r="E857" s="1"/>
    </row>
    <row r="858" spans="5:5" x14ac:dyDescent="0.2">
      <c r="E858" s="1"/>
    </row>
    <row r="859" spans="5:5" x14ac:dyDescent="0.2">
      <c r="E859" s="1"/>
    </row>
    <row r="860" spans="5:5" x14ac:dyDescent="0.2">
      <c r="E860" s="1"/>
    </row>
    <row r="861" spans="5:5" x14ac:dyDescent="0.2">
      <c r="E861" s="1"/>
    </row>
    <row r="862" spans="5:5" x14ac:dyDescent="0.2">
      <c r="E862" s="1"/>
    </row>
    <row r="863" spans="5:5" x14ac:dyDescent="0.2">
      <c r="E863" s="1"/>
    </row>
    <row r="864" spans="5:5" x14ac:dyDescent="0.2">
      <c r="E864" s="1"/>
    </row>
    <row r="865" spans="5:5" x14ac:dyDescent="0.2">
      <c r="E865" s="1"/>
    </row>
    <row r="866" spans="5:5" x14ac:dyDescent="0.2">
      <c r="E866" s="1"/>
    </row>
    <row r="867" spans="5:5" x14ac:dyDescent="0.2">
      <c r="E867" s="1"/>
    </row>
    <row r="868" spans="5:5" x14ac:dyDescent="0.2">
      <c r="E868" s="1"/>
    </row>
    <row r="869" spans="5:5" x14ac:dyDescent="0.2">
      <c r="E869" s="1"/>
    </row>
    <row r="870" spans="5:5" x14ac:dyDescent="0.2">
      <c r="E870" s="1"/>
    </row>
    <row r="871" spans="5:5" x14ac:dyDescent="0.2">
      <c r="E871" s="1"/>
    </row>
    <row r="872" spans="5:5" x14ac:dyDescent="0.2">
      <c r="E872" s="1"/>
    </row>
    <row r="873" spans="5:5" x14ac:dyDescent="0.2">
      <c r="E873" s="1"/>
    </row>
    <row r="874" spans="5:5" x14ac:dyDescent="0.2">
      <c r="E874" s="1"/>
    </row>
    <row r="875" spans="5:5" x14ac:dyDescent="0.2">
      <c r="E875" s="1"/>
    </row>
    <row r="876" spans="5:5" x14ac:dyDescent="0.2">
      <c r="E876" s="1"/>
    </row>
    <row r="877" spans="5:5" x14ac:dyDescent="0.2">
      <c r="E877" s="1"/>
    </row>
    <row r="878" spans="5:5" x14ac:dyDescent="0.2">
      <c r="E878" s="1"/>
    </row>
    <row r="879" spans="5:5" x14ac:dyDescent="0.2">
      <c r="E879" s="1"/>
    </row>
    <row r="880" spans="5:5" x14ac:dyDescent="0.2">
      <c r="E880" s="1"/>
    </row>
    <row r="881" spans="5:5" x14ac:dyDescent="0.2">
      <c r="E881" s="1"/>
    </row>
    <row r="882" spans="5:5" x14ac:dyDescent="0.2">
      <c r="E882" s="1"/>
    </row>
    <row r="883" spans="5:5" x14ac:dyDescent="0.2">
      <c r="E883" s="1"/>
    </row>
    <row r="884" spans="5:5" x14ac:dyDescent="0.2">
      <c r="E884" s="1"/>
    </row>
    <row r="885" spans="5:5" x14ac:dyDescent="0.2">
      <c r="E885" s="1"/>
    </row>
    <row r="886" spans="5:5" x14ac:dyDescent="0.2">
      <c r="E886" s="1"/>
    </row>
    <row r="887" spans="5:5" x14ac:dyDescent="0.2">
      <c r="E887" s="1"/>
    </row>
    <row r="888" spans="5:5" x14ac:dyDescent="0.2">
      <c r="E888" s="1"/>
    </row>
    <row r="889" spans="5:5" x14ac:dyDescent="0.2">
      <c r="E889" s="1"/>
    </row>
    <row r="890" spans="5:5" x14ac:dyDescent="0.2">
      <c r="E890" s="1"/>
    </row>
    <row r="891" spans="5:5" x14ac:dyDescent="0.2">
      <c r="E891" s="1"/>
    </row>
    <row r="892" spans="5:5" x14ac:dyDescent="0.2">
      <c r="E892" s="1"/>
    </row>
    <row r="893" spans="5:5" x14ac:dyDescent="0.2">
      <c r="E893" s="1"/>
    </row>
    <row r="894" spans="5:5" x14ac:dyDescent="0.2">
      <c r="E894" s="1"/>
    </row>
    <row r="895" spans="5:5" x14ac:dyDescent="0.2">
      <c r="E895" s="1"/>
    </row>
    <row r="896" spans="5:5" x14ac:dyDescent="0.2">
      <c r="E896" s="1"/>
    </row>
    <row r="897" spans="5:5" x14ac:dyDescent="0.2">
      <c r="E897" s="1"/>
    </row>
    <row r="898" spans="5:5" x14ac:dyDescent="0.2">
      <c r="E898" s="1"/>
    </row>
    <row r="899" spans="5:5" x14ac:dyDescent="0.2">
      <c r="E899" s="1"/>
    </row>
    <row r="900" spans="5:5" x14ac:dyDescent="0.2">
      <c r="E900" s="1"/>
    </row>
    <row r="901" spans="5:5" x14ac:dyDescent="0.2">
      <c r="E901" s="1"/>
    </row>
    <row r="902" spans="5:5" x14ac:dyDescent="0.2">
      <c r="E902" s="1"/>
    </row>
    <row r="903" spans="5:5" x14ac:dyDescent="0.2">
      <c r="E903" s="1"/>
    </row>
    <row r="904" spans="5:5" x14ac:dyDescent="0.2">
      <c r="E904" s="1"/>
    </row>
    <row r="905" spans="5:5" x14ac:dyDescent="0.2">
      <c r="E905" s="1"/>
    </row>
    <row r="906" spans="5:5" x14ac:dyDescent="0.2">
      <c r="E906" s="1"/>
    </row>
    <row r="907" spans="5:5" x14ac:dyDescent="0.2">
      <c r="E907" s="1"/>
    </row>
    <row r="908" spans="5:5" x14ac:dyDescent="0.2">
      <c r="E908" s="1"/>
    </row>
    <row r="909" spans="5:5" x14ac:dyDescent="0.2">
      <c r="E909" s="1"/>
    </row>
    <row r="910" spans="5:5" x14ac:dyDescent="0.2">
      <c r="E910" s="1"/>
    </row>
    <row r="911" spans="5:5" x14ac:dyDescent="0.2">
      <c r="E911" s="1"/>
    </row>
    <row r="912" spans="5:5" x14ac:dyDescent="0.2">
      <c r="E912" s="1"/>
    </row>
    <row r="913" spans="5:5" x14ac:dyDescent="0.2">
      <c r="E913" s="1"/>
    </row>
    <row r="914" spans="5:5" x14ac:dyDescent="0.2">
      <c r="E914" s="1"/>
    </row>
    <row r="915" spans="5:5" x14ac:dyDescent="0.2">
      <c r="E915" s="1"/>
    </row>
    <row r="916" spans="5:5" x14ac:dyDescent="0.2">
      <c r="E916" s="1"/>
    </row>
    <row r="917" spans="5:5" x14ac:dyDescent="0.2">
      <c r="E917" s="1"/>
    </row>
    <row r="918" spans="5:5" x14ac:dyDescent="0.2">
      <c r="E918" s="1"/>
    </row>
    <row r="919" spans="5:5" x14ac:dyDescent="0.2">
      <c r="E919" s="1"/>
    </row>
    <row r="920" spans="5:5" x14ac:dyDescent="0.2">
      <c r="E920" s="1"/>
    </row>
    <row r="921" spans="5:5" x14ac:dyDescent="0.2">
      <c r="E921" s="1"/>
    </row>
    <row r="922" spans="5:5" x14ac:dyDescent="0.2">
      <c r="E922" s="1"/>
    </row>
    <row r="923" spans="5:5" x14ac:dyDescent="0.2">
      <c r="E923" s="1"/>
    </row>
    <row r="924" spans="5:5" x14ac:dyDescent="0.2">
      <c r="E924" s="1"/>
    </row>
    <row r="925" spans="5:5" x14ac:dyDescent="0.2">
      <c r="E925" s="1"/>
    </row>
    <row r="926" spans="5:5" x14ac:dyDescent="0.2">
      <c r="E926" s="1"/>
    </row>
    <row r="927" spans="5:5" x14ac:dyDescent="0.2">
      <c r="E927" s="1"/>
    </row>
    <row r="928" spans="5:5" x14ac:dyDescent="0.2">
      <c r="E928" s="1"/>
    </row>
    <row r="929" spans="5:5" x14ac:dyDescent="0.2">
      <c r="E929" s="1"/>
    </row>
    <row r="930" spans="5:5" x14ac:dyDescent="0.2">
      <c r="E930" s="1"/>
    </row>
    <row r="931" spans="5:5" x14ac:dyDescent="0.2">
      <c r="E931" s="1"/>
    </row>
    <row r="932" spans="5:5" x14ac:dyDescent="0.2">
      <c r="E932" s="1"/>
    </row>
    <row r="933" spans="5:5" x14ac:dyDescent="0.2">
      <c r="E933" s="1"/>
    </row>
    <row r="934" spans="5:5" x14ac:dyDescent="0.2">
      <c r="E934" s="1"/>
    </row>
    <row r="935" spans="5:5" x14ac:dyDescent="0.2">
      <c r="E935" s="1"/>
    </row>
    <row r="936" spans="5:5" x14ac:dyDescent="0.2">
      <c r="E936" s="1"/>
    </row>
    <row r="937" spans="5:5" x14ac:dyDescent="0.2">
      <c r="E937" s="1"/>
    </row>
    <row r="938" spans="5:5" x14ac:dyDescent="0.2">
      <c r="E938" s="1"/>
    </row>
    <row r="939" spans="5:5" x14ac:dyDescent="0.2">
      <c r="E939" s="1"/>
    </row>
    <row r="940" spans="5:5" x14ac:dyDescent="0.2">
      <c r="E940" s="1"/>
    </row>
    <row r="941" spans="5:5" x14ac:dyDescent="0.2">
      <c r="E941" s="1"/>
    </row>
    <row r="942" spans="5:5" x14ac:dyDescent="0.2">
      <c r="E942" s="1"/>
    </row>
    <row r="943" spans="5:5" x14ac:dyDescent="0.2">
      <c r="E943" s="1"/>
    </row>
    <row r="944" spans="5:5" x14ac:dyDescent="0.2">
      <c r="E944" s="1"/>
    </row>
    <row r="945" spans="5:5" x14ac:dyDescent="0.2">
      <c r="E945" s="1"/>
    </row>
    <row r="946" spans="5:5" x14ac:dyDescent="0.2">
      <c r="E946" s="1"/>
    </row>
    <row r="947" spans="5:5" x14ac:dyDescent="0.2">
      <c r="E947" s="1"/>
    </row>
    <row r="948" spans="5:5" x14ac:dyDescent="0.2">
      <c r="E948" s="1"/>
    </row>
    <row r="949" spans="5:5" x14ac:dyDescent="0.2">
      <c r="E949" s="1"/>
    </row>
    <row r="950" spans="5:5" x14ac:dyDescent="0.2">
      <c r="E950" s="1"/>
    </row>
    <row r="951" spans="5:5" x14ac:dyDescent="0.2">
      <c r="E951" s="1"/>
    </row>
    <row r="952" spans="5:5" x14ac:dyDescent="0.2">
      <c r="E952" s="1"/>
    </row>
    <row r="953" spans="5:5" x14ac:dyDescent="0.2">
      <c r="E953" s="1"/>
    </row>
    <row r="954" spans="5:5" x14ac:dyDescent="0.2">
      <c r="E954" s="1"/>
    </row>
    <row r="955" spans="5:5" x14ac:dyDescent="0.2">
      <c r="E955" s="1"/>
    </row>
    <row r="956" spans="5:5" x14ac:dyDescent="0.2">
      <c r="E956" s="1"/>
    </row>
    <row r="957" spans="5:5" x14ac:dyDescent="0.2">
      <c r="E957" s="1"/>
    </row>
    <row r="958" spans="5:5" x14ac:dyDescent="0.2">
      <c r="E958" s="1"/>
    </row>
    <row r="959" spans="5:5" x14ac:dyDescent="0.2">
      <c r="E959" s="1"/>
    </row>
    <row r="960" spans="5:5" x14ac:dyDescent="0.2">
      <c r="E960" s="1"/>
    </row>
    <row r="961" spans="5:5" x14ac:dyDescent="0.2">
      <c r="E961" s="1"/>
    </row>
    <row r="962" spans="5:5" x14ac:dyDescent="0.2">
      <c r="E962" s="1"/>
    </row>
    <row r="963" spans="5:5" x14ac:dyDescent="0.2">
      <c r="E963" s="1"/>
    </row>
    <row r="964" spans="5:5" x14ac:dyDescent="0.2">
      <c r="E964" s="1"/>
    </row>
    <row r="965" spans="5:5" x14ac:dyDescent="0.2">
      <c r="E965" s="1"/>
    </row>
    <row r="966" spans="5:5" x14ac:dyDescent="0.2">
      <c r="E966" s="1"/>
    </row>
    <row r="967" spans="5:5" x14ac:dyDescent="0.2">
      <c r="E967" s="1"/>
    </row>
    <row r="968" spans="5:5" x14ac:dyDescent="0.2">
      <c r="E968" s="1"/>
    </row>
    <row r="969" spans="5:5" x14ac:dyDescent="0.2">
      <c r="E969" s="1"/>
    </row>
    <row r="970" spans="5:5" x14ac:dyDescent="0.2">
      <c r="E970" s="1"/>
    </row>
    <row r="971" spans="5:5" x14ac:dyDescent="0.2">
      <c r="E971" s="1"/>
    </row>
    <row r="972" spans="5:5" x14ac:dyDescent="0.2">
      <c r="E972" s="1"/>
    </row>
    <row r="973" spans="5:5" x14ac:dyDescent="0.2">
      <c r="E973" s="1"/>
    </row>
    <row r="974" spans="5:5" x14ac:dyDescent="0.2">
      <c r="E974" s="1"/>
    </row>
    <row r="975" spans="5:5" x14ac:dyDescent="0.2">
      <c r="E975" s="1"/>
    </row>
    <row r="976" spans="5:5" x14ac:dyDescent="0.2">
      <c r="E976" s="1"/>
    </row>
    <row r="977" spans="5:5" x14ac:dyDescent="0.2">
      <c r="E977" s="1"/>
    </row>
    <row r="978" spans="5:5" x14ac:dyDescent="0.2">
      <c r="E978" s="1"/>
    </row>
    <row r="979" spans="5:5" x14ac:dyDescent="0.2">
      <c r="E979" s="1"/>
    </row>
    <row r="980" spans="5:5" x14ac:dyDescent="0.2">
      <c r="E980" s="1"/>
    </row>
    <row r="981" spans="5:5" x14ac:dyDescent="0.2">
      <c r="E981" s="1"/>
    </row>
    <row r="982" spans="5:5" x14ac:dyDescent="0.2">
      <c r="E982" s="1"/>
    </row>
    <row r="983" spans="5:5" x14ac:dyDescent="0.2">
      <c r="E983" s="1"/>
    </row>
    <row r="984" spans="5:5" x14ac:dyDescent="0.2">
      <c r="E984" s="1"/>
    </row>
    <row r="985" spans="5:5" x14ac:dyDescent="0.2">
      <c r="E985" s="1"/>
    </row>
    <row r="986" spans="5:5" x14ac:dyDescent="0.2">
      <c r="E986" s="1"/>
    </row>
    <row r="987" spans="5:5" x14ac:dyDescent="0.2">
      <c r="E987" s="1"/>
    </row>
    <row r="988" spans="5:5" x14ac:dyDescent="0.2">
      <c r="E988" s="1"/>
    </row>
    <row r="989" spans="5:5" x14ac:dyDescent="0.2">
      <c r="E989" s="1"/>
    </row>
    <row r="990" spans="5:5" x14ac:dyDescent="0.2">
      <c r="E990" s="1"/>
    </row>
    <row r="991" spans="5:5" x14ac:dyDescent="0.2">
      <c r="E991" s="1"/>
    </row>
    <row r="992" spans="5:5" x14ac:dyDescent="0.2">
      <c r="E992" s="1"/>
    </row>
    <row r="993" spans="5:5" x14ac:dyDescent="0.2">
      <c r="E993" s="1"/>
    </row>
    <row r="994" spans="5:5" x14ac:dyDescent="0.2">
      <c r="E994" s="1"/>
    </row>
    <row r="995" spans="5:5" x14ac:dyDescent="0.2">
      <c r="E995" s="1"/>
    </row>
    <row r="996" spans="5:5" x14ac:dyDescent="0.2">
      <c r="E996" s="1"/>
    </row>
    <row r="997" spans="5:5" x14ac:dyDescent="0.2">
      <c r="E997" s="1"/>
    </row>
    <row r="998" spans="5:5" x14ac:dyDescent="0.2">
      <c r="E998" s="1"/>
    </row>
    <row r="999" spans="5:5" x14ac:dyDescent="0.2">
      <c r="E999" s="1"/>
    </row>
    <row r="1000" spans="5:5" x14ac:dyDescent="0.2">
      <c r="E1000" s="1"/>
    </row>
    <row r="1001" spans="5:5" x14ac:dyDescent="0.2">
      <c r="E1001" s="1"/>
    </row>
    <row r="1002" spans="5:5" x14ac:dyDescent="0.2">
      <c r="E1002" s="1"/>
    </row>
    <row r="1003" spans="5:5" x14ac:dyDescent="0.2">
      <c r="E1003" s="1"/>
    </row>
    <row r="1004" spans="5:5" x14ac:dyDescent="0.2">
      <c r="E1004" s="1"/>
    </row>
    <row r="1005" spans="5:5" x14ac:dyDescent="0.2">
      <c r="E1005" s="1"/>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D73A0-5292-2545-B476-A6B5CAD93226}">
  <dimension ref="A1:AI1005"/>
  <sheetViews>
    <sheetView showGridLines="0" zoomScale="90" zoomScaleNormal="90" workbookViewId="0">
      <selection activeCell="F1" sqref="F1:I1"/>
    </sheetView>
  </sheetViews>
  <sheetFormatPr baseColWidth="10" defaultColWidth="10.6640625" defaultRowHeight="15" x14ac:dyDescent="0.2"/>
  <cols>
    <col min="1" max="1" width="8.1640625" style="4" bestFit="1" customWidth="1"/>
    <col min="2" max="2" width="13.33203125" style="4" customWidth="1"/>
    <col min="3" max="3" width="12.83203125" style="4" bestFit="1" customWidth="1"/>
    <col min="4" max="4" width="10.83203125" style="21" customWidth="1"/>
    <col min="5" max="5" width="12.5" style="4" bestFit="1" customWidth="1"/>
    <col min="6" max="6" width="11.6640625" style="22" bestFit="1" customWidth="1"/>
    <col min="7" max="7" width="10.83203125" style="22" bestFit="1" customWidth="1"/>
    <col min="8" max="10" width="10.6640625" style="22"/>
    <col min="11" max="11" width="10.83203125" style="22" customWidth="1"/>
    <col min="12" max="16" width="10.6640625" style="22"/>
    <col min="17" max="18" width="13" style="22" customWidth="1"/>
    <col min="19" max="22" width="13.6640625" style="22" bestFit="1" customWidth="1"/>
    <col min="23" max="35" width="10.6640625" style="22"/>
    <col min="36" max="16384" width="10.6640625" style="4"/>
  </cols>
  <sheetData>
    <row r="1" spans="1:18" x14ac:dyDescent="0.2">
      <c r="A1" s="23" t="s">
        <v>4</v>
      </c>
      <c r="B1" s="24" t="s">
        <v>12</v>
      </c>
      <c r="C1" s="24" t="s">
        <v>13</v>
      </c>
      <c r="D1" s="24" t="s">
        <v>14</v>
      </c>
      <c r="E1" s="24" t="s">
        <v>15</v>
      </c>
      <c r="F1" s="88" t="s">
        <v>22</v>
      </c>
      <c r="G1" s="88"/>
      <c r="H1" s="88"/>
      <c r="I1" s="88"/>
      <c r="J1" s="88" t="s">
        <v>23</v>
      </c>
      <c r="K1" s="88"/>
      <c r="L1" s="88"/>
      <c r="M1" s="88"/>
      <c r="N1" s="88" t="s">
        <v>41</v>
      </c>
      <c r="O1" s="88"/>
      <c r="P1" s="88"/>
      <c r="Q1" s="88"/>
      <c r="R1" s="4"/>
    </row>
    <row r="2" spans="1:18" ht="14.25" customHeight="1" x14ac:dyDescent="0.2">
      <c r="A2" s="25">
        <v>45154</v>
      </c>
      <c r="B2" s="26">
        <v>175.67108200000001</v>
      </c>
      <c r="C2" s="26">
        <v>58.602820999999999</v>
      </c>
      <c r="D2" s="26">
        <v>146.505066</v>
      </c>
      <c r="E2" s="26">
        <v>13.196151</v>
      </c>
      <c r="F2" s="24" t="s">
        <v>12</v>
      </c>
      <c r="G2" s="24" t="s">
        <v>13</v>
      </c>
      <c r="H2" s="24" t="s">
        <v>14</v>
      </c>
      <c r="I2" s="24" t="s">
        <v>15</v>
      </c>
      <c r="J2" s="24" t="s">
        <v>12</v>
      </c>
      <c r="K2" s="24" t="s">
        <v>13</v>
      </c>
      <c r="L2" s="24" t="s">
        <v>14</v>
      </c>
      <c r="M2" s="24" t="s">
        <v>15</v>
      </c>
      <c r="N2" s="24" t="s">
        <v>42</v>
      </c>
      <c r="O2" s="24" t="s">
        <v>43</v>
      </c>
      <c r="P2" s="24" t="s">
        <v>44</v>
      </c>
      <c r="Q2" s="24" t="s">
        <v>45</v>
      </c>
      <c r="R2" s="39"/>
    </row>
    <row r="3" spans="1:18" ht="14.25" customHeight="1" x14ac:dyDescent="0.2">
      <c r="A3" s="25">
        <v>45155</v>
      </c>
      <c r="B3" s="26">
        <v>173.11415099999999</v>
      </c>
      <c r="C3" s="26">
        <v>58.728789999999996</v>
      </c>
      <c r="D3" s="26">
        <v>144.98335299999999</v>
      </c>
      <c r="E3" s="26">
        <v>13.111919</v>
      </c>
      <c r="F3" s="30">
        <f>LN(B3/B2)</f>
        <v>-1.4662185008184019E-2</v>
      </c>
      <c r="G3" s="30">
        <f t="shared" ref="G3:I3" si="0">LN(C3/C2)</f>
        <v>2.1472312077841786E-3</v>
      </c>
      <c r="H3" s="30">
        <f t="shared" si="0"/>
        <v>-1.0441079130812173E-2</v>
      </c>
      <c r="I3" s="30">
        <f t="shared" si="0"/>
        <v>-6.4035322871765967E-3</v>
      </c>
      <c r="J3" s="15">
        <f>(B3-B2)/B3</f>
        <v>-1.4770202119409754E-2</v>
      </c>
      <c r="K3" s="15">
        <f t="shared" ref="K3:M3" si="1">(C3-C2)/C3</f>
        <v>2.144927555973787E-3</v>
      </c>
      <c r="L3" s="15">
        <f t="shared" si="1"/>
        <v>-1.0495777401423496E-2</v>
      </c>
      <c r="M3" s="15">
        <f t="shared" si="1"/>
        <v>-6.4240787332502649E-3</v>
      </c>
      <c r="N3" s="40">
        <f>F4</f>
        <v>2.8121205565770678E-3</v>
      </c>
      <c r="O3" s="40">
        <f t="shared" ref="O3:Q3" si="2">G4</f>
        <v>5.5939921723177225E-3</v>
      </c>
      <c r="P3" s="40">
        <f t="shared" si="2"/>
        <v>2.2848847647558819E-3</v>
      </c>
      <c r="Q3" s="40">
        <f t="shared" si="2"/>
        <v>2.8511962146941443E-3</v>
      </c>
      <c r="R3" s="38"/>
    </row>
    <row r="4" spans="1:18" x14ac:dyDescent="0.2">
      <c r="A4" s="25">
        <v>45156</v>
      </c>
      <c r="B4" s="26">
        <v>173.601654</v>
      </c>
      <c r="C4" s="26">
        <v>59.058239</v>
      </c>
      <c r="D4" s="26">
        <v>145.31500199999999</v>
      </c>
      <c r="E4" s="26">
        <v>13.149357</v>
      </c>
      <c r="F4" s="30">
        <f t="shared" ref="F4:F67" si="3">LN(B4/B3)</f>
        <v>2.8121205565770678E-3</v>
      </c>
      <c r="G4" s="30">
        <f t="shared" ref="G4:G67" si="4">LN(C4/C3)</f>
        <v>5.5939921723177225E-3</v>
      </c>
      <c r="H4" s="30">
        <f t="shared" ref="H4:H67" si="5">LN(D4/D3)</f>
        <v>2.2848847647558819E-3</v>
      </c>
      <c r="I4" s="30">
        <f t="shared" ref="I4:I67" si="6">LN(E4/E3)</f>
        <v>2.8511962146941443E-3</v>
      </c>
      <c r="J4" s="15">
        <f t="shared" ref="J4:J67" si="7">(B4-B3)/B4</f>
        <v>2.8081702493456878E-3</v>
      </c>
      <c r="K4" s="15">
        <f t="shared" ref="K4:K67" si="8">(C4-C3)/C4</f>
        <v>5.5783749325814449E-3</v>
      </c>
      <c r="L4" s="15">
        <f t="shared" ref="L4:L67" si="9">(D4-D3)/D4</f>
        <v>2.2822764025423803E-3</v>
      </c>
      <c r="M4" s="15">
        <f t="shared" ref="M4:M67" si="10">(E4-E3)/E4</f>
        <v>2.8471354150624902E-3</v>
      </c>
      <c r="N4" s="40">
        <f t="shared" ref="N4:N67" si="11">F5</f>
        <v>7.7070400094383651E-3</v>
      </c>
      <c r="O4" s="40">
        <f t="shared" ref="O4:O67" si="12">G5</f>
        <v>-8.568180711971048E-3</v>
      </c>
      <c r="P4" s="40">
        <f t="shared" ref="P4:P67" si="13">H5</f>
        <v>3.4177360836862881E-3</v>
      </c>
      <c r="Q4" s="40">
        <f t="shared" ref="Q4:Q67" si="14">I5</f>
        <v>3.5523360724823969E-3</v>
      </c>
    </row>
    <row r="5" spans="1:18" x14ac:dyDescent="0.2">
      <c r="A5" s="25">
        <v>45159</v>
      </c>
      <c r="B5" s="26">
        <v>174.94477800000001</v>
      </c>
      <c r="C5" s="26">
        <v>58.554378999999997</v>
      </c>
      <c r="D5" s="26">
        <v>145.8125</v>
      </c>
      <c r="E5" s="26">
        <v>13.196151</v>
      </c>
      <c r="F5" s="30">
        <f t="shared" si="3"/>
        <v>7.7070400094383651E-3</v>
      </c>
      <c r="G5" s="30">
        <f t="shared" si="4"/>
        <v>-8.568180711971048E-3</v>
      </c>
      <c r="H5" s="30">
        <f t="shared" si="5"/>
        <v>3.4177360836862881E-3</v>
      </c>
      <c r="I5" s="30">
        <f t="shared" si="6"/>
        <v>3.5523360724823969E-3</v>
      </c>
      <c r="J5" s="15">
        <f t="shared" si="7"/>
        <v>7.6774169275290816E-3</v>
      </c>
      <c r="K5" s="15">
        <f t="shared" si="8"/>
        <v>-8.6049926342827935E-3</v>
      </c>
      <c r="L5" s="15">
        <f t="shared" si="9"/>
        <v>3.4119022717531578E-3</v>
      </c>
      <c r="M5" s="15">
        <f t="shared" si="10"/>
        <v>3.5460339912752E-3</v>
      </c>
      <c r="N5" s="40">
        <f t="shared" si="11"/>
        <v>7.8738144273404372E-3</v>
      </c>
      <c r="O5" s="40">
        <f t="shared" si="12"/>
        <v>-6.141625470814838E-3</v>
      </c>
      <c r="P5" s="40">
        <f t="shared" si="13"/>
        <v>-2.0956622133486116E-2</v>
      </c>
      <c r="Q5" s="40">
        <f t="shared" si="14"/>
        <v>1.1283650762276005E-2</v>
      </c>
    </row>
    <row r="6" spans="1:18" x14ac:dyDescent="0.2">
      <c r="A6" s="25">
        <v>45160</v>
      </c>
      <c r="B6" s="26">
        <v>176.327698</v>
      </c>
      <c r="C6" s="26">
        <v>58.195861999999998</v>
      </c>
      <c r="D6" s="26">
        <v>142.78855899999999</v>
      </c>
      <c r="E6" s="26">
        <v>13.345895000000001</v>
      </c>
      <c r="F6" s="30">
        <f t="shared" si="3"/>
        <v>7.8738144273404372E-3</v>
      </c>
      <c r="G6" s="30">
        <f t="shared" si="4"/>
        <v>-6.141625470814838E-3</v>
      </c>
      <c r="H6" s="30">
        <f t="shared" si="5"/>
        <v>-2.0956622133486116E-2</v>
      </c>
      <c r="I6" s="30">
        <f t="shared" si="6"/>
        <v>1.1283650762276005E-2</v>
      </c>
      <c r="J6" s="15">
        <f t="shared" si="7"/>
        <v>7.842897149374594E-3</v>
      </c>
      <c r="K6" s="15">
        <f t="shared" si="8"/>
        <v>-6.1605239217867262E-3</v>
      </c>
      <c r="L6" s="15">
        <f t="shared" si="9"/>
        <v>-2.1177754164463609E-2</v>
      </c>
      <c r="M6" s="15">
        <f t="shared" si="10"/>
        <v>1.1220229141619959E-2</v>
      </c>
      <c r="N6" s="40">
        <f t="shared" si="11"/>
        <v>2.1711540417555734E-2</v>
      </c>
      <c r="O6" s="40">
        <f t="shared" si="12"/>
        <v>3.4904214645253497E-3</v>
      </c>
      <c r="P6" s="40">
        <f t="shared" si="13"/>
        <v>6.740365503857486E-3</v>
      </c>
      <c r="Q6" s="40">
        <f t="shared" si="14"/>
        <v>-7.0373473579131004E-3</v>
      </c>
    </row>
    <row r="7" spans="1:18" x14ac:dyDescent="0.2">
      <c r="A7" s="25">
        <v>45161</v>
      </c>
      <c r="B7" s="26">
        <v>180.19790599999999</v>
      </c>
      <c r="C7" s="26">
        <v>58.399344999999997</v>
      </c>
      <c r="D7" s="26">
        <v>143.754257</v>
      </c>
      <c r="E7" s="26">
        <v>13.252305</v>
      </c>
      <c r="F7" s="30">
        <f t="shared" si="3"/>
        <v>2.1711540417555734E-2</v>
      </c>
      <c r="G7" s="30">
        <f t="shared" si="4"/>
        <v>3.4904214645253497E-3</v>
      </c>
      <c r="H7" s="30">
        <f t="shared" si="5"/>
        <v>6.740365503857486E-3</v>
      </c>
      <c r="I7" s="30">
        <f t="shared" si="6"/>
        <v>-7.0373473579131004E-3</v>
      </c>
      <c r="J7" s="15">
        <f t="shared" si="7"/>
        <v>2.1477541475981365E-2</v>
      </c>
      <c r="K7" s="15">
        <f t="shared" si="8"/>
        <v>3.4843370246703713E-3</v>
      </c>
      <c r="L7" s="15">
        <f t="shared" si="9"/>
        <v>6.7177001930454365E-3</v>
      </c>
      <c r="M7" s="15">
        <f t="shared" si="10"/>
        <v>-7.0621676757364645E-3</v>
      </c>
      <c r="N7" s="40">
        <f t="shared" si="11"/>
        <v>-2.6519108676923038E-2</v>
      </c>
      <c r="O7" s="40">
        <f t="shared" si="12"/>
        <v>-2.6582344086022547E-3</v>
      </c>
      <c r="P7" s="40">
        <f t="shared" si="13"/>
        <v>-9.5044774711671462E-4</v>
      </c>
      <c r="Q7" s="40">
        <f t="shared" si="14"/>
        <v>-7.0654176800563693E-4</v>
      </c>
    </row>
    <row r="8" spans="1:18" x14ac:dyDescent="0.2">
      <c r="A8" s="25">
        <v>45162</v>
      </c>
      <c r="B8" s="26">
        <v>175.48202499999999</v>
      </c>
      <c r="C8" s="26">
        <v>58.244312000000001</v>
      </c>
      <c r="D8" s="26">
        <v>143.61769100000001</v>
      </c>
      <c r="E8" s="26">
        <v>13.242945000000001</v>
      </c>
      <c r="F8" s="30">
        <f t="shared" si="3"/>
        <v>-2.6519108676923038E-2</v>
      </c>
      <c r="G8" s="30">
        <f t="shared" si="4"/>
        <v>-2.6582344086022547E-3</v>
      </c>
      <c r="H8" s="30">
        <f t="shared" si="5"/>
        <v>-9.5044774711671462E-4</v>
      </c>
      <c r="I8" s="30">
        <f t="shared" si="6"/>
        <v>-7.0654176800563693E-4</v>
      </c>
      <c r="J8" s="15">
        <f t="shared" si="7"/>
        <v>-2.6873869275214918E-2</v>
      </c>
      <c r="K8" s="15">
        <f t="shared" si="8"/>
        <v>-2.6617706463765247E-3</v>
      </c>
      <c r="L8" s="15">
        <f t="shared" si="9"/>
        <v>-9.5089956570871029E-4</v>
      </c>
      <c r="M8" s="15">
        <f t="shared" si="10"/>
        <v>-7.0679142743544936E-4</v>
      </c>
      <c r="N8" s="40">
        <f t="shared" si="11"/>
        <v>1.2564052740774025E-2</v>
      </c>
      <c r="O8" s="40">
        <f t="shared" si="12"/>
        <v>4.6472362667604817E-3</v>
      </c>
      <c r="P8" s="40">
        <f t="shared" si="13"/>
        <v>-1.2233201758554283E-3</v>
      </c>
      <c r="Q8" s="40">
        <f t="shared" si="14"/>
        <v>-2.830866787178094E-3</v>
      </c>
    </row>
    <row r="9" spans="1:18" x14ac:dyDescent="0.2">
      <c r="A9" s="25">
        <v>45163</v>
      </c>
      <c r="B9" s="26">
        <v>177.70069899999999</v>
      </c>
      <c r="C9" s="26">
        <v>58.515616999999999</v>
      </c>
      <c r="D9" s="26">
        <v>143.44210799999999</v>
      </c>
      <c r="E9" s="26">
        <v>13.205508999999999</v>
      </c>
      <c r="F9" s="30">
        <f t="shared" si="3"/>
        <v>1.2564052740774025E-2</v>
      </c>
      <c r="G9" s="30">
        <f t="shared" si="4"/>
        <v>4.6472362667604817E-3</v>
      </c>
      <c r="H9" s="30">
        <f t="shared" si="5"/>
        <v>-1.2233201758554283E-3</v>
      </c>
      <c r="I9" s="30">
        <f t="shared" si="6"/>
        <v>-2.830866787178094E-3</v>
      </c>
      <c r="J9" s="15">
        <f t="shared" si="7"/>
        <v>1.248545454511686E-2</v>
      </c>
      <c r="K9" s="15">
        <f t="shared" si="8"/>
        <v>4.6364545724605129E-3</v>
      </c>
      <c r="L9" s="15">
        <f t="shared" si="9"/>
        <v>-1.2240687371940838E-3</v>
      </c>
      <c r="M9" s="15">
        <f t="shared" si="10"/>
        <v>-2.834877474242103E-3</v>
      </c>
      <c r="N9" s="40">
        <f t="shared" si="11"/>
        <v>8.8072127836774459E-3</v>
      </c>
      <c r="O9" s="40">
        <f t="shared" si="12"/>
        <v>2.811071519673288E-3</v>
      </c>
      <c r="P9" s="40">
        <f t="shared" si="13"/>
        <v>3.4622835952314748E-3</v>
      </c>
      <c r="Q9" s="40">
        <f t="shared" si="14"/>
        <v>7.0621975605345338E-3</v>
      </c>
    </row>
    <row r="10" spans="1:18" x14ac:dyDescent="0.2">
      <c r="A10" s="25">
        <v>45166</v>
      </c>
      <c r="B10" s="26">
        <v>179.272659</v>
      </c>
      <c r="C10" s="26">
        <v>58.680340000000001</v>
      </c>
      <c r="D10" s="26">
        <v>143.939606</v>
      </c>
      <c r="E10" s="26">
        <v>13.299099</v>
      </c>
      <c r="F10" s="30">
        <f t="shared" si="3"/>
        <v>8.8072127836774459E-3</v>
      </c>
      <c r="G10" s="30">
        <f t="shared" si="4"/>
        <v>2.811071519673288E-3</v>
      </c>
      <c r="H10" s="30">
        <f t="shared" si="5"/>
        <v>3.4622835952314748E-3</v>
      </c>
      <c r="I10" s="30">
        <f t="shared" si="6"/>
        <v>7.0621975605345338E-3</v>
      </c>
      <c r="J10" s="15">
        <f t="shared" si="7"/>
        <v>8.7685428930912353E-3</v>
      </c>
      <c r="K10" s="15">
        <f t="shared" si="8"/>
        <v>2.8071241577673572E-3</v>
      </c>
      <c r="L10" s="15">
        <f t="shared" si="9"/>
        <v>3.456296802702151E-3</v>
      </c>
      <c r="M10" s="15">
        <f t="shared" si="10"/>
        <v>7.0373188439307602E-3</v>
      </c>
      <c r="N10" s="40">
        <f t="shared" si="11"/>
        <v>2.1575762719950167E-2</v>
      </c>
      <c r="O10" s="40">
        <f t="shared" si="12"/>
        <v>-9.9121473034572902E-4</v>
      </c>
      <c r="P10" s="40">
        <f t="shared" si="13"/>
        <v>8.0993210507113115E-3</v>
      </c>
      <c r="Q10" s="40">
        <f t="shared" si="14"/>
        <v>3.8652123786868747E-2</v>
      </c>
    </row>
    <row r="11" spans="1:18" x14ac:dyDescent="0.2">
      <c r="A11" s="25">
        <v>45167</v>
      </c>
      <c r="B11" s="26">
        <v>183.18263200000001</v>
      </c>
      <c r="C11" s="26">
        <v>58.622204000000004</v>
      </c>
      <c r="D11" s="26">
        <v>145.110153</v>
      </c>
      <c r="E11" s="26">
        <v>13.823200999999999</v>
      </c>
      <c r="F11" s="30">
        <f t="shared" si="3"/>
        <v>2.1575762719950167E-2</v>
      </c>
      <c r="G11" s="30">
        <f t="shared" si="4"/>
        <v>-9.9121473034572902E-4</v>
      </c>
      <c r="H11" s="30">
        <f t="shared" si="5"/>
        <v>8.0993210507113115E-3</v>
      </c>
      <c r="I11" s="30">
        <f t="shared" si="6"/>
        <v>3.8652123786868747E-2</v>
      </c>
      <c r="J11" s="15">
        <f t="shared" si="7"/>
        <v>2.1344670929283337E-2</v>
      </c>
      <c r="K11" s="15">
        <f t="shared" si="8"/>
        <v>-9.9170614601930556E-4</v>
      </c>
      <c r="L11" s="15">
        <f t="shared" si="9"/>
        <v>8.0666099221878649E-3</v>
      </c>
      <c r="M11" s="15">
        <f t="shared" si="10"/>
        <v>3.7914662457704203E-2</v>
      </c>
      <c r="N11" s="40">
        <f t="shared" si="11"/>
        <v>1.899078242547661E-2</v>
      </c>
      <c r="O11" s="40">
        <f t="shared" si="12"/>
        <v>-4.9597604879833524E-4</v>
      </c>
      <c r="P11" s="40">
        <f t="shared" si="13"/>
        <v>-4.0415125667635282E-3</v>
      </c>
      <c r="Q11" s="40">
        <f t="shared" si="14"/>
        <v>-2.7118017809940271E-3</v>
      </c>
    </row>
    <row r="12" spans="1:18" x14ac:dyDescent="0.2">
      <c r="A12" s="25">
        <v>45168</v>
      </c>
      <c r="B12" s="26">
        <v>186.69465600000001</v>
      </c>
      <c r="C12" s="26">
        <v>58.593136000000001</v>
      </c>
      <c r="D12" s="26">
        <v>144.52487199999999</v>
      </c>
      <c r="E12" s="26">
        <v>13.785766000000001</v>
      </c>
      <c r="F12" s="30">
        <f t="shared" si="3"/>
        <v>1.899078242547661E-2</v>
      </c>
      <c r="G12" s="30">
        <f t="shared" si="4"/>
        <v>-4.9597604879833524E-4</v>
      </c>
      <c r="H12" s="30">
        <f t="shared" si="5"/>
        <v>-4.0415125667635282E-3</v>
      </c>
      <c r="I12" s="30">
        <f t="shared" si="6"/>
        <v>-2.7118017809940271E-3</v>
      </c>
      <c r="J12" s="15">
        <f t="shared" si="7"/>
        <v>1.881159362161923E-2</v>
      </c>
      <c r="K12" s="15">
        <f t="shared" si="8"/>
        <v>-4.9609906525573772E-4</v>
      </c>
      <c r="L12" s="15">
        <f t="shared" si="9"/>
        <v>-4.0496904920283138E-3</v>
      </c>
      <c r="M12" s="15">
        <f t="shared" si="10"/>
        <v>-2.7154820414040503E-3</v>
      </c>
      <c r="N12" s="40">
        <f t="shared" si="11"/>
        <v>1.1717517176788328E-3</v>
      </c>
      <c r="O12" s="40">
        <f t="shared" si="12"/>
        <v>-1.0640119950070189E-2</v>
      </c>
      <c r="P12" s="40">
        <f t="shared" si="13"/>
        <v>-1.2428386047596607E-2</v>
      </c>
      <c r="Q12" s="40">
        <f t="shared" si="14"/>
        <v>4.0649860690958528E-3</v>
      </c>
    </row>
    <row r="13" spans="1:18" x14ac:dyDescent="0.2">
      <c r="A13" s="25">
        <v>45169</v>
      </c>
      <c r="B13" s="26">
        <v>186.913544</v>
      </c>
      <c r="C13" s="26">
        <v>57.973002999999999</v>
      </c>
      <c r="D13" s="26">
        <v>142.739777</v>
      </c>
      <c r="E13" s="26">
        <v>13.841919000000001</v>
      </c>
      <c r="F13" s="30">
        <f t="shared" si="3"/>
        <v>1.1717517176788328E-3</v>
      </c>
      <c r="G13" s="30">
        <f t="shared" si="4"/>
        <v>-1.0640119950070189E-2</v>
      </c>
      <c r="H13" s="30">
        <f t="shared" si="5"/>
        <v>-1.2428386047596607E-2</v>
      </c>
      <c r="I13" s="30">
        <f t="shared" si="6"/>
        <v>4.0649860690958528E-3</v>
      </c>
      <c r="J13" s="15">
        <f t="shared" si="7"/>
        <v>1.1710654846927124E-3</v>
      </c>
      <c r="K13" s="15">
        <f t="shared" si="8"/>
        <v>-1.0696927326673119E-2</v>
      </c>
      <c r="L13" s="15">
        <f t="shared" si="9"/>
        <v>-1.2505939392072779E-2</v>
      </c>
      <c r="M13" s="15">
        <f t="shared" si="10"/>
        <v>4.0567351969044265E-3</v>
      </c>
      <c r="N13" s="40">
        <f t="shared" si="11"/>
        <v>8.4277857631225358E-3</v>
      </c>
      <c r="O13" s="40">
        <f t="shared" si="12"/>
        <v>-8.7293459886518768E-3</v>
      </c>
      <c r="P13" s="40">
        <f t="shared" si="13"/>
        <v>3.3430239573994255E-3</v>
      </c>
      <c r="Q13" s="40">
        <f t="shared" si="14"/>
        <v>-9.5109702559868468E-3</v>
      </c>
    </row>
    <row r="14" spans="1:18" x14ac:dyDescent="0.2">
      <c r="A14" s="25">
        <v>45170</v>
      </c>
      <c r="B14" s="26">
        <v>188.49546799999999</v>
      </c>
      <c r="C14" s="26">
        <v>57.469138999999998</v>
      </c>
      <c r="D14" s="26">
        <v>143.217758</v>
      </c>
      <c r="E14" s="26">
        <v>13.710893</v>
      </c>
      <c r="F14" s="30">
        <f t="shared" si="3"/>
        <v>8.4277857631225358E-3</v>
      </c>
      <c r="G14" s="30">
        <f t="shared" si="4"/>
        <v>-8.7293459886518768E-3</v>
      </c>
      <c r="H14" s="30">
        <f t="shared" si="5"/>
        <v>3.3430239573994255E-3</v>
      </c>
      <c r="I14" s="30">
        <f t="shared" si="6"/>
        <v>-9.5109702559868468E-3</v>
      </c>
      <c r="J14" s="15">
        <f t="shared" si="7"/>
        <v>8.3923715343648831E-3</v>
      </c>
      <c r="K14" s="15">
        <f t="shared" si="8"/>
        <v>-8.7675578365633781E-3</v>
      </c>
      <c r="L14" s="15">
        <f t="shared" si="9"/>
        <v>3.3374422744419708E-3</v>
      </c>
      <c r="M14" s="15">
        <f t="shared" si="10"/>
        <v>-9.5563432666275136E-3</v>
      </c>
      <c r="N14" s="40">
        <f t="shared" si="11"/>
        <v>1.2659131987154749E-3</v>
      </c>
      <c r="O14" s="40">
        <f t="shared" si="12"/>
        <v>-8.2960032000802229E-3</v>
      </c>
      <c r="P14" s="40">
        <f t="shared" si="13"/>
        <v>-1.1095405596341172E-2</v>
      </c>
      <c r="Q14" s="40">
        <f t="shared" si="14"/>
        <v>-1.1671910678181512E-2</v>
      </c>
    </row>
    <row r="15" spans="1:18" x14ac:dyDescent="0.2">
      <c r="A15" s="25">
        <v>45174</v>
      </c>
      <c r="B15" s="26">
        <v>188.734238</v>
      </c>
      <c r="C15" s="26">
        <v>56.994346999999998</v>
      </c>
      <c r="D15" s="26">
        <v>141.63748200000001</v>
      </c>
      <c r="E15" s="26">
        <v>13.551791</v>
      </c>
      <c r="F15" s="30">
        <f t="shared" si="3"/>
        <v>1.2659131987154749E-3</v>
      </c>
      <c r="G15" s="30">
        <f t="shared" si="4"/>
        <v>-8.2960032000802229E-3</v>
      </c>
      <c r="H15" s="30">
        <f t="shared" si="5"/>
        <v>-1.1095405596341172E-2</v>
      </c>
      <c r="I15" s="30">
        <f t="shared" si="6"/>
        <v>-1.1671910678181512E-2</v>
      </c>
      <c r="J15" s="15">
        <f t="shared" si="7"/>
        <v>1.2651122686071225E-3</v>
      </c>
      <c r="K15" s="15">
        <f t="shared" si="8"/>
        <v>-8.3305103925482432E-3</v>
      </c>
      <c r="L15" s="15">
        <f t="shared" si="9"/>
        <v>-1.1157187897480398E-2</v>
      </c>
      <c r="M15" s="15">
        <f t="shared" si="10"/>
        <v>-1.1740293220283632E-2</v>
      </c>
      <c r="N15" s="40">
        <f t="shared" si="11"/>
        <v>-3.6449647610985361E-2</v>
      </c>
      <c r="O15" s="40">
        <f t="shared" si="12"/>
        <v>-6.802636816685408E-4</v>
      </c>
      <c r="P15" s="40">
        <f t="shared" si="13"/>
        <v>-1.65396632304482E-3</v>
      </c>
      <c r="Q15" s="40">
        <f t="shared" si="14"/>
        <v>8.9378657253624903E-3</v>
      </c>
    </row>
    <row r="16" spans="1:18" x14ac:dyDescent="0.2">
      <c r="A16" s="25">
        <v>45175</v>
      </c>
      <c r="B16" s="26">
        <v>181.97880599999999</v>
      </c>
      <c r="C16" s="26">
        <v>56.955589000000003</v>
      </c>
      <c r="D16" s="26">
        <v>141.403412</v>
      </c>
      <c r="E16" s="26">
        <v>13.673458</v>
      </c>
      <c r="F16" s="30">
        <f t="shared" si="3"/>
        <v>-3.6449647610985361E-2</v>
      </c>
      <c r="G16" s="30">
        <f t="shared" si="4"/>
        <v>-6.802636816685408E-4</v>
      </c>
      <c r="H16" s="30">
        <f t="shared" si="5"/>
        <v>-1.65396632304482E-3</v>
      </c>
      <c r="I16" s="30">
        <f t="shared" si="6"/>
        <v>8.9378657253624903E-3</v>
      </c>
      <c r="J16" s="15">
        <f t="shared" si="7"/>
        <v>-3.7122081128502481E-2</v>
      </c>
      <c r="K16" s="15">
        <f t="shared" si="8"/>
        <v>-6.804951134820903E-4</v>
      </c>
      <c r="L16" s="15">
        <f t="shared" si="9"/>
        <v>-1.6553348797552542E-3</v>
      </c>
      <c r="M16" s="15">
        <f t="shared" si="10"/>
        <v>8.8980417389661354E-3</v>
      </c>
      <c r="N16" s="40">
        <f t="shared" si="11"/>
        <v>-2.9685687263803755E-2</v>
      </c>
      <c r="O16" s="40">
        <f t="shared" si="12"/>
        <v>-7.685086250950387E-3</v>
      </c>
      <c r="P16" s="40">
        <f t="shared" si="13"/>
        <v>-8.5911179492632866E-3</v>
      </c>
      <c r="Q16" s="40">
        <f t="shared" si="14"/>
        <v>0</v>
      </c>
    </row>
    <row r="17" spans="1:29" x14ac:dyDescent="0.2">
      <c r="A17" s="25">
        <v>45176</v>
      </c>
      <c r="B17" s="26">
        <v>176.656036</v>
      </c>
      <c r="C17" s="26">
        <v>56.519558000000004</v>
      </c>
      <c r="D17" s="26">
        <v>140.19380200000001</v>
      </c>
      <c r="E17" s="26">
        <v>13.673458</v>
      </c>
      <c r="F17" s="30">
        <f t="shared" si="3"/>
        <v>-2.9685687263803755E-2</v>
      </c>
      <c r="G17" s="30">
        <f t="shared" si="4"/>
        <v>-7.685086250950387E-3</v>
      </c>
      <c r="H17" s="30">
        <f t="shared" si="5"/>
        <v>-8.5911179492632866E-3</v>
      </c>
      <c r="I17" s="30">
        <f t="shared" si="6"/>
        <v>0</v>
      </c>
      <c r="J17" s="15">
        <f t="shared" si="7"/>
        <v>-3.0130699864679356E-2</v>
      </c>
      <c r="K17" s="15">
        <f t="shared" si="8"/>
        <v>-7.7146923194268396E-3</v>
      </c>
      <c r="L17" s="15">
        <f t="shared" si="9"/>
        <v>-8.6281275116570268E-3</v>
      </c>
      <c r="M17" s="15">
        <f t="shared" si="10"/>
        <v>0</v>
      </c>
      <c r="N17" s="40">
        <f t="shared" si="11"/>
        <v>3.4855737123982338E-3</v>
      </c>
      <c r="O17" s="40">
        <f t="shared" si="12"/>
        <v>0</v>
      </c>
      <c r="P17" s="40">
        <f t="shared" si="13"/>
        <v>7.6518323838956222E-4</v>
      </c>
      <c r="Q17" s="40">
        <f t="shared" si="14"/>
        <v>-1.4477988707991517E-2</v>
      </c>
    </row>
    <row r="18" spans="1:29" x14ac:dyDescent="0.2">
      <c r="A18" s="25">
        <v>45177</v>
      </c>
      <c r="B18" s="26">
        <v>177.27285800000001</v>
      </c>
      <c r="C18" s="26">
        <v>56.519558000000004</v>
      </c>
      <c r="D18" s="26">
        <v>140.301117</v>
      </c>
      <c r="E18" s="26">
        <v>13.47692</v>
      </c>
      <c r="F18" s="30">
        <f t="shared" si="3"/>
        <v>3.4855737123982338E-3</v>
      </c>
      <c r="G18" s="30">
        <f t="shared" si="4"/>
        <v>0</v>
      </c>
      <c r="H18" s="30">
        <f t="shared" si="5"/>
        <v>7.6518323838956222E-4</v>
      </c>
      <c r="I18" s="30">
        <f t="shared" si="6"/>
        <v>-1.4477988707991517E-2</v>
      </c>
      <c r="J18" s="15">
        <f t="shared" si="7"/>
        <v>3.4795061520360507E-3</v>
      </c>
      <c r="K18" s="15">
        <f t="shared" si="8"/>
        <v>0</v>
      </c>
      <c r="L18" s="15">
        <f t="shared" si="9"/>
        <v>7.6489056035099006E-4</v>
      </c>
      <c r="M18" s="15">
        <f t="shared" si="10"/>
        <v>-1.4583302416279115E-2</v>
      </c>
      <c r="N18" s="40">
        <f t="shared" si="11"/>
        <v>6.6007039975988667E-3</v>
      </c>
      <c r="O18" s="40">
        <f t="shared" si="12"/>
        <v>9.3849136242531647E-3</v>
      </c>
      <c r="P18" s="40">
        <f t="shared" si="13"/>
        <v>4.3706422775577902E-3</v>
      </c>
      <c r="Q18" s="40">
        <f t="shared" si="14"/>
        <v>8.2988273439278445E-3</v>
      </c>
    </row>
    <row r="19" spans="1:29" x14ac:dyDescent="0.2">
      <c r="A19" s="25">
        <v>45180</v>
      </c>
      <c r="B19" s="26">
        <v>178.446854</v>
      </c>
      <c r="C19" s="26">
        <v>57.052486000000002</v>
      </c>
      <c r="D19" s="26">
        <v>140.91566499999999</v>
      </c>
      <c r="E19" s="26">
        <v>13.589228</v>
      </c>
      <c r="F19" s="30">
        <f t="shared" si="3"/>
        <v>6.6007039975988667E-3</v>
      </c>
      <c r="G19" s="30">
        <f t="shared" si="4"/>
        <v>9.3849136242531647E-3</v>
      </c>
      <c r="H19" s="30">
        <f t="shared" si="5"/>
        <v>4.3706422775577902E-3</v>
      </c>
      <c r="I19" s="30">
        <f t="shared" si="6"/>
        <v>8.2988273439278445E-3</v>
      </c>
      <c r="J19" s="15">
        <f t="shared" si="7"/>
        <v>6.5789672033107864E-3</v>
      </c>
      <c r="K19" s="15">
        <f t="shared" si="8"/>
        <v>9.3410127649827257E-3</v>
      </c>
      <c r="L19" s="15">
        <f t="shared" si="9"/>
        <v>4.3611049204500081E-3</v>
      </c>
      <c r="M19" s="15">
        <f t="shared" si="10"/>
        <v>8.2644871364289801E-3</v>
      </c>
      <c r="N19" s="40">
        <f t="shared" si="11"/>
        <v>-1.7207766577965616E-2</v>
      </c>
      <c r="O19" s="40">
        <f t="shared" si="12"/>
        <v>-9.8994165765982269E-3</v>
      </c>
      <c r="P19" s="40">
        <f t="shared" si="13"/>
        <v>1.2930049259339658E-2</v>
      </c>
      <c r="Q19" s="40">
        <f t="shared" si="14"/>
        <v>-4.1408787728015178E-3</v>
      </c>
    </row>
    <row r="20" spans="1:29" x14ac:dyDescent="0.2">
      <c r="A20" s="25">
        <v>45181</v>
      </c>
      <c r="B20" s="26">
        <v>175.40245100000001</v>
      </c>
      <c r="C20" s="26">
        <v>56.490485999999997</v>
      </c>
      <c r="D20" s="26">
        <v>142.74954199999999</v>
      </c>
      <c r="E20" s="26">
        <v>13.533073</v>
      </c>
      <c r="F20" s="30">
        <f t="shared" si="3"/>
        <v>-1.7207766577965616E-2</v>
      </c>
      <c r="G20" s="30">
        <f t="shared" si="4"/>
        <v>-9.8994165765982269E-3</v>
      </c>
      <c r="H20" s="30">
        <f t="shared" si="5"/>
        <v>1.2930049259339658E-2</v>
      </c>
      <c r="I20" s="30">
        <f t="shared" si="6"/>
        <v>-4.1408787728015178E-3</v>
      </c>
      <c r="J20" s="15">
        <f t="shared" si="7"/>
        <v>-1.7356673083205595E-2</v>
      </c>
      <c r="K20" s="15">
        <f t="shared" si="8"/>
        <v>-9.9485778897353567E-3</v>
      </c>
      <c r="L20" s="15">
        <f t="shared" si="9"/>
        <v>1.2846815298363628E-2</v>
      </c>
      <c r="M20" s="15">
        <f t="shared" si="10"/>
        <v>-4.149464057424385E-3</v>
      </c>
      <c r="N20" s="40">
        <f t="shared" si="11"/>
        <v>-1.1925628607410014E-2</v>
      </c>
      <c r="O20" s="40">
        <f t="shared" si="12"/>
        <v>2.3984991177818894E-3</v>
      </c>
      <c r="P20" s="40">
        <f t="shared" si="13"/>
        <v>4.7822692080471709E-4</v>
      </c>
      <c r="Q20" s="40">
        <f t="shared" si="14"/>
        <v>1.1004270746853787E-2</v>
      </c>
    </row>
    <row r="21" spans="1:29" x14ac:dyDescent="0.2">
      <c r="A21" s="25">
        <v>45182</v>
      </c>
      <c r="B21" s="26">
        <v>173.32309000000001</v>
      </c>
      <c r="C21" s="26">
        <v>56.626140999999997</v>
      </c>
      <c r="D21" s="26">
        <v>142.817825</v>
      </c>
      <c r="E21" s="26">
        <v>13.682817</v>
      </c>
      <c r="F21" s="30">
        <f t="shared" si="3"/>
        <v>-1.1925628607410014E-2</v>
      </c>
      <c r="G21" s="30">
        <f t="shared" si="4"/>
        <v>2.3984991177818894E-3</v>
      </c>
      <c r="H21" s="30">
        <f t="shared" si="5"/>
        <v>4.7822692080471709E-4</v>
      </c>
      <c r="I21" s="30">
        <f t="shared" si="6"/>
        <v>1.1004270746853787E-2</v>
      </c>
      <c r="J21" s="15">
        <f t="shared" si="7"/>
        <v>-1.1997022439422271E-2</v>
      </c>
      <c r="K21" s="15">
        <f t="shared" si="8"/>
        <v>2.3956250170747086E-3</v>
      </c>
      <c r="L21" s="15">
        <f t="shared" si="9"/>
        <v>4.7811258853723679E-4</v>
      </c>
      <c r="M21" s="15">
        <f t="shared" si="10"/>
        <v>1.0943945241685253E-2</v>
      </c>
      <c r="N21" s="40">
        <f t="shared" si="11"/>
        <v>8.744192273870471E-3</v>
      </c>
      <c r="O21" s="40">
        <f t="shared" si="12"/>
        <v>8.2446925036342867E-3</v>
      </c>
      <c r="P21" s="40">
        <f t="shared" si="13"/>
        <v>1.9211775011975799E-2</v>
      </c>
      <c r="Q21" s="40">
        <f t="shared" si="14"/>
        <v>2.9651713697862989E-2</v>
      </c>
    </row>
    <row r="22" spans="1:29" x14ac:dyDescent="0.2">
      <c r="A22" s="25">
        <v>45183</v>
      </c>
      <c r="B22" s="26">
        <v>174.84530599999999</v>
      </c>
      <c r="C22" s="26">
        <v>57.094935999999997</v>
      </c>
      <c r="D22" s="26">
        <v>145.58813499999999</v>
      </c>
      <c r="E22" s="26">
        <v>14.094611</v>
      </c>
      <c r="F22" s="30">
        <f t="shared" si="3"/>
        <v>8.744192273870471E-3</v>
      </c>
      <c r="G22" s="30">
        <f t="shared" si="4"/>
        <v>8.2446925036342867E-3</v>
      </c>
      <c r="H22" s="30">
        <f t="shared" si="5"/>
        <v>1.9211775011975799E-2</v>
      </c>
      <c r="I22" s="30">
        <f t="shared" si="6"/>
        <v>2.9651713697862989E-2</v>
      </c>
      <c r="J22" s="15">
        <f t="shared" si="7"/>
        <v>8.7060730129065404E-3</v>
      </c>
      <c r="K22" s="15">
        <f t="shared" si="8"/>
        <v>8.2107982396197113E-3</v>
      </c>
      <c r="L22" s="15">
        <f t="shared" si="9"/>
        <v>1.9028405027648684E-2</v>
      </c>
      <c r="M22" s="15">
        <f t="shared" si="10"/>
        <v>2.9216414699206699E-2</v>
      </c>
      <c r="N22" s="40">
        <f t="shared" si="11"/>
        <v>-4.1626265495737849E-3</v>
      </c>
      <c r="O22" s="40">
        <f t="shared" si="12"/>
        <v>-8.9348416448038568E-3</v>
      </c>
      <c r="P22" s="40">
        <f t="shared" si="13"/>
        <v>-2.9524998063902006E-3</v>
      </c>
      <c r="Q22" s="40">
        <f t="shared" si="14"/>
        <v>1.1224978589028094E-2</v>
      </c>
    </row>
    <row r="23" spans="1:29" ht="16" thickBot="1" x14ac:dyDescent="0.25">
      <c r="A23" s="25">
        <v>45184</v>
      </c>
      <c r="B23" s="26">
        <v>174.11900299999999</v>
      </c>
      <c r="C23" s="26">
        <v>56.587074000000001</v>
      </c>
      <c r="D23" s="26">
        <v>145.15891999999999</v>
      </c>
      <c r="E23" s="26">
        <v>14.253714</v>
      </c>
      <c r="F23" s="30">
        <f t="shared" si="3"/>
        <v>-4.1626265495737849E-3</v>
      </c>
      <c r="G23" s="30">
        <f t="shared" si="4"/>
        <v>-8.9348416448038568E-3</v>
      </c>
      <c r="H23" s="30">
        <f t="shared" si="5"/>
        <v>-2.9524998063902006E-3</v>
      </c>
      <c r="I23" s="30">
        <f t="shared" si="6"/>
        <v>1.1224978589028094E-2</v>
      </c>
      <c r="J23" s="15">
        <f t="shared" si="7"/>
        <v>-4.1713023132805413E-3</v>
      </c>
      <c r="K23" s="15">
        <f t="shared" si="8"/>
        <v>-8.9748764885775115E-3</v>
      </c>
      <c r="L23" s="15">
        <f t="shared" si="9"/>
        <v>-2.9568627267273638E-3</v>
      </c>
      <c r="M23" s="15">
        <f t="shared" si="10"/>
        <v>1.1162213581667205E-2</v>
      </c>
      <c r="N23" s="40">
        <f t="shared" si="11"/>
        <v>1.6771885661529522E-2</v>
      </c>
      <c r="O23" s="40">
        <f t="shared" si="12"/>
        <v>6.1940863988089057E-3</v>
      </c>
      <c r="P23" s="40">
        <f t="shared" si="13"/>
        <v>2.081060219182381E-3</v>
      </c>
      <c r="Q23" s="40">
        <f t="shared" si="14"/>
        <v>-9.2349221157867391E-3</v>
      </c>
    </row>
    <row r="24" spans="1:29" x14ac:dyDescent="0.2">
      <c r="A24" s="25">
        <v>45187</v>
      </c>
      <c r="B24" s="26">
        <v>177.06393399999999</v>
      </c>
      <c r="C24" s="26">
        <v>56.938667000000002</v>
      </c>
      <c r="D24" s="26">
        <v>145.461319</v>
      </c>
      <c r="E24" s="26">
        <v>14.122688</v>
      </c>
      <c r="F24" s="30">
        <f t="shared" si="3"/>
        <v>1.6771885661529522E-2</v>
      </c>
      <c r="G24" s="30">
        <f t="shared" si="4"/>
        <v>6.1940863988089057E-3</v>
      </c>
      <c r="H24" s="30">
        <f t="shared" si="5"/>
        <v>2.081060219182381E-3</v>
      </c>
      <c r="I24" s="30">
        <f t="shared" si="6"/>
        <v>-9.2349221157867391E-3</v>
      </c>
      <c r="J24" s="15">
        <f t="shared" si="7"/>
        <v>1.6632020612396409E-2</v>
      </c>
      <c r="K24" s="15">
        <f t="shared" si="8"/>
        <v>6.1749425921755622E-3</v>
      </c>
      <c r="L24" s="15">
        <f t="shared" si="9"/>
        <v>2.0788963146966123E-3</v>
      </c>
      <c r="M24" s="15">
        <f t="shared" si="10"/>
        <v>-9.2776955774991499E-3</v>
      </c>
      <c r="N24" s="40">
        <f t="shared" si="11"/>
        <v>6.1618290451625419E-3</v>
      </c>
      <c r="O24" s="40">
        <f t="shared" si="12"/>
        <v>-2.0603885067279927E-3</v>
      </c>
      <c r="P24" s="40">
        <f t="shared" si="13"/>
        <v>-1.2750275394505101E-3</v>
      </c>
      <c r="Q24" s="40">
        <f t="shared" si="14"/>
        <v>7.9209277625121085E-3</v>
      </c>
      <c r="R24" s="4"/>
      <c r="S24" s="1"/>
      <c r="T24" s="31" t="s">
        <v>12</v>
      </c>
      <c r="U24" s="31" t="s">
        <v>13</v>
      </c>
      <c r="V24" s="31" t="s">
        <v>14</v>
      </c>
      <c r="W24" s="31" t="s">
        <v>15</v>
      </c>
      <c r="X24" s="4"/>
      <c r="Y24" s="31"/>
      <c r="Z24" s="31" t="s">
        <v>12</v>
      </c>
      <c r="AA24" s="31" t="s">
        <v>13</v>
      </c>
      <c r="AB24" s="31" t="s">
        <v>14</v>
      </c>
      <c r="AC24" s="31" t="s">
        <v>15</v>
      </c>
    </row>
    <row r="25" spans="1:29" x14ac:dyDescent="0.2">
      <c r="A25" s="25">
        <v>45188</v>
      </c>
      <c r="B25" s="26">
        <v>178.15834000000001</v>
      </c>
      <c r="C25" s="26">
        <v>56.821472</v>
      </c>
      <c r="D25" s="26">
        <v>145.27597</v>
      </c>
      <c r="E25" s="26">
        <v>14.234997</v>
      </c>
      <c r="F25" s="30">
        <f t="shared" si="3"/>
        <v>6.1618290451625419E-3</v>
      </c>
      <c r="G25" s="30">
        <f t="shared" si="4"/>
        <v>-2.0603885067279927E-3</v>
      </c>
      <c r="H25" s="30">
        <f t="shared" si="5"/>
        <v>-1.2750275394505101E-3</v>
      </c>
      <c r="I25" s="30">
        <f t="shared" si="6"/>
        <v>7.9209277625121085E-3</v>
      </c>
      <c r="J25" s="15">
        <f t="shared" si="7"/>
        <v>6.1428839087747482E-3</v>
      </c>
      <c r="K25" s="15">
        <f t="shared" si="8"/>
        <v>-2.062512565672399E-3</v>
      </c>
      <c r="L25" s="15">
        <f t="shared" si="9"/>
        <v>-1.2758407326414836E-3</v>
      </c>
      <c r="M25" s="15">
        <f t="shared" si="10"/>
        <v>7.8896398783926524E-3</v>
      </c>
      <c r="N25" s="40">
        <f t="shared" si="11"/>
        <v>-2.0194689945887755E-2</v>
      </c>
      <c r="O25" s="40">
        <f t="shared" si="12"/>
        <v>4.4589357728930948E-3</v>
      </c>
      <c r="P25" s="40">
        <f t="shared" si="13"/>
        <v>-4.2389693184284203E-3</v>
      </c>
      <c r="Q25" s="40">
        <f t="shared" si="14"/>
        <v>2.2107528152630732E-2</v>
      </c>
      <c r="R25" s="4"/>
      <c r="S25" s="1" t="s">
        <v>24</v>
      </c>
      <c r="T25" s="35">
        <v>1.0005667965467292E-3</v>
      </c>
      <c r="U25" s="35">
        <v>6.5844828632144513E-4</v>
      </c>
      <c r="V25" s="35">
        <v>1.5030786305094985E-3</v>
      </c>
      <c r="W25" s="35">
        <v>1.5168662454873357E-3</v>
      </c>
      <c r="X25" s="4"/>
      <c r="Y25" s="1" t="s">
        <v>12</v>
      </c>
      <c r="Z25" s="36">
        <v>1</v>
      </c>
      <c r="AA25" s="36"/>
      <c r="AB25" s="36"/>
      <c r="AC25" s="36"/>
    </row>
    <row r="26" spans="1:29" x14ac:dyDescent="0.2">
      <c r="A26" s="25">
        <v>45189</v>
      </c>
      <c r="B26" s="26">
        <v>174.59657300000001</v>
      </c>
      <c r="C26" s="26">
        <v>57.075400999999999</v>
      </c>
      <c r="D26" s="26">
        <v>144.66145299999999</v>
      </c>
      <c r="E26" s="26">
        <v>14.553202000000001</v>
      </c>
      <c r="F26" s="30">
        <f t="shared" si="3"/>
        <v>-2.0194689945887755E-2</v>
      </c>
      <c r="G26" s="30">
        <f t="shared" si="4"/>
        <v>4.4589357728930948E-3</v>
      </c>
      <c r="H26" s="30">
        <f t="shared" si="5"/>
        <v>-4.2389693184284203E-3</v>
      </c>
      <c r="I26" s="30">
        <f t="shared" si="6"/>
        <v>2.2107528152630732E-2</v>
      </c>
      <c r="J26" s="15">
        <f t="shared" si="7"/>
        <v>-2.0399982306640137E-2</v>
      </c>
      <c r="K26" s="15">
        <f t="shared" si="8"/>
        <v>4.4490094778309027E-3</v>
      </c>
      <c r="L26" s="15">
        <f t="shared" si="9"/>
        <v>-4.2479664572428041E-3</v>
      </c>
      <c r="M26" s="15">
        <f t="shared" si="10"/>
        <v>2.1864947658941359E-2</v>
      </c>
      <c r="N26" s="40">
        <f t="shared" si="11"/>
        <v>-8.9290841663582452E-3</v>
      </c>
      <c r="O26" s="40">
        <f t="shared" si="12"/>
        <v>-1.5520182226064388E-2</v>
      </c>
      <c r="P26" s="40">
        <f t="shared" si="13"/>
        <v>-7.8527809774467452E-3</v>
      </c>
      <c r="Q26" s="40">
        <f t="shared" si="14"/>
        <v>-1.5554405482686634E-2</v>
      </c>
      <c r="R26" s="4"/>
      <c r="S26" s="1" t="s">
        <v>25</v>
      </c>
      <c r="T26" s="33">
        <v>9.0188667826404233E-4</v>
      </c>
      <c r="U26" s="33">
        <v>5.3006717015077363E-4</v>
      </c>
      <c r="V26" s="33">
        <v>7.3330290951943689E-4</v>
      </c>
      <c r="W26" s="33">
        <v>8.4396575660352865E-4</v>
      </c>
      <c r="X26" s="4"/>
      <c r="Y26" s="1" t="s">
        <v>13</v>
      </c>
      <c r="Z26" s="36">
        <v>9.2908387993421535E-2</v>
      </c>
      <c r="AA26" s="36">
        <v>1</v>
      </c>
      <c r="AB26" s="36"/>
      <c r="AC26" s="36"/>
    </row>
    <row r="27" spans="1:29" x14ac:dyDescent="0.2">
      <c r="A27" s="25">
        <v>45190</v>
      </c>
      <c r="B27" s="26">
        <v>173.04452499999999</v>
      </c>
      <c r="C27" s="26">
        <v>56.196418999999999</v>
      </c>
      <c r="D27" s="26">
        <v>143.52990700000001</v>
      </c>
      <c r="E27" s="26">
        <v>14.328587000000001</v>
      </c>
      <c r="F27" s="30">
        <f t="shared" si="3"/>
        <v>-8.9290841663582452E-3</v>
      </c>
      <c r="G27" s="30">
        <f t="shared" si="4"/>
        <v>-1.5520182226064388E-2</v>
      </c>
      <c r="H27" s="30">
        <f t="shared" si="5"/>
        <v>-7.8527809774467452E-3</v>
      </c>
      <c r="I27" s="30">
        <f t="shared" si="6"/>
        <v>-1.5554405482686634E-2</v>
      </c>
      <c r="J27" s="15">
        <f t="shared" si="7"/>
        <v>-8.9690673541969242E-3</v>
      </c>
      <c r="K27" s="15">
        <f t="shared" si="8"/>
        <v>-1.5641245752687563E-2</v>
      </c>
      <c r="L27" s="15">
        <f t="shared" si="9"/>
        <v>-7.8836949291689138E-3</v>
      </c>
      <c r="M27" s="15">
        <f t="shared" si="10"/>
        <v>-1.5676004898459283E-2</v>
      </c>
      <c r="N27" s="40">
        <f t="shared" si="11"/>
        <v>4.932157084030179E-3</v>
      </c>
      <c r="O27" s="40">
        <f t="shared" si="12"/>
        <v>1.0421744338548341E-3</v>
      </c>
      <c r="P27" s="40">
        <f t="shared" si="13"/>
        <v>-9.6290710303040105E-3</v>
      </c>
      <c r="Q27" s="40">
        <f t="shared" si="14"/>
        <v>-1.2488017087223817E-2</v>
      </c>
      <c r="R27" s="4"/>
      <c r="S27" s="1" t="s">
        <v>26</v>
      </c>
      <c r="T27" s="35">
        <v>1.947036741825917E-3</v>
      </c>
      <c r="U27" s="35">
        <v>1.050272311962191E-3</v>
      </c>
      <c r="V27" s="35">
        <v>2.0270955243618513E-3</v>
      </c>
      <c r="W27" s="35">
        <v>1.4116370274933096E-3</v>
      </c>
      <c r="X27" s="4"/>
      <c r="Y27" s="1" t="s">
        <v>14</v>
      </c>
      <c r="Z27" s="36">
        <v>4.7823404927254509E-2</v>
      </c>
      <c r="AA27" s="36">
        <v>0.18624001651856556</v>
      </c>
      <c r="AB27" s="36">
        <v>1</v>
      </c>
      <c r="AC27" s="36"/>
    </row>
    <row r="28" spans="1:29" ht="16" thickBot="1" x14ac:dyDescent="0.25">
      <c r="A28" s="25">
        <v>45191</v>
      </c>
      <c r="B28" s="26">
        <v>173.900116</v>
      </c>
      <c r="C28" s="26">
        <v>56.255015999999998</v>
      </c>
      <c r="D28" s="26">
        <v>142.15448000000001</v>
      </c>
      <c r="E28" s="26">
        <v>14.150764000000001</v>
      </c>
      <c r="F28" s="30">
        <f t="shared" si="3"/>
        <v>4.932157084030179E-3</v>
      </c>
      <c r="G28" s="30">
        <f t="shared" si="4"/>
        <v>1.0421744338548341E-3</v>
      </c>
      <c r="H28" s="30">
        <f t="shared" si="5"/>
        <v>-9.6290710303040105E-3</v>
      </c>
      <c r="I28" s="30">
        <f t="shared" si="6"/>
        <v>-1.2488017087223817E-2</v>
      </c>
      <c r="J28" s="15">
        <f t="shared" si="7"/>
        <v>4.9200139693984105E-3</v>
      </c>
      <c r="K28" s="15">
        <f t="shared" si="8"/>
        <v>1.0416315586862317E-3</v>
      </c>
      <c r="L28" s="15">
        <f t="shared" si="9"/>
        <v>-9.6755796933026793E-3</v>
      </c>
      <c r="M28" s="15">
        <f t="shared" si="10"/>
        <v>-1.2566317974068401E-2</v>
      </c>
      <c r="N28" s="40">
        <f t="shared" si="11"/>
        <v>7.3532671978666295E-3</v>
      </c>
      <c r="O28" s="40">
        <f t="shared" si="12"/>
        <v>-1.0471250468192831E-2</v>
      </c>
      <c r="P28" s="40">
        <f t="shared" si="13"/>
        <v>4.9286703199951359E-3</v>
      </c>
      <c r="Q28" s="40">
        <f t="shared" si="14"/>
        <v>-3.9760898184737319E-3</v>
      </c>
      <c r="R28" s="4"/>
      <c r="S28" s="1" t="s">
        <v>27</v>
      </c>
      <c r="T28" s="33" t="e">
        <v>#N/A</v>
      </c>
      <c r="U28" s="33">
        <v>0</v>
      </c>
      <c r="V28" s="33" t="e">
        <v>#N/A</v>
      </c>
      <c r="W28" s="33">
        <v>0</v>
      </c>
      <c r="X28" s="4"/>
      <c r="Y28" s="32" t="s">
        <v>15</v>
      </c>
      <c r="Z28" s="37">
        <v>-1.9839152826202956E-2</v>
      </c>
      <c r="AA28" s="37">
        <v>0.34877913015927403</v>
      </c>
      <c r="AB28" s="37">
        <v>0.1862107365173262</v>
      </c>
      <c r="AC28" s="37">
        <v>1</v>
      </c>
    </row>
    <row r="29" spans="1:29" x14ac:dyDescent="0.2">
      <c r="A29" s="25">
        <v>45194</v>
      </c>
      <c r="B29" s="26">
        <v>175.18356299999999</v>
      </c>
      <c r="C29" s="26">
        <v>55.669029000000002</v>
      </c>
      <c r="D29" s="26">
        <v>142.856842</v>
      </c>
      <c r="E29" s="26">
        <v>14.094611</v>
      </c>
      <c r="F29" s="30">
        <f t="shared" si="3"/>
        <v>7.3532671978666295E-3</v>
      </c>
      <c r="G29" s="30">
        <f t="shared" si="4"/>
        <v>-1.0471250468192831E-2</v>
      </c>
      <c r="H29" s="30">
        <f t="shared" si="5"/>
        <v>4.9286703199951359E-3</v>
      </c>
      <c r="I29" s="30">
        <f t="shared" si="6"/>
        <v>-3.9760898184737319E-3</v>
      </c>
      <c r="J29" s="15">
        <f t="shared" si="7"/>
        <v>7.3262980728391472E-3</v>
      </c>
      <c r="K29" s="15">
        <f t="shared" si="8"/>
        <v>-1.052626587038182E-2</v>
      </c>
      <c r="L29" s="15">
        <f t="shared" si="9"/>
        <v>4.9165443542423656E-3</v>
      </c>
      <c r="M29" s="15">
        <f t="shared" si="10"/>
        <v>-3.9840049505445816E-3</v>
      </c>
      <c r="N29" s="40">
        <f t="shared" si="11"/>
        <v>-2.3676570379196956E-2</v>
      </c>
      <c r="O29" s="40">
        <f t="shared" si="12"/>
        <v>-8.2798817906721903E-3</v>
      </c>
      <c r="P29" s="40">
        <f t="shared" si="13"/>
        <v>-1.0433243353410393E-2</v>
      </c>
      <c r="Q29" s="40">
        <f t="shared" si="14"/>
        <v>-2.6595130223768674E-3</v>
      </c>
      <c r="R29" s="4"/>
      <c r="S29" s="1" t="s">
        <v>28</v>
      </c>
      <c r="T29" s="35">
        <v>1.4317007168692672E-2</v>
      </c>
      <c r="U29" s="35">
        <v>8.4145554622722402E-3</v>
      </c>
      <c r="V29" s="35">
        <v>1.1640822805611175E-2</v>
      </c>
      <c r="W29" s="35">
        <v>1.3397541042164431E-2</v>
      </c>
      <c r="X29" s="4"/>
      <c r="Y29" s="4"/>
      <c r="Z29" s="4"/>
    </row>
    <row r="30" spans="1:29" x14ac:dyDescent="0.2">
      <c r="A30" s="25">
        <v>45195</v>
      </c>
      <c r="B30" s="26">
        <v>171.08453399999999</v>
      </c>
      <c r="C30" s="26">
        <v>55.209999000000003</v>
      </c>
      <c r="D30" s="26">
        <v>141.37413000000001</v>
      </c>
      <c r="E30" s="26">
        <v>14.057176</v>
      </c>
      <c r="F30" s="30">
        <f t="shared" si="3"/>
        <v>-2.3676570379196956E-2</v>
      </c>
      <c r="G30" s="30">
        <f t="shared" si="4"/>
        <v>-8.2798817906721903E-3</v>
      </c>
      <c r="H30" s="30">
        <f t="shared" si="5"/>
        <v>-1.0433243353410393E-2</v>
      </c>
      <c r="I30" s="30">
        <f t="shared" si="6"/>
        <v>-2.6595130223768674E-3</v>
      </c>
      <c r="J30" s="15">
        <f t="shared" si="7"/>
        <v>-2.3959085629563698E-2</v>
      </c>
      <c r="K30" s="15">
        <f t="shared" si="8"/>
        <v>-8.3142548146033918E-3</v>
      </c>
      <c r="L30" s="15">
        <f t="shared" si="9"/>
        <v>-1.0487859412468124E-2</v>
      </c>
      <c r="M30" s="15">
        <f t="shared" si="10"/>
        <v>-2.6630526643474E-3</v>
      </c>
      <c r="N30" s="40">
        <f t="shared" si="11"/>
        <v>-8.9372740582099996E-3</v>
      </c>
      <c r="O30" s="40">
        <f t="shared" si="12"/>
        <v>-1.0313022416799286E-2</v>
      </c>
      <c r="P30" s="40">
        <f t="shared" si="13"/>
        <v>5.8476760566381946E-3</v>
      </c>
      <c r="Q30" s="40">
        <f t="shared" si="14"/>
        <v>-1.0036916003110012E-2</v>
      </c>
      <c r="R30" s="4"/>
      <c r="S30" s="1" t="s">
        <v>29</v>
      </c>
      <c r="T30" s="33">
        <v>2.0497669426839735E-4</v>
      </c>
      <c r="U30" s="33">
        <v>7.0804743627655582E-5</v>
      </c>
      <c r="V30" s="33">
        <v>1.3550875559163722E-4</v>
      </c>
      <c r="W30" s="33">
        <v>1.7949410597648037E-4</v>
      </c>
      <c r="X30" s="4"/>
      <c r="Y30" s="4"/>
      <c r="Z30" s="4"/>
    </row>
    <row r="31" spans="1:29" x14ac:dyDescent="0.2">
      <c r="A31" s="25">
        <v>45196</v>
      </c>
      <c r="B31" s="26">
        <v>169.56231700000001</v>
      </c>
      <c r="C31" s="26">
        <v>54.643543000000001</v>
      </c>
      <c r="D31" s="26">
        <v>142.203262</v>
      </c>
      <c r="E31" s="26">
        <v>13.916791</v>
      </c>
      <c r="F31" s="30">
        <f t="shared" si="3"/>
        <v>-8.9372740582099996E-3</v>
      </c>
      <c r="G31" s="30">
        <f t="shared" si="4"/>
        <v>-1.0313022416799286E-2</v>
      </c>
      <c r="H31" s="30">
        <f t="shared" si="5"/>
        <v>5.8476760566381946E-3</v>
      </c>
      <c r="I31" s="30">
        <f t="shared" si="6"/>
        <v>-1.0036916003110012E-2</v>
      </c>
      <c r="J31" s="15">
        <f t="shared" si="7"/>
        <v>-8.9773307355783746E-3</v>
      </c>
      <c r="K31" s="15">
        <f t="shared" si="8"/>
        <v>-1.0366384917610527E-2</v>
      </c>
      <c r="L31" s="15">
        <f t="shared" si="9"/>
        <v>5.8306116775295007E-3</v>
      </c>
      <c r="M31" s="15">
        <f t="shared" si="10"/>
        <v>-1.0087454787529697E-2</v>
      </c>
      <c r="N31" s="40">
        <f t="shared" si="11"/>
        <v>1.5245124110350558E-3</v>
      </c>
      <c r="O31" s="40">
        <f t="shared" si="12"/>
        <v>-2.5052793506595878E-3</v>
      </c>
      <c r="P31" s="40">
        <f t="shared" si="13"/>
        <v>1.2339652914118577E-2</v>
      </c>
      <c r="Q31" s="40">
        <f t="shared" si="14"/>
        <v>9.370913321953802E-3</v>
      </c>
      <c r="R31" s="4"/>
      <c r="S31" s="1" t="s">
        <v>30</v>
      </c>
      <c r="T31" s="33">
        <v>3.1993752014185901</v>
      </c>
      <c r="U31" s="33">
        <v>5.0354702520574879</v>
      </c>
      <c r="V31" s="33">
        <v>5.9450521093574373</v>
      </c>
      <c r="W31" s="33">
        <v>2.3858239469937246</v>
      </c>
      <c r="X31" s="4"/>
      <c r="Y31" s="4"/>
      <c r="Z31" s="4"/>
    </row>
    <row r="32" spans="1:29" x14ac:dyDescent="0.2">
      <c r="A32" s="25">
        <v>45197</v>
      </c>
      <c r="B32" s="26">
        <v>169.82101399999999</v>
      </c>
      <c r="C32" s="26">
        <v>54.506816999999998</v>
      </c>
      <c r="D32" s="26">
        <v>143.968872</v>
      </c>
      <c r="E32" s="26">
        <v>14.047817</v>
      </c>
      <c r="F32" s="30">
        <f t="shared" si="3"/>
        <v>1.5245124110350558E-3</v>
      </c>
      <c r="G32" s="30">
        <f t="shared" si="4"/>
        <v>-2.5052793506595878E-3</v>
      </c>
      <c r="H32" s="30">
        <f t="shared" si="5"/>
        <v>1.2339652914118577E-2</v>
      </c>
      <c r="I32" s="30">
        <f t="shared" si="6"/>
        <v>9.370913321953802E-3</v>
      </c>
      <c r="J32" s="15">
        <f t="shared" si="7"/>
        <v>1.5233509322938312E-3</v>
      </c>
      <c r="K32" s="15">
        <f t="shared" si="8"/>
        <v>-2.5084201853137564E-3</v>
      </c>
      <c r="L32" s="15">
        <f t="shared" si="9"/>
        <v>1.2263831587150376E-2</v>
      </c>
      <c r="M32" s="15">
        <f t="shared" si="10"/>
        <v>9.3271431425964828E-3</v>
      </c>
      <c r="N32" s="40">
        <f t="shared" si="11"/>
        <v>3.0418117645047292E-3</v>
      </c>
      <c r="O32" s="40">
        <f t="shared" si="12"/>
        <v>3.0412831937692204E-3</v>
      </c>
      <c r="P32" s="40">
        <f t="shared" si="13"/>
        <v>-1.7566587699048578E-2</v>
      </c>
      <c r="Q32" s="40">
        <f t="shared" si="14"/>
        <v>6.6600268115622394E-4</v>
      </c>
      <c r="R32" s="4"/>
      <c r="S32" s="1" t="s">
        <v>31</v>
      </c>
      <c r="T32" s="33">
        <v>0.26385725923725961</v>
      </c>
      <c r="U32" s="33">
        <v>-0.51847268351090958</v>
      </c>
      <c r="V32" s="33">
        <v>-1.4361975453799565</v>
      </c>
      <c r="W32" s="33">
        <v>0.55654665547677762</v>
      </c>
      <c r="X32" s="4"/>
      <c r="Y32" s="4"/>
      <c r="Z32" s="4"/>
    </row>
    <row r="33" spans="1:28" x14ac:dyDescent="0.2">
      <c r="A33" s="25">
        <v>45198</v>
      </c>
      <c r="B33" s="26">
        <v>170.33836400000001</v>
      </c>
      <c r="C33" s="26">
        <v>54.672840000000001</v>
      </c>
      <c r="D33" s="26">
        <v>141.46191400000001</v>
      </c>
      <c r="E33" s="26">
        <v>14.057176</v>
      </c>
      <c r="F33" s="30">
        <f t="shared" si="3"/>
        <v>3.0418117645047292E-3</v>
      </c>
      <c r="G33" s="30">
        <f t="shared" si="4"/>
        <v>3.0412831937692204E-3</v>
      </c>
      <c r="H33" s="30">
        <f t="shared" si="5"/>
        <v>-1.7566587699048578E-2</v>
      </c>
      <c r="I33" s="30">
        <f t="shared" si="6"/>
        <v>6.6600268115622394E-4</v>
      </c>
      <c r="J33" s="15">
        <f t="shared" si="7"/>
        <v>3.0371901423217949E-3</v>
      </c>
      <c r="K33" s="15">
        <f t="shared" si="8"/>
        <v>3.0366631768169111E-3</v>
      </c>
      <c r="L33" s="15">
        <f t="shared" si="9"/>
        <v>-1.7721787646673558E-2</v>
      </c>
      <c r="M33" s="15">
        <f t="shared" si="10"/>
        <v>6.6578095059775127E-4</v>
      </c>
      <c r="N33" s="40">
        <f t="shared" si="11"/>
        <v>1.4726612543542477E-2</v>
      </c>
      <c r="O33" s="40">
        <f t="shared" si="12"/>
        <v>-8.9718561804357604E-3</v>
      </c>
      <c r="P33" s="40">
        <f t="shared" si="13"/>
        <v>-8.6567488859623613E-3</v>
      </c>
      <c r="Q33" s="40">
        <f t="shared" si="14"/>
        <v>-2.3578125464621125E-2</v>
      </c>
      <c r="R33" s="4"/>
      <c r="S33" s="1" t="s">
        <v>32</v>
      </c>
      <c r="T33" s="33">
        <v>0.119497047152869</v>
      </c>
      <c r="U33" s="33">
        <v>7.797326564542939E-2</v>
      </c>
      <c r="V33" s="33">
        <v>9.4393618947551619E-2</v>
      </c>
      <c r="W33" s="33">
        <v>0.10225348776612249</v>
      </c>
      <c r="X33" s="4"/>
      <c r="Y33" s="4"/>
      <c r="Z33" s="4"/>
    </row>
    <row r="34" spans="1:28" x14ac:dyDescent="0.2">
      <c r="A34" s="25">
        <v>45201</v>
      </c>
      <c r="B34" s="26">
        <v>172.865433</v>
      </c>
      <c r="C34" s="26">
        <v>54.184517</v>
      </c>
      <c r="D34" s="26">
        <v>140.24259900000001</v>
      </c>
      <c r="E34" s="26">
        <v>13.729611</v>
      </c>
      <c r="F34" s="30">
        <f t="shared" si="3"/>
        <v>1.4726612543542477E-2</v>
      </c>
      <c r="G34" s="30">
        <f t="shared" si="4"/>
        <v>-8.9718561804357604E-3</v>
      </c>
      <c r="H34" s="30">
        <f t="shared" si="5"/>
        <v>-8.6567488859623613E-3</v>
      </c>
      <c r="I34" s="30">
        <f t="shared" si="6"/>
        <v>-2.3578125464621125E-2</v>
      </c>
      <c r="J34" s="15">
        <f t="shared" si="7"/>
        <v>1.4618706332109689E-2</v>
      </c>
      <c r="K34" s="15">
        <f t="shared" si="8"/>
        <v>-9.0122239162896134E-3</v>
      </c>
      <c r="L34" s="15">
        <f t="shared" si="9"/>
        <v>-8.6943268927866524E-3</v>
      </c>
      <c r="M34" s="15">
        <f t="shared" si="10"/>
        <v>-2.3858287026486031E-2</v>
      </c>
      <c r="N34" s="40">
        <f t="shared" si="11"/>
        <v>-7.8002013931504684E-3</v>
      </c>
      <c r="O34" s="40">
        <f t="shared" si="12"/>
        <v>-1.0873561101627389E-2</v>
      </c>
      <c r="P34" s="40">
        <f t="shared" si="13"/>
        <v>-7.4001160534839551E-3</v>
      </c>
      <c r="Q34" s="40">
        <f t="shared" si="14"/>
        <v>7.470418425544037E-3</v>
      </c>
      <c r="R34" s="4"/>
      <c r="S34" s="1" t="s">
        <v>33</v>
      </c>
      <c r="T34" s="35">
        <v>-4.936563304839342E-2</v>
      </c>
      <c r="U34" s="35">
        <v>-4.9535374384451825E-2</v>
      </c>
      <c r="V34" s="35">
        <v>-6.6864291458487934E-2</v>
      </c>
      <c r="W34" s="35">
        <v>-3.8675610583800438E-2</v>
      </c>
      <c r="X34" s="4"/>
      <c r="Y34" s="4"/>
      <c r="Z34" s="4"/>
    </row>
    <row r="35" spans="1:28" x14ac:dyDescent="0.2">
      <c r="A35" s="25">
        <v>45202</v>
      </c>
      <c r="B35" s="26">
        <v>171.52229299999999</v>
      </c>
      <c r="C35" s="26">
        <v>53.598529999999997</v>
      </c>
      <c r="D35" s="26">
        <v>139.208618</v>
      </c>
      <c r="E35" s="26">
        <v>13.832561</v>
      </c>
      <c r="F35" s="30">
        <f t="shared" si="3"/>
        <v>-7.8002013931504684E-3</v>
      </c>
      <c r="G35" s="30">
        <f t="shared" si="4"/>
        <v>-1.0873561101627389E-2</v>
      </c>
      <c r="H35" s="30">
        <f t="shared" si="5"/>
        <v>-7.4001160534839551E-3</v>
      </c>
      <c r="I35" s="30">
        <f t="shared" si="6"/>
        <v>7.470418425544037E-3</v>
      </c>
      <c r="J35" s="15">
        <f t="shared" si="7"/>
        <v>-7.8307022166500852E-3</v>
      </c>
      <c r="K35" s="15">
        <f t="shared" si="8"/>
        <v>-1.093289312225546E-2</v>
      </c>
      <c r="L35" s="15">
        <f t="shared" si="9"/>
        <v>-7.4275645779344739E-3</v>
      </c>
      <c r="M35" s="15">
        <f t="shared" si="10"/>
        <v>7.4425842040385633E-3</v>
      </c>
      <c r="N35" s="40">
        <f t="shared" si="11"/>
        <v>7.2820978273525263E-3</v>
      </c>
      <c r="O35" s="40">
        <f t="shared" si="12"/>
        <v>2.9112300036451422E-3</v>
      </c>
      <c r="P35" s="40">
        <f t="shared" si="13"/>
        <v>4.4743812840926343E-3</v>
      </c>
      <c r="Q35" s="40">
        <f t="shared" si="14"/>
        <v>-8.8346792935787202E-3</v>
      </c>
      <c r="R35" s="4"/>
      <c r="S35" s="1" t="s">
        <v>34</v>
      </c>
      <c r="T35" s="35">
        <v>7.0131414104475584E-2</v>
      </c>
      <c r="U35" s="35">
        <v>2.8437891260977562E-2</v>
      </c>
      <c r="V35" s="35">
        <v>2.7529327489063699E-2</v>
      </c>
      <c r="W35" s="35">
        <v>6.3577877182322051E-2</v>
      </c>
      <c r="X35" s="4"/>
      <c r="Y35" s="4"/>
      <c r="Z35" s="4"/>
    </row>
    <row r="36" spans="1:28" x14ac:dyDescent="0.2">
      <c r="A36" s="25">
        <v>45203</v>
      </c>
      <c r="B36" s="26">
        <v>172.77589399999999</v>
      </c>
      <c r="C36" s="26">
        <v>53.754795000000001</v>
      </c>
      <c r="D36" s="26">
        <v>139.832886</v>
      </c>
      <c r="E36" s="26">
        <v>13.710893</v>
      </c>
      <c r="F36" s="30">
        <f t="shared" si="3"/>
        <v>7.2820978273525263E-3</v>
      </c>
      <c r="G36" s="30">
        <f t="shared" si="4"/>
        <v>2.9112300036451422E-3</v>
      </c>
      <c r="H36" s="30">
        <f t="shared" si="5"/>
        <v>4.4743812840926343E-3</v>
      </c>
      <c r="I36" s="30">
        <f t="shared" si="6"/>
        <v>-8.8346792935787202E-3</v>
      </c>
      <c r="J36" s="15">
        <f t="shared" si="7"/>
        <v>7.2556475963018504E-3</v>
      </c>
      <c r="K36" s="15">
        <f t="shared" si="8"/>
        <v>2.9069964828254812E-3</v>
      </c>
      <c r="L36" s="15">
        <f t="shared" si="9"/>
        <v>4.4643861530541586E-3</v>
      </c>
      <c r="M36" s="15">
        <f t="shared" si="10"/>
        <v>-8.8738202537208665E-3</v>
      </c>
      <c r="N36" s="40">
        <f t="shared" si="11"/>
        <v>7.1721957179410305E-3</v>
      </c>
      <c r="O36" s="40">
        <f t="shared" si="12"/>
        <v>-4.9535374384451825E-2</v>
      </c>
      <c r="P36" s="40">
        <f t="shared" si="13"/>
        <v>4.2075901542361687E-3</v>
      </c>
      <c r="Q36" s="40">
        <f t="shared" si="14"/>
        <v>1.2211857867236135E-2</v>
      </c>
      <c r="R36" s="4"/>
      <c r="S36" s="1" t="s">
        <v>35</v>
      </c>
      <c r="T36" s="33">
        <v>0.25214283272977578</v>
      </c>
      <c r="U36" s="33">
        <v>0.16592896815300417</v>
      </c>
      <c r="V36" s="33">
        <v>0.37877581488839362</v>
      </c>
      <c r="W36" s="33">
        <v>0.38225029386280862</v>
      </c>
      <c r="X36" s="4"/>
      <c r="Y36" s="4"/>
      <c r="Z36" s="4"/>
    </row>
    <row r="37" spans="1:28" ht="16" thickBot="1" x14ac:dyDescent="0.25">
      <c r="A37" s="25">
        <v>45204</v>
      </c>
      <c r="B37" s="26">
        <v>174.019531</v>
      </c>
      <c r="C37" s="26">
        <v>51.156905999999999</v>
      </c>
      <c r="D37" s="26">
        <v>140.42248499999999</v>
      </c>
      <c r="E37" s="26">
        <v>13.879355</v>
      </c>
      <c r="F37" s="30">
        <f t="shared" si="3"/>
        <v>7.1721957179410305E-3</v>
      </c>
      <c r="G37" s="30">
        <f t="shared" si="4"/>
        <v>-4.9535374384451825E-2</v>
      </c>
      <c r="H37" s="30">
        <f t="shared" si="5"/>
        <v>4.2075901542361687E-3</v>
      </c>
      <c r="I37" s="30">
        <f t="shared" si="6"/>
        <v>1.2211857867236135E-2</v>
      </c>
      <c r="J37" s="15">
        <f t="shared" si="7"/>
        <v>7.1465369022285594E-3</v>
      </c>
      <c r="K37" s="15">
        <f t="shared" si="8"/>
        <v>-5.0782762350795846E-2</v>
      </c>
      <c r="L37" s="15">
        <f t="shared" si="9"/>
        <v>4.1987506488009568E-3</v>
      </c>
      <c r="M37" s="15">
        <f t="shared" si="10"/>
        <v>1.2137595731213726E-2</v>
      </c>
      <c r="N37" s="40">
        <f t="shared" si="11"/>
        <v>1.4642797262619538E-2</v>
      </c>
      <c r="O37" s="40">
        <f t="shared" si="12"/>
        <v>1.4405068586763934E-2</v>
      </c>
      <c r="P37" s="40">
        <f t="shared" si="13"/>
        <v>1.5278133083516892E-2</v>
      </c>
      <c r="Q37" s="40">
        <f t="shared" si="14"/>
        <v>-7.0340122474886078E-3</v>
      </c>
      <c r="R37" s="4"/>
      <c r="S37" s="32" t="s">
        <v>36</v>
      </c>
      <c r="T37" s="34">
        <v>252</v>
      </c>
      <c r="U37" s="34">
        <v>252</v>
      </c>
      <c r="V37" s="34">
        <v>252</v>
      </c>
      <c r="W37" s="34">
        <v>252</v>
      </c>
      <c r="X37" s="4"/>
      <c r="Y37" s="4"/>
      <c r="Z37" s="4"/>
    </row>
    <row r="38" spans="1:28" x14ac:dyDescent="0.2">
      <c r="A38" s="25">
        <v>45205</v>
      </c>
      <c r="B38" s="26">
        <v>176.586411</v>
      </c>
      <c r="C38" s="26">
        <v>51.899158</v>
      </c>
      <c r="D38" s="26">
        <v>142.584351</v>
      </c>
      <c r="E38" s="26">
        <v>13.782069999999999</v>
      </c>
      <c r="F38" s="30">
        <f t="shared" si="3"/>
        <v>1.4642797262619538E-2</v>
      </c>
      <c r="G38" s="30">
        <f t="shared" si="4"/>
        <v>1.4405068586763934E-2</v>
      </c>
      <c r="H38" s="30">
        <f t="shared" si="5"/>
        <v>1.5278133083516892E-2</v>
      </c>
      <c r="I38" s="30">
        <f t="shared" si="6"/>
        <v>-7.0340122474886078E-3</v>
      </c>
      <c r="J38" s="15">
        <f t="shared" si="7"/>
        <v>1.4536112860915428E-2</v>
      </c>
      <c r="K38" s="15">
        <f t="shared" si="8"/>
        <v>1.4301811987007584E-2</v>
      </c>
      <c r="L38" s="15">
        <f t="shared" si="9"/>
        <v>1.5162014518690087E-2</v>
      </c>
      <c r="M38" s="15">
        <f t="shared" si="10"/>
        <v>-7.0588090178036519E-3</v>
      </c>
      <c r="N38" s="40">
        <f t="shared" si="11"/>
        <v>8.4155364965835446E-3</v>
      </c>
      <c r="O38" s="40">
        <f t="shared" si="12"/>
        <v>-4.9046695157092994E-3</v>
      </c>
      <c r="P38" s="40">
        <f t="shared" si="13"/>
        <v>-2.2767875931944174E-3</v>
      </c>
      <c r="Q38" s="40">
        <f t="shared" si="14"/>
        <v>1.919178660718069E-2</v>
      </c>
      <c r="R38" s="4"/>
    </row>
    <row r="39" spans="1:28" x14ac:dyDescent="0.2">
      <c r="A39" s="25">
        <v>45208</v>
      </c>
      <c r="B39" s="26">
        <v>178.07875100000001</v>
      </c>
      <c r="C39" s="26">
        <v>51.645232999999998</v>
      </c>
      <c r="D39" s="26">
        <v>142.260086</v>
      </c>
      <c r="E39" s="26">
        <v>14.049127</v>
      </c>
      <c r="F39" s="30">
        <f t="shared" si="3"/>
        <v>8.4155364965835446E-3</v>
      </c>
      <c r="G39" s="30">
        <f t="shared" si="4"/>
        <v>-4.9046695157092994E-3</v>
      </c>
      <c r="H39" s="30">
        <f t="shared" si="5"/>
        <v>-2.2767875931944174E-3</v>
      </c>
      <c r="I39" s="30">
        <f t="shared" si="6"/>
        <v>1.919178660718069E-2</v>
      </c>
      <c r="J39" s="15">
        <f t="shared" si="7"/>
        <v>8.3802249938287852E-3</v>
      </c>
      <c r="K39" s="15">
        <f t="shared" si="8"/>
        <v>-4.9167170956514496E-3</v>
      </c>
      <c r="L39" s="15">
        <f t="shared" si="9"/>
        <v>-2.2793814422409171E-3</v>
      </c>
      <c r="M39" s="15">
        <f t="shared" si="10"/>
        <v>1.9008796774347702E-2</v>
      </c>
      <c r="N39" s="40">
        <f t="shared" si="11"/>
        <v>-3.3577377412587176E-3</v>
      </c>
      <c r="O39" s="40">
        <f t="shared" si="12"/>
        <v>2.1514155913894644E-2</v>
      </c>
      <c r="P39" s="40">
        <f t="shared" si="13"/>
        <v>6.0600170693245765E-3</v>
      </c>
      <c r="Q39" s="40">
        <f t="shared" si="14"/>
        <v>1.5493841465178439E-2</v>
      </c>
      <c r="R39" s="4"/>
      <c r="S39" s="22" t="s">
        <v>37</v>
      </c>
      <c r="T39" s="5">
        <f>_xlfn.PERCENTRANK.INC(F3:F254,$V$35)</f>
        <v>0.97899999999999998</v>
      </c>
      <c r="U39" s="5">
        <f>_xlfn.PERCENTRANK.INC(G3:G254,$V$35)</f>
        <v>0.999</v>
      </c>
      <c r="V39" s="5" t="e">
        <f>_xlfn.PERCENTRANK.INC(H3:H254,$V$35)</f>
        <v>#N/A</v>
      </c>
      <c r="W39" s="5">
        <f>_xlfn.PERCENTRANK.INC(I3:I254,$V$35)</f>
        <v>0.96</v>
      </c>
    </row>
    <row r="40" spans="1:28" x14ac:dyDescent="0.2">
      <c r="A40" s="25">
        <v>45209</v>
      </c>
      <c r="B40" s="26">
        <v>177.48181199999999</v>
      </c>
      <c r="C40" s="26">
        <v>52.768374999999999</v>
      </c>
      <c r="D40" s="26">
        <v>143.12480199999999</v>
      </c>
      <c r="E40" s="26">
        <v>14.268497</v>
      </c>
      <c r="F40" s="30">
        <f t="shared" si="3"/>
        <v>-3.3577377412587176E-3</v>
      </c>
      <c r="G40" s="30">
        <f t="shared" si="4"/>
        <v>2.1514155913894644E-2</v>
      </c>
      <c r="H40" s="30">
        <f t="shared" si="5"/>
        <v>6.0600170693245765E-3</v>
      </c>
      <c r="I40" s="30">
        <f t="shared" si="6"/>
        <v>1.5493841465178439E-2</v>
      </c>
      <c r="J40" s="15">
        <f t="shared" si="7"/>
        <v>-3.3633812573426979E-3</v>
      </c>
      <c r="K40" s="15">
        <f t="shared" si="8"/>
        <v>2.128437724299832E-2</v>
      </c>
      <c r="L40" s="15">
        <f t="shared" si="9"/>
        <v>6.0416922009085975E-3</v>
      </c>
      <c r="M40" s="15">
        <f t="shared" si="10"/>
        <v>1.5374429416076522E-2</v>
      </c>
      <c r="N40" s="40">
        <f t="shared" si="11"/>
        <v>7.8729256654077838E-3</v>
      </c>
      <c r="O40" s="40">
        <f t="shared" si="12"/>
        <v>-5.9402085775266582E-3</v>
      </c>
      <c r="P40" s="40">
        <f t="shared" si="13"/>
        <v>3.4271245700145075E-3</v>
      </c>
      <c r="Q40" s="40">
        <f t="shared" si="14"/>
        <v>-1.2781979492703863E-2</v>
      </c>
      <c r="R40" s="4"/>
    </row>
    <row r="41" spans="1:28" x14ac:dyDescent="0.2">
      <c r="A41" s="25">
        <v>45210</v>
      </c>
      <c r="B41" s="26">
        <v>178.88462799999999</v>
      </c>
      <c r="C41" s="26">
        <v>52.455849000000001</v>
      </c>
      <c r="D41" s="26">
        <v>143.61615</v>
      </c>
      <c r="E41" s="26">
        <v>14.087278</v>
      </c>
      <c r="F41" s="30">
        <f t="shared" si="3"/>
        <v>7.8729256654077838E-3</v>
      </c>
      <c r="G41" s="30">
        <f t="shared" si="4"/>
        <v>-5.9402085775266582E-3</v>
      </c>
      <c r="H41" s="30">
        <f t="shared" si="5"/>
        <v>3.4271245700145075E-3</v>
      </c>
      <c r="I41" s="30">
        <f t="shared" si="6"/>
        <v>-1.2781979492703863E-2</v>
      </c>
      <c r="J41" s="15">
        <f t="shared" si="7"/>
        <v>7.8420153575185989E-3</v>
      </c>
      <c r="K41" s="15">
        <f t="shared" si="8"/>
        <v>-5.9578866028838521E-3</v>
      </c>
      <c r="L41" s="15">
        <f t="shared" si="9"/>
        <v>3.4212586815620411E-3</v>
      </c>
      <c r="M41" s="15">
        <f t="shared" si="10"/>
        <v>-1.2864018158795508E-2</v>
      </c>
      <c r="N41" s="40">
        <f t="shared" si="11"/>
        <v>5.0484914715231101E-3</v>
      </c>
      <c r="O41" s="40">
        <f t="shared" si="12"/>
        <v>-1.6898605731409447E-2</v>
      </c>
      <c r="P41" s="40">
        <f t="shared" si="13"/>
        <v>-2.3292037153074849E-3</v>
      </c>
      <c r="Q41" s="40">
        <f t="shared" si="14"/>
        <v>-2.1903648579655197E-2</v>
      </c>
      <c r="R41" s="4"/>
      <c r="S41" s="22" t="s">
        <v>40</v>
      </c>
      <c r="T41" s="4"/>
    </row>
    <row r="42" spans="1:28" x14ac:dyDescent="0.2">
      <c r="A42" s="25">
        <v>45211</v>
      </c>
      <c r="B42" s="26">
        <v>179.790009</v>
      </c>
      <c r="C42" s="26">
        <v>51.576866000000003</v>
      </c>
      <c r="D42" s="26">
        <v>143.282028</v>
      </c>
      <c r="E42" s="26">
        <v>13.782069999999999</v>
      </c>
      <c r="F42" s="30">
        <f t="shared" si="3"/>
        <v>5.0484914715231101E-3</v>
      </c>
      <c r="G42" s="30">
        <f t="shared" si="4"/>
        <v>-1.6898605731409447E-2</v>
      </c>
      <c r="H42" s="30">
        <f t="shared" si="5"/>
        <v>-2.3292037153074849E-3</v>
      </c>
      <c r="I42" s="30">
        <f t="shared" si="6"/>
        <v>-2.1903648579655197E-2</v>
      </c>
      <c r="J42" s="15">
        <f t="shared" si="7"/>
        <v>5.0357692567889328E-3</v>
      </c>
      <c r="K42" s="15">
        <f t="shared" si="8"/>
        <v>-1.704219484758919E-2</v>
      </c>
      <c r="L42" s="15">
        <f t="shared" si="9"/>
        <v>-2.3319184175701912E-3</v>
      </c>
      <c r="M42" s="15">
        <f t="shared" si="10"/>
        <v>-2.2145294574762744E-2</v>
      </c>
      <c r="N42" s="40">
        <f t="shared" si="11"/>
        <v>-1.0346128156285038E-2</v>
      </c>
      <c r="O42" s="40">
        <f t="shared" si="12"/>
        <v>1.5136608826072475E-3</v>
      </c>
      <c r="P42" s="40">
        <f t="shared" si="13"/>
        <v>1.490802752612275E-2</v>
      </c>
      <c r="Q42" s="40">
        <f t="shared" si="14"/>
        <v>-6.2479325408984904E-3</v>
      </c>
      <c r="R42" s="4"/>
      <c r="S42" s="22" t="s">
        <v>38</v>
      </c>
      <c r="T42" s="33">
        <f>(T32^2)/6+(T31^2)/24</f>
        <v>0.43810351218587656</v>
      </c>
      <c r="U42" s="33">
        <f>(U32^2)/6+(U31^2)/24</f>
        <v>1.1013006813976634</v>
      </c>
      <c r="V42" s="33">
        <f>(V32^2)/6+(V31^2)/24</f>
        <v>1.8164290891832069</v>
      </c>
      <c r="W42" s="33">
        <f>(W32^2)/6+(W31^2)/24</f>
        <v>0.28879719270576099</v>
      </c>
    </row>
    <row r="43" spans="1:28" x14ac:dyDescent="0.2">
      <c r="A43" s="25">
        <v>45212</v>
      </c>
      <c r="B43" s="26">
        <v>177.93946800000001</v>
      </c>
      <c r="C43" s="26">
        <v>51.654995</v>
      </c>
      <c r="D43" s="26">
        <v>145.43408199999999</v>
      </c>
      <c r="E43" s="26">
        <v>13.696229000000001</v>
      </c>
      <c r="F43" s="30">
        <f t="shared" si="3"/>
        <v>-1.0346128156285038E-2</v>
      </c>
      <c r="G43" s="30">
        <f t="shared" si="4"/>
        <v>1.5136608826072475E-3</v>
      </c>
      <c r="H43" s="30">
        <f t="shared" si="5"/>
        <v>1.490802752612275E-2</v>
      </c>
      <c r="I43" s="30">
        <f t="shared" si="6"/>
        <v>-6.2479325408984904E-3</v>
      </c>
      <c r="J43" s="15">
        <f t="shared" si="7"/>
        <v>-1.0399834397616568E-2</v>
      </c>
      <c r="K43" s="15">
        <f t="shared" si="8"/>
        <v>1.5125158757637476E-3</v>
      </c>
      <c r="L43" s="15">
        <f t="shared" si="9"/>
        <v>1.479745304817885E-2</v>
      </c>
      <c r="M43" s="15">
        <f t="shared" si="10"/>
        <v>-6.267491584727336E-3</v>
      </c>
      <c r="N43" s="40">
        <f t="shared" si="11"/>
        <v>-7.2710133536225421E-4</v>
      </c>
      <c r="O43" s="40">
        <f t="shared" si="12"/>
        <v>1.0158067162630343E-2</v>
      </c>
      <c r="P43" s="40">
        <f t="shared" si="13"/>
        <v>-1.0140315442376808E-3</v>
      </c>
      <c r="Q43" s="40">
        <f t="shared" si="14"/>
        <v>3.47593227385585E-3</v>
      </c>
      <c r="R43" s="4"/>
      <c r="S43" s="22" t="s">
        <v>39</v>
      </c>
      <c r="T43" s="5">
        <f>CHIDIST(T42,2)</f>
        <v>0.80328014243603008</v>
      </c>
      <c r="U43" s="5">
        <f>CHIDIST(U42,2)</f>
        <v>0.57657471841961727</v>
      </c>
      <c r="V43" s="5">
        <f>CHIDIST(V42,2)</f>
        <v>0.4032435550620917</v>
      </c>
      <c r="W43" s="5">
        <f>CHIDIST(W42,2)</f>
        <v>0.86554267713739885</v>
      </c>
    </row>
    <row r="44" spans="1:28" x14ac:dyDescent="0.2">
      <c r="A44" s="25">
        <v>45215</v>
      </c>
      <c r="B44" s="26">
        <v>177.810135</v>
      </c>
      <c r="C44" s="26">
        <v>52.182383999999999</v>
      </c>
      <c r="D44" s="26">
        <v>145.28668200000001</v>
      </c>
      <c r="E44" s="26">
        <v>13.743919</v>
      </c>
      <c r="F44" s="30">
        <f t="shared" si="3"/>
        <v>-7.2710133536225421E-4</v>
      </c>
      <c r="G44" s="30">
        <f t="shared" si="4"/>
        <v>1.0158067162630343E-2</v>
      </c>
      <c r="H44" s="30">
        <f t="shared" si="5"/>
        <v>-1.0140315442376808E-3</v>
      </c>
      <c r="I44" s="30">
        <f t="shared" si="6"/>
        <v>3.47593227385585E-3</v>
      </c>
      <c r="J44" s="15">
        <f t="shared" si="7"/>
        <v>-7.2736573761671445E-4</v>
      </c>
      <c r="K44" s="15">
        <f t="shared" si="8"/>
        <v>1.0106648251256583E-2</v>
      </c>
      <c r="L44" s="15">
        <f t="shared" si="9"/>
        <v>-1.0145458480494186E-3</v>
      </c>
      <c r="M44" s="15">
        <f t="shared" si="10"/>
        <v>3.4698982146212694E-3</v>
      </c>
      <c r="N44" s="40">
        <f t="shared" si="11"/>
        <v>-8.8236168219693739E-3</v>
      </c>
      <c r="O44" s="40">
        <f t="shared" si="12"/>
        <v>1.1907236828734701E-2</v>
      </c>
      <c r="P44" s="40">
        <f t="shared" si="13"/>
        <v>-2.1668112665697982E-3</v>
      </c>
      <c r="Q44" s="40">
        <f t="shared" si="14"/>
        <v>1.1728316519177792E-2</v>
      </c>
      <c r="R44" s="4"/>
      <c r="S44" s="4"/>
      <c r="T44" s="4"/>
      <c r="U44" s="4"/>
      <c r="V44" s="4"/>
      <c r="W44" s="4"/>
      <c r="X44" s="4"/>
      <c r="Y44" s="4"/>
      <c r="Z44" s="4"/>
      <c r="AA44" s="4"/>
      <c r="AB44" s="4"/>
    </row>
    <row r="45" spans="1:28" x14ac:dyDescent="0.2">
      <c r="A45" s="25">
        <v>45216</v>
      </c>
      <c r="B45" s="26">
        <v>176.248108</v>
      </c>
      <c r="C45" s="26">
        <v>52.807445999999999</v>
      </c>
      <c r="D45" s="26">
        <v>144.97221400000001</v>
      </c>
      <c r="E45" s="26">
        <v>13.906060999999999</v>
      </c>
      <c r="F45" s="30">
        <f t="shared" si="3"/>
        <v>-8.8236168219693739E-3</v>
      </c>
      <c r="G45" s="30">
        <f t="shared" si="4"/>
        <v>1.1907236828734701E-2</v>
      </c>
      <c r="H45" s="30">
        <f t="shared" si="5"/>
        <v>-2.1668112665697982E-3</v>
      </c>
      <c r="I45" s="30">
        <f t="shared" si="6"/>
        <v>1.1728316519177792E-2</v>
      </c>
      <c r="J45" s="15">
        <f t="shared" si="7"/>
        <v>-8.8626596774587819E-3</v>
      </c>
      <c r="K45" s="15">
        <f t="shared" si="8"/>
        <v>1.1836626221234025E-2</v>
      </c>
      <c r="L45" s="15">
        <f t="shared" si="9"/>
        <v>-2.1691604985766793E-3</v>
      </c>
      <c r="M45" s="15">
        <f t="shared" si="10"/>
        <v>1.165980790678247E-2</v>
      </c>
      <c r="N45" s="40">
        <f t="shared" si="11"/>
        <v>-7.4223370429170512E-3</v>
      </c>
      <c r="O45" s="40">
        <f t="shared" si="12"/>
        <v>-3.7001627652822851E-4</v>
      </c>
      <c r="P45" s="40">
        <f t="shared" si="13"/>
        <v>-1.1041381345434621E-2</v>
      </c>
      <c r="Q45" s="40">
        <f t="shared" si="14"/>
        <v>-1.7993646801684915E-2</v>
      </c>
      <c r="R45" s="4"/>
      <c r="S45" s="4"/>
      <c r="T45" s="4"/>
      <c r="U45" s="4"/>
      <c r="V45" s="4"/>
    </row>
    <row r="46" spans="1:28" x14ac:dyDescent="0.2">
      <c r="A46" s="25">
        <v>45217</v>
      </c>
      <c r="B46" s="26">
        <v>174.94477800000001</v>
      </c>
      <c r="C46" s="26">
        <v>52.787909999999997</v>
      </c>
      <c r="D46" s="26">
        <v>143.380325</v>
      </c>
      <c r="E46" s="26">
        <v>13.658078</v>
      </c>
      <c r="F46" s="30">
        <f t="shared" si="3"/>
        <v>-7.4223370429170512E-3</v>
      </c>
      <c r="G46" s="30">
        <f t="shared" si="4"/>
        <v>-3.7001627652822851E-4</v>
      </c>
      <c r="H46" s="30">
        <f t="shared" si="5"/>
        <v>-1.1041381345434621E-2</v>
      </c>
      <c r="I46" s="30">
        <f t="shared" si="6"/>
        <v>-1.7993646801684915E-2</v>
      </c>
      <c r="J46" s="15">
        <f t="shared" si="7"/>
        <v>-7.4499508639234045E-3</v>
      </c>
      <c r="K46" s="15">
        <f t="shared" si="8"/>
        <v>-3.7008474099471298E-4</v>
      </c>
      <c r="L46" s="15">
        <f t="shared" si="9"/>
        <v>-1.1102562363420568E-2</v>
      </c>
      <c r="M46" s="15">
        <f t="shared" si="10"/>
        <v>-1.815650781903571E-2</v>
      </c>
      <c r="N46" s="40">
        <f t="shared" si="11"/>
        <v>-2.1632256780532658E-3</v>
      </c>
      <c r="O46" s="40">
        <f t="shared" si="12"/>
        <v>5.5350153172178456E-3</v>
      </c>
      <c r="P46" s="40">
        <f t="shared" si="13"/>
        <v>-4.2583678361532767E-3</v>
      </c>
      <c r="Q46" s="40">
        <f t="shared" si="14"/>
        <v>6.3577877182322051E-2</v>
      </c>
      <c r="R46" s="4"/>
      <c r="S46" s="4"/>
      <c r="T46" s="4"/>
      <c r="U46" s="4"/>
      <c r="V46" s="4"/>
    </row>
    <row r="47" spans="1:28" x14ac:dyDescent="0.2">
      <c r="A47" s="25">
        <v>45218</v>
      </c>
      <c r="B47" s="26">
        <v>174.566742</v>
      </c>
      <c r="C47" s="26">
        <v>53.080902000000002</v>
      </c>
      <c r="D47" s="26">
        <v>142.77105700000001</v>
      </c>
      <c r="E47" s="26">
        <v>14.554627999999999</v>
      </c>
      <c r="F47" s="30">
        <f t="shared" si="3"/>
        <v>-2.1632256780532658E-3</v>
      </c>
      <c r="G47" s="30">
        <f t="shared" si="4"/>
        <v>5.5350153172178456E-3</v>
      </c>
      <c r="H47" s="30">
        <f t="shared" si="5"/>
        <v>-4.2583678361532767E-3</v>
      </c>
      <c r="I47" s="30">
        <f t="shared" si="6"/>
        <v>6.3577877182322051E-2</v>
      </c>
      <c r="J47" s="15">
        <f t="shared" si="7"/>
        <v>-2.1655671387852829E-3</v>
      </c>
      <c r="K47" s="15">
        <f t="shared" si="8"/>
        <v>5.5197253430246014E-3</v>
      </c>
      <c r="L47" s="15">
        <f t="shared" si="9"/>
        <v>-4.2674475681719294E-3</v>
      </c>
      <c r="M47" s="15">
        <f t="shared" si="10"/>
        <v>6.1598963573648156E-2</v>
      </c>
      <c r="N47" s="40">
        <f t="shared" si="11"/>
        <v>-1.48134638605088E-2</v>
      </c>
      <c r="O47" s="40">
        <f t="shared" si="12"/>
        <v>4.0397446205238134E-3</v>
      </c>
      <c r="P47" s="40">
        <f t="shared" si="13"/>
        <v>-1.623677213768495E-2</v>
      </c>
      <c r="Q47" s="40">
        <f t="shared" si="14"/>
        <v>7.8330630368045693E-3</v>
      </c>
    </row>
    <row r="48" spans="1:28" x14ac:dyDescent="0.2">
      <c r="A48" s="25">
        <v>45219</v>
      </c>
      <c r="B48" s="26">
        <v>171.999863</v>
      </c>
      <c r="C48" s="26">
        <v>53.295769</v>
      </c>
      <c r="D48" s="26">
        <v>140.47163399999999</v>
      </c>
      <c r="E48" s="26">
        <v>14.669083000000001</v>
      </c>
      <c r="F48" s="30">
        <f t="shared" si="3"/>
        <v>-1.48134638605088E-2</v>
      </c>
      <c r="G48" s="30">
        <f t="shared" si="4"/>
        <v>4.0397446205238134E-3</v>
      </c>
      <c r="H48" s="30">
        <f t="shared" si="5"/>
        <v>-1.623677213768495E-2</v>
      </c>
      <c r="I48" s="30">
        <f t="shared" si="6"/>
        <v>7.8330630368045693E-3</v>
      </c>
      <c r="J48" s="15">
        <f t="shared" si="7"/>
        <v>-1.4923727003201159E-2</v>
      </c>
      <c r="K48" s="15">
        <f t="shared" si="8"/>
        <v>4.0315958289296504E-3</v>
      </c>
      <c r="L48" s="15">
        <f t="shared" si="9"/>
        <v>-1.6369304851967612E-2</v>
      </c>
      <c r="M48" s="15">
        <f t="shared" si="10"/>
        <v>7.8024645439664702E-3</v>
      </c>
      <c r="N48" s="40">
        <f t="shared" si="11"/>
        <v>6.9385280456884656E-4</v>
      </c>
      <c r="O48" s="40">
        <f t="shared" si="12"/>
        <v>-9.01984365197008E-3</v>
      </c>
      <c r="P48" s="40">
        <f t="shared" si="13"/>
        <v>-1.3735076896956099E-2</v>
      </c>
      <c r="Q48" s="40">
        <f t="shared" si="14"/>
        <v>-2.8356670761467306E-2</v>
      </c>
    </row>
    <row r="49" spans="1:17" x14ac:dyDescent="0.2">
      <c r="A49" s="25">
        <v>45222</v>
      </c>
      <c r="B49" s="26">
        <v>172.119247</v>
      </c>
      <c r="C49" s="26">
        <v>52.817211</v>
      </c>
      <c r="D49" s="26">
        <v>138.55543499999999</v>
      </c>
      <c r="E49" s="26">
        <v>14.258959000000001</v>
      </c>
      <c r="F49" s="30">
        <f t="shared" si="3"/>
        <v>6.9385280456884656E-4</v>
      </c>
      <c r="G49" s="30">
        <f t="shared" si="4"/>
        <v>-9.01984365197008E-3</v>
      </c>
      <c r="H49" s="30">
        <f t="shared" si="5"/>
        <v>-1.3735076896956099E-2</v>
      </c>
      <c r="I49" s="30">
        <f t="shared" si="6"/>
        <v>-2.8356670761467306E-2</v>
      </c>
      <c r="J49" s="15">
        <f t="shared" si="7"/>
        <v>6.9361214437567583E-4</v>
      </c>
      <c r="K49" s="15">
        <f t="shared" si="8"/>
        <v>-9.0606450234564564E-3</v>
      </c>
      <c r="L49" s="15">
        <f t="shared" si="9"/>
        <v>-1.3829836411686097E-2</v>
      </c>
      <c r="M49" s="15">
        <f t="shared" si="10"/>
        <v>-2.8762548514235833E-2</v>
      </c>
      <c r="N49" s="40">
        <f t="shared" si="11"/>
        <v>2.5402110604923374E-3</v>
      </c>
      <c r="O49" s="40">
        <f t="shared" si="12"/>
        <v>2.8437891260977562E-2</v>
      </c>
      <c r="P49" s="40">
        <f t="shared" si="13"/>
        <v>1.2049500256252955E-3</v>
      </c>
      <c r="Q49" s="40">
        <f t="shared" si="14"/>
        <v>3.8062243981015008E-2</v>
      </c>
    </row>
    <row r="50" spans="1:17" x14ac:dyDescent="0.2">
      <c r="A50" s="25">
        <v>45223</v>
      </c>
      <c r="B50" s="26">
        <v>172.55702199999999</v>
      </c>
      <c r="C50" s="26">
        <v>54.340781999999997</v>
      </c>
      <c r="D50" s="26">
        <v>138.722488</v>
      </c>
      <c r="E50" s="26">
        <v>14.812148000000001</v>
      </c>
      <c r="F50" s="30">
        <f t="shared" si="3"/>
        <v>2.5402110604923374E-3</v>
      </c>
      <c r="G50" s="30">
        <f t="shared" si="4"/>
        <v>2.8437891260977562E-2</v>
      </c>
      <c r="H50" s="30">
        <f t="shared" si="5"/>
        <v>1.2049500256252955E-3</v>
      </c>
      <c r="I50" s="30">
        <f t="shared" si="6"/>
        <v>3.8062243981015008E-2</v>
      </c>
      <c r="J50" s="15">
        <f t="shared" si="7"/>
        <v>2.5369874545006221E-3</v>
      </c>
      <c r="K50" s="15">
        <f t="shared" si="8"/>
        <v>2.8037340353327948E-2</v>
      </c>
      <c r="L50" s="15">
        <f t="shared" si="9"/>
        <v>1.2042243648341276E-3</v>
      </c>
      <c r="M50" s="15">
        <f t="shared" si="10"/>
        <v>3.7346980329929169E-2</v>
      </c>
      <c r="N50" s="40">
        <f t="shared" si="11"/>
        <v>-1.3583577722310494E-2</v>
      </c>
      <c r="O50" s="40">
        <f t="shared" si="12"/>
        <v>8.5898919565569297E-3</v>
      </c>
      <c r="P50" s="40">
        <f t="shared" si="13"/>
        <v>-5.4694749611117069E-3</v>
      </c>
      <c r="Q50" s="40">
        <f t="shared" si="14"/>
        <v>-2.2136321441816844E-2</v>
      </c>
    </row>
    <row r="51" spans="1:17" x14ac:dyDescent="0.2">
      <c r="A51" s="25">
        <v>45224</v>
      </c>
      <c r="B51" s="26">
        <v>170.228928</v>
      </c>
      <c r="C51" s="26">
        <v>54.809573999999998</v>
      </c>
      <c r="D51" s="26">
        <v>137.96582000000001</v>
      </c>
      <c r="E51" s="26">
        <v>14.487864</v>
      </c>
      <c r="F51" s="30">
        <f t="shared" si="3"/>
        <v>-1.3583577722310494E-2</v>
      </c>
      <c r="G51" s="30">
        <f t="shared" si="4"/>
        <v>8.5898919565569297E-3</v>
      </c>
      <c r="H51" s="30">
        <f t="shared" si="5"/>
        <v>-5.4694749611117069E-3</v>
      </c>
      <c r="I51" s="30">
        <f t="shared" si="6"/>
        <v>-2.2136321441816844E-2</v>
      </c>
      <c r="J51" s="15">
        <f t="shared" si="7"/>
        <v>-1.3676253662362211E-2</v>
      </c>
      <c r="K51" s="15">
        <f t="shared" si="8"/>
        <v>8.553104244159981E-3</v>
      </c>
      <c r="L51" s="15">
        <f t="shared" si="9"/>
        <v>-5.4844598466489061E-3</v>
      </c>
      <c r="M51" s="15">
        <f t="shared" si="10"/>
        <v>-2.2383147715909015E-2</v>
      </c>
      <c r="N51" s="40">
        <f t="shared" si="11"/>
        <v>-2.4913184770041188E-2</v>
      </c>
      <c r="O51" s="40">
        <f t="shared" si="12"/>
        <v>-6.0768940601561034E-3</v>
      </c>
      <c r="P51" s="40">
        <f t="shared" si="13"/>
        <v>2.5609400579485304E-3</v>
      </c>
      <c r="Q51" s="40">
        <f t="shared" si="14"/>
        <v>-4.6189215703234801E-3</v>
      </c>
    </row>
    <row r="52" spans="1:17" x14ac:dyDescent="0.2">
      <c r="A52" s="25">
        <v>45225</v>
      </c>
      <c r="B52" s="26">
        <v>166.04037500000001</v>
      </c>
      <c r="C52" s="26">
        <v>54.477511999999997</v>
      </c>
      <c r="D52" s="26">
        <v>138.31959499999999</v>
      </c>
      <c r="E52" s="26">
        <v>14.421099999999999</v>
      </c>
      <c r="F52" s="30">
        <f t="shared" si="3"/>
        <v>-2.4913184770041188E-2</v>
      </c>
      <c r="G52" s="30">
        <f t="shared" si="4"/>
        <v>-6.0768940601561034E-3</v>
      </c>
      <c r="H52" s="30">
        <f t="shared" si="5"/>
        <v>2.5609400579485304E-3</v>
      </c>
      <c r="I52" s="30">
        <f t="shared" si="6"/>
        <v>-4.6189215703234801E-3</v>
      </c>
      <c r="J52" s="15">
        <f t="shared" si="7"/>
        <v>-2.5226111420189122E-2</v>
      </c>
      <c r="K52" s="15">
        <f t="shared" si="8"/>
        <v>-6.0953958396631723E-3</v>
      </c>
      <c r="L52" s="15">
        <f t="shared" si="9"/>
        <v>2.5576636484511443E-3</v>
      </c>
      <c r="M52" s="15">
        <f t="shared" si="10"/>
        <v>-4.6296052312237582E-3</v>
      </c>
      <c r="N52" s="40">
        <f t="shared" si="11"/>
        <v>7.9376258370334254E-3</v>
      </c>
      <c r="O52" s="40">
        <f t="shared" si="12"/>
        <v>-9.7279469304567372E-3</v>
      </c>
      <c r="P52" s="40">
        <f t="shared" si="13"/>
        <v>-3.6683337928199083E-2</v>
      </c>
      <c r="Q52" s="40">
        <f t="shared" si="14"/>
        <v>-2.0040684628752883E-2</v>
      </c>
    </row>
    <row r="53" spans="1:17" x14ac:dyDescent="0.2">
      <c r="A53" s="25">
        <v>45226</v>
      </c>
      <c r="B53" s="26">
        <v>167.363586</v>
      </c>
      <c r="C53" s="26">
        <v>53.950127000000002</v>
      </c>
      <c r="D53" s="26">
        <v>133.33750900000001</v>
      </c>
      <c r="E53" s="26">
        <v>14.134968000000001</v>
      </c>
      <c r="F53" s="30">
        <f t="shared" si="3"/>
        <v>7.9376258370334254E-3</v>
      </c>
      <c r="G53" s="30">
        <f t="shared" si="4"/>
        <v>-9.7279469304567372E-3</v>
      </c>
      <c r="H53" s="30">
        <f t="shared" si="5"/>
        <v>-3.6683337928199083E-2</v>
      </c>
      <c r="I53" s="30">
        <f t="shared" si="6"/>
        <v>-2.0040684628752883E-2</v>
      </c>
      <c r="J53" s="15">
        <f t="shared" si="7"/>
        <v>7.9062060728071776E-3</v>
      </c>
      <c r="K53" s="15">
        <f t="shared" si="8"/>
        <v>-9.7754172107879424E-3</v>
      </c>
      <c r="L53" s="15">
        <f t="shared" si="9"/>
        <v>-3.7364474838059117E-2</v>
      </c>
      <c r="M53" s="15">
        <f t="shared" si="10"/>
        <v>-2.0242847383877945E-2</v>
      </c>
      <c r="N53" s="40">
        <f t="shared" si="11"/>
        <v>1.2230145391432332E-2</v>
      </c>
      <c r="O53" s="40">
        <f t="shared" si="12"/>
        <v>1.6339294527615768E-2</v>
      </c>
      <c r="P53" s="40">
        <f t="shared" si="13"/>
        <v>1.26689866257148E-2</v>
      </c>
      <c r="Q53" s="40">
        <f t="shared" si="14"/>
        <v>2.9257291384540907E-2</v>
      </c>
    </row>
    <row r="54" spans="1:17" x14ac:dyDescent="0.2">
      <c r="A54" s="25">
        <v>45229</v>
      </c>
      <c r="B54" s="26">
        <v>169.423035</v>
      </c>
      <c r="C54" s="26">
        <v>54.838875000000002</v>
      </c>
      <c r="D54" s="26">
        <v>135.03750600000001</v>
      </c>
      <c r="E54" s="26">
        <v>14.554627999999999</v>
      </c>
      <c r="F54" s="30">
        <f t="shared" si="3"/>
        <v>1.2230145391432332E-2</v>
      </c>
      <c r="G54" s="30">
        <f t="shared" si="4"/>
        <v>1.6339294527615768E-2</v>
      </c>
      <c r="H54" s="30">
        <f t="shared" si="5"/>
        <v>1.26689866257148E-2</v>
      </c>
      <c r="I54" s="30">
        <f t="shared" si="6"/>
        <v>2.9257291384540907E-2</v>
      </c>
      <c r="J54" s="15">
        <f t="shared" si="7"/>
        <v>1.2155661123648274E-2</v>
      </c>
      <c r="K54" s="15">
        <f t="shared" si="8"/>
        <v>1.6206532318542268E-2</v>
      </c>
      <c r="L54" s="15">
        <f t="shared" si="9"/>
        <v>1.25890728461765E-2</v>
      </c>
      <c r="M54" s="15">
        <f t="shared" si="10"/>
        <v>2.883344046993153E-2</v>
      </c>
      <c r="N54" s="40">
        <f t="shared" si="11"/>
        <v>2.8148308012558494E-3</v>
      </c>
      <c r="O54" s="40">
        <f t="shared" si="12"/>
        <v>6.0369707476601144E-3</v>
      </c>
      <c r="P54" s="40">
        <f t="shared" si="13"/>
        <v>1.1863603111821981E-2</v>
      </c>
      <c r="Q54" s="40">
        <f t="shared" si="14"/>
        <v>9.1325041752728462E-3</v>
      </c>
    </row>
    <row r="55" spans="1:17" x14ac:dyDescent="0.2">
      <c r="A55" s="25">
        <v>45230</v>
      </c>
      <c r="B55" s="26">
        <v>169.90060399999999</v>
      </c>
      <c r="C55" s="26">
        <v>55.170937000000002</v>
      </c>
      <c r="D55" s="26">
        <v>136.649078</v>
      </c>
      <c r="E55" s="26">
        <v>14.688157</v>
      </c>
      <c r="F55" s="30">
        <f t="shared" si="3"/>
        <v>2.8148308012558494E-3</v>
      </c>
      <c r="G55" s="30">
        <f t="shared" si="4"/>
        <v>6.0369707476601144E-3</v>
      </c>
      <c r="H55" s="30">
        <f t="shared" si="5"/>
        <v>1.1863603111821981E-2</v>
      </c>
      <c r="I55" s="30">
        <f t="shared" si="6"/>
        <v>9.1325041752728462E-3</v>
      </c>
      <c r="J55" s="15">
        <f t="shared" si="7"/>
        <v>2.8108728795336619E-3</v>
      </c>
      <c r="K55" s="15">
        <f t="shared" si="8"/>
        <v>6.01878485406185E-3</v>
      </c>
      <c r="L55" s="15">
        <f t="shared" si="9"/>
        <v>1.1793508039622451E-2</v>
      </c>
      <c r="M55" s="15">
        <f t="shared" si="10"/>
        <v>9.0909295155274499E-3</v>
      </c>
      <c r="N55" s="40">
        <f t="shared" si="11"/>
        <v>1.8565290897534802E-2</v>
      </c>
      <c r="O55" s="40">
        <f t="shared" si="12"/>
        <v>-8.8556819319023528E-4</v>
      </c>
      <c r="P55" s="40">
        <f t="shared" si="13"/>
        <v>-8.6331287395108823E-4</v>
      </c>
      <c r="Q55" s="40">
        <f t="shared" si="14"/>
        <v>1.1620614661695866E-2</v>
      </c>
    </row>
    <row r="56" spans="1:17" x14ac:dyDescent="0.2">
      <c r="A56" s="25">
        <v>45231</v>
      </c>
      <c r="B56" s="26">
        <v>173.08431999999999</v>
      </c>
      <c r="C56" s="26">
        <v>55.122101000000001</v>
      </c>
      <c r="D56" s="26">
        <v>136.531158</v>
      </c>
      <c r="E56" s="26">
        <v>14.859838</v>
      </c>
      <c r="F56" s="30">
        <f t="shared" si="3"/>
        <v>1.8565290897534802E-2</v>
      </c>
      <c r="G56" s="30">
        <f t="shared" si="4"/>
        <v>-8.8556819319023528E-4</v>
      </c>
      <c r="H56" s="30">
        <f t="shared" si="5"/>
        <v>-8.6331287395108823E-4</v>
      </c>
      <c r="I56" s="30">
        <f t="shared" si="6"/>
        <v>1.1620614661695866E-2</v>
      </c>
      <c r="J56" s="15">
        <f t="shared" si="7"/>
        <v>1.8394017436125953E-2</v>
      </c>
      <c r="K56" s="15">
        <f t="shared" si="8"/>
        <v>-8.8596042447658938E-4</v>
      </c>
      <c r="L56" s="15">
        <f t="shared" si="9"/>
        <v>-8.636856357725906E-4</v>
      </c>
      <c r="M56" s="15">
        <f t="shared" si="10"/>
        <v>1.1553356099844394E-2</v>
      </c>
      <c r="N56" s="40">
        <f t="shared" si="11"/>
        <v>2.0482069684558096E-2</v>
      </c>
      <c r="O56" s="40">
        <f t="shared" si="12"/>
        <v>1.1450857122828546E-2</v>
      </c>
      <c r="P56" s="40">
        <f t="shared" si="13"/>
        <v>1.7691845912209535E-2</v>
      </c>
      <c r="Q56" s="40">
        <f t="shared" si="14"/>
        <v>9.581644883623272E-3</v>
      </c>
    </row>
    <row r="57" spans="1:17" x14ac:dyDescent="0.2">
      <c r="A57" s="25">
        <v>45232</v>
      </c>
      <c r="B57" s="26">
        <v>176.666</v>
      </c>
      <c r="C57" s="26">
        <v>55.756923999999998</v>
      </c>
      <c r="D57" s="26">
        <v>138.96814000000001</v>
      </c>
      <c r="E57" s="26">
        <v>15.002903999999999</v>
      </c>
      <c r="F57" s="30">
        <f t="shared" si="3"/>
        <v>2.0482069684558096E-2</v>
      </c>
      <c r="G57" s="30">
        <f t="shared" si="4"/>
        <v>1.1450857122828546E-2</v>
      </c>
      <c r="H57" s="30">
        <f t="shared" si="5"/>
        <v>1.7691845912209535E-2</v>
      </c>
      <c r="I57" s="30">
        <f t="shared" si="6"/>
        <v>9.581644883623272E-3</v>
      </c>
      <c r="J57" s="15">
        <f t="shared" si="7"/>
        <v>2.0273736882026001E-2</v>
      </c>
      <c r="K57" s="15">
        <f t="shared" si="8"/>
        <v>1.138554558712739E-2</v>
      </c>
      <c r="L57" s="15">
        <f t="shared" si="9"/>
        <v>1.7536264067433013E-2</v>
      </c>
      <c r="M57" s="15">
        <f t="shared" si="10"/>
        <v>9.5358871855741566E-3</v>
      </c>
      <c r="N57" s="40">
        <f t="shared" si="11"/>
        <v>-5.1946810275440517E-3</v>
      </c>
      <c r="O57" s="40">
        <f t="shared" si="12"/>
        <v>-6.1495523287532295E-3</v>
      </c>
      <c r="P57" s="40">
        <f t="shared" si="13"/>
        <v>1.1110587455196269E-2</v>
      </c>
      <c r="Q57" s="40">
        <f t="shared" si="14"/>
        <v>9.4907076045383631E-3</v>
      </c>
    </row>
    <row r="58" spans="1:17" x14ac:dyDescent="0.2">
      <c r="A58" s="25">
        <v>45233</v>
      </c>
      <c r="B58" s="26">
        <v>175.75065599999999</v>
      </c>
      <c r="C58" s="26">
        <v>55.415095999999998</v>
      </c>
      <c r="D58" s="26">
        <v>140.52076700000001</v>
      </c>
      <c r="E58" s="26">
        <v>15.14597</v>
      </c>
      <c r="F58" s="30">
        <f t="shared" si="3"/>
        <v>-5.1946810275440517E-3</v>
      </c>
      <c r="G58" s="30">
        <f t="shared" si="4"/>
        <v>-6.1495523287532295E-3</v>
      </c>
      <c r="H58" s="30">
        <f t="shared" si="5"/>
        <v>1.1110587455196269E-2</v>
      </c>
      <c r="I58" s="30">
        <f t="shared" si="6"/>
        <v>9.4907076045383631E-3</v>
      </c>
      <c r="J58" s="15">
        <f t="shared" si="7"/>
        <v>-5.2081967762328272E-3</v>
      </c>
      <c r="K58" s="15">
        <f t="shared" si="8"/>
        <v>-6.16849964493429E-3</v>
      </c>
      <c r="L58" s="15">
        <f t="shared" si="9"/>
        <v>1.1049092836221148E-2</v>
      </c>
      <c r="M58" s="15">
        <f t="shared" si="10"/>
        <v>9.4458129786339877E-3</v>
      </c>
      <c r="N58" s="40">
        <f t="shared" si="11"/>
        <v>1.44996022601437E-2</v>
      </c>
      <c r="O58" s="40">
        <f t="shared" si="12"/>
        <v>4.0454488376433064E-3</v>
      </c>
      <c r="P58" s="40">
        <f t="shared" si="13"/>
        <v>7.5241008178584595E-3</v>
      </c>
      <c r="Q58" s="40">
        <f t="shared" si="14"/>
        <v>-8.2201612246451568E-3</v>
      </c>
    </row>
    <row r="59" spans="1:17" x14ac:dyDescent="0.2">
      <c r="A59" s="25">
        <v>45236</v>
      </c>
      <c r="B59" s="26">
        <v>178.31753499999999</v>
      </c>
      <c r="C59" s="26">
        <v>55.639729000000003</v>
      </c>
      <c r="D59" s="26">
        <v>141.58204699999999</v>
      </c>
      <c r="E59" s="26">
        <v>15.021978000000001</v>
      </c>
      <c r="F59" s="30">
        <f t="shared" si="3"/>
        <v>1.44996022601437E-2</v>
      </c>
      <c r="G59" s="30">
        <f t="shared" si="4"/>
        <v>4.0454488376433064E-3</v>
      </c>
      <c r="H59" s="30">
        <f t="shared" si="5"/>
        <v>7.5241008178584595E-3</v>
      </c>
      <c r="I59" s="30">
        <f t="shared" si="6"/>
        <v>-8.2201612246451568E-3</v>
      </c>
      <c r="J59" s="15">
        <f t="shared" si="7"/>
        <v>1.4394989253300301E-2</v>
      </c>
      <c r="K59" s="15">
        <f t="shared" si="8"/>
        <v>4.0372770327476663E-3</v>
      </c>
      <c r="L59" s="15">
        <f t="shared" si="9"/>
        <v>7.4958656304777282E-3</v>
      </c>
      <c r="M59" s="15">
        <f t="shared" si="10"/>
        <v>-8.2540395146364492E-3</v>
      </c>
      <c r="N59" s="40">
        <f t="shared" si="11"/>
        <v>1.4347282613426004E-2</v>
      </c>
      <c r="O59" s="40">
        <f t="shared" si="12"/>
        <v>3.6793121473435051E-3</v>
      </c>
      <c r="P59" s="40">
        <f t="shared" si="13"/>
        <v>-4.8618261899616047E-4</v>
      </c>
      <c r="Q59" s="40">
        <f t="shared" si="14"/>
        <v>5.6981618175608508E-3</v>
      </c>
    </row>
    <row r="60" spans="1:17" x14ac:dyDescent="0.2">
      <c r="A60" s="25">
        <v>45237</v>
      </c>
      <c r="B60" s="26">
        <v>180.89434800000001</v>
      </c>
      <c r="C60" s="26">
        <v>55.844822000000001</v>
      </c>
      <c r="D60" s="26">
        <v>141.513229</v>
      </c>
      <c r="E60" s="26">
        <v>15.10782</v>
      </c>
      <c r="F60" s="30">
        <f t="shared" si="3"/>
        <v>1.4347282613426004E-2</v>
      </c>
      <c r="G60" s="30">
        <f t="shared" si="4"/>
        <v>3.6793121473435051E-3</v>
      </c>
      <c r="H60" s="30">
        <f t="shared" si="5"/>
        <v>-4.8618261899616047E-4</v>
      </c>
      <c r="I60" s="30">
        <f t="shared" si="6"/>
        <v>5.6981618175608508E-3</v>
      </c>
      <c r="J60" s="15">
        <f t="shared" si="7"/>
        <v>1.4244850812033196E-2</v>
      </c>
      <c r="K60" s="15">
        <f t="shared" si="8"/>
        <v>3.6725517721230799E-3</v>
      </c>
      <c r="L60" s="15">
        <f t="shared" si="9"/>
        <v>-4.8630082492141541E-4</v>
      </c>
      <c r="M60" s="15">
        <f t="shared" si="10"/>
        <v>5.6819580852829543E-3</v>
      </c>
      <c r="N60" s="40">
        <f t="shared" si="11"/>
        <v>5.8675683603629037E-3</v>
      </c>
      <c r="O60" s="40">
        <f t="shared" si="12"/>
        <v>-1.5752086562333767E-3</v>
      </c>
      <c r="P60" s="40">
        <f t="shared" si="13"/>
        <v>4.9183358399554396E-3</v>
      </c>
      <c r="Q60" s="40">
        <f t="shared" si="14"/>
        <v>-1.2067567354175589E-2</v>
      </c>
    </row>
    <row r="61" spans="1:17" x14ac:dyDescent="0.2">
      <c r="A61" s="25">
        <v>45238</v>
      </c>
      <c r="B61" s="26">
        <v>181.958878</v>
      </c>
      <c r="C61" s="26">
        <v>55.756923999999998</v>
      </c>
      <c r="D61" s="26">
        <v>142.21095299999999</v>
      </c>
      <c r="E61" s="26">
        <v>14.926601</v>
      </c>
      <c r="F61" s="30">
        <f t="shared" si="3"/>
        <v>5.8675683603629037E-3</v>
      </c>
      <c r="G61" s="30">
        <f t="shared" si="4"/>
        <v>-1.5752086562333767E-3</v>
      </c>
      <c r="H61" s="30">
        <f t="shared" si="5"/>
        <v>4.9183358399554396E-3</v>
      </c>
      <c r="I61" s="30">
        <f t="shared" si="6"/>
        <v>-1.2067567354175589E-2</v>
      </c>
      <c r="J61" s="15">
        <f t="shared" si="7"/>
        <v>5.8503878002588621E-3</v>
      </c>
      <c r="K61" s="15">
        <f t="shared" si="8"/>
        <v>-1.5764499490682573E-3</v>
      </c>
      <c r="L61" s="15">
        <f t="shared" si="9"/>
        <v>4.9062606309936887E-3</v>
      </c>
      <c r="M61" s="15">
        <f t="shared" si="10"/>
        <v>-1.2140674223153715E-2</v>
      </c>
      <c r="N61" s="40">
        <f t="shared" si="11"/>
        <v>-2.6278835003809412E-3</v>
      </c>
      <c r="O61" s="40">
        <f t="shared" si="12"/>
        <v>-7.5604337307585206E-3</v>
      </c>
      <c r="P61" s="40">
        <f t="shared" si="13"/>
        <v>-2.9757978020443572E-3</v>
      </c>
      <c r="Q61" s="40">
        <f t="shared" si="14"/>
        <v>-1.2787371052778911E-3</v>
      </c>
    </row>
    <row r="62" spans="1:17" x14ac:dyDescent="0.2">
      <c r="A62" s="25">
        <v>45239</v>
      </c>
      <c r="B62" s="26">
        <v>181.48133899999999</v>
      </c>
      <c r="C62" s="26">
        <v>55.336967000000001</v>
      </c>
      <c r="D62" s="26">
        <v>141.78839099999999</v>
      </c>
      <c r="E62" s="26">
        <v>14.907526000000001</v>
      </c>
      <c r="F62" s="30">
        <f t="shared" si="3"/>
        <v>-2.6278835003809412E-3</v>
      </c>
      <c r="G62" s="30">
        <f t="shared" si="4"/>
        <v>-7.5604337307585206E-3</v>
      </c>
      <c r="H62" s="30">
        <f t="shared" si="5"/>
        <v>-2.9757978020443572E-3</v>
      </c>
      <c r="I62" s="30">
        <f t="shared" si="6"/>
        <v>-1.2787371052778911E-3</v>
      </c>
      <c r="J62" s="15">
        <f t="shared" si="7"/>
        <v>-2.6313394128087589E-3</v>
      </c>
      <c r="K62" s="15">
        <f t="shared" si="8"/>
        <v>-7.5890859721313708E-3</v>
      </c>
      <c r="L62" s="15">
        <f t="shared" si="9"/>
        <v>-2.9802298835593616E-3</v>
      </c>
      <c r="M62" s="15">
        <f t="shared" si="10"/>
        <v>-1.2795550381732733E-3</v>
      </c>
      <c r="N62" s="40">
        <f t="shared" si="11"/>
        <v>2.2954556969230551E-2</v>
      </c>
      <c r="O62" s="40">
        <f t="shared" si="12"/>
        <v>1.0583701900695479E-3</v>
      </c>
      <c r="P62" s="40">
        <f t="shared" si="13"/>
        <v>1.4722279452399911E-2</v>
      </c>
      <c r="Q62" s="40">
        <f t="shared" si="14"/>
        <v>6.3967350467703291E-4</v>
      </c>
    </row>
    <row r="63" spans="1:17" x14ac:dyDescent="0.2">
      <c r="A63" s="25">
        <v>45240</v>
      </c>
      <c r="B63" s="26">
        <v>185.69534300000001</v>
      </c>
      <c r="C63" s="26">
        <v>55.395564999999998</v>
      </c>
      <c r="D63" s="26">
        <v>143.89128099999999</v>
      </c>
      <c r="E63" s="26">
        <v>14.917064999999999</v>
      </c>
      <c r="F63" s="30">
        <f t="shared" si="3"/>
        <v>2.2954556969230551E-2</v>
      </c>
      <c r="G63" s="30">
        <f t="shared" si="4"/>
        <v>1.0583701900695479E-3</v>
      </c>
      <c r="H63" s="30">
        <f t="shared" si="5"/>
        <v>1.4722279452399911E-2</v>
      </c>
      <c r="I63" s="30">
        <f t="shared" si="6"/>
        <v>6.3967350467703291E-4</v>
      </c>
      <c r="J63" s="15">
        <f t="shared" si="7"/>
        <v>2.2693105448530374E-2</v>
      </c>
      <c r="K63" s="15">
        <f t="shared" si="8"/>
        <v>1.0578103138761447E-3</v>
      </c>
      <c r="L63" s="15">
        <f t="shared" si="9"/>
        <v>1.4614436575903458E-2</v>
      </c>
      <c r="M63" s="15">
        <f t="shared" si="10"/>
        <v>6.3946895719757275E-4</v>
      </c>
      <c r="N63" s="40">
        <f t="shared" si="11"/>
        <v>-8.6207243473615386E-3</v>
      </c>
      <c r="O63" s="40">
        <f t="shared" si="12"/>
        <v>3.6955712633663846E-3</v>
      </c>
      <c r="P63" s="40">
        <f t="shared" si="13"/>
        <v>-4.4488788474790633E-3</v>
      </c>
      <c r="Q63" s="40">
        <f t="shared" si="14"/>
        <v>-3.8437221263010121E-3</v>
      </c>
    </row>
    <row r="64" spans="1:17" x14ac:dyDescent="0.2">
      <c r="A64" s="25">
        <v>45243</v>
      </c>
      <c r="B64" s="26">
        <v>184.101395</v>
      </c>
      <c r="C64" s="26">
        <v>55.600662</v>
      </c>
      <c r="D64" s="26">
        <v>143.25254799999999</v>
      </c>
      <c r="E64" s="26">
        <v>14.859838</v>
      </c>
      <c r="F64" s="30">
        <f t="shared" si="3"/>
        <v>-8.6207243473615386E-3</v>
      </c>
      <c r="G64" s="30">
        <f t="shared" si="4"/>
        <v>3.6955712633663846E-3</v>
      </c>
      <c r="H64" s="30">
        <f t="shared" si="5"/>
        <v>-4.4488788474790633E-3</v>
      </c>
      <c r="I64" s="30">
        <f t="shared" si="6"/>
        <v>-3.8437221263010121E-3</v>
      </c>
      <c r="J64" s="15">
        <f t="shared" si="7"/>
        <v>-8.6579897995884923E-3</v>
      </c>
      <c r="K64" s="15">
        <f t="shared" si="8"/>
        <v>3.6887510440073911E-3</v>
      </c>
      <c r="L64" s="15">
        <f t="shared" si="9"/>
        <v>-4.4587898010721742E-3</v>
      </c>
      <c r="M64" s="15">
        <f t="shared" si="10"/>
        <v>-3.8511186999480918E-3</v>
      </c>
      <c r="N64" s="40">
        <f t="shared" si="11"/>
        <v>1.4184635374476782E-2</v>
      </c>
      <c r="O64" s="40">
        <f t="shared" si="12"/>
        <v>2.981612142296002E-3</v>
      </c>
      <c r="P64" s="40">
        <f t="shared" si="13"/>
        <v>1.8082265985749042E-2</v>
      </c>
      <c r="Q64" s="40">
        <f t="shared" si="14"/>
        <v>3.2040486216239152E-3</v>
      </c>
    </row>
    <row r="65" spans="1:17" x14ac:dyDescent="0.2">
      <c r="A65" s="25">
        <v>45244</v>
      </c>
      <c r="B65" s="26">
        <v>186.731415</v>
      </c>
      <c r="C65" s="26">
        <v>55.766689</v>
      </c>
      <c r="D65" s="26">
        <v>145.86644000000001</v>
      </c>
      <c r="E65" s="26">
        <v>14.907526000000001</v>
      </c>
      <c r="F65" s="30">
        <f t="shared" si="3"/>
        <v>1.4184635374476782E-2</v>
      </c>
      <c r="G65" s="30">
        <f t="shared" si="4"/>
        <v>2.981612142296002E-3</v>
      </c>
      <c r="H65" s="30">
        <f t="shared" si="5"/>
        <v>1.8082265985749042E-2</v>
      </c>
      <c r="I65" s="30">
        <f t="shared" si="6"/>
        <v>3.2040486216239152E-3</v>
      </c>
      <c r="J65" s="15">
        <f t="shared" si="7"/>
        <v>1.4084507419386298E-2</v>
      </c>
      <c r="K65" s="15">
        <f t="shared" si="8"/>
        <v>2.9771715512821591E-3</v>
      </c>
      <c r="L65" s="15">
        <f t="shared" si="9"/>
        <v>1.7919762763799685E-2</v>
      </c>
      <c r="M65" s="15">
        <f t="shared" si="10"/>
        <v>3.1989211355392465E-3</v>
      </c>
      <c r="N65" s="40">
        <f t="shared" si="11"/>
        <v>3.0363308776654089E-3</v>
      </c>
      <c r="O65" s="40">
        <f t="shared" si="12"/>
        <v>1.9246372583412658E-3</v>
      </c>
      <c r="P65" s="40">
        <f t="shared" si="13"/>
        <v>8.7197537313942614E-3</v>
      </c>
      <c r="Q65" s="40">
        <f t="shared" si="14"/>
        <v>8.2829440398884853E-3</v>
      </c>
    </row>
    <row r="66" spans="1:17" x14ac:dyDescent="0.2">
      <c r="A66" s="25">
        <v>45245</v>
      </c>
      <c r="B66" s="26">
        <v>187.29925499999999</v>
      </c>
      <c r="C66" s="26">
        <v>55.874122999999997</v>
      </c>
      <c r="D66" s="26">
        <v>147.14392100000001</v>
      </c>
      <c r="E66" s="26">
        <v>15.031516999999999</v>
      </c>
      <c r="F66" s="30">
        <f t="shared" si="3"/>
        <v>3.0363308776654089E-3</v>
      </c>
      <c r="G66" s="30">
        <f t="shared" si="4"/>
        <v>1.9246372583412658E-3</v>
      </c>
      <c r="H66" s="30">
        <f t="shared" si="5"/>
        <v>8.7197537313942614E-3</v>
      </c>
      <c r="I66" s="30">
        <f t="shared" si="6"/>
        <v>8.2829440398884853E-3</v>
      </c>
      <c r="J66" s="15">
        <f t="shared" si="7"/>
        <v>3.0317258870036067E-3</v>
      </c>
      <c r="K66" s="15">
        <f t="shared" si="8"/>
        <v>1.9227863316977308E-3</v>
      </c>
      <c r="L66" s="15">
        <f t="shared" si="9"/>
        <v>8.6818469381415662E-3</v>
      </c>
      <c r="M66" s="15">
        <f t="shared" si="10"/>
        <v>8.2487349746534835E-3</v>
      </c>
      <c r="N66" s="40">
        <f t="shared" si="11"/>
        <v>9.0015200429287429E-3</v>
      </c>
      <c r="O66" s="40">
        <f t="shared" si="12"/>
        <v>-1.0493722296692307E-3</v>
      </c>
      <c r="P66" s="40">
        <f t="shared" si="13"/>
        <v>1.1355018101563337E-2</v>
      </c>
      <c r="Q66" s="40">
        <f t="shared" si="14"/>
        <v>7.5853598266493183E-3</v>
      </c>
    </row>
    <row r="67" spans="1:17" x14ac:dyDescent="0.2">
      <c r="A67" s="25">
        <v>45246</v>
      </c>
      <c r="B67" s="26">
        <v>188.99284399999999</v>
      </c>
      <c r="C67" s="26">
        <v>55.815520999999997</v>
      </c>
      <c r="D67" s="26">
        <v>148.824265</v>
      </c>
      <c r="E67" s="26">
        <v>15.14597</v>
      </c>
      <c r="F67" s="30">
        <f t="shared" si="3"/>
        <v>9.0015200429287429E-3</v>
      </c>
      <c r="G67" s="30">
        <f t="shared" si="4"/>
        <v>-1.0493722296692307E-3</v>
      </c>
      <c r="H67" s="30">
        <f t="shared" si="5"/>
        <v>1.1355018101563337E-2</v>
      </c>
      <c r="I67" s="30">
        <f t="shared" si="6"/>
        <v>7.5853598266493183E-3</v>
      </c>
      <c r="J67" s="15">
        <f t="shared" si="7"/>
        <v>8.9611276498913518E-3</v>
      </c>
      <c r="K67" s="15">
        <f t="shared" si="8"/>
        <v>-1.0499230133496468E-3</v>
      </c>
      <c r="L67" s="15">
        <f t="shared" si="9"/>
        <v>1.1290793204992417E-2</v>
      </c>
      <c r="M67" s="15">
        <f t="shared" si="10"/>
        <v>7.5566635877399087E-3</v>
      </c>
      <c r="N67" s="40">
        <f t="shared" si="11"/>
        <v>-1.0544870529251719E-4</v>
      </c>
      <c r="O67" s="40">
        <f t="shared" si="12"/>
        <v>1.9229550455904989E-3</v>
      </c>
      <c r="P67" s="40">
        <f t="shared" si="13"/>
        <v>9.0052481102475771E-3</v>
      </c>
      <c r="Q67" s="40">
        <f t="shared" si="14"/>
        <v>1.2586844676198644E-3</v>
      </c>
    </row>
    <row r="68" spans="1:17" x14ac:dyDescent="0.2">
      <c r="A68" s="25">
        <v>45247</v>
      </c>
      <c r="B68" s="26">
        <v>188.972916</v>
      </c>
      <c r="C68" s="26">
        <v>55.922955000000002</v>
      </c>
      <c r="D68" s="26">
        <v>150.17051699999999</v>
      </c>
      <c r="E68" s="26">
        <v>15.165046</v>
      </c>
      <c r="F68" s="30">
        <f t="shared" ref="F68:F131" si="15">LN(B68/B67)</f>
        <v>-1.0544870529251719E-4</v>
      </c>
      <c r="G68" s="30">
        <f t="shared" ref="G68:G131" si="16">LN(C68/C67)</f>
        <v>1.9229550455904989E-3</v>
      </c>
      <c r="H68" s="30">
        <f t="shared" ref="H68:H131" si="17">LN(D68/D67)</f>
        <v>9.0052481102475771E-3</v>
      </c>
      <c r="I68" s="30">
        <f t="shared" ref="I68:I131" si="18">LN(E68/E67)</f>
        <v>1.2586844676198644E-3</v>
      </c>
      <c r="J68" s="15">
        <f t="shared" ref="J68:J131" si="19">(B68-B67)/B68</f>
        <v>-1.05454265202708E-4</v>
      </c>
      <c r="K68" s="15">
        <f t="shared" ref="K68:K131" si="20">(C68-C67)/C68</f>
        <v>1.9211073520704496E-3</v>
      </c>
      <c r="L68" s="15">
        <f t="shared" ref="L68:L131" si="21">(D68-D67)/D68</f>
        <v>8.964822302636094E-3</v>
      </c>
      <c r="M68" s="15">
        <f t="shared" ref="M68:M131" si="22">(E68-E67)/E68</f>
        <v>1.2578926565735503E-3</v>
      </c>
      <c r="N68" s="40">
        <f t="shared" ref="N68:N131" si="23">F69</f>
        <v>9.2354873918627962E-3</v>
      </c>
      <c r="O68" s="40">
        <f t="shared" ref="O68:O131" si="24">G69</f>
        <v>2.4420582166783792E-3</v>
      </c>
      <c r="P68" s="40">
        <f t="shared" ref="P68:P131" si="25">H69</f>
        <v>3.0707044771690309E-3</v>
      </c>
      <c r="Q68" s="40">
        <f t="shared" ref="Q68:Q131" si="26">I69</f>
        <v>1.250014351434138E-2</v>
      </c>
    </row>
    <row r="69" spans="1:17" x14ac:dyDescent="0.2">
      <c r="A69" s="25">
        <v>45250</v>
      </c>
      <c r="B69" s="26">
        <v>190.726257</v>
      </c>
      <c r="C69" s="26">
        <v>56.059688999999999</v>
      </c>
      <c r="D69" s="26">
        <v>150.63235499999999</v>
      </c>
      <c r="E69" s="26">
        <v>15.355801</v>
      </c>
      <c r="F69" s="30">
        <f t="shared" si="15"/>
        <v>9.2354873918627962E-3</v>
      </c>
      <c r="G69" s="30">
        <f t="shared" si="16"/>
        <v>2.4420582166783792E-3</v>
      </c>
      <c r="H69" s="30">
        <f t="shared" si="17"/>
        <v>3.0707044771690309E-3</v>
      </c>
      <c r="I69" s="30">
        <f t="shared" si="18"/>
        <v>1.250014351434138E-2</v>
      </c>
      <c r="J69" s="15">
        <f t="shared" si="19"/>
        <v>9.1929712645700684E-3</v>
      </c>
      <c r="K69" s="15">
        <f t="shared" si="20"/>
        <v>2.4390788182930704E-3</v>
      </c>
      <c r="L69" s="15">
        <f t="shared" si="21"/>
        <v>3.0659946862013824E-3</v>
      </c>
      <c r="M69" s="15">
        <f t="shared" si="22"/>
        <v>1.2422341237685963E-2</v>
      </c>
      <c r="N69" s="40">
        <f t="shared" si="23"/>
        <v>-4.2398033377747738E-3</v>
      </c>
      <c r="O69" s="40">
        <f t="shared" si="24"/>
        <v>1.0915721899237774E-2</v>
      </c>
      <c r="P69" s="40">
        <f t="shared" si="25"/>
        <v>-2.089635023942204E-3</v>
      </c>
      <c r="Q69" s="40">
        <f t="shared" si="26"/>
        <v>5.5745681417839043E-3</v>
      </c>
    </row>
    <row r="70" spans="1:17" x14ac:dyDescent="0.2">
      <c r="A70" s="25">
        <v>45251</v>
      </c>
      <c r="B70" s="26">
        <v>189.91932700000001</v>
      </c>
      <c r="C70" s="26">
        <v>56.674973000000001</v>
      </c>
      <c r="D70" s="26">
        <v>150.31791699999999</v>
      </c>
      <c r="E70" s="26">
        <v>15.441642</v>
      </c>
      <c r="F70" s="30">
        <f t="shared" si="15"/>
        <v>-4.2398033377747738E-3</v>
      </c>
      <c r="G70" s="30">
        <f t="shared" si="16"/>
        <v>1.0915721899237774E-2</v>
      </c>
      <c r="H70" s="30">
        <f t="shared" si="17"/>
        <v>-2.089635023942204E-3</v>
      </c>
      <c r="I70" s="30">
        <f t="shared" si="18"/>
        <v>5.5745681417839043E-3</v>
      </c>
      <c r="J70" s="15">
        <f t="shared" si="19"/>
        <v>-4.2488040198246603E-3</v>
      </c>
      <c r="K70" s="15">
        <f t="shared" si="20"/>
        <v>1.0856361590150252E-2</v>
      </c>
      <c r="L70" s="15">
        <f t="shared" si="21"/>
        <v>-2.0918198327614904E-3</v>
      </c>
      <c r="M70" s="15">
        <f t="shared" si="22"/>
        <v>5.5590590689772682E-3</v>
      </c>
      <c r="N70" s="40">
        <f t="shared" si="23"/>
        <v>3.5083046042034536E-3</v>
      </c>
      <c r="O70" s="40">
        <f t="shared" si="24"/>
        <v>6.698173115196048E-3</v>
      </c>
      <c r="P70" s="40">
        <f t="shared" si="25"/>
        <v>2.3505409404632072E-3</v>
      </c>
      <c r="Q70" s="40">
        <f t="shared" si="26"/>
        <v>-1.2361893781621346E-3</v>
      </c>
    </row>
    <row r="71" spans="1:17" x14ac:dyDescent="0.2">
      <c r="A71" s="25">
        <v>45252</v>
      </c>
      <c r="B71" s="26">
        <v>190.586792</v>
      </c>
      <c r="C71" s="26">
        <v>57.055866000000002</v>
      </c>
      <c r="D71" s="26">
        <v>150.671661</v>
      </c>
      <c r="E71" s="26">
        <v>15.422565000000001</v>
      </c>
      <c r="F71" s="30">
        <f t="shared" si="15"/>
        <v>3.5083046042034536E-3</v>
      </c>
      <c r="G71" s="30">
        <f t="shared" si="16"/>
        <v>6.698173115196048E-3</v>
      </c>
      <c r="H71" s="30">
        <f t="shared" si="17"/>
        <v>2.3505409404632072E-3</v>
      </c>
      <c r="I71" s="30">
        <f t="shared" si="18"/>
        <v>-1.2361893781621346E-3</v>
      </c>
      <c r="J71" s="15">
        <f t="shared" si="19"/>
        <v>3.5021576941176116E-3</v>
      </c>
      <c r="K71" s="15">
        <f t="shared" si="20"/>
        <v>6.6757903560696174E-3</v>
      </c>
      <c r="L71" s="15">
        <f t="shared" si="21"/>
        <v>2.3477805823087466E-3</v>
      </c>
      <c r="M71" s="15">
        <f t="shared" si="22"/>
        <v>-1.2369537751988301E-3</v>
      </c>
      <c r="N71" s="40">
        <f t="shared" si="23"/>
        <v>-7.0289607553052254E-3</v>
      </c>
      <c r="O71" s="40">
        <f t="shared" si="24"/>
        <v>2.564368058518235E-3</v>
      </c>
      <c r="P71" s="40">
        <f t="shared" si="25"/>
        <v>1.3685641523619864E-3</v>
      </c>
      <c r="Q71" s="40">
        <f t="shared" si="26"/>
        <v>2.4706584385659168E-3</v>
      </c>
    </row>
    <row r="72" spans="1:17" x14ac:dyDescent="0.2">
      <c r="A72" s="25">
        <v>45254</v>
      </c>
      <c r="B72" s="26">
        <v>189.25186199999999</v>
      </c>
      <c r="C72" s="26">
        <v>57.202365999999998</v>
      </c>
      <c r="D72" s="26">
        <v>150.878006</v>
      </c>
      <c r="E72" s="26">
        <v>15.460716</v>
      </c>
      <c r="F72" s="30">
        <f t="shared" si="15"/>
        <v>-7.0289607553052254E-3</v>
      </c>
      <c r="G72" s="30">
        <f t="shared" si="16"/>
        <v>2.564368058518235E-3</v>
      </c>
      <c r="H72" s="30">
        <f t="shared" si="17"/>
        <v>1.3685641523619864E-3</v>
      </c>
      <c r="I72" s="30">
        <f t="shared" si="18"/>
        <v>2.4706584385659168E-3</v>
      </c>
      <c r="J72" s="15">
        <f t="shared" si="19"/>
        <v>-7.053721880950446E-3</v>
      </c>
      <c r="K72" s="15">
        <f t="shared" si="20"/>
        <v>2.5610828754879839E-3</v>
      </c>
      <c r="L72" s="15">
        <f t="shared" si="21"/>
        <v>1.3676280955091551E-3</v>
      </c>
      <c r="M72" s="15">
        <f t="shared" si="22"/>
        <v>2.4676088740003478E-3</v>
      </c>
      <c r="N72" s="40">
        <f t="shared" si="23"/>
        <v>-9.4805949388913479E-4</v>
      </c>
      <c r="O72" s="40">
        <f t="shared" si="24"/>
        <v>-1.8798349524674102E-3</v>
      </c>
      <c r="P72" s="40">
        <f t="shared" si="25"/>
        <v>-2.2819464710573719E-3</v>
      </c>
      <c r="Q72" s="40">
        <f t="shared" si="26"/>
        <v>0</v>
      </c>
    </row>
    <row r="73" spans="1:17" x14ac:dyDescent="0.2">
      <c r="A73" s="25">
        <v>45257</v>
      </c>
      <c r="B73" s="26">
        <v>189.07252500000001</v>
      </c>
      <c r="C73" s="26">
        <v>57.094935999999997</v>
      </c>
      <c r="D73" s="26">
        <v>150.53410299999999</v>
      </c>
      <c r="E73" s="26">
        <v>15.460716</v>
      </c>
      <c r="F73" s="30">
        <f t="shared" si="15"/>
        <v>-9.4805949388913479E-4</v>
      </c>
      <c r="G73" s="30">
        <f t="shared" si="16"/>
        <v>-1.8798349524674102E-3</v>
      </c>
      <c r="H73" s="30">
        <f t="shared" si="17"/>
        <v>-2.2819464710573719E-3</v>
      </c>
      <c r="I73" s="30">
        <f t="shared" si="18"/>
        <v>0</v>
      </c>
      <c r="J73" s="15">
        <f t="shared" si="19"/>
        <v>-9.4850904434674161E-4</v>
      </c>
      <c r="K73" s="15">
        <f t="shared" si="20"/>
        <v>-1.8816029498658305E-3</v>
      </c>
      <c r="L73" s="15">
        <f t="shared" si="21"/>
        <v>-2.2845520924917036E-3</v>
      </c>
      <c r="M73" s="15">
        <f t="shared" si="22"/>
        <v>0</v>
      </c>
      <c r="N73" s="40">
        <f t="shared" si="23"/>
        <v>3.2089405359202782E-3</v>
      </c>
      <c r="O73" s="40">
        <f t="shared" si="24"/>
        <v>2.0506000205027385E-3</v>
      </c>
      <c r="P73" s="40">
        <f t="shared" si="25"/>
        <v>2.2819464710573632E-3</v>
      </c>
      <c r="Q73" s="40">
        <f t="shared" si="26"/>
        <v>-1.8524051289652865E-3</v>
      </c>
    </row>
    <row r="74" spans="1:17" x14ac:dyDescent="0.2">
      <c r="A74" s="25">
        <v>45258</v>
      </c>
      <c r="B74" s="26">
        <v>189.68022199999999</v>
      </c>
      <c r="C74" s="26">
        <v>57.212135000000004</v>
      </c>
      <c r="D74" s="26">
        <v>150.878006</v>
      </c>
      <c r="E74" s="26">
        <v>15.432103</v>
      </c>
      <c r="F74" s="30">
        <f t="shared" si="15"/>
        <v>3.2089405359202782E-3</v>
      </c>
      <c r="G74" s="30">
        <f t="shared" si="16"/>
        <v>2.0506000205027385E-3</v>
      </c>
      <c r="H74" s="30">
        <f t="shared" si="17"/>
        <v>2.2819464710573632E-3</v>
      </c>
      <c r="I74" s="30">
        <f t="shared" si="18"/>
        <v>-1.8524051289652865E-3</v>
      </c>
      <c r="J74" s="15">
        <f t="shared" si="19"/>
        <v>3.2037973890602749E-3</v>
      </c>
      <c r="K74" s="15">
        <f t="shared" si="20"/>
        <v>2.0484989766595229E-3</v>
      </c>
      <c r="L74" s="15">
        <f t="shared" si="21"/>
        <v>2.2793448105352851E-3</v>
      </c>
      <c r="M74" s="15">
        <f t="shared" si="22"/>
        <v>-1.8541218912289531E-3</v>
      </c>
      <c r="N74" s="40">
        <f t="shared" si="23"/>
        <v>-5.4242788854046205E-3</v>
      </c>
      <c r="O74" s="40">
        <f t="shared" si="24"/>
        <v>-5.9926490699218782E-3</v>
      </c>
      <c r="P74" s="40">
        <f t="shared" si="25"/>
        <v>5.0673693523613879E-3</v>
      </c>
      <c r="Q74" s="40">
        <f t="shared" si="26"/>
        <v>7.3891849715765874E-3</v>
      </c>
    </row>
    <row r="75" spans="1:17" x14ac:dyDescent="0.2">
      <c r="A75" s="25">
        <v>45259</v>
      </c>
      <c r="B75" s="26">
        <v>188.65412900000001</v>
      </c>
      <c r="C75" s="26">
        <v>56.870308000000001</v>
      </c>
      <c r="D75" s="26">
        <v>151.64450099999999</v>
      </c>
      <c r="E75" s="26">
        <v>15.546556000000001</v>
      </c>
      <c r="F75" s="30">
        <f t="shared" si="15"/>
        <v>-5.4242788854046205E-3</v>
      </c>
      <c r="G75" s="30">
        <f t="shared" si="16"/>
        <v>-5.9926490699218782E-3</v>
      </c>
      <c r="H75" s="30">
        <f t="shared" si="17"/>
        <v>5.0673693523613879E-3</v>
      </c>
      <c r="I75" s="30">
        <f t="shared" si="18"/>
        <v>7.3891849715765874E-3</v>
      </c>
      <c r="J75" s="15">
        <f t="shared" si="19"/>
        <v>-5.4390169218081338E-3</v>
      </c>
      <c r="K75" s="15">
        <f t="shared" si="20"/>
        <v>-6.0106409130051153E-3</v>
      </c>
      <c r="L75" s="15">
        <f t="shared" si="21"/>
        <v>5.0545518956865571E-3</v>
      </c>
      <c r="M75" s="15">
        <f t="shared" si="22"/>
        <v>7.361952061922976E-3</v>
      </c>
      <c r="N75" s="40">
        <f t="shared" si="23"/>
        <v>3.0580089148523034E-3</v>
      </c>
      <c r="O75" s="40">
        <f t="shared" si="24"/>
        <v>1.1530896635000211E-2</v>
      </c>
      <c r="P75" s="40">
        <f t="shared" si="25"/>
        <v>1.1340267252648781E-2</v>
      </c>
      <c r="Q75" s="40">
        <f t="shared" si="26"/>
        <v>1.6428683176453563E-2</v>
      </c>
    </row>
    <row r="76" spans="1:17" x14ac:dyDescent="0.2">
      <c r="A76" s="25">
        <v>45260</v>
      </c>
      <c r="B76" s="26">
        <v>189.23191800000001</v>
      </c>
      <c r="C76" s="26">
        <v>57.529868999999998</v>
      </c>
      <c r="D76" s="26">
        <v>153.37397799999999</v>
      </c>
      <c r="E76" s="26">
        <v>15.804074999999999</v>
      </c>
      <c r="F76" s="30">
        <f t="shared" si="15"/>
        <v>3.0580089148523034E-3</v>
      </c>
      <c r="G76" s="30">
        <f t="shared" si="16"/>
        <v>1.1530896635000211E-2</v>
      </c>
      <c r="H76" s="30">
        <f t="shared" si="17"/>
        <v>1.1340267252648781E-2</v>
      </c>
      <c r="I76" s="30">
        <f t="shared" si="18"/>
        <v>1.6428683176453563E-2</v>
      </c>
      <c r="J76" s="15">
        <f t="shared" si="19"/>
        <v>3.0533379680694017E-3</v>
      </c>
      <c r="K76" s="15">
        <f t="shared" si="20"/>
        <v>1.1464670639176956E-2</v>
      </c>
      <c r="L76" s="15">
        <f t="shared" si="21"/>
        <v>1.127620879729678E-2</v>
      </c>
      <c r="M76" s="15">
        <f t="shared" si="22"/>
        <v>1.6294468357053386E-2</v>
      </c>
      <c r="N76" s="40">
        <f t="shared" si="23"/>
        <v>6.7683969358011721E-3</v>
      </c>
      <c r="O76" s="40">
        <f t="shared" si="24"/>
        <v>3.4165183963682714E-3</v>
      </c>
      <c r="P76" s="40">
        <f t="shared" si="25"/>
        <v>4.857594182652576E-3</v>
      </c>
      <c r="Q76" s="40">
        <f t="shared" si="26"/>
        <v>1.1401293855996619E-2</v>
      </c>
    </row>
    <row r="77" spans="1:17" x14ac:dyDescent="0.2">
      <c r="A77" s="25">
        <v>45261</v>
      </c>
      <c r="B77" s="26">
        <v>190.51705899999999</v>
      </c>
      <c r="C77" s="26">
        <v>57.726756999999999</v>
      </c>
      <c r="D77" s="26">
        <v>154.12081900000001</v>
      </c>
      <c r="E77" s="26">
        <v>15.985293</v>
      </c>
      <c r="F77" s="30">
        <f t="shared" si="15"/>
        <v>6.7683969358011721E-3</v>
      </c>
      <c r="G77" s="30">
        <f t="shared" si="16"/>
        <v>3.4165183963682714E-3</v>
      </c>
      <c r="H77" s="30">
        <f t="shared" si="17"/>
        <v>4.857594182652576E-3</v>
      </c>
      <c r="I77" s="30">
        <f t="shared" si="18"/>
        <v>1.1401293855996619E-2</v>
      </c>
      <c r="J77" s="15">
        <f t="shared" si="19"/>
        <v>6.7455429279956588E-3</v>
      </c>
      <c r="K77" s="15">
        <f t="shared" si="20"/>
        <v>3.4106887383263413E-3</v>
      </c>
      <c r="L77" s="15">
        <f t="shared" si="21"/>
        <v>4.8458151523320002E-3</v>
      </c>
      <c r="M77" s="15">
        <f t="shared" si="22"/>
        <v>1.1336545410834897E-2</v>
      </c>
      <c r="N77" s="40">
        <f t="shared" si="23"/>
        <v>-9.5097229376474839E-3</v>
      </c>
      <c r="O77" s="40">
        <f t="shared" si="24"/>
        <v>-1.1944749472458554E-3</v>
      </c>
      <c r="P77" s="40">
        <f t="shared" si="25"/>
        <v>7.3054908777762974E-3</v>
      </c>
      <c r="Q77" s="40">
        <f t="shared" si="26"/>
        <v>-5.9844807698541955E-3</v>
      </c>
    </row>
    <row r="78" spans="1:17" x14ac:dyDescent="0.2">
      <c r="A78" s="25">
        <v>45264</v>
      </c>
      <c r="B78" s="26">
        <v>188.71388200000001</v>
      </c>
      <c r="C78" s="26">
        <v>57.657845000000002</v>
      </c>
      <c r="D78" s="26">
        <v>155.25086999999999</v>
      </c>
      <c r="E78" s="26">
        <v>15.889915</v>
      </c>
      <c r="F78" s="30">
        <f t="shared" si="15"/>
        <v>-9.5097229376474839E-3</v>
      </c>
      <c r="G78" s="30">
        <f t="shared" si="16"/>
        <v>-1.1944749472458554E-3</v>
      </c>
      <c r="H78" s="30">
        <f t="shared" si="17"/>
        <v>7.3054908777762974E-3</v>
      </c>
      <c r="I78" s="30">
        <f t="shared" si="18"/>
        <v>-5.9844807698541955E-3</v>
      </c>
      <c r="J78" s="15">
        <f t="shared" si="19"/>
        <v>-9.5550840292712366E-3</v>
      </c>
      <c r="K78" s="15">
        <f t="shared" si="20"/>
        <v>-1.1951886165706925E-3</v>
      </c>
      <c r="L78" s="15">
        <f t="shared" si="21"/>
        <v>7.278870643365673E-3</v>
      </c>
      <c r="M78" s="15">
        <f t="shared" si="22"/>
        <v>-6.002423549779856E-3</v>
      </c>
      <c r="N78" s="40">
        <f t="shared" si="23"/>
        <v>2.084449839920156E-2</v>
      </c>
      <c r="O78" s="40">
        <f t="shared" si="24"/>
        <v>1.5354718166455639E-3</v>
      </c>
      <c r="P78" s="40">
        <f t="shared" si="25"/>
        <v>-1.266031176191559E-4</v>
      </c>
      <c r="Q78" s="40">
        <f t="shared" si="26"/>
        <v>3.306087505214772E-2</v>
      </c>
    </row>
    <row r="79" spans="1:17" x14ac:dyDescent="0.2">
      <c r="A79" s="25">
        <v>45265</v>
      </c>
      <c r="B79" s="26">
        <v>192.68881200000001</v>
      </c>
      <c r="C79" s="26">
        <v>57.746445000000001</v>
      </c>
      <c r="D79" s="26">
        <v>155.23121599999999</v>
      </c>
      <c r="E79" s="26">
        <v>16.424029999999998</v>
      </c>
      <c r="F79" s="30">
        <f t="shared" si="15"/>
        <v>2.084449839920156E-2</v>
      </c>
      <c r="G79" s="30">
        <f t="shared" si="16"/>
        <v>1.5354718166455639E-3</v>
      </c>
      <c r="H79" s="30">
        <f t="shared" si="17"/>
        <v>-1.266031176191559E-4</v>
      </c>
      <c r="I79" s="30">
        <f t="shared" si="18"/>
        <v>3.306087505214772E-2</v>
      </c>
      <c r="J79" s="15">
        <f t="shared" si="19"/>
        <v>2.0628753474280594E-2</v>
      </c>
      <c r="K79" s="15">
        <f t="shared" si="20"/>
        <v>1.5342935829209844E-3</v>
      </c>
      <c r="L79" s="15">
        <f t="shared" si="21"/>
        <v>-1.266111321321011E-4</v>
      </c>
      <c r="M79" s="15">
        <f t="shared" si="22"/>
        <v>3.252033757853573E-2</v>
      </c>
      <c r="N79" s="40">
        <f t="shared" si="23"/>
        <v>-5.7032520050787593E-3</v>
      </c>
      <c r="O79" s="40">
        <f t="shared" si="24"/>
        <v>-1.0233916476147672E-3</v>
      </c>
      <c r="P79" s="40">
        <f t="shared" si="25"/>
        <v>-1.0563861768930536E-2</v>
      </c>
      <c r="Q79" s="40">
        <f t="shared" si="26"/>
        <v>-1.6393661333646715E-2</v>
      </c>
    </row>
    <row r="80" spans="1:17" x14ac:dyDescent="0.2">
      <c r="A80" s="25">
        <v>45266</v>
      </c>
      <c r="B80" s="26">
        <v>191.59298699999999</v>
      </c>
      <c r="C80" s="26">
        <v>57.687378000000002</v>
      </c>
      <c r="D80" s="26">
        <v>153.60000600000001</v>
      </c>
      <c r="E80" s="26">
        <v>16.156974999999999</v>
      </c>
      <c r="F80" s="30">
        <f t="shared" si="15"/>
        <v>-5.7032520050787593E-3</v>
      </c>
      <c r="G80" s="30">
        <f t="shared" si="16"/>
        <v>-1.0233916476147672E-3</v>
      </c>
      <c r="H80" s="30">
        <f t="shared" si="17"/>
        <v>-1.0563861768930536E-2</v>
      </c>
      <c r="I80" s="30">
        <f t="shared" si="18"/>
        <v>-1.6393661333646715E-2</v>
      </c>
      <c r="J80" s="15">
        <f t="shared" si="19"/>
        <v>-5.7195465092885634E-3</v>
      </c>
      <c r="K80" s="15">
        <f t="shared" si="20"/>
        <v>-1.0239154915309006E-3</v>
      </c>
      <c r="L80" s="15">
        <f t="shared" si="21"/>
        <v>-1.0619856355995074E-2</v>
      </c>
      <c r="M80" s="15">
        <f t="shared" si="22"/>
        <v>-1.6528774724228958E-2</v>
      </c>
      <c r="N80" s="40">
        <f t="shared" si="23"/>
        <v>1.0088207138443817E-2</v>
      </c>
      <c r="O80" s="40">
        <f t="shared" si="24"/>
        <v>2.3863212857141401E-3</v>
      </c>
      <c r="P80" s="40">
        <f t="shared" si="25"/>
        <v>3.0661278355592595E-3</v>
      </c>
      <c r="Q80" s="40">
        <f t="shared" si="26"/>
        <v>8.8156554713472324E-3</v>
      </c>
    </row>
    <row r="81" spans="1:17" x14ac:dyDescent="0.2">
      <c r="A81" s="25">
        <v>45267</v>
      </c>
      <c r="B81" s="26">
        <v>193.53559899999999</v>
      </c>
      <c r="C81" s="26">
        <v>57.825203000000002</v>
      </c>
      <c r="D81" s="26">
        <v>154.071686</v>
      </c>
      <c r="E81" s="26">
        <v>16.300039000000002</v>
      </c>
      <c r="F81" s="30">
        <f t="shared" si="15"/>
        <v>1.0088207138443817E-2</v>
      </c>
      <c r="G81" s="30">
        <f t="shared" si="16"/>
        <v>2.3863212857141401E-3</v>
      </c>
      <c r="H81" s="30">
        <f t="shared" si="17"/>
        <v>3.0661278355592595E-3</v>
      </c>
      <c r="I81" s="30">
        <f t="shared" si="18"/>
        <v>8.8156554713472324E-3</v>
      </c>
      <c r="J81" s="15">
        <f t="shared" si="19"/>
        <v>1.0037491862156052E-2</v>
      </c>
      <c r="K81" s="15">
        <f t="shared" si="20"/>
        <v>2.38347628455363E-3</v>
      </c>
      <c r="L81" s="15">
        <f t="shared" si="21"/>
        <v>3.0614320661097464E-3</v>
      </c>
      <c r="M81" s="15">
        <f t="shared" si="22"/>
        <v>8.7769115153652402E-3</v>
      </c>
      <c r="N81" s="40">
        <f t="shared" si="23"/>
        <v>7.3850207302899578E-3</v>
      </c>
      <c r="O81" s="40">
        <f t="shared" si="24"/>
        <v>-2.2156572655028478E-3</v>
      </c>
      <c r="P81" s="40">
        <f t="shared" si="25"/>
        <v>1.0973473354382132E-2</v>
      </c>
      <c r="Q81" s="40">
        <f t="shared" si="26"/>
        <v>-9.9971434933014119E-3</v>
      </c>
    </row>
    <row r="82" spans="1:17" x14ac:dyDescent="0.2">
      <c r="A82" s="25">
        <v>45268</v>
      </c>
      <c r="B82" s="26">
        <v>194.97015400000001</v>
      </c>
      <c r="C82" s="26">
        <v>57.697223999999999</v>
      </c>
      <c r="D82" s="26">
        <v>155.77169799999999</v>
      </c>
      <c r="E82" s="26">
        <v>16.137896999999999</v>
      </c>
      <c r="F82" s="30">
        <f t="shared" si="15"/>
        <v>7.3850207302899578E-3</v>
      </c>
      <c r="G82" s="30">
        <f t="shared" si="16"/>
        <v>-2.2156572655028478E-3</v>
      </c>
      <c r="H82" s="30">
        <f t="shared" si="17"/>
        <v>1.0973473354382132E-2</v>
      </c>
      <c r="I82" s="30">
        <f t="shared" si="18"/>
        <v>-9.9971434933014119E-3</v>
      </c>
      <c r="J82" s="15">
        <f t="shared" si="19"/>
        <v>7.3578184689745757E-3</v>
      </c>
      <c r="K82" s="15">
        <f t="shared" si="20"/>
        <v>-2.2181136478941067E-3</v>
      </c>
      <c r="L82" s="15">
        <f t="shared" si="21"/>
        <v>1.0913484425135988E-2</v>
      </c>
      <c r="M82" s="15">
        <f t="shared" si="22"/>
        <v>-1.0047281873220713E-2</v>
      </c>
      <c r="N82" s="40">
        <f t="shared" si="23"/>
        <v>-1.301155524149791E-2</v>
      </c>
      <c r="O82" s="40">
        <f t="shared" si="24"/>
        <v>7.3098102582420726E-3</v>
      </c>
      <c r="P82" s="40">
        <f t="shared" si="25"/>
        <v>3.6521773139312004E-3</v>
      </c>
      <c r="Q82" s="40">
        <f t="shared" si="26"/>
        <v>-1.7889443279638567E-2</v>
      </c>
    </row>
    <row r="83" spans="1:17" x14ac:dyDescent="0.2">
      <c r="A83" s="25">
        <v>45271</v>
      </c>
      <c r="B83" s="26">
        <v>192.44972200000001</v>
      </c>
      <c r="C83" s="26">
        <v>58.120525000000001</v>
      </c>
      <c r="D83" s="26">
        <v>156.341644</v>
      </c>
      <c r="E83" s="26">
        <v>15.851766</v>
      </c>
      <c r="F83" s="30">
        <f t="shared" si="15"/>
        <v>-1.301155524149791E-2</v>
      </c>
      <c r="G83" s="30">
        <f t="shared" si="16"/>
        <v>7.3098102582420726E-3</v>
      </c>
      <c r="H83" s="30">
        <f t="shared" si="17"/>
        <v>3.6521773139312004E-3</v>
      </c>
      <c r="I83" s="30">
        <f t="shared" si="18"/>
        <v>-1.7889443279638567E-2</v>
      </c>
      <c r="J83" s="15">
        <f t="shared" si="19"/>
        <v>-1.309657386774505E-2</v>
      </c>
      <c r="K83" s="15">
        <f t="shared" si="20"/>
        <v>7.2831585743590947E-3</v>
      </c>
      <c r="L83" s="15">
        <f t="shared" si="21"/>
        <v>3.6455162259904075E-3</v>
      </c>
      <c r="M83" s="15">
        <f t="shared" si="22"/>
        <v>-1.8050417852496638E-2</v>
      </c>
      <c r="N83" s="40">
        <f t="shared" si="23"/>
        <v>7.8889519649972505E-3</v>
      </c>
      <c r="O83" s="40">
        <f t="shared" si="24"/>
        <v>6.4156731620670822E-3</v>
      </c>
      <c r="P83" s="40">
        <f t="shared" si="25"/>
        <v>8.8855459657744724E-3</v>
      </c>
      <c r="Q83" s="40">
        <f t="shared" si="26"/>
        <v>-1.2715943603931842E-2</v>
      </c>
    </row>
    <row r="84" spans="1:17" x14ac:dyDescent="0.2">
      <c r="A84" s="25">
        <v>45272</v>
      </c>
      <c r="B84" s="26">
        <v>193.97395299999999</v>
      </c>
      <c r="C84" s="26">
        <v>58.494605999999997</v>
      </c>
      <c r="D84" s="26">
        <v>157.73701500000001</v>
      </c>
      <c r="E84" s="26">
        <v>15.651472</v>
      </c>
      <c r="F84" s="30">
        <f t="shared" si="15"/>
        <v>7.8889519649972505E-3</v>
      </c>
      <c r="G84" s="30">
        <f t="shared" si="16"/>
        <v>6.4156731620670822E-3</v>
      </c>
      <c r="H84" s="30">
        <f t="shared" si="17"/>
        <v>8.8855459657744724E-3</v>
      </c>
      <c r="I84" s="30">
        <f t="shared" si="18"/>
        <v>-1.2715943603931842E-2</v>
      </c>
      <c r="J84" s="15">
        <f t="shared" si="19"/>
        <v>7.8579158512070233E-3</v>
      </c>
      <c r="K84" s="15">
        <f t="shared" si="20"/>
        <v>6.3951366729437719E-3</v>
      </c>
      <c r="L84" s="15">
        <f t="shared" si="21"/>
        <v>8.846186166259146E-3</v>
      </c>
      <c r="M84" s="15">
        <f t="shared" si="22"/>
        <v>-1.2797134991520256E-2</v>
      </c>
      <c r="N84" s="40">
        <f t="shared" si="23"/>
        <v>1.6553655693470191E-2</v>
      </c>
      <c r="O84" s="40">
        <f t="shared" si="24"/>
        <v>8.5463889760277086E-3</v>
      </c>
      <c r="P84" s="40">
        <f t="shared" si="25"/>
        <v>3.3584282184013106E-3</v>
      </c>
      <c r="Q84" s="40">
        <f t="shared" si="26"/>
        <v>2.4346320782964847E-3</v>
      </c>
    </row>
    <row r="85" spans="1:17" x14ac:dyDescent="0.2">
      <c r="A85" s="25">
        <v>45273</v>
      </c>
      <c r="B85" s="26">
        <v>197.21165500000001</v>
      </c>
      <c r="C85" s="26">
        <v>58.996665999999998</v>
      </c>
      <c r="D85" s="26">
        <v>158.26765399999999</v>
      </c>
      <c r="E85" s="26">
        <v>15.689624</v>
      </c>
      <c r="F85" s="30">
        <f t="shared" si="15"/>
        <v>1.6553655693470191E-2</v>
      </c>
      <c r="G85" s="30">
        <f t="shared" si="16"/>
        <v>8.5463889760277086E-3</v>
      </c>
      <c r="H85" s="30">
        <f t="shared" si="17"/>
        <v>3.3584282184013106E-3</v>
      </c>
      <c r="I85" s="30">
        <f t="shared" si="18"/>
        <v>2.4346320782964847E-3</v>
      </c>
      <c r="J85" s="15">
        <f t="shared" si="19"/>
        <v>1.6417396831845527E-2</v>
      </c>
      <c r="K85" s="15">
        <f t="shared" si="20"/>
        <v>8.509972410983363E-3</v>
      </c>
      <c r="L85" s="15">
        <f t="shared" si="21"/>
        <v>3.3527950063629518E-3</v>
      </c>
      <c r="M85" s="15">
        <f t="shared" si="22"/>
        <v>2.4316707653414885E-3</v>
      </c>
      <c r="N85" s="40">
        <f t="shared" si="23"/>
        <v>7.5742185089877612E-4</v>
      </c>
      <c r="O85" s="40">
        <f t="shared" si="24"/>
        <v>-1.4962062138094838E-2</v>
      </c>
      <c r="P85" s="40">
        <f t="shared" si="25"/>
        <v>1.8028547888701854E-2</v>
      </c>
      <c r="Q85" s="40">
        <f t="shared" si="26"/>
        <v>1.208465691282283E-2</v>
      </c>
    </row>
    <row r="86" spans="1:17" x14ac:dyDescent="0.2">
      <c r="A86" s="25">
        <v>45274</v>
      </c>
      <c r="B86" s="26">
        <v>197.36108400000001</v>
      </c>
      <c r="C86" s="26">
        <v>58.120525000000001</v>
      </c>
      <c r="D86" s="26">
        <v>161.14686599999999</v>
      </c>
      <c r="E86" s="26">
        <v>15.880378</v>
      </c>
      <c r="F86" s="30">
        <f t="shared" si="15"/>
        <v>7.5742185089877612E-4</v>
      </c>
      <c r="G86" s="30">
        <f t="shared" si="16"/>
        <v>-1.4962062138094838E-2</v>
      </c>
      <c r="H86" s="30">
        <f t="shared" si="17"/>
        <v>1.8028547888701854E-2</v>
      </c>
      <c r="I86" s="30">
        <f t="shared" si="18"/>
        <v>1.208465691282283E-2</v>
      </c>
      <c r="J86" s="15">
        <f t="shared" si="19"/>
        <v>7.5713507937561701E-4</v>
      </c>
      <c r="K86" s="15">
        <f t="shared" si="20"/>
        <v>-1.507455412696284E-2</v>
      </c>
      <c r="L86" s="15">
        <f t="shared" si="21"/>
        <v>1.7867005865320369E-2</v>
      </c>
      <c r="M86" s="15">
        <f t="shared" si="22"/>
        <v>1.201193069837507E-2</v>
      </c>
      <c r="N86" s="40">
        <f t="shared" si="23"/>
        <v>-2.7295073142777661E-3</v>
      </c>
      <c r="O86" s="40">
        <f t="shared" si="24"/>
        <v>-7.4804742784532674E-3</v>
      </c>
      <c r="P86" s="40">
        <f t="shared" si="25"/>
        <v>7.5329194945627474E-3</v>
      </c>
      <c r="Q86" s="40">
        <f t="shared" si="26"/>
        <v>-7.8383887172057826E-3</v>
      </c>
    </row>
    <row r="87" spans="1:17" x14ac:dyDescent="0.2">
      <c r="A87" s="25">
        <v>45275</v>
      </c>
      <c r="B87" s="26">
        <v>196.82311999999999</v>
      </c>
      <c r="C87" s="26">
        <v>57.687378000000002</v>
      </c>
      <c r="D87" s="26">
        <v>162.36535599999999</v>
      </c>
      <c r="E87" s="26">
        <v>15.756387999999999</v>
      </c>
      <c r="F87" s="30">
        <f t="shared" si="15"/>
        <v>-2.7295073142777661E-3</v>
      </c>
      <c r="G87" s="30">
        <f t="shared" si="16"/>
        <v>-7.4804742784532674E-3</v>
      </c>
      <c r="H87" s="30">
        <f t="shared" si="17"/>
        <v>7.5329194945627474E-3</v>
      </c>
      <c r="I87" s="30">
        <f t="shared" si="18"/>
        <v>-7.8383887172057826E-3</v>
      </c>
      <c r="J87" s="15">
        <f t="shared" si="19"/>
        <v>-2.7332358109149807E-3</v>
      </c>
      <c r="K87" s="15">
        <f t="shared" si="20"/>
        <v>-7.5085229215999059E-3</v>
      </c>
      <c r="L87" s="15">
        <f t="shared" si="21"/>
        <v>7.5046181649735845E-3</v>
      </c>
      <c r="M87" s="15">
        <f t="shared" si="22"/>
        <v>-7.8691893091234442E-3</v>
      </c>
      <c r="N87" s="40">
        <f t="shared" si="23"/>
        <v>-8.53965400802611E-3</v>
      </c>
      <c r="O87" s="40">
        <f t="shared" si="24"/>
        <v>7.1417585896560408E-3</v>
      </c>
      <c r="P87" s="40">
        <f t="shared" si="25"/>
        <v>6.0338573294274594E-3</v>
      </c>
      <c r="Q87" s="40">
        <f t="shared" si="26"/>
        <v>-3.6386626067303612E-3</v>
      </c>
    </row>
    <row r="88" spans="1:17" x14ac:dyDescent="0.2">
      <c r="A88" s="25">
        <v>45278</v>
      </c>
      <c r="B88" s="26">
        <v>195.149475</v>
      </c>
      <c r="C88" s="26">
        <v>58.100842</v>
      </c>
      <c r="D88" s="26">
        <v>163.348007</v>
      </c>
      <c r="E88" s="26">
        <v>15.699159999999999</v>
      </c>
      <c r="F88" s="30">
        <f t="shared" si="15"/>
        <v>-8.53965400802611E-3</v>
      </c>
      <c r="G88" s="30">
        <f t="shared" si="16"/>
        <v>7.1417585896560408E-3</v>
      </c>
      <c r="H88" s="30">
        <f t="shared" si="17"/>
        <v>6.0338573294274594E-3</v>
      </c>
      <c r="I88" s="30">
        <f t="shared" si="18"/>
        <v>-3.6386626067303612E-3</v>
      </c>
      <c r="J88" s="15">
        <f t="shared" si="19"/>
        <v>-8.5762208686443742E-3</v>
      </c>
      <c r="K88" s="15">
        <f t="shared" si="20"/>
        <v>7.1163168341002291E-3</v>
      </c>
      <c r="L88" s="15">
        <f t="shared" si="21"/>
        <v>6.0156901700062016E-3</v>
      </c>
      <c r="M88" s="15">
        <f t="shared" si="22"/>
        <v>-3.6452905760563166E-3</v>
      </c>
      <c r="N88" s="40">
        <f t="shared" si="23"/>
        <v>5.3458637702141027E-3</v>
      </c>
      <c r="O88" s="40">
        <f t="shared" si="24"/>
        <v>-3.2244751257021888E-3</v>
      </c>
      <c r="P88" s="40">
        <f t="shared" si="25"/>
        <v>1.3266549902395489E-2</v>
      </c>
      <c r="Q88" s="40">
        <f t="shared" si="26"/>
        <v>9.0718253225267661E-3</v>
      </c>
    </row>
    <row r="89" spans="1:17" x14ac:dyDescent="0.2">
      <c r="A89" s="25">
        <v>45279</v>
      </c>
      <c r="B89" s="26">
        <v>196.19551100000001</v>
      </c>
      <c r="C89" s="26">
        <v>57.913798999999997</v>
      </c>
      <c r="D89" s="26">
        <v>165.52950999999999</v>
      </c>
      <c r="E89" s="26">
        <v>15.842228</v>
      </c>
      <c r="F89" s="30">
        <f t="shared" si="15"/>
        <v>5.3458637702141027E-3</v>
      </c>
      <c r="G89" s="30">
        <f t="shared" si="16"/>
        <v>-3.2244751257021888E-3</v>
      </c>
      <c r="H89" s="30">
        <f t="shared" si="17"/>
        <v>1.3266549902395489E-2</v>
      </c>
      <c r="I89" s="30">
        <f t="shared" si="18"/>
        <v>9.0718253225267661E-3</v>
      </c>
      <c r="J89" s="15">
        <f t="shared" si="19"/>
        <v>5.331600069076071E-3</v>
      </c>
      <c r="K89" s="15">
        <f t="shared" si="20"/>
        <v>-3.229679337734393E-3</v>
      </c>
      <c r="L89" s="15">
        <f t="shared" si="21"/>
        <v>1.3178937097077086E-2</v>
      </c>
      <c r="M89" s="15">
        <f t="shared" si="22"/>
        <v>9.0308004656921553E-3</v>
      </c>
      <c r="N89" s="40">
        <f t="shared" si="23"/>
        <v>-1.0771711802952852E-2</v>
      </c>
      <c r="O89" s="40">
        <f t="shared" si="24"/>
        <v>-2.0955763699396959E-2</v>
      </c>
      <c r="P89" s="40">
        <f t="shared" si="25"/>
        <v>-1.1343350930772851E-2</v>
      </c>
      <c r="Q89" s="40">
        <f t="shared" si="26"/>
        <v>-1.2723712230209391E-2</v>
      </c>
    </row>
    <row r="90" spans="1:17" x14ac:dyDescent="0.2">
      <c r="A90" s="25">
        <v>45280</v>
      </c>
      <c r="B90" s="26">
        <v>194.093491</v>
      </c>
      <c r="C90" s="26">
        <v>56.712798999999997</v>
      </c>
      <c r="D90" s="26">
        <v>163.66246000000001</v>
      </c>
      <c r="E90" s="26">
        <v>15.641933</v>
      </c>
      <c r="F90" s="30">
        <f t="shared" si="15"/>
        <v>-1.0771711802952852E-2</v>
      </c>
      <c r="G90" s="30">
        <f t="shared" si="16"/>
        <v>-2.0955763699396959E-2</v>
      </c>
      <c r="H90" s="30">
        <f t="shared" si="17"/>
        <v>-1.1343350930772851E-2</v>
      </c>
      <c r="I90" s="30">
        <f t="shared" si="18"/>
        <v>-1.2723712230209391E-2</v>
      </c>
      <c r="J90" s="15">
        <f t="shared" si="19"/>
        <v>-1.0829935559250723E-2</v>
      </c>
      <c r="K90" s="15">
        <f t="shared" si="20"/>
        <v>-2.117687755104453E-2</v>
      </c>
      <c r="L90" s="15">
        <f t="shared" si="21"/>
        <v>-1.1407930688564608E-2</v>
      </c>
      <c r="M90" s="15">
        <f t="shared" si="22"/>
        <v>-1.2805003064518979E-2</v>
      </c>
      <c r="N90" s="40">
        <f t="shared" si="23"/>
        <v>-7.7033791279105483E-4</v>
      </c>
      <c r="O90" s="40">
        <f t="shared" si="24"/>
        <v>6.5744708171604086E-3</v>
      </c>
      <c r="P90" s="40">
        <f t="shared" si="25"/>
        <v>5.6878079343058051E-3</v>
      </c>
      <c r="Q90" s="40">
        <f t="shared" si="26"/>
        <v>5.4729367751170889E-3</v>
      </c>
    </row>
    <row r="91" spans="1:17" x14ac:dyDescent="0.2">
      <c r="A91" s="25">
        <v>45281</v>
      </c>
      <c r="B91" s="26">
        <v>193.944031</v>
      </c>
      <c r="C91" s="26">
        <v>57.086883999999998</v>
      </c>
      <c r="D91" s="26">
        <v>164.59599299999999</v>
      </c>
      <c r="E91" s="26">
        <v>15.727774999999999</v>
      </c>
      <c r="F91" s="30">
        <f t="shared" si="15"/>
        <v>-7.7033791279105483E-4</v>
      </c>
      <c r="G91" s="30">
        <f t="shared" si="16"/>
        <v>6.5744708171604086E-3</v>
      </c>
      <c r="H91" s="30">
        <f t="shared" si="17"/>
        <v>5.6878079343058051E-3</v>
      </c>
      <c r="I91" s="30">
        <f t="shared" si="18"/>
        <v>5.4729367751170889E-3</v>
      </c>
      <c r="J91" s="15">
        <f t="shared" si="19"/>
        <v>-7.7063469924477761E-4</v>
      </c>
      <c r="K91" s="15">
        <f t="shared" si="20"/>
        <v>6.5529062682769812E-3</v>
      </c>
      <c r="L91" s="15">
        <f t="shared" si="21"/>
        <v>5.6716629790616035E-3</v>
      </c>
      <c r="M91" s="15">
        <f t="shared" si="22"/>
        <v>5.4579875411493069E-3</v>
      </c>
      <c r="N91" s="40">
        <f t="shared" si="23"/>
        <v>-5.5629055748559423E-3</v>
      </c>
      <c r="O91" s="40">
        <f t="shared" si="24"/>
        <v>5.6744066112261139E-3</v>
      </c>
      <c r="P91" s="40">
        <f t="shared" si="25"/>
        <v>-5.9719768106862266E-4</v>
      </c>
      <c r="Q91" s="40">
        <f t="shared" si="26"/>
        <v>3.6318010530331695E-3</v>
      </c>
    </row>
    <row r="92" spans="1:17" x14ac:dyDescent="0.2">
      <c r="A92" s="25">
        <v>45282</v>
      </c>
      <c r="B92" s="26">
        <v>192.868134</v>
      </c>
      <c r="C92" s="26">
        <v>57.411738999999997</v>
      </c>
      <c r="D92" s="26">
        <v>164.497726</v>
      </c>
      <c r="E92" s="26">
        <v>15.784998999999999</v>
      </c>
      <c r="F92" s="30">
        <f t="shared" si="15"/>
        <v>-5.5629055748559423E-3</v>
      </c>
      <c r="G92" s="30">
        <f t="shared" si="16"/>
        <v>5.6744066112261139E-3</v>
      </c>
      <c r="H92" s="30">
        <f t="shared" si="17"/>
        <v>-5.9719768106862266E-4</v>
      </c>
      <c r="I92" s="30">
        <f t="shared" si="18"/>
        <v>3.6318010530331695E-3</v>
      </c>
      <c r="J92" s="15">
        <f t="shared" si="19"/>
        <v>-5.5784072655568791E-3</v>
      </c>
      <c r="K92" s="15">
        <f t="shared" si="20"/>
        <v>5.6583375744810567E-3</v>
      </c>
      <c r="L92" s="15">
        <f t="shared" si="21"/>
        <v>-5.9737603910702561E-4</v>
      </c>
      <c r="M92" s="15">
        <f t="shared" si="22"/>
        <v>3.6252140402416068E-3</v>
      </c>
      <c r="N92" s="40">
        <f t="shared" si="23"/>
        <v>-2.8449113917028523E-3</v>
      </c>
      <c r="O92" s="40">
        <f t="shared" si="24"/>
        <v>4.1068114348282283E-3</v>
      </c>
      <c r="P92" s="40">
        <f t="shared" si="25"/>
        <v>5.8965836558493075E-3</v>
      </c>
      <c r="Q92" s="40">
        <f t="shared" si="26"/>
        <v>1.2077595132303129E-3</v>
      </c>
    </row>
    <row r="93" spans="1:17" x14ac:dyDescent="0.2">
      <c r="A93" s="25">
        <v>45286</v>
      </c>
      <c r="B93" s="26">
        <v>192.320221</v>
      </c>
      <c r="C93" s="26">
        <v>57.648003000000003</v>
      </c>
      <c r="D93" s="26">
        <v>165.47056599999999</v>
      </c>
      <c r="E93" s="26">
        <v>15.804074999999999</v>
      </c>
      <c r="F93" s="30">
        <f t="shared" si="15"/>
        <v>-2.8449113917028523E-3</v>
      </c>
      <c r="G93" s="30">
        <f t="shared" si="16"/>
        <v>4.1068114348282283E-3</v>
      </c>
      <c r="H93" s="30">
        <f t="shared" si="17"/>
        <v>5.8965836558493075E-3</v>
      </c>
      <c r="I93" s="30">
        <f t="shared" si="18"/>
        <v>1.2077595132303129E-3</v>
      </c>
      <c r="J93" s="15">
        <f t="shared" si="19"/>
        <v>-2.8489619924053338E-3</v>
      </c>
      <c r="K93" s="15">
        <f t="shared" si="20"/>
        <v>4.0983900170836023E-3</v>
      </c>
      <c r="L93" s="15">
        <f t="shared" si="21"/>
        <v>5.8792329265374655E-3</v>
      </c>
      <c r="M93" s="15">
        <f t="shared" si="22"/>
        <v>1.2070304652439382E-3</v>
      </c>
      <c r="N93" s="40">
        <f t="shared" si="23"/>
        <v>5.1779897604456546E-4</v>
      </c>
      <c r="O93" s="40">
        <f t="shared" si="24"/>
        <v>2.5581149129798759E-3</v>
      </c>
      <c r="P93" s="40">
        <f t="shared" si="25"/>
        <v>5.9800808714544585E-3</v>
      </c>
      <c r="Q93" s="40">
        <f t="shared" si="26"/>
        <v>6.0333319054379066E-4</v>
      </c>
    </row>
    <row r="94" spans="1:17" x14ac:dyDescent="0.2">
      <c r="A94" s="25">
        <v>45287</v>
      </c>
      <c r="B94" s="26">
        <v>192.41982999999999</v>
      </c>
      <c r="C94" s="26">
        <v>57.795662</v>
      </c>
      <c r="D94" s="26">
        <v>166.46305799999999</v>
      </c>
      <c r="E94" s="26">
        <v>15.813613</v>
      </c>
      <c r="F94" s="30">
        <f t="shared" si="15"/>
        <v>5.1779897604456546E-4</v>
      </c>
      <c r="G94" s="30">
        <f t="shared" si="16"/>
        <v>2.5581149129798759E-3</v>
      </c>
      <c r="H94" s="30">
        <f t="shared" si="17"/>
        <v>5.9800808714544585E-3</v>
      </c>
      <c r="I94" s="30">
        <f t="shared" si="18"/>
        <v>6.0333319054379066E-4</v>
      </c>
      <c r="J94" s="15">
        <f t="shared" si="19"/>
        <v>5.1766494129002578E-4</v>
      </c>
      <c r="K94" s="15">
        <f t="shared" si="20"/>
        <v>2.554845725272553E-3</v>
      </c>
      <c r="L94" s="15">
        <f t="shared" si="21"/>
        <v>5.9622357772617556E-3</v>
      </c>
      <c r="M94" s="15">
        <f t="shared" si="22"/>
        <v>6.0315122167217163E-4</v>
      </c>
      <c r="N94" s="40">
        <f t="shared" si="23"/>
        <v>2.2237825955231019E-3</v>
      </c>
      <c r="O94" s="40">
        <f t="shared" si="24"/>
        <v>6.811858639393253E-4</v>
      </c>
      <c r="P94" s="40">
        <f t="shared" si="25"/>
        <v>5.2989165247204857E-3</v>
      </c>
      <c r="Q94" s="40">
        <f t="shared" si="26"/>
        <v>9.6039637827291333E-3</v>
      </c>
    </row>
    <row r="95" spans="1:17" x14ac:dyDescent="0.2">
      <c r="A95" s="25">
        <v>45288</v>
      </c>
      <c r="B95" s="26">
        <v>192.848206</v>
      </c>
      <c r="C95" s="26">
        <v>57.835045000000001</v>
      </c>
      <c r="D95" s="26">
        <v>167.34747300000001</v>
      </c>
      <c r="E95" s="26">
        <v>15.966218</v>
      </c>
      <c r="F95" s="30">
        <f t="shared" si="15"/>
        <v>2.2237825955231019E-3</v>
      </c>
      <c r="G95" s="30">
        <f t="shared" si="16"/>
        <v>6.811858639393253E-4</v>
      </c>
      <c r="H95" s="30">
        <f t="shared" si="17"/>
        <v>5.2989165247204857E-3</v>
      </c>
      <c r="I95" s="30">
        <f t="shared" si="18"/>
        <v>9.6039637827291333E-3</v>
      </c>
      <c r="J95" s="15">
        <f t="shared" si="19"/>
        <v>2.221311822833417E-3</v>
      </c>
      <c r="K95" s="15">
        <f t="shared" si="20"/>
        <v>6.8095390951975279E-4</v>
      </c>
      <c r="L95" s="15">
        <f t="shared" si="21"/>
        <v>5.2849020313561496E-3</v>
      </c>
      <c r="M95" s="15">
        <f t="shared" si="22"/>
        <v>9.5579930074861461E-3</v>
      </c>
      <c r="N95" s="40">
        <f t="shared" si="23"/>
        <v>-5.4389057902563941E-3</v>
      </c>
      <c r="O95" s="40">
        <f t="shared" si="24"/>
        <v>3.0590814664282501E-3</v>
      </c>
      <c r="P95" s="40">
        <f t="shared" si="25"/>
        <v>-1.1751806513597941E-3</v>
      </c>
      <c r="Q95" s="40">
        <f t="shared" si="26"/>
        <v>2.3866948027653455E-3</v>
      </c>
    </row>
    <row r="96" spans="1:17" x14ac:dyDescent="0.2">
      <c r="A96" s="25">
        <v>45289</v>
      </c>
      <c r="B96" s="26">
        <v>191.80216999999999</v>
      </c>
      <c r="C96" s="26">
        <v>58.012238000000004</v>
      </c>
      <c r="D96" s="26">
        <v>167.150925</v>
      </c>
      <c r="E96" s="26">
        <v>16.004370000000002</v>
      </c>
      <c r="F96" s="30">
        <f t="shared" si="15"/>
        <v>-5.4389057902563941E-3</v>
      </c>
      <c r="G96" s="30">
        <f t="shared" si="16"/>
        <v>3.0590814664282501E-3</v>
      </c>
      <c r="H96" s="30">
        <f t="shared" si="17"/>
        <v>-1.1751806513597941E-3</v>
      </c>
      <c r="I96" s="30">
        <f t="shared" si="18"/>
        <v>2.3866948027653455E-3</v>
      </c>
      <c r="J96" s="15">
        <f t="shared" si="19"/>
        <v>-5.4537234901983391E-3</v>
      </c>
      <c r="K96" s="15">
        <f t="shared" si="20"/>
        <v>3.0544072442094477E-3</v>
      </c>
      <c r="L96" s="15">
        <f t="shared" si="21"/>
        <v>-1.1758714467180308E-3</v>
      </c>
      <c r="M96" s="15">
        <f t="shared" si="22"/>
        <v>2.3838489112662327E-3</v>
      </c>
      <c r="N96" s="40">
        <f t="shared" si="23"/>
        <v>-3.6442669115568614E-2</v>
      </c>
      <c r="O96" s="40">
        <f t="shared" si="24"/>
        <v>1.4989765411567772E-2</v>
      </c>
      <c r="P96" s="40">
        <f t="shared" si="25"/>
        <v>1.1573020195509662E-2</v>
      </c>
      <c r="Q96" s="40">
        <f t="shared" si="26"/>
        <v>2.7624383831125431E-2</v>
      </c>
    </row>
    <row r="97" spans="1:17" x14ac:dyDescent="0.2">
      <c r="A97" s="25">
        <v>45293</v>
      </c>
      <c r="B97" s="26">
        <v>184.93821700000001</v>
      </c>
      <c r="C97" s="26">
        <v>58.888378000000003</v>
      </c>
      <c r="D97" s="26">
        <v>169.09660299999999</v>
      </c>
      <c r="E97" s="26">
        <v>16.452643999999999</v>
      </c>
      <c r="F97" s="30">
        <f t="shared" si="15"/>
        <v>-3.6442669115568614E-2</v>
      </c>
      <c r="G97" s="30">
        <f t="shared" si="16"/>
        <v>1.4989765411567772E-2</v>
      </c>
      <c r="H97" s="30">
        <f t="shared" si="17"/>
        <v>1.1573020195509662E-2</v>
      </c>
      <c r="I97" s="30">
        <f t="shared" si="18"/>
        <v>2.7624383831125431E-2</v>
      </c>
      <c r="J97" s="15">
        <f t="shared" si="19"/>
        <v>-3.7114843602066197E-2</v>
      </c>
      <c r="K97" s="15">
        <f t="shared" si="20"/>
        <v>1.4877978130081957E-2</v>
      </c>
      <c r="L97" s="15">
        <f t="shared" si="21"/>
        <v>1.1506310389925377E-2</v>
      </c>
      <c r="M97" s="15">
        <f t="shared" si="22"/>
        <v>2.7246319801242758E-2</v>
      </c>
      <c r="N97" s="40">
        <f t="shared" si="23"/>
        <v>-7.5158087877084971E-3</v>
      </c>
      <c r="O97" s="40">
        <f t="shared" si="24"/>
        <v>2.3375916662677874E-3</v>
      </c>
      <c r="P97" s="40">
        <f t="shared" si="25"/>
        <v>-4.3679752008790812E-3</v>
      </c>
      <c r="Q97" s="40">
        <f t="shared" si="26"/>
        <v>-1.1600607305661888E-3</v>
      </c>
    </row>
    <row r="98" spans="1:17" x14ac:dyDescent="0.2">
      <c r="A98" s="25">
        <v>45294</v>
      </c>
      <c r="B98" s="26">
        <v>183.55346700000001</v>
      </c>
      <c r="C98" s="26">
        <v>59.026195999999999</v>
      </c>
      <c r="D98" s="26">
        <v>168.35960399999999</v>
      </c>
      <c r="E98" s="26">
        <v>16.433568999999999</v>
      </c>
      <c r="F98" s="30">
        <f t="shared" si="15"/>
        <v>-7.5158087877084971E-3</v>
      </c>
      <c r="G98" s="30">
        <f t="shared" si="16"/>
        <v>2.3375916662677874E-3</v>
      </c>
      <c r="H98" s="30">
        <f t="shared" si="17"/>
        <v>-4.3679752008790812E-3</v>
      </c>
      <c r="I98" s="30">
        <f t="shared" si="18"/>
        <v>-1.1600607305661888E-3</v>
      </c>
      <c r="J98" s="15">
        <f t="shared" si="19"/>
        <v>-7.5441233697862908E-3</v>
      </c>
      <c r="K98" s="15">
        <f t="shared" si="20"/>
        <v>2.3348616265224981E-3</v>
      </c>
      <c r="L98" s="15">
        <f t="shared" si="21"/>
        <v>-4.3775287093214908E-3</v>
      </c>
      <c r="M98" s="15">
        <f t="shared" si="22"/>
        <v>-1.1607338612811887E-3</v>
      </c>
      <c r="N98" s="40">
        <f t="shared" si="23"/>
        <v>-1.2781428001649012E-2</v>
      </c>
      <c r="O98" s="40">
        <f t="shared" si="24"/>
        <v>-3.3411282708156569E-3</v>
      </c>
      <c r="P98" s="40">
        <f t="shared" si="25"/>
        <v>6.6141593258210608E-3</v>
      </c>
      <c r="Q98" s="40">
        <f t="shared" si="26"/>
        <v>-4.6539918884881352E-3</v>
      </c>
    </row>
    <row r="99" spans="1:17" x14ac:dyDescent="0.2">
      <c r="A99" s="25">
        <v>45295</v>
      </c>
      <c r="B99" s="26">
        <v>181.22232099999999</v>
      </c>
      <c r="C99" s="26">
        <v>58.829310999999997</v>
      </c>
      <c r="D99" s="26">
        <v>169.47685200000001</v>
      </c>
      <c r="E99" s="26">
        <v>16.357265000000002</v>
      </c>
      <c r="F99" s="30">
        <f t="shared" si="15"/>
        <v>-1.2781428001649012E-2</v>
      </c>
      <c r="G99" s="30">
        <f t="shared" si="16"/>
        <v>-3.3411282708156569E-3</v>
      </c>
      <c r="H99" s="30">
        <f t="shared" si="17"/>
        <v>6.6141593258210608E-3</v>
      </c>
      <c r="I99" s="30">
        <f t="shared" si="18"/>
        <v>-4.6539918884881352E-3</v>
      </c>
      <c r="J99" s="15">
        <f t="shared" si="19"/>
        <v>-1.2863459573503742E-2</v>
      </c>
      <c r="K99" s="15">
        <f t="shared" si="20"/>
        <v>-3.346716061318511E-3</v>
      </c>
      <c r="L99" s="15">
        <f t="shared" si="21"/>
        <v>6.5923339194429789E-3</v>
      </c>
      <c r="M99" s="15">
        <f t="shared" si="22"/>
        <v>-4.6648385289348076E-3</v>
      </c>
      <c r="N99" s="40">
        <f t="shared" si="23"/>
        <v>-4.0210117830922973E-3</v>
      </c>
      <c r="O99" s="40">
        <f t="shared" si="24"/>
        <v>-1.5071191150336566E-3</v>
      </c>
      <c r="P99" s="40">
        <f t="shared" si="25"/>
        <v>5.0046366419241994E-3</v>
      </c>
      <c r="Q99" s="40">
        <f t="shared" si="26"/>
        <v>1.8487103983690103E-2</v>
      </c>
    </row>
    <row r="100" spans="1:17" x14ac:dyDescent="0.2">
      <c r="A100" s="25">
        <v>45296</v>
      </c>
      <c r="B100" s="26">
        <v>180.49508700000001</v>
      </c>
      <c r="C100" s="26">
        <v>58.740715000000002</v>
      </c>
      <c r="D100" s="26">
        <v>170.32714799999999</v>
      </c>
      <c r="E100" s="26">
        <v>16.662476000000002</v>
      </c>
      <c r="F100" s="30">
        <f t="shared" si="15"/>
        <v>-4.0210117830922973E-3</v>
      </c>
      <c r="G100" s="30">
        <f t="shared" si="16"/>
        <v>-1.5071191150336566E-3</v>
      </c>
      <c r="H100" s="30">
        <f t="shared" si="17"/>
        <v>5.0046366419241994E-3</v>
      </c>
      <c r="I100" s="30">
        <f t="shared" si="18"/>
        <v>1.8487103983690103E-2</v>
      </c>
      <c r="J100" s="15">
        <f t="shared" si="19"/>
        <v>-4.0291068975189413E-3</v>
      </c>
      <c r="K100" s="15">
        <f t="shared" si="20"/>
        <v>-1.5082553898091886E-3</v>
      </c>
      <c r="L100" s="15">
        <f t="shared" si="21"/>
        <v>4.9921343131981875E-3</v>
      </c>
      <c r="M100" s="15">
        <f t="shared" si="22"/>
        <v>1.8317265693285911E-2</v>
      </c>
      <c r="N100" s="40">
        <f t="shared" si="23"/>
        <v>2.3887222589555022E-2</v>
      </c>
      <c r="O100" s="40">
        <f t="shared" si="24"/>
        <v>7.3468937372898847E-3</v>
      </c>
      <c r="P100" s="40">
        <f t="shared" si="25"/>
        <v>-1.4521496056958624E-3</v>
      </c>
      <c r="Q100" s="40">
        <f t="shared" si="26"/>
        <v>-8.62337357891769E-3</v>
      </c>
    </row>
    <row r="101" spans="1:17" x14ac:dyDescent="0.2">
      <c r="A101" s="25">
        <v>45299</v>
      </c>
      <c r="B101" s="26">
        <v>184.858521</v>
      </c>
      <c r="C101" s="26">
        <v>59.173865999999997</v>
      </c>
      <c r="D101" s="26">
        <v>170.07998699999999</v>
      </c>
      <c r="E101" s="26">
        <v>16.519407000000001</v>
      </c>
      <c r="F101" s="30">
        <f t="shared" si="15"/>
        <v>2.3887222589555022E-2</v>
      </c>
      <c r="G101" s="30">
        <f t="shared" si="16"/>
        <v>7.3468937372898847E-3</v>
      </c>
      <c r="H101" s="30">
        <f t="shared" si="17"/>
        <v>-1.4521496056958624E-3</v>
      </c>
      <c r="I101" s="30">
        <f t="shared" si="18"/>
        <v>-8.62337357891769E-3</v>
      </c>
      <c r="J101" s="15">
        <f t="shared" si="19"/>
        <v>2.3604181059092125E-2</v>
      </c>
      <c r="K101" s="15">
        <f t="shared" si="20"/>
        <v>7.3199712859726828E-3</v>
      </c>
      <c r="L101" s="15">
        <f t="shared" si="21"/>
        <v>-1.4532044854872052E-3</v>
      </c>
      <c r="M101" s="15">
        <f t="shared" si="22"/>
        <v>-8.6606619717039812E-3</v>
      </c>
      <c r="N101" s="40">
        <f t="shared" si="23"/>
        <v>-2.2659828390601978E-3</v>
      </c>
      <c r="O101" s="40">
        <f t="shared" si="24"/>
        <v>-1.8316735365529078E-3</v>
      </c>
      <c r="P101" s="40">
        <f t="shared" si="25"/>
        <v>-7.9374988566027482E-3</v>
      </c>
      <c r="Q101" s="40">
        <f t="shared" si="26"/>
        <v>-5.4130016942953952E-3</v>
      </c>
    </row>
    <row r="102" spans="1:17" x14ac:dyDescent="0.2">
      <c r="A102" s="25">
        <v>45300</v>
      </c>
      <c r="B102" s="26">
        <v>184.44010900000001</v>
      </c>
      <c r="C102" s="26">
        <v>59.065578000000002</v>
      </c>
      <c r="D102" s="26">
        <v>168.735321</v>
      </c>
      <c r="E102" s="26">
        <v>16.430229000000001</v>
      </c>
      <c r="F102" s="30">
        <f t="shared" si="15"/>
        <v>-2.2659828390601978E-3</v>
      </c>
      <c r="G102" s="30">
        <f t="shared" si="16"/>
        <v>-1.8316735365529078E-3</v>
      </c>
      <c r="H102" s="30">
        <f t="shared" si="17"/>
        <v>-7.9374988566027482E-3</v>
      </c>
      <c r="I102" s="30">
        <f t="shared" si="18"/>
        <v>-5.4130016942953952E-3</v>
      </c>
      <c r="J102" s="15">
        <f t="shared" si="19"/>
        <v>-2.2685521184548276E-3</v>
      </c>
      <c r="K102" s="15">
        <f t="shared" si="20"/>
        <v>-1.8333520752136653E-3</v>
      </c>
      <c r="L102" s="15">
        <f t="shared" si="21"/>
        <v>-7.9690843151920127E-3</v>
      </c>
      <c r="M102" s="15">
        <f t="shared" si="22"/>
        <v>-5.4276784577987573E-3</v>
      </c>
      <c r="N102" s="40">
        <f t="shared" si="23"/>
        <v>5.655471783241264E-3</v>
      </c>
      <c r="O102" s="40">
        <f t="shared" si="24"/>
        <v>3.3277857054118689E-3</v>
      </c>
      <c r="P102" s="40">
        <f t="shared" si="25"/>
        <v>2.1072476150256008E-3</v>
      </c>
      <c r="Q102" s="40">
        <f t="shared" si="26"/>
        <v>-4.7308269784354078E-3</v>
      </c>
    </row>
    <row r="103" spans="1:17" x14ac:dyDescent="0.2">
      <c r="A103" s="25">
        <v>45301</v>
      </c>
      <c r="B103" s="26">
        <v>185.48616000000001</v>
      </c>
      <c r="C103" s="26">
        <v>59.262462999999997</v>
      </c>
      <c r="D103" s="26">
        <v>169.091263</v>
      </c>
      <c r="E103" s="26">
        <v>16.352684</v>
      </c>
      <c r="F103" s="30">
        <f t="shared" si="15"/>
        <v>5.655471783241264E-3</v>
      </c>
      <c r="G103" s="30">
        <f t="shared" si="16"/>
        <v>3.3277857054118689E-3</v>
      </c>
      <c r="H103" s="30">
        <f t="shared" si="17"/>
        <v>2.1072476150256008E-3</v>
      </c>
      <c r="I103" s="30">
        <f t="shared" si="18"/>
        <v>-4.7308269784354078E-3</v>
      </c>
      <c r="J103" s="15">
        <f t="shared" si="19"/>
        <v>5.6395097078941392E-3</v>
      </c>
      <c r="K103" s="15">
        <f t="shared" si="20"/>
        <v>3.3222547635253477E-3</v>
      </c>
      <c r="L103" s="15">
        <f t="shared" si="21"/>
        <v>2.1050289274851465E-3</v>
      </c>
      <c r="M103" s="15">
        <f t="shared" si="22"/>
        <v>-4.7420350078311692E-3</v>
      </c>
      <c r="N103" s="40">
        <f t="shared" si="23"/>
        <v>-3.2278053849822972E-3</v>
      </c>
      <c r="O103" s="40">
        <f t="shared" si="24"/>
        <v>-6.4994939061170766E-3</v>
      </c>
      <c r="P103" s="40">
        <f t="shared" si="25"/>
        <v>-4.2189451011928857E-3</v>
      </c>
      <c r="Q103" s="40">
        <f t="shared" si="26"/>
        <v>-3.8675610583800438E-2</v>
      </c>
    </row>
    <row r="104" spans="1:17" x14ac:dyDescent="0.2">
      <c r="A104" s="25">
        <v>45302</v>
      </c>
      <c r="B104" s="26">
        <v>184.88841199999999</v>
      </c>
      <c r="C104" s="26">
        <v>58.878535999999997</v>
      </c>
      <c r="D104" s="26">
        <v>168.379379</v>
      </c>
      <c r="E104" s="26">
        <v>15.732308</v>
      </c>
      <c r="F104" s="30">
        <f t="shared" si="15"/>
        <v>-3.2278053849822972E-3</v>
      </c>
      <c r="G104" s="30">
        <f t="shared" si="16"/>
        <v>-6.4994939061170766E-3</v>
      </c>
      <c r="H104" s="30">
        <f t="shared" si="17"/>
        <v>-4.2189451011928857E-3</v>
      </c>
      <c r="I104" s="30">
        <f t="shared" si="18"/>
        <v>-3.8675610583800438E-2</v>
      </c>
      <c r="J104" s="15">
        <f t="shared" si="19"/>
        <v>-3.2330203582473529E-3</v>
      </c>
      <c r="K104" s="15">
        <f t="shared" si="20"/>
        <v>-6.5206614512290173E-3</v>
      </c>
      <c r="L104" s="15">
        <f t="shared" si="21"/>
        <v>-4.2278573791390316E-3</v>
      </c>
      <c r="M104" s="15">
        <f t="shared" si="22"/>
        <v>-3.9433247810810736E-2</v>
      </c>
      <c r="N104" s="40">
        <f t="shared" si="23"/>
        <v>1.776525989713901E-3</v>
      </c>
      <c r="O104" s="40">
        <f t="shared" si="24"/>
        <v>9.6506195124218454E-3</v>
      </c>
      <c r="P104" s="40">
        <f t="shared" si="25"/>
        <v>-7.3671383000021009E-3</v>
      </c>
      <c r="Q104" s="40">
        <f t="shared" si="26"/>
        <v>1.5286157688589852E-2</v>
      </c>
    </row>
    <row r="105" spans="1:17" x14ac:dyDescent="0.2">
      <c r="A105" s="25">
        <v>45303</v>
      </c>
      <c r="B105" s="26">
        <v>185.217163</v>
      </c>
      <c r="C105" s="26">
        <v>59.449500999999998</v>
      </c>
      <c r="D105" s="26">
        <v>167.143463</v>
      </c>
      <c r="E105" s="26">
        <v>15.974641999999999</v>
      </c>
      <c r="F105" s="30">
        <f t="shared" si="15"/>
        <v>1.776525989713901E-3</v>
      </c>
      <c r="G105" s="30">
        <f t="shared" si="16"/>
        <v>9.6506195124218454E-3</v>
      </c>
      <c r="H105" s="30">
        <f t="shared" si="17"/>
        <v>-7.3671383000021009E-3</v>
      </c>
      <c r="I105" s="30">
        <f t="shared" si="18"/>
        <v>1.5286157688589852E-2</v>
      </c>
      <c r="J105" s="15">
        <f t="shared" si="19"/>
        <v>1.7749489014687646E-3</v>
      </c>
      <c r="K105" s="15">
        <f t="shared" si="20"/>
        <v>9.6042017240817734E-3</v>
      </c>
      <c r="L105" s="15">
        <f t="shared" si="21"/>
        <v>-7.3943424278579365E-3</v>
      </c>
      <c r="M105" s="15">
        <f t="shared" si="22"/>
        <v>1.5169917422875556E-2</v>
      </c>
      <c r="N105" s="40">
        <f t="shared" si="23"/>
        <v>-1.2393598825964395E-2</v>
      </c>
      <c r="O105" s="40">
        <f t="shared" si="24"/>
        <v>-6.6456043485522889E-3</v>
      </c>
      <c r="P105" s="40">
        <f t="shared" si="25"/>
        <v>-6.2900128628262742E-3</v>
      </c>
      <c r="Q105" s="40">
        <f t="shared" si="26"/>
        <v>-2.4301095699120847E-3</v>
      </c>
    </row>
    <row r="106" spans="1:17" x14ac:dyDescent="0.2">
      <c r="A106" s="25">
        <v>45307</v>
      </c>
      <c r="B106" s="26">
        <v>182.935822</v>
      </c>
      <c r="C106" s="26">
        <v>59.055732999999996</v>
      </c>
      <c r="D106" s="26">
        <v>166.095428</v>
      </c>
      <c r="E106" s="26">
        <v>15.935869</v>
      </c>
      <c r="F106" s="30">
        <f t="shared" si="15"/>
        <v>-1.2393598825964395E-2</v>
      </c>
      <c r="G106" s="30">
        <f t="shared" si="16"/>
        <v>-6.6456043485522889E-3</v>
      </c>
      <c r="H106" s="30">
        <f t="shared" si="17"/>
        <v>-6.2900128628262742E-3</v>
      </c>
      <c r="I106" s="30">
        <f t="shared" si="18"/>
        <v>-2.4301095699120847E-3</v>
      </c>
      <c r="J106" s="15">
        <f t="shared" si="19"/>
        <v>-1.247071773619055E-2</v>
      </c>
      <c r="K106" s="15">
        <f t="shared" si="20"/>
        <v>-6.6677353746502728E-3</v>
      </c>
      <c r="L106" s="15">
        <f t="shared" si="21"/>
        <v>-6.3098365356570726E-3</v>
      </c>
      <c r="M106" s="15">
        <f t="shared" si="22"/>
        <v>-2.4330646794347428E-3</v>
      </c>
      <c r="N106" s="40">
        <f t="shared" si="23"/>
        <v>-5.186893307744119E-3</v>
      </c>
      <c r="O106" s="40">
        <f t="shared" si="24"/>
        <v>0</v>
      </c>
      <c r="P106" s="40">
        <f t="shared" si="25"/>
        <v>-5.371937640172391E-3</v>
      </c>
      <c r="Q106" s="40">
        <f t="shared" si="26"/>
        <v>-1.8264811991713004E-3</v>
      </c>
    </row>
    <row r="107" spans="1:17" x14ac:dyDescent="0.2">
      <c r="A107" s="25">
        <v>45308</v>
      </c>
      <c r="B107" s="26">
        <v>181.98940999999999</v>
      </c>
      <c r="C107" s="26">
        <v>59.055732999999996</v>
      </c>
      <c r="D107" s="26">
        <v>165.205566</v>
      </c>
      <c r="E107" s="26">
        <v>15.906789</v>
      </c>
      <c r="F107" s="30">
        <f t="shared" si="15"/>
        <v>-5.186893307744119E-3</v>
      </c>
      <c r="G107" s="30">
        <f t="shared" si="16"/>
        <v>0</v>
      </c>
      <c r="H107" s="30">
        <f t="shared" si="17"/>
        <v>-5.371937640172391E-3</v>
      </c>
      <c r="I107" s="30">
        <f t="shared" si="18"/>
        <v>-1.8264811991713004E-3</v>
      </c>
      <c r="J107" s="15">
        <f t="shared" si="19"/>
        <v>-5.200368526937965E-3</v>
      </c>
      <c r="K107" s="15">
        <f t="shared" si="20"/>
        <v>0</v>
      </c>
      <c r="L107" s="15">
        <f t="shared" si="21"/>
        <v>-5.3863923688866134E-3</v>
      </c>
      <c r="M107" s="15">
        <f t="shared" si="22"/>
        <v>-1.8281502319544465E-3</v>
      </c>
      <c r="N107" s="40">
        <f t="shared" si="23"/>
        <v>3.205143040647615E-2</v>
      </c>
      <c r="O107" s="40">
        <f t="shared" si="24"/>
        <v>2.8297562882526783E-3</v>
      </c>
      <c r="P107" s="40">
        <f t="shared" si="25"/>
        <v>1.9731308295413211E-3</v>
      </c>
      <c r="Q107" s="40">
        <f t="shared" si="26"/>
        <v>-6.0961109656987951E-4</v>
      </c>
    </row>
    <row r="108" spans="1:17" x14ac:dyDescent="0.2">
      <c r="A108" s="25">
        <v>45309</v>
      </c>
      <c r="B108" s="26">
        <v>187.91691599999999</v>
      </c>
      <c r="C108" s="26">
        <v>59.223083000000003</v>
      </c>
      <c r="D108" s="26">
        <v>165.53185999999999</v>
      </c>
      <c r="E108" s="26">
        <v>15.897095</v>
      </c>
      <c r="F108" s="30">
        <f t="shared" si="15"/>
        <v>3.205143040647615E-2</v>
      </c>
      <c r="G108" s="30">
        <f t="shared" si="16"/>
        <v>2.8297562882526783E-3</v>
      </c>
      <c r="H108" s="30">
        <f t="shared" si="17"/>
        <v>1.9731308295413211E-3</v>
      </c>
      <c r="I108" s="30">
        <f t="shared" si="18"/>
        <v>-6.0961109656987951E-4</v>
      </c>
      <c r="J108" s="15">
        <f t="shared" si="19"/>
        <v>3.154322732712362E-2</v>
      </c>
      <c r="K108" s="15">
        <f t="shared" si="20"/>
        <v>2.8257563018123542E-3</v>
      </c>
      <c r="L108" s="15">
        <f t="shared" si="21"/>
        <v>1.9711854865884434E-3</v>
      </c>
      <c r="M108" s="15">
        <f t="shared" si="22"/>
        <v>-6.0979694717806288E-4</v>
      </c>
      <c r="N108" s="40">
        <f t="shared" si="23"/>
        <v>1.5413605907075779E-2</v>
      </c>
      <c r="O108" s="40">
        <f t="shared" si="24"/>
        <v>-5.5003761178523645E-3</v>
      </c>
      <c r="P108" s="40">
        <f t="shared" si="25"/>
        <v>1.7114591700558776E-2</v>
      </c>
      <c r="Q108" s="40">
        <f t="shared" si="26"/>
        <v>1.6329333065123283E-2</v>
      </c>
    </row>
    <row r="109" spans="1:17" x14ac:dyDescent="0.2">
      <c r="A109" s="25">
        <v>45310</v>
      </c>
      <c r="B109" s="26">
        <v>190.83583100000001</v>
      </c>
      <c r="C109" s="26">
        <v>58.898228000000003</v>
      </c>
      <c r="D109" s="26">
        <v>168.389252</v>
      </c>
      <c r="E109" s="26">
        <v>16.158815000000001</v>
      </c>
      <c r="F109" s="30">
        <f t="shared" si="15"/>
        <v>1.5413605907075779E-2</v>
      </c>
      <c r="G109" s="30">
        <f t="shared" si="16"/>
        <v>-5.5003761178523645E-3</v>
      </c>
      <c r="H109" s="30">
        <f t="shared" si="17"/>
        <v>1.7114591700558776E-2</v>
      </c>
      <c r="I109" s="30">
        <f t="shared" si="18"/>
        <v>1.6329333065123283E-2</v>
      </c>
      <c r="J109" s="15">
        <f t="shared" si="19"/>
        <v>1.529542426442981E-2</v>
      </c>
      <c r="K109" s="15">
        <f t="shared" si="20"/>
        <v>-5.5155309596071284E-3</v>
      </c>
      <c r="L109" s="15">
        <f t="shared" si="21"/>
        <v>1.69689690170962E-2</v>
      </c>
      <c r="M109" s="15">
        <f t="shared" si="22"/>
        <v>1.6196732248002121E-2</v>
      </c>
      <c r="N109" s="40">
        <f t="shared" si="23"/>
        <v>1.2089939794405298E-2</v>
      </c>
      <c r="O109" s="40">
        <f t="shared" si="24"/>
        <v>-4.3551865509223759E-3</v>
      </c>
      <c r="P109" s="40">
        <f t="shared" si="25"/>
        <v>-1.1749870658817193E-3</v>
      </c>
      <c r="Q109" s="40">
        <f t="shared" si="26"/>
        <v>7.7681556093607577E-3</v>
      </c>
    </row>
    <row r="110" spans="1:17" x14ac:dyDescent="0.2">
      <c r="A110" s="25">
        <v>45313</v>
      </c>
      <c r="B110" s="26">
        <v>193.157028</v>
      </c>
      <c r="C110" s="26">
        <v>58.642273000000003</v>
      </c>
      <c r="D110" s="26">
        <v>168.19151299999999</v>
      </c>
      <c r="E110" s="26">
        <v>16.284828000000001</v>
      </c>
      <c r="F110" s="30">
        <f t="shared" si="15"/>
        <v>1.2089939794405298E-2</v>
      </c>
      <c r="G110" s="30">
        <f t="shared" si="16"/>
        <v>-4.3551865509223759E-3</v>
      </c>
      <c r="H110" s="30">
        <f t="shared" si="17"/>
        <v>-1.1749870658817193E-3</v>
      </c>
      <c r="I110" s="30">
        <f t="shared" si="18"/>
        <v>7.7681556093607577E-3</v>
      </c>
      <c r="J110" s="15">
        <f t="shared" si="19"/>
        <v>1.20171501085634E-2</v>
      </c>
      <c r="K110" s="15">
        <f t="shared" si="20"/>
        <v>-4.3646841588149245E-3</v>
      </c>
      <c r="L110" s="15">
        <f t="shared" si="21"/>
        <v>-1.1756776336271663E-3</v>
      </c>
      <c r="M110" s="15">
        <f t="shared" si="22"/>
        <v>7.7380614643274325E-3</v>
      </c>
      <c r="N110" s="40">
        <f t="shared" si="23"/>
        <v>6.6312354047433934E-3</v>
      </c>
      <c r="O110" s="40">
        <f t="shared" si="24"/>
        <v>4.6892664291325829E-3</v>
      </c>
      <c r="P110" s="40">
        <f t="shared" si="25"/>
        <v>-6.605698786174531E-3</v>
      </c>
      <c r="Q110" s="40">
        <f t="shared" si="26"/>
        <v>2.2949014004003898E-2</v>
      </c>
    </row>
    <row r="111" spans="1:17" x14ac:dyDescent="0.2">
      <c r="A111" s="25">
        <v>45314</v>
      </c>
      <c r="B111" s="26">
        <v>194.44215399999999</v>
      </c>
      <c r="C111" s="26">
        <v>58.917907999999997</v>
      </c>
      <c r="D111" s="26">
        <v>167.08415199999999</v>
      </c>
      <c r="E111" s="26">
        <v>16.662870000000002</v>
      </c>
      <c r="F111" s="30">
        <f t="shared" si="15"/>
        <v>6.6312354047433934E-3</v>
      </c>
      <c r="G111" s="30">
        <f t="shared" si="16"/>
        <v>4.6892664291325829E-3</v>
      </c>
      <c r="H111" s="30">
        <f t="shared" si="17"/>
        <v>-6.605698786174531E-3</v>
      </c>
      <c r="I111" s="30">
        <f t="shared" si="18"/>
        <v>2.2949014004003898E-2</v>
      </c>
      <c r="J111" s="15">
        <f t="shared" si="19"/>
        <v>6.6092972823166276E-3</v>
      </c>
      <c r="K111" s="15">
        <f t="shared" si="20"/>
        <v>4.6782889847343878E-3</v>
      </c>
      <c r="L111" s="15">
        <f t="shared" si="21"/>
        <v>-6.6275645340678237E-3</v>
      </c>
      <c r="M111" s="15">
        <f t="shared" si="22"/>
        <v>2.2687688255384614E-2</v>
      </c>
      <c r="N111" s="40">
        <f t="shared" si="23"/>
        <v>-3.4900447377881711E-3</v>
      </c>
      <c r="O111" s="40">
        <f t="shared" si="24"/>
        <v>-1.5830462198802939E-2</v>
      </c>
      <c r="P111" s="40">
        <f t="shared" si="25"/>
        <v>8.8957289910188905E-3</v>
      </c>
      <c r="Q111" s="40">
        <f t="shared" si="26"/>
        <v>-3.011736741564745E-2</v>
      </c>
    </row>
    <row r="112" spans="1:17" x14ac:dyDescent="0.2">
      <c r="A112" s="25">
        <v>45315</v>
      </c>
      <c r="B112" s="26">
        <v>193.764725</v>
      </c>
      <c r="C112" s="26">
        <v>57.992553999999998</v>
      </c>
      <c r="D112" s="26">
        <v>168.57711800000001</v>
      </c>
      <c r="E112" s="26">
        <v>16.168510000000001</v>
      </c>
      <c r="F112" s="30">
        <f t="shared" si="15"/>
        <v>-3.4900447377881711E-3</v>
      </c>
      <c r="G112" s="30">
        <f t="shared" si="16"/>
        <v>-1.5830462198802939E-2</v>
      </c>
      <c r="H112" s="30">
        <f t="shared" si="17"/>
        <v>8.8957289910188905E-3</v>
      </c>
      <c r="I112" s="30">
        <f t="shared" si="18"/>
        <v>-3.011736741564745E-2</v>
      </c>
      <c r="J112" s="15">
        <f t="shared" si="19"/>
        <v>-3.4961420351407586E-3</v>
      </c>
      <c r="K112" s="15">
        <f t="shared" si="20"/>
        <v>-1.5956427785539479E-2</v>
      </c>
      <c r="L112" s="15">
        <f t="shared" si="21"/>
        <v>8.8562790591782681E-3</v>
      </c>
      <c r="M112" s="15">
        <f t="shared" si="22"/>
        <v>-3.0575482836699256E-2</v>
      </c>
      <c r="N112" s="40">
        <f t="shared" si="23"/>
        <v>-1.6980138057580752E-3</v>
      </c>
      <c r="O112" s="40">
        <f t="shared" si="24"/>
        <v>4.2347552165082781E-3</v>
      </c>
      <c r="P112" s="40">
        <f t="shared" si="25"/>
        <v>1.4209382167514918E-2</v>
      </c>
      <c r="Q112" s="40">
        <f t="shared" si="26"/>
        <v>2.9535485641168389E-2</v>
      </c>
    </row>
    <row r="113" spans="1:17" x14ac:dyDescent="0.2">
      <c r="A113" s="25">
        <v>45316</v>
      </c>
      <c r="B113" s="26">
        <v>193.43598900000001</v>
      </c>
      <c r="C113" s="26">
        <v>58.238658999999998</v>
      </c>
      <c r="D113" s="26">
        <v>170.98959400000001</v>
      </c>
      <c r="E113" s="26">
        <v>16.653176999999999</v>
      </c>
      <c r="F113" s="30">
        <f t="shared" si="15"/>
        <v>-1.6980138057580752E-3</v>
      </c>
      <c r="G113" s="30">
        <f t="shared" si="16"/>
        <v>4.2347552165082781E-3</v>
      </c>
      <c r="H113" s="30">
        <f t="shared" si="17"/>
        <v>1.4209382167514918E-2</v>
      </c>
      <c r="I113" s="30">
        <f t="shared" si="18"/>
        <v>2.9535485641168389E-2</v>
      </c>
      <c r="J113" s="15">
        <f t="shared" si="19"/>
        <v>-1.6994562475134455E-3</v>
      </c>
      <c r="K113" s="15">
        <f t="shared" si="20"/>
        <v>4.2258012843324573E-3</v>
      </c>
      <c r="L113" s="15">
        <f t="shared" si="21"/>
        <v>1.4108905364147469E-2</v>
      </c>
      <c r="M113" s="15">
        <f t="shared" si="22"/>
        <v>2.9103575852223163E-2</v>
      </c>
      <c r="N113" s="40">
        <f t="shared" si="23"/>
        <v>-9.053703332614238E-3</v>
      </c>
      <c r="O113" s="40">
        <f t="shared" si="24"/>
        <v>3.5433502166368901E-3</v>
      </c>
      <c r="P113" s="40">
        <f t="shared" si="25"/>
        <v>-3.8235737207052796E-3</v>
      </c>
      <c r="Q113" s="40">
        <f t="shared" si="26"/>
        <v>6.382391439619532E-3</v>
      </c>
    </row>
    <row r="114" spans="1:17" x14ac:dyDescent="0.2">
      <c r="A114" s="25">
        <v>45317</v>
      </c>
      <c r="B114" s="26">
        <v>191.69258099999999</v>
      </c>
      <c r="C114" s="26">
        <v>58.445385000000002</v>
      </c>
      <c r="D114" s="26">
        <v>170.337051</v>
      </c>
      <c r="E114" s="26">
        <v>16.759803999999999</v>
      </c>
      <c r="F114" s="30">
        <f t="shared" si="15"/>
        <v>-9.053703332614238E-3</v>
      </c>
      <c r="G114" s="30">
        <f t="shared" si="16"/>
        <v>3.5433502166368901E-3</v>
      </c>
      <c r="H114" s="30">
        <f t="shared" si="17"/>
        <v>-3.8235737207052796E-3</v>
      </c>
      <c r="I114" s="30">
        <f t="shared" si="18"/>
        <v>6.382391439619532E-3</v>
      </c>
      <c r="J114" s="15">
        <f t="shared" si="19"/>
        <v>-9.0948120730870458E-3</v>
      </c>
      <c r="K114" s="15">
        <f t="shared" si="20"/>
        <v>3.53707995935014E-3</v>
      </c>
      <c r="L114" s="15">
        <f t="shared" si="21"/>
        <v>-3.8308929042103032E-3</v>
      </c>
      <c r="M114" s="15">
        <f t="shared" si="22"/>
        <v>6.3620672413591227E-3</v>
      </c>
      <c r="N114" s="40">
        <f t="shared" si="23"/>
        <v>-3.5923582258243084E-3</v>
      </c>
      <c r="O114" s="40">
        <f t="shared" si="24"/>
        <v>6.045418986824742E-3</v>
      </c>
      <c r="P114" s="40">
        <f t="shared" si="25"/>
        <v>2.608569026138582E-3</v>
      </c>
      <c r="Q114" s="40">
        <f t="shared" si="26"/>
        <v>-2.3161320398991719E-3</v>
      </c>
    </row>
    <row r="115" spans="1:17" x14ac:dyDescent="0.2">
      <c r="A115" s="25">
        <v>45320</v>
      </c>
      <c r="B115" s="26">
        <v>191.005188</v>
      </c>
      <c r="C115" s="26">
        <v>58.799782</v>
      </c>
      <c r="D115" s="26">
        <v>170.78196700000001</v>
      </c>
      <c r="E115" s="26">
        <v>16.721031</v>
      </c>
      <c r="F115" s="30">
        <f t="shared" si="15"/>
        <v>-3.5923582258243084E-3</v>
      </c>
      <c r="G115" s="30">
        <f t="shared" si="16"/>
        <v>6.045418986824742E-3</v>
      </c>
      <c r="H115" s="30">
        <f t="shared" si="17"/>
        <v>2.608569026138582E-3</v>
      </c>
      <c r="I115" s="30">
        <f t="shared" si="18"/>
        <v>-2.3161320398991719E-3</v>
      </c>
      <c r="J115" s="15">
        <f t="shared" si="19"/>
        <v>-3.5988184781660794E-3</v>
      </c>
      <c r="K115" s="15">
        <f t="shared" si="20"/>
        <v>6.0271822096210955E-3</v>
      </c>
      <c r="L115" s="15">
        <f t="shared" si="21"/>
        <v>2.6051696664203794E-3</v>
      </c>
      <c r="M115" s="15">
        <f t="shared" si="22"/>
        <v>-2.3188163457145113E-3</v>
      </c>
      <c r="N115" s="40">
        <f t="shared" si="23"/>
        <v>-1.9433375980611085E-2</v>
      </c>
      <c r="O115" s="40">
        <f t="shared" si="24"/>
        <v>2.842073474480988E-3</v>
      </c>
      <c r="P115" s="40">
        <f t="shared" si="25"/>
        <v>2.0287319345977977E-2</v>
      </c>
      <c r="Q115" s="40">
        <f t="shared" si="26"/>
        <v>1.610156507641821E-2</v>
      </c>
    </row>
    <row r="116" spans="1:17" x14ac:dyDescent="0.2">
      <c r="A116" s="25">
        <v>45321</v>
      </c>
      <c r="B116" s="26">
        <v>187.32914700000001</v>
      </c>
      <c r="C116" s="26">
        <v>58.967132999999997</v>
      </c>
      <c r="D116" s="26">
        <v>174.282059</v>
      </c>
      <c r="E116" s="26">
        <v>16.992445</v>
      </c>
      <c r="F116" s="30">
        <f t="shared" si="15"/>
        <v>-1.9433375980611085E-2</v>
      </c>
      <c r="G116" s="30">
        <f t="shared" si="16"/>
        <v>2.842073474480988E-3</v>
      </c>
      <c r="H116" s="30">
        <f t="shared" si="17"/>
        <v>2.0287319345977977E-2</v>
      </c>
      <c r="I116" s="30">
        <f t="shared" si="18"/>
        <v>1.610156507641821E-2</v>
      </c>
      <c r="J116" s="15">
        <f t="shared" si="19"/>
        <v>-1.9623433186294271E-2</v>
      </c>
      <c r="K116" s="15">
        <f t="shared" si="20"/>
        <v>2.8380386070320984E-3</v>
      </c>
      <c r="L116" s="15">
        <f t="shared" si="21"/>
        <v>2.0082916279982641E-2</v>
      </c>
      <c r="M116" s="15">
        <f t="shared" si="22"/>
        <v>1.5972627835488067E-2</v>
      </c>
      <c r="N116" s="40">
        <f t="shared" si="23"/>
        <v>-1.9547375416428876E-2</v>
      </c>
      <c r="O116" s="40">
        <f t="shared" si="24"/>
        <v>-6.8682608284900979E-3</v>
      </c>
      <c r="P116" s="40">
        <f t="shared" si="25"/>
        <v>-1.0894867940747696E-2</v>
      </c>
      <c r="Q116" s="40">
        <f t="shared" si="26"/>
        <v>9.08571462661973E-3</v>
      </c>
    </row>
    <row r="117" spans="1:17" x14ac:dyDescent="0.2">
      <c r="A117" s="25">
        <v>45322</v>
      </c>
      <c r="B117" s="26">
        <v>183.702911</v>
      </c>
      <c r="C117" s="26">
        <v>58.563518999999999</v>
      </c>
      <c r="D117" s="26">
        <v>172.393585</v>
      </c>
      <c r="E117" s="26">
        <v>17.147537</v>
      </c>
      <c r="F117" s="30">
        <f t="shared" si="15"/>
        <v>-1.9547375416428876E-2</v>
      </c>
      <c r="G117" s="30">
        <f t="shared" si="16"/>
        <v>-6.8682608284900979E-3</v>
      </c>
      <c r="H117" s="30">
        <f t="shared" si="17"/>
        <v>-1.0894867940747696E-2</v>
      </c>
      <c r="I117" s="30">
        <f t="shared" si="18"/>
        <v>9.08571462661973E-3</v>
      </c>
      <c r="J117" s="15">
        <f t="shared" si="19"/>
        <v>-1.9739676308123424E-2</v>
      </c>
      <c r="K117" s="15">
        <f t="shared" si="20"/>
        <v>-6.8919014241613022E-3</v>
      </c>
      <c r="L117" s="15">
        <f t="shared" si="21"/>
        <v>-1.0954433136244612E-2</v>
      </c>
      <c r="M117" s="15">
        <f t="shared" si="22"/>
        <v>9.0445642426664422E-3</v>
      </c>
      <c r="N117" s="40">
        <f t="shared" si="23"/>
        <v>1.3252435087594459E-2</v>
      </c>
      <c r="O117" s="40">
        <f t="shared" si="24"/>
        <v>2.4737724565590001E-2</v>
      </c>
      <c r="P117" s="40">
        <f t="shared" si="25"/>
        <v>-3.6197520984293389E-3</v>
      </c>
      <c r="Q117" s="40">
        <f t="shared" si="26"/>
        <v>1.9592162762490182E-2</v>
      </c>
    </row>
    <row r="118" spans="1:17" x14ac:dyDescent="0.2">
      <c r="A118" s="25">
        <v>45323</v>
      </c>
      <c r="B118" s="26">
        <v>186.15362500000001</v>
      </c>
      <c r="C118" s="26">
        <v>60.030315000000002</v>
      </c>
      <c r="D118" s="26">
        <v>171.770691</v>
      </c>
      <c r="E118" s="26">
        <v>17.486806999999999</v>
      </c>
      <c r="F118" s="30">
        <f t="shared" si="15"/>
        <v>1.3252435087594459E-2</v>
      </c>
      <c r="G118" s="30">
        <f t="shared" si="16"/>
        <v>2.4737724565590001E-2</v>
      </c>
      <c r="H118" s="30">
        <f t="shared" si="17"/>
        <v>-3.6197520984293389E-3</v>
      </c>
      <c r="I118" s="30">
        <f t="shared" si="18"/>
        <v>1.9592162762490182E-2</v>
      </c>
      <c r="J118" s="15">
        <f t="shared" si="19"/>
        <v>1.3165008202230846E-2</v>
      </c>
      <c r="K118" s="15">
        <f t="shared" si="20"/>
        <v>2.4434254592866991E-2</v>
      </c>
      <c r="L118" s="15">
        <f t="shared" si="21"/>
        <v>-3.6263113129119465E-3</v>
      </c>
      <c r="M118" s="15">
        <f t="shared" si="22"/>
        <v>1.940148364421241E-2</v>
      </c>
      <c r="N118" s="40">
        <f t="shared" si="23"/>
        <v>-5.4198470459970276E-3</v>
      </c>
      <c r="O118" s="40">
        <f t="shared" si="24"/>
        <v>-7.2416284624734579E-3</v>
      </c>
      <c r="P118" s="40">
        <f t="shared" si="25"/>
        <v>5.7395664242008678E-3</v>
      </c>
      <c r="Q118" s="40">
        <f t="shared" si="26"/>
        <v>-1.1709175802896356E-2</v>
      </c>
    </row>
    <row r="119" spans="1:17" x14ac:dyDescent="0.2">
      <c r="A119" s="25">
        <v>45324</v>
      </c>
      <c r="B119" s="26">
        <v>185.14743000000001</v>
      </c>
      <c r="C119" s="26">
        <v>59.597168000000003</v>
      </c>
      <c r="D119" s="26">
        <v>172.75941499999999</v>
      </c>
      <c r="E119" s="26">
        <v>17.283245000000001</v>
      </c>
      <c r="F119" s="30">
        <f t="shared" si="15"/>
        <v>-5.4198470459970276E-3</v>
      </c>
      <c r="G119" s="30">
        <f t="shared" si="16"/>
        <v>-7.2416284624734579E-3</v>
      </c>
      <c r="H119" s="30">
        <f t="shared" si="17"/>
        <v>5.7395664242008678E-3</v>
      </c>
      <c r="I119" s="30">
        <f t="shared" si="18"/>
        <v>-1.1709175802896356E-2</v>
      </c>
      <c r="J119" s="15">
        <f t="shared" si="19"/>
        <v>-5.4345609874249454E-3</v>
      </c>
      <c r="K119" s="15">
        <f t="shared" si="20"/>
        <v>-7.2679124618807078E-3</v>
      </c>
      <c r="L119" s="15">
        <f t="shared" si="21"/>
        <v>5.7231265803949997E-3</v>
      </c>
      <c r="M119" s="15">
        <f t="shared" si="22"/>
        <v>-1.1777996550994794E-2</v>
      </c>
      <c r="N119" s="40">
        <f t="shared" si="23"/>
        <v>9.7984505156412712E-3</v>
      </c>
      <c r="O119" s="40">
        <f t="shared" si="24"/>
        <v>-8.2933112377348989E-3</v>
      </c>
      <c r="P119" s="40">
        <f t="shared" si="25"/>
        <v>-1.3171600244696804E-3</v>
      </c>
      <c r="Q119" s="40">
        <f t="shared" si="26"/>
        <v>-5.6243984313423317E-3</v>
      </c>
    </row>
    <row r="120" spans="1:17" x14ac:dyDescent="0.2">
      <c r="A120" s="25">
        <v>45327</v>
      </c>
      <c r="B120" s="26">
        <v>186.970505</v>
      </c>
      <c r="C120" s="26">
        <v>59.104953999999999</v>
      </c>
      <c r="D120" s="26">
        <v>172.53201300000001</v>
      </c>
      <c r="E120" s="26">
        <v>17.186309999999999</v>
      </c>
      <c r="F120" s="30">
        <f t="shared" si="15"/>
        <v>9.7984505156412712E-3</v>
      </c>
      <c r="G120" s="30">
        <f t="shared" si="16"/>
        <v>-8.2933112377348989E-3</v>
      </c>
      <c r="H120" s="30">
        <f t="shared" si="17"/>
        <v>-1.3171600244696804E-3</v>
      </c>
      <c r="I120" s="30">
        <f t="shared" si="18"/>
        <v>-5.6243984313423317E-3</v>
      </c>
      <c r="J120" s="15">
        <f t="shared" si="19"/>
        <v>9.7506021070007196E-3</v>
      </c>
      <c r="K120" s="15">
        <f t="shared" si="20"/>
        <v>-8.3277960084361825E-3</v>
      </c>
      <c r="L120" s="15">
        <f t="shared" si="21"/>
        <v>-1.3180278607192954E-3</v>
      </c>
      <c r="M120" s="15">
        <f t="shared" si="22"/>
        <v>-5.6402450555123234E-3</v>
      </c>
      <c r="N120" s="40">
        <f t="shared" si="23"/>
        <v>8.5946741458582179E-3</v>
      </c>
      <c r="O120" s="40">
        <f t="shared" si="24"/>
        <v>-1.6669342296507035E-3</v>
      </c>
      <c r="P120" s="40">
        <f t="shared" si="25"/>
        <v>3.4324844651034197E-3</v>
      </c>
      <c r="Q120" s="40">
        <f t="shared" si="26"/>
        <v>-6.7910685184317367E-3</v>
      </c>
    </row>
    <row r="121" spans="1:17" x14ac:dyDescent="0.2">
      <c r="A121" s="25">
        <v>45328</v>
      </c>
      <c r="B121" s="26">
        <v>188.58438100000001</v>
      </c>
      <c r="C121" s="26">
        <v>59.006512000000001</v>
      </c>
      <c r="D121" s="26">
        <v>173.12524400000001</v>
      </c>
      <c r="E121" s="26">
        <v>17.069991999999999</v>
      </c>
      <c r="F121" s="30">
        <f t="shared" si="15"/>
        <v>8.5946741458582179E-3</v>
      </c>
      <c r="G121" s="30">
        <f t="shared" si="16"/>
        <v>-1.6669342296507035E-3</v>
      </c>
      <c r="H121" s="30">
        <f t="shared" si="17"/>
        <v>3.4324844651034197E-3</v>
      </c>
      <c r="I121" s="30">
        <f t="shared" si="18"/>
        <v>-6.7910685184317367E-3</v>
      </c>
      <c r="J121" s="15">
        <f t="shared" si="19"/>
        <v>8.557845519560842E-3</v>
      </c>
      <c r="K121" s="15">
        <f t="shared" si="20"/>
        <v>-1.668324336812157E-3</v>
      </c>
      <c r="L121" s="15">
        <f t="shared" si="21"/>
        <v>3.4266002247482922E-3</v>
      </c>
      <c r="M121" s="15">
        <f t="shared" si="22"/>
        <v>-6.814180112093767E-3</v>
      </c>
      <c r="N121" s="40">
        <f t="shared" si="23"/>
        <v>5.8094509155742779E-4</v>
      </c>
      <c r="O121" s="40">
        <f t="shared" si="24"/>
        <v>8.3381444850086286E-4</v>
      </c>
      <c r="P121" s="40">
        <f t="shared" si="25"/>
        <v>1.8827811992427708E-3</v>
      </c>
      <c r="Q121" s="40">
        <f t="shared" si="26"/>
        <v>-1.6027947235816124E-2</v>
      </c>
    </row>
    <row r="122" spans="1:17" x14ac:dyDescent="0.2">
      <c r="A122" s="25">
        <v>45329</v>
      </c>
      <c r="B122" s="26">
        <v>188.69397000000001</v>
      </c>
      <c r="C122" s="26">
        <v>59.055732999999996</v>
      </c>
      <c r="D122" s="26">
        <v>173.45150799999999</v>
      </c>
      <c r="E122" s="26">
        <v>16.798576000000001</v>
      </c>
      <c r="F122" s="30">
        <f t="shared" si="15"/>
        <v>5.8094509155742779E-4</v>
      </c>
      <c r="G122" s="30">
        <f t="shared" si="16"/>
        <v>8.3381444850086286E-4</v>
      </c>
      <c r="H122" s="30">
        <f t="shared" si="17"/>
        <v>1.8827811992427708E-3</v>
      </c>
      <c r="I122" s="30">
        <f t="shared" si="18"/>
        <v>-1.6027947235816124E-2</v>
      </c>
      <c r="J122" s="15">
        <f t="shared" si="19"/>
        <v>5.8077637563086785E-4</v>
      </c>
      <c r="K122" s="15">
        <f t="shared" si="20"/>
        <v>8.3346692183120885E-4</v>
      </c>
      <c r="L122" s="15">
        <f t="shared" si="21"/>
        <v>1.8810098785649104E-3</v>
      </c>
      <c r="M122" s="15">
        <f t="shared" si="22"/>
        <v>-1.6157083790911714E-2</v>
      </c>
      <c r="N122" s="40">
        <f t="shared" si="23"/>
        <v>-5.7713210785359176E-3</v>
      </c>
      <c r="O122" s="40">
        <f t="shared" si="24"/>
        <v>-2.670619829599635E-3</v>
      </c>
      <c r="P122" s="40">
        <f t="shared" si="25"/>
        <v>-3.5975477957779409E-3</v>
      </c>
      <c r="Q122" s="40">
        <f t="shared" si="26"/>
        <v>-2.9870396236716779E-2</v>
      </c>
    </row>
    <row r="123" spans="1:17" x14ac:dyDescent="0.2">
      <c r="A123" s="25">
        <v>45330</v>
      </c>
      <c r="B123" s="26">
        <v>187.608093</v>
      </c>
      <c r="C123" s="26">
        <v>58.898228000000003</v>
      </c>
      <c r="D123" s="26">
        <v>172.82862900000001</v>
      </c>
      <c r="E123" s="26">
        <v>16.304216</v>
      </c>
      <c r="F123" s="30">
        <f t="shared" si="15"/>
        <v>-5.7713210785359176E-3</v>
      </c>
      <c r="G123" s="30">
        <f t="shared" si="16"/>
        <v>-2.670619829599635E-3</v>
      </c>
      <c r="H123" s="30">
        <f t="shared" si="17"/>
        <v>-3.5975477957779409E-3</v>
      </c>
      <c r="I123" s="30">
        <f t="shared" si="18"/>
        <v>-2.9870396236716779E-2</v>
      </c>
      <c r="J123" s="15">
        <f t="shared" si="19"/>
        <v>-5.7880072369799664E-3</v>
      </c>
      <c r="K123" s="15">
        <f t="shared" si="20"/>
        <v>-2.6741891114278231E-3</v>
      </c>
      <c r="L123" s="15">
        <f t="shared" si="21"/>
        <v>-3.6040267379542964E-3</v>
      </c>
      <c r="M123" s="15">
        <f t="shared" si="22"/>
        <v>-3.0320991821992566E-2</v>
      </c>
      <c r="N123" s="40">
        <f t="shared" si="23"/>
        <v>4.0856395568765842E-3</v>
      </c>
      <c r="O123" s="40">
        <f t="shared" si="24"/>
        <v>-4.5230317841640829E-3</v>
      </c>
      <c r="P123" s="40">
        <f t="shared" si="25"/>
        <v>1.200619285424928E-3</v>
      </c>
      <c r="Q123" s="40">
        <f t="shared" si="26"/>
        <v>1.1883725529783697E-3</v>
      </c>
    </row>
    <row r="124" spans="1:17" x14ac:dyDescent="0.2">
      <c r="A124" s="25">
        <v>45331</v>
      </c>
      <c r="B124" s="26">
        <v>188.37616</v>
      </c>
      <c r="C124" s="26">
        <v>58.632430999999997</v>
      </c>
      <c r="D124" s="26">
        <v>173.03625500000001</v>
      </c>
      <c r="E124" s="26">
        <v>16.323602999999999</v>
      </c>
      <c r="F124" s="30">
        <f t="shared" si="15"/>
        <v>4.0856395568765842E-3</v>
      </c>
      <c r="G124" s="30">
        <f t="shared" si="16"/>
        <v>-4.5230317841640829E-3</v>
      </c>
      <c r="H124" s="30">
        <f t="shared" si="17"/>
        <v>1.200619285424928E-3</v>
      </c>
      <c r="I124" s="30">
        <f t="shared" si="18"/>
        <v>1.1883725529783697E-3</v>
      </c>
      <c r="J124" s="15">
        <f t="shared" si="19"/>
        <v>4.0773046865378399E-3</v>
      </c>
      <c r="K124" s="15">
        <f t="shared" si="20"/>
        <v>-4.5332761317709355E-3</v>
      </c>
      <c r="L124" s="15">
        <f t="shared" si="21"/>
        <v>1.1998988304503281E-3</v>
      </c>
      <c r="M124" s="15">
        <f t="shared" si="22"/>
        <v>1.1876667179420051E-3</v>
      </c>
      <c r="N124" s="40">
        <f t="shared" si="23"/>
        <v>-9.0426439389799818E-3</v>
      </c>
      <c r="O124" s="40">
        <f t="shared" si="24"/>
        <v>2.3477669245357624E-3</v>
      </c>
      <c r="P124" s="40">
        <f t="shared" si="25"/>
        <v>4.4469325058092328E-3</v>
      </c>
      <c r="Q124" s="40">
        <f t="shared" si="26"/>
        <v>1.0632216336701443E-2</v>
      </c>
    </row>
    <row r="125" spans="1:17" x14ac:dyDescent="0.2">
      <c r="A125" s="25">
        <v>45334</v>
      </c>
      <c r="B125" s="26">
        <v>186.68042</v>
      </c>
      <c r="C125" s="26">
        <v>58.770248000000002</v>
      </c>
      <c r="D125" s="26">
        <v>173.80744899999999</v>
      </c>
      <c r="E125" s="26">
        <v>16.498085</v>
      </c>
      <c r="F125" s="30">
        <f t="shared" si="15"/>
        <v>-9.0426439389799818E-3</v>
      </c>
      <c r="G125" s="30">
        <f t="shared" si="16"/>
        <v>2.3477669245357624E-3</v>
      </c>
      <c r="H125" s="30">
        <f t="shared" si="17"/>
        <v>4.4469325058092328E-3</v>
      </c>
      <c r="I125" s="30">
        <f t="shared" si="18"/>
        <v>1.0632216336701443E-2</v>
      </c>
      <c r="J125" s="15">
        <f t="shared" si="19"/>
        <v>-9.083652158057072E-3</v>
      </c>
      <c r="K125" s="15">
        <f t="shared" si="20"/>
        <v>2.3450130753235108E-3</v>
      </c>
      <c r="L125" s="15">
        <f t="shared" si="21"/>
        <v>4.4370595416769508E-3</v>
      </c>
      <c r="M125" s="15">
        <f t="shared" si="22"/>
        <v>1.0575894111346932E-2</v>
      </c>
      <c r="N125" s="40">
        <f t="shared" si="23"/>
        <v>-1.133841763443315E-2</v>
      </c>
      <c r="O125" s="40">
        <f t="shared" si="24"/>
        <v>-5.8799302773867674E-3</v>
      </c>
      <c r="P125" s="40">
        <f t="shared" si="25"/>
        <v>-8.7416423305419957E-3</v>
      </c>
      <c r="Q125" s="40">
        <f t="shared" si="26"/>
        <v>-7.075609674194675E-3</v>
      </c>
    </row>
    <row r="126" spans="1:17" x14ac:dyDescent="0.2">
      <c r="A126" s="25">
        <v>45335</v>
      </c>
      <c r="B126" s="26">
        <v>184.575714</v>
      </c>
      <c r="C126" s="26">
        <v>58.425697</v>
      </c>
      <c r="D126" s="26">
        <v>172.29470800000001</v>
      </c>
      <c r="E126" s="26">
        <v>16.381762999999999</v>
      </c>
      <c r="F126" s="30">
        <f t="shared" si="15"/>
        <v>-1.133841763443315E-2</v>
      </c>
      <c r="G126" s="30">
        <f t="shared" si="16"/>
        <v>-5.8799302773867674E-3</v>
      </c>
      <c r="H126" s="30">
        <f t="shared" si="17"/>
        <v>-8.7416423305419957E-3</v>
      </c>
      <c r="I126" s="30">
        <f t="shared" si="18"/>
        <v>-7.075609674194675E-3</v>
      </c>
      <c r="J126" s="15">
        <f t="shared" si="19"/>
        <v>-1.1402941125829767E-2</v>
      </c>
      <c r="K126" s="15">
        <f t="shared" si="20"/>
        <v>-5.8972509989911239E-3</v>
      </c>
      <c r="L126" s="15">
        <f t="shared" si="21"/>
        <v>-8.7799620636054409E-3</v>
      </c>
      <c r="M126" s="15">
        <f t="shared" si="22"/>
        <v>-7.1007009440925417E-3</v>
      </c>
      <c r="N126" s="40">
        <f t="shared" si="23"/>
        <v>-4.8213974030586366E-3</v>
      </c>
      <c r="O126" s="40">
        <f t="shared" si="24"/>
        <v>-1.0114192349661964E-3</v>
      </c>
      <c r="P126" s="40">
        <f t="shared" si="25"/>
        <v>1.0105957663276266E-2</v>
      </c>
      <c r="Q126" s="40">
        <f t="shared" si="26"/>
        <v>5.9145856733030231E-4</v>
      </c>
    </row>
    <row r="127" spans="1:17" x14ac:dyDescent="0.2">
      <c r="A127" s="25">
        <v>45336</v>
      </c>
      <c r="B127" s="26">
        <v>183.68794299999999</v>
      </c>
      <c r="C127" s="26">
        <v>58.366633999999998</v>
      </c>
      <c r="D127" s="26">
        <v>174.04473899999999</v>
      </c>
      <c r="E127" s="26">
        <v>16.391455000000001</v>
      </c>
      <c r="F127" s="30">
        <f t="shared" si="15"/>
        <v>-4.8213974030586366E-3</v>
      </c>
      <c r="G127" s="30">
        <f t="shared" si="16"/>
        <v>-1.0114192349661964E-3</v>
      </c>
      <c r="H127" s="30">
        <f t="shared" si="17"/>
        <v>1.0105957663276266E-2</v>
      </c>
      <c r="I127" s="30">
        <f t="shared" si="18"/>
        <v>5.9145856733030231E-4</v>
      </c>
      <c r="J127" s="15">
        <f t="shared" si="19"/>
        <v>-4.8330390416534584E-3</v>
      </c>
      <c r="K127" s="15">
        <f t="shared" si="20"/>
        <v>-1.0119308918859679E-3</v>
      </c>
      <c r="L127" s="15">
        <f t="shared" si="21"/>
        <v>1.0055064060281527E-2</v>
      </c>
      <c r="M127" s="15">
        <f t="shared" si="22"/>
        <v>5.9128369019108696E-4</v>
      </c>
      <c r="N127" s="40">
        <f t="shared" si="23"/>
        <v>-1.5759825619922172E-3</v>
      </c>
      <c r="O127" s="40">
        <f t="shared" si="24"/>
        <v>1.8535876226185115E-3</v>
      </c>
      <c r="P127" s="40">
        <f t="shared" si="25"/>
        <v>2.1580013672744289E-2</v>
      </c>
      <c r="Q127" s="40">
        <f t="shared" si="26"/>
        <v>1.0588436740846002E-2</v>
      </c>
    </row>
    <row r="128" spans="1:17" x14ac:dyDescent="0.2">
      <c r="A128" s="25">
        <v>45337</v>
      </c>
      <c r="B128" s="26">
        <v>183.39868200000001</v>
      </c>
      <c r="C128" s="26">
        <v>58.474921999999999</v>
      </c>
      <c r="D128" s="26">
        <v>177.84144599999999</v>
      </c>
      <c r="E128" s="26">
        <v>16.565937000000002</v>
      </c>
      <c r="F128" s="30">
        <f t="shared" si="15"/>
        <v>-1.5759825619922172E-3</v>
      </c>
      <c r="G128" s="30">
        <f t="shared" si="16"/>
        <v>1.8535876226185115E-3</v>
      </c>
      <c r="H128" s="30">
        <f t="shared" si="17"/>
        <v>2.1580013672744289E-2</v>
      </c>
      <c r="I128" s="30">
        <f t="shared" si="18"/>
        <v>1.0588436740846002E-2</v>
      </c>
      <c r="J128" s="15">
        <f t="shared" si="19"/>
        <v>-1.57722507515066E-3</v>
      </c>
      <c r="K128" s="15">
        <f t="shared" si="20"/>
        <v>1.851870790011515E-3</v>
      </c>
      <c r="L128" s="15">
        <f t="shared" si="21"/>
        <v>2.1348831138046403E-2</v>
      </c>
      <c r="M128" s="15">
        <f t="shared" si="22"/>
        <v>1.0532576575656488E-2</v>
      </c>
      <c r="N128" s="40">
        <f t="shared" si="23"/>
        <v>-8.4661574423176515E-3</v>
      </c>
      <c r="O128" s="40">
        <f t="shared" si="24"/>
        <v>-1.6839405150777205E-4</v>
      </c>
      <c r="P128" s="40">
        <f t="shared" si="25"/>
        <v>-4.6810314347300336E-3</v>
      </c>
      <c r="Q128" s="40">
        <f t="shared" si="26"/>
        <v>-7.0465265167247411E-3</v>
      </c>
    </row>
    <row r="129" spans="1:17" x14ac:dyDescent="0.2">
      <c r="A129" s="25">
        <v>45338</v>
      </c>
      <c r="B129" s="26">
        <v>181.852554</v>
      </c>
      <c r="C129" s="26">
        <v>58.465076000000003</v>
      </c>
      <c r="D129" s="26">
        <v>177.01091</v>
      </c>
      <c r="E129" s="26">
        <v>16.449615000000001</v>
      </c>
      <c r="F129" s="30">
        <f t="shared" si="15"/>
        <v>-8.4661574423176515E-3</v>
      </c>
      <c r="G129" s="30">
        <f t="shared" si="16"/>
        <v>-1.6839405150777205E-4</v>
      </c>
      <c r="H129" s="30">
        <f t="shared" si="17"/>
        <v>-4.6810314347300336E-3</v>
      </c>
      <c r="I129" s="30">
        <f t="shared" si="18"/>
        <v>-7.0465265167247411E-3</v>
      </c>
      <c r="J129" s="15">
        <f t="shared" si="19"/>
        <v>-8.5020967041244313E-3</v>
      </c>
      <c r="K129" s="15">
        <f t="shared" si="20"/>
        <v>-1.6840823058189515E-4</v>
      </c>
      <c r="L129" s="15">
        <f t="shared" si="21"/>
        <v>-4.6920045775709256E-3</v>
      </c>
      <c r="M129" s="15">
        <f t="shared" si="22"/>
        <v>-7.0714117017328521E-3</v>
      </c>
      <c r="N129" s="40">
        <f t="shared" si="23"/>
        <v>-4.1223013161664603E-3</v>
      </c>
      <c r="O129" s="40">
        <f t="shared" si="24"/>
        <v>2.181787938436186E-2</v>
      </c>
      <c r="P129" s="40">
        <f t="shared" si="25"/>
        <v>3.9023496044056838E-3</v>
      </c>
      <c r="Q129" s="40">
        <f t="shared" si="26"/>
        <v>-3.5419102241213379E-3</v>
      </c>
    </row>
    <row r="130" spans="1:17" x14ac:dyDescent="0.2">
      <c r="A130" s="25">
        <v>45342</v>
      </c>
      <c r="B130" s="26">
        <v>181.104446</v>
      </c>
      <c r="C130" s="26">
        <v>59.754677000000001</v>
      </c>
      <c r="D130" s="26">
        <v>177.70301799999999</v>
      </c>
      <c r="E130" s="26">
        <v>16.391455000000001</v>
      </c>
      <c r="F130" s="30">
        <f t="shared" si="15"/>
        <v>-4.1223013161664603E-3</v>
      </c>
      <c r="G130" s="30">
        <f t="shared" si="16"/>
        <v>2.181787938436186E-2</v>
      </c>
      <c r="H130" s="30">
        <f t="shared" si="17"/>
        <v>3.9023496044056838E-3</v>
      </c>
      <c r="I130" s="30">
        <f t="shared" si="18"/>
        <v>-3.5419102241213379E-3</v>
      </c>
      <c r="J130" s="15">
        <f t="shared" si="19"/>
        <v>-4.1308096875766484E-3</v>
      </c>
      <c r="K130" s="15">
        <f t="shared" si="20"/>
        <v>2.1581591010859241E-2</v>
      </c>
      <c r="L130" s="15">
        <f t="shared" si="21"/>
        <v>3.8947453329126378E-3</v>
      </c>
      <c r="M130" s="15">
        <f t="shared" si="22"/>
        <v>-3.5481902003208915E-3</v>
      </c>
      <c r="N130" s="40">
        <f t="shared" si="23"/>
        <v>4.1772619153831059E-3</v>
      </c>
      <c r="O130" s="40">
        <f t="shared" si="24"/>
        <v>8.8568526987604264E-3</v>
      </c>
      <c r="P130" s="40">
        <f t="shared" si="25"/>
        <v>6.4887245296995355E-3</v>
      </c>
      <c r="Q130" s="40">
        <f t="shared" si="26"/>
        <v>5.3082933634442889E-3</v>
      </c>
    </row>
    <row r="131" spans="1:17" x14ac:dyDescent="0.2">
      <c r="A131" s="25">
        <v>45343</v>
      </c>
      <c r="B131" s="26">
        <v>181.862549</v>
      </c>
      <c r="C131" s="26">
        <v>60.286265999999998</v>
      </c>
      <c r="D131" s="26">
        <v>178.85983300000001</v>
      </c>
      <c r="E131" s="26">
        <v>16.478697</v>
      </c>
      <c r="F131" s="30">
        <f t="shared" si="15"/>
        <v>4.1772619153831059E-3</v>
      </c>
      <c r="G131" s="30">
        <f t="shared" si="16"/>
        <v>8.8568526987604264E-3</v>
      </c>
      <c r="H131" s="30">
        <f t="shared" si="17"/>
        <v>6.4887245296995355E-3</v>
      </c>
      <c r="I131" s="30">
        <f t="shared" si="18"/>
        <v>5.3082933634442889E-3</v>
      </c>
      <c r="J131" s="15">
        <f t="shared" si="19"/>
        <v>4.1685492926859039E-3</v>
      </c>
      <c r="K131" s="15">
        <f t="shared" si="20"/>
        <v>8.8177463172125596E-3</v>
      </c>
      <c r="L131" s="15">
        <f t="shared" si="21"/>
        <v>6.4677182159731915E-3</v>
      </c>
      <c r="M131" s="15">
        <f t="shared" si="22"/>
        <v>5.294229270675941E-3</v>
      </c>
      <c r="N131" s="40">
        <f t="shared" si="23"/>
        <v>1.118116096025438E-2</v>
      </c>
      <c r="O131" s="40">
        <f t="shared" si="24"/>
        <v>-1.4707357985398316E-3</v>
      </c>
      <c r="P131" s="40">
        <f t="shared" si="25"/>
        <v>1.1924178761792791E-2</v>
      </c>
      <c r="Q131" s="40">
        <f t="shared" si="26"/>
        <v>-2.4413339458236528E-2</v>
      </c>
    </row>
    <row r="132" spans="1:17" x14ac:dyDescent="0.2">
      <c r="A132" s="25">
        <v>45344</v>
      </c>
      <c r="B132" s="26">
        <v>183.90739400000001</v>
      </c>
      <c r="C132" s="26">
        <v>60.197665999999998</v>
      </c>
      <c r="D132" s="26">
        <v>181.00535600000001</v>
      </c>
      <c r="E132" s="26">
        <v>16.081268000000001</v>
      </c>
      <c r="F132" s="30">
        <f t="shared" ref="F132:F195" si="27">LN(B132/B131)</f>
        <v>1.118116096025438E-2</v>
      </c>
      <c r="G132" s="30">
        <f t="shared" ref="G132:G195" si="28">LN(C132/C131)</f>
        <v>-1.4707357985398316E-3</v>
      </c>
      <c r="H132" s="30">
        <f t="shared" ref="H132:H195" si="29">LN(D132/D131)</f>
        <v>1.1924178761792791E-2</v>
      </c>
      <c r="I132" s="30">
        <f t="shared" ref="I132:I195" si="30">LN(E132/E131)</f>
        <v>-2.4413339458236528E-2</v>
      </c>
      <c r="J132" s="15">
        <f t="shared" ref="J132:J195" si="31">(B132-B131)/B132</f>
        <v>1.1118884105334063E-2</v>
      </c>
      <c r="K132" s="15">
        <f t="shared" ref="K132:K195" si="32">(C132-C131)/C132</f>
        <v>-1.4718178608452955E-3</v>
      </c>
      <c r="L132" s="15">
        <f t="shared" ref="L132:L195" si="33">(D132-D131)/D132</f>
        <v>1.1853367477148009E-2</v>
      </c>
      <c r="M132" s="15">
        <f t="shared" ref="M132:M195" si="34">(E132-E131)/E132</f>
        <v>-2.4713785007500582E-2</v>
      </c>
      <c r="N132" s="40">
        <f t="shared" ref="N132:N195" si="35">F133</f>
        <v>-1.0084818339197638E-2</v>
      </c>
      <c r="O132" s="40">
        <f t="shared" ref="O132:O195" si="36">G133</f>
        <v>8.1738858055153973E-4</v>
      </c>
      <c r="P132" s="40">
        <f t="shared" ref="P132:P195" si="37">H133</f>
        <v>5.0128845481506338E-3</v>
      </c>
      <c r="Q132" s="40">
        <f t="shared" ref="Q132:Q195" si="38">I133</f>
        <v>1.2578760442407045E-2</v>
      </c>
    </row>
    <row r="133" spans="1:17" x14ac:dyDescent="0.2">
      <c r="A133" s="25">
        <v>45345</v>
      </c>
      <c r="B133" s="26">
        <v>182.06204199999999</v>
      </c>
      <c r="C133" s="26">
        <v>60.246890999999998</v>
      </c>
      <c r="D133" s="26">
        <v>181.91499300000001</v>
      </c>
      <c r="E133" s="26">
        <v>16.284828000000001</v>
      </c>
      <c r="F133" s="30">
        <f t="shared" si="27"/>
        <v>-1.0084818339197638E-2</v>
      </c>
      <c r="G133" s="30">
        <f t="shared" si="28"/>
        <v>8.1738858055153973E-4</v>
      </c>
      <c r="H133" s="30">
        <f t="shared" si="29"/>
        <v>5.0128845481506338E-3</v>
      </c>
      <c r="I133" s="30">
        <f t="shared" si="30"/>
        <v>1.2578760442407045E-2</v>
      </c>
      <c r="J133" s="15">
        <f t="shared" si="31"/>
        <v>-1.0135841495175692E-2</v>
      </c>
      <c r="K133" s="15">
        <f t="shared" si="32"/>
        <v>8.1705460950673545E-4</v>
      </c>
      <c r="L133" s="15">
        <f t="shared" si="33"/>
        <v>5.0003410109248306E-3</v>
      </c>
      <c r="M133" s="15">
        <f t="shared" si="34"/>
        <v>1.2499978507602261E-2</v>
      </c>
      <c r="N133" s="40">
        <f t="shared" si="35"/>
        <v>-7.479106127821062E-3</v>
      </c>
      <c r="O133" s="40">
        <f t="shared" si="36"/>
        <v>-8.0388122707836501E-3</v>
      </c>
      <c r="P133" s="40">
        <f t="shared" si="37"/>
        <v>-3.4300521667624483E-3</v>
      </c>
      <c r="Q133" s="40">
        <f t="shared" si="38"/>
        <v>-1.1976066753339242E-2</v>
      </c>
    </row>
    <row r="134" spans="1:17" x14ac:dyDescent="0.2">
      <c r="A134" s="25">
        <v>45348</v>
      </c>
      <c r="B134" s="26">
        <v>180.70545999999999</v>
      </c>
      <c r="C134" s="26">
        <v>59.764519</v>
      </c>
      <c r="D134" s="26">
        <v>181.29208399999999</v>
      </c>
      <c r="E134" s="26">
        <v>16.090962999999999</v>
      </c>
      <c r="F134" s="30">
        <f t="shared" si="27"/>
        <v>-7.479106127821062E-3</v>
      </c>
      <c r="G134" s="30">
        <f t="shared" si="28"/>
        <v>-8.0388122707836501E-3</v>
      </c>
      <c r="H134" s="30">
        <f t="shared" si="29"/>
        <v>-3.4300521667624483E-3</v>
      </c>
      <c r="I134" s="30">
        <f t="shared" si="30"/>
        <v>-1.1976066753339242E-2</v>
      </c>
      <c r="J134" s="15">
        <f t="shared" si="31"/>
        <v>-7.5071444991202984E-3</v>
      </c>
      <c r="K134" s="15">
        <f t="shared" si="32"/>
        <v>-8.0712102777903728E-3</v>
      </c>
      <c r="L134" s="15">
        <f t="shared" si="33"/>
        <v>-3.4359415273753557E-3</v>
      </c>
      <c r="M134" s="15">
        <f t="shared" si="34"/>
        <v>-1.2048066980205127E-2</v>
      </c>
      <c r="N134" s="40">
        <f t="shared" si="35"/>
        <v>8.0816092470088127E-3</v>
      </c>
      <c r="O134" s="40">
        <f t="shared" si="36"/>
        <v>-6.1132169466150627E-3</v>
      </c>
      <c r="P134" s="40">
        <f t="shared" si="37"/>
        <v>4.9073938927271261E-4</v>
      </c>
      <c r="Q134" s="40">
        <f t="shared" si="38"/>
        <v>1.3760308076745754E-2</v>
      </c>
    </row>
    <row r="135" spans="1:17" x14ac:dyDescent="0.2">
      <c r="A135" s="25">
        <v>45349</v>
      </c>
      <c r="B135" s="26">
        <v>182.17176799999999</v>
      </c>
      <c r="C135" s="26">
        <v>59.400280000000002</v>
      </c>
      <c r="D135" s="26">
        <v>181.38107299999999</v>
      </c>
      <c r="E135" s="26">
        <v>16.31391</v>
      </c>
      <c r="F135" s="30">
        <f t="shared" si="27"/>
        <v>8.0816092470088127E-3</v>
      </c>
      <c r="G135" s="30">
        <f t="shared" si="28"/>
        <v>-6.1132169466150627E-3</v>
      </c>
      <c r="H135" s="30">
        <f t="shared" si="29"/>
        <v>4.9073938927271261E-4</v>
      </c>
      <c r="I135" s="30">
        <f t="shared" si="30"/>
        <v>1.3760308076745754E-2</v>
      </c>
      <c r="J135" s="15">
        <f t="shared" si="31"/>
        <v>8.0490408371070871E-3</v>
      </c>
      <c r="K135" s="15">
        <f t="shared" si="32"/>
        <v>-6.1319407921982478E-3</v>
      </c>
      <c r="L135" s="15">
        <f t="shared" si="33"/>
        <v>4.9061899639328956E-4</v>
      </c>
      <c r="M135" s="15">
        <f t="shared" si="34"/>
        <v>1.3666067791228548E-2</v>
      </c>
      <c r="N135" s="40">
        <f t="shared" si="35"/>
        <v>-6.647496052951337E-3</v>
      </c>
      <c r="O135" s="40">
        <f t="shared" si="36"/>
        <v>9.9389517455469021E-4</v>
      </c>
      <c r="P135" s="40">
        <f t="shared" si="37"/>
        <v>5.0566859458387667E-3</v>
      </c>
      <c r="Q135" s="40">
        <f t="shared" si="38"/>
        <v>7.6945269621530249E-3</v>
      </c>
    </row>
    <row r="136" spans="1:17" x14ac:dyDescent="0.2">
      <c r="A136" s="25">
        <v>45350</v>
      </c>
      <c r="B136" s="26">
        <v>180.964798</v>
      </c>
      <c r="C136" s="26">
        <v>59.459347000000001</v>
      </c>
      <c r="D136" s="26">
        <v>182.30058299999999</v>
      </c>
      <c r="E136" s="26">
        <v>16.439921999999999</v>
      </c>
      <c r="F136" s="30">
        <f t="shared" si="27"/>
        <v>-6.647496052951337E-3</v>
      </c>
      <c r="G136" s="30">
        <f t="shared" si="28"/>
        <v>9.9389517455469021E-4</v>
      </c>
      <c r="H136" s="30">
        <f t="shared" si="29"/>
        <v>5.0566859458387667E-3</v>
      </c>
      <c r="I136" s="30">
        <f t="shared" si="30"/>
        <v>7.6945269621530249E-3</v>
      </c>
      <c r="J136" s="15">
        <f t="shared" si="31"/>
        <v>-6.66963969423481E-3</v>
      </c>
      <c r="K136" s="15">
        <f t="shared" si="32"/>
        <v>9.9340142433785683E-4</v>
      </c>
      <c r="L136" s="15">
        <f t="shared" si="33"/>
        <v>5.0439224322173593E-3</v>
      </c>
      <c r="M136" s="15">
        <f t="shared" si="34"/>
        <v>7.6649998704373017E-3</v>
      </c>
      <c r="N136" s="40">
        <f t="shared" si="35"/>
        <v>-3.6999302544279294E-3</v>
      </c>
      <c r="O136" s="40">
        <f t="shared" si="36"/>
        <v>-6.311315966027564E-3</v>
      </c>
      <c r="P136" s="40">
        <f t="shared" si="37"/>
        <v>9.0702909341080495E-3</v>
      </c>
      <c r="Q136" s="40">
        <f t="shared" si="38"/>
        <v>-1.7703701935084114E-3</v>
      </c>
    </row>
    <row r="137" spans="1:17" x14ac:dyDescent="0.2">
      <c r="A137" s="25">
        <v>45351</v>
      </c>
      <c r="B137" s="26">
        <v>180.29647800000001</v>
      </c>
      <c r="C137" s="26">
        <v>59.085262</v>
      </c>
      <c r="D137" s="26">
        <v>183.961624</v>
      </c>
      <c r="E137" s="26">
        <v>16.410843</v>
      </c>
      <c r="F137" s="30">
        <f t="shared" si="27"/>
        <v>-3.6999302544279294E-3</v>
      </c>
      <c r="G137" s="30">
        <f t="shared" si="28"/>
        <v>-6.311315966027564E-3</v>
      </c>
      <c r="H137" s="30">
        <f t="shared" si="29"/>
        <v>9.0702909341080495E-3</v>
      </c>
      <c r="I137" s="30">
        <f t="shared" si="30"/>
        <v>-1.7703701935084114E-3</v>
      </c>
      <c r="J137" s="15">
        <f t="shared" si="31"/>
        <v>-3.7067834458751558E-3</v>
      </c>
      <c r="K137" s="15">
        <f t="shared" si="32"/>
        <v>-6.3312742863017328E-3</v>
      </c>
      <c r="L137" s="15">
        <f t="shared" si="33"/>
        <v>9.0292799328625818E-3</v>
      </c>
      <c r="M137" s="15">
        <f t="shared" si="34"/>
        <v>-1.771938224014416E-3</v>
      </c>
      <c r="N137" s="40">
        <f t="shared" si="35"/>
        <v>-6.0485955778969338E-3</v>
      </c>
      <c r="O137" s="40">
        <f t="shared" si="36"/>
        <v>-8.1974383416661724E-3</v>
      </c>
      <c r="P137" s="40">
        <f t="shared" si="37"/>
        <v>-4.1470699285579005E-3</v>
      </c>
      <c r="Q137" s="40">
        <f t="shared" si="38"/>
        <v>2.9490604228386468E-3</v>
      </c>
    </row>
    <row r="138" spans="1:17" x14ac:dyDescent="0.2">
      <c r="A138" s="25">
        <v>45352</v>
      </c>
      <c r="B138" s="26">
        <v>179.20922899999999</v>
      </c>
      <c r="C138" s="26">
        <v>58.602893999999999</v>
      </c>
      <c r="D138" s="26">
        <v>183.20030199999999</v>
      </c>
      <c r="E138" s="26">
        <v>16.459311</v>
      </c>
      <c r="F138" s="30">
        <f t="shared" si="27"/>
        <v>-6.0485955778969338E-3</v>
      </c>
      <c r="G138" s="30">
        <f t="shared" si="28"/>
        <v>-8.1974383416661724E-3</v>
      </c>
      <c r="H138" s="30">
        <f t="shared" si="29"/>
        <v>-4.1470699285579005E-3</v>
      </c>
      <c r="I138" s="30">
        <f t="shared" si="30"/>
        <v>2.9490604228386468E-3</v>
      </c>
      <c r="J138" s="15">
        <f t="shared" si="31"/>
        <v>-6.0669252697918485E-3</v>
      </c>
      <c r="K138" s="15">
        <f t="shared" si="32"/>
        <v>-8.231129336377159E-3</v>
      </c>
      <c r="L138" s="15">
        <f t="shared" si="33"/>
        <v>-4.1556809224037577E-3</v>
      </c>
      <c r="M138" s="15">
        <f t="shared" si="34"/>
        <v>2.9447162156423035E-3</v>
      </c>
      <c r="N138" s="40">
        <f t="shared" si="35"/>
        <v>-2.5708994582135079E-2</v>
      </c>
      <c r="O138" s="40">
        <f t="shared" si="36"/>
        <v>4.6925289520041878E-3</v>
      </c>
      <c r="P138" s="40">
        <f t="shared" si="37"/>
        <v>7.4737850456217817E-3</v>
      </c>
      <c r="Q138" s="40">
        <f t="shared" si="38"/>
        <v>-1.0657458514889893E-2</v>
      </c>
    </row>
    <row r="139" spans="1:17" x14ac:dyDescent="0.2">
      <c r="A139" s="25">
        <v>45355</v>
      </c>
      <c r="B139" s="26">
        <v>174.66066000000001</v>
      </c>
      <c r="C139" s="26">
        <v>58.878535999999997</v>
      </c>
      <c r="D139" s="26">
        <v>184.57463100000001</v>
      </c>
      <c r="E139" s="26">
        <v>16.284828000000001</v>
      </c>
      <c r="F139" s="30">
        <f t="shared" si="27"/>
        <v>-2.5708994582135079E-2</v>
      </c>
      <c r="G139" s="30">
        <f t="shared" si="28"/>
        <v>4.6925289520041878E-3</v>
      </c>
      <c r="H139" s="30">
        <f t="shared" si="29"/>
        <v>7.4737850456217817E-3</v>
      </c>
      <c r="I139" s="30">
        <f t="shared" si="30"/>
        <v>-1.0657458514889893E-2</v>
      </c>
      <c r="J139" s="15">
        <f t="shared" si="31"/>
        <v>-2.6042321150051683E-2</v>
      </c>
      <c r="K139" s="15">
        <f t="shared" si="32"/>
        <v>4.6815362392841724E-3</v>
      </c>
      <c r="L139" s="15">
        <f t="shared" si="33"/>
        <v>7.4459257621380106E-3</v>
      </c>
      <c r="M139" s="15">
        <f t="shared" si="34"/>
        <v>-1.0714451512782242E-2</v>
      </c>
      <c r="N139" s="40">
        <f t="shared" si="35"/>
        <v>-2.8853134850884594E-2</v>
      </c>
      <c r="O139" s="40">
        <f t="shared" si="36"/>
        <v>-4.8605552480539922E-3</v>
      </c>
      <c r="P139" s="40">
        <f t="shared" si="37"/>
        <v>9.9673658093087422E-3</v>
      </c>
      <c r="Q139" s="40">
        <f t="shared" si="38"/>
        <v>2.1784911671504949E-2</v>
      </c>
    </row>
    <row r="140" spans="1:17" x14ac:dyDescent="0.2">
      <c r="A140" s="25">
        <v>45356</v>
      </c>
      <c r="B140" s="26">
        <v>169.693161</v>
      </c>
      <c r="C140" s="26">
        <v>58.593048000000003</v>
      </c>
      <c r="D140" s="26">
        <v>186.423553</v>
      </c>
      <c r="E140" s="26">
        <v>16.643484000000001</v>
      </c>
      <c r="F140" s="30">
        <f t="shared" si="27"/>
        <v>-2.8853134850884594E-2</v>
      </c>
      <c r="G140" s="30">
        <f t="shared" si="28"/>
        <v>-4.8605552480539922E-3</v>
      </c>
      <c r="H140" s="30">
        <f t="shared" si="29"/>
        <v>9.9673658093087422E-3</v>
      </c>
      <c r="I140" s="30">
        <f t="shared" si="30"/>
        <v>2.1784911671504949E-2</v>
      </c>
      <c r="J140" s="15">
        <f t="shared" si="31"/>
        <v>-2.9273418980037762E-2</v>
      </c>
      <c r="K140" s="15">
        <f t="shared" si="32"/>
        <v>-4.8723869084262988E-3</v>
      </c>
      <c r="L140" s="15">
        <f t="shared" si="33"/>
        <v>9.9178562485609714E-3</v>
      </c>
      <c r="M140" s="15">
        <f t="shared" si="34"/>
        <v>2.1549334261985041E-2</v>
      </c>
      <c r="N140" s="40">
        <f t="shared" si="35"/>
        <v>-5.8956789518436912E-3</v>
      </c>
      <c r="O140" s="40">
        <f t="shared" si="36"/>
        <v>5.0397715508103207E-4</v>
      </c>
      <c r="P140" s="40">
        <f t="shared" si="37"/>
        <v>5.1841067662975826E-3</v>
      </c>
      <c r="Q140" s="40">
        <f t="shared" si="38"/>
        <v>5.8222055801986279E-4</v>
      </c>
    </row>
    <row r="141" spans="1:17" x14ac:dyDescent="0.2">
      <c r="A141" s="25">
        <v>45357</v>
      </c>
      <c r="B141" s="26">
        <v>168.69564800000001</v>
      </c>
      <c r="C141" s="26">
        <v>58.622585000000001</v>
      </c>
      <c r="D141" s="26">
        <v>187.39250200000001</v>
      </c>
      <c r="E141" s="26">
        <v>16.653176999999999</v>
      </c>
      <c r="F141" s="30">
        <f t="shared" si="27"/>
        <v>-5.8956789518436912E-3</v>
      </c>
      <c r="G141" s="30">
        <f t="shared" si="28"/>
        <v>5.0397715508103207E-4</v>
      </c>
      <c r="H141" s="30">
        <f t="shared" si="29"/>
        <v>5.1841067662975826E-3</v>
      </c>
      <c r="I141" s="30">
        <f t="shared" si="30"/>
        <v>5.8222055801986279E-4</v>
      </c>
      <c r="J141" s="15">
        <f t="shared" si="31"/>
        <v>-5.9130926720765073E-3</v>
      </c>
      <c r="K141" s="15">
        <f t="shared" si="32"/>
        <v>5.0385017992634923E-4</v>
      </c>
      <c r="L141" s="15">
        <f t="shared" si="33"/>
        <v>5.1706924751984424E-3</v>
      </c>
      <c r="M141" s="15">
        <f t="shared" si="34"/>
        <v>5.8205110051965574E-4</v>
      </c>
      <c r="N141" s="40">
        <f t="shared" si="35"/>
        <v>-7.0975441095678829E-4</v>
      </c>
      <c r="O141" s="40">
        <f t="shared" si="36"/>
        <v>-1.848914347035491E-3</v>
      </c>
      <c r="P141" s="40">
        <f t="shared" si="37"/>
        <v>-8.7971014039722271E-3</v>
      </c>
      <c r="Q141" s="40">
        <f t="shared" si="38"/>
        <v>-7.5957392761439417E-3</v>
      </c>
    </row>
    <row r="142" spans="1:17" x14ac:dyDescent="0.2">
      <c r="A142" s="25">
        <v>45358</v>
      </c>
      <c r="B142" s="26">
        <v>168.57595800000001</v>
      </c>
      <c r="C142" s="26">
        <v>58.514296999999999</v>
      </c>
      <c r="D142" s="26">
        <v>185.75122099999999</v>
      </c>
      <c r="E142" s="26">
        <v>16.527163000000002</v>
      </c>
      <c r="F142" s="30">
        <f t="shared" si="27"/>
        <v>-7.0975441095678829E-4</v>
      </c>
      <c r="G142" s="30">
        <f t="shared" si="28"/>
        <v>-1.848914347035491E-3</v>
      </c>
      <c r="H142" s="30">
        <f t="shared" si="29"/>
        <v>-8.7971014039722271E-3</v>
      </c>
      <c r="I142" s="30">
        <f t="shared" si="30"/>
        <v>-7.5957392761439417E-3</v>
      </c>
      <c r="J142" s="15">
        <f t="shared" si="31"/>
        <v>-7.1000634621925986E-4</v>
      </c>
      <c r="K142" s="15">
        <f t="shared" si="32"/>
        <v>-1.8506246430680304E-3</v>
      </c>
      <c r="L142" s="15">
        <f t="shared" si="33"/>
        <v>-8.8359096169818487E-3</v>
      </c>
      <c r="M142" s="15">
        <f t="shared" si="34"/>
        <v>-7.6246600823140567E-3</v>
      </c>
      <c r="N142" s="40">
        <f t="shared" si="35"/>
        <v>1.0184574634208254E-2</v>
      </c>
      <c r="O142" s="40">
        <f t="shared" si="36"/>
        <v>1.3449371919544843E-3</v>
      </c>
      <c r="P142" s="40">
        <f t="shared" si="37"/>
        <v>1.8612639482236896E-3</v>
      </c>
      <c r="Q142" s="40">
        <f t="shared" si="38"/>
        <v>8.7592244143747111E-3</v>
      </c>
    </row>
    <row r="143" spans="1:17" x14ac:dyDescent="0.2">
      <c r="A143" s="25">
        <v>45359</v>
      </c>
      <c r="B143" s="26">
        <v>170.301605</v>
      </c>
      <c r="C143" s="26">
        <v>58.593048000000003</v>
      </c>
      <c r="D143" s="26">
        <v>186.097275</v>
      </c>
      <c r="E143" s="26">
        <v>16.672564000000001</v>
      </c>
      <c r="F143" s="30">
        <f t="shared" si="27"/>
        <v>1.0184574634208254E-2</v>
      </c>
      <c r="G143" s="30">
        <f t="shared" si="28"/>
        <v>1.3449371919544843E-3</v>
      </c>
      <c r="H143" s="30">
        <f t="shared" si="29"/>
        <v>1.8612639482236896E-3</v>
      </c>
      <c r="I143" s="30">
        <f t="shared" si="30"/>
        <v>8.7592244143747111E-3</v>
      </c>
      <c r="J143" s="15">
        <f t="shared" si="31"/>
        <v>1.0132887473373963E-2</v>
      </c>
      <c r="K143" s="15">
        <f t="shared" si="32"/>
        <v>1.3440331692593293E-3</v>
      </c>
      <c r="L143" s="15">
        <f t="shared" si="33"/>
        <v>1.8595328706452548E-3</v>
      </c>
      <c r="M143" s="15">
        <f t="shared" si="34"/>
        <v>8.7209741704994907E-3</v>
      </c>
      <c r="N143" s="40">
        <f t="shared" si="35"/>
        <v>1.1762232376596935E-2</v>
      </c>
      <c r="O143" s="40">
        <f t="shared" si="36"/>
        <v>1.2024245731310248E-2</v>
      </c>
      <c r="P143" s="40">
        <f t="shared" si="37"/>
        <v>3.7176867835657829E-4</v>
      </c>
      <c r="Q143" s="40">
        <f t="shared" si="38"/>
        <v>7.5296267385311973E-3</v>
      </c>
    </row>
    <row r="144" spans="1:17" x14ac:dyDescent="0.2">
      <c r="A144" s="25">
        <v>45362</v>
      </c>
      <c r="B144" s="26">
        <v>172.31655900000001</v>
      </c>
      <c r="C144" s="26">
        <v>59.301837999999996</v>
      </c>
      <c r="D144" s="26">
        <v>186.166473</v>
      </c>
      <c r="E144" s="26">
        <v>16.798576000000001</v>
      </c>
      <c r="F144" s="30">
        <f t="shared" si="27"/>
        <v>1.1762232376596935E-2</v>
      </c>
      <c r="G144" s="30">
        <f t="shared" si="28"/>
        <v>1.2024245731310248E-2</v>
      </c>
      <c r="H144" s="30">
        <f t="shared" si="29"/>
        <v>3.7176867835657829E-4</v>
      </c>
      <c r="I144" s="30">
        <f t="shared" si="30"/>
        <v>7.5296267385311973E-3</v>
      </c>
      <c r="J144" s="15">
        <f t="shared" si="31"/>
        <v>1.1693327743388939E-2</v>
      </c>
      <c r="K144" s="15">
        <f t="shared" si="32"/>
        <v>1.1952243368915368E-2</v>
      </c>
      <c r="L144" s="15">
        <f t="shared" si="33"/>
        <v>3.7169958094441683E-4</v>
      </c>
      <c r="M144" s="15">
        <f t="shared" si="34"/>
        <v>7.5013501144382318E-3</v>
      </c>
      <c r="N144" s="40">
        <f t="shared" si="35"/>
        <v>2.7746091448219968E-3</v>
      </c>
      <c r="O144" s="40">
        <f t="shared" si="36"/>
        <v>4.3067844327523246E-3</v>
      </c>
      <c r="P144" s="40">
        <f t="shared" si="37"/>
        <v>8.1983530120362299E-3</v>
      </c>
      <c r="Q144" s="40">
        <f t="shared" si="38"/>
        <v>-7.5296267385311115E-3</v>
      </c>
    </row>
    <row r="145" spans="1:17" x14ac:dyDescent="0.2">
      <c r="A145" s="25">
        <v>45363</v>
      </c>
      <c r="B145" s="26">
        <v>172.795334</v>
      </c>
      <c r="C145" s="26">
        <v>59.557789</v>
      </c>
      <c r="D145" s="26">
        <v>187.699005</v>
      </c>
      <c r="E145" s="26">
        <v>16.672564000000001</v>
      </c>
      <c r="F145" s="30">
        <f t="shared" si="27"/>
        <v>2.7746091448219968E-3</v>
      </c>
      <c r="G145" s="30">
        <f t="shared" si="28"/>
        <v>4.3067844327523246E-3</v>
      </c>
      <c r="H145" s="30">
        <f t="shared" si="29"/>
        <v>8.1983530120362299E-3</v>
      </c>
      <c r="I145" s="30">
        <f t="shared" si="30"/>
        <v>-7.5296267385311115E-3</v>
      </c>
      <c r="J145" s="15">
        <f t="shared" si="31"/>
        <v>2.7707634744349326E-3</v>
      </c>
      <c r="K145" s="15">
        <f t="shared" si="32"/>
        <v>4.2975235363422095E-3</v>
      </c>
      <c r="L145" s="15">
        <f t="shared" si="33"/>
        <v>8.1648381673627059E-3</v>
      </c>
      <c r="M145" s="15">
        <f t="shared" si="34"/>
        <v>-7.5580456611232284E-3</v>
      </c>
      <c r="N145" s="40">
        <f t="shared" si="35"/>
        <v>-1.2196574219039144E-2</v>
      </c>
      <c r="O145" s="40">
        <f t="shared" si="36"/>
        <v>1.0195775101912073E-2</v>
      </c>
      <c r="P145" s="40">
        <f t="shared" si="37"/>
        <v>8.079352123651724E-3</v>
      </c>
      <c r="Q145" s="40">
        <f t="shared" si="38"/>
        <v>-5.8160336375158385E-4</v>
      </c>
    </row>
    <row r="146" spans="1:17" x14ac:dyDescent="0.2">
      <c r="A146" s="25">
        <v>45364</v>
      </c>
      <c r="B146" s="26">
        <v>170.70062300000001</v>
      </c>
      <c r="C146" s="26">
        <v>60.168132999999997</v>
      </c>
      <c r="D146" s="26">
        <v>189.22163399999999</v>
      </c>
      <c r="E146" s="26">
        <v>16.662870000000002</v>
      </c>
      <c r="F146" s="30">
        <f t="shared" si="27"/>
        <v>-1.2196574219039144E-2</v>
      </c>
      <c r="G146" s="30">
        <f t="shared" si="28"/>
        <v>1.0195775101912073E-2</v>
      </c>
      <c r="H146" s="30">
        <f t="shared" si="29"/>
        <v>8.079352123651724E-3</v>
      </c>
      <c r="I146" s="30">
        <f t="shared" si="30"/>
        <v>-5.8160336375158385E-4</v>
      </c>
      <c r="J146" s="15">
        <f t="shared" si="31"/>
        <v>-1.2271255741111087E-2</v>
      </c>
      <c r="K146" s="15">
        <f t="shared" si="32"/>
        <v>1.0143974385909528E-2</v>
      </c>
      <c r="L146" s="15">
        <f t="shared" si="33"/>
        <v>8.046801878901411E-3</v>
      </c>
      <c r="M146" s="15">
        <f t="shared" si="34"/>
        <v>-5.8177252778180745E-4</v>
      </c>
      <c r="N146" s="40">
        <f t="shared" si="35"/>
        <v>1.0868104262170121E-2</v>
      </c>
      <c r="O146" s="40">
        <f t="shared" si="36"/>
        <v>-2.2289265661106588E-3</v>
      </c>
      <c r="P146" s="40">
        <f t="shared" si="37"/>
        <v>-1.7978656730612674E-2</v>
      </c>
      <c r="Q146" s="40">
        <f t="shared" si="38"/>
        <v>-1.0526393935028697E-2</v>
      </c>
    </row>
    <row r="147" spans="1:17" x14ac:dyDescent="0.2">
      <c r="A147" s="25">
        <v>45365</v>
      </c>
      <c r="B147" s="26">
        <v>172.565933</v>
      </c>
      <c r="C147" s="26">
        <v>60.034171999999998</v>
      </c>
      <c r="D147" s="26">
        <v>185.85008199999999</v>
      </c>
      <c r="E147" s="26">
        <v>16.488389999999999</v>
      </c>
      <c r="F147" s="30">
        <f t="shared" si="27"/>
        <v>1.0868104262170121E-2</v>
      </c>
      <c r="G147" s="30">
        <f t="shared" si="28"/>
        <v>-2.2289265661106588E-3</v>
      </c>
      <c r="H147" s="30">
        <f t="shared" si="29"/>
        <v>-1.7978656730612674E-2</v>
      </c>
      <c r="I147" s="30">
        <f t="shared" si="30"/>
        <v>-1.0526393935028697E-2</v>
      </c>
      <c r="J147" s="15">
        <f t="shared" si="31"/>
        <v>1.0809259785939289E-2</v>
      </c>
      <c r="K147" s="15">
        <f t="shared" si="32"/>
        <v>-2.231412469551497E-3</v>
      </c>
      <c r="L147" s="15">
        <f t="shared" si="33"/>
        <v>-1.8141245695011361E-2</v>
      </c>
      <c r="M147" s="15">
        <f t="shared" si="34"/>
        <v>-1.0581991328443993E-2</v>
      </c>
      <c r="N147" s="40">
        <f t="shared" si="35"/>
        <v>-2.1990199647653258E-3</v>
      </c>
      <c r="O147" s="40">
        <f t="shared" si="36"/>
        <v>-1.0300751202101817E-2</v>
      </c>
      <c r="P147" s="40">
        <f t="shared" si="37"/>
        <v>1.2319503083121451E-2</v>
      </c>
      <c r="Q147" s="40">
        <f t="shared" si="38"/>
        <v>2.3487728844055851E-3</v>
      </c>
    </row>
    <row r="148" spans="1:17" x14ac:dyDescent="0.2">
      <c r="A148" s="25">
        <v>45366</v>
      </c>
      <c r="B148" s="26">
        <v>172.18687399999999</v>
      </c>
      <c r="C148" s="26">
        <v>59.418948999999998</v>
      </c>
      <c r="D148" s="26">
        <v>188.15382399999999</v>
      </c>
      <c r="E148" s="26">
        <v>16.527163000000002</v>
      </c>
      <c r="F148" s="30">
        <f t="shared" si="27"/>
        <v>-2.1990199647653258E-3</v>
      </c>
      <c r="G148" s="30">
        <f t="shared" si="28"/>
        <v>-1.0300751202101817E-2</v>
      </c>
      <c r="H148" s="30">
        <f t="shared" si="29"/>
        <v>1.2319503083121451E-2</v>
      </c>
      <c r="I148" s="30">
        <f t="shared" si="30"/>
        <v>2.3487728844055851E-3</v>
      </c>
      <c r="J148" s="15">
        <f t="shared" si="31"/>
        <v>-2.2014395824388579E-3</v>
      </c>
      <c r="K148" s="15">
        <f t="shared" si="32"/>
        <v>-1.0353986570849651E-2</v>
      </c>
      <c r="L148" s="15">
        <f t="shared" si="33"/>
        <v>1.2243928669767562E-2</v>
      </c>
      <c r="M148" s="15">
        <f t="shared" si="34"/>
        <v>2.3460166756994294E-3</v>
      </c>
      <c r="N148" s="40">
        <f t="shared" si="35"/>
        <v>6.3521899768463532E-3</v>
      </c>
      <c r="O148" s="40">
        <f t="shared" si="36"/>
        <v>4.1663069910752798E-3</v>
      </c>
      <c r="P148" s="40">
        <f t="shared" si="37"/>
        <v>1.2325227911982373E-2</v>
      </c>
      <c r="Q148" s="40">
        <f t="shared" si="38"/>
        <v>1.455631158926427E-2</v>
      </c>
    </row>
    <row r="149" spans="1:17" x14ac:dyDescent="0.2">
      <c r="A149" s="25">
        <v>45369</v>
      </c>
      <c r="B149" s="26">
        <v>173.284119</v>
      </c>
      <c r="C149" s="26">
        <v>59.667023</v>
      </c>
      <c r="D149" s="26">
        <v>190.487213</v>
      </c>
      <c r="E149" s="26">
        <v>16.769497000000001</v>
      </c>
      <c r="F149" s="30">
        <f t="shared" si="27"/>
        <v>6.3521899768463532E-3</v>
      </c>
      <c r="G149" s="30">
        <f t="shared" si="28"/>
        <v>4.1663069910752798E-3</v>
      </c>
      <c r="H149" s="30">
        <f t="shared" si="29"/>
        <v>1.2325227911982373E-2</v>
      </c>
      <c r="I149" s="30">
        <f t="shared" si="30"/>
        <v>1.455631158926427E-2</v>
      </c>
      <c r="J149" s="15">
        <f t="shared" si="31"/>
        <v>6.3320574691556998E-3</v>
      </c>
      <c r="K149" s="15">
        <f t="shared" si="32"/>
        <v>4.1576399747646634E-3</v>
      </c>
      <c r="L149" s="15">
        <f t="shared" si="33"/>
        <v>1.2249583388046163E-2</v>
      </c>
      <c r="M149" s="15">
        <f t="shared" si="34"/>
        <v>1.4450880667440389E-2</v>
      </c>
      <c r="N149" s="40">
        <f t="shared" si="35"/>
        <v>1.3493637966671364E-2</v>
      </c>
      <c r="O149" s="40">
        <f t="shared" si="36"/>
        <v>1.6616478726241028E-3</v>
      </c>
      <c r="P149" s="40">
        <f t="shared" si="37"/>
        <v>5.8480844115032697E-3</v>
      </c>
      <c r="Q149" s="40">
        <f t="shared" si="38"/>
        <v>-7.5427928711403599E-3</v>
      </c>
    </row>
    <row r="150" spans="1:17" x14ac:dyDescent="0.2">
      <c r="A150" s="25">
        <v>45370</v>
      </c>
      <c r="B150" s="26">
        <v>175.63819899999999</v>
      </c>
      <c r="C150" s="26">
        <v>59.766250999999997</v>
      </c>
      <c r="D150" s="26">
        <v>191.60446200000001</v>
      </c>
      <c r="E150" s="26">
        <v>16.643484000000001</v>
      </c>
      <c r="F150" s="30">
        <f t="shared" si="27"/>
        <v>1.3493637966671364E-2</v>
      </c>
      <c r="G150" s="30">
        <f t="shared" si="28"/>
        <v>1.6616478726241028E-3</v>
      </c>
      <c r="H150" s="30">
        <f t="shared" si="29"/>
        <v>5.8480844115032697E-3</v>
      </c>
      <c r="I150" s="30">
        <f t="shared" si="30"/>
        <v>-7.5427928711403599E-3</v>
      </c>
      <c r="J150" s="15">
        <f t="shared" si="31"/>
        <v>1.3403006939281939E-2</v>
      </c>
      <c r="K150" s="15">
        <f t="shared" si="32"/>
        <v>1.6602681001355857E-3</v>
      </c>
      <c r="L150" s="15">
        <f t="shared" si="33"/>
        <v>5.8310176513531042E-3</v>
      </c>
      <c r="M150" s="15">
        <f t="shared" si="34"/>
        <v>-7.5713113912928547E-3</v>
      </c>
      <c r="N150" s="40">
        <f t="shared" si="35"/>
        <v>1.4602145308817756E-2</v>
      </c>
      <c r="O150" s="40">
        <f t="shared" si="36"/>
        <v>8.5965451914703454E-3</v>
      </c>
      <c r="P150" s="40">
        <f t="shared" si="37"/>
        <v>1.3021806957661381E-2</v>
      </c>
      <c r="Q150" s="40">
        <f t="shared" si="38"/>
        <v>2.3269110502146303E-3</v>
      </c>
    </row>
    <row r="151" spans="1:17" x14ac:dyDescent="0.2">
      <c r="A151" s="25">
        <v>45371</v>
      </c>
      <c r="B151" s="26">
        <v>178.22171</v>
      </c>
      <c r="C151" s="26">
        <v>60.282249</v>
      </c>
      <c r="D151" s="26">
        <v>194.115814</v>
      </c>
      <c r="E151" s="26">
        <v>16.682257</v>
      </c>
      <c r="F151" s="30">
        <f t="shared" si="27"/>
        <v>1.4602145308817756E-2</v>
      </c>
      <c r="G151" s="30">
        <f t="shared" si="28"/>
        <v>8.5965451914703454E-3</v>
      </c>
      <c r="H151" s="30">
        <f t="shared" si="29"/>
        <v>1.3021806957661381E-2</v>
      </c>
      <c r="I151" s="30">
        <f t="shared" si="30"/>
        <v>2.3269110502146303E-3</v>
      </c>
      <c r="J151" s="15">
        <f t="shared" si="31"/>
        <v>1.4496051014211545E-2</v>
      </c>
      <c r="K151" s="15">
        <f t="shared" si="32"/>
        <v>8.5597005513182375E-3</v>
      </c>
      <c r="L151" s="15">
        <f t="shared" si="33"/>
        <v>1.2937390046954073E-2</v>
      </c>
      <c r="M151" s="15">
        <f t="shared" si="34"/>
        <v>2.3242058913250803E-3</v>
      </c>
      <c r="N151" s="40">
        <f t="shared" si="35"/>
        <v>-4.1715613983300662E-2</v>
      </c>
      <c r="O151" s="40">
        <f t="shared" si="36"/>
        <v>-4.6196894266072042E-3</v>
      </c>
      <c r="P151" s="40">
        <f t="shared" si="37"/>
        <v>1.3809332358761774E-2</v>
      </c>
      <c r="Q151" s="40">
        <f t="shared" si="38"/>
        <v>-2.9095910236789767E-3</v>
      </c>
    </row>
    <row r="152" spans="1:17" x14ac:dyDescent="0.2">
      <c r="A152" s="25">
        <v>45372</v>
      </c>
      <c r="B152" s="26">
        <v>170.94001800000001</v>
      </c>
      <c r="C152" s="26">
        <v>60.004406000000003</v>
      </c>
      <c r="D152" s="26">
        <v>196.81501800000001</v>
      </c>
      <c r="E152" s="26">
        <v>16.633789</v>
      </c>
      <c r="F152" s="30">
        <f t="shared" si="27"/>
        <v>-4.1715613983300662E-2</v>
      </c>
      <c r="G152" s="30">
        <f t="shared" si="28"/>
        <v>-4.6196894266072042E-3</v>
      </c>
      <c r="H152" s="30">
        <f t="shared" si="29"/>
        <v>1.3809332358761774E-2</v>
      </c>
      <c r="I152" s="30">
        <f t="shared" si="30"/>
        <v>-2.9095910236789767E-3</v>
      </c>
      <c r="J152" s="15">
        <f t="shared" si="31"/>
        <v>-4.2597936312373574E-2</v>
      </c>
      <c r="K152" s="15">
        <f t="shared" si="32"/>
        <v>-4.630376642675159E-3</v>
      </c>
      <c r="L152" s="15">
        <f t="shared" si="33"/>
        <v>1.3714420918834602E-2</v>
      </c>
      <c r="M152" s="15">
        <f t="shared" si="34"/>
        <v>-2.9138279919265378E-3</v>
      </c>
      <c r="N152" s="40">
        <f t="shared" si="35"/>
        <v>5.2960884338796171E-3</v>
      </c>
      <c r="O152" s="40">
        <f t="shared" si="36"/>
        <v>3.3072101581254086E-4</v>
      </c>
      <c r="P152" s="40">
        <f t="shared" si="37"/>
        <v>-1.2333324609694349E-2</v>
      </c>
      <c r="Q152" s="40">
        <f t="shared" si="38"/>
        <v>-1.0544773183150766E-2</v>
      </c>
    </row>
    <row r="153" spans="1:17" x14ac:dyDescent="0.2">
      <c r="A153" s="25">
        <v>45373</v>
      </c>
      <c r="B153" s="26">
        <v>171.84773300000001</v>
      </c>
      <c r="C153" s="26">
        <v>60.024253999999999</v>
      </c>
      <c r="D153" s="26">
        <v>194.40254200000001</v>
      </c>
      <c r="E153" s="26">
        <v>16.459311</v>
      </c>
      <c r="F153" s="30">
        <f t="shared" si="27"/>
        <v>5.2960884338796171E-3</v>
      </c>
      <c r="G153" s="30">
        <f t="shared" si="28"/>
        <v>3.3072101581254086E-4</v>
      </c>
      <c r="H153" s="30">
        <f t="shared" si="29"/>
        <v>-1.2333324609694349E-2</v>
      </c>
      <c r="I153" s="30">
        <f t="shared" si="30"/>
        <v>-1.0544773183150766E-2</v>
      </c>
      <c r="J153" s="15">
        <f t="shared" si="31"/>
        <v>5.2820888827203559E-3</v>
      </c>
      <c r="K153" s="15">
        <f t="shared" si="32"/>
        <v>3.3066633364566418E-4</v>
      </c>
      <c r="L153" s="15">
        <f t="shared" si="33"/>
        <v>-1.2409693696289208E-2</v>
      </c>
      <c r="M153" s="15">
        <f t="shared" si="34"/>
        <v>-1.0600565236296986E-2</v>
      </c>
      <c r="N153" s="40">
        <f t="shared" si="35"/>
        <v>-8.3350523254073824E-3</v>
      </c>
      <c r="O153" s="40">
        <f t="shared" si="36"/>
        <v>-1.4890065620656438E-3</v>
      </c>
      <c r="P153" s="40">
        <f t="shared" si="37"/>
        <v>-9.1968412694247506E-3</v>
      </c>
      <c r="Q153" s="40">
        <f t="shared" si="38"/>
        <v>8.2110739967389546E-3</v>
      </c>
    </row>
    <row r="154" spans="1:17" x14ac:dyDescent="0.2">
      <c r="A154" s="25">
        <v>45376</v>
      </c>
      <c r="B154" s="26">
        <v>170.42132599999999</v>
      </c>
      <c r="C154" s="26">
        <v>59.934944000000002</v>
      </c>
      <c r="D154" s="26">
        <v>192.622849</v>
      </c>
      <c r="E154" s="26">
        <v>16.595016000000001</v>
      </c>
      <c r="F154" s="30">
        <f t="shared" si="27"/>
        <v>-8.3350523254073824E-3</v>
      </c>
      <c r="G154" s="30">
        <f t="shared" si="28"/>
        <v>-1.4890065620656438E-3</v>
      </c>
      <c r="H154" s="30">
        <f t="shared" si="29"/>
        <v>-9.1968412694247506E-3</v>
      </c>
      <c r="I154" s="30">
        <f t="shared" si="30"/>
        <v>8.2110739967389546E-3</v>
      </c>
      <c r="J154" s="15">
        <f t="shared" si="31"/>
        <v>-8.3698855857981761E-3</v>
      </c>
      <c r="K154" s="15">
        <f t="shared" si="32"/>
        <v>-1.4901156827642579E-3</v>
      </c>
      <c r="L154" s="15">
        <f t="shared" si="33"/>
        <v>-9.2392621604304517E-3</v>
      </c>
      <c r="M154" s="15">
        <f t="shared" si="34"/>
        <v>8.1774552070333351E-3</v>
      </c>
      <c r="N154" s="40">
        <f t="shared" si="35"/>
        <v>-6.6948293563426041E-3</v>
      </c>
      <c r="O154" s="40">
        <f t="shared" si="36"/>
        <v>2.3152310191375206E-3</v>
      </c>
      <c r="P154" s="40">
        <f t="shared" si="37"/>
        <v>4.6600093568763086E-3</v>
      </c>
      <c r="Q154" s="40">
        <f t="shared" si="38"/>
        <v>3.4985997178958793E-3</v>
      </c>
    </row>
    <row r="155" spans="1:17" x14ac:dyDescent="0.2">
      <c r="A155" s="25">
        <v>45377</v>
      </c>
      <c r="B155" s="26">
        <v>169.28419500000001</v>
      </c>
      <c r="C155" s="26">
        <v>60.073867999999997</v>
      </c>
      <c r="D155" s="26">
        <v>193.52256800000001</v>
      </c>
      <c r="E155" s="26">
        <v>16.653176999999999</v>
      </c>
      <c r="F155" s="30">
        <f t="shared" si="27"/>
        <v>-6.6948293563426041E-3</v>
      </c>
      <c r="G155" s="30">
        <f t="shared" si="28"/>
        <v>2.3152310191375206E-3</v>
      </c>
      <c r="H155" s="30">
        <f t="shared" si="29"/>
        <v>4.6600093568763086E-3</v>
      </c>
      <c r="I155" s="30">
        <f t="shared" si="30"/>
        <v>3.4985997178958793E-3</v>
      </c>
      <c r="J155" s="15">
        <f t="shared" si="31"/>
        <v>-6.7172898214152964E-3</v>
      </c>
      <c r="K155" s="15">
        <f t="shared" si="32"/>
        <v>2.3125529389916399E-3</v>
      </c>
      <c r="L155" s="15">
        <f t="shared" si="33"/>
        <v>4.6491683595269598E-3</v>
      </c>
      <c r="M155" s="15">
        <f t="shared" si="34"/>
        <v>3.4924867489247459E-3</v>
      </c>
      <c r="N155" s="40">
        <f t="shared" si="35"/>
        <v>2.0990652674622658E-2</v>
      </c>
      <c r="O155" s="40">
        <f t="shared" si="36"/>
        <v>8.0612064628980545E-3</v>
      </c>
      <c r="P155" s="40">
        <f t="shared" si="37"/>
        <v>1.9178381247547345E-2</v>
      </c>
      <c r="Q155" s="40">
        <f t="shared" si="38"/>
        <v>2.130803414272742E-2</v>
      </c>
    </row>
    <row r="156" spans="1:17" x14ac:dyDescent="0.2">
      <c r="A156" s="25">
        <v>45378</v>
      </c>
      <c r="B156" s="26">
        <v>172.875137</v>
      </c>
      <c r="C156" s="26">
        <v>60.560093000000002</v>
      </c>
      <c r="D156" s="26">
        <v>197.269836</v>
      </c>
      <c r="E156" s="26">
        <v>17.011831000000001</v>
      </c>
      <c r="F156" s="30">
        <f t="shared" si="27"/>
        <v>2.0990652674622658E-2</v>
      </c>
      <c r="G156" s="30">
        <f t="shared" si="28"/>
        <v>8.0612064628980545E-3</v>
      </c>
      <c r="H156" s="30">
        <f t="shared" si="29"/>
        <v>1.9178381247547345E-2</v>
      </c>
      <c r="I156" s="30">
        <f t="shared" si="30"/>
        <v>2.130803414272742E-2</v>
      </c>
      <c r="J156" s="15">
        <f t="shared" si="31"/>
        <v>2.0771882309484353E-2</v>
      </c>
      <c r="K156" s="15">
        <f t="shared" si="32"/>
        <v>8.0288020693760256E-3</v>
      </c>
      <c r="L156" s="15">
        <f t="shared" si="33"/>
        <v>1.899564614632716E-2</v>
      </c>
      <c r="M156" s="15">
        <f t="shared" si="34"/>
        <v>2.1082621852991684E-2</v>
      </c>
      <c r="N156" s="40">
        <f t="shared" si="35"/>
        <v>-1.0615167680639992E-2</v>
      </c>
      <c r="O156" s="40">
        <f t="shared" si="36"/>
        <v>2.4548076667502516E-3</v>
      </c>
      <c r="P156" s="40">
        <f t="shared" si="37"/>
        <v>3.9017948330012063E-3</v>
      </c>
      <c r="Q156" s="40">
        <f t="shared" si="38"/>
        <v>2.8449078782690519E-3</v>
      </c>
    </row>
    <row r="157" spans="1:17" x14ac:dyDescent="0.2">
      <c r="A157" s="25">
        <v>45379</v>
      </c>
      <c r="B157" s="26">
        <v>171.049744</v>
      </c>
      <c r="C157" s="26">
        <v>60.708939000000001</v>
      </c>
      <c r="D157" s="26">
        <v>198.04104599999999</v>
      </c>
      <c r="E157" s="26">
        <v>17.060296999999998</v>
      </c>
      <c r="F157" s="30">
        <f t="shared" si="27"/>
        <v>-1.0615167680639992E-2</v>
      </c>
      <c r="G157" s="30">
        <f t="shared" si="28"/>
        <v>2.4548076667502516E-3</v>
      </c>
      <c r="H157" s="30">
        <f t="shared" si="29"/>
        <v>3.9017948330012063E-3</v>
      </c>
      <c r="I157" s="30">
        <f t="shared" si="30"/>
        <v>2.8449078782690519E-3</v>
      </c>
      <c r="J157" s="15">
        <f t="shared" si="31"/>
        <v>-1.0671708459265459E-2</v>
      </c>
      <c r="K157" s="15">
        <f t="shared" si="32"/>
        <v>2.4517970903757506E-3</v>
      </c>
      <c r="L157" s="15">
        <f t="shared" si="33"/>
        <v>3.8941927220481174E-3</v>
      </c>
      <c r="M157" s="15">
        <f t="shared" si="34"/>
        <v>2.8408649626672786E-3</v>
      </c>
      <c r="N157" s="40">
        <f t="shared" si="35"/>
        <v>-8.4917741718009161E-3</v>
      </c>
      <c r="O157" s="40">
        <f t="shared" si="36"/>
        <v>-8.2061974569752581E-3</v>
      </c>
      <c r="P157" s="40">
        <f t="shared" si="37"/>
        <v>-6.8129855912890617E-3</v>
      </c>
      <c r="Q157" s="40">
        <f t="shared" si="38"/>
        <v>-5.697991304405129E-3</v>
      </c>
    </row>
    <row r="158" spans="1:17" x14ac:dyDescent="0.2">
      <c r="A158" s="25">
        <v>45383</v>
      </c>
      <c r="B158" s="26">
        <v>169.60337799999999</v>
      </c>
      <c r="C158" s="26">
        <v>60.212788000000003</v>
      </c>
      <c r="D158" s="26">
        <v>196.696381</v>
      </c>
      <c r="E158" s="26">
        <v>16.963363999999999</v>
      </c>
      <c r="F158" s="30">
        <f t="shared" si="27"/>
        <v>-8.4917741718009161E-3</v>
      </c>
      <c r="G158" s="30">
        <f t="shared" si="28"/>
        <v>-8.2061974569752581E-3</v>
      </c>
      <c r="H158" s="30">
        <f t="shared" si="29"/>
        <v>-6.8129855912890617E-3</v>
      </c>
      <c r="I158" s="30">
        <f t="shared" si="30"/>
        <v>-5.697991304405129E-3</v>
      </c>
      <c r="J158" s="15">
        <f t="shared" si="31"/>
        <v>-8.5279315604198155E-3</v>
      </c>
      <c r="K158" s="15">
        <f t="shared" si="32"/>
        <v>-8.2399605877741047E-3</v>
      </c>
      <c r="L158" s="15">
        <f t="shared" si="33"/>
        <v>-6.8362467736505636E-3</v>
      </c>
      <c r="M158" s="15">
        <f t="shared" si="34"/>
        <v>-5.7142557337094193E-3</v>
      </c>
      <c r="N158" s="40">
        <f t="shared" si="35"/>
        <v>-7.0234473180625914E-3</v>
      </c>
      <c r="O158" s="40">
        <f t="shared" si="36"/>
        <v>-8.7726750393700287E-3</v>
      </c>
      <c r="P158" s="40">
        <f t="shared" si="37"/>
        <v>-4.0223368324664339E-4</v>
      </c>
      <c r="Q158" s="40">
        <f t="shared" si="38"/>
        <v>1.1421632595400733E-3</v>
      </c>
    </row>
    <row r="159" spans="1:17" x14ac:dyDescent="0.2">
      <c r="A159" s="25">
        <v>45384</v>
      </c>
      <c r="B159" s="26">
        <v>168.41635099999999</v>
      </c>
      <c r="C159" s="26">
        <v>59.686870999999996</v>
      </c>
      <c r="D159" s="26">
        <v>196.617279</v>
      </c>
      <c r="E159" s="26">
        <v>16.982749999999999</v>
      </c>
      <c r="F159" s="30">
        <f t="shared" si="27"/>
        <v>-7.0234473180625914E-3</v>
      </c>
      <c r="G159" s="30">
        <f t="shared" si="28"/>
        <v>-8.7726750393700287E-3</v>
      </c>
      <c r="H159" s="30">
        <f t="shared" si="29"/>
        <v>-4.0223368324664339E-4</v>
      </c>
      <c r="I159" s="30">
        <f t="shared" si="30"/>
        <v>1.1421632595400733E-3</v>
      </c>
      <c r="J159" s="15">
        <f t="shared" si="31"/>
        <v>-7.0481695687611744E-3</v>
      </c>
      <c r="K159" s="15">
        <f t="shared" si="32"/>
        <v>-8.8112677241868973E-3</v>
      </c>
      <c r="L159" s="15">
        <f t="shared" si="33"/>
        <v>-4.0231459006207691E-4</v>
      </c>
      <c r="M159" s="15">
        <f t="shared" si="34"/>
        <v>1.1415112393458535E-3</v>
      </c>
      <c r="N159" s="40">
        <f t="shared" si="35"/>
        <v>4.7859728642550272E-3</v>
      </c>
      <c r="O159" s="40">
        <f t="shared" si="36"/>
        <v>-5.3342326889105063E-3</v>
      </c>
      <c r="P159" s="40">
        <f t="shared" si="37"/>
        <v>-2.8200016753762752E-3</v>
      </c>
      <c r="Q159" s="40">
        <f t="shared" si="38"/>
        <v>5.12394513644681E-3</v>
      </c>
    </row>
    <row r="160" spans="1:17" x14ac:dyDescent="0.2">
      <c r="A160" s="25">
        <v>45385</v>
      </c>
      <c r="B160" s="26">
        <v>169.22431900000001</v>
      </c>
      <c r="C160" s="26">
        <v>59.369335</v>
      </c>
      <c r="D160" s="26">
        <v>196.06359900000001</v>
      </c>
      <c r="E160" s="26">
        <v>17.069991999999999</v>
      </c>
      <c r="F160" s="30">
        <f t="shared" si="27"/>
        <v>4.7859728642550272E-3</v>
      </c>
      <c r="G160" s="30">
        <f t="shared" si="28"/>
        <v>-5.3342326889105063E-3</v>
      </c>
      <c r="H160" s="30">
        <f t="shared" si="29"/>
        <v>-2.8200016753762752E-3</v>
      </c>
      <c r="I160" s="30">
        <f t="shared" si="30"/>
        <v>5.12394513644681E-3</v>
      </c>
      <c r="J160" s="15">
        <f t="shared" si="31"/>
        <v>4.7745383451654883E-3</v>
      </c>
      <c r="K160" s="15">
        <f t="shared" si="32"/>
        <v>-5.3484850386145803E-3</v>
      </c>
      <c r="L160" s="15">
        <f t="shared" si="33"/>
        <v>-2.8239816203719983E-3</v>
      </c>
      <c r="M160" s="15">
        <f t="shared" si="34"/>
        <v>5.110840122244921E-3</v>
      </c>
      <c r="N160" s="40">
        <f t="shared" si="35"/>
        <v>-4.9043056684808586E-3</v>
      </c>
      <c r="O160" s="40">
        <f t="shared" si="36"/>
        <v>-8.8979314726668046E-3</v>
      </c>
      <c r="P160" s="40">
        <f t="shared" si="37"/>
        <v>-7.637567148412871E-3</v>
      </c>
      <c r="Q160" s="40">
        <f t="shared" si="38"/>
        <v>-2.2740551851044106E-3</v>
      </c>
    </row>
    <row r="161" spans="1:17" x14ac:dyDescent="0.2">
      <c r="A161" s="25">
        <v>45386</v>
      </c>
      <c r="B161" s="26">
        <v>168.396423</v>
      </c>
      <c r="C161" s="26">
        <v>58.843414000000003</v>
      </c>
      <c r="D161" s="26">
        <v>194.571854</v>
      </c>
      <c r="E161" s="26">
        <v>17.031217999999999</v>
      </c>
      <c r="F161" s="30">
        <f t="shared" si="27"/>
        <v>-4.9043056684808586E-3</v>
      </c>
      <c r="G161" s="30">
        <f t="shared" si="28"/>
        <v>-8.8979314726668046E-3</v>
      </c>
      <c r="H161" s="30">
        <f t="shared" si="29"/>
        <v>-7.637567148412871E-3</v>
      </c>
      <c r="I161" s="30">
        <f t="shared" si="30"/>
        <v>-2.2740551851044106E-3</v>
      </c>
      <c r="J161" s="15">
        <f t="shared" si="31"/>
        <v>-4.9163514595557045E-3</v>
      </c>
      <c r="K161" s="15">
        <f t="shared" si="32"/>
        <v>-8.9376357394898385E-3</v>
      </c>
      <c r="L161" s="15">
        <f t="shared" si="33"/>
        <v>-7.666807759358703E-3</v>
      </c>
      <c r="M161" s="15">
        <f t="shared" si="34"/>
        <v>-2.2766428096921833E-3</v>
      </c>
      <c r="N161" s="40">
        <f t="shared" si="35"/>
        <v>4.4916084303433098E-3</v>
      </c>
      <c r="O161" s="40">
        <f t="shared" si="36"/>
        <v>3.5350412795235415E-3</v>
      </c>
      <c r="P161" s="40">
        <f t="shared" si="37"/>
        <v>9.1580546261534317E-3</v>
      </c>
      <c r="Q161" s="40">
        <f t="shared" si="38"/>
        <v>-8.5739149328683574E-3</v>
      </c>
    </row>
    <row r="162" spans="1:17" x14ac:dyDescent="0.2">
      <c r="A162" s="25">
        <v>45387</v>
      </c>
      <c r="B162" s="26">
        <v>169.154495</v>
      </c>
      <c r="C162" s="26">
        <v>59.051796000000003</v>
      </c>
      <c r="D162" s="26">
        <v>196.36193800000001</v>
      </c>
      <c r="E162" s="26">
        <v>16.885818</v>
      </c>
      <c r="F162" s="30">
        <f t="shared" si="27"/>
        <v>4.4916084303433098E-3</v>
      </c>
      <c r="G162" s="30">
        <f t="shared" si="28"/>
        <v>3.5350412795235415E-3</v>
      </c>
      <c r="H162" s="30">
        <f t="shared" si="29"/>
        <v>9.1580546261534317E-3</v>
      </c>
      <c r="I162" s="30">
        <f t="shared" si="30"/>
        <v>-8.5739149328683574E-3</v>
      </c>
      <c r="J162" s="15">
        <f t="shared" si="31"/>
        <v>4.4815362429475999E-3</v>
      </c>
      <c r="K162" s="15">
        <f t="shared" si="32"/>
        <v>3.5288003772146114E-3</v>
      </c>
      <c r="L162" s="15">
        <f t="shared" si="33"/>
        <v>9.1162473656172978E-3</v>
      </c>
      <c r="M162" s="15">
        <f t="shared" si="34"/>
        <v>-8.6107762146908507E-3</v>
      </c>
      <c r="N162" s="40">
        <f t="shared" si="35"/>
        <v>-6.685740856598745E-3</v>
      </c>
      <c r="O162" s="40">
        <f t="shared" si="36"/>
        <v>-4.0410882798711488E-3</v>
      </c>
      <c r="P162" s="40">
        <f t="shared" si="37"/>
        <v>5.202946011474462E-3</v>
      </c>
      <c r="Q162" s="40">
        <f t="shared" si="38"/>
        <v>-9.8068295948848475E-3</v>
      </c>
    </row>
    <row r="163" spans="1:17" x14ac:dyDescent="0.2">
      <c r="A163" s="25">
        <v>45390</v>
      </c>
      <c r="B163" s="26">
        <v>168.027344</v>
      </c>
      <c r="C163" s="26">
        <v>58.813643999999996</v>
      </c>
      <c r="D163" s="26">
        <v>197.38626099999999</v>
      </c>
      <c r="E163" s="26">
        <v>16.721031</v>
      </c>
      <c r="F163" s="30">
        <f t="shared" si="27"/>
        <v>-6.685740856598745E-3</v>
      </c>
      <c r="G163" s="30">
        <f t="shared" si="28"/>
        <v>-4.0410882798711488E-3</v>
      </c>
      <c r="H163" s="30">
        <f t="shared" si="29"/>
        <v>5.202946011474462E-3</v>
      </c>
      <c r="I163" s="30">
        <f t="shared" si="30"/>
        <v>-9.8068295948848475E-3</v>
      </c>
      <c r="J163" s="15">
        <f t="shared" si="31"/>
        <v>-6.7081403131623489E-3</v>
      </c>
      <c r="K163" s="15">
        <f t="shared" si="32"/>
        <v>-4.0492644869956811E-3</v>
      </c>
      <c r="L163" s="15">
        <f t="shared" si="33"/>
        <v>5.1894341318921948E-3</v>
      </c>
      <c r="M163" s="15">
        <f t="shared" si="34"/>
        <v>-9.8550741279051796E-3</v>
      </c>
      <c r="N163" s="40">
        <f t="shared" si="35"/>
        <v>7.2163751807764352E-3</v>
      </c>
      <c r="O163" s="40">
        <f t="shared" si="36"/>
        <v>7.5637276739742845E-3</v>
      </c>
      <c r="P163" s="40">
        <f t="shared" si="37"/>
        <v>-6.7235150953914692E-3</v>
      </c>
      <c r="Q163" s="40">
        <f t="shared" si="38"/>
        <v>-4.2513463190354973E-3</v>
      </c>
    </row>
    <row r="164" spans="1:17" x14ac:dyDescent="0.2">
      <c r="A164" s="25">
        <v>45391</v>
      </c>
      <c r="B164" s="26">
        <v>169.24427800000001</v>
      </c>
      <c r="C164" s="26">
        <v>59.260181000000003</v>
      </c>
      <c r="D164" s="26">
        <v>196.06358299999999</v>
      </c>
      <c r="E164" s="26">
        <v>16.650095</v>
      </c>
      <c r="F164" s="30">
        <f t="shared" si="27"/>
        <v>7.2163751807764352E-3</v>
      </c>
      <c r="G164" s="30">
        <f t="shared" si="28"/>
        <v>7.5637276739742845E-3</v>
      </c>
      <c r="H164" s="30">
        <f t="shared" si="29"/>
        <v>-6.7235150953914692E-3</v>
      </c>
      <c r="I164" s="30">
        <f t="shared" si="30"/>
        <v>-4.2513463190354973E-3</v>
      </c>
      <c r="J164" s="15">
        <f t="shared" si="31"/>
        <v>7.1903996659787167E-3</v>
      </c>
      <c r="K164" s="15">
        <f t="shared" si="32"/>
        <v>7.5351946697565161E-3</v>
      </c>
      <c r="L164" s="15">
        <f t="shared" si="33"/>
        <v>-6.7461686650906322E-3</v>
      </c>
      <c r="M164" s="15">
        <f t="shared" si="34"/>
        <v>-4.2603961118539962E-3</v>
      </c>
      <c r="N164" s="40">
        <f t="shared" si="35"/>
        <v>-1.120175412492392E-2</v>
      </c>
      <c r="O164" s="40">
        <f t="shared" si="36"/>
        <v>-1.348640955626019E-2</v>
      </c>
      <c r="P164" s="40">
        <f t="shared" si="37"/>
        <v>-8.557882737226321E-3</v>
      </c>
      <c r="Q164" s="40">
        <f t="shared" si="38"/>
        <v>-1.0110097057956752E-2</v>
      </c>
    </row>
    <row r="165" spans="1:17" x14ac:dyDescent="0.2">
      <c r="A165" s="25">
        <v>45392</v>
      </c>
      <c r="B165" s="26">
        <v>167.35902400000001</v>
      </c>
      <c r="C165" s="26">
        <v>58.466338999999998</v>
      </c>
      <c r="D165" s="26">
        <v>194.392853</v>
      </c>
      <c r="E165" s="26">
        <v>16.482609</v>
      </c>
      <c r="F165" s="30">
        <f t="shared" si="27"/>
        <v>-1.120175412492392E-2</v>
      </c>
      <c r="G165" s="30">
        <f t="shared" si="28"/>
        <v>-1.348640955626019E-2</v>
      </c>
      <c r="H165" s="30">
        <f t="shared" si="29"/>
        <v>-8.557882737226321E-3</v>
      </c>
      <c r="I165" s="30">
        <f t="shared" si="30"/>
        <v>-1.0110097057956752E-2</v>
      </c>
      <c r="J165" s="15">
        <f t="shared" si="31"/>
        <v>-1.1264728694880554E-2</v>
      </c>
      <c r="K165" s="15">
        <f t="shared" si="32"/>
        <v>-1.3577761385059617E-2</v>
      </c>
      <c r="L165" s="15">
        <f t="shared" si="33"/>
        <v>-8.5946060990215092E-3</v>
      </c>
      <c r="M165" s="15">
        <f t="shared" si="34"/>
        <v>-1.0161376757769371E-2</v>
      </c>
      <c r="N165" s="40">
        <f t="shared" si="35"/>
        <v>4.236087617690229E-2</v>
      </c>
      <c r="O165" s="40">
        <f t="shared" si="36"/>
        <v>2.2039331166826617E-3</v>
      </c>
      <c r="P165" s="40">
        <f t="shared" si="37"/>
        <v>-2.0473527315899678E-4</v>
      </c>
      <c r="Q165" s="40">
        <f t="shared" si="38"/>
        <v>-1.8703414262897906E-2</v>
      </c>
    </row>
    <row r="166" spans="1:17" x14ac:dyDescent="0.2">
      <c r="A166" s="25">
        <v>45393</v>
      </c>
      <c r="B166" s="26">
        <v>174.60079999999999</v>
      </c>
      <c r="C166" s="26">
        <v>58.595337000000001</v>
      </c>
      <c r="D166" s="26">
        <v>194.353058</v>
      </c>
      <c r="E166" s="26">
        <v>16.177192999999999</v>
      </c>
      <c r="F166" s="30">
        <f t="shared" si="27"/>
        <v>4.236087617690229E-2</v>
      </c>
      <c r="G166" s="30">
        <f t="shared" si="28"/>
        <v>2.2039331166826617E-3</v>
      </c>
      <c r="H166" s="30">
        <f t="shared" si="29"/>
        <v>-2.0473527315899678E-4</v>
      </c>
      <c r="I166" s="30">
        <f t="shared" si="30"/>
        <v>-1.8703414262897906E-2</v>
      </c>
      <c r="J166" s="15">
        <f t="shared" si="31"/>
        <v>4.147619025800562E-2</v>
      </c>
      <c r="K166" s="15">
        <f t="shared" si="32"/>
        <v>2.2015062393105243E-3</v>
      </c>
      <c r="L166" s="15">
        <f t="shared" si="33"/>
        <v>-2.0475623285535352E-4</v>
      </c>
      <c r="M166" s="15">
        <f t="shared" si="34"/>
        <v>-1.887941869766906E-2</v>
      </c>
      <c r="N166" s="40">
        <f t="shared" si="35"/>
        <v>8.5896815167550832E-3</v>
      </c>
      <c r="O166" s="40">
        <f t="shared" si="36"/>
        <v>-1.3125590939175541E-2</v>
      </c>
      <c r="P166" s="40">
        <f t="shared" si="37"/>
        <v>-6.6864291458487934E-2</v>
      </c>
      <c r="Q166" s="40">
        <f t="shared" si="38"/>
        <v>-6.7217247231749887E-3</v>
      </c>
    </row>
    <row r="167" spans="1:17" x14ac:dyDescent="0.2">
      <c r="A167" s="25">
        <v>45394</v>
      </c>
      <c r="B167" s="26">
        <v>176.10702499999999</v>
      </c>
      <c r="C167" s="26">
        <v>57.831263999999997</v>
      </c>
      <c r="D167" s="26">
        <v>181.782715</v>
      </c>
      <c r="E167" s="26">
        <v>16.068819000000001</v>
      </c>
      <c r="F167" s="30">
        <f t="shared" si="27"/>
        <v>8.5896815167550832E-3</v>
      </c>
      <c r="G167" s="30">
        <f t="shared" si="28"/>
        <v>-1.3125590939175541E-2</v>
      </c>
      <c r="H167" s="30">
        <f t="shared" si="29"/>
        <v>-6.6864291458487934E-2</v>
      </c>
      <c r="I167" s="30">
        <f t="shared" si="30"/>
        <v>-6.7217247231749887E-3</v>
      </c>
      <c r="J167" s="15">
        <f t="shared" si="31"/>
        <v>8.5528956042497488E-3</v>
      </c>
      <c r="K167" s="15">
        <f t="shared" si="32"/>
        <v>-1.3212109629836266E-2</v>
      </c>
      <c r="L167" s="15">
        <f t="shared" si="33"/>
        <v>-6.9150375490871108E-2</v>
      </c>
      <c r="M167" s="15">
        <f t="shared" si="34"/>
        <v>-6.7443662163347374E-3</v>
      </c>
      <c r="N167" s="40">
        <f t="shared" si="35"/>
        <v>-2.2106106529132866E-2</v>
      </c>
      <c r="O167" s="40">
        <f t="shared" si="36"/>
        <v>-2.4050333635455131E-3</v>
      </c>
      <c r="P167" s="40">
        <f t="shared" si="37"/>
        <v>5.4697060967347623E-4</v>
      </c>
      <c r="Q167" s="40">
        <f t="shared" si="38"/>
        <v>-4.3010263731349009E-3</v>
      </c>
    </row>
    <row r="168" spans="1:17" x14ac:dyDescent="0.2">
      <c r="A168" s="25">
        <v>45397</v>
      </c>
      <c r="B168" s="26">
        <v>172.256699</v>
      </c>
      <c r="C168" s="26">
        <v>57.692345000000003</v>
      </c>
      <c r="D168" s="26">
        <v>181.882172</v>
      </c>
      <c r="E168" s="26">
        <v>15.999855</v>
      </c>
      <c r="F168" s="30">
        <f t="shared" si="27"/>
        <v>-2.2106106529132866E-2</v>
      </c>
      <c r="G168" s="30">
        <f t="shared" si="28"/>
        <v>-2.4050333635455131E-3</v>
      </c>
      <c r="H168" s="30">
        <f t="shared" si="29"/>
        <v>5.4697060967347623E-4</v>
      </c>
      <c r="I168" s="30">
        <f t="shared" si="30"/>
        <v>-4.3010263731349009E-3</v>
      </c>
      <c r="J168" s="15">
        <f t="shared" si="31"/>
        <v>-2.2352256965054204E-2</v>
      </c>
      <c r="K168" s="15">
        <f t="shared" si="32"/>
        <v>-2.4079277762066049E-3</v>
      </c>
      <c r="L168" s="15">
        <f t="shared" si="33"/>
        <v>5.4682104851926344E-4</v>
      </c>
      <c r="M168" s="15">
        <f t="shared" si="34"/>
        <v>-4.3102890619946951E-3</v>
      </c>
      <c r="N168" s="40">
        <f t="shared" si="35"/>
        <v>-1.9353292388622649E-2</v>
      </c>
      <c r="O168" s="40">
        <f t="shared" si="36"/>
        <v>-1.3769359849297128E-3</v>
      </c>
      <c r="P168" s="40">
        <f t="shared" si="37"/>
        <v>-1.1493392825475091E-2</v>
      </c>
      <c r="Q168" s="40">
        <f t="shared" si="38"/>
        <v>-9.2793792839827582E-3</v>
      </c>
    </row>
    <row r="169" spans="1:17" x14ac:dyDescent="0.2">
      <c r="A169" s="25">
        <v>45398</v>
      </c>
      <c r="B169" s="26">
        <v>168.955017</v>
      </c>
      <c r="C169" s="26">
        <v>57.612960999999999</v>
      </c>
      <c r="D169" s="26">
        <v>179.803696</v>
      </c>
      <c r="E169" s="26">
        <v>15.852073000000001</v>
      </c>
      <c r="F169" s="30">
        <f t="shared" si="27"/>
        <v>-1.9353292388622649E-2</v>
      </c>
      <c r="G169" s="30">
        <f t="shared" si="28"/>
        <v>-1.3769359849297128E-3</v>
      </c>
      <c r="H169" s="30">
        <f t="shared" si="29"/>
        <v>-1.1493392825475091E-2</v>
      </c>
      <c r="I169" s="30">
        <f t="shared" si="30"/>
        <v>-9.2793792839827582E-3</v>
      </c>
      <c r="J169" s="15">
        <f t="shared" si="31"/>
        <v>-1.9541781348819016E-2</v>
      </c>
      <c r="K169" s="15">
        <f t="shared" si="32"/>
        <v>-1.3778843965336995E-3</v>
      </c>
      <c r="L169" s="15">
        <f t="shared" si="33"/>
        <v>-1.155969563606743E-2</v>
      </c>
      <c r="M169" s="15">
        <f t="shared" si="34"/>
        <v>-9.3225662031709931E-3</v>
      </c>
      <c r="N169" s="40">
        <f t="shared" si="35"/>
        <v>-8.1807529156866562E-3</v>
      </c>
      <c r="O169" s="40">
        <f t="shared" si="36"/>
        <v>7.7206836858722564E-3</v>
      </c>
      <c r="P169" s="40">
        <f t="shared" si="37"/>
        <v>-3.9902601949420831E-3</v>
      </c>
      <c r="Q169" s="40">
        <f t="shared" si="38"/>
        <v>1.8628149729069926E-3</v>
      </c>
    </row>
    <row r="170" spans="1:17" x14ac:dyDescent="0.2">
      <c r="A170" s="25">
        <v>45399</v>
      </c>
      <c r="B170" s="26">
        <v>167.57847599999999</v>
      </c>
      <c r="C170" s="26">
        <v>58.059494000000001</v>
      </c>
      <c r="D170" s="26">
        <v>179.08766199999999</v>
      </c>
      <c r="E170" s="26">
        <v>15.881629999999999</v>
      </c>
      <c r="F170" s="30">
        <f t="shared" si="27"/>
        <v>-8.1807529156866562E-3</v>
      </c>
      <c r="G170" s="30">
        <f t="shared" si="28"/>
        <v>7.7206836858722564E-3</v>
      </c>
      <c r="H170" s="30">
        <f t="shared" si="29"/>
        <v>-3.9902601949420831E-3</v>
      </c>
      <c r="I170" s="30">
        <f t="shared" si="30"/>
        <v>1.8628149729069926E-3</v>
      </c>
      <c r="J170" s="15">
        <f t="shared" si="31"/>
        <v>-8.2143067108451512E-3</v>
      </c>
      <c r="K170" s="15">
        <f t="shared" si="32"/>
        <v>7.6909557634105849E-3</v>
      </c>
      <c r="L170" s="15">
        <f t="shared" si="33"/>
        <v>-3.9982318826631818E-3</v>
      </c>
      <c r="M170" s="15">
        <f t="shared" si="34"/>
        <v>1.8610810099466317E-3</v>
      </c>
      <c r="N170" s="40">
        <f t="shared" si="35"/>
        <v>-5.7307029681765223E-3</v>
      </c>
      <c r="O170" s="40">
        <f t="shared" si="36"/>
        <v>6.8132245978021052E-3</v>
      </c>
      <c r="P170" s="40">
        <f t="shared" si="37"/>
        <v>6.4760434973849422E-3</v>
      </c>
      <c r="Q170" s="40">
        <f t="shared" si="38"/>
        <v>1.2943127412559438E-2</v>
      </c>
    </row>
    <row r="171" spans="1:17" x14ac:dyDescent="0.2">
      <c r="A171" s="25">
        <v>45400</v>
      </c>
      <c r="B171" s="26">
        <v>166.62088</v>
      </c>
      <c r="C171" s="26">
        <v>58.456417000000002</v>
      </c>
      <c r="D171" s="26">
        <v>180.251205</v>
      </c>
      <c r="E171" s="26">
        <v>16.088524</v>
      </c>
      <c r="F171" s="30">
        <f t="shared" si="27"/>
        <v>-5.7307029681765223E-3</v>
      </c>
      <c r="G171" s="30">
        <f t="shared" si="28"/>
        <v>6.8132245978021052E-3</v>
      </c>
      <c r="H171" s="30">
        <f t="shared" si="29"/>
        <v>6.4760434973849422E-3</v>
      </c>
      <c r="I171" s="30">
        <f t="shared" si="30"/>
        <v>1.2943127412559438E-2</v>
      </c>
      <c r="J171" s="15">
        <f t="shared" si="31"/>
        <v>-5.7471548583826661E-3</v>
      </c>
      <c r="K171" s="15">
        <f t="shared" si="32"/>
        <v>6.7900672051111341E-3</v>
      </c>
      <c r="L171" s="15">
        <f t="shared" si="33"/>
        <v>6.4551191211176884E-3</v>
      </c>
      <c r="M171" s="15">
        <f t="shared" si="34"/>
        <v>1.2859725354544651E-2</v>
      </c>
      <c r="N171" s="40">
        <f t="shared" si="35"/>
        <v>-1.2287828139873455E-2</v>
      </c>
      <c r="O171" s="40">
        <f t="shared" si="36"/>
        <v>2.1162958107073866E-2</v>
      </c>
      <c r="P171" s="40">
        <f t="shared" si="37"/>
        <v>2.4793566191605932E-2</v>
      </c>
      <c r="Q171" s="40">
        <f t="shared" si="38"/>
        <v>1.0962394432582713E-2</v>
      </c>
    </row>
    <row r="172" spans="1:17" x14ac:dyDescent="0.2">
      <c r="A172" s="25">
        <v>45401</v>
      </c>
      <c r="B172" s="26">
        <v>164.58599899999999</v>
      </c>
      <c r="C172" s="26">
        <v>59.706710999999999</v>
      </c>
      <c r="D172" s="26">
        <v>184.776138</v>
      </c>
      <c r="E172" s="26">
        <v>16.265863</v>
      </c>
      <c r="F172" s="30">
        <f t="shared" si="27"/>
        <v>-1.2287828139873455E-2</v>
      </c>
      <c r="G172" s="30">
        <f t="shared" si="28"/>
        <v>2.1162958107073866E-2</v>
      </c>
      <c r="H172" s="30">
        <f t="shared" si="29"/>
        <v>2.4793566191605932E-2</v>
      </c>
      <c r="I172" s="30">
        <f t="shared" si="30"/>
        <v>1.0962394432582713E-2</v>
      </c>
      <c r="J172" s="15">
        <f t="shared" si="31"/>
        <v>-1.2363633677005619E-2</v>
      </c>
      <c r="K172" s="15">
        <f t="shared" si="32"/>
        <v>2.0940594098375252E-2</v>
      </c>
      <c r="L172" s="15">
        <f t="shared" si="33"/>
        <v>2.4488730249357219E-2</v>
      </c>
      <c r="M172" s="15">
        <f t="shared" si="34"/>
        <v>1.0902526352275309E-2</v>
      </c>
      <c r="N172" s="40">
        <f t="shared" si="35"/>
        <v>5.07788929321121E-3</v>
      </c>
      <c r="O172" s="40">
        <f t="shared" si="36"/>
        <v>6.2956618817539729E-3</v>
      </c>
      <c r="P172" s="40">
        <f t="shared" si="37"/>
        <v>1.9243130694284457E-2</v>
      </c>
      <c r="Q172" s="40">
        <f t="shared" si="38"/>
        <v>-1.2187931160931781E-2</v>
      </c>
    </row>
    <row r="173" spans="1:17" x14ac:dyDescent="0.2">
      <c r="A173" s="25">
        <v>45404</v>
      </c>
      <c r="B173" s="26">
        <v>165.42387400000001</v>
      </c>
      <c r="C173" s="26">
        <v>60.08379</v>
      </c>
      <c r="D173" s="26">
        <v>188.366241</v>
      </c>
      <c r="E173" s="26">
        <v>16.068819000000001</v>
      </c>
      <c r="F173" s="30">
        <f t="shared" si="27"/>
        <v>5.07788929321121E-3</v>
      </c>
      <c r="G173" s="30">
        <f t="shared" si="28"/>
        <v>6.2956618817539729E-3</v>
      </c>
      <c r="H173" s="30">
        <f t="shared" si="29"/>
        <v>1.9243130694284457E-2</v>
      </c>
      <c r="I173" s="30">
        <f t="shared" si="30"/>
        <v>-1.2187931160931781E-2</v>
      </c>
      <c r="J173" s="15">
        <f t="shared" si="31"/>
        <v>5.0650186078946818E-3</v>
      </c>
      <c r="K173" s="15">
        <f t="shared" si="32"/>
        <v>6.2758857255842543E-3</v>
      </c>
      <c r="L173" s="15">
        <f t="shared" si="33"/>
        <v>1.9059163579104386E-2</v>
      </c>
      <c r="M173" s="15">
        <f t="shared" si="34"/>
        <v>-1.2262506659636791E-2</v>
      </c>
      <c r="N173" s="40">
        <f t="shared" si="35"/>
        <v>6.3713730744178647E-3</v>
      </c>
      <c r="O173" s="40">
        <f t="shared" si="36"/>
        <v>1.4852540987510795E-3</v>
      </c>
      <c r="P173" s="40">
        <f t="shared" si="37"/>
        <v>1.4310268539026554E-2</v>
      </c>
      <c r="Q173" s="40">
        <f t="shared" si="38"/>
        <v>1.1582000481511069E-2</v>
      </c>
    </row>
    <row r="174" spans="1:17" x14ac:dyDescent="0.2">
      <c r="A174" s="25">
        <v>45405</v>
      </c>
      <c r="B174" s="26">
        <v>166.48121599999999</v>
      </c>
      <c r="C174" s="26">
        <v>60.173096000000001</v>
      </c>
      <c r="D174" s="26">
        <v>191.08119199999999</v>
      </c>
      <c r="E174" s="26">
        <v>16.25601</v>
      </c>
      <c r="F174" s="30">
        <f t="shared" si="27"/>
        <v>6.3713730744178647E-3</v>
      </c>
      <c r="G174" s="30">
        <f t="shared" si="28"/>
        <v>1.4852540987510795E-3</v>
      </c>
      <c r="H174" s="30">
        <f t="shared" si="29"/>
        <v>1.4310268539026554E-2</v>
      </c>
      <c r="I174" s="30">
        <f t="shared" si="30"/>
        <v>1.1582000481511069E-2</v>
      </c>
      <c r="J174" s="15">
        <f t="shared" si="31"/>
        <v>6.3511189154215287E-3</v>
      </c>
      <c r="K174" s="15">
        <f t="shared" si="32"/>
        <v>1.4841516547528242E-3</v>
      </c>
      <c r="L174" s="15">
        <f t="shared" si="33"/>
        <v>1.4208363322330464E-2</v>
      </c>
      <c r="M174" s="15">
        <f t="shared" si="34"/>
        <v>1.1515187306110081E-2</v>
      </c>
      <c r="N174" s="40">
        <f t="shared" si="35"/>
        <v>1.2622341953280228E-2</v>
      </c>
      <c r="O174" s="40">
        <f t="shared" si="36"/>
        <v>1.4895089026447495E-2</v>
      </c>
      <c r="P174" s="40">
        <f t="shared" si="37"/>
        <v>4.8803897357337367E-3</v>
      </c>
      <c r="Q174" s="40">
        <f t="shared" si="38"/>
        <v>1.8613569807513386E-2</v>
      </c>
    </row>
    <row r="175" spans="1:17" x14ac:dyDescent="0.2">
      <c r="A175" s="25">
        <v>45406</v>
      </c>
      <c r="B175" s="26">
        <v>168.59591699999999</v>
      </c>
      <c r="C175" s="26">
        <v>61.076087999999999</v>
      </c>
      <c r="D175" s="26">
        <v>192.01602199999999</v>
      </c>
      <c r="E175" s="26">
        <v>16.561426000000001</v>
      </c>
      <c r="F175" s="30">
        <f t="shared" si="27"/>
        <v>1.2622341953280228E-2</v>
      </c>
      <c r="G175" s="30">
        <f t="shared" si="28"/>
        <v>1.4895089026447495E-2</v>
      </c>
      <c r="H175" s="30">
        <f t="shared" si="29"/>
        <v>4.8803897357337367E-3</v>
      </c>
      <c r="I175" s="30">
        <f t="shared" si="30"/>
        <v>1.8613569807513386E-2</v>
      </c>
      <c r="J175" s="15">
        <f t="shared" si="31"/>
        <v>1.2543014312736866E-2</v>
      </c>
      <c r="K175" s="15">
        <f t="shared" si="32"/>
        <v>1.4784705922880942E-2</v>
      </c>
      <c r="L175" s="15">
        <f t="shared" si="33"/>
        <v>4.8684999838190853E-3</v>
      </c>
      <c r="M175" s="15">
        <f t="shared" si="34"/>
        <v>1.8441407159021272E-2</v>
      </c>
      <c r="N175" s="40">
        <f t="shared" si="35"/>
        <v>5.1340934294748482E-3</v>
      </c>
      <c r="O175" s="40">
        <f t="shared" si="36"/>
        <v>3.082230575187468E-3</v>
      </c>
      <c r="P175" s="40">
        <f t="shared" si="37"/>
        <v>1.500784386497234E-3</v>
      </c>
      <c r="Q175" s="40">
        <f t="shared" si="38"/>
        <v>-1.377680211997016E-2</v>
      </c>
    </row>
    <row r="176" spans="1:17" x14ac:dyDescent="0.2">
      <c r="A176" s="25">
        <v>45407</v>
      </c>
      <c r="B176" s="26">
        <v>169.46373</v>
      </c>
      <c r="C176" s="26">
        <v>61.264628999999999</v>
      </c>
      <c r="D176" s="26">
        <v>192.30441300000001</v>
      </c>
      <c r="E176" s="26">
        <v>16.334827000000001</v>
      </c>
      <c r="F176" s="30">
        <f t="shared" si="27"/>
        <v>5.1340934294748482E-3</v>
      </c>
      <c r="G176" s="30">
        <f t="shared" si="28"/>
        <v>3.082230575187468E-3</v>
      </c>
      <c r="H176" s="30">
        <f t="shared" si="29"/>
        <v>1.500784386497234E-3</v>
      </c>
      <c r="I176" s="30">
        <f t="shared" si="30"/>
        <v>-1.377680211997016E-2</v>
      </c>
      <c r="J176" s="15">
        <f t="shared" si="31"/>
        <v>5.1209364977391472E-3</v>
      </c>
      <c r="K176" s="15">
        <f t="shared" si="32"/>
        <v>3.0774853790431138E-3</v>
      </c>
      <c r="L176" s="15">
        <f t="shared" si="33"/>
        <v>1.4996587727813531E-3</v>
      </c>
      <c r="M176" s="15">
        <f t="shared" si="34"/>
        <v>-1.3872139570256863E-2</v>
      </c>
      <c r="N176" s="40">
        <f t="shared" si="35"/>
        <v>-3.4788581331064421E-3</v>
      </c>
      <c r="O176" s="40">
        <f t="shared" si="36"/>
        <v>0</v>
      </c>
      <c r="P176" s="40">
        <f t="shared" si="37"/>
        <v>6.2045885918183598E-4</v>
      </c>
      <c r="Q176" s="40">
        <f t="shared" si="38"/>
        <v>1.020115925682203E-2</v>
      </c>
    </row>
    <row r="177" spans="1:17" x14ac:dyDescent="0.2">
      <c r="A177" s="25">
        <v>45408</v>
      </c>
      <c r="B177" s="26">
        <v>168.875214</v>
      </c>
      <c r="C177" s="26">
        <v>61.264628999999999</v>
      </c>
      <c r="D177" s="26">
        <v>192.423767</v>
      </c>
      <c r="E177" s="26">
        <v>16.502313999999998</v>
      </c>
      <c r="F177" s="30">
        <f t="shared" si="27"/>
        <v>-3.4788581331064421E-3</v>
      </c>
      <c r="G177" s="30">
        <f t="shared" si="28"/>
        <v>0</v>
      </c>
      <c r="H177" s="30">
        <f t="shared" si="29"/>
        <v>6.2045885918183598E-4</v>
      </c>
      <c r="I177" s="30">
        <f t="shared" si="30"/>
        <v>1.020115925682203E-2</v>
      </c>
      <c r="J177" s="15">
        <f t="shared" si="31"/>
        <v>-3.4849163832887785E-3</v>
      </c>
      <c r="K177" s="15">
        <f t="shared" si="32"/>
        <v>0</v>
      </c>
      <c r="L177" s="15">
        <f t="shared" si="33"/>
        <v>6.2026641438729907E-4</v>
      </c>
      <c r="M177" s="15">
        <f t="shared" si="34"/>
        <v>1.014930390974246E-2</v>
      </c>
      <c r="N177" s="40">
        <f t="shared" si="35"/>
        <v>2.4505258851654717E-2</v>
      </c>
      <c r="O177" s="40">
        <f t="shared" si="36"/>
        <v>4.8472846158211921E-3</v>
      </c>
      <c r="P177" s="40">
        <f t="shared" si="37"/>
        <v>-1.0859387138235847E-3</v>
      </c>
      <c r="Q177" s="40">
        <f t="shared" si="38"/>
        <v>1.5990897700798735E-2</v>
      </c>
    </row>
    <row r="178" spans="1:17" x14ac:dyDescent="0.2">
      <c r="A178" s="25">
        <v>45411</v>
      </c>
      <c r="B178" s="26">
        <v>173.06466699999999</v>
      </c>
      <c r="C178" s="26">
        <v>61.562317</v>
      </c>
      <c r="D178" s="26">
        <v>192.21492000000001</v>
      </c>
      <c r="E178" s="26">
        <v>16.768322000000001</v>
      </c>
      <c r="F178" s="30">
        <f t="shared" si="27"/>
        <v>2.4505258851654717E-2</v>
      </c>
      <c r="G178" s="30">
        <f t="shared" si="28"/>
        <v>4.8472846158211921E-3</v>
      </c>
      <c r="H178" s="30">
        <f t="shared" si="29"/>
        <v>-1.0859387138235847E-3</v>
      </c>
      <c r="I178" s="30">
        <f t="shared" si="30"/>
        <v>1.5990897700798735E-2</v>
      </c>
      <c r="J178" s="15">
        <f t="shared" si="31"/>
        <v>2.4207442643390555E-2</v>
      </c>
      <c r="K178" s="15">
        <f t="shared" si="32"/>
        <v>4.8355554908695335E-3</v>
      </c>
      <c r="L178" s="15">
        <f t="shared" si="33"/>
        <v>-1.0865285587611595E-3</v>
      </c>
      <c r="M178" s="15">
        <f t="shared" si="34"/>
        <v>1.5863722082627162E-2</v>
      </c>
      <c r="N178" s="40">
        <f t="shared" si="35"/>
        <v>-1.8439790545778333E-2</v>
      </c>
      <c r="O178" s="40">
        <f t="shared" si="36"/>
        <v>-4.3615431401830369E-3</v>
      </c>
      <c r="P178" s="40">
        <f t="shared" si="37"/>
        <v>-7.9996022089060346E-3</v>
      </c>
      <c r="Q178" s="40">
        <f t="shared" si="38"/>
        <v>-7.6674124514332052E-3</v>
      </c>
    </row>
    <row r="179" spans="1:17" x14ac:dyDescent="0.2">
      <c r="A179" s="25">
        <v>45412</v>
      </c>
      <c r="B179" s="26">
        <v>169.90263400000001</v>
      </c>
      <c r="C179" s="26">
        <v>61.294395000000002</v>
      </c>
      <c r="D179" s="26">
        <v>190.68341100000001</v>
      </c>
      <c r="E179" s="26">
        <v>16.640243999999999</v>
      </c>
      <c r="F179" s="30">
        <f t="shared" si="27"/>
        <v>-1.8439790545778333E-2</v>
      </c>
      <c r="G179" s="30">
        <f t="shared" si="28"/>
        <v>-4.3615431401830369E-3</v>
      </c>
      <c r="H179" s="30">
        <f t="shared" si="29"/>
        <v>-7.9996022089060346E-3</v>
      </c>
      <c r="I179" s="30">
        <f t="shared" si="30"/>
        <v>-7.6674124514332052E-3</v>
      </c>
      <c r="J179" s="15">
        <f t="shared" si="31"/>
        <v>-1.8610853319672369E-2</v>
      </c>
      <c r="K179" s="15">
        <f t="shared" si="32"/>
        <v>-4.3710685128713423E-3</v>
      </c>
      <c r="L179" s="15">
        <f t="shared" si="33"/>
        <v>-8.0316845181671297E-3</v>
      </c>
      <c r="M179" s="15">
        <f t="shared" si="34"/>
        <v>-7.6968823293698183E-3</v>
      </c>
      <c r="N179" s="40">
        <f t="shared" si="35"/>
        <v>-6.0654683058762593E-3</v>
      </c>
      <c r="O179" s="40">
        <f t="shared" si="36"/>
        <v>2.5869042305606007E-3</v>
      </c>
      <c r="P179" s="40">
        <f t="shared" si="37"/>
        <v>6.2565312240965142E-4</v>
      </c>
      <c r="Q179" s="40">
        <f t="shared" si="38"/>
        <v>1.7746003431574375E-3</v>
      </c>
    </row>
    <row r="180" spans="1:17" x14ac:dyDescent="0.2">
      <c r="A180" s="25">
        <v>45413</v>
      </c>
      <c r="B180" s="26">
        <v>168.875214</v>
      </c>
      <c r="C180" s="26">
        <v>61.453163000000004</v>
      </c>
      <c r="D180" s="26">
        <v>190.80275</v>
      </c>
      <c r="E180" s="26">
        <v>16.669799999999999</v>
      </c>
      <c r="F180" s="30">
        <f t="shared" si="27"/>
        <v>-6.0654683058762593E-3</v>
      </c>
      <c r="G180" s="30">
        <f t="shared" si="28"/>
        <v>2.5869042305606007E-3</v>
      </c>
      <c r="H180" s="30">
        <f t="shared" si="29"/>
        <v>6.2565312240965142E-4</v>
      </c>
      <c r="I180" s="30">
        <f t="shared" si="30"/>
        <v>1.7746003431574375E-3</v>
      </c>
      <c r="J180" s="15">
        <f t="shared" si="31"/>
        <v>-6.0839005065598702E-3</v>
      </c>
      <c r="K180" s="15">
        <f t="shared" si="32"/>
        <v>2.5835610772386446E-3</v>
      </c>
      <c r="L180" s="15">
        <f t="shared" si="33"/>
        <v>6.2545744230623791E-4</v>
      </c>
      <c r="M180" s="15">
        <f t="shared" si="34"/>
        <v>1.7730266709858231E-3</v>
      </c>
      <c r="N180" s="40">
        <f t="shared" si="35"/>
        <v>2.1792612899963495E-2</v>
      </c>
      <c r="O180" s="40">
        <f t="shared" si="36"/>
        <v>9.683988994642935E-4</v>
      </c>
      <c r="P180" s="40">
        <f t="shared" si="37"/>
        <v>-1.0429762752333207E-3</v>
      </c>
      <c r="Q180" s="40">
        <f t="shared" si="38"/>
        <v>-5.9277432873759113E-3</v>
      </c>
    </row>
    <row r="181" spans="1:17" x14ac:dyDescent="0.2">
      <c r="A181" s="25">
        <v>45414</v>
      </c>
      <c r="B181" s="26">
        <v>172.59584000000001</v>
      </c>
      <c r="C181" s="26">
        <v>61.512703000000002</v>
      </c>
      <c r="D181" s="26">
        <v>190.60385099999999</v>
      </c>
      <c r="E181" s="26">
        <v>16.571278</v>
      </c>
      <c r="F181" s="30">
        <f t="shared" si="27"/>
        <v>2.1792612899963495E-2</v>
      </c>
      <c r="G181" s="30">
        <f t="shared" si="28"/>
        <v>9.683988994642935E-4</v>
      </c>
      <c r="H181" s="30">
        <f t="shared" si="29"/>
        <v>-1.0429762752333207E-3</v>
      </c>
      <c r="I181" s="30">
        <f t="shared" si="30"/>
        <v>-5.9277432873759113E-3</v>
      </c>
      <c r="J181" s="15">
        <f t="shared" si="31"/>
        <v>2.1556869505081986E-2</v>
      </c>
      <c r="K181" s="15">
        <f t="shared" si="32"/>
        <v>9.6793015257349961E-4</v>
      </c>
      <c r="L181" s="15">
        <f t="shared" si="33"/>
        <v>-1.0435203641295343E-3</v>
      </c>
      <c r="M181" s="15">
        <f t="shared" si="34"/>
        <v>-5.9453471241022642E-3</v>
      </c>
      <c r="N181" s="40">
        <f t="shared" si="35"/>
        <v>5.8095544508652106E-2</v>
      </c>
      <c r="O181" s="40">
        <f t="shared" si="36"/>
        <v>2.8994529241732746E-3</v>
      </c>
      <c r="P181" s="40">
        <f t="shared" si="37"/>
        <v>-6.0183515082071516E-3</v>
      </c>
      <c r="Q181" s="40">
        <f t="shared" si="38"/>
        <v>1.7820997373106853E-3</v>
      </c>
    </row>
    <row r="182" spans="1:17" x14ac:dyDescent="0.2">
      <c r="A182" s="25">
        <v>45415</v>
      </c>
      <c r="B182" s="26">
        <v>182.91987599999999</v>
      </c>
      <c r="C182" s="26">
        <v>61.691315000000003</v>
      </c>
      <c r="D182" s="26">
        <v>189.46017499999999</v>
      </c>
      <c r="E182" s="26">
        <v>16.600836000000001</v>
      </c>
      <c r="F182" s="30">
        <f t="shared" si="27"/>
        <v>5.8095544508652106E-2</v>
      </c>
      <c r="G182" s="30">
        <f t="shared" si="28"/>
        <v>2.8994529241732746E-3</v>
      </c>
      <c r="H182" s="30">
        <f t="shared" si="29"/>
        <v>-6.0183515082071516E-3</v>
      </c>
      <c r="I182" s="30">
        <f t="shared" si="30"/>
        <v>1.7820997373106853E-3</v>
      </c>
      <c r="J182" s="15">
        <f t="shared" si="31"/>
        <v>5.6440208826732306E-2</v>
      </c>
      <c r="K182" s="15">
        <f t="shared" si="32"/>
        <v>2.8952535701338364E-3</v>
      </c>
      <c r="L182" s="15">
        <f t="shared" si="33"/>
        <v>-6.0364981717133922E-3</v>
      </c>
      <c r="M182" s="15">
        <f t="shared" si="34"/>
        <v>1.7805127404428021E-3</v>
      </c>
      <c r="N182" s="40">
        <f t="shared" si="35"/>
        <v>-9.1483674173388676E-3</v>
      </c>
      <c r="O182" s="40">
        <f t="shared" si="36"/>
        <v>2.8910542328630683E-3</v>
      </c>
      <c r="P182" s="40">
        <f t="shared" si="37"/>
        <v>7.7907210062601899E-3</v>
      </c>
      <c r="Q182" s="40">
        <f t="shared" si="38"/>
        <v>8.2741716697485573E-3</v>
      </c>
    </row>
    <row r="183" spans="1:17" x14ac:dyDescent="0.2">
      <c r="A183" s="25">
        <v>45418</v>
      </c>
      <c r="B183" s="26">
        <v>181.25408899999999</v>
      </c>
      <c r="C183" s="26">
        <v>61.869926</v>
      </c>
      <c r="D183" s="26">
        <v>190.941971</v>
      </c>
      <c r="E183" s="26">
        <v>16.738764</v>
      </c>
      <c r="F183" s="30">
        <f t="shared" si="27"/>
        <v>-9.1483674173388676E-3</v>
      </c>
      <c r="G183" s="30">
        <f t="shared" si="28"/>
        <v>2.8910542328630683E-3</v>
      </c>
      <c r="H183" s="30">
        <f t="shared" si="29"/>
        <v>7.7907210062601899E-3</v>
      </c>
      <c r="I183" s="30">
        <f t="shared" si="30"/>
        <v>8.2741716697485573E-3</v>
      </c>
      <c r="J183" s="15">
        <f t="shared" si="31"/>
        <v>-9.1903416314100071E-3</v>
      </c>
      <c r="K183" s="15">
        <f t="shared" si="32"/>
        <v>2.886879159997646E-3</v>
      </c>
      <c r="L183" s="15">
        <f t="shared" si="33"/>
        <v>7.7604519961721923E-3</v>
      </c>
      <c r="M183" s="15">
        <f t="shared" si="34"/>
        <v>8.2400349273099686E-3</v>
      </c>
      <c r="N183" s="40">
        <f t="shared" si="35"/>
        <v>3.7898712813242458E-3</v>
      </c>
      <c r="O183" s="40">
        <f t="shared" si="36"/>
        <v>4.3210584019733201E-3</v>
      </c>
      <c r="P183" s="40">
        <f t="shared" si="37"/>
        <v>-1.3029561227812455E-3</v>
      </c>
      <c r="Q183" s="40">
        <f t="shared" si="38"/>
        <v>5.283244107095986E-3</v>
      </c>
    </row>
    <row r="184" spans="1:17" x14ac:dyDescent="0.2">
      <c r="A184" s="25">
        <v>45419</v>
      </c>
      <c r="B184" s="26">
        <v>181.94232199999999</v>
      </c>
      <c r="C184" s="26">
        <v>62.137847999999998</v>
      </c>
      <c r="D184" s="26">
        <v>190.693344</v>
      </c>
      <c r="E184" s="26">
        <v>16.827432999999999</v>
      </c>
      <c r="F184" s="30">
        <f t="shared" si="27"/>
        <v>3.7898712813242458E-3</v>
      </c>
      <c r="G184" s="30">
        <f t="shared" si="28"/>
        <v>4.3210584019733201E-3</v>
      </c>
      <c r="H184" s="30">
        <f t="shared" si="29"/>
        <v>-1.3029561227812455E-3</v>
      </c>
      <c r="I184" s="30">
        <f t="shared" si="30"/>
        <v>5.283244107095986E-3</v>
      </c>
      <c r="J184" s="15">
        <f t="shared" si="31"/>
        <v>3.7826987829692356E-3</v>
      </c>
      <c r="K184" s="15">
        <f t="shared" si="32"/>
        <v>4.3117360614097653E-3</v>
      </c>
      <c r="L184" s="15">
        <f t="shared" si="33"/>
        <v>-1.3038053389005494E-3</v>
      </c>
      <c r="M184" s="15">
        <f t="shared" si="34"/>
        <v>5.2693123187594598E-3</v>
      </c>
      <c r="N184" s="40">
        <f t="shared" si="35"/>
        <v>1.8624377821563668E-3</v>
      </c>
      <c r="O184" s="40">
        <f t="shared" si="36"/>
        <v>3.666217842342803E-3</v>
      </c>
      <c r="P184" s="40">
        <f t="shared" si="37"/>
        <v>2.0134915133947339E-2</v>
      </c>
      <c r="Q184" s="40">
        <f t="shared" si="38"/>
        <v>1.7549955781686565E-3</v>
      </c>
    </row>
    <row r="185" spans="1:17" x14ac:dyDescent="0.2">
      <c r="A185" s="25">
        <v>45420</v>
      </c>
      <c r="B185" s="26">
        <v>182.28149400000001</v>
      </c>
      <c r="C185" s="26">
        <v>62.366076999999997</v>
      </c>
      <c r="D185" s="26">
        <v>194.571854</v>
      </c>
      <c r="E185" s="26">
        <v>16.856991000000001</v>
      </c>
      <c r="F185" s="30">
        <f t="shared" si="27"/>
        <v>1.8624377821563668E-3</v>
      </c>
      <c r="G185" s="30">
        <f t="shared" si="28"/>
        <v>3.666217842342803E-3</v>
      </c>
      <c r="H185" s="30">
        <f t="shared" si="29"/>
        <v>2.0134915133947339E-2</v>
      </c>
      <c r="I185" s="30">
        <f t="shared" si="30"/>
        <v>1.7549955781686565E-3</v>
      </c>
      <c r="J185" s="15">
        <f t="shared" si="31"/>
        <v>1.8607045211074423E-3</v>
      </c>
      <c r="K185" s="15">
        <f t="shared" si="32"/>
        <v>3.6595054712195369E-3</v>
      </c>
      <c r="L185" s="15">
        <f t="shared" si="33"/>
        <v>1.9933561408116127E-2</v>
      </c>
      <c r="M185" s="15">
        <f t="shared" si="34"/>
        <v>1.7534564739342582E-3</v>
      </c>
      <c r="N185" s="40">
        <f t="shared" si="35"/>
        <v>9.9644209184128335E-3</v>
      </c>
      <c r="O185" s="40">
        <f t="shared" si="36"/>
        <v>4.7729304993157585E-4</v>
      </c>
      <c r="P185" s="40">
        <f t="shared" si="37"/>
        <v>9.4112742907778765E-3</v>
      </c>
      <c r="Q185" s="40">
        <f t="shared" si="38"/>
        <v>4.0827757174903999E-3</v>
      </c>
    </row>
    <row r="186" spans="1:17" x14ac:dyDescent="0.2">
      <c r="A186" s="25">
        <v>45421</v>
      </c>
      <c r="B186" s="26">
        <v>184.10690299999999</v>
      </c>
      <c r="C186" s="26">
        <v>62.395851</v>
      </c>
      <c r="D186" s="26">
        <v>196.41166699999999</v>
      </c>
      <c r="E186" s="26">
        <v>16.925954999999998</v>
      </c>
      <c r="F186" s="30">
        <f t="shared" si="27"/>
        <v>9.9644209184128335E-3</v>
      </c>
      <c r="G186" s="30">
        <f t="shared" si="28"/>
        <v>4.7729304993157585E-4</v>
      </c>
      <c r="H186" s="30">
        <f t="shared" si="29"/>
        <v>9.4112742907778765E-3</v>
      </c>
      <c r="I186" s="30">
        <f t="shared" si="30"/>
        <v>4.0827757174903999E-3</v>
      </c>
      <c r="J186" s="15">
        <f t="shared" si="31"/>
        <v>9.9149405603763778E-3</v>
      </c>
      <c r="K186" s="15">
        <f t="shared" si="32"/>
        <v>4.7717916372361517E-4</v>
      </c>
      <c r="L186" s="15">
        <f t="shared" si="33"/>
        <v>9.3671268519908875E-3</v>
      </c>
      <c r="M186" s="15">
        <f t="shared" si="34"/>
        <v>4.0744525198133626E-3</v>
      </c>
      <c r="N186" s="40">
        <f t="shared" si="35"/>
        <v>-6.9140777525400921E-3</v>
      </c>
      <c r="O186" s="40">
        <f t="shared" si="36"/>
        <v>6.0250352963449492E-3</v>
      </c>
      <c r="P186" s="40">
        <f t="shared" si="37"/>
        <v>6.4097849393042125E-3</v>
      </c>
      <c r="Q186" s="40">
        <f t="shared" si="38"/>
        <v>-5.8223411107649701E-4</v>
      </c>
    </row>
    <row r="187" spans="1:17" x14ac:dyDescent="0.2">
      <c r="A187" s="25">
        <v>45422</v>
      </c>
      <c r="B187" s="26">
        <v>182.83836400000001</v>
      </c>
      <c r="C187" s="26">
        <v>62.772922999999999</v>
      </c>
      <c r="D187" s="26">
        <v>197.674667</v>
      </c>
      <c r="E187" s="26">
        <v>16.916103</v>
      </c>
      <c r="F187" s="30">
        <f t="shared" si="27"/>
        <v>-6.9140777525400921E-3</v>
      </c>
      <c r="G187" s="30">
        <f t="shared" si="28"/>
        <v>6.0250352963449492E-3</v>
      </c>
      <c r="H187" s="30">
        <f t="shared" si="29"/>
        <v>6.4097849393042125E-3</v>
      </c>
      <c r="I187" s="30">
        <f t="shared" si="30"/>
        <v>-5.8223411107649701E-4</v>
      </c>
      <c r="J187" s="15">
        <f t="shared" si="31"/>
        <v>-6.9380351707805455E-3</v>
      </c>
      <c r="K187" s="15">
        <f t="shared" si="32"/>
        <v>6.0069211688612671E-3</v>
      </c>
      <c r="L187" s="15">
        <f t="shared" si="33"/>
        <v>6.3892860889453538E-3</v>
      </c>
      <c r="M187" s="15">
        <f t="shared" si="34"/>
        <v>-5.8240364225724088E-4</v>
      </c>
      <c r="N187" s="40">
        <f t="shared" si="35"/>
        <v>1.7491613013872163E-2</v>
      </c>
      <c r="O187" s="40">
        <f t="shared" si="36"/>
        <v>5.0457831514656758E-3</v>
      </c>
      <c r="P187" s="40">
        <f t="shared" si="37"/>
        <v>-2.0125493872400897E-4</v>
      </c>
      <c r="Q187" s="40">
        <f t="shared" si="38"/>
        <v>5.2280020464313707E-3</v>
      </c>
    </row>
    <row r="188" spans="1:17" x14ac:dyDescent="0.2">
      <c r="A188" s="25">
        <v>45425</v>
      </c>
      <c r="B188" s="26">
        <v>186.06463600000001</v>
      </c>
      <c r="C188" s="26">
        <v>63.090462000000002</v>
      </c>
      <c r="D188" s="26">
        <v>197.63488799999999</v>
      </c>
      <c r="E188" s="26">
        <v>17.004771999999999</v>
      </c>
      <c r="F188" s="30">
        <f t="shared" si="27"/>
        <v>1.7491613013872163E-2</v>
      </c>
      <c r="G188" s="30">
        <f t="shared" si="28"/>
        <v>5.0457831514656758E-3</v>
      </c>
      <c r="H188" s="30">
        <f t="shared" si="29"/>
        <v>-2.0125493872400897E-4</v>
      </c>
      <c r="I188" s="30">
        <f t="shared" si="30"/>
        <v>5.2280020464313707E-3</v>
      </c>
      <c r="J188" s="15">
        <f t="shared" si="31"/>
        <v>1.7339522809697132E-2</v>
      </c>
      <c r="K188" s="15">
        <f t="shared" si="32"/>
        <v>5.0330745715573225E-3</v>
      </c>
      <c r="L188" s="15">
        <f t="shared" si="33"/>
        <v>-2.0127519185787686E-4</v>
      </c>
      <c r="M188" s="15">
        <f t="shared" si="34"/>
        <v>5.2143598279353262E-3</v>
      </c>
      <c r="N188" s="40">
        <f t="shared" si="35"/>
        <v>6.1545058292852206E-3</v>
      </c>
      <c r="O188" s="40">
        <f t="shared" si="36"/>
        <v>-7.578230471947678E-3</v>
      </c>
      <c r="P188" s="40">
        <f t="shared" si="37"/>
        <v>1.3891880096165623E-2</v>
      </c>
      <c r="Q188" s="40">
        <f t="shared" si="38"/>
        <v>2.3147859350525577E-3</v>
      </c>
    </row>
    <row r="189" spans="1:17" x14ac:dyDescent="0.2">
      <c r="A189" s="25">
        <v>45426</v>
      </c>
      <c r="B189" s="26">
        <v>187.213303</v>
      </c>
      <c r="C189" s="26">
        <v>62.614154999999997</v>
      </c>
      <c r="D189" s="26">
        <v>200.39956699999999</v>
      </c>
      <c r="E189" s="26">
        <v>17.044180000000001</v>
      </c>
      <c r="F189" s="30">
        <f t="shared" si="27"/>
        <v>6.1545058292852206E-3</v>
      </c>
      <c r="G189" s="30">
        <f t="shared" si="28"/>
        <v>-7.578230471947678E-3</v>
      </c>
      <c r="H189" s="30">
        <f t="shared" si="29"/>
        <v>1.3891880096165623E-2</v>
      </c>
      <c r="I189" s="30">
        <f t="shared" si="30"/>
        <v>2.3147859350525577E-3</v>
      </c>
      <c r="J189" s="15">
        <f t="shared" si="31"/>
        <v>6.1356056519124022E-3</v>
      </c>
      <c r="K189" s="15">
        <f t="shared" si="32"/>
        <v>-7.6070179338842093E-3</v>
      </c>
      <c r="L189" s="15">
        <f t="shared" si="33"/>
        <v>1.3795833201575736E-2</v>
      </c>
      <c r="M189" s="15">
        <f t="shared" si="34"/>
        <v>2.3121088840883904E-3</v>
      </c>
      <c r="N189" s="40">
        <f t="shared" si="35"/>
        <v>1.2143861705092206E-2</v>
      </c>
      <c r="O189" s="40">
        <f t="shared" si="36"/>
        <v>4.7533860586955039E-4</v>
      </c>
      <c r="P189" s="40">
        <f t="shared" si="37"/>
        <v>2.9731023414911141E-3</v>
      </c>
      <c r="Q189" s="40">
        <f t="shared" si="38"/>
        <v>1.732579879352201E-3</v>
      </c>
    </row>
    <row r="190" spans="1:17" x14ac:dyDescent="0.2">
      <c r="A190" s="25">
        <v>45427</v>
      </c>
      <c r="B190" s="26">
        <v>189.50065599999999</v>
      </c>
      <c r="C190" s="26">
        <v>62.643925000000003</v>
      </c>
      <c r="D190" s="26">
        <v>200.996262</v>
      </c>
      <c r="E190" s="26">
        <v>17.073736</v>
      </c>
      <c r="F190" s="30">
        <f t="shared" si="27"/>
        <v>1.2143861705092206E-2</v>
      </c>
      <c r="G190" s="30">
        <f t="shared" si="28"/>
        <v>4.7533860586955039E-4</v>
      </c>
      <c r="H190" s="30">
        <f t="shared" si="29"/>
        <v>2.9731023414911141E-3</v>
      </c>
      <c r="I190" s="30">
        <f t="shared" si="30"/>
        <v>1.732579879352201E-3</v>
      </c>
      <c r="J190" s="15">
        <f t="shared" si="31"/>
        <v>1.2070422595265296E-2</v>
      </c>
      <c r="K190" s="15">
        <f t="shared" si="32"/>
        <v>4.7522565037242304E-4</v>
      </c>
      <c r="L190" s="15">
        <f t="shared" si="33"/>
        <v>2.9686870495134435E-3</v>
      </c>
      <c r="M190" s="15">
        <f t="shared" si="34"/>
        <v>1.7310798292769357E-3</v>
      </c>
      <c r="N190" s="40">
        <f t="shared" si="35"/>
        <v>6.3229391275216771E-4</v>
      </c>
      <c r="O190" s="40">
        <f t="shared" si="36"/>
        <v>3.0051413878821489E-3</v>
      </c>
      <c r="P190" s="40">
        <f t="shared" si="37"/>
        <v>1.7796277524522572E-3</v>
      </c>
      <c r="Q190" s="40">
        <f t="shared" si="38"/>
        <v>-1.732579879352136E-3</v>
      </c>
    </row>
    <row r="191" spans="1:17" x14ac:dyDescent="0.2">
      <c r="A191" s="25">
        <v>45428</v>
      </c>
      <c r="B191" s="26">
        <v>189.62051400000001</v>
      </c>
      <c r="C191" s="26">
        <v>62.832462</v>
      </c>
      <c r="D191" s="26">
        <v>201.35427899999999</v>
      </c>
      <c r="E191" s="26">
        <v>17.044180000000001</v>
      </c>
      <c r="F191" s="30">
        <f t="shared" si="27"/>
        <v>6.3229391275216771E-4</v>
      </c>
      <c r="G191" s="30">
        <f t="shared" si="28"/>
        <v>3.0051413878821489E-3</v>
      </c>
      <c r="H191" s="30">
        <f t="shared" si="29"/>
        <v>1.7796277524522572E-3</v>
      </c>
      <c r="I191" s="30">
        <f t="shared" si="30"/>
        <v>-1.732579879352136E-3</v>
      </c>
      <c r="J191" s="15">
        <f t="shared" si="31"/>
        <v>6.3209405708088097E-4</v>
      </c>
      <c r="K191" s="15">
        <f t="shared" si="32"/>
        <v>3.0006304702813748E-3</v>
      </c>
      <c r="L191" s="15">
        <f t="shared" si="33"/>
        <v>1.7780451539348196E-3</v>
      </c>
      <c r="M191" s="15">
        <f t="shared" si="34"/>
        <v>-1.7340816630661885E-3</v>
      </c>
      <c r="N191" s="40">
        <f t="shared" si="35"/>
        <v>1.5802948487189222E-4</v>
      </c>
      <c r="O191" s="40">
        <f t="shared" si="36"/>
        <v>-4.5904615610439566E-3</v>
      </c>
      <c r="P191" s="40">
        <f t="shared" si="37"/>
        <v>1.1393284747523526E-2</v>
      </c>
      <c r="Q191" s="40">
        <f t="shared" si="38"/>
        <v>5.7637472026845571E-3</v>
      </c>
    </row>
    <row r="192" spans="1:17" x14ac:dyDescent="0.2">
      <c r="A192" s="25">
        <v>45429</v>
      </c>
      <c r="B192" s="26">
        <v>189.65048200000001</v>
      </c>
      <c r="C192" s="26">
        <v>62.544693000000002</v>
      </c>
      <c r="D192" s="26">
        <v>203.661484</v>
      </c>
      <c r="E192" s="26">
        <v>17.142702</v>
      </c>
      <c r="F192" s="30">
        <f t="shared" si="27"/>
        <v>1.5802948487189222E-4</v>
      </c>
      <c r="G192" s="30">
        <f t="shared" si="28"/>
        <v>-4.5904615610439566E-3</v>
      </c>
      <c r="H192" s="30">
        <f t="shared" si="29"/>
        <v>1.1393284747523526E-2</v>
      </c>
      <c r="I192" s="30">
        <f t="shared" si="30"/>
        <v>5.7637472026845571E-3</v>
      </c>
      <c r="J192" s="15">
        <f t="shared" si="31"/>
        <v>1.5801699887056791E-4</v>
      </c>
      <c r="K192" s="15">
        <f t="shared" si="32"/>
        <v>-4.6010138701935476E-3</v>
      </c>
      <c r="L192" s="15">
        <f t="shared" si="33"/>
        <v>1.1328627066274398E-2</v>
      </c>
      <c r="M192" s="15">
        <f t="shared" si="34"/>
        <v>5.7471686785431552E-3</v>
      </c>
      <c r="N192" s="40">
        <f t="shared" si="35"/>
        <v>6.1431644627328542E-3</v>
      </c>
      <c r="O192" s="40">
        <f t="shared" si="36"/>
        <v>-7.3248867997968373E-3</v>
      </c>
      <c r="P192" s="40">
        <f t="shared" si="37"/>
        <v>-4.6015528245516947E-2</v>
      </c>
      <c r="Q192" s="40">
        <f t="shared" si="38"/>
        <v>6.8728485226429662E-3</v>
      </c>
    </row>
    <row r="193" spans="1:17" x14ac:dyDescent="0.2">
      <c r="A193" s="25">
        <v>45432</v>
      </c>
      <c r="B193" s="26">
        <v>190.81912199999999</v>
      </c>
      <c r="C193" s="26">
        <v>62.088234</v>
      </c>
      <c r="D193" s="26">
        <v>194.50224299999999</v>
      </c>
      <c r="E193" s="26">
        <v>17.260926999999999</v>
      </c>
      <c r="F193" s="30">
        <f t="shared" si="27"/>
        <v>6.1431644627328542E-3</v>
      </c>
      <c r="G193" s="30">
        <f t="shared" si="28"/>
        <v>-7.3248867997968373E-3</v>
      </c>
      <c r="H193" s="30">
        <f t="shared" si="29"/>
        <v>-4.6015528245516947E-2</v>
      </c>
      <c r="I193" s="30">
        <f t="shared" si="30"/>
        <v>6.8728485226429662E-3</v>
      </c>
      <c r="J193" s="15">
        <f t="shared" si="31"/>
        <v>6.1243338075938859E-3</v>
      </c>
      <c r="K193" s="15">
        <f t="shared" si="32"/>
        <v>-7.3517794047742186E-3</v>
      </c>
      <c r="L193" s="15">
        <f t="shared" si="33"/>
        <v>-4.7090670311704372E-2</v>
      </c>
      <c r="M193" s="15">
        <f t="shared" si="34"/>
        <v>6.8492845140935314E-3</v>
      </c>
      <c r="N193" s="40">
        <f t="shared" si="35"/>
        <v>6.8338906269820778E-3</v>
      </c>
      <c r="O193" s="40">
        <f t="shared" si="36"/>
        <v>5.4192175886679812E-3</v>
      </c>
      <c r="P193" s="40">
        <f t="shared" si="37"/>
        <v>1.9944982273812171E-2</v>
      </c>
      <c r="Q193" s="40">
        <f t="shared" si="38"/>
        <v>-1.4372182648414963E-2</v>
      </c>
    </row>
    <row r="194" spans="1:17" x14ac:dyDescent="0.2">
      <c r="A194" s="25">
        <v>45433</v>
      </c>
      <c r="B194" s="26">
        <v>192.12762499999999</v>
      </c>
      <c r="C194" s="26">
        <v>62.425617000000003</v>
      </c>
      <c r="D194" s="26">
        <v>198.42053200000001</v>
      </c>
      <c r="E194" s="26">
        <v>17.014624000000001</v>
      </c>
      <c r="F194" s="30">
        <f t="shared" si="27"/>
        <v>6.8338906269820778E-3</v>
      </c>
      <c r="G194" s="30">
        <f t="shared" si="28"/>
        <v>5.4192175886679812E-3</v>
      </c>
      <c r="H194" s="30">
        <f t="shared" si="29"/>
        <v>1.9944982273812171E-2</v>
      </c>
      <c r="I194" s="30">
        <f t="shared" si="30"/>
        <v>-1.4372182648414963E-2</v>
      </c>
      <c r="J194" s="15">
        <f t="shared" si="31"/>
        <v>6.8105926984732244E-3</v>
      </c>
      <c r="K194" s="15">
        <f t="shared" si="32"/>
        <v>5.4045601183245438E-3</v>
      </c>
      <c r="L194" s="15">
        <f t="shared" si="33"/>
        <v>1.9747396907493501E-2</v>
      </c>
      <c r="M194" s="15">
        <f t="shared" si="34"/>
        <v>-1.4475959033828633E-2</v>
      </c>
      <c r="N194" s="40">
        <f t="shared" si="35"/>
        <v>-7.5669526869904195E-3</v>
      </c>
      <c r="O194" s="40">
        <f t="shared" si="36"/>
        <v>1.4295762641888972E-3</v>
      </c>
      <c r="P194" s="40">
        <f t="shared" si="37"/>
        <v>-6.0830483624738684E-3</v>
      </c>
      <c r="Q194" s="40">
        <f t="shared" si="38"/>
        <v>1.3229934834084765E-2</v>
      </c>
    </row>
    <row r="195" spans="1:17" x14ac:dyDescent="0.2">
      <c r="A195" s="25">
        <v>45434</v>
      </c>
      <c r="B195" s="26">
        <v>190.67929100000001</v>
      </c>
      <c r="C195" s="26">
        <v>62.514923000000003</v>
      </c>
      <c r="D195" s="26">
        <v>197.21719400000001</v>
      </c>
      <c r="E195" s="26">
        <v>17.241222</v>
      </c>
      <c r="F195" s="30">
        <f t="shared" si="27"/>
        <v>-7.5669526869904195E-3</v>
      </c>
      <c r="G195" s="30">
        <f t="shared" si="28"/>
        <v>1.4295762641888972E-3</v>
      </c>
      <c r="H195" s="30">
        <f t="shared" si="29"/>
        <v>-6.0830483624738684E-3</v>
      </c>
      <c r="I195" s="30">
        <f t="shared" si="30"/>
        <v>1.3229934834084765E-2</v>
      </c>
      <c r="J195" s="15">
        <f t="shared" si="31"/>
        <v>-7.5956544226923337E-3</v>
      </c>
      <c r="K195" s="15">
        <f t="shared" si="32"/>
        <v>1.4285549068020213E-3</v>
      </c>
      <c r="L195" s="15">
        <f t="shared" si="33"/>
        <v>-6.1015876739428827E-3</v>
      </c>
      <c r="M195" s="15">
        <f t="shared" si="34"/>
        <v>1.3142803914942873E-2</v>
      </c>
      <c r="N195" s="40">
        <f t="shared" si="35"/>
        <v>-2.128302424671985E-2</v>
      </c>
      <c r="O195" s="40">
        <f t="shared" si="36"/>
        <v>-1.454975939193497E-2</v>
      </c>
      <c r="P195" s="40">
        <f t="shared" si="37"/>
        <v>-7.0339066105817626E-3</v>
      </c>
      <c r="Q195" s="40">
        <f t="shared" si="38"/>
        <v>-1.7157346722541096E-3</v>
      </c>
    </row>
    <row r="196" spans="1:17" x14ac:dyDescent="0.2">
      <c r="A196" s="25">
        <v>45435</v>
      </c>
      <c r="B196" s="26">
        <v>186.66394</v>
      </c>
      <c r="C196" s="26">
        <v>61.611930999999998</v>
      </c>
      <c r="D196" s="26">
        <v>195.83485400000001</v>
      </c>
      <c r="E196" s="26">
        <v>17.211666000000001</v>
      </c>
      <c r="F196" s="30">
        <f t="shared" ref="F196:F254" si="39">LN(B196/B195)</f>
        <v>-2.128302424671985E-2</v>
      </c>
      <c r="G196" s="30">
        <f t="shared" ref="G196:G254" si="40">LN(C196/C195)</f>
        <v>-1.454975939193497E-2</v>
      </c>
      <c r="H196" s="30">
        <f t="shared" ref="H196:H254" si="41">LN(D196/D195)</f>
        <v>-7.0339066105817626E-3</v>
      </c>
      <c r="I196" s="30">
        <f t="shared" ref="I196:I254" si="42">LN(E196/E195)</f>
        <v>-1.7157346722541096E-3</v>
      </c>
      <c r="J196" s="15">
        <f t="shared" ref="J196:J254" si="43">(B196-B195)/B196</f>
        <v>-2.1511123144620271E-2</v>
      </c>
      <c r="K196" s="15">
        <f t="shared" ref="K196:K254" si="44">(C196-C195)/C196</f>
        <v>-1.4656122366948776E-2</v>
      </c>
      <c r="L196" s="15">
        <f t="shared" ref="L196:L254" si="45">(D196-D195)/D196</f>
        <v>-7.0587026352316182E-3</v>
      </c>
      <c r="M196" s="15">
        <f t="shared" ref="M196:M254" si="46">(E196-E195)/E196</f>
        <v>-1.7172073871291407E-3</v>
      </c>
      <c r="N196" s="40">
        <f t="shared" ref="N196:N254" si="47">F197</f>
        <v>1.6452046082168593E-2</v>
      </c>
      <c r="O196" s="40">
        <f t="shared" ref="O196:O254" si="48">G197</f>
        <v>-1.4505435120728959E-3</v>
      </c>
      <c r="P196" s="40">
        <f t="shared" ref="P196:P254" si="49">H197</f>
        <v>1.9063546062445577E-2</v>
      </c>
      <c r="Q196" s="40">
        <f t="shared" ref="Q196:Q254" si="50">I197</f>
        <v>1.7157346722542091E-3</v>
      </c>
    </row>
    <row r="197" spans="1:17" x14ac:dyDescent="0.2">
      <c r="A197" s="25">
        <v>45436</v>
      </c>
      <c r="B197" s="26">
        <v>189.760345</v>
      </c>
      <c r="C197" s="26">
        <v>61.522624999999998</v>
      </c>
      <c r="D197" s="26">
        <v>199.603973</v>
      </c>
      <c r="E197" s="26">
        <v>17.241222</v>
      </c>
      <c r="F197" s="30">
        <f t="shared" si="39"/>
        <v>1.6452046082168593E-2</v>
      </c>
      <c r="G197" s="30">
        <f t="shared" si="40"/>
        <v>-1.4505435120728959E-3</v>
      </c>
      <c r="H197" s="30">
        <f t="shared" si="41"/>
        <v>1.9063546062445577E-2</v>
      </c>
      <c r="I197" s="30">
        <f t="shared" si="42"/>
        <v>1.7157346722542091E-3</v>
      </c>
      <c r="J197" s="15">
        <f t="shared" si="43"/>
        <v>1.6317450308176898E-2</v>
      </c>
      <c r="K197" s="15">
        <f t="shared" si="44"/>
        <v>-1.4515960591733618E-3</v>
      </c>
      <c r="L197" s="15">
        <f t="shared" si="45"/>
        <v>1.8882985861208231E-2</v>
      </c>
      <c r="M197" s="15">
        <f t="shared" si="46"/>
        <v>1.7142636409414292E-3</v>
      </c>
      <c r="N197" s="40">
        <f t="shared" si="47"/>
        <v>5.2749355993220789E-5</v>
      </c>
      <c r="O197" s="40">
        <f t="shared" si="48"/>
        <v>-2.907479760967422E-3</v>
      </c>
      <c r="P197" s="40">
        <f t="shared" si="49"/>
        <v>-6.0468730383955328E-3</v>
      </c>
      <c r="Q197" s="40">
        <f t="shared" si="50"/>
        <v>-1.3229934834084642E-2</v>
      </c>
    </row>
    <row r="198" spans="1:17" x14ac:dyDescent="0.2">
      <c r="A198" s="25">
        <v>45440</v>
      </c>
      <c r="B198" s="26">
        <v>189.770355</v>
      </c>
      <c r="C198" s="26">
        <v>61.344009</v>
      </c>
      <c r="D198" s="26">
        <v>198.40063499999999</v>
      </c>
      <c r="E198" s="26">
        <v>17.014624000000001</v>
      </c>
      <c r="F198" s="30">
        <f t="shared" si="39"/>
        <v>5.2749355993220789E-5</v>
      </c>
      <c r="G198" s="30">
        <f t="shared" si="40"/>
        <v>-2.907479760967422E-3</v>
      </c>
      <c r="H198" s="30">
        <f t="shared" si="41"/>
        <v>-6.0468730383955328E-3</v>
      </c>
      <c r="I198" s="30">
        <f t="shared" si="42"/>
        <v>-1.3229934834084642E-2</v>
      </c>
      <c r="J198" s="15">
        <f t="shared" si="43"/>
        <v>5.2747964770335597E-5</v>
      </c>
      <c r="K198" s="15">
        <f t="shared" si="44"/>
        <v>-2.9117105795938136E-3</v>
      </c>
      <c r="L198" s="15">
        <f t="shared" si="45"/>
        <v>-6.0651922812646353E-3</v>
      </c>
      <c r="M198" s="15">
        <f t="shared" si="46"/>
        <v>-1.3317837643664602E-2</v>
      </c>
      <c r="N198" s="40">
        <f t="shared" si="47"/>
        <v>1.5777000232845243E-3</v>
      </c>
      <c r="O198" s="40">
        <f t="shared" si="48"/>
        <v>-1.9429887302046369E-3</v>
      </c>
      <c r="P198" s="40">
        <f t="shared" si="49"/>
        <v>-6.99180300416376E-3</v>
      </c>
      <c r="Q198" s="40">
        <f t="shared" si="50"/>
        <v>-8.7235267318123977E-3</v>
      </c>
    </row>
    <row r="199" spans="1:17" x14ac:dyDescent="0.2">
      <c r="A199" s="25">
        <v>45441</v>
      </c>
      <c r="B199" s="26">
        <v>190.06999200000001</v>
      </c>
      <c r="C199" s="26">
        <v>61.224933999999998</v>
      </c>
      <c r="D199" s="26">
        <v>197.01829499999999</v>
      </c>
      <c r="E199" s="26">
        <v>16.866841999999998</v>
      </c>
      <c r="F199" s="30">
        <f t="shared" si="39"/>
        <v>1.5777000232845243E-3</v>
      </c>
      <c r="G199" s="30">
        <f t="shared" si="40"/>
        <v>-1.9429887302046369E-3</v>
      </c>
      <c r="H199" s="30">
        <f t="shared" si="41"/>
        <v>-6.99180300416376E-3</v>
      </c>
      <c r="I199" s="30">
        <f t="shared" si="42"/>
        <v>-8.7235267318123977E-3</v>
      </c>
      <c r="J199" s="15">
        <f t="shared" si="43"/>
        <v>1.5764561088634041E-3</v>
      </c>
      <c r="K199" s="15">
        <f t="shared" si="44"/>
        <v>-1.9448775559317429E-3</v>
      </c>
      <c r="L199" s="15">
        <f t="shared" si="45"/>
        <v>-7.0163027245769196E-3</v>
      </c>
      <c r="M199" s="15">
        <f t="shared" si="46"/>
        <v>-8.7616875761332789E-3</v>
      </c>
      <c r="N199" s="40">
        <f t="shared" si="47"/>
        <v>5.2413568168104213E-3</v>
      </c>
      <c r="O199" s="40">
        <f t="shared" si="48"/>
        <v>4.3664643547632167E-3</v>
      </c>
      <c r="P199" s="40">
        <f t="shared" si="49"/>
        <v>6.1393658971166812E-3</v>
      </c>
      <c r="Q199" s="40">
        <f t="shared" si="50"/>
        <v>2.8787286268958209E-2</v>
      </c>
    </row>
    <row r="200" spans="1:17" x14ac:dyDescent="0.2">
      <c r="A200" s="25">
        <v>45442</v>
      </c>
      <c r="B200" s="26">
        <v>191.06883199999999</v>
      </c>
      <c r="C200" s="26">
        <v>61.492854999999999</v>
      </c>
      <c r="D200" s="26">
        <v>198.231583</v>
      </c>
      <c r="E200" s="26">
        <v>17.359449000000001</v>
      </c>
      <c r="F200" s="30">
        <f t="shared" si="39"/>
        <v>5.2413568168104213E-3</v>
      </c>
      <c r="G200" s="30">
        <f t="shared" si="40"/>
        <v>4.3664643547632167E-3</v>
      </c>
      <c r="H200" s="30">
        <f t="shared" si="41"/>
        <v>6.1393658971166812E-3</v>
      </c>
      <c r="I200" s="30">
        <f t="shared" si="42"/>
        <v>2.8787286268958209E-2</v>
      </c>
      <c r="J200" s="15">
        <f t="shared" si="43"/>
        <v>5.2276448730265591E-3</v>
      </c>
      <c r="K200" s="15">
        <f t="shared" si="44"/>
        <v>4.3569452093255578E-3</v>
      </c>
      <c r="L200" s="15">
        <f t="shared" si="45"/>
        <v>6.1205584984911597E-3</v>
      </c>
      <c r="M200" s="15">
        <f t="shared" si="46"/>
        <v>2.8376879934380584E-2</v>
      </c>
      <c r="N200" s="40">
        <f t="shared" si="47"/>
        <v>5.0060225548219234E-3</v>
      </c>
      <c r="O200" s="40">
        <f t="shared" si="48"/>
        <v>1.537262663889283E-2</v>
      </c>
      <c r="P200" s="40">
        <f t="shared" si="49"/>
        <v>1.6419907185533298E-2</v>
      </c>
      <c r="Q200" s="40">
        <f t="shared" si="50"/>
        <v>3.3485178750257492E-2</v>
      </c>
    </row>
    <row r="201" spans="1:17" x14ac:dyDescent="0.2">
      <c r="A201" s="25">
        <v>45443</v>
      </c>
      <c r="B201" s="26">
        <v>192.027725</v>
      </c>
      <c r="C201" s="26">
        <v>62.445464999999999</v>
      </c>
      <c r="D201" s="26">
        <v>201.513397</v>
      </c>
      <c r="E201" s="26">
        <v>17.950575000000001</v>
      </c>
      <c r="F201" s="30">
        <f t="shared" si="39"/>
        <v>5.0060225548219234E-3</v>
      </c>
      <c r="G201" s="30">
        <f t="shared" si="40"/>
        <v>1.537262663889283E-2</v>
      </c>
      <c r="H201" s="30">
        <f t="shared" si="41"/>
        <v>1.6419907185533298E-2</v>
      </c>
      <c r="I201" s="30">
        <f t="shared" si="42"/>
        <v>3.3485178750257492E-2</v>
      </c>
      <c r="J201" s="15">
        <f t="shared" si="43"/>
        <v>4.9935133064770596E-3</v>
      </c>
      <c r="K201" s="15">
        <f t="shared" si="44"/>
        <v>1.5255070964720976E-2</v>
      </c>
      <c r="L201" s="15">
        <f t="shared" si="45"/>
        <v>1.6285835328357832E-2</v>
      </c>
      <c r="M201" s="15">
        <f t="shared" si="46"/>
        <v>3.2930755700026272E-2</v>
      </c>
      <c r="N201" s="40">
        <f t="shared" si="47"/>
        <v>9.2161623911649945E-3</v>
      </c>
      <c r="O201" s="40">
        <f t="shared" si="48"/>
        <v>0</v>
      </c>
      <c r="P201" s="40">
        <f t="shared" si="49"/>
        <v>-4.0053977401266682E-3</v>
      </c>
      <c r="Q201" s="40">
        <f t="shared" si="50"/>
        <v>-1.1592695309031092E-2</v>
      </c>
    </row>
    <row r="202" spans="1:17" x14ac:dyDescent="0.2">
      <c r="A202" s="25">
        <v>45446</v>
      </c>
      <c r="B202" s="26">
        <v>193.80566400000001</v>
      </c>
      <c r="C202" s="26">
        <v>62.445464999999999</v>
      </c>
      <c r="D202" s="26">
        <v>200.70787000000001</v>
      </c>
      <c r="E202" s="26">
        <v>17.743680999999999</v>
      </c>
      <c r="F202" s="30">
        <f t="shared" si="39"/>
        <v>9.2161623911649945E-3</v>
      </c>
      <c r="G202" s="30">
        <f t="shared" si="40"/>
        <v>0</v>
      </c>
      <c r="H202" s="30">
        <f t="shared" si="41"/>
        <v>-4.0053977401266682E-3</v>
      </c>
      <c r="I202" s="30">
        <f t="shared" si="42"/>
        <v>-1.1592695309031092E-2</v>
      </c>
      <c r="J202" s="15">
        <f t="shared" si="43"/>
        <v>9.1738237330360132E-3</v>
      </c>
      <c r="K202" s="15">
        <f t="shared" si="44"/>
        <v>0</v>
      </c>
      <c r="L202" s="15">
        <f t="shared" si="45"/>
        <v>-4.0134300662947779E-3</v>
      </c>
      <c r="M202" s="15">
        <f t="shared" si="46"/>
        <v>-1.1660151013761007E-2</v>
      </c>
      <c r="N202" s="40">
        <f t="shared" si="47"/>
        <v>1.6479275844381797E-3</v>
      </c>
      <c r="O202" s="40">
        <f t="shared" si="48"/>
        <v>1.5922092232906072E-2</v>
      </c>
      <c r="P202" s="40">
        <f t="shared" si="49"/>
        <v>-1.3267754604042227E-2</v>
      </c>
      <c r="Q202" s="40">
        <f t="shared" si="50"/>
        <v>1.8702397437831947E-2</v>
      </c>
    </row>
    <row r="203" spans="1:17" x14ac:dyDescent="0.2">
      <c r="A203" s="25">
        <v>45447</v>
      </c>
      <c r="B203" s="26">
        <v>194.125305</v>
      </c>
      <c r="C203" s="26">
        <v>63.447685</v>
      </c>
      <c r="D203" s="26">
        <v>198.06251499999999</v>
      </c>
      <c r="E203" s="26">
        <v>18.078652999999999</v>
      </c>
      <c r="F203" s="30">
        <f t="shared" si="39"/>
        <v>1.6479275844381797E-3</v>
      </c>
      <c r="G203" s="30">
        <f t="shared" si="40"/>
        <v>1.5922092232906072E-2</v>
      </c>
      <c r="H203" s="30">
        <f t="shared" si="41"/>
        <v>-1.3267754604042227E-2</v>
      </c>
      <c r="I203" s="30">
        <f t="shared" si="42"/>
        <v>1.8702397437831947E-2</v>
      </c>
      <c r="J203" s="15">
        <f t="shared" si="43"/>
        <v>1.6465704973392834E-3</v>
      </c>
      <c r="K203" s="15">
        <f t="shared" si="44"/>
        <v>1.5796005795956167E-2</v>
      </c>
      <c r="L203" s="15">
        <f t="shared" si="45"/>
        <v>-1.3356161815879312E-2</v>
      </c>
      <c r="M203" s="15">
        <f t="shared" si="46"/>
        <v>1.8528592810537405E-2</v>
      </c>
      <c r="N203" s="40">
        <f t="shared" si="47"/>
        <v>7.7904722351031866E-3</v>
      </c>
      <c r="O203" s="40">
        <f t="shared" si="48"/>
        <v>-3.1287359214828865E-4</v>
      </c>
      <c r="P203" s="40">
        <f t="shared" si="49"/>
        <v>-9.5859227382981537E-3</v>
      </c>
      <c r="Q203" s="40">
        <f t="shared" si="50"/>
        <v>-2.7285349047250127E-3</v>
      </c>
    </row>
    <row r="204" spans="1:17" x14ac:dyDescent="0.2">
      <c r="A204" s="25">
        <v>45448</v>
      </c>
      <c r="B204" s="26">
        <v>195.643539</v>
      </c>
      <c r="C204" s="26">
        <v>63.427836999999997</v>
      </c>
      <c r="D204" s="26">
        <v>196.17297400000001</v>
      </c>
      <c r="E204" s="26">
        <v>18.029392000000001</v>
      </c>
      <c r="F204" s="30">
        <f t="shared" si="39"/>
        <v>7.7904722351031866E-3</v>
      </c>
      <c r="G204" s="30">
        <f t="shared" si="40"/>
        <v>-3.1287359214828865E-4</v>
      </c>
      <c r="H204" s="30">
        <f t="shared" si="41"/>
        <v>-9.5859227382981537E-3</v>
      </c>
      <c r="I204" s="30">
        <f t="shared" si="42"/>
        <v>-2.7285349047250127E-3</v>
      </c>
      <c r="J204" s="15">
        <f t="shared" si="43"/>
        <v>7.7602051555610363E-3</v>
      </c>
      <c r="K204" s="15">
        <f t="shared" si="44"/>
        <v>-3.1292254219552208E-4</v>
      </c>
      <c r="L204" s="15">
        <f t="shared" si="45"/>
        <v>-9.6320148564398057E-3</v>
      </c>
      <c r="M204" s="15">
        <f t="shared" si="46"/>
        <v>-2.7322607440116546E-3</v>
      </c>
      <c r="N204" s="40">
        <f t="shared" si="47"/>
        <v>-7.121864915451831E-3</v>
      </c>
      <c r="O204" s="40">
        <f t="shared" si="48"/>
        <v>3.5918669636785371E-3</v>
      </c>
      <c r="P204" s="40">
        <f t="shared" si="49"/>
        <v>-1.7757906147097171E-3</v>
      </c>
      <c r="Q204" s="40">
        <f t="shared" si="50"/>
        <v>-1.0934242170624129E-3</v>
      </c>
    </row>
    <row r="205" spans="1:17" x14ac:dyDescent="0.2">
      <c r="A205" s="25">
        <v>45449</v>
      </c>
      <c r="B205" s="26">
        <v>194.25514200000001</v>
      </c>
      <c r="C205" s="26">
        <v>63.656070999999997</v>
      </c>
      <c r="D205" s="26">
        <v>195.82492099999999</v>
      </c>
      <c r="E205" s="26">
        <v>18.009689000000002</v>
      </c>
      <c r="F205" s="30">
        <f t="shared" si="39"/>
        <v>-7.121864915451831E-3</v>
      </c>
      <c r="G205" s="30">
        <f t="shared" si="40"/>
        <v>3.5918669636785371E-3</v>
      </c>
      <c r="H205" s="30">
        <f t="shared" si="41"/>
        <v>-1.7757906147097171E-3</v>
      </c>
      <c r="I205" s="30">
        <f t="shared" si="42"/>
        <v>-1.0934242170624129E-3</v>
      </c>
      <c r="J205" s="15">
        <f t="shared" si="43"/>
        <v>-7.1472857073713791E-3</v>
      </c>
      <c r="K205" s="15">
        <f t="shared" si="44"/>
        <v>3.585423926022712E-3</v>
      </c>
      <c r="L205" s="15">
        <f t="shared" si="45"/>
        <v>-1.777368264583758E-3</v>
      </c>
      <c r="M205" s="15">
        <f t="shared" si="46"/>
        <v>-1.0940222232599243E-3</v>
      </c>
      <c r="N205" s="40">
        <f t="shared" si="47"/>
        <v>1.2315935510636394E-2</v>
      </c>
      <c r="O205" s="40">
        <f t="shared" si="48"/>
        <v>-3.748245865629597E-3</v>
      </c>
      <c r="P205" s="40">
        <f t="shared" si="49"/>
        <v>1.5320518573155651E-2</v>
      </c>
      <c r="Q205" s="40">
        <f t="shared" si="50"/>
        <v>-9.8955551720559757E-3</v>
      </c>
    </row>
    <row r="206" spans="1:17" x14ac:dyDescent="0.2">
      <c r="A206" s="25">
        <v>45450</v>
      </c>
      <c r="B206" s="26">
        <v>196.66236900000001</v>
      </c>
      <c r="C206" s="26">
        <v>63.417918999999998</v>
      </c>
      <c r="D206" s="26">
        <v>198.84816000000001</v>
      </c>
      <c r="E206" s="26">
        <v>17.832352</v>
      </c>
      <c r="F206" s="30">
        <f t="shared" si="39"/>
        <v>1.2315935510636394E-2</v>
      </c>
      <c r="G206" s="30">
        <f t="shared" si="40"/>
        <v>-3.748245865629597E-3</v>
      </c>
      <c r="H206" s="30">
        <f t="shared" si="41"/>
        <v>1.5320518573155651E-2</v>
      </c>
      <c r="I206" s="30">
        <f t="shared" si="42"/>
        <v>-9.8955551720559757E-3</v>
      </c>
      <c r="J206" s="15">
        <f t="shared" si="43"/>
        <v>1.2240404772099566E-2</v>
      </c>
      <c r="K206" s="15">
        <f t="shared" si="44"/>
        <v>-3.7552793241291864E-3</v>
      </c>
      <c r="L206" s="15">
        <f t="shared" si="45"/>
        <v>1.5203756474286801E-2</v>
      </c>
      <c r="M206" s="15">
        <f t="shared" si="46"/>
        <v>-9.9446780772385716E-3</v>
      </c>
      <c r="N206" s="40">
        <f t="shared" si="47"/>
        <v>-1.9333515601065478E-2</v>
      </c>
      <c r="O206" s="40">
        <f t="shared" si="48"/>
        <v>-5.0196004719991047E-3</v>
      </c>
      <c r="P206" s="40">
        <f t="shared" si="49"/>
        <v>-1.7018402117130581E-3</v>
      </c>
      <c r="Q206" s="40">
        <f t="shared" si="50"/>
        <v>-1.3348415321843266E-2</v>
      </c>
    </row>
    <row r="207" spans="1:17" x14ac:dyDescent="0.2">
      <c r="A207" s="25">
        <v>45453</v>
      </c>
      <c r="B207" s="26">
        <v>192.89671300000001</v>
      </c>
      <c r="C207" s="26">
        <v>63.100383999999998</v>
      </c>
      <c r="D207" s="26">
        <v>198.51004</v>
      </c>
      <c r="E207" s="26">
        <v>17.5959</v>
      </c>
      <c r="F207" s="30">
        <f t="shared" si="39"/>
        <v>-1.9333515601065478E-2</v>
      </c>
      <c r="G207" s="30">
        <f t="shared" si="40"/>
        <v>-5.0196004719991047E-3</v>
      </c>
      <c r="H207" s="30">
        <f t="shared" si="41"/>
        <v>-1.7018402117130581E-3</v>
      </c>
      <c r="I207" s="30">
        <f t="shared" si="42"/>
        <v>-1.3348415321843266E-2</v>
      </c>
      <c r="J207" s="15">
        <f t="shared" si="43"/>
        <v>-1.9521618286984531E-2</v>
      </c>
      <c r="K207" s="15">
        <f t="shared" si="44"/>
        <v>-5.0322197722283187E-3</v>
      </c>
      <c r="L207" s="15">
        <f t="shared" si="45"/>
        <v>-1.7032891636110875E-3</v>
      </c>
      <c r="M207" s="15">
        <f t="shared" si="46"/>
        <v>-1.3437903147892401E-2</v>
      </c>
      <c r="N207" s="40">
        <f t="shared" si="47"/>
        <v>7.0131414104475584E-2</v>
      </c>
      <c r="O207" s="40">
        <f t="shared" si="48"/>
        <v>-6.2929080548693986E-4</v>
      </c>
      <c r="P207" s="40">
        <f t="shared" si="49"/>
        <v>-2.6653349995766375E-2</v>
      </c>
      <c r="Q207" s="40">
        <f t="shared" si="50"/>
        <v>0</v>
      </c>
    </row>
    <row r="208" spans="1:17" x14ac:dyDescent="0.2">
      <c r="A208" s="25">
        <v>45454</v>
      </c>
      <c r="B208" s="26">
        <v>206.910492</v>
      </c>
      <c r="C208" s="26">
        <v>63.060687999999999</v>
      </c>
      <c r="D208" s="26">
        <v>193.288971</v>
      </c>
      <c r="E208" s="26">
        <v>17.5959</v>
      </c>
      <c r="F208" s="30">
        <f t="shared" si="39"/>
        <v>7.0131414104475584E-2</v>
      </c>
      <c r="G208" s="30">
        <f t="shared" si="40"/>
        <v>-6.2929080548693986E-4</v>
      </c>
      <c r="H208" s="30">
        <f t="shared" si="41"/>
        <v>-2.6653349995766375E-2</v>
      </c>
      <c r="I208" s="30">
        <f t="shared" si="42"/>
        <v>0</v>
      </c>
      <c r="J208" s="15">
        <f t="shared" si="43"/>
        <v>6.7728701742200678E-2</v>
      </c>
      <c r="K208" s="15">
        <f t="shared" si="44"/>
        <v>-6.2948885048636459E-4</v>
      </c>
      <c r="L208" s="15">
        <f t="shared" si="45"/>
        <v>-2.701172743063545E-2</v>
      </c>
      <c r="M208" s="15">
        <f t="shared" si="46"/>
        <v>0</v>
      </c>
      <c r="N208" s="40">
        <f t="shared" si="47"/>
        <v>2.8177683832117249E-2</v>
      </c>
      <c r="O208" s="40">
        <f t="shared" si="48"/>
        <v>-1.0598781521427382E-2</v>
      </c>
      <c r="P208" s="40">
        <f t="shared" si="49"/>
        <v>-1.4667664855327797E-2</v>
      </c>
      <c r="Q208" s="40">
        <f t="shared" si="50"/>
        <v>-1.4096584264906203E-2</v>
      </c>
    </row>
    <row r="209" spans="1:17" x14ac:dyDescent="0.2">
      <c r="A209" s="25">
        <v>45455</v>
      </c>
      <c r="B209" s="26">
        <v>212.823669</v>
      </c>
      <c r="C209" s="26">
        <v>62.395851</v>
      </c>
      <c r="D209" s="26">
        <v>190.47456399999999</v>
      </c>
      <c r="E209" s="26">
        <v>17.349598</v>
      </c>
      <c r="F209" s="30">
        <f t="shared" si="39"/>
        <v>2.8177683832117249E-2</v>
      </c>
      <c r="G209" s="30">
        <f t="shared" si="40"/>
        <v>-1.0598781521427382E-2</v>
      </c>
      <c r="H209" s="30">
        <f t="shared" si="41"/>
        <v>-1.4667664855327797E-2</v>
      </c>
      <c r="I209" s="30">
        <f t="shared" si="42"/>
        <v>-1.4096584264906203E-2</v>
      </c>
      <c r="J209" s="15">
        <f t="shared" si="43"/>
        <v>2.7784395541080493E-2</v>
      </c>
      <c r="K209" s="15">
        <f t="shared" si="44"/>
        <v>-1.0655147567423971E-2</v>
      </c>
      <c r="L209" s="15">
        <f t="shared" si="45"/>
        <v>-1.4775762920239665E-2</v>
      </c>
      <c r="M209" s="15">
        <f t="shared" si="46"/>
        <v>-1.4196409622862732E-2</v>
      </c>
      <c r="N209" s="40">
        <f t="shared" si="47"/>
        <v>5.4761020107099078E-3</v>
      </c>
      <c r="O209" s="40">
        <f t="shared" si="48"/>
        <v>1.7478507559406556E-3</v>
      </c>
      <c r="P209" s="40">
        <f t="shared" si="49"/>
        <v>1.1059628683795456E-2</v>
      </c>
      <c r="Q209" s="40">
        <f t="shared" si="50"/>
        <v>3.4012621492683047E-3</v>
      </c>
    </row>
    <row r="210" spans="1:17" x14ac:dyDescent="0.2">
      <c r="A210" s="25">
        <v>45456</v>
      </c>
      <c r="B210" s="26">
        <v>213.99231</v>
      </c>
      <c r="C210" s="26">
        <v>62.505004999999997</v>
      </c>
      <c r="D210" s="26">
        <v>192.59283400000001</v>
      </c>
      <c r="E210" s="26">
        <v>17.408709000000002</v>
      </c>
      <c r="F210" s="30">
        <f t="shared" si="39"/>
        <v>5.4761020107099078E-3</v>
      </c>
      <c r="G210" s="30">
        <f t="shared" si="40"/>
        <v>1.7478507559406556E-3</v>
      </c>
      <c r="H210" s="30">
        <f t="shared" si="41"/>
        <v>1.1059628683795456E-2</v>
      </c>
      <c r="I210" s="30">
        <f t="shared" si="42"/>
        <v>3.4012621492683047E-3</v>
      </c>
      <c r="J210" s="15">
        <f t="shared" si="43"/>
        <v>5.4611354959437936E-3</v>
      </c>
      <c r="K210" s="15">
        <f t="shared" si="44"/>
        <v>1.746324154361665E-3</v>
      </c>
      <c r="L210" s="15">
        <f t="shared" si="45"/>
        <v>1.0998695828942544E-2</v>
      </c>
      <c r="M210" s="15">
        <f t="shared" si="46"/>
        <v>3.3954844095562433E-3</v>
      </c>
      <c r="N210" s="40">
        <f t="shared" si="47"/>
        <v>-8.2019263390725322E-3</v>
      </c>
      <c r="O210" s="40">
        <f t="shared" si="48"/>
        <v>7.1958738958610062E-4</v>
      </c>
      <c r="P210" s="40">
        <f t="shared" si="49"/>
        <v>6.1937429460877716E-4</v>
      </c>
      <c r="Q210" s="40">
        <f t="shared" si="50"/>
        <v>-1.6992713126116508E-3</v>
      </c>
    </row>
    <row r="211" spans="1:17" x14ac:dyDescent="0.2">
      <c r="A211" s="25">
        <v>45457</v>
      </c>
      <c r="B211" s="26">
        <v>212.244339</v>
      </c>
      <c r="C211" s="26">
        <v>62.549999</v>
      </c>
      <c r="D211" s="26">
        <v>192.71215799999999</v>
      </c>
      <c r="E211" s="26">
        <v>17.379152000000001</v>
      </c>
      <c r="F211" s="30">
        <f t="shared" si="39"/>
        <v>-8.2019263390725322E-3</v>
      </c>
      <c r="G211" s="30">
        <f t="shared" si="40"/>
        <v>7.1958738958610062E-4</v>
      </c>
      <c r="H211" s="30">
        <f t="shared" si="41"/>
        <v>6.1937429460877716E-4</v>
      </c>
      <c r="I211" s="30">
        <f t="shared" si="42"/>
        <v>-1.6992713126116508E-3</v>
      </c>
      <c r="J211" s="15">
        <f t="shared" si="43"/>
        <v>-8.2356542852245716E-3</v>
      </c>
      <c r="K211" s="15">
        <f t="shared" si="44"/>
        <v>7.1932854867036281E-4</v>
      </c>
      <c r="L211" s="15">
        <f t="shared" si="45"/>
        <v>6.1918252194538537E-4</v>
      </c>
      <c r="M211" s="15">
        <f t="shared" si="46"/>
        <v>-1.7007158922368881E-3</v>
      </c>
      <c r="N211" s="40">
        <f t="shared" si="47"/>
        <v>1.948047725735666E-2</v>
      </c>
      <c r="O211" s="40">
        <f t="shared" si="48"/>
        <v>1.1184790032108326E-3</v>
      </c>
      <c r="P211" s="40">
        <f t="shared" si="49"/>
        <v>6.1735082056717516E-3</v>
      </c>
      <c r="Q211" s="40">
        <f t="shared" si="50"/>
        <v>1.6992713126115697E-3</v>
      </c>
    </row>
    <row r="212" spans="1:17" x14ac:dyDescent="0.2">
      <c r="A212" s="25">
        <v>45460</v>
      </c>
      <c r="B212" s="26">
        <v>216.41949500000001</v>
      </c>
      <c r="C212" s="26">
        <v>62.619999</v>
      </c>
      <c r="D212" s="26">
        <v>193.90554800000001</v>
      </c>
      <c r="E212" s="26">
        <v>17.408709000000002</v>
      </c>
      <c r="F212" s="30">
        <f t="shared" si="39"/>
        <v>1.948047725735666E-2</v>
      </c>
      <c r="G212" s="30">
        <f t="shared" si="40"/>
        <v>1.1184790032108326E-3</v>
      </c>
      <c r="H212" s="30">
        <f t="shared" si="41"/>
        <v>6.1735082056717516E-3</v>
      </c>
      <c r="I212" s="30">
        <f t="shared" si="42"/>
        <v>1.6992713126115697E-3</v>
      </c>
      <c r="J212" s="15">
        <f t="shared" si="43"/>
        <v>1.9291958887530051E-2</v>
      </c>
      <c r="K212" s="15">
        <f t="shared" si="44"/>
        <v>1.1178537387073462E-3</v>
      </c>
      <c r="L212" s="15">
        <f t="shared" si="45"/>
        <v>6.1544912577747492E-3</v>
      </c>
      <c r="M212" s="15">
        <f t="shared" si="46"/>
        <v>1.6978283685482075E-3</v>
      </c>
      <c r="N212" s="40">
        <f t="shared" si="47"/>
        <v>-1.1045270681009117E-2</v>
      </c>
      <c r="O212" s="40">
        <f t="shared" si="48"/>
        <v>1.5971257518978638E-4</v>
      </c>
      <c r="P212" s="40">
        <f t="shared" si="49"/>
        <v>1.030672096955205E-2</v>
      </c>
      <c r="Q212" s="40">
        <f t="shared" si="50"/>
        <v>2.1277351283956945E-2</v>
      </c>
    </row>
    <row r="213" spans="1:17" x14ac:dyDescent="0.2">
      <c r="A213" s="25">
        <v>45461</v>
      </c>
      <c r="B213" s="26">
        <v>214.042236</v>
      </c>
      <c r="C213" s="26">
        <v>62.630001</v>
      </c>
      <c r="D213" s="26">
        <v>195.914413</v>
      </c>
      <c r="E213" s="26">
        <v>17.783089</v>
      </c>
      <c r="F213" s="30">
        <f t="shared" si="39"/>
        <v>-1.1045270681009117E-2</v>
      </c>
      <c r="G213" s="30">
        <f t="shared" si="40"/>
        <v>1.5971257518978638E-4</v>
      </c>
      <c r="H213" s="30">
        <f t="shared" si="41"/>
        <v>1.030672096955205E-2</v>
      </c>
      <c r="I213" s="30">
        <f t="shared" si="42"/>
        <v>2.1277351283956945E-2</v>
      </c>
      <c r="J213" s="15">
        <f t="shared" si="43"/>
        <v>-1.1106494888233225E-2</v>
      </c>
      <c r="K213" s="15">
        <f t="shared" si="44"/>
        <v>1.5969982181542782E-4</v>
      </c>
      <c r="L213" s="15">
        <f t="shared" si="45"/>
        <v>1.0253788729673431E-2</v>
      </c>
      <c r="M213" s="15">
        <f t="shared" si="46"/>
        <v>2.1052585408530465E-2</v>
      </c>
      <c r="N213" s="40">
        <f t="shared" si="47"/>
        <v>-2.1747631659808291E-2</v>
      </c>
      <c r="O213" s="40">
        <f t="shared" si="48"/>
        <v>-7.2110078735026766E-3</v>
      </c>
      <c r="P213" s="40">
        <f t="shared" si="49"/>
        <v>8.4414315435738397E-3</v>
      </c>
      <c r="Q213" s="40">
        <f t="shared" si="50"/>
        <v>3.3186565462668526E-3</v>
      </c>
    </row>
    <row r="214" spans="1:17" x14ac:dyDescent="0.2">
      <c r="A214" s="25">
        <v>45463</v>
      </c>
      <c r="B214" s="26">
        <v>209.43757600000001</v>
      </c>
      <c r="C214" s="26">
        <v>62.18</v>
      </c>
      <c r="D214" s="26">
        <v>197.575211</v>
      </c>
      <c r="E214" s="26">
        <v>17.842203000000001</v>
      </c>
      <c r="F214" s="30">
        <f t="shared" si="39"/>
        <v>-2.1747631659808291E-2</v>
      </c>
      <c r="G214" s="30">
        <f t="shared" si="40"/>
        <v>-7.2110078735026766E-3</v>
      </c>
      <c r="H214" s="30">
        <f t="shared" si="41"/>
        <v>8.4414315435738397E-3</v>
      </c>
      <c r="I214" s="30">
        <f t="shared" si="42"/>
        <v>3.3186565462668526E-3</v>
      </c>
      <c r="J214" s="15">
        <f t="shared" si="43"/>
        <v>-2.1985835053782304E-2</v>
      </c>
      <c r="K214" s="15">
        <f t="shared" si="44"/>
        <v>-7.2370697973625012E-3</v>
      </c>
      <c r="L214" s="15">
        <f t="shared" si="45"/>
        <v>8.4059027020348207E-3</v>
      </c>
      <c r="M214" s="15">
        <f t="shared" si="46"/>
        <v>3.3131558922404928E-3</v>
      </c>
      <c r="N214" s="40">
        <f t="shared" si="47"/>
        <v>-1.0499345697948081E-2</v>
      </c>
      <c r="O214" s="40">
        <f t="shared" si="48"/>
        <v>9.443847698832648E-3</v>
      </c>
      <c r="P214" s="40">
        <f t="shared" si="49"/>
        <v>-1.2001025271443897E-2</v>
      </c>
      <c r="Q214" s="40">
        <f t="shared" si="50"/>
        <v>1.588635415691966E-2</v>
      </c>
    </row>
    <row r="215" spans="1:17" x14ac:dyDescent="0.2">
      <c r="A215" s="25">
        <v>45464</v>
      </c>
      <c r="B215" s="26">
        <v>207.250122</v>
      </c>
      <c r="C215" s="26">
        <v>62.77</v>
      </c>
      <c r="D215" s="26">
        <v>195.218277</v>
      </c>
      <c r="E215" s="26">
        <v>18.127914000000001</v>
      </c>
      <c r="F215" s="30">
        <f t="shared" si="39"/>
        <v>-1.0499345697948081E-2</v>
      </c>
      <c r="G215" s="30">
        <f t="shared" si="40"/>
        <v>9.443847698832648E-3</v>
      </c>
      <c r="H215" s="30">
        <f t="shared" si="41"/>
        <v>-1.2001025271443897E-2</v>
      </c>
      <c r="I215" s="30">
        <f t="shared" si="42"/>
        <v>1.588635415691966E-2</v>
      </c>
      <c r="J215" s="15">
        <f t="shared" si="43"/>
        <v>-1.055465723682422E-2</v>
      </c>
      <c r="K215" s="15">
        <f t="shared" si="44"/>
        <v>9.3993946152621209E-3</v>
      </c>
      <c r="L215" s="15">
        <f t="shared" si="45"/>
        <v>-1.2073326515426603E-2</v>
      </c>
      <c r="M215" s="15">
        <f t="shared" si="46"/>
        <v>1.5760831610299959E-2</v>
      </c>
      <c r="N215" s="40">
        <f t="shared" si="47"/>
        <v>3.1277001097442104E-3</v>
      </c>
      <c r="O215" s="40">
        <f t="shared" si="48"/>
        <v>1.8936986764933515E-2</v>
      </c>
      <c r="P215" s="40">
        <f t="shared" si="49"/>
        <v>1.305751761044515E-2</v>
      </c>
      <c r="Q215" s="40">
        <f t="shared" si="50"/>
        <v>1.3495526138129172E-2</v>
      </c>
    </row>
    <row r="216" spans="1:17" x14ac:dyDescent="0.2">
      <c r="A216" s="25">
        <v>45467</v>
      </c>
      <c r="B216" s="26">
        <v>207.89935299999999</v>
      </c>
      <c r="C216" s="26">
        <v>63.970001000000003</v>
      </c>
      <c r="D216" s="26">
        <v>197.78405799999999</v>
      </c>
      <c r="E216" s="26">
        <v>18.374217999999999</v>
      </c>
      <c r="F216" s="30">
        <f t="shared" si="39"/>
        <v>3.1277001097442104E-3</v>
      </c>
      <c r="G216" s="30">
        <f t="shared" si="40"/>
        <v>1.8936986764933515E-2</v>
      </c>
      <c r="H216" s="30">
        <f t="shared" si="41"/>
        <v>1.305751761044515E-2</v>
      </c>
      <c r="I216" s="30">
        <f t="shared" si="42"/>
        <v>1.3495526138129172E-2</v>
      </c>
      <c r="J216" s="15">
        <f t="shared" si="43"/>
        <v>3.1228139512294978E-3</v>
      </c>
      <c r="K216" s="15">
        <f t="shared" si="44"/>
        <v>1.8758808523388959E-2</v>
      </c>
      <c r="L216" s="15">
        <f t="shared" si="45"/>
        <v>1.2972638067725292E-2</v>
      </c>
      <c r="M216" s="15">
        <f t="shared" si="46"/>
        <v>1.3404869801805908E-2</v>
      </c>
      <c r="N216" s="40">
        <f t="shared" si="47"/>
        <v>4.4582669163491413E-3</v>
      </c>
      <c r="O216" s="40">
        <f t="shared" si="48"/>
        <v>-2.0342859528205111E-3</v>
      </c>
      <c r="P216" s="40">
        <f t="shared" si="49"/>
        <v>-4.0810762745116238E-3</v>
      </c>
      <c r="Q216" s="40">
        <f t="shared" si="50"/>
        <v>2.1425562712271934E-3</v>
      </c>
    </row>
    <row r="217" spans="1:17" x14ac:dyDescent="0.2">
      <c r="A217" s="25">
        <v>45468</v>
      </c>
      <c r="B217" s="26">
        <v>208.828293</v>
      </c>
      <c r="C217" s="26">
        <v>63.84</v>
      </c>
      <c r="D217" s="26">
        <v>196.978531</v>
      </c>
      <c r="E217" s="26">
        <v>18.413627999999999</v>
      </c>
      <c r="F217" s="30">
        <f t="shared" si="39"/>
        <v>4.4582669163491413E-3</v>
      </c>
      <c r="G217" s="30">
        <f t="shared" si="40"/>
        <v>-2.0342859528205111E-3</v>
      </c>
      <c r="H217" s="30">
        <f t="shared" si="41"/>
        <v>-4.0810762745116238E-3</v>
      </c>
      <c r="I217" s="30">
        <f t="shared" si="42"/>
        <v>2.1425562712271934E-3</v>
      </c>
      <c r="J217" s="15">
        <f t="shared" si="43"/>
        <v>4.4483435968133466E-3</v>
      </c>
      <c r="K217" s="15">
        <f t="shared" si="44"/>
        <v>-2.0363565162907272E-3</v>
      </c>
      <c r="L217" s="15">
        <f t="shared" si="45"/>
        <v>-4.0894152063708084E-3</v>
      </c>
      <c r="M217" s="15">
        <f t="shared" si="46"/>
        <v>2.1402626359129321E-3</v>
      </c>
      <c r="N217" s="40">
        <f t="shared" si="47"/>
        <v>1.9796003669469535E-2</v>
      </c>
      <c r="O217" s="40">
        <f t="shared" si="48"/>
        <v>3.2841220395962312E-3</v>
      </c>
      <c r="P217" s="40">
        <f t="shared" si="49"/>
        <v>-3.2364976607338002E-3</v>
      </c>
      <c r="Q217" s="40">
        <f t="shared" si="50"/>
        <v>3.738273476931629E-3</v>
      </c>
    </row>
    <row r="218" spans="1:17" x14ac:dyDescent="0.2">
      <c r="A218" s="25">
        <v>45469</v>
      </c>
      <c r="B218" s="26">
        <v>213.00344799999999</v>
      </c>
      <c r="C218" s="26">
        <v>64.050003000000004</v>
      </c>
      <c r="D218" s="26">
        <v>196.34204099999999</v>
      </c>
      <c r="E218" s="26">
        <v>18.482592</v>
      </c>
      <c r="F218" s="30">
        <f t="shared" si="39"/>
        <v>1.9796003669469535E-2</v>
      </c>
      <c r="G218" s="30">
        <f t="shared" si="40"/>
        <v>3.2841220395962312E-3</v>
      </c>
      <c r="H218" s="30">
        <f t="shared" si="41"/>
        <v>-3.2364976607338002E-3</v>
      </c>
      <c r="I218" s="30">
        <f t="shared" si="42"/>
        <v>3.738273476931629E-3</v>
      </c>
      <c r="J218" s="15">
        <f t="shared" si="43"/>
        <v>1.9601349364072217E-2</v>
      </c>
      <c r="K218" s="15">
        <f t="shared" si="44"/>
        <v>3.2787352094269281E-3</v>
      </c>
      <c r="L218" s="15">
        <f t="shared" si="45"/>
        <v>-3.2417407742033667E-3</v>
      </c>
      <c r="M218" s="15">
        <f t="shared" si="46"/>
        <v>3.7312948313743622E-3</v>
      </c>
      <c r="N218" s="40">
        <f t="shared" si="47"/>
        <v>3.9780687953256729E-3</v>
      </c>
      <c r="O218" s="40">
        <f t="shared" si="48"/>
        <v>-2.1882315189594016E-3</v>
      </c>
      <c r="P218" s="40">
        <f t="shared" si="49"/>
        <v>8.7746980951394233E-3</v>
      </c>
      <c r="Q218" s="40">
        <f t="shared" si="50"/>
        <v>-5.3329250387106324E-4</v>
      </c>
    </row>
    <row r="219" spans="1:17" x14ac:dyDescent="0.2">
      <c r="A219" s="25">
        <v>45470</v>
      </c>
      <c r="B219" s="26">
        <v>213.85247799999999</v>
      </c>
      <c r="C219" s="26">
        <v>63.91</v>
      </c>
      <c r="D219" s="26">
        <v>198.072464</v>
      </c>
      <c r="E219" s="26">
        <v>18.472738</v>
      </c>
      <c r="F219" s="30">
        <f t="shared" si="39"/>
        <v>3.9780687953256729E-3</v>
      </c>
      <c r="G219" s="30">
        <f t="shared" si="40"/>
        <v>-2.1882315189594016E-3</v>
      </c>
      <c r="H219" s="30">
        <f t="shared" si="41"/>
        <v>8.7746980951394233E-3</v>
      </c>
      <c r="I219" s="30">
        <f t="shared" si="42"/>
        <v>-5.3329250387106324E-4</v>
      </c>
      <c r="J219" s="15">
        <f t="shared" si="43"/>
        <v>3.9701667614064264E-3</v>
      </c>
      <c r="K219" s="15">
        <f t="shared" si="44"/>
        <v>-2.1906274448444253E-3</v>
      </c>
      <c r="L219" s="15">
        <f t="shared" si="45"/>
        <v>8.7363127870212273E-3</v>
      </c>
      <c r="M219" s="15">
        <f t="shared" si="46"/>
        <v>-5.3343472959994866E-4</v>
      </c>
      <c r="N219" s="40">
        <f t="shared" si="47"/>
        <v>-1.6387734624486144E-2</v>
      </c>
      <c r="O219" s="40">
        <f t="shared" si="48"/>
        <v>-4.0764872369371159E-3</v>
      </c>
      <c r="P219" s="40">
        <f t="shared" si="49"/>
        <v>1.5395245178859948E-2</v>
      </c>
      <c r="Q219" s="40">
        <f t="shared" si="50"/>
        <v>1.901802869604308E-2</v>
      </c>
    </row>
    <row r="220" spans="1:17" x14ac:dyDescent="0.2">
      <c r="A220" s="25">
        <v>45471</v>
      </c>
      <c r="B220" s="26">
        <v>210.37647999999999</v>
      </c>
      <c r="C220" s="26">
        <v>63.650002000000001</v>
      </c>
      <c r="D220" s="26">
        <v>201.145432</v>
      </c>
      <c r="E220" s="26">
        <v>18.827414999999998</v>
      </c>
      <c r="F220" s="30">
        <f t="shared" si="39"/>
        <v>-1.6387734624486144E-2</v>
      </c>
      <c r="G220" s="30">
        <f t="shared" si="40"/>
        <v>-4.0764872369371159E-3</v>
      </c>
      <c r="H220" s="30">
        <f t="shared" si="41"/>
        <v>1.5395245178859948E-2</v>
      </c>
      <c r="I220" s="30">
        <f t="shared" si="42"/>
        <v>1.901802869604308E-2</v>
      </c>
      <c r="J220" s="15">
        <f t="shared" si="43"/>
        <v>-1.6522750071681039E-2</v>
      </c>
      <c r="K220" s="15">
        <f t="shared" si="44"/>
        <v>-4.0848074128889411E-3</v>
      </c>
      <c r="L220" s="15">
        <f t="shared" si="45"/>
        <v>1.5277344205360841E-2</v>
      </c>
      <c r="M220" s="15">
        <f t="shared" si="46"/>
        <v>1.8838326982222403E-2</v>
      </c>
      <c r="N220" s="40">
        <f t="shared" si="47"/>
        <v>2.8689111628198698E-2</v>
      </c>
      <c r="O220" s="40">
        <f t="shared" si="48"/>
        <v>-5.8300487686362692E-3</v>
      </c>
      <c r="P220" s="40">
        <f t="shared" si="49"/>
        <v>1.5648710168294964E-2</v>
      </c>
      <c r="Q220" s="40">
        <f t="shared" si="50"/>
        <v>-6.8259836239331134E-3</v>
      </c>
    </row>
    <row r="221" spans="1:17" x14ac:dyDescent="0.2">
      <c r="A221" s="25">
        <v>45474</v>
      </c>
      <c r="B221" s="26">
        <v>216.499405</v>
      </c>
      <c r="C221" s="26">
        <v>63.279998999999997</v>
      </c>
      <c r="D221" s="26">
        <v>204.31785600000001</v>
      </c>
      <c r="E221" s="26">
        <v>18.699337</v>
      </c>
      <c r="F221" s="30">
        <f t="shared" si="39"/>
        <v>2.8689111628198698E-2</v>
      </c>
      <c r="G221" s="30">
        <f t="shared" si="40"/>
        <v>-5.8300487686362692E-3</v>
      </c>
      <c r="H221" s="30">
        <f t="shared" si="41"/>
        <v>1.5648710168294964E-2</v>
      </c>
      <c r="I221" s="30">
        <f t="shared" si="42"/>
        <v>-6.8259836239331134E-3</v>
      </c>
      <c r="J221" s="15">
        <f t="shared" si="43"/>
        <v>2.8281486501083038E-2</v>
      </c>
      <c r="K221" s="15">
        <f t="shared" si="44"/>
        <v>-5.8470765778615786E-3</v>
      </c>
      <c r="L221" s="15">
        <f t="shared" si="45"/>
        <v>1.5526905294072812E-2</v>
      </c>
      <c r="M221" s="15">
        <f t="shared" si="46"/>
        <v>-6.8493337491055744E-3</v>
      </c>
      <c r="N221" s="40">
        <f t="shared" si="47"/>
        <v>1.6109449297697549E-2</v>
      </c>
      <c r="O221" s="40">
        <f t="shared" si="48"/>
        <v>-2.0564271894918324E-3</v>
      </c>
      <c r="P221" s="40">
        <f t="shared" si="49"/>
        <v>1.6317826996333985E-2</v>
      </c>
      <c r="Q221" s="40">
        <f t="shared" si="50"/>
        <v>-8.4656033871456007E-3</v>
      </c>
    </row>
    <row r="222" spans="1:17" x14ac:dyDescent="0.2">
      <c r="A222" s="25">
        <v>45475</v>
      </c>
      <c r="B222" s="26">
        <v>220.01533499999999</v>
      </c>
      <c r="C222" s="26">
        <v>63.150002000000001</v>
      </c>
      <c r="D222" s="26">
        <v>207.67922999999999</v>
      </c>
      <c r="E222" s="26">
        <v>18.541703999999999</v>
      </c>
      <c r="F222" s="30">
        <f t="shared" si="39"/>
        <v>1.6109449297697549E-2</v>
      </c>
      <c r="G222" s="30">
        <f t="shared" si="40"/>
        <v>-2.0564271894918324E-3</v>
      </c>
      <c r="H222" s="30">
        <f t="shared" si="41"/>
        <v>1.6317826996333985E-2</v>
      </c>
      <c r="I222" s="30">
        <f t="shared" si="42"/>
        <v>-8.4656033871456007E-3</v>
      </c>
      <c r="J222" s="15">
        <f t="shared" si="43"/>
        <v>1.5980386094451085E-2</v>
      </c>
      <c r="K222" s="15">
        <f t="shared" si="44"/>
        <v>-2.0585430860318248E-3</v>
      </c>
      <c r="L222" s="15">
        <f t="shared" si="45"/>
        <v>1.618541247480542E-2</v>
      </c>
      <c r="M222" s="15">
        <f t="shared" si="46"/>
        <v>-8.5015379384764528E-3</v>
      </c>
      <c r="N222" s="40">
        <f t="shared" si="47"/>
        <v>5.7942259479230023E-3</v>
      </c>
      <c r="O222" s="40">
        <f t="shared" si="48"/>
        <v>2.8463016418229037E-3</v>
      </c>
      <c r="P222" s="40">
        <f t="shared" si="49"/>
        <v>-6.7059033946733737E-4</v>
      </c>
      <c r="Q222" s="40">
        <f t="shared" si="50"/>
        <v>-7.466713020734231E-3</v>
      </c>
    </row>
    <row r="223" spans="1:17" x14ac:dyDescent="0.2">
      <c r="A223" s="25">
        <v>45476</v>
      </c>
      <c r="B223" s="26">
        <v>221.29385400000001</v>
      </c>
      <c r="C223" s="26">
        <v>63.330002</v>
      </c>
      <c r="D223" s="26">
        <v>207.540009</v>
      </c>
      <c r="E223" s="26">
        <v>18.403773999999999</v>
      </c>
      <c r="F223" s="30">
        <f t="shared" si="39"/>
        <v>5.7942259479230023E-3</v>
      </c>
      <c r="G223" s="30">
        <f t="shared" si="40"/>
        <v>2.8463016418229037E-3</v>
      </c>
      <c r="H223" s="30">
        <f t="shared" si="41"/>
        <v>-6.7059033946733737E-4</v>
      </c>
      <c r="I223" s="30">
        <f t="shared" si="42"/>
        <v>-7.466713020734231E-3</v>
      </c>
      <c r="J223" s="15">
        <f t="shared" si="43"/>
        <v>5.7774717954888026E-3</v>
      </c>
      <c r="K223" s="15">
        <f t="shared" si="44"/>
        <v>2.8422547657585692E-3</v>
      </c>
      <c r="L223" s="15">
        <f t="shared" si="45"/>
        <v>-6.7081523543728887E-4</v>
      </c>
      <c r="M223" s="15">
        <f t="shared" si="46"/>
        <v>-7.4946584325584955E-3</v>
      </c>
      <c r="N223" s="40">
        <f t="shared" si="47"/>
        <v>2.1389960415288217E-2</v>
      </c>
      <c r="O223" s="40">
        <f t="shared" si="48"/>
        <v>6.7668210053826762E-3</v>
      </c>
      <c r="P223" s="40">
        <f t="shared" si="49"/>
        <v>-1.3339105875401823E-2</v>
      </c>
      <c r="Q223" s="40">
        <f t="shared" si="50"/>
        <v>4.8064098657813409E-3</v>
      </c>
    </row>
    <row r="224" spans="1:17" x14ac:dyDescent="0.2">
      <c r="A224" s="25">
        <v>45478</v>
      </c>
      <c r="B224" s="26">
        <v>226.07830799999999</v>
      </c>
      <c r="C224" s="26">
        <v>63.759998000000003</v>
      </c>
      <c r="D224" s="26">
        <v>204.78999300000001</v>
      </c>
      <c r="E224" s="26">
        <v>18.492443000000002</v>
      </c>
      <c r="F224" s="30">
        <f t="shared" si="39"/>
        <v>2.1389960415288217E-2</v>
      </c>
      <c r="G224" s="30">
        <f t="shared" si="40"/>
        <v>6.7668210053826762E-3</v>
      </c>
      <c r="H224" s="30">
        <f t="shared" si="41"/>
        <v>-1.3339105875401823E-2</v>
      </c>
      <c r="I224" s="30">
        <f t="shared" si="42"/>
        <v>4.8064098657813409E-3</v>
      </c>
      <c r="J224" s="15">
        <f t="shared" si="43"/>
        <v>2.1162817619813319E-2</v>
      </c>
      <c r="K224" s="15">
        <f t="shared" si="44"/>
        <v>6.7439776268500302E-3</v>
      </c>
      <c r="L224" s="15">
        <f t="shared" si="45"/>
        <v>-1.3428468645926405E-2</v>
      </c>
      <c r="M224" s="15">
        <f t="shared" si="46"/>
        <v>4.7948775616073547E-3</v>
      </c>
      <c r="N224" s="40">
        <f t="shared" si="47"/>
        <v>6.5176077697273217E-3</v>
      </c>
      <c r="O224" s="40">
        <f t="shared" si="48"/>
        <v>-1.2626414888283227E-2</v>
      </c>
      <c r="P224" s="40">
        <f t="shared" si="49"/>
        <v>1.8538643632364745E-3</v>
      </c>
      <c r="Q224" s="40">
        <f t="shared" si="50"/>
        <v>2.1287652308458159E-3</v>
      </c>
    </row>
    <row r="225" spans="1:17" x14ac:dyDescent="0.2">
      <c r="A225" s="25">
        <v>45481</v>
      </c>
      <c r="B225" s="26">
        <v>227.55661000000001</v>
      </c>
      <c r="C225" s="26">
        <v>62.959999000000003</v>
      </c>
      <c r="D225" s="26">
        <v>205.16999799999999</v>
      </c>
      <c r="E225" s="26">
        <v>18.531851</v>
      </c>
      <c r="F225" s="30">
        <f t="shared" si="39"/>
        <v>6.5176077697273217E-3</v>
      </c>
      <c r="G225" s="30">
        <f t="shared" si="40"/>
        <v>-1.2626414888283227E-2</v>
      </c>
      <c r="H225" s="30">
        <f t="shared" si="41"/>
        <v>1.8538643632364745E-3</v>
      </c>
      <c r="I225" s="30">
        <f t="shared" si="42"/>
        <v>2.1287652308458159E-3</v>
      </c>
      <c r="J225" s="15">
        <f t="shared" si="43"/>
        <v>6.4964142329243411E-3</v>
      </c>
      <c r="K225" s="15">
        <f t="shared" si="44"/>
        <v>-1.2706464623673194E-2</v>
      </c>
      <c r="L225" s="15">
        <f t="shared" si="45"/>
        <v>1.8521470181034113E-3</v>
      </c>
      <c r="M225" s="15">
        <f t="shared" si="46"/>
        <v>2.1265010170866423E-3</v>
      </c>
      <c r="N225" s="40">
        <f t="shared" si="47"/>
        <v>3.7677515857849927E-3</v>
      </c>
      <c r="O225" s="40">
        <f t="shared" si="48"/>
        <v>-4.2976588916777241E-3</v>
      </c>
      <c r="P225" s="40">
        <f t="shared" si="49"/>
        <v>1.1918779573079451E-2</v>
      </c>
      <c r="Q225" s="40">
        <f t="shared" si="50"/>
        <v>-5.3176661708070883E-4</v>
      </c>
    </row>
    <row r="226" spans="1:17" x14ac:dyDescent="0.2">
      <c r="A226" s="25">
        <v>45482</v>
      </c>
      <c r="B226" s="26">
        <v>228.415604</v>
      </c>
      <c r="C226" s="26">
        <v>62.689999</v>
      </c>
      <c r="D226" s="26">
        <v>207.63000500000001</v>
      </c>
      <c r="E226" s="26">
        <v>18.521999000000001</v>
      </c>
      <c r="F226" s="30">
        <f t="shared" si="39"/>
        <v>3.7677515857849927E-3</v>
      </c>
      <c r="G226" s="30">
        <f t="shared" si="40"/>
        <v>-4.2976588916777241E-3</v>
      </c>
      <c r="H226" s="30">
        <f t="shared" si="41"/>
        <v>1.1918779573079451E-2</v>
      </c>
      <c r="I226" s="30">
        <f t="shared" si="42"/>
        <v>-5.3176661708070883E-4</v>
      </c>
      <c r="J226" s="15">
        <f t="shared" si="43"/>
        <v>3.7606625158585734E-3</v>
      </c>
      <c r="K226" s="15">
        <f t="shared" si="44"/>
        <v>-4.3069070714134659E-3</v>
      </c>
      <c r="L226" s="15">
        <f t="shared" si="45"/>
        <v>1.1848032272599611E-2</v>
      </c>
      <c r="M226" s="15">
        <f t="shared" si="46"/>
        <v>-5.3190803001331767E-4</v>
      </c>
      <c r="N226" s="40">
        <f t="shared" si="47"/>
        <v>1.8628964806476703E-2</v>
      </c>
      <c r="O226" s="40">
        <f t="shared" si="48"/>
        <v>2.2307689124128954E-3</v>
      </c>
      <c r="P226" s="40">
        <f t="shared" si="49"/>
        <v>8.1841949890559102E-4</v>
      </c>
      <c r="Q226" s="40">
        <f t="shared" si="50"/>
        <v>1.1701116052050159E-2</v>
      </c>
    </row>
    <row r="227" spans="1:17" x14ac:dyDescent="0.2">
      <c r="A227" s="25">
        <v>45483</v>
      </c>
      <c r="B227" s="26">
        <v>232.710632</v>
      </c>
      <c r="C227" s="26">
        <v>62.830002</v>
      </c>
      <c r="D227" s="26">
        <v>207.800003</v>
      </c>
      <c r="E227" s="26">
        <v>18.739999999999998</v>
      </c>
      <c r="F227" s="30">
        <f t="shared" si="39"/>
        <v>1.8628964806476703E-2</v>
      </c>
      <c r="G227" s="30">
        <f t="shared" si="40"/>
        <v>2.2307689124128954E-3</v>
      </c>
      <c r="H227" s="30">
        <f t="shared" si="41"/>
        <v>8.1841949890559102E-4</v>
      </c>
      <c r="I227" s="30">
        <f t="shared" si="42"/>
        <v>1.1701116052050159E-2</v>
      </c>
      <c r="J227" s="15">
        <f t="shared" si="43"/>
        <v>1.8456518136223368E-2</v>
      </c>
      <c r="K227" s="15">
        <f t="shared" si="44"/>
        <v>2.2282825965849896E-3</v>
      </c>
      <c r="L227" s="15">
        <f t="shared" si="45"/>
        <v>8.1808468501317851E-4</v>
      </c>
      <c r="M227" s="15">
        <f t="shared" si="46"/>
        <v>1.1632924226253867E-2</v>
      </c>
      <c r="N227" s="40">
        <f t="shared" si="47"/>
        <v>-2.3494672238777499E-2</v>
      </c>
      <c r="O227" s="40">
        <f t="shared" si="48"/>
        <v>4.2880396046633875E-3</v>
      </c>
      <c r="P227" s="40">
        <f t="shared" si="49"/>
        <v>-1.6857607845247413E-3</v>
      </c>
      <c r="Q227" s="40">
        <f t="shared" si="50"/>
        <v>6.3830534173032645E-3</v>
      </c>
    </row>
    <row r="228" spans="1:17" x14ac:dyDescent="0.2">
      <c r="A228" s="25">
        <v>45484</v>
      </c>
      <c r="B228" s="26">
        <v>227.30690000000001</v>
      </c>
      <c r="C228" s="26">
        <v>63.099997999999999</v>
      </c>
      <c r="D228" s="26">
        <v>207.449997</v>
      </c>
      <c r="E228" s="26">
        <v>18.860001</v>
      </c>
      <c r="F228" s="30">
        <f t="shared" si="39"/>
        <v>-2.3494672238777499E-2</v>
      </c>
      <c r="G228" s="30">
        <f t="shared" si="40"/>
        <v>4.2880396046633875E-3</v>
      </c>
      <c r="H228" s="30">
        <f t="shared" si="41"/>
        <v>-1.6857607845247413E-3</v>
      </c>
      <c r="I228" s="30">
        <f t="shared" si="42"/>
        <v>6.3830534173032645E-3</v>
      </c>
      <c r="J228" s="15">
        <f t="shared" si="43"/>
        <v>-2.377284631482806E-2</v>
      </c>
      <c r="K228" s="15">
        <f t="shared" si="44"/>
        <v>4.2788590896627133E-3</v>
      </c>
      <c r="L228" s="15">
        <f t="shared" si="45"/>
        <v>-1.6871824780021933E-3</v>
      </c>
      <c r="M228" s="15">
        <f t="shared" si="46"/>
        <v>6.3627250072787389E-3</v>
      </c>
      <c r="N228" s="40">
        <f t="shared" si="47"/>
        <v>1.2966442042243119E-2</v>
      </c>
      <c r="O228" s="40">
        <f t="shared" si="48"/>
        <v>9.4638404252588466E-3</v>
      </c>
      <c r="P228" s="40">
        <f t="shared" si="49"/>
        <v>-1.2173069187035165E-2</v>
      </c>
      <c r="Q228" s="40">
        <f t="shared" si="50"/>
        <v>-2.6547400778527642E-3</v>
      </c>
    </row>
    <row r="229" spans="1:17" x14ac:dyDescent="0.2">
      <c r="A229" s="25">
        <v>45485</v>
      </c>
      <c r="B229" s="26">
        <v>230.27345299999999</v>
      </c>
      <c r="C229" s="26">
        <v>63.700001</v>
      </c>
      <c r="D229" s="26">
        <v>204.94000199999999</v>
      </c>
      <c r="E229" s="26">
        <v>18.809999000000001</v>
      </c>
      <c r="F229" s="30">
        <f t="shared" si="39"/>
        <v>1.2966442042243119E-2</v>
      </c>
      <c r="G229" s="30">
        <f t="shared" si="40"/>
        <v>9.4638404252588466E-3</v>
      </c>
      <c r="H229" s="30">
        <f t="shared" si="41"/>
        <v>-1.2173069187035165E-2</v>
      </c>
      <c r="I229" s="30">
        <f t="shared" si="42"/>
        <v>-2.6547400778527642E-3</v>
      </c>
      <c r="J229" s="15">
        <f t="shared" si="43"/>
        <v>1.2882739896204955E-2</v>
      </c>
      <c r="K229" s="15">
        <f t="shared" si="44"/>
        <v>9.4191992241884105E-3</v>
      </c>
      <c r="L229" s="15">
        <f t="shared" si="45"/>
        <v>-1.2247462552479157E-2</v>
      </c>
      <c r="M229" s="15">
        <f t="shared" si="46"/>
        <v>-2.6582670206414796E-3</v>
      </c>
      <c r="N229" s="40">
        <f t="shared" si="47"/>
        <v>1.6604708169325119E-2</v>
      </c>
      <c r="O229" s="40">
        <f t="shared" si="48"/>
        <v>-4.563000564764429E-3</v>
      </c>
      <c r="P229" s="40">
        <f t="shared" si="49"/>
        <v>2.4628348767179134E-2</v>
      </c>
      <c r="Q229" s="40">
        <f t="shared" si="50"/>
        <v>-1.2302856764034255E-2</v>
      </c>
    </row>
    <row r="230" spans="1:17" x14ac:dyDescent="0.2">
      <c r="A230" s="25">
        <v>45488</v>
      </c>
      <c r="B230" s="26">
        <v>234.128998</v>
      </c>
      <c r="C230" s="26">
        <v>63.41</v>
      </c>
      <c r="D230" s="26">
        <v>210.050003</v>
      </c>
      <c r="E230" s="26">
        <v>18.579999999999998</v>
      </c>
      <c r="F230" s="30">
        <f t="shared" si="39"/>
        <v>1.6604708169325119E-2</v>
      </c>
      <c r="G230" s="30">
        <f t="shared" si="40"/>
        <v>-4.563000564764429E-3</v>
      </c>
      <c r="H230" s="30">
        <f t="shared" si="41"/>
        <v>2.4628348767179134E-2</v>
      </c>
      <c r="I230" s="30">
        <f t="shared" si="42"/>
        <v>-1.2302856764034255E-2</v>
      </c>
      <c r="J230" s="15">
        <f t="shared" si="43"/>
        <v>1.6467609877184059E-2</v>
      </c>
      <c r="K230" s="15">
        <f t="shared" si="44"/>
        <v>-4.5734269042738331E-3</v>
      </c>
      <c r="L230" s="15">
        <f t="shared" si="45"/>
        <v>2.4327545474969649E-2</v>
      </c>
      <c r="M230" s="15">
        <f t="shared" si="46"/>
        <v>-1.2378848223896823E-2</v>
      </c>
      <c r="N230" s="40">
        <f t="shared" si="47"/>
        <v>1.7902506232981147E-3</v>
      </c>
      <c r="O230" s="40">
        <f t="shared" si="48"/>
        <v>1.3471334993176645E-2</v>
      </c>
      <c r="P230" s="40">
        <f t="shared" si="49"/>
        <v>1.6853100357796223E-2</v>
      </c>
      <c r="Q230" s="40">
        <f t="shared" si="50"/>
        <v>1.4427180508327499E-2</v>
      </c>
    </row>
    <row r="231" spans="1:17" x14ac:dyDescent="0.2">
      <c r="A231" s="25">
        <v>45489</v>
      </c>
      <c r="B231" s="26">
        <v>234.54852299999999</v>
      </c>
      <c r="C231" s="26">
        <v>64.269997000000004</v>
      </c>
      <c r="D231" s="26">
        <v>213.61999499999999</v>
      </c>
      <c r="E231" s="26">
        <v>18.850000000000001</v>
      </c>
      <c r="F231" s="30">
        <f t="shared" si="39"/>
        <v>1.7902506232981147E-3</v>
      </c>
      <c r="G231" s="30">
        <f t="shared" si="40"/>
        <v>1.3471334993176645E-2</v>
      </c>
      <c r="H231" s="30">
        <f t="shared" si="41"/>
        <v>1.6853100357796223E-2</v>
      </c>
      <c r="I231" s="30">
        <f t="shared" si="42"/>
        <v>1.4427180508327499E-2</v>
      </c>
      <c r="J231" s="15">
        <f t="shared" si="43"/>
        <v>1.7886490805145384E-3</v>
      </c>
      <c r="K231" s="15">
        <f t="shared" si="44"/>
        <v>1.3381002647316242E-2</v>
      </c>
      <c r="L231" s="15">
        <f t="shared" si="45"/>
        <v>1.6711881301186178E-2</v>
      </c>
      <c r="M231" s="15">
        <f t="shared" si="46"/>
        <v>1.4323607427055868E-2</v>
      </c>
      <c r="N231" s="40">
        <f t="shared" si="47"/>
        <v>-2.5621428783056767E-2</v>
      </c>
      <c r="O231" s="40">
        <f t="shared" si="48"/>
        <v>1.4519903364922418E-2</v>
      </c>
      <c r="P231" s="40">
        <f t="shared" si="49"/>
        <v>1.5099360369527649E-2</v>
      </c>
      <c r="Q231" s="40">
        <f t="shared" si="50"/>
        <v>1.631185864869468E-2</v>
      </c>
    </row>
    <row r="232" spans="1:17" x14ac:dyDescent="0.2">
      <c r="A232" s="25">
        <v>45490</v>
      </c>
      <c r="B232" s="26">
        <v>228.615387</v>
      </c>
      <c r="C232" s="26">
        <v>65.209998999999996</v>
      </c>
      <c r="D232" s="26">
        <v>216.86999499999999</v>
      </c>
      <c r="E232" s="26">
        <v>19.16</v>
      </c>
      <c r="F232" s="30">
        <f t="shared" si="39"/>
        <v>-2.5621428783056767E-2</v>
      </c>
      <c r="G232" s="30">
        <f t="shared" si="40"/>
        <v>1.4519903364922418E-2</v>
      </c>
      <c r="H232" s="30">
        <f t="shared" si="41"/>
        <v>1.5099360369527649E-2</v>
      </c>
      <c r="I232" s="30">
        <f t="shared" si="42"/>
        <v>1.631185864869468E-2</v>
      </c>
      <c r="J232" s="15">
        <f t="shared" si="43"/>
        <v>-2.5952478867924976E-2</v>
      </c>
      <c r="K232" s="15">
        <f t="shared" si="44"/>
        <v>1.4414997920794214E-2</v>
      </c>
      <c r="L232" s="15">
        <f t="shared" si="45"/>
        <v>1.4985936620692964E-2</v>
      </c>
      <c r="M232" s="15">
        <f t="shared" si="46"/>
        <v>1.6179540709812042E-2</v>
      </c>
      <c r="N232" s="40">
        <f t="shared" si="47"/>
        <v>-2.074860964039351E-2</v>
      </c>
      <c r="O232" s="40">
        <f t="shared" si="48"/>
        <v>-3.067024540397419E-4</v>
      </c>
      <c r="P232" s="40">
        <f t="shared" si="49"/>
        <v>-3.2285803587666854E-2</v>
      </c>
      <c r="Q232" s="40">
        <f t="shared" si="50"/>
        <v>-5.2205691605959625E-4</v>
      </c>
    </row>
    <row r="233" spans="1:17" x14ac:dyDescent="0.2">
      <c r="A233" s="25">
        <v>45491</v>
      </c>
      <c r="B233" s="26">
        <v>223.920807</v>
      </c>
      <c r="C233" s="26">
        <v>65.190002000000007</v>
      </c>
      <c r="D233" s="26">
        <v>209.979996</v>
      </c>
      <c r="E233" s="26">
        <v>19.149999999999999</v>
      </c>
      <c r="F233" s="30">
        <f t="shared" si="39"/>
        <v>-2.074860964039351E-2</v>
      </c>
      <c r="G233" s="30">
        <f t="shared" si="40"/>
        <v>-3.067024540397419E-4</v>
      </c>
      <c r="H233" s="30">
        <f t="shared" si="41"/>
        <v>-3.2285803587666854E-2</v>
      </c>
      <c r="I233" s="30">
        <f t="shared" si="42"/>
        <v>-5.2205691605959625E-4</v>
      </c>
      <c r="J233" s="15">
        <f t="shared" si="43"/>
        <v>-2.0965358525168239E-2</v>
      </c>
      <c r="K233" s="15">
        <f t="shared" si="44"/>
        <v>-3.0674949204617885E-4</v>
      </c>
      <c r="L233" s="15">
        <f t="shared" si="45"/>
        <v>-3.281264468640141E-2</v>
      </c>
      <c r="M233" s="15">
        <f t="shared" si="46"/>
        <v>-5.2219321148833228E-4</v>
      </c>
      <c r="N233" s="40">
        <f t="shared" si="47"/>
        <v>5.7973336916425204E-4</v>
      </c>
      <c r="O233" s="40">
        <f t="shared" si="48"/>
        <v>1.5327868988235308E-3</v>
      </c>
      <c r="P233" s="40">
        <f t="shared" si="49"/>
        <v>-9.5291127080258486E-4</v>
      </c>
      <c r="Q233" s="40">
        <f t="shared" si="50"/>
        <v>-1.5677557021459298E-3</v>
      </c>
    </row>
    <row r="234" spans="1:17" x14ac:dyDescent="0.2">
      <c r="A234" s="25">
        <v>45492</v>
      </c>
      <c r="B234" s="26">
        <v>224.050659</v>
      </c>
      <c r="C234" s="26">
        <v>65.290001000000004</v>
      </c>
      <c r="D234" s="26">
        <v>209.779999</v>
      </c>
      <c r="E234" s="26">
        <v>19.120000999999998</v>
      </c>
      <c r="F234" s="30">
        <f t="shared" si="39"/>
        <v>5.7973336916425204E-4</v>
      </c>
      <c r="G234" s="30">
        <f t="shared" si="40"/>
        <v>1.5327868988235308E-3</v>
      </c>
      <c r="H234" s="30">
        <f t="shared" si="41"/>
        <v>-9.5291127080258486E-4</v>
      </c>
      <c r="I234" s="30">
        <f t="shared" si="42"/>
        <v>-1.5677557021459298E-3</v>
      </c>
      <c r="J234" s="15">
        <f t="shared" si="43"/>
        <v>5.7956535624382891E-4</v>
      </c>
      <c r="K234" s="15">
        <f t="shared" si="44"/>
        <v>1.5316127809524285E-3</v>
      </c>
      <c r="L234" s="15">
        <f t="shared" si="45"/>
        <v>-9.5336543499552687E-4</v>
      </c>
      <c r="M234" s="15">
        <f t="shared" si="46"/>
        <v>-1.5689852735886421E-3</v>
      </c>
      <c r="N234" s="40">
        <f t="shared" si="47"/>
        <v>-1.5614861566389346E-3</v>
      </c>
      <c r="O234" s="40">
        <f t="shared" si="48"/>
        <v>-7.9964136377382936E-3</v>
      </c>
      <c r="P234" s="40">
        <f t="shared" si="49"/>
        <v>2.3806134291241197E-3</v>
      </c>
      <c r="Q234" s="40">
        <f t="shared" si="50"/>
        <v>-3.0265224779422156E-2</v>
      </c>
    </row>
    <row r="235" spans="1:17" x14ac:dyDescent="0.2">
      <c r="A235" s="25">
        <v>45495</v>
      </c>
      <c r="B235" s="26">
        <v>223.70107999999999</v>
      </c>
      <c r="C235" s="26">
        <v>64.769997000000004</v>
      </c>
      <c r="D235" s="26">
        <v>210.279999</v>
      </c>
      <c r="E235" s="26">
        <v>18.549999</v>
      </c>
      <c r="F235" s="30">
        <f t="shared" si="39"/>
        <v>-1.5614861566389346E-3</v>
      </c>
      <c r="G235" s="30">
        <f t="shared" si="40"/>
        <v>-7.9964136377382936E-3</v>
      </c>
      <c r="H235" s="30">
        <f t="shared" si="41"/>
        <v>2.3806134291241197E-3</v>
      </c>
      <c r="I235" s="30">
        <f t="shared" si="42"/>
        <v>-3.0265224779422156E-2</v>
      </c>
      <c r="J235" s="15">
        <f t="shared" si="43"/>
        <v>-1.562705910941537E-3</v>
      </c>
      <c r="K235" s="15">
        <f t="shared" si="44"/>
        <v>-8.0284703425260329E-3</v>
      </c>
      <c r="L235" s="15">
        <f t="shared" si="45"/>
        <v>2.3777820162534809E-3</v>
      </c>
      <c r="M235" s="15">
        <f t="shared" si="46"/>
        <v>-3.0727872276435097E-2</v>
      </c>
      <c r="N235" s="40">
        <f t="shared" si="47"/>
        <v>4.6772962161707281E-3</v>
      </c>
      <c r="O235" s="40">
        <f t="shared" si="48"/>
        <v>2.9291935822486634E-3</v>
      </c>
      <c r="P235" s="40">
        <f t="shared" si="49"/>
        <v>2.3776420016967354E-4</v>
      </c>
      <c r="Q235" s="40">
        <f t="shared" si="50"/>
        <v>-1.8498896320453713E-2</v>
      </c>
    </row>
    <row r="236" spans="1:17" x14ac:dyDescent="0.2">
      <c r="A236" s="25">
        <v>45496</v>
      </c>
      <c r="B236" s="26">
        <v>224.74984699999999</v>
      </c>
      <c r="C236" s="26">
        <v>64.959998999999996</v>
      </c>
      <c r="D236" s="26">
        <v>210.33000200000001</v>
      </c>
      <c r="E236" s="26">
        <v>18.209999</v>
      </c>
      <c r="F236" s="30">
        <f t="shared" si="39"/>
        <v>4.6772962161707281E-3</v>
      </c>
      <c r="G236" s="30">
        <f t="shared" si="40"/>
        <v>2.9291935822486634E-3</v>
      </c>
      <c r="H236" s="30">
        <f t="shared" si="41"/>
        <v>2.3776420016967354E-4</v>
      </c>
      <c r="I236" s="30">
        <f t="shared" si="42"/>
        <v>-1.8498896320453713E-2</v>
      </c>
      <c r="J236" s="15">
        <f t="shared" si="43"/>
        <v>4.6663747005798763E-3</v>
      </c>
      <c r="K236" s="15">
        <f t="shared" si="44"/>
        <v>2.9249076804941558E-3</v>
      </c>
      <c r="L236" s="15">
        <f t="shared" si="45"/>
        <v>2.3773593650231503E-4</v>
      </c>
      <c r="M236" s="15">
        <f t="shared" si="46"/>
        <v>-1.8671060882540402E-2</v>
      </c>
      <c r="N236" s="40">
        <f t="shared" si="47"/>
        <v>-2.9175802186708118E-2</v>
      </c>
      <c r="O236" s="40">
        <f t="shared" si="48"/>
        <v>1.3000091618175304E-2</v>
      </c>
      <c r="P236" s="40">
        <f t="shared" si="49"/>
        <v>-8.307151793191617E-3</v>
      </c>
      <c r="Q236" s="40">
        <f t="shared" si="50"/>
        <v>5.0853933718081321E-2</v>
      </c>
    </row>
    <row r="237" spans="1:17" x14ac:dyDescent="0.2">
      <c r="A237" s="25">
        <v>45497</v>
      </c>
      <c r="B237" s="26">
        <v>218.28732299999999</v>
      </c>
      <c r="C237" s="26">
        <v>65.809997999999993</v>
      </c>
      <c r="D237" s="26">
        <v>208.58999600000001</v>
      </c>
      <c r="E237" s="26">
        <v>19.16</v>
      </c>
      <c r="F237" s="30">
        <f t="shared" si="39"/>
        <v>-2.9175802186708118E-2</v>
      </c>
      <c r="G237" s="30">
        <f t="shared" si="40"/>
        <v>1.3000091618175304E-2</v>
      </c>
      <c r="H237" s="30">
        <f t="shared" si="41"/>
        <v>-8.307151793191617E-3</v>
      </c>
      <c r="I237" s="30">
        <f t="shared" si="42"/>
        <v>5.0853933718081321E-2</v>
      </c>
      <c r="J237" s="15">
        <f t="shared" si="43"/>
        <v>-2.9605585478731638E-2</v>
      </c>
      <c r="K237" s="15">
        <f t="shared" si="44"/>
        <v>1.2915955414555657E-2</v>
      </c>
      <c r="L237" s="15">
        <f t="shared" si="45"/>
        <v>-8.3417519217939568E-3</v>
      </c>
      <c r="M237" s="15">
        <f t="shared" si="46"/>
        <v>4.9582515657620056E-2</v>
      </c>
      <c r="N237" s="40">
        <f t="shared" si="47"/>
        <v>-4.8161042901711899E-3</v>
      </c>
      <c r="O237" s="40">
        <f t="shared" si="48"/>
        <v>3.943013964285107E-3</v>
      </c>
      <c r="P237" s="40">
        <f t="shared" si="49"/>
        <v>3.8346355812063522E-4</v>
      </c>
      <c r="Q237" s="40">
        <f t="shared" si="50"/>
        <v>1.564589587366755E-3</v>
      </c>
    </row>
    <row r="238" spans="1:17" x14ac:dyDescent="0.2">
      <c r="A238" s="25">
        <v>45498</v>
      </c>
      <c r="B238" s="26">
        <v>217.23855599999999</v>
      </c>
      <c r="C238" s="26">
        <v>66.069999999999993</v>
      </c>
      <c r="D238" s="26">
        <v>208.66999799999999</v>
      </c>
      <c r="E238" s="26">
        <v>19.190000999999999</v>
      </c>
      <c r="F238" s="30">
        <f t="shared" si="39"/>
        <v>-4.8161042901711899E-3</v>
      </c>
      <c r="G238" s="30">
        <f t="shared" si="40"/>
        <v>3.943013964285107E-3</v>
      </c>
      <c r="H238" s="30">
        <f t="shared" si="41"/>
        <v>3.8346355812063522E-4</v>
      </c>
      <c r="I238" s="30">
        <f t="shared" si="42"/>
        <v>1.564589587366755E-3</v>
      </c>
      <c r="J238" s="15">
        <f t="shared" si="43"/>
        <v>-4.827720361020988E-3</v>
      </c>
      <c r="K238" s="15">
        <f t="shared" si="44"/>
        <v>3.9352504919025286E-3</v>
      </c>
      <c r="L238" s="15">
        <f t="shared" si="45"/>
        <v>3.8339004536713052E-4</v>
      </c>
      <c r="M238" s="15">
        <f t="shared" si="46"/>
        <v>1.5633662551658343E-3</v>
      </c>
      <c r="N238" s="40">
        <f t="shared" si="47"/>
        <v>2.1586660116600692E-3</v>
      </c>
      <c r="O238" s="40">
        <f t="shared" si="48"/>
        <v>1.4723868428621712E-2</v>
      </c>
      <c r="P238" s="40">
        <f t="shared" si="49"/>
        <v>1.6963686226937915E-2</v>
      </c>
      <c r="Q238" s="40">
        <f t="shared" si="50"/>
        <v>-9.4242056297434203E-3</v>
      </c>
    </row>
    <row r="239" spans="1:17" x14ac:dyDescent="0.2">
      <c r="A239" s="25">
        <v>45499</v>
      </c>
      <c r="B239" s="26">
        <v>217.70800800000001</v>
      </c>
      <c r="C239" s="26">
        <v>67.050003000000004</v>
      </c>
      <c r="D239" s="26">
        <v>212.240005</v>
      </c>
      <c r="E239" s="26">
        <v>19.010000000000002</v>
      </c>
      <c r="F239" s="30">
        <f t="shared" si="39"/>
        <v>2.1586660116600692E-3</v>
      </c>
      <c r="G239" s="30">
        <f t="shared" si="40"/>
        <v>1.4723868428621712E-2</v>
      </c>
      <c r="H239" s="30">
        <f t="shared" si="41"/>
        <v>1.6963686226937915E-2</v>
      </c>
      <c r="I239" s="30">
        <f t="shared" si="42"/>
        <v>-9.4242056297434203E-3</v>
      </c>
      <c r="J239" s="15">
        <f t="shared" si="43"/>
        <v>2.1563377677867421E-3</v>
      </c>
      <c r="K239" s="15">
        <f t="shared" si="44"/>
        <v>1.4616002328888942E-2</v>
      </c>
      <c r="L239" s="15">
        <f t="shared" si="45"/>
        <v>1.6820613060200426E-2</v>
      </c>
      <c r="M239" s="15">
        <f t="shared" si="46"/>
        <v>-9.4687532877431452E-3</v>
      </c>
      <c r="N239" s="40">
        <f t="shared" si="47"/>
        <v>1.2838228252665619E-3</v>
      </c>
      <c r="O239" s="40">
        <f t="shared" si="48"/>
        <v>-3.2865430207580882E-3</v>
      </c>
      <c r="P239" s="40">
        <f t="shared" si="49"/>
        <v>-6.5707247389028478E-3</v>
      </c>
      <c r="Q239" s="40">
        <f t="shared" si="50"/>
        <v>-5.8032344347412621E-3</v>
      </c>
    </row>
    <row r="240" spans="1:17" x14ac:dyDescent="0.2">
      <c r="A240" s="25">
        <v>45502</v>
      </c>
      <c r="B240" s="26">
        <v>217.987686</v>
      </c>
      <c r="C240" s="26">
        <v>66.830001999999993</v>
      </c>
      <c r="D240" s="26">
        <v>210.85000600000001</v>
      </c>
      <c r="E240" s="26">
        <v>18.899999999999999</v>
      </c>
      <c r="F240" s="30">
        <f t="shared" si="39"/>
        <v>1.2838228252665619E-3</v>
      </c>
      <c r="G240" s="30">
        <f t="shared" si="40"/>
        <v>-3.2865430207580882E-3</v>
      </c>
      <c r="H240" s="30">
        <f t="shared" si="41"/>
        <v>-6.5707247389028478E-3</v>
      </c>
      <c r="I240" s="30">
        <f t="shared" si="42"/>
        <v>-5.8032344347412621E-3</v>
      </c>
      <c r="J240" s="15">
        <f t="shared" si="43"/>
        <v>1.2829990772964574E-3</v>
      </c>
      <c r="K240" s="15">
        <f t="shared" si="44"/>
        <v>-3.29194962466125E-3</v>
      </c>
      <c r="L240" s="15">
        <f t="shared" si="45"/>
        <v>-6.5923593096790748E-3</v>
      </c>
      <c r="M240" s="15">
        <f t="shared" si="46"/>
        <v>-5.8201058201059787E-3</v>
      </c>
      <c r="N240" s="40">
        <f t="shared" si="47"/>
        <v>2.562716177992965E-3</v>
      </c>
      <c r="O240" s="40">
        <f t="shared" si="48"/>
        <v>1.2638603848310002E-2</v>
      </c>
      <c r="P240" s="40">
        <f t="shared" si="49"/>
        <v>2.0374359451747755E-2</v>
      </c>
      <c r="Q240" s="40">
        <f t="shared" si="50"/>
        <v>4.2238711161852434E-3</v>
      </c>
    </row>
    <row r="241" spans="1:17" x14ac:dyDescent="0.2">
      <c r="A241" s="25">
        <v>45503</v>
      </c>
      <c r="B241" s="26">
        <v>218.547043</v>
      </c>
      <c r="C241" s="26">
        <v>67.680000000000007</v>
      </c>
      <c r="D241" s="26">
        <v>215.19000199999999</v>
      </c>
      <c r="E241" s="26">
        <v>18.98</v>
      </c>
      <c r="F241" s="30">
        <f t="shared" si="39"/>
        <v>2.562716177992965E-3</v>
      </c>
      <c r="G241" s="30">
        <f t="shared" si="40"/>
        <v>1.2638603848310002E-2</v>
      </c>
      <c r="H241" s="30">
        <f t="shared" si="41"/>
        <v>2.0374359451747755E-2</v>
      </c>
      <c r="I241" s="30">
        <f t="shared" si="42"/>
        <v>4.2238711161852434E-3</v>
      </c>
      <c r="J241" s="15">
        <f t="shared" si="43"/>
        <v>2.559435224204821E-3</v>
      </c>
      <c r="K241" s="15">
        <f t="shared" si="44"/>
        <v>1.2559072104019112E-2</v>
      </c>
      <c r="L241" s="15">
        <f t="shared" si="45"/>
        <v>2.0168204654786821E-2</v>
      </c>
      <c r="M241" s="15">
        <f t="shared" si="46"/>
        <v>4.214963119072805E-3</v>
      </c>
      <c r="N241" s="40">
        <f t="shared" si="47"/>
        <v>1.4879566390620118E-2</v>
      </c>
      <c r="O241" s="40">
        <f t="shared" si="48"/>
        <v>-1.3986271941776691E-2</v>
      </c>
      <c r="P241" s="40">
        <f t="shared" si="49"/>
        <v>-1.1168596535331227E-2</v>
      </c>
      <c r="Q241" s="40">
        <f t="shared" si="50"/>
        <v>1.4125267552011362E-2</v>
      </c>
    </row>
    <row r="242" spans="1:17" x14ac:dyDescent="0.2">
      <c r="A242" s="25">
        <v>45504</v>
      </c>
      <c r="B242" s="26">
        <v>221.82324199999999</v>
      </c>
      <c r="C242" s="26">
        <v>66.739998</v>
      </c>
      <c r="D242" s="26">
        <v>212.800003</v>
      </c>
      <c r="E242" s="26">
        <v>19.25</v>
      </c>
      <c r="F242" s="30">
        <f t="shared" si="39"/>
        <v>1.4879566390620118E-2</v>
      </c>
      <c r="G242" s="30">
        <f t="shared" si="40"/>
        <v>-1.3986271941776691E-2</v>
      </c>
      <c r="H242" s="30">
        <f t="shared" si="41"/>
        <v>-1.1168596535331227E-2</v>
      </c>
      <c r="I242" s="30">
        <f t="shared" si="42"/>
        <v>1.4125267552011362E-2</v>
      </c>
      <c r="J242" s="15">
        <f t="shared" si="43"/>
        <v>1.4769412665963972E-2</v>
      </c>
      <c r="K242" s="15">
        <f t="shared" si="44"/>
        <v>-1.4084537431361729E-2</v>
      </c>
      <c r="L242" s="15">
        <f t="shared" si="45"/>
        <v>-1.1231198149936063E-2</v>
      </c>
      <c r="M242" s="15">
        <f t="shared" si="46"/>
        <v>1.4025974025974004E-2</v>
      </c>
      <c r="N242" s="40">
        <f t="shared" si="47"/>
        <v>-1.6892595276606047E-2</v>
      </c>
      <c r="O242" s="40">
        <f t="shared" si="48"/>
        <v>1.8114838733001931E-2</v>
      </c>
      <c r="P242" s="40">
        <f t="shared" si="49"/>
        <v>-2.300698438939985E-2</v>
      </c>
      <c r="Q242" s="40">
        <f t="shared" si="50"/>
        <v>1.1363707289245462E-2</v>
      </c>
    </row>
    <row r="243" spans="1:17" x14ac:dyDescent="0.2">
      <c r="A243" s="25">
        <v>45505</v>
      </c>
      <c r="B243" s="26">
        <v>218.10754399999999</v>
      </c>
      <c r="C243" s="26">
        <v>67.959998999999996</v>
      </c>
      <c r="D243" s="26">
        <v>207.96000699999999</v>
      </c>
      <c r="E243" s="26">
        <v>19.469999000000001</v>
      </c>
      <c r="F243" s="30">
        <f t="shared" si="39"/>
        <v>-1.6892595276606047E-2</v>
      </c>
      <c r="G243" s="30">
        <f t="shared" si="40"/>
        <v>1.8114838733001931E-2</v>
      </c>
      <c r="H243" s="30">
        <f t="shared" si="41"/>
        <v>-2.300698438939985E-2</v>
      </c>
      <c r="I243" s="30">
        <f t="shared" si="42"/>
        <v>1.1363707289245462E-2</v>
      </c>
      <c r="J243" s="15">
        <f t="shared" si="43"/>
        <v>-1.7036081979814523E-2</v>
      </c>
      <c r="K243" s="15">
        <f t="shared" si="44"/>
        <v>1.795175129416933E-2</v>
      </c>
      <c r="L243" s="15">
        <f t="shared" si="45"/>
        <v>-2.3273686464147954E-2</v>
      </c>
      <c r="M243" s="15">
        <f t="shared" si="46"/>
        <v>1.1299384247528793E-2</v>
      </c>
      <c r="N243" s="40">
        <f t="shared" si="47"/>
        <v>6.8458769114516189E-3</v>
      </c>
      <c r="O243" s="40">
        <f t="shared" si="48"/>
        <v>1.9958459712746134E-2</v>
      </c>
      <c r="P243" s="40">
        <f t="shared" si="49"/>
        <v>-4.3337697237488322E-2</v>
      </c>
      <c r="Q243" s="40">
        <f t="shared" si="50"/>
        <v>-5.1492389779095047E-3</v>
      </c>
    </row>
    <row r="244" spans="1:17" x14ac:dyDescent="0.2">
      <c r="A244" s="25">
        <v>45506</v>
      </c>
      <c r="B244" s="26">
        <v>219.60580400000001</v>
      </c>
      <c r="C244" s="26">
        <v>69.330001999999993</v>
      </c>
      <c r="D244" s="26">
        <v>199.13999899999999</v>
      </c>
      <c r="E244" s="26">
        <v>19.370000999999998</v>
      </c>
      <c r="F244" s="30">
        <f t="shared" si="39"/>
        <v>6.8458769114516189E-3</v>
      </c>
      <c r="G244" s="30">
        <f t="shared" si="40"/>
        <v>1.9958459712746134E-2</v>
      </c>
      <c r="H244" s="30">
        <f t="shared" si="41"/>
        <v>-4.3337697237488322E-2</v>
      </c>
      <c r="I244" s="30">
        <f t="shared" si="42"/>
        <v>-5.1492389779095047E-3</v>
      </c>
      <c r="J244" s="15">
        <f t="shared" si="43"/>
        <v>6.8224972778953329E-3</v>
      </c>
      <c r="K244" s="15">
        <f t="shared" si="44"/>
        <v>1.9760608113064775E-2</v>
      </c>
      <c r="L244" s="15">
        <f t="shared" si="45"/>
        <v>-4.429048932555233E-2</v>
      </c>
      <c r="M244" s="15">
        <f t="shared" si="46"/>
        <v>-5.1625190933135686E-3</v>
      </c>
      <c r="N244" s="40">
        <f t="shared" si="47"/>
        <v>-4.936563304839342E-2</v>
      </c>
      <c r="O244" s="40">
        <f t="shared" si="48"/>
        <v>-1.7900558015048668E-2</v>
      </c>
      <c r="P244" s="40">
        <f t="shared" si="49"/>
        <v>-2.1521514209848672E-2</v>
      </c>
      <c r="Q244" s="40">
        <f t="shared" si="50"/>
        <v>-2.4034646374763047E-2</v>
      </c>
    </row>
    <row r="245" spans="1:17" x14ac:dyDescent="0.2">
      <c r="A245" s="25">
        <v>45509</v>
      </c>
      <c r="B245" s="26">
        <v>209.02806100000001</v>
      </c>
      <c r="C245" s="26">
        <v>68.099997999999999</v>
      </c>
      <c r="D245" s="26">
        <v>194.89999399999999</v>
      </c>
      <c r="E245" s="26">
        <v>18.91</v>
      </c>
      <c r="F245" s="30">
        <f t="shared" si="39"/>
        <v>-4.936563304839342E-2</v>
      </c>
      <c r="G245" s="30">
        <f t="shared" si="40"/>
        <v>-1.7900558015048668E-2</v>
      </c>
      <c r="H245" s="30">
        <f t="shared" si="41"/>
        <v>-2.1521514209848672E-2</v>
      </c>
      <c r="I245" s="30">
        <f t="shared" si="42"/>
        <v>-2.4034646374763047E-2</v>
      </c>
      <c r="J245" s="15">
        <f t="shared" si="43"/>
        <v>-5.0604416217590986E-2</v>
      </c>
      <c r="K245" s="15">
        <f t="shared" si="44"/>
        <v>-1.8061733276409111E-2</v>
      </c>
      <c r="L245" s="15">
        <f t="shared" si="45"/>
        <v>-2.175477234750452E-2</v>
      </c>
      <c r="M245" s="15">
        <f t="shared" si="46"/>
        <v>-2.4325806451612815E-2</v>
      </c>
      <c r="N245" s="40">
        <f t="shared" si="47"/>
        <v>-9.7960810695936606E-3</v>
      </c>
      <c r="O245" s="40">
        <f t="shared" si="48"/>
        <v>-7.3441060418495512E-4</v>
      </c>
      <c r="P245" s="40">
        <f t="shared" si="49"/>
        <v>2.7529327489063685E-2</v>
      </c>
      <c r="Q245" s="40">
        <f t="shared" si="50"/>
        <v>1.4698479459715275E-2</v>
      </c>
    </row>
    <row r="246" spans="1:17" x14ac:dyDescent="0.2">
      <c r="A246" s="25">
        <v>45510</v>
      </c>
      <c r="B246" s="26">
        <v>206.99040199999999</v>
      </c>
      <c r="C246" s="26">
        <v>68.050003000000004</v>
      </c>
      <c r="D246" s="26">
        <v>200.33999600000001</v>
      </c>
      <c r="E246" s="26">
        <v>19.190000999999999</v>
      </c>
      <c r="F246" s="30">
        <f t="shared" si="39"/>
        <v>-9.7960810695936606E-3</v>
      </c>
      <c r="G246" s="30">
        <f t="shared" si="40"/>
        <v>-7.3441060418495512E-4</v>
      </c>
      <c r="H246" s="30">
        <f t="shared" si="41"/>
        <v>2.7529327489063685E-2</v>
      </c>
      <c r="I246" s="30">
        <f t="shared" si="42"/>
        <v>1.4698479459715275E-2</v>
      </c>
      <c r="J246" s="15">
        <f t="shared" si="43"/>
        <v>-9.8442197334348835E-3</v>
      </c>
      <c r="K246" s="15">
        <f t="shared" si="44"/>
        <v>-7.3468034968338753E-4</v>
      </c>
      <c r="L246" s="15">
        <f t="shared" si="45"/>
        <v>2.7153848999777463E-2</v>
      </c>
      <c r="M246" s="15">
        <f t="shared" si="46"/>
        <v>1.4590984127619307E-2</v>
      </c>
      <c r="N246" s="40">
        <f t="shared" si="47"/>
        <v>1.2420806909965328E-2</v>
      </c>
      <c r="O246" s="40">
        <f t="shared" si="48"/>
        <v>6.0068453122636119E-3</v>
      </c>
      <c r="P246" s="40">
        <f t="shared" si="49"/>
        <v>2.9943605302915484E-4</v>
      </c>
      <c r="Q246" s="40">
        <f t="shared" si="50"/>
        <v>3.1216986037119246E-3</v>
      </c>
    </row>
    <row r="247" spans="1:17" x14ac:dyDescent="0.2">
      <c r="A247" s="25">
        <v>45511</v>
      </c>
      <c r="B247" s="26">
        <v>209.57742300000001</v>
      </c>
      <c r="C247" s="26">
        <v>68.459998999999996</v>
      </c>
      <c r="D247" s="26">
        <v>200.39999399999999</v>
      </c>
      <c r="E247" s="26">
        <v>19.25</v>
      </c>
      <c r="F247" s="30">
        <f t="shared" si="39"/>
        <v>1.2420806909965328E-2</v>
      </c>
      <c r="G247" s="30">
        <f t="shared" si="40"/>
        <v>6.0068453122636119E-3</v>
      </c>
      <c r="H247" s="30">
        <f t="shared" si="41"/>
        <v>2.9943605302915484E-4</v>
      </c>
      <c r="I247" s="30">
        <f t="shared" si="42"/>
        <v>3.1216986037119246E-3</v>
      </c>
      <c r="J247" s="15">
        <f t="shared" si="43"/>
        <v>1.2343987071546448E-2</v>
      </c>
      <c r="K247" s="15">
        <f t="shared" si="44"/>
        <v>5.9888402861354483E-3</v>
      </c>
      <c r="L247" s="15">
        <f t="shared" si="45"/>
        <v>2.9939122652857414E-4</v>
      </c>
      <c r="M247" s="15">
        <f t="shared" si="46"/>
        <v>3.1168311688312337E-3</v>
      </c>
      <c r="N247" s="40">
        <f t="shared" si="47"/>
        <v>1.6496471649674511E-2</v>
      </c>
      <c r="O247" s="40">
        <f t="shared" si="48"/>
        <v>3.9362102876051566E-3</v>
      </c>
      <c r="P247" s="40">
        <f t="shared" si="49"/>
        <v>1.8098719175530638E-2</v>
      </c>
      <c r="Q247" s="40">
        <f t="shared" si="50"/>
        <v>7.7620053354891094E-3</v>
      </c>
    </row>
    <row r="248" spans="1:17" x14ac:dyDescent="0.2">
      <c r="A248" s="25">
        <v>45512</v>
      </c>
      <c r="B248" s="26">
        <v>213.06338500000001</v>
      </c>
      <c r="C248" s="26">
        <v>68.730002999999996</v>
      </c>
      <c r="D248" s="26">
        <v>204.05999800000001</v>
      </c>
      <c r="E248" s="26">
        <v>19.399999999999999</v>
      </c>
      <c r="F248" s="30">
        <f t="shared" si="39"/>
        <v>1.6496471649674511E-2</v>
      </c>
      <c r="G248" s="30">
        <f t="shared" si="40"/>
        <v>3.9362102876051566E-3</v>
      </c>
      <c r="H248" s="30">
        <f t="shared" si="41"/>
        <v>1.8098719175530638E-2</v>
      </c>
      <c r="I248" s="30">
        <f t="shared" si="42"/>
        <v>7.7620053354891094E-3</v>
      </c>
      <c r="J248" s="15">
        <f t="shared" si="43"/>
        <v>1.636114999299387E-2</v>
      </c>
      <c r="K248" s="15">
        <f t="shared" si="44"/>
        <v>3.9284735663404546E-3</v>
      </c>
      <c r="L248" s="15">
        <f t="shared" si="45"/>
        <v>1.7935920983396338E-2</v>
      </c>
      <c r="M248" s="15">
        <f t="shared" si="46"/>
        <v>7.7319587628865254E-3</v>
      </c>
      <c r="N248" s="40">
        <f t="shared" si="47"/>
        <v>1.3642429865120695E-2</v>
      </c>
      <c r="O248" s="40">
        <f t="shared" si="48"/>
        <v>-7.2779275329949461E-4</v>
      </c>
      <c r="P248" s="40">
        <f t="shared" si="49"/>
        <v>8.4907795310884548E-3</v>
      </c>
      <c r="Q248" s="40">
        <f t="shared" si="50"/>
        <v>4.6284474501869788E-3</v>
      </c>
    </row>
    <row r="249" spans="1:17" x14ac:dyDescent="0.2">
      <c r="A249" s="25">
        <v>45513</v>
      </c>
      <c r="B249" s="26">
        <v>215.990005</v>
      </c>
      <c r="C249" s="26">
        <v>68.680000000000007</v>
      </c>
      <c r="D249" s="26">
        <v>205.800003</v>
      </c>
      <c r="E249" s="26">
        <v>19.489999999999998</v>
      </c>
      <c r="F249" s="30">
        <f t="shared" si="39"/>
        <v>1.3642429865120695E-2</v>
      </c>
      <c r="G249" s="30">
        <f t="shared" si="40"/>
        <v>-7.2779275329949461E-4</v>
      </c>
      <c r="H249" s="30">
        <f t="shared" si="41"/>
        <v>8.4907795310884548E-3</v>
      </c>
      <c r="I249" s="30">
        <f t="shared" si="42"/>
        <v>4.6284474501869788E-3</v>
      </c>
      <c r="J249" s="15">
        <f t="shared" si="43"/>
        <v>1.3549793658275926E-2</v>
      </c>
      <c r="K249" s="15">
        <f t="shared" si="44"/>
        <v>-7.280576587068954E-4</v>
      </c>
      <c r="L249" s="15">
        <f t="shared" si="45"/>
        <v>8.454834667810945E-3</v>
      </c>
      <c r="M249" s="15">
        <f t="shared" si="46"/>
        <v>4.6177526936890647E-3</v>
      </c>
      <c r="N249" s="40">
        <f t="shared" si="47"/>
        <v>7.1046339891622338E-3</v>
      </c>
      <c r="O249" s="40">
        <f t="shared" si="48"/>
        <v>-7.4534799929999399E-3</v>
      </c>
      <c r="P249" s="40">
        <f t="shared" si="49"/>
        <v>1.8932455242062468E-3</v>
      </c>
      <c r="Q249" s="40">
        <f t="shared" si="50"/>
        <v>-3.0832501301206196E-3</v>
      </c>
    </row>
    <row r="250" spans="1:17" x14ac:dyDescent="0.2">
      <c r="A250" s="25">
        <v>45516</v>
      </c>
      <c r="B250" s="26">
        <v>217.529999</v>
      </c>
      <c r="C250" s="26">
        <v>68.169998000000007</v>
      </c>
      <c r="D250" s="26">
        <v>206.19000199999999</v>
      </c>
      <c r="E250" s="26">
        <v>19.43</v>
      </c>
      <c r="F250" s="30">
        <f t="shared" si="39"/>
        <v>7.1046339891622338E-3</v>
      </c>
      <c r="G250" s="30">
        <f t="shared" si="40"/>
        <v>-7.4534799929999399E-3</v>
      </c>
      <c r="H250" s="30">
        <f t="shared" si="41"/>
        <v>1.8932455242062468E-3</v>
      </c>
      <c r="I250" s="30">
        <f t="shared" si="42"/>
        <v>-3.0832501301206196E-3</v>
      </c>
      <c r="J250" s="15">
        <f t="shared" si="43"/>
        <v>7.0794557398035345E-3</v>
      </c>
      <c r="K250" s="15">
        <f t="shared" si="44"/>
        <v>-7.4813263160136813E-3</v>
      </c>
      <c r="L250" s="15">
        <f t="shared" si="45"/>
        <v>1.8914544653818321E-3</v>
      </c>
      <c r="M250" s="15">
        <f t="shared" si="46"/>
        <v>-3.08800823468856E-3</v>
      </c>
      <c r="N250" s="40">
        <f t="shared" si="47"/>
        <v>1.7046925905757491E-2</v>
      </c>
      <c r="O250" s="40">
        <f t="shared" si="48"/>
        <v>4.2450624586943594E-3</v>
      </c>
      <c r="P250" s="40">
        <f t="shared" si="49"/>
        <v>8.4515026665683331E-3</v>
      </c>
      <c r="Q250" s="40">
        <f t="shared" si="50"/>
        <v>4.6213175955976916E-3</v>
      </c>
    </row>
    <row r="251" spans="1:17" x14ac:dyDescent="0.2">
      <c r="A251" s="25">
        <v>45517</v>
      </c>
      <c r="B251" s="26">
        <v>221.270004</v>
      </c>
      <c r="C251" s="26">
        <v>68.459998999999996</v>
      </c>
      <c r="D251" s="26">
        <v>207.94000199999999</v>
      </c>
      <c r="E251" s="26">
        <v>19.52</v>
      </c>
      <c r="F251" s="30">
        <f t="shared" si="39"/>
        <v>1.7046925905757491E-2</v>
      </c>
      <c r="G251" s="30">
        <f t="shared" si="40"/>
        <v>4.2450624586943594E-3</v>
      </c>
      <c r="H251" s="30">
        <f t="shared" si="41"/>
        <v>8.4515026665683331E-3</v>
      </c>
      <c r="I251" s="30">
        <f t="shared" si="42"/>
        <v>4.6213175955976916E-3</v>
      </c>
      <c r="J251" s="15">
        <f t="shared" si="43"/>
        <v>1.690244919053735E-2</v>
      </c>
      <c r="K251" s="15">
        <f t="shared" si="44"/>
        <v>4.2360649172663517E-3</v>
      </c>
      <c r="L251" s="15">
        <f t="shared" si="45"/>
        <v>8.4158891178619886E-3</v>
      </c>
      <c r="M251" s="15">
        <f t="shared" si="46"/>
        <v>4.610655737704911E-3</v>
      </c>
      <c r="N251" s="40">
        <f t="shared" si="47"/>
        <v>2.0316357014954671E-3</v>
      </c>
      <c r="O251" s="40">
        <f t="shared" si="48"/>
        <v>1.751357702825767E-3</v>
      </c>
      <c r="P251" s="40">
        <f t="shared" si="49"/>
        <v>1.1000172910606301E-2</v>
      </c>
      <c r="Q251" s="40">
        <f t="shared" si="50"/>
        <v>5.6193763609869146E-3</v>
      </c>
    </row>
    <row r="252" spans="1:17" x14ac:dyDescent="0.2">
      <c r="A252" s="25">
        <v>45518</v>
      </c>
      <c r="B252" s="26">
        <v>221.720001</v>
      </c>
      <c r="C252" s="26">
        <v>68.580001999999993</v>
      </c>
      <c r="D252" s="26">
        <v>210.240005</v>
      </c>
      <c r="E252" s="26">
        <v>19.629999000000002</v>
      </c>
      <c r="F252" s="30">
        <f t="shared" si="39"/>
        <v>2.0316357014954671E-3</v>
      </c>
      <c r="G252" s="30">
        <f t="shared" si="40"/>
        <v>1.751357702825767E-3</v>
      </c>
      <c r="H252" s="30">
        <f t="shared" si="41"/>
        <v>1.1000172910606301E-2</v>
      </c>
      <c r="I252" s="30">
        <f t="shared" si="42"/>
        <v>5.6193763609869146E-3</v>
      </c>
      <c r="J252" s="15">
        <f t="shared" si="43"/>
        <v>2.029573326584985E-3</v>
      </c>
      <c r="K252" s="15">
        <f t="shared" si="44"/>
        <v>1.7498249708420392E-3</v>
      </c>
      <c r="L252" s="15">
        <f t="shared" si="45"/>
        <v>1.0939892243628914E-2</v>
      </c>
      <c r="M252" s="15">
        <f t="shared" si="46"/>
        <v>5.6036171983504402E-3</v>
      </c>
      <c r="N252" s="40">
        <f t="shared" si="47"/>
        <v>1.3439858184173351E-2</v>
      </c>
      <c r="O252" s="40">
        <f t="shared" si="48"/>
        <v>1.0201851494693278E-3</v>
      </c>
      <c r="P252" s="40">
        <f t="shared" si="49"/>
        <v>6.2116322685317679E-3</v>
      </c>
      <c r="Q252" s="40">
        <f t="shared" si="50"/>
        <v>-2.7894319608277238E-2</v>
      </c>
    </row>
    <row r="253" spans="1:17" x14ac:dyDescent="0.2">
      <c r="A253" s="25">
        <v>45519</v>
      </c>
      <c r="B253" s="26">
        <v>224.720001</v>
      </c>
      <c r="C253" s="26">
        <v>68.650002000000001</v>
      </c>
      <c r="D253" s="26">
        <v>211.550003</v>
      </c>
      <c r="E253" s="26">
        <v>19.09</v>
      </c>
      <c r="F253" s="30">
        <f t="shared" si="39"/>
        <v>1.3439858184173351E-2</v>
      </c>
      <c r="G253" s="30">
        <f t="shared" si="40"/>
        <v>1.0201851494693278E-3</v>
      </c>
      <c r="H253" s="30">
        <f t="shared" si="41"/>
        <v>6.2116322685317679E-3</v>
      </c>
      <c r="I253" s="30">
        <f t="shared" si="42"/>
        <v>-2.7894319608277238E-2</v>
      </c>
      <c r="J253" s="15">
        <f t="shared" si="43"/>
        <v>1.3349946540806575E-2</v>
      </c>
      <c r="K253" s="15">
        <f t="shared" si="44"/>
        <v>1.0196649375189732E-3</v>
      </c>
      <c r="L253" s="15">
        <f t="shared" si="45"/>
        <v>6.1923799641827818E-3</v>
      </c>
      <c r="M253" s="15">
        <f t="shared" si="46"/>
        <v>-2.828700890518605E-2</v>
      </c>
      <c r="N253" s="40">
        <f t="shared" si="47"/>
        <v>5.9010397660438866E-3</v>
      </c>
      <c r="O253" s="40">
        <f t="shared" si="48"/>
        <v>7.6906421617582866E-3</v>
      </c>
      <c r="P253" s="40">
        <f t="shared" si="49"/>
        <v>1.1374431605290789E-2</v>
      </c>
      <c r="Q253" s="40">
        <f t="shared" si="50"/>
        <v>1.3010852287492039E-2</v>
      </c>
    </row>
    <row r="254" spans="1:17" x14ac:dyDescent="0.2">
      <c r="A254" s="25">
        <v>45520</v>
      </c>
      <c r="B254" s="26">
        <v>226.050003</v>
      </c>
      <c r="C254" s="26">
        <v>69.180000000000007</v>
      </c>
      <c r="D254" s="26">
        <v>213.970001</v>
      </c>
      <c r="E254" s="26">
        <v>19.34</v>
      </c>
      <c r="F254" s="30">
        <f t="shared" si="39"/>
        <v>5.9010397660438866E-3</v>
      </c>
      <c r="G254" s="30">
        <f t="shared" si="40"/>
        <v>7.6906421617582866E-3</v>
      </c>
      <c r="H254" s="30">
        <f t="shared" si="41"/>
        <v>1.1374431605290789E-2</v>
      </c>
      <c r="I254" s="30">
        <f t="shared" si="42"/>
        <v>1.3010852287492039E-2</v>
      </c>
      <c r="J254" s="15">
        <f t="shared" si="43"/>
        <v>5.883662828352218E-3</v>
      </c>
      <c r="K254" s="15">
        <f t="shared" si="44"/>
        <v>7.6611448395490916E-3</v>
      </c>
      <c r="L254" s="15">
        <f t="shared" si="45"/>
        <v>1.1309987328550757E-2</v>
      </c>
      <c r="M254" s="15">
        <f t="shared" si="46"/>
        <v>1.2926577042399173E-2</v>
      </c>
      <c r="N254" s="40">
        <f t="shared" si="47"/>
        <v>0</v>
      </c>
      <c r="O254" s="40">
        <f t="shared" si="48"/>
        <v>0</v>
      </c>
      <c r="P254" s="40">
        <f t="shared" si="49"/>
        <v>0</v>
      </c>
      <c r="Q254" s="40">
        <f t="shared" si="50"/>
        <v>0</v>
      </c>
    </row>
    <row r="255" spans="1:17" x14ac:dyDescent="0.2">
      <c r="D255" s="4"/>
      <c r="K255" s="28"/>
    </row>
    <row r="256" spans="1:17" x14ac:dyDescent="0.2">
      <c r="D256" s="4"/>
      <c r="K256" s="28"/>
    </row>
    <row r="257" spans="4:11" x14ac:dyDescent="0.2">
      <c r="D257" s="4"/>
      <c r="K257" s="28"/>
    </row>
    <row r="258" spans="4:11" x14ac:dyDescent="0.2">
      <c r="D258" s="4"/>
      <c r="K258" s="28"/>
    </row>
    <row r="259" spans="4:11" x14ac:dyDescent="0.2">
      <c r="D259" s="4"/>
      <c r="K259" s="28"/>
    </row>
    <row r="260" spans="4:11" x14ac:dyDescent="0.2">
      <c r="E260" s="1"/>
      <c r="F260" s="29"/>
      <c r="G260" s="29"/>
      <c r="K260" s="28"/>
    </row>
    <row r="261" spans="4:11" x14ac:dyDescent="0.2">
      <c r="E261" s="1"/>
      <c r="F261" s="29"/>
      <c r="G261" s="29"/>
      <c r="K261" s="28"/>
    </row>
    <row r="262" spans="4:11" x14ac:dyDescent="0.2">
      <c r="E262" s="1"/>
      <c r="F262" s="29"/>
      <c r="G262" s="29"/>
    </row>
    <row r="263" spans="4:11" x14ac:dyDescent="0.2">
      <c r="E263" s="1"/>
      <c r="F263" s="29"/>
      <c r="G263" s="29"/>
    </row>
    <row r="264" spans="4:11" x14ac:dyDescent="0.2">
      <c r="E264" s="1"/>
      <c r="F264" s="29"/>
      <c r="G264" s="29"/>
    </row>
    <row r="265" spans="4:11" x14ac:dyDescent="0.2">
      <c r="E265" s="1"/>
      <c r="F265" s="29"/>
      <c r="G265" s="29"/>
    </row>
    <row r="266" spans="4:11" x14ac:dyDescent="0.2">
      <c r="E266" s="1"/>
      <c r="F266" s="29"/>
      <c r="G266" s="29"/>
    </row>
    <row r="267" spans="4:11" x14ac:dyDescent="0.2">
      <c r="E267" s="1"/>
      <c r="F267" s="29"/>
      <c r="G267" s="29"/>
    </row>
    <row r="268" spans="4:11" x14ac:dyDescent="0.2">
      <c r="E268" s="1"/>
      <c r="F268" s="29"/>
      <c r="G268" s="29"/>
    </row>
    <row r="269" spans="4:11" x14ac:dyDescent="0.2">
      <c r="E269" s="1"/>
      <c r="F269" s="29"/>
      <c r="G269" s="29"/>
    </row>
    <row r="270" spans="4:11" x14ac:dyDescent="0.2">
      <c r="E270" s="1"/>
      <c r="F270" s="29"/>
      <c r="G270" s="29"/>
    </row>
    <row r="271" spans="4:11" x14ac:dyDescent="0.2">
      <c r="E271" s="1"/>
      <c r="F271" s="29"/>
      <c r="G271" s="29"/>
    </row>
    <row r="272" spans="4:11" x14ac:dyDescent="0.2">
      <c r="E272" s="1"/>
      <c r="F272" s="29"/>
      <c r="G272" s="29"/>
    </row>
    <row r="273" spans="5:7" x14ac:dyDescent="0.2">
      <c r="E273" s="1"/>
      <c r="F273" s="29"/>
      <c r="G273" s="29"/>
    </row>
    <row r="274" spans="5:7" x14ac:dyDescent="0.2">
      <c r="E274" s="1"/>
      <c r="F274" s="29"/>
      <c r="G274" s="29"/>
    </row>
    <row r="275" spans="5:7" x14ac:dyDescent="0.2">
      <c r="E275" s="1"/>
      <c r="F275" s="29"/>
      <c r="G275" s="29"/>
    </row>
    <row r="276" spans="5:7" x14ac:dyDescent="0.2">
      <c r="E276" s="1"/>
      <c r="F276" s="29"/>
      <c r="G276" s="29"/>
    </row>
    <row r="277" spans="5:7" x14ac:dyDescent="0.2">
      <c r="E277" s="1"/>
      <c r="F277" s="29"/>
      <c r="G277" s="29"/>
    </row>
    <row r="278" spans="5:7" x14ac:dyDescent="0.2">
      <c r="E278" s="1"/>
      <c r="F278" s="29"/>
      <c r="G278" s="29"/>
    </row>
    <row r="279" spans="5:7" x14ac:dyDescent="0.2">
      <c r="E279" s="1"/>
    </row>
    <row r="280" spans="5:7" x14ac:dyDescent="0.2">
      <c r="E280" s="1"/>
    </row>
    <row r="281" spans="5:7" x14ac:dyDescent="0.2">
      <c r="E281" s="1"/>
    </row>
    <row r="282" spans="5:7" x14ac:dyDescent="0.2">
      <c r="E282" s="1"/>
    </row>
    <row r="283" spans="5:7" x14ac:dyDescent="0.2">
      <c r="E283" s="1"/>
    </row>
    <row r="284" spans="5:7" x14ac:dyDescent="0.2">
      <c r="E284" s="1"/>
    </row>
    <row r="285" spans="5:7" x14ac:dyDescent="0.2">
      <c r="E285" s="1"/>
    </row>
    <row r="286" spans="5:7" x14ac:dyDescent="0.2">
      <c r="E286" s="1"/>
    </row>
    <row r="287" spans="5:7" x14ac:dyDescent="0.2">
      <c r="E287" s="1"/>
    </row>
    <row r="288" spans="5:7" x14ac:dyDescent="0.2">
      <c r="E288" s="1"/>
    </row>
    <row r="289" spans="5:5" x14ac:dyDescent="0.2">
      <c r="E289" s="1"/>
    </row>
    <row r="290" spans="5:5" x14ac:dyDescent="0.2">
      <c r="E290" s="1"/>
    </row>
    <row r="291" spans="5:5" x14ac:dyDescent="0.2">
      <c r="E291" s="1"/>
    </row>
    <row r="292" spans="5:5" x14ac:dyDescent="0.2">
      <c r="E292" s="1"/>
    </row>
    <row r="293" spans="5:5" x14ac:dyDescent="0.2">
      <c r="E293" s="1"/>
    </row>
    <row r="294" spans="5:5" x14ac:dyDescent="0.2">
      <c r="E294" s="1"/>
    </row>
    <row r="295" spans="5:5" x14ac:dyDescent="0.2">
      <c r="E295" s="1"/>
    </row>
    <row r="296" spans="5:5" x14ac:dyDescent="0.2">
      <c r="E296" s="1"/>
    </row>
    <row r="297" spans="5:5" x14ac:dyDescent="0.2">
      <c r="E297" s="1"/>
    </row>
    <row r="298" spans="5:5" x14ac:dyDescent="0.2">
      <c r="E298" s="1"/>
    </row>
    <row r="299" spans="5:5" x14ac:dyDescent="0.2">
      <c r="E299" s="1"/>
    </row>
    <row r="300" spans="5:5" x14ac:dyDescent="0.2">
      <c r="E300" s="1"/>
    </row>
    <row r="301" spans="5:5" x14ac:dyDescent="0.2">
      <c r="E301" s="1"/>
    </row>
    <row r="302" spans="5:5" x14ac:dyDescent="0.2">
      <c r="E302" s="1"/>
    </row>
    <row r="303" spans="5:5" x14ac:dyDescent="0.2">
      <c r="E303" s="1"/>
    </row>
    <row r="304" spans="5:5" x14ac:dyDescent="0.2">
      <c r="E304" s="1"/>
    </row>
    <row r="305" spans="5:5" x14ac:dyDescent="0.2">
      <c r="E305" s="1"/>
    </row>
    <row r="306" spans="5:5" x14ac:dyDescent="0.2">
      <c r="E306" s="1"/>
    </row>
    <row r="307" spans="5:5" x14ac:dyDescent="0.2">
      <c r="E307" s="1"/>
    </row>
    <row r="308" spans="5:5" x14ac:dyDescent="0.2">
      <c r="E308" s="1"/>
    </row>
    <row r="309" spans="5:5" x14ac:dyDescent="0.2">
      <c r="E309" s="1"/>
    </row>
    <row r="310" spans="5:5" x14ac:dyDescent="0.2">
      <c r="E310" s="1"/>
    </row>
    <row r="311" spans="5:5" x14ac:dyDescent="0.2">
      <c r="E311" s="1"/>
    </row>
    <row r="312" spans="5:5" x14ac:dyDescent="0.2">
      <c r="E312" s="1"/>
    </row>
    <row r="313" spans="5:5" x14ac:dyDescent="0.2">
      <c r="E313" s="1"/>
    </row>
    <row r="314" spans="5:5" x14ac:dyDescent="0.2">
      <c r="E314" s="1"/>
    </row>
    <row r="315" spans="5:5" x14ac:dyDescent="0.2">
      <c r="E315" s="1"/>
    </row>
    <row r="316" spans="5:5" x14ac:dyDescent="0.2">
      <c r="E316" s="1"/>
    </row>
    <row r="317" spans="5:5" x14ac:dyDescent="0.2">
      <c r="E317" s="1"/>
    </row>
    <row r="318" spans="5:5" x14ac:dyDescent="0.2">
      <c r="E318" s="1"/>
    </row>
    <row r="319" spans="5:5" x14ac:dyDescent="0.2">
      <c r="E319" s="1"/>
    </row>
    <row r="320" spans="5:5" x14ac:dyDescent="0.2">
      <c r="E320" s="1"/>
    </row>
    <row r="321" spans="5:5" x14ac:dyDescent="0.2">
      <c r="E321" s="1"/>
    </row>
    <row r="322" spans="5:5" x14ac:dyDescent="0.2">
      <c r="E322" s="1"/>
    </row>
    <row r="323" spans="5:5" x14ac:dyDescent="0.2">
      <c r="E323" s="1"/>
    </row>
    <row r="324" spans="5:5" x14ac:dyDescent="0.2">
      <c r="E324" s="1"/>
    </row>
    <row r="325" spans="5:5" x14ac:dyDescent="0.2">
      <c r="E325" s="1"/>
    </row>
    <row r="326" spans="5:5" x14ac:dyDescent="0.2">
      <c r="E326" s="1"/>
    </row>
    <row r="327" spans="5:5" x14ac:dyDescent="0.2">
      <c r="E327" s="1"/>
    </row>
    <row r="328" spans="5:5" x14ac:dyDescent="0.2">
      <c r="E328" s="1"/>
    </row>
    <row r="329" spans="5:5" x14ac:dyDescent="0.2">
      <c r="E329" s="1"/>
    </row>
    <row r="330" spans="5:5" x14ac:dyDescent="0.2">
      <c r="E330" s="1"/>
    </row>
    <row r="331" spans="5:5" x14ac:dyDescent="0.2">
      <c r="E331" s="1"/>
    </row>
    <row r="332" spans="5:5" x14ac:dyDescent="0.2">
      <c r="E332" s="1"/>
    </row>
    <row r="333" spans="5:5" x14ac:dyDescent="0.2">
      <c r="E333" s="1"/>
    </row>
    <row r="334" spans="5:5" x14ac:dyDescent="0.2">
      <c r="E334" s="1"/>
    </row>
    <row r="335" spans="5:5" x14ac:dyDescent="0.2">
      <c r="E335" s="1"/>
    </row>
    <row r="336" spans="5:5" x14ac:dyDescent="0.2">
      <c r="E336" s="1"/>
    </row>
    <row r="337" spans="5:5" x14ac:dyDescent="0.2">
      <c r="E337" s="1"/>
    </row>
    <row r="338" spans="5:5" x14ac:dyDescent="0.2">
      <c r="E338" s="1"/>
    </row>
    <row r="339" spans="5:5" x14ac:dyDescent="0.2">
      <c r="E339" s="1"/>
    </row>
    <row r="340" spans="5:5" x14ac:dyDescent="0.2">
      <c r="E340" s="1"/>
    </row>
    <row r="341" spans="5:5" x14ac:dyDescent="0.2">
      <c r="E341" s="1"/>
    </row>
    <row r="342" spans="5:5" x14ac:dyDescent="0.2">
      <c r="E342" s="1"/>
    </row>
    <row r="343" spans="5:5" x14ac:dyDescent="0.2">
      <c r="E343" s="1"/>
    </row>
    <row r="344" spans="5:5" x14ac:dyDescent="0.2">
      <c r="E344" s="1"/>
    </row>
    <row r="345" spans="5:5" x14ac:dyDescent="0.2">
      <c r="E345" s="1"/>
    </row>
    <row r="346" spans="5:5" x14ac:dyDescent="0.2">
      <c r="E346" s="1"/>
    </row>
    <row r="347" spans="5:5" x14ac:dyDescent="0.2">
      <c r="E347" s="1"/>
    </row>
    <row r="348" spans="5:5" x14ac:dyDescent="0.2">
      <c r="E348" s="1"/>
    </row>
    <row r="349" spans="5:5" x14ac:dyDescent="0.2">
      <c r="E349" s="1"/>
    </row>
    <row r="350" spans="5:5" x14ac:dyDescent="0.2">
      <c r="E350" s="1"/>
    </row>
    <row r="351" spans="5:5" x14ac:dyDescent="0.2">
      <c r="E351" s="1"/>
    </row>
    <row r="352" spans="5:5" x14ac:dyDescent="0.2">
      <c r="E352" s="1"/>
    </row>
    <row r="353" spans="5:5" x14ac:dyDescent="0.2">
      <c r="E353" s="1"/>
    </row>
    <row r="354" spans="5:5" x14ac:dyDescent="0.2">
      <c r="E354" s="1"/>
    </row>
    <row r="355" spans="5:5" x14ac:dyDescent="0.2">
      <c r="E355" s="1"/>
    </row>
    <row r="356" spans="5:5" x14ac:dyDescent="0.2">
      <c r="E356" s="1"/>
    </row>
    <row r="357" spans="5:5" x14ac:dyDescent="0.2">
      <c r="E357" s="1"/>
    </row>
    <row r="358" spans="5:5" x14ac:dyDescent="0.2">
      <c r="E358" s="1"/>
    </row>
    <row r="359" spans="5:5" x14ac:dyDescent="0.2">
      <c r="E359" s="1"/>
    </row>
    <row r="360" spans="5:5" x14ac:dyDescent="0.2">
      <c r="E360" s="1"/>
    </row>
    <row r="361" spans="5:5" x14ac:dyDescent="0.2">
      <c r="E361" s="1"/>
    </row>
    <row r="362" spans="5:5" x14ac:dyDescent="0.2">
      <c r="E362" s="1"/>
    </row>
    <row r="363" spans="5:5" x14ac:dyDescent="0.2">
      <c r="E363" s="1"/>
    </row>
    <row r="364" spans="5:5" x14ac:dyDescent="0.2">
      <c r="E364" s="1"/>
    </row>
    <row r="365" spans="5:5" x14ac:dyDescent="0.2">
      <c r="E365" s="1"/>
    </row>
    <row r="366" spans="5:5" x14ac:dyDescent="0.2">
      <c r="E366" s="1"/>
    </row>
    <row r="367" spans="5:5" x14ac:dyDescent="0.2">
      <c r="E367" s="1"/>
    </row>
    <row r="368" spans="5:5" x14ac:dyDescent="0.2">
      <c r="E368" s="1"/>
    </row>
    <row r="369" spans="5:5" x14ac:dyDescent="0.2">
      <c r="E369" s="1"/>
    </row>
    <row r="370" spans="5:5" x14ac:dyDescent="0.2">
      <c r="E370" s="1"/>
    </row>
    <row r="371" spans="5:5" x14ac:dyDescent="0.2">
      <c r="E371" s="1"/>
    </row>
    <row r="372" spans="5:5" x14ac:dyDescent="0.2">
      <c r="E372" s="1"/>
    </row>
    <row r="373" spans="5:5" x14ac:dyDescent="0.2">
      <c r="E373" s="1"/>
    </row>
    <row r="374" spans="5:5" x14ac:dyDescent="0.2">
      <c r="E374" s="1"/>
    </row>
    <row r="375" spans="5:5" x14ac:dyDescent="0.2">
      <c r="E375" s="1"/>
    </row>
    <row r="376" spans="5:5" x14ac:dyDescent="0.2">
      <c r="E376" s="1"/>
    </row>
    <row r="377" spans="5:5" x14ac:dyDescent="0.2">
      <c r="E377" s="1"/>
    </row>
    <row r="378" spans="5:5" x14ac:dyDescent="0.2">
      <c r="E378" s="1"/>
    </row>
    <row r="379" spans="5:5" x14ac:dyDescent="0.2">
      <c r="E379" s="1"/>
    </row>
    <row r="380" spans="5:5" x14ac:dyDescent="0.2">
      <c r="E380" s="1"/>
    </row>
    <row r="381" spans="5:5" x14ac:dyDescent="0.2">
      <c r="E381" s="1"/>
    </row>
    <row r="382" spans="5:5" x14ac:dyDescent="0.2">
      <c r="E382" s="1"/>
    </row>
    <row r="383" spans="5:5" x14ac:dyDescent="0.2">
      <c r="E383" s="1"/>
    </row>
    <row r="384" spans="5:5" x14ac:dyDescent="0.2">
      <c r="E384" s="1"/>
    </row>
    <row r="385" spans="5:5" x14ac:dyDescent="0.2">
      <c r="E385" s="1"/>
    </row>
    <row r="386" spans="5:5" x14ac:dyDescent="0.2">
      <c r="E386" s="1"/>
    </row>
    <row r="387" spans="5:5" x14ac:dyDescent="0.2">
      <c r="E387" s="1"/>
    </row>
    <row r="388" spans="5:5" x14ac:dyDescent="0.2">
      <c r="E388" s="1"/>
    </row>
    <row r="389" spans="5:5" x14ac:dyDescent="0.2">
      <c r="E389" s="1"/>
    </row>
    <row r="390" spans="5:5" x14ac:dyDescent="0.2">
      <c r="E390" s="1"/>
    </row>
    <row r="391" spans="5:5" x14ac:dyDescent="0.2">
      <c r="E391" s="1"/>
    </row>
    <row r="392" spans="5:5" x14ac:dyDescent="0.2">
      <c r="E392" s="1"/>
    </row>
    <row r="393" spans="5:5" x14ac:dyDescent="0.2">
      <c r="E393" s="1"/>
    </row>
    <row r="394" spans="5:5" x14ac:dyDescent="0.2">
      <c r="E394" s="1"/>
    </row>
    <row r="395" spans="5:5" x14ac:dyDescent="0.2">
      <c r="E395" s="1"/>
    </row>
    <row r="396" spans="5:5" x14ac:dyDescent="0.2">
      <c r="E396" s="1"/>
    </row>
    <row r="397" spans="5:5" x14ac:dyDescent="0.2">
      <c r="E397" s="1"/>
    </row>
    <row r="398" spans="5:5" x14ac:dyDescent="0.2">
      <c r="E398" s="1"/>
    </row>
    <row r="399" spans="5:5" x14ac:dyDescent="0.2">
      <c r="E399" s="1"/>
    </row>
    <row r="400" spans="5:5" x14ac:dyDescent="0.2">
      <c r="E400" s="1"/>
    </row>
    <row r="401" spans="5:5" x14ac:dyDescent="0.2">
      <c r="E401" s="1"/>
    </row>
    <row r="402" spans="5:5" x14ac:dyDescent="0.2">
      <c r="E402" s="1"/>
    </row>
    <row r="403" spans="5:5" x14ac:dyDescent="0.2">
      <c r="E403" s="1"/>
    </row>
    <row r="404" spans="5:5" x14ac:dyDescent="0.2">
      <c r="E404" s="1"/>
    </row>
    <row r="405" spans="5:5" x14ac:dyDescent="0.2">
      <c r="E405" s="1"/>
    </row>
    <row r="406" spans="5:5" x14ac:dyDescent="0.2">
      <c r="E406" s="1"/>
    </row>
    <row r="407" spans="5:5" x14ac:dyDescent="0.2">
      <c r="E407" s="1"/>
    </row>
    <row r="408" spans="5:5" x14ac:dyDescent="0.2">
      <c r="E408" s="1"/>
    </row>
    <row r="409" spans="5:5" x14ac:dyDescent="0.2">
      <c r="E409" s="1"/>
    </row>
    <row r="410" spans="5:5" x14ac:dyDescent="0.2">
      <c r="E410" s="1"/>
    </row>
    <row r="411" spans="5:5" x14ac:dyDescent="0.2">
      <c r="E411" s="1"/>
    </row>
    <row r="412" spans="5:5" x14ac:dyDescent="0.2">
      <c r="E412" s="1"/>
    </row>
    <row r="413" spans="5:5" x14ac:dyDescent="0.2">
      <c r="E413" s="1"/>
    </row>
    <row r="414" spans="5:5" x14ac:dyDescent="0.2">
      <c r="E414" s="1"/>
    </row>
    <row r="415" spans="5:5" x14ac:dyDescent="0.2">
      <c r="E415" s="1"/>
    </row>
    <row r="416" spans="5:5" x14ac:dyDescent="0.2">
      <c r="E416" s="1"/>
    </row>
    <row r="417" spans="5:5" x14ac:dyDescent="0.2">
      <c r="E417" s="1"/>
    </row>
    <row r="418" spans="5:5" x14ac:dyDescent="0.2">
      <c r="E418" s="1"/>
    </row>
    <row r="419" spans="5:5" x14ac:dyDescent="0.2">
      <c r="E419" s="1"/>
    </row>
    <row r="420" spans="5:5" x14ac:dyDescent="0.2">
      <c r="E420" s="1"/>
    </row>
    <row r="421" spans="5:5" x14ac:dyDescent="0.2">
      <c r="E421" s="1"/>
    </row>
    <row r="422" spans="5:5" x14ac:dyDescent="0.2">
      <c r="E422" s="1"/>
    </row>
    <row r="423" spans="5:5" x14ac:dyDescent="0.2">
      <c r="E423" s="1"/>
    </row>
    <row r="424" spans="5:5" x14ac:dyDescent="0.2">
      <c r="E424" s="1"/>
    </row>
    <row r="425" spans="5:5" x14ac:dyDescent="0.2">
      <c r="E425" s="1"/>
    </row>
    <row r="426" spans="5:5" x14ac:dyDescent="0.2">
      <c r="E426" s="1"/>
    </row>
    <row r="427" spans="5:5" x14ac:dyDescent="0.2">
      <c r="E427" s="1"/>
    </row>
    <row r="428" spans="5:5" x14ac:dyDescent="0.2">
      <c r="E428" s="1"/>
    </row>
    <row r="429" spans="5:5" x14ac:dyDescent="0.2">
      <c r="E429" s="1"/>
    </row>
    <row r="430" spans="5:5" x14ac:dyDescent="0.2">
      <c r="E430" s="1"/>
    </row>
    <row r="431" spans="5:5" x14ac:dyDescent="0.2">
      <c r="E431" s="1"/>
    </row>
    <row r="432" spans="5:5" x14ac:dyDescent="0.2">
      <c r="E432" s="1"/>
    </row>
    <row r="433" spans="5:5" x14ac:dyDescent="0.2">
      <c r="E433" s="1"/>
    </row>
    <row r="434" spans="5:5" x14ac:dyDescent="0.2">
      <c r="E434" s="1"/>
    </row>
    <row r="435" spans="5:5" x14ac:dyDescent="0.2">
      <c r="E435" s="1"/>
    </row>
    <row r="436" spans="5:5" x14ac:dyDescent="0.2">
      <c r="E436" s="1"/>
    </row>
    <row r="437" spans="5:5" x14ac:dyDescent="0.2">
      <c r="E437" s="1"/>
    </row>
    <row r="438" spans="5:5" x14ac:dyDescent="0.2">
      <c r="E438" s="1"/>
    </row>
    <row r="439" spans="5:5" x14ac:dyDescent="0.2">
      <c r="E439" s="1"/>
    </row>
    <row r="440" spans="5:5" x14ac:dyDescent="0.2">
      <c r="E440" s="1"/>
    </row>
    <row r="441" spans="5:5" x14ac:dyDescent="0.2">
      <c r="E441" s="1"/>
    </row>
    <row r="442" spans="5:5" x14ac:dyDescent="0.2">
      <c r="E442" s="1"/>
    </row>
    <row r="443" spans="5:5" x14ac:dyDescent="0.2">
      <c r="E443" s="1"/>
    </row>
    <row r="444" spans="5:5" x14ac:dyDescent="0.2">
      <c r="E444" s="1"/>
    </row>
    <row r="445" spans="5:5" x14ac:dyDescent="0.2">
      <c r="E445" s="1"/>
    </row>
    <row r="446" spans="5:5" x14ac:dyDescent="0.2">
      <c r="E446" s="1"/>
    </row>
    <row r="447" spans="5:5" x14ac:dyDescent="0.2">
      <c r="E447" s="1"/>
    </row>
    <row r="448" spans="5:5" x14ac:dyDescent="0.2">
      <c r="E448" s="1"/>
    </row>
    <row r="449" spans="5:5" x14ac:dyDescent="0.2">
      <c r="E449" s="1"/>
    </row>
    <row r="450" spans="5:5" x14ac:dyDescent="0.2">
      <c r="E450" s="1"/>
    </row>
    <row r="451" spans="5:5" x14ac:dyDescent="0.2">
      <c r="E451" s="1"/>
    </row>
    <row r="452" spans="5:5" x14ac:dyDescent="0.2">
      <c r="E452" s="1"/>
    </row>
    <row r="453" spans="5:5" x14ac:dyDescent="0.2">
      <c r="E453" s="1"/>
    </row>
    <row r="454" spans="5:5" x14ac:dyDescent="0.2">
      <c r="E454" s="1"/>
    </row>
    <row r="455" spans="5:5" x14ac:dyDescent="0.2">
      <c r="E455" s="1"/>
    </row>
    <row r="456" spans="5:5" x14ac:dyDescent="0.2">
      <c r="E456" s="1"/>
    </row>
    <row r="457" spans="5:5" x14ac:dyDescent="0.2">
      <c r="E457" s="1"/>
    </row>
    <row r="458" spans="5:5" x14ac:dyDescent="0.2">
      <c r="E458" s="1"/>
    </row>
    <row r="459" spans="5:5" x14ac:dyDescent="0.2">
      <c r="E459" s="1"/>
    </row>
    <row r="460" spans="5:5" x14ac:dyDescent="0.2">
      <c r="E460" s="1"/>
    </row>
    <row r="461" spans="5:5" x14ac:dyDescent="0.2">
      <c r="E461" s="1"/>
    </row>
    <row r="462" spans="5:5" x14ac:dyDescent="0.2">
      <c r="E462" s="1"/>
    </row>
    <row r="463" spans="5:5" x14ac:dyDescent="0.2">
      <c r="E463" s="1"/>
    </row>
    <row r="464" spans="5:5" x14ac:dyDescent="0.2">
      <c r="E464" s="1"/>
    </row>
    <row r="465" spans="5:5" x14ac:dyDescent="0.2">
      <c r="E465" s="1"/>
    </row>
    <row r="466" spans="5:5" x14ac:dyDescent="0.2">
      <c r="E466" s="1"/>
    </row>
    <row r="467" spans="5:5" x14ac:dyDescent="0.2">
      <c r="E467" s="1"/>
    </row>
    <row r="468" spans="5:5" x14ac:dyDescent="0.2">
      <c r="E468" s="1"/>
    </row>
    <row r="469" spans="5:5" x14ac:dyDescent="0.2">
      <c r="E469" s="1"/>
    </row>
    <row r="470" spans="5:5" x14ac:dyDescent="0.2">
      <c r="E470" s="1"/>
    </row>
    <row r="471" spans="5:5" x14ac:dyDescent="0.2">
      <c r="E471" s="1"/>
    </row>
    <row r="472" spans="5:5" x14ac:dyDescent="0.2">
      <c r="E472" s="1"/>
    </row>
    <row r="473" spans="5:5" x14ac:dyDescent="0.2">
      <c r="E473" s="1"/>
    </row>
    <row r="474" spans="5:5" x14ac:dyDescent="0.2">
      <c r="E474" s="1"/>
    </row>
    <row r="475" spans="5:5" x14ac:dyDescent="0.2">
      <c r="E475" s="1"/>
    </row>
    <row r="476" spans="5:5" x14ac:dyDescent="0.2">
      <c r="E476" s="1"/>
    </row>
    <row r="477" spans="5:5" x14ac:dyDescent="0.2">
      <c r="E477" s="1"/>
    </row>
    <row r="478" spans="5:5" x14ac:dyDescent="0.2">
      <c r="E478" s="1"/>
    </row>
    <row r="479" spans="5:5" x14ac:dyDescent="0.2">
      <c r="E479" s="1"/>
    </row>
    <row r="480" spans="5:5" x14ac:dyDescent="0.2">
      <c r="E480" s="1"/>
    </row>
    <row r="481" spans="5:5" x14ac:dyDescent="0.2">
      <c r="E481" s="1"/>
    </row>
    <row r="482" spans="5:5" x14ac:dyDescent="0.2">
      <c r="E482" s="1"/>
    </row>
    <row r="483" spans="5:5" x14ac:dyDescent="0.2">
      <c r="E483" s="1"/>
    </row>
    <row r="484" spans="5:5" x14ac:dyDescent="0.2">
      <c r="E484" s="1"/>
    </row>
    <row r="485" spans="5:5" x14ac:dyDescent="0.2">
      <c r="E485" s="1"/>
    </row>
    <row r="486" spans="5:5" x14ac:dyDescent="0.2">
      <c r="E486" s="1"/>
    </row>
    <row r="487" spans="5:5" x14ac:dyDescent="0.2">
      <c r="E487" s="1"/>
    </row>
    <row r="488" spans="5:5" x14ac:dyDescent="0.2">
      <c r="E488" s="1"/>
    </row>
    <row r="489" spans="5:5" x14ac:dyDescent="0.2">
      <c r="E489" s="1"/>
    </row>
    <row r="490" spans="5:5" x14ac:dyDescent="0.2">
      <c r="E490" s="1"/>
    </row>
    <row r="491" spans="5:5" x14ac:dyDescent="0.2">
      <c r="E491" s="1"/>
    </row>
    <row r="492" spans="5:5" x14ac:dyDescent="0.2">
      <c r="E492" s="1"/>
    </row>
    <row r="493" spans="5:5" x14ac:dyDescent="0.2">
      <c r="E493" s="1"/>
    </row>
    <row r="494" spans="5:5" x14ac:dyDescent="0.2">
      <c r="E494" s="1"/>
    </row>
    <row r="495" spans="5:5" x14ac:dyDescent="0.2">
      <c r="E495" s="1"/>
    </row>
    <row r="496" spans="5:5" x14ac:dyDescent="0.2">
      <c r="E496" s="1"/>
    </row>
    <row r="497" spans="5:5" x14ac:dyDescent="0.2">
      <c r="E497" s="1"/>
    </row>
    <row r="498" spans="5:5" x14ac:dyDescent="0.2">
      <c r="E498" s="1"/>
    </row>
    <row r="499" spans="5:5" x14ac:dyDescent="0.2">
      <c r="E499" s="1"/>
    </row>
    <row r="500" spans="5:5" x14ac:dyDescent="0.2">
      <c r="E500" s="1"/>
    </row>
    <row r="501" spans="5:5" x14ac:dyDescent="0.2">
      <c r="E501" s="1"/>
    </row>
    <row r="502" spans="5:5" x14ac:dyDescent="0.2">
      <c r="E502" s="1"/>
    </row>
    <row r="503" spans="5:5" x14ac:dyDescent="0.2">
      <c r="E503" s="1"/>
    </row>
    <row r="504" spans="5:5" x14ac:dyDescent="0.2">
      <c r="E504" s="1"/>
    </row>
    <row r="505" spans="5:5" x14ac:dyDescent="0.2">
      <c r="E505" s="1"/>
    </row>
    <row r="506" spans="5:5" x14ac:dyDescent="0.2">
      <c r="E506" s="1"/>
    </row>
    <row r="507" spans="5:5" x14ac:dyDescent="0.2">
      <c r="E507" s="1"/>
    </row>
    <row r="508" spans="5:5" x14ac:dyDescent="0.2">
      <c r="E508" s="1"/>
    </row>
    <row r="509" spans="5:5" x14ac:dyDescent="0.2">
      <c r="E509" s="1"/>
    </row>
    <row r="510" spans="5:5" x14ac:dyDescent="0.2">
      <c r="E510" s="1"/>
    </row>
    <row r="511" spans="5:5" x14ac:dyDescent="0.2">
      <c r="E511" s="1"/>
    </row>
    <row r="512" spans="5:5" x14ac:dyDescent="0.2">
      <c r="E512" s="1"/>
    </row>
    <row r="513" spans="5:5" x14ac:dyDescent="0.2">
      <c r="E513" s="1"/>
    </row>
    <row r="514" spans="5:5" x14ac:dyDescent="0.2">
      <c r="E514" s="1"/>
    </row>
    <row r="515" spans="5:5" x14ac:dyDescent="0.2">
      <c r="E515" s="1"/>
    </row>
    <row r="516" spans="5:5" x14ac:dyDescent="0.2">
      <c r="E516" s="1"/>
    </row>
    <row r="517" spans="5:5" x14ac:dyDescent="0.2">
      <c r="E517" s="1"/>
    </row>
    <row r="518" spans="5:5" x14ac:dyDescent="0.2">
      <c r="E518" s="1"/>
    </row>
    <row r="519" spans="5:5" x14ac:dyDescent="0.2">
      <c r="E519" s="1"/>
    </row>
    <row r="520" spans="5:5" x14ac:dyDescent="0.2">
      <c r="E520" s="1"/>
    </row>
    <row r="521" spans="5:5" x14ac:dyDescent="0.2">
      <c r="E521" s="1"/>
    </row>
    <row r="522" spans="5:5" x14ac:dyDescent="0.2">
      <c r="E522" s="1"/>
    </row>
    <row r="523" spans="5:5" x14ac:dyDescent="0.2">
      <c r="E523" s="1"/>
    </row>
    <row r="524" spans="5:5" x14ac:dyDescent="0.2">
      <c r="E524" s="1"/>
    </row>
    <row r="525" spans="5:5" x14ac:dyDescent="0.2">
      <c r="E525" s="1"/>
    </row>
    <row r="526" spans="5:5" x14ac:dyDescent="0.2">
      <c r="E526" s="1"/>
    </row>
    <row r="527" spans="5:5" x14ac:dyDescent="0.2">
      <c r="E527" s="1"/>
    </row>
    <row r="528" spans="5:5" x14ac:dyDescent="0.2">
      <c r="E528" s="1"/>
    </row>
    <row r="529" spans="5:5" x14ac:dyDescent="0.2">
      <c r="E529" s="1"/>
    </row>
    <row r="530" spans="5:5" x14ac:dyDescent="0.2">
      <c r="E530" s="1"/>
    </row>
    <row r="531" spans="5:5" x14ac:dyDescent="0.2">
      <c r="E531" s="1"/>
    </row>
    <row r="532" spans="5:5" x14ac:dyDescent="0.2">
      <c r="E532" s="1"/>
    </row>
    <row r="533" spans="5:5" x14ac:dyDescent="0.2">
      <c r="E533" s="1"/>
    </row>
    <row r="534" spans="5:5" x14ac:dyDescent="0.2">
      <c r="E534" s="1"/>
    </row>
    <row r="535" spans="5:5" x14ac:dyDescent="0.2">
      <c r="E535" s="1"/>
    </row>
    <row r="536" spans="5:5" x14ac:dyDescent="0.2">
      <c r="E536" s="1"/>
    </row>
    <row r="537" spans="5:5" x14ac:dyDescent="0.2">
      <c r="E537" s="1"/>
    </row>
    <row r="538" spans="5:5" x14ac:dyDescent="0.2">
      <c r="E538" s="1"/>
    </row>
    <row r="539" spans="5:5" x14ac:dyDescent="0.2">
      <c r="E539" s="1"/>
    </row>
    <row r="540" spans="5:5" x14ac:dyDescent="0.2">
      <c r="E540" s="1"/>
    </row>
    <row r="541" spans="5:5" x14ac:dyDescent="0.2">
      <c r="E541" s="1"/>
    </row>
    <row r="542" spans="5:5" x14ac:dyDescent="0.2">
      <c r="E542" s="1"/>
    </row>
    <row r="543" spans="5:5" x14ac:dyDescent="0.2">
      <c r="E543" s="1"/>
    </row>
    <row r="544" spans="5:5" x14ac:dyDescent="0.2">
      <c r="E544" s="1"/>
    </row>
    <row r="545" spans="5:5" x14ac:dyDescent="0.2">
      <c r="E545" s="1"/>
    </row>
    <row r="546" spans="5:5" x14ac:dyDescent="0.2">
      <c r="E546" s="1"/>
    </row>
    <row r="547" spans="5:5" x14ac:dyDescent="0.2">
      <c r="E547" s="1"/>
    </row>
    <row r="548" spans="5:5" x14ac:dyDescent="0.2">
      <c r="E548" s="1"/>
    </row>
    <row r="549" spans="5:5" x14ac:dyDescent="0.2">
      <c r="E549" s="1"/>
    </row>
    <row r="550" spans="5:5" x14ac:dyDescent="0.2">
      <c r="E550" s="1"/>
    </row>
    <row r="551" spans="5:5" x14ac:dyDescent="0.2">
      <c r="E551" s="1"/>
    </row>
    <row r="552" spans="5:5" x14ac:dyDescent="0.2">
      <c r="E552" s="1"/>
    </row>
    <row r="553" spans="5:5" x14ac:dyDescent="0.2">
      <c r="E553" s="1"/>
    </row>
    <row r="554" spans="5:5" x14ac:dyDescent="0.2">
      <c r="E554" s="1"/>
    </row>
    <row r="555" spans="5:5" x14ac:dyDescent="0.2">
      <c r="E555" s="1"/>
    </row>
    <row r="556" spans="5:5" x14ac:dyDescent="0.2">
      <c r="E556" s="1"/>
    </row>
    <row r="557" spans="5:5" x14ac:dyDescent="0.2">
      <c r="E557" s="1"/>
    </row>
    <row r="558" spans="5:5" x14ac:dyDescent="0.2">
      <c r="E558" s="1"/>
    </row>
    <row r="559" spans="5:5" x14ac:dyDescent="0.2">
      <c r="E559" s="1"/>
    </row>
    <row r="560" spans="5:5" x14ac:dyDescent="0.2">
      <c r="E560" s="1"/>
    </row>
    <row r="561" spans="5:5" x14ac:dyDescent="0.2">
      <c r="E561" s="1"/>
    </row>
    <row r="562" spans="5:5" x14ac:dyDescent="0.2">
      <c r="E562" s="1"/>
    </row>
    <row r="563" spans="5:5" x14ac:dyDescent="0.2">
      <c r="E563" s="1"/>
    </row>
    <row r="564" spans="5:5" x14ac:dyDescent="0.2">
      <c r="E564" s="1"/>
    </row>
    <row r="565" spans="5:5" x14ac:dyDescent="0.2">
      <c r="E565" s="1"/>
    </row>
    <row r="566" spans="5:5" x14ac:dyDescent="0.2">
      <c r="E566" s="1"/>
    </row>
    <row r="567" spans="5:5" x14ac:dyDescent="0.2">
      <c r="E567" s="1"/>
    </row>
    <row r="568" spans="5:5" x14ac:dyDescent="0.2">
      <c r="E568" s="1"/>
    </row>
    <row r="569" spans="5:5" x14ac:dyDescent="0.2">
      <c r="E569" s="1"/>
    </row>
    <row r="570" spans="5:5" x14ac:dyDescent="0.2">
      <c r="E570" s="1"/>
    </row>
    <row r="571" spans="5:5" x14ac:dyDescent="0.2">
      <c r="E571" s="1"/>
    </row>
    <row r="572" spans="5:5" x14ac:dyDescent="0.2">
      <c r="E572" s="1"/>
    </row>
    <row r="573" spans="5:5" x14ac:dyDescent="0.2">
      <c r="E573" s="1"/>
    </row>
    <row r="574" spans="5:5" x14ac:dyDescent="0.2">
      <c r="E574" s="1"/>
    </row>
    <row r="575" spans="5:5" x14ac:dyDescent="0.2">
      <c r="E575" s="1"/>
    </row>
    <row r="576" spans="5:5" x14ac:dyDescent="0.2">
      <c r="E576" s="1"/>
    </row>
    <row r="577" spans="5:5" x14ac:dyDescent="0.2">
      <c r="E577" s="1"/>
    </row>
    <row r="578" spans="5:5" x14ac:dyDescent="0.2">
      <c r="E578" s="1"/>
    </row>
    <row r="579" spans="5:5" x14ac:dyDescent="0.2">
      <c r="E579" s="1"/>
    </row>
    <row r="580" spans="5:5" x14ac:dyDescent="0.2">
      <c r="E580" s="1"/>
    </row>
    <row r="581" spans="5:5" x14ac:dyDescent="0.2">
      <c r="E581" s="1"/>
    </row>
    <row r="582" spans="5:5" x14ac:dyDescent="0.2">
      <c r="E582" s="1"/>
    </row>
    <row r="583" spans="5:5" x14ac:dyDescent="0.2">
      <c r="E583" s="1"/>
    </row>
    <row r="584" spans="5:5" x14ac:dyDescent="0.2">
      <c r="E584" s="1"/>
    </row>
    <row r="585" spans="5:5" x14ac:dyDescent="0.2">
      <c r="E585" s="1"/>
    </row>
    <row r="586" spans="5:5" x14ac:dyDescent="0.2">
      <c r="E586" s="1"/>
    </row>
    <row r="587" spans="5:5" x14ac:dyDescent="0.2">
      <c r="E587" s="1"/>
    </row>
    <row r="588" spans="5:5" x14ac:dyDescent="0.2">
      <c r="E588" s="1"/>
    </row>
    <row r="589" spans="5:5" x14ac:dyDescent="0.2">
      <c r="E589" s="1"/>
    </row>
    <row r="590" spans="5:5" x14ac:dyDescent="0.2">
      <c r="E590" s="1"/>
    </row>
    <row r="591" spans="5:5" x14ac:dyDescent="0.2">
      <c r="E591" s="1"/>
    </row>
    <row r="592" spans="5:5" x14ac:dyDescent="0.2">
      <c r="E592" s="1"/>
    </row>
    <row r="593" spans="5:5" x14ac:dyDescent="0.2">
      <c r="E593" s="1"/>
    </row>
    <row r="594" spans="5:5" x14ac:dyDescent="0.2">
      <c r="E594" s="1"/>
    </row>
    <row r="595" spans="5:5" x14ac:dyDescent="0.2">
      <c r="E595" s="1"/>
    </row>
    <row r="596" spans="5:5" x14ac:dyDescent="0.2">
      <c r="E596" s="1"/>
    </row>
    <row r="597" spans="5:5" x14ac:dyDescent="0.2">
      <c r="E597" s="1"/>
    </row>
    <row r="598" spans="5:5" x14ac:dyDescent="0.2">
      <c r="E598" s="1"/>
    </row>
    <row r="599" spans="5:5" x14ac:dyDescent="0.2">
      <c r="E599" s="1"/>
    </row>
    <row r="600" spans="5:5" x14ac:dyDescent="0.2">
      <c r="E600" s="1"/>
    </row>
    <row r="601" spans="5:5" x14ac:dyDescent="0.2">
      <c r="E601" s="1"/>
    </row>
    <row r="602" spans="5:5" x14ac:dyDescent="0.2">
      <c r="E602" s="1"/>
    </row>
    <row r="603" spans="5:5" x14ac:dyDescent="0.2">
      <c r="E603" s="1"/>
    </row>
    <row r="604" spans="5:5" x14ac:dyDescent="0.2">
      <c r="E604" s="1"/>
    </row>
    <row r="605" spans="5:5" x14ac:dyDescent="0.2">
      <c r="E605" s="1"/>
    </row>
    <row r="606" spans="5:5" x14ac:dyDescent="0.2">
      <c r="E606" s="1"/>
    </row>
    <row r="607" spans="5:5" x14ac:dyDescent="0.2">
      <c r="E607" s="1"/>
    </row>
    <row r="608" spans="5:5" x14ac:dyDescent="0.2">
      <c r="E608" s="1"/>
    </row>
    <row r="609" spans="5:5" x14ac:dyDescent="0.2">
      <c r="E609" s="1"/>
    </row>
    <row r="610" spans="5:5" x14ac:dyDescent="0.2">
      <c r="E610" s="1"/>
    </row>
    <row r="611" spans="5:5" x14ac:dyDescent="0.2">
      <c r="E611" s="1"/>
    </row>
    <row r="612" spans="5:5" x14ac:dyDescent="0.2">
      <c r="E612" s="1"/>
    </row>
    <row r="613" spans="5:5" x14ac:dyDescent="0.2">
      <c r="E613" s="1"/>
    </row>
    <row r="614" spans="5:5" x14ac:dyDescent="0.2">
      <c r="E614" s="1"/>
    </row>
    <row r="615" spans="5:5" x14ac:dyDescent="0.2">
      <c r="E615" s="1"/>
    </row>
    <row r="616" spans="5:5" x14ac:dyDescent="0.2">
      <c r="E616" s="1"/>
    </row>
    <row r="617" spans="5:5" x14ac:dyDescent="0.2">
      <c r="E617" s="1"/>
    </row>
    <row r="618" spans="5:5" x14ac:dyDescent="0.2">
      <c r="E618" s="1"/>
    </row>
    <row r="619" spans="5:5" x14ac:dyDescent="0.2">
      <c r="E619" s="1"/>
    </row>
    <row r="620" spans="5:5" x14ac:dyDescent="0.2">
      <c r="E620" s="1"/>
    </row>
    <row r="621" spans="5:5" x14ac:dyDescent="0.2">
      <c r="E621" s="1"/>
    </row>
    <row r="622" spans="5:5" x14ac:dyDescent="0.2">
      <c r="E622" s="1"/>
    </row>
    <row r="623" spans="5:5" x14ac:dyDescent="0.2">
      <c r="E623" s="1"/>
    </row>
    <row r="624" spans="5:5" x14ac:dyDescent="0.2">
      <c r="E624" s="1"/>
    </row>
    <row r="625" spans="5:5" x14ac:dyDescent="0.2">
      <c r="E625" s="1"/>
    </row>
    <row r="626" spans="5:5" x14ac:dyDescent="0.2">
      <c r="E626" s="1"/>
    </row>
    <row r="627" spans="5:5" x14ac:dyDescent="0.2">
      <c r="E627" s="1"/>
    </row>
    <row r="628" spans="5:5" x14ac:dyDescent="0.2">
      <c r="E628" s="1"/>
    </row>
    <row r="629" spans="5:5" x14ac:dyDescent="0.2">
      <c r="E629" s="1"/>
    </row>
    <row r="630" spans="5:5" x14ac:dyDescent="0.2">
      <c r="E630" s="1"/>
    </row>
    <row r="631" spans="5:5" x14ac:dyDescent="0.2">
      <c r="E631" s="1"/>
    </row>
    <row r="632" spans="5:5" x14ac:dyDescent="0.2">
      <c r="E632" s="1"/>
    </row>
    <row r="633" spans="5:5" x14ac:dyDescent="0.2">
      <c r="E633" s="1"/>
    </row>
    <row r="634" spans="5:5" x14ac:dyDescent="0.2">
      <c r="E634" s="1"/>
    </row>
    <row r="635" spans="5:5" x14ac:dyDescent="0.2">
      <c r="E635" s="1"/>
    </row>
    <row r="636" spans="5:5" x14ac:dyDescent="0.2">
      <c r="E636" s="1"/>
    </row>
    <row r="637" spans="5:5" x14ac:dyDescent="0.2">
      <c r="E637" s="1"/>
    </row>
    <row r="638" spans="5:5" x14ac:dyDescent="0.2">
      <c r="E638" s="1"/>
    </row>
    <row r="639" spans="5:5" x14ac:dyDescent="0.2">
      <c r="E639" s="1"/>
    </row>
    <row r="640" spans="5:5" x14ac:dyDescent="0.2">
      <c r="E640" s="1"/>
    </row>
    <row r="641" spans="5:5" x14ac:dyDescent="0.2">
      <c r="E641" s="1"/>
    </row>
    <row r="642" spans="5:5" x14ac:dyDescent="0.2">
      <c r="E642" s="1"/>
    </row>
    <row r="643" spans="5:5" x14ac:dyDescent="0.2">
      <c r="E643" s="1"/>
    </row>
    <row r="644" spans="5:5" x14ac:dyDescent="0.2">
      <c r="E644" s="1"/>
    </row>
    <row r="645" spans="5:5" x14ac:dyDescent="0.2">
      <c r="E645" s="1"/>
    </row>
    <row r="646" spans="5:5" x14ac:dyDescent="0.2">
      <c r="E646" s="1"/>
    </row>
    <row r="647" spans="5:5" x14ac:dyDescent="0.2">
      <c r="E647" s="1"/>
    </row>
    <row r="648" spans="5:5" x14ac:dyDescent="0.2">
      <c r="E648" s="1"/>
    </row>
    <row r="649" spans="5:5" x14ac:dyDescent="0.2">
      <c r="E649" s="1"/>
    </row>
    <row r="650" spans="5:5" x14ac:dyDescent="0.2">
      <c r="E650" s="1"/>
    </row>
    <row r="651" spans="5:5" x14ac:dyDescent="0.2">
      <c r="E651" s="1"/>
    </row>
    <row r="652" spans="5:5" x14ac:dyDescent="0.2">
      <c r="E652" s="1"/>
    </row>
    <row r="653" spans="5:5" x14ac:dyDescent="0.2">
      <c r="E653" s="1"/>
    </row>
    <row r="654" spans="5:5" x14ac:dyDescent="0.2">
      <c r="E654" s="1"/>
    </row>
    <row r="655" spans="5:5" x14ac:dyDescent="0.2">
      <c r="E655" s="1"/>
    </row>
    <row r="656" spans="5:5" x14ac:dyDescent="0.2">
      <c r="E656" s="1"/>
    </row>
    <row r="657" spans="5:5" x14ac:dyDescent="0.2">
      <c r="E657" s="1"/>
    </row>
    <row r="658" spans="5:5" x14ac:dyDescent="0.2">
      <c r="E658" s="1"/>
    </row>
    <row r="659" spans="5:5" x14ac:dyDescent="0.2">
      <c r="E659" s="1"/>
    </row>
    <row r="660" spans="5:5" x14ac:dyDescent="0.2">
      <c r="E660" s="1"/>
    </row>
    <row r="661" spans="5:5" x14ac:dyDescent="0.2">
      <c r="E661" s="1"/>
    </row>
    <row r="662" spans="5:5" x14ac:dyDescent="0.2">
      <c r="E662" s="1"/>
    </row>
    <row r="663" spans="5:5" x14ac:dyDescent="0.2">
      <c r="E663" s="1"/>
    </row>
    <row r="664" spans="5:5" x14ac:dyDescent="0.2">
      <c r="E664" s="1"/>
    </row>
    <row r="665" spans="5:5" x14ac:dyDescent="0.2">
      <c r="E665" s="1"/>
    </row>
    <row r="666" spans="5:5" x14ac:dyDescent="0.2">
      <c r="E666" s="1"/>
    </row>
    <row r="667" spans="5:5" x14ac:dyDescent="0.2">
      <c r="E667" s="1"/>
    </row>
    <row r="668" spans="5:5" x14ac:dyDescent="0.2">
      <c r="E668" s="1"/>
    </row>
    <row r="669" spans="5:5" x14ac:dyDescent="0.2">
      <c r="E669" s="1"/>
    </row>
    <row r="670" spans="5:5" x14ac:dyDescent="0.2">
      <c r="E670" s="1"/>
    </row>
    <row r="671" spans="5:5" x14ac:dyDescent="0.2">
      <c r="E671" s="1"/>
    </row>
    <row r="672" spans="5:5" x14ac:dyDescent="0.2">
      <c r="E672" s="1"/>
    </row>
    <row r="673" spans="5:5" x14ac:dyDescent="0.2">
      <c r="E673" s="1"/>
    </row>
    <row r="674" spans="5:5" x14ac:dyDescent="0.2">
      <c r="E674" s="1"/>
    </row>
    <row r="675" spans="5:5" x14ac:dyDescent="0.2">
      <c r="E675" s="1"/>
    </row>
    <row r="676" spans="5:5" x14ac:dyDescent="0.2">
      <c r="E676" s="1"/>
    </row>
    <row r="677" spans="5:5" x14ac:dyDescent="0.2">
      <c r="E677" s="1"/>
    </row>
    <row r="678" spans="5:5" x14ac:dyDescent="0.2">
      <c r="E678" s="1"/>
    </row>
    <row r="679" spans="5:5" x14ac:dyDescent="0.2">
      <c r="E679" s="1"/>
    </row>
    <row r="680" spans="5:5" x14ac:dyDescent="0.2">
      <c r="E680" s="1"/>
    </row>
    <row r="681" spans="5:5" x14ac:dyDescent="0.2">
      <c r="E681" s="1"/>
    </row>
    <row r="682" spans="5:5" x14ac:dyDescent="0.2">
      <c r="E682" s="1"/>
    </row>
    <row r="683" spans="5:5" x14ac:dyDescent="0.2">
      <c r="E683" s="1"/>
    </row>
    <row r="684" spans="5:5" x14ac:dyDescent="0.2">
      <c r="E684" s="1"/>
    </row>
    <row r="685" spans="5:5" x14ac:dyDescent="0.2">
      <c r="E685" s="1"/>
    </row>
    <row r="686" spans="5:5" x14ac:dyDescent="0.2">
      <c r="E686" s="1"/>
    </row>
    <row r="687" spans="5:5" x14ac:dyDescent="0.2">
      <c r="E687" s="1"/>
    </row>
    <row r="688" spans="5:5" x14ac:dyDescent="0.2">
      <c r="E688" s="1"/>
    </row>
    <row r="689" spans="5:5" x14ac:dyDescent="0.2">
      <c r="E689" s="1"/>
    </row>
    <row r="690" spans="5:5" x14ac:dyDescent="0.2">
      <c r="E690" s="1"/>
    </row>
    <row r="691" spans="5:5" x14ac:dyDescent="0.2">
      <c r="E691" s="1"/>
    </row>
    <row r="692" spans="5:5" x14ac:dyDescent="0.2">
      <c r="E692" s="1"/>
    </row>
    <row r="693" spans="5:5" x14ac:dyDescent="0.2">
      <c r="E693" s="1"/>
    </row>
    <row r="694" spans="5:5" x14ac:dyDescent="0.2">
      <c r="E694" s="1"/>
    </row>
    <row r="695" spans="5:5" x14ac:dyDescent="0.2">
      <c r="E695" s="1"/>
    </row>
    <row r="696" spans="5:5" x14ac:dyDescent="0.2">
      <c r="E696" s="1"/>
    </row>
    <row r="697" spans="5:5" x14ac:dyDescent="0.2">
      <c r="E697" s="1"/>
    </row>
    <row r="698" spans="5:5" x14ac:dyDescent="0.2">
      <c r="E698" s="1"/>
    </row>
    <row r="699" spans="5:5" x14ac:dyDescent="0.2">
      <c r="E699" s="1"/>
    </row>
    <row r="700" spans="5:5" x14ac:dyDescent="0.2">
      <c r="E700" s="1"/>
    </row>
    <row r="701" spans="5:5" x14ac:dyDescent="0.2">
      <c r="E701" s="1"/>
    </row>
    <row r="702" spans="5:5" x14ac:dyDescent="0.2">
      <c r="E702" s="1"/>
    </row>
    <row r="703" spans="5:5" x14ac:dyDescent="0.2">
      <c r="E703" s="1"/>
    </row>
    <row r="704" spans="5:5" x14ac:dyDescent="0.2">
      <c r="E704" s="1"/>
    </row>
    <row r="705" spans="5:5" x14ac:dyDescent="0.2">
      <c r="E705" s="1"/>
    </row>
    <row r="706" spans="5:5" x14ac:dyDescent="0.2">
      <c r="E706" s="1"/>
    </row>
    <row r="707" spans="5:5" x14ac:dyDescent="0.2">
      <c r="E707" s="1"/>
    </row>
    <row r="708" spans="5:5" x14ac:dyDescent="0.2">
      <c r="E708" s="1"/>
    </row>
    <row r="709" spans="5:5" x14ac:dyDescent="0.2">
      <c r="E709" s="1"/>
    </row>
    <row r="710" spans="5:5" x14ac:dyDescent="0.2">
      <c r="E710" s="1"/>
    </row>
    <row r="711" spans="5:5" x14ac:dyDescent="0.2">
      <c r="E711" s="1"/>
    </row>
    <row r="712" spans="5:5" x14ac:dyDescent="0.2">
      <c r="E712" s="1"/>
    </row>
    <row r="713" spans="5:5" x14ac:dyDescent="0.2">
      <c r="E713" s="1"/>
    </row>
    <row r="714" spans="5:5" x14ac:dyDescent="0.2">
      <c r="E714" s="1"/>
    </row>
    <row r="715" spans="5:5" x14ac:dyDescent="0.2">
      <c r="E715" s="1"/>
    </row>
    <row r="716" spans="5:5" x14ac:dyDescent="0.2">
      <c r="E716" s="1"/>
    </row>
    <row r="717" spans="5:5" x14ac:dyDescent="0.2">
      <c r="E717" s="1"/>
    </row>
    <row r="718" spans="5:5" x14ac:dyDescent="0.2">
      <c r="E718" s="1"/>
    </row>
    <row r="719" spans="5:5" x14ac:dyDescent="0.2">
      <c r="E719" s="1"/>
    </row>
    <row r="720" spans="5:5" x14ac:dyDescent="0.2">
      <c r="E720" s="1"/>
    </row>
    <row r="721" spans="5:5" x14ac:dyDescent="0.2">
      <c r="E721" s="1"/>
    </row>
    <row r="722" spans="5:5" x14ac:dyDescent="0.2">
      <c r="E722" s="1"/>
    </row>
    <row r="723" spans="5:5" x14ac:dyDescent="0.2">
      <c r="E723" s="1"/>
    </row>
    <row r="724" spans="5:5" x14ac:dyDescent="0.2">
      <c r="E724" s="1"/>
    </row>
    <row r="725" spans="5:5" x14ac:dyDescent="0.2">
      <c r="E725" s="1"/>
    </row>
    <row r="726" spans="5:5" x14ac:dyDescent="0.2">
      <c r="E726" s="1"/>
    </row>
    <row r="727" spans="5:5" x14ac:dyDescent="0.2">
      <c r="E727" s="1"/>
    </row>
    <row r="728" spans="5:5" x14ac:dyDescent="0.2">
      <c r="E728" s="1"/>
    </row>
    <row r="729" spans="5:5" x14ac:dyDescent="0.2">
      <c r="E729" s="1"/>
    </row>
    <row r="730" spans="5:5" x14ac:dyDescent="0.2">
      <c r="E730" s="1"/>
    </row>
    <row r="731" spans="5:5" x14ac:dyDescent="0.2">
      <c r="E731" s="1"/>
    </row>
    <row r="732" spans="5:5" x14ac:dyDescent="0.2">
      <c r="E732" s="1"/>
    </row>
    <row r="733" spans="5:5" x14ac:dyDescent="0.2">
      <c r="E733" s="1"/>
    </row>
    <row r="734" spans="5:5" x14ac:dyDescent="0.2">
      <c r="E734" s="1"/>
    </row>
    <row r="735" spans="5:5" x14ac:dyDescent="0.2">
      <c r="E735" s="1"/>
    </row>
    <row r="736" spans="5:5" x14ac:dyDescent="0.2">
      <c r="E736" s="1"/>
    </row>
    <row r="737" spans="5:5" x14ac:dyDescent="0.2">
      <c r="E737" s="1"/>
    </row>
    <row r="738" spans="5:5" x14ac:dyDescent="0.2">
      <c r="E738" s="1"/>
    </row>
    <row r="739" spans="5:5" x14ac:dyDescent="0.2">
      <c r="E739" s="1"/>
    </row>
    <row r="740" spans="5:5" x14ac:dyDescent="0.2">
      <c r="E740" s="1"/>
    </row>
    <row r="741" spans="5:5" x14ac:dyDescent="0.2">
      <c r="E741" s="1"/>
    </row>
    <row r="742" spans="5:5" x14ac:dyDescent="0.2">
      <c r="E742" s="1"/>
    </row>
    <row r="743" spans="5:5" x14ac:dyDescent="0.2">
      <c r="E743" s="1"/>
    </row>
    <row r="744" spans="5:5" x14ac:dyDescent="0.2">
      <c r="E744" s="1"/>
    </row>
    <row r="745" spans="5:5" x14ac:dyDescent="0.2">
      <c r="E745" s="1"/>
    </row>
    <row r="746" spans="5:5" x14ac:dyDescent="0.2">
      <c r="E746" s="1"/>
    </row>
    <row r="747" spans="5:5" x14ac:dyDescent="0.2">
      <c r="E747" s="1"/>
    </row>
    <row r="748" spans="5:5" x14ac:dyDescent="0.2">
      <c r="E748" s="1"/>
    </row>
    <row r="749" spans="5:5" x14ac:dyDescent="0.2">
      <c r="E749" s="1"/>
    </row>
    <row r="750" spans="5:5" x14ac:dyDescent="0.2">
      <c r="E750" s="1"/>
    </row>
    <row r="751" spans="5:5" x14ac:dyDescent="0.2">
      <c r="E751" s="1"/>
    </row>
    <row r="752" spans="5:5" x14ac:dyDescent="0.2">
      <c r="E752" s="1"/>
    </row>
    <row r="753" spans="5:5" x14ac:dyDescent="0.2">
      <c r="E753" s="1"/>
    </row>
    <row r="754" spans="5:5" x14ac:dyDescent="0.2">
      <c r="E754" s="1"/>
    </row>
    <row r="755" spans="5:5" x14ac:dyDescent="0.2">
      <c r="E755" s="1"/>
    </row>
    <row r="756" spans="5:5" x14ac:dyDescent="0.2">
      <c r="E756" s="1"/>
    </row>
    <row r="757" spans="5:5" x14ac:dyDescent="0.2">
      <c r="E757" s="1"/>
    </row>
    <row r="758" spans="5:5" x14ac:dyDescent="0.2">
      <c r="E758" s="1"/>
    </row>
    <row r="759" spans="5:5" x14ac:dyDescent="0.2">
      <c r="E759" s="1"/>
    </row>
    <row r="760" spans="5:5" x14ac:dyDescent="0.2">
      <c r="E760" s="1"/>
    </row>
    <row r="761" spans="5:5" x14ac:dyDescent="0.2">
      <c r="E761" s="1"/>
    </row>
    <row r="762" spans="5:5" x14ac:dyDescent="0.2">
      <c r="E762" s="1"/>
    </row>
    <row r="763" spans="5:5" x14ac:dyDescent="0.2">
      <c r="E763" s="1"/>
    </row>
    <row r="764" spans="5:5" x14ac:dyDescent="0.2">
      <c r="E764" s="1"/>
    </row>
    <row r="765" spans="5:5" x14ac:dyDescent="0.2">
      <c r="E765" s="1"/>
    </row>
    <row r="766" spans="5:5" x14ac:dyDescent="0.2">
      <c r="E766" s="1"/>
    </row>
    <row r="767" spans="5:5" x14ac:dyDescent="0.2">
      <c r="E767" s="1"/>
    </row>
    <row r="768" spans="5:5" x14ac:dyDescent="0.2">
      <c r="E768" s="1"/>
    </row>
    <row r="769" spans="5:5" x14ac:dyDescent="0.2">
      <c r="E769" s="1"/>
    </row>
    <row r="770" spans="5:5" x14ac:dyDescent="0.2">
      <c r="E770" s="1"/>
    </row>
    <row r="771" spans="5:5" x14ac:dyDescent="0.2">
      <c r="E771" s="1"/>
    </row>
    <row r="772" spans="5:5" x14ac:dyDescent="0.2">
      <c r="E772" s="1"/>
    </row>
    <row r="773" spans="5:5" x14ac:dyDescent="0.2">
      <c r="E773" s="1"/>
    </row>
    <row r="774" spans="5:5" x14ac:dyDescent="0.2">
      <c r="E774" s="1"/>
    </row>
    <row r="775" spans="5:5" x14ac:dyDescent="0.2">
      <c r="E775" s="1"/>
    </row>
    <row r="776" spans="5:5" x14ac:dyDescent="0.2">
      <c r="E776" s="1"/>
    </row>
    <row r="777" spans="5:5" x14ac:dyDescent="0.2">
      <c r="E777" s="1"/>
    </row>
    <row r="778" spans="5:5" x14ac:dyDescent="0.2">
      <c r="E778" s="1"/>
    </row>
    <row r="779" spans="5:5" x14ac:dyDescent="0.2">
      <c r="E779" s="1"/>
    </row>
    <row r="780" spans="5:5" x14ac:dyDescent="0.2">
      <c r="E780" s="1"/>
    </row>
    <row r="781" spans="5:5" x14ac:dyDescent="0.2">
      <c r="E781" s="1"/>
    </row>
    <row r="782" spans="5:5" x14ac:dyDescent="0.2">
      <c r="E782" s="1"/>
    </row>
    <row r="783" spans="5:5" x14ac:dyDescent="0.2">
      <c r="E783" s="1"/>
    </row>
    <row r="784" spans="5:5" x14ac:dyDescent="0.2">
      <c r="E784" s="1"/>
    </row>
    <row r="785" spans="5:5" x14ac:dyDescent="0.2">
      <c r="E785" s="1"/>
    </row>
    <row r="786" spans="5:5" x14ac:dyDescent="0.2">
      <c r="E786" s="1"/>
    </row>
    <row r="787" spans="5:5" x14ac:dyDescent="0.2">
      <c r="E787" s="1"/>
    </row>
    <row r="788" spans="5:5" x14ac:dyDescent="0.2">
      <c r="E788" s="1"/>
    </row>
    <row r="789" spans="5:5" x14ac:dyDescent="0.2">
      <c r="E789" s="1"/>
    </row>
    <row r="790" spans="5:5" x14ac:dyDescent="0.2">
      <c r="E790" s="1"/>
    </row>
    <row r="791" spans="5:5" x14ac:dyDescent="0.2">
      <c r="E791" s="1"/>
    </row>
    <row r="792" spans="5:5" x14ac:dyDescent="0.2">
      <c r="E792" s="1"/>
    </row>
    <row r="793" spans="5:5" x14ac:dyDescent="0.2">
      <c r="E793" s="1"/>
    </row>
    <row r="794" spans="5:5" x14ac:dyDescent="0.2">
      <c r="E794" s="1"/>
    </row>
    <row r="795" spans="5:5" x14ac:dyDescent="0.2">
      <c r="E795" s="1"/>
    </row>
    <row r="796" spans="5:5" x14ac:dyDescent="0.2">
      <c r="E796" s="1"/>
    </row>
    <row r="797" spans="5:5" x14ac:dyDescent="0.2">
      <c r="E797" s="1"/>
    </row>
    <row r="798" spans="5:5" x14ac:dyDescent="0.2">
      <c r="E798" s="1"/>
    </row>
    <row r="799" spans="5:5" x14ac:dyDescent="0.2">
      <c r="E799" s="1"/>
    </row>
    <row r="800" spans="5:5" x14ac:dyDescent="0.2">
      <c r="E800" s="1"/>
    </row>
    <row r="801" spans="5:5" x14ac:dyDescent="0.2">
      <c r="E801" s="1"/>
    </row>
    <row r="802" spans="5:5" x14ac:dyDescent="0.2">
      <c r="E802" s="1"/>
    </row>
    <row r="803" spans="5:5" x14ac:dyDescent="0.2">
      <c r="E803" s="1"/>
    </row>
    <row r="804" spans="5:5" x14ac:dyDescent="0.2">
      <c r="E804" s="1"/>
    </row>
    <row r="805" spans="5:5" x14ac:dyDescent="0.2">
      <c r="E805" s="1"/>
    </row>
    <row r="806" spans="5:5" x14ac:dyDescent="0.2">
      <c r="E806" s="1"/>
    </row>
    <row r="807" spans="5:5" x14ac:dyDescent="0.2">
      <c r="E807" s="1"/>
    </row>
    <row r="808" spans="5:5" x14ac:dyDescent="0.2">
      <c r="E808" s="1"/>
    </row>
    <row r="809" spans="5:5" x14ac:dyDescent="0.2">
      <c r="E809" s="1"/>
    </row>
    <row r="810" spans="5:5" x14ac:dyDescent="0.2">
      <c r="E810" s="1"/>
    </row>
    <row r="811" spans="5:5" x14ac:dyDescent="0.2">
      <c r="E811" s="1"/>
    </row>
    <row r="812" spans="5:5" x14ac:dyDescent="0.2">
      <c r="E812" s="1"/>
    </row>
    <row r="813" spans="5:5" x14ac:dyDescent="0.2">
      <c r="E813" s="1"/>
    </row>
    <row r="814" spans="5:5" x14ac:dyDescent="0.2">
      <c r="E814" s="1"/>
    </row>
    <row r="815" spans="5:5" x14ac:dyDescent="0.2">
      <c r="E815" s="1"/>
    </row>
    <row r="816" spans="5:5" x14ac:dyDescent="0.2">
      <c r="E816" s="1"/>
    </row>
    <row r="817" spans="5:5" x14ac:dyDescent="0.2">
      <c r="E817" s="1"/>
    </row>
    <row r="818" spans="5:5" x14ac:dyDescent="0.2">
      <c r="E818" s="1"/>
    </row>
    <row r="819" spans="5:5" x14ac:dyDescent="0.2">
      <c r="E819" s="1"/>
    </row>
    <row r="820" spans="5:5" x14ac:dyDescent="0.2">
      <c r="E820" s="1"/>
    </row>
    <row r="821" spans="5:5" x14ac:dyDescent="0.2">
      <c r="E821" s="1"/>
    </row>
    <row r="822" spans="5:5" x14ac:dyDescent="0.2">
      <c r="E822" s="1"/>
    </row>
    <row r="823" spans="5:5" x14ac:dyDescent="0.2">
      <c r="E823" s="1"/>
    </row>
    <row r="824" spans="5:5" x14ac:dyDescent="0.2">
      <c r="E824" s="1"/>
    </row>
    <row r="825" spans="5:5" x14ac:dyDescent="0.2">
      <c r="E825" s="1"/>
    </row>
    <row r="826" spans="5:5" x14ac:dyDescent="0.2">
      <c r="E826" s="1"/>
    </row>
    <row r="827" spans="5:5" x14ac:dyDescent="0.2">
      <c r="E827" s="1"/>
    </row>
    <row r="828" spans="5:5" x14ac:dyDescent="0.2">
      <c r="E828" s="1"/>
    </row>
    <row r="829" spans="5:5" x14ac:dyDescent="0.2">
      <c r="E829" s="1"/>
    </row>
    <row r="830" spans="5:5" x14ac:dyDescent="0.2">
      <c r="E830" s="1"/>
    </row>
    <row r="831" spans="5:5" x14ac:dyDescent="0.2">
      <c r="E831" s="1"/>
    </row>
    <row r="832" spans="5:5" x14ac:dyDescent="0.2">
      <c r="E832" s="1"/>
    </row>
    <row r="833" spans="5:5" x14ac:dyDescent="0.2">
      <c r="E833" s="1"/>
    </row>
    <row r="834" spans="5:5" x14ac:dyDescent="0.2">
      <c r="E834" s="1"/>
    </row>
    <row r="835" spans="5:5" x14ac:dyDescent="0.2">
      <c r="E835" s="1"/>
    </row>
    <row r="836" spans="5:5" x14ac:dyDescent="0.2">
      <c r="E836" s="1"/>
    </row>
    <row r="837" spans="5:5" x14ac:dyDescent="0.2">
      <c r="E837" s="1"/>
    </row>
    <row r="838" spans="5:5" x14ac:dyDescent="0.2">
      <c r="E838" s="1"/>
    </row>
    <row r="839" spans="5:5" x14ac:dyDescent="0.2">
      <c r="E839" s="1"/>
    </row>
    <row r="840" spans="5:5" x14ac:dyDescent="0.2">
      <c r="E840" s="1"/>
    </row>
    <row r="841" spans="5:5" x14ac:dyDescent="0.2">
      <c r="E841" s="1"/>
    </row>
    <row r="842" spans="5:5" x14ac:dyDescent="0.2">
      <c r="E842" s="1"/>
    </row>
    <row r="843" spans="5:5" x14ac:dyDescent="0.2">
      <c r="E843" s="1"/>
    </row>
    <row r="844" spans="5:5" x14ac:dyDescent="0.2">
      <c r="E844" s="1"/>
    </row>
    <row r="845" spans="5:5" x14ac:dyDescent="0.2">
      <c r="E845" s="1"/>
    </row>
    <row r="846" spans="5:5" x14ac:dyDescent="0.2">
      <c r="E846" s="1"/>
    </row>
    <row r="847" spans="5:5" x14ac:dyDescent="0.2">
      <c r="E847" s="1"/>
    </row>
    <row r="848" spans="5:5" x14ac:dyDescent="0.2">
      <c r="E848" s="1"/>
    </row>
    <row r="849" spans="5:5" x14ac:dyDescent="0.2">
      <c r="E849" s="1"/>
    </row>
    <row r="850" spans="5:5" x14ac:dyDescent="0.2">
      <c r="E850" s="1"/>
    </row>
    <row r="851" spans="5:5" x14ac:dyDescent="0.2">
      <c r="E851" s="1"/>
    </row>
    <row r="852" spans="5:5" x14ac:dyDescent="0.2">
      <c r="E852" s="1"/>
    </row>
    <row r="853" spans="5:5" x14ac:dyDescent="0.2">
      <c r="E853" s="1"/>
    </row>
    <row r="854" spans="5:5" x14ac:dyDescent="0.2">
      <c r="E854" s="1"/>
    </row>
    <row r="855" spans="5:5" x14ac:dyDescent="0.2">
      <c r="E855" s="1"/>
    </row>
    <row r="856" spans="5:5" x14ac:dyDescent="0.2">
      <c r="E856" s="1"/>
    </row>
    <row r="857" spans="5:5" x14ac:dyDescent="0.2">
      <c r="E857" s="1"/>
    </row>
    <row r="858" spans="5:5" x14ac:dyDescent="0.2">
      <c r="E858" s="1"/>
    </row>
    <row r="859" spans="5:5" x14ac:dyDescent="0.2">
      <c r="E859" s="1"/>
    </row>
    <row r="860" spans="5:5" x14ac:dyDescent="0.2">
      <c r="E860" s="1"/>
    </row>
    <row r="861" spans="5:5" x14ac:dyDescent="0.2">
      <c r="E861" s="1"/>
    </row>
    <row r="862" spans="5:5" x14ac:dyDescent="0.2">
      <c r="E862" s="1"/>
    </row>
    <row r="863" spans="5:5" x14ac:dyDescent="0.2">
      <c r="E863" s="1"/>
    </row>
    <row r="864" spans="5:5" x14ac:dyDescent="0.2">
      <c r="E864" s="1"/>
    </row>
    <row r="865" spans="5:5" x14ac:dyDescent="0.2">
      <c r="E865" s="1"/>
    </row>
    <row r="866" spans="5:5" x14ac:dyDescent="0.2">
      <c r="E866" s="1"/>
    </row>
    <row r="867" spans="5:5" x14ac:dyDescent="0.2">
      <c r="E867" s="1"/>
    </row>
    <row r="868" spans="5:5" x14ac:dyDescent="0.2">
      <c r="E868" s="1"/>
    </row>
    <row r="869" spans="5:5" x14ac:dyDescent="0.2">
      <c r="E869" s="1"/>
    </row>
    <row r="870" spans="5:5" x14ac:dyDescent="0.2">
      <c r="E870" s="1"/>
    </row>
    <row r="871" spans="5:5" x14ac:dyDescent="0.2">
      <c r="E871" s="1"/>
    </row>
    <row r="872" spans="5:5" x14ac:dyDescent="0.2">
      <c r="E872" s="1"/>
    </row>
    <row r="873" spans="5:5" x14ac:dyDescent="0.2">
      <c r="E873" s="1"/>
    </row>
    <row r="874" spans="5:5" x14ac:dyDescent="0.2">
      <c r="E874" s="1"/>
    </row>
    <row r="875" spans="5:5" x14ac:dyDescent="0.2">
      <c r="E875" s="1"/>
    </row>
    <row r="876" spans="5:5" x14ac:dyDescent="0.2">
      <c r="E876" s="1"/>
    </row>
    <row r="877" spans="5:5" x14ac:dyDescent="0.2">
      <c r="E877" s="1"/>
    </row>
    <row r="878" spans="5:5" x14ac:dyDescent="0.2">
      <c r="E878" s="1"/>
    </row>
    <row r="879" spans="5:5" x14ac:dyDescent="0.2">
      <c r="E879" s="1"/>
    </row>
    <row r="880" spans="5:5" x14ac:dyDescent="0.2">
      <c r="E880" s="1"/>
    </row>
    <row r="881" spans="5:5" x14ac:dyDescent="0.2">
      <c r="E881" s="1"/>
    </row>
    <row r="882" spans="5:5" x14ac:dyDescent="0.2">
      <c r="E882" s="1"/>
    </row>
    <row r="883" spans="5:5" x14ac:dyDescent="0.2">
      <c r="E883" s="1"/>
    </row>
    <row r="884" spans="5:5" x14ac:dyDescent="0.2">
      <c r="E884" s="1"/>
    </row>
    <row r="885" spans="5:5" x14ac:dyDescent="0.2">
      <c r="E885" s="1"/>
    </row>
    <row r="886" spans="5:5" x14ac:dyDescent="0.2">
      <c r="E886" s="1"/>
    </row>
    <row r="887" spans="5:5" x14ac:dyDescent="0.2">
      <c r="E887" s="1"/>
    </row>
    <row r="888" spans="5:5" x14ac:dyDescent="0.2">
      <c r="E888" s="1"/>
    </row>
    <row r="889" spans="5:5" x14ac:dyDescent="0.2">
      <c r="E889" s="1"/>
    </row>
    <row r="890" spans="5:5" x14ac:dyDescent="0.2">
      <c r="E890" s="1"/>
    </row>
    <row r="891" spans="5:5" x14ac:dyDescent="0.2">
      <c r="E891" s="1"/>
    </row>
    <row r="892" spans="5:5" x14ac:dyDescent="0.2">
      <c r="E892" s="1"/>
    </row>
    <row r="893" spans="5:5" x14ac:dyDescent="0.2">
      <c r="E893" s="1"/>
    </row>
    <row r="894" spans="5:5" x14ac:dyDescent="0.2">
      <c r="E894" s="1"/>
    </row>
    <row r="895" spans="5:5" x14ac:dyDescent="0.2">
      <c r="E895" s="1"/>
    </row>
    <row r="896" spans="5:5" x14ac:dyDescent="0.2">
      <c r="E896" s="1"/>
    </row>
    <row r="897" spans="5:5" x14ac:dyDescent="0.2">
      <c r="E897" s="1"/>
    </row>
    <row r="898" spans="5:5" x14ac:dyDescent="0.2">
      <c r="E898" s="1"/>
    </row>
    <row r="899" spans="5:5" x14ac:dyDescent="0.2">
      <c r="E899" s="1"/>
    </row>
    <row r="900" spans="5:5" x14ac:dyDescent="0.2">
      <c r="E900" s="1"/>
    </row>
    <row r="901" spans="5:5" x14ac:dyDescent="0.2">
      <c r="E901" s="1"/>
    </row>
    <row r="902" spans="5:5" x14ac:dyDescent="0.2">
      <c r="E902" s="1"/>
    </row>
    <row r="903" spans="5:5" x14ac:dyDescent="0.2">
      <c r="E903" s="1"/>
    </row>
    <row r="904" spans="5:5" x14ac:dyDescent="0.2">
      <c r="E904" s="1"/>
    </row>
    <row r="905" spans="5:5" x14ac:dyDescent="0.2">
      <c r="E905" s="1"/>
    </row>
    <row r="906" spans="5:5" x14ac:dyDescent="0.2">
      <c r="E906" s="1"/>
    </row>
    <row r="907" spans="5:5" x14ac:dyDescent="0.2">
      <c r="E907" s="1"/>
    </row>
    <row r="908" spans="5:5" x14ac:dyDescent="0.2">
      <c r="E908" s="1"/>
    </row>
    <row r="909" spans="5:5" x14ac:dyDescent="0.2">
      <c r="E909" s="1"/>
    </row>
    <row r="910" spans="5:5" x14ac:dyDescent="0.2">
      <c r="E910" s="1"/>
    </row>
    <row r="911" spans="5:5" x14ac:dyDescent="0.2">
      <c r="E911" s="1"/>
    </row>
    <row r="912" spans="5:5" x14ac:dyDescent="0.2">
      <c r="E912" s="1"/>
    </row>
    <row r="913" spans="5:5" x14ac:dyDescent="0.2">
      <c r="E913" s="1"/>
    </row>
    <row r="914" spans="5:5" x14ac:dyDescent="0.2">
      <c r="E914" s="1"/>
    </row>
    <row r="915" spans="5:5" x14ac:dyDescent="0.2">
      <c r="E915" s="1"/>
    </row>
    <row r="916" spans="5:5" x14ac:dyDescent="0.2">
      <c r="E916" s="1"/>
    </row>
    <row r="917" spans="5:5" x14ac:dyDescent="0.2">
      <c r="E917" s="1"/>
    </row>
    <row r="918" spans="5:5" x14ac:dyDescent="0.2">
      <c r="E918" s="1"/>
    </row>
    <row r="919" spans="5:5" x14ac:dyDescent="0.2">
      <c r="E919" s="1"/>
    </row>
    <row r="920" spans="5:5" x14ac:dyDescent="0.2">
      <c r="E920" s="1"/>
    </row>
    <row r="921" spans="5:5" x14ac:dyDescent="0.2">
      <c r="E921" s="1"/>
    </row>
    <row r="922" spans="5:5" x14ac:dyDescent="0.2">
      <c r="E922" s="1"/>
    </row>
    <row r="923" spans="5:5" x14ac:dyDescent="0.2">
      <c r="E923" s="1"/>
    </row>
    <row r="924" spans="5:5" x14ac:dyDescent="0.2">
      <c r="E924" s="1"/>
    </row>
    <row r="925" spans="5:5" x14ac:dyDescent="0.2">
      <c r="E925" s="1"/>
    </row>
    <row r="926" spans="5:5" x14ac:dyDescent="0.2">
      <c r="E926" s="1"/>
    </row>
    <row r="927" spans="5:5" x14ac:dyDescent="0.2">
      <c r="E927" s="1"/>
    </row>
    <row r="928" spans="5:5" x14ac:dyDescent="0.2">
      <c r="E928" s="1"/>
    </row>
    <row r="929" spans="5:5" x14ac:dyDescent="0.2">
      <c r="E929" s="1"/>
    </row>
    <row r="930" spans="5:5" x14ac:dyDescent="0.2">
      <c r="E930" s="1"/>
    </row>
    <row r="931" spans="5:5" x14ac:dyDescent="0.2">
      <c r="E931" s="1"/>
    </row>
    <row r="932" spans="5:5" x14ac:dyDescent="0.2">
      <c r="E932" s="1"/>
    </row>
    <row r="933" spans="5:5" x14ac:dyDescent="0.2">
      <c r="E933" s="1"/>
    </row>
    <row r="934" spans="5:5" x14ac:dyDescent="0.2">
      <c r="E934" s="1"/>
    </row>
    <row r="935" spans="5:5" x14ac:dyDescent="0.2">
      <c r="E935" s="1"/>
    </row>
    <row r="936" spans="5:5" x14ac:dyDescent="0.2">
      <c r="E936" s="1"/>
    </row>
    <row r="937" spans="5:5" x14ac:dyDescent="0.2">
      <c r="E937" s="1"/>
    </row>
    <row r="938" spans="5:5" x14ac:dyDescent="0.2">
      <c r="E938" s="1"/>
    </row>
    <row r="939" spans="5:5" x14ac:dyDescent="0.2">
      <c r="E939" s="1"/>
    </row>
    <row r="940" spans="5:5" x14ac:dyDescent="0.2">
      <c r="E940" s="1"/>
    </row>
    <row r="941" spans="5:5" x14ac:dyDescent="0.2">
      <c r="E941" s="1"/>
    </row>
    <row r="942" spans="5:5" x14ac:dyDescent="0.2">
      <c r="E942" s="1"/>
    </row>
    <row r="943" spans="5:5" x14ac:dyDescent="0.2">
      <c r="E943" s="1"/>
    </row>
    <row r="944" spans="5:5" x14ac:dyDescent="0.2">
      <c r="E944" s="1"/>
    </row>
    <row r="945" spans="5:5" x14ac:dyDescent="0.2">
      <c r="E945" s="1"/>
    </row>
    <row r="946" spans="5:5" x14ac:dyDescent="0.2">
      <c r="E946" s="1"/>
    </row>
    <row r="947" spans="5:5" x14ac:dyDescent="0.2">
      <c r="E947" s="1"/>
    </row>
    <row r="948" spans="5:5" x14ac:dyDescent="0.2">
      <c r="E948" s="1"/>
    </row>
    <row r="949" spans="5:5" x14ac:dyDescent="0.2">
      <c r="E949" s="1"/>
    </row>
    <row r="950" spans="5:5" x14ac:dyDescent="0.2">
      <c r="E950" s="1"/>
    </row>
    <row r="951" spans="5:5" x14ac:dyDescent="0.2">
      <c r="E951" s="1"/>
    </row>
    <row r="952" spans="5:5" x14ac:dyDescent="0.2">
      <c r="E952" s="1"/>
    </row>
    <row r="953" spans="5:5" x14ac:dyDescent="0.2">
      <c r="E953" s="1"/>
    </row>
    <row r="954" spans="5:5" x14ac:dyDescent="0.2">
      <c r="E954" s="1"/>
    </row>
    <row r="955" spans="5:5" x14ac:dyDescent="0.2">
      <c r="E955" s="1"/>
    </row>
    <row r="956" spans="5:5" x14ac:dyDescent="0.2">
      <c r="E956" s="1"/>
    </row>
    <row r="957" spans="5:5" x14ac:dyDescent="0.2">
      <c r="E957" s="1"/>
    </row>
    <row r="958" spans="5:5" x14ac:dyDescent="0.2">
      <c r="E958" s="1"/>
    </row>
    <row r="959" spans="5:5" x14ac:dyDescent="0.2">
      <c r="E959" s="1"/>
    </row>
    <row r="960" spans="5:5" x14ac:dyDescent="0.2">
      <c r="E960" s="1"/>
    </row>
    <row r="961" spans="5:5" x14ac:dyDescent="0.2">
      <c r="E961" s="1"/>
    </row>
    <row r="962" spans="5:5" x14ac:dyDescent="0.2">
      <c r="E962" s="1"/>
    </row>
    <row r="963" spans="5:5" x14ac:dyDescent="0.2">
      <c r="E963" s="1"/>
    </row>
    <row r="964" spans="5:5" x14ac:dyDescent="0.2">
      <c r="E964" s="1"/>
    </row>
    <row r="965" spans="5:5" x14ac:dyDescent="0.2">
      <c r="E965" s="1"/>
    </row>
    <row r="966" spans="5:5" x14ac:dyDescent="0.2">
      <c r="E966" s="1"/>
    </row>
    <row r="967" spans="5:5" x14ac:dyDescent="0.2">
      <c r="E967" s="1"/>
    </row>
    <row r="968" spans="5:5" x14ac:dyDescent="0.2">
      <c r="E968" s="1"/>
    </row>
    <row r="969" spans="5:5" x14ac:dyDescent="0.2">
      <c r="E969" s="1"/>
    </row>
    <row r="970" spans="5:5" x14ac:dyDescent="0.2">
      <c r="E970" s="1"/>
    </row>
    <row r="971" spans="5:5" x14ac:dyDescent="0.2">
      <c r="E971" s="1"/>
    </row>
    <row r="972" spans="5:5" x14ac:dyDescent="0.2">
      <c r="E972" s="1"/>
    </row>
    <row r="973" spans="5:5" x14ac:dyDescent="0.2">
      <c r="E973" s="1"/>
    </row>
    <row r="974" spans="5:5" x14ac:dyDescent="0.2">
      <c r="E974" s="1"/>
    </row>
    <row r="975" spans="5:5" x14ac:dyDescent="0.2">
      <c r="E975" s="1"/>
    </row>
    <row r="976" spans="5:5" x14ac:dyDescent="0.2">
      <c r="E976" s="1"/>
    </row>
    <row r="977" spans="5:5" x14ac:dyDescent="0.2">
      <c r="E977" s="1"/>
    </row>
    <row r="978" spans="5:5" x14ac:dyDescent="0.2">
      <c r="E978" s="1"/>
    </row>
    <row r="979" spans="5:5" x14ac:dyDescent="0.2">
      <c r="E979" s="1"/>
    </row>
    <row r="980" spans="5:5" x14ac:dyDescent="0.2">
      <c r="E980" s="1"/>
    </row>
    <row r="981" spans="5:5" x14ac:dyDescent="0.2">
      <c r="E981" s="1"/>
    </row>
    <row r="982" spans="5:5" x14ac:dyDescent="0.2">
      <c r="E982" s="1"/>
    </row>
    <row r="983" spans="5:5" x14ac:dyDescent="0.2">
      <c r="E983" s="1"/>
    </row>
    <row r="984" spans="5:5" x14ac:dyDescent="0.2">
      <c r="E984" s="1"/>
    </row>
    <row r="985" spans="5:5" x14ac:dyDescent="0.2">
      <c r="E985" s="1"/>
    </row>
    <row r="986" spans="5:5" x14ac:dyDescent="0.2">
      <c r="E986" s="1"/>
    </row>
    <row r="987" spans="5:5" x14ac:dyDescent="0.2">
      <c r="E987" s="1"/>
    </row>
    <row r="988" spans="5:5" x14ac:dyDescent="0.2">
      <c r="E988" s="1"/>
    </row>
    <row r="989" spans="5:5" x14ac:dyDescent="0.2">
      <c r="E989" s="1"/>
    </row>
    <row r="990" spans="5:5" x14ac:dyDescent="0.2">
      <c r="E990" s="1"/>
    </row>
    <row r="991" spans="5:5" x14ac:dyDescent="0.2">
      <c r="E991" s="1"/>
    </row>
    <row r="992" spans="5:5" x14ac:dyDescent="0.2">
      <c r="E992" s="1"/>
    </row>
    <row r="993" spans="5:5" x14ac:dyDescent="0.2">
      <c r="E993" s="1"/>
    </row>
    <row r="994" spans="5:5" x14ac:dyDescent="0.2">
      <c r="E994" s="1"/>
    </row>
    <row r="995" spans="5:5" x14ac:dyDescent="0.2">
      <c r="E995" s="1"/>
    </row>
    <row r="996" spans="5:5" x14ac:dyDescent="0.2">
      <c r="E996" s="1"/>
    </row>
    <row r="997" spans="5:5" x14ac:dyDescent="0.2">
      <c r="E997" s="1"/>
    </row>
    <row r="998" spans="5:5" x14ac:dyDescent="0.2">
      <c r="E998" s="1"/>
    </row>
    <row r="999" spans="5:5" x14ac:dyDescent="0.2">
      <c r="E999" s="1"/>
    </row>
    <row r="1000" spans="5:5" x14ac:dyDescent="0.2">
      <c r="E1000" s="1"/>
    </row>
    <row r="1001" spans="5:5" x14ac:dyDescent="0.2">
      <c r="E1001" s="1"/>
    </row>
    <row r="1002" spans="5:5" x14ac:dyDescent="0.2">
      <c r="E1002" s="1"/>
    </row>
    <row r="1003" spans="5:5" x14ac:dyDescent="0.2">
      <c r="E1003" s="1"/>
    </row>
    <row r="1004" spans="5:5" x14ac:dyDescent="0.2">
      <c r="E1004" s="1"/>
    </row>
    <row r="1005" spans="5:5" x14ac:dyDescent="0.2">
      <c r="E1005" s="1"/>
    </row>
  </sheetData>
  <mergeCells count="3">
    <mergeCell ref="F1:I1"/>
    <mergeCell ref="J1:M1"/>
    <mergeCell ref="N1:Q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ED719-8ACA-4B01-BC87-29844461F09E}">
  <dimension ref="A1:R254"/>
  <sheetViews>
    <sheetView showGridLines="0" tabSelected="1" topLeftCell="C1" zoomScale="120" zoomScaleNormal="120" workbookViewId="0">
      <selection activeCell="N41" sqref="N41"/>
    </sheetView>
  </sheetViews>
  <sheetFormatPr baseColWidth="10" defaultColWidth="11.33203125" defaultRowHeight="15" x14ac:dyDescent="0.2"/>
  <cols>
    <col min="1" max="5" width="11.33203125" style="1"/>
    <col min="6" max="6" width="12" style="1" bestFit="1" customWidth="1"/>
    <col min="7" max="12" width="11.33203125" style="1"/>
    <col min="13" max="13" width="11.6640625" style="1" bestFit="1" customWidth="1"/>
    <col min="14" max="14" width="11.33203125" style="1"/>
    <col min="15" max="15" width="11.6640625" style="1" bestFit="1" customWidth="1"/>
    <col min="16" max="16" width="13.6640625" style="1" bestFit="1" customWidth="1"/>
    <col min="17" max="17" width="11.33203125" style="1"/>
    <col min="18" max="18" width="13.6640625" style="1" bestFit="1" customWidth="1"/>
    <col min="19" max="16384" width="11.33203125" style="1"/>
  </cols>
  <sheetData>
    <row r="1" spans="1:10" x14ac:dyDescent="0.2">
      <c r="A1" s="23" t="s">
        <v>4</v>
      </c>
      <c r="B1" s="24" t="s">
        <v>12</v>
      </c>
      <c r="C1" s="24" t="s">
        <v>13</v>
      </c>
      <c r="D1" s="24" t="s">
        <v>14</v>
      </c>
      <c r="E1" s="24" t="s">
        <v>15</v>
      </c>
      <c r="F1" s="89" t="s">
        <v>8</v>
      </c>
      <c r="G1" s="89"/>
      <c r="H1" s="89"/>
      <c r="I1" s="89"/>
      <c r="J1" s="89"/>
    </row>
    <row r="2" spans="1:10" x14ac:dyDescent="0.2">
      <c r="A2" s="25">
        <v>45154</v>
      </c>
      <c r="B2" s="26">
        <v>175.67108200000001</v>
      </c>
      <c r="C2" s="26">
        <v>58.602820999999999</v>
      </c>
      <c r="D2" s="26">
        <v>146.505066</v>
      </c>
      <c r="E2" s="26">
        <v>13.196151</v>
      </c>
      <c r="F2" s="2" t="str">
        <f>"r_"&amp;B1</f>
        <v>r_Apple</v>
      </c>
      <c r="G2" s="2" t="str">
        <f t="shared" ref="G2:I2" si="0">"r_"&amp;C1</f>
        <v>r_Coca-Cola</v>
      </c>
      <c r="H2" s="2" t="str">
        <f t="shared" si="0"/>
        <v>r_JPMorgan</v>
      </c>
      <c r="I2" s="2" t="str">
        <f t="shared" si="0"/>
        <v>r_AT&amp;T</v>
      </c>
      <c r="J2" s="2" t="s">
        <v>48</v>
      </c>
    </row>
    <row r="3" spans="1:10" x14ac:dyDescent="0.2">
      <c r="A3" s="25">
        <v>45155</v>
      </c>
      <c r="B3" s="26">
        <v>173.11415099999999</v>
      </c>
      <c r="C3" s="26">
        <v>58.728789999999996</v>
      </c>
      <c r="D3" s="26">
        <v>144.98335299999999</v>
      </c>
      <c r="E3" s="26">
        <v>13.111919</v>
      </c>
      <c r="F3" s="15">
        <f>LN(B3/B2)</f>
        <v>-1.4662185008184019E-2</v>
      </c>
      <c r="G3" s="15">
        <f t="shared" ref="G3:G66" si="1">LN(C3/C2)</f>
        <v>2.1472312077841786E-3</v>
      </c>
      <c r="H3" s="15">
        <f t="shared" ref="H3:H66" si="2">LN(D3/D2)</f>
        <v>-1.0441079130812173E-2</v>
      </c>
      <c r="I3" s="15">
        <f t="shared" ref="I3:I66" si="3">LN(E3/E2)</f>
        <v>-6.4035322871765967E-3</v>
      </c>
      <c r="J3" s="15">
        <f>SUMPRODUCT(F3:I3,$M$37:$P$37)</f>
        <v>-9.4670569504097211E-3</v>
      </c>
    </row>
    <row r="4" spans="1:10" x14ac:dyDescent="0.2">
      <c r="A4" s="25">
        <v>45156</v>
      </c>
      <c r="B4" s="26">
        <v>173.601654</v>
      </c>
      <c r="C4" s="26">
        <v>59.058239</v>
      </c>
      <c r="D4" s="26">
        <v>145.31500199999999</v>
      </c>
      <c r="E4" s="26">
        <v>13.149357</v>
      </c>
      <c r="F4" s="15">
        <f t="shared" ref="F4:F66" si="4">LN(B4/B3)</f>
        <v>2.8121205565770678E-3</v>
      </c>
      <c r="G4" s="15">
        <f t="shared" si="1"/>
        <v>5.5939921723177225E-3</v>
      </c>
      <c r="H4" s="15">
        <f t="shared" si="2"/>
        <v>2.2848847647558819E-3</v>
      </c>
      <c r="I4" s="15">
        <f t="shared" si="3"/>
        <v>2.8511962146941443E-3</v>
      </c>
      <c r="J4" s="15">
        <f t="shared" ref="J4:J67" si="5">SUMPRODUCT(F4:I4,$M$37:$P$37)</f>
        <v>2.7076334101259576E-3</v>
      </c>
    </row>
    <row r="5" spans="1:10" x14ac:dyDescent="0.2">
      <c r="A5" s="25">
        <v>45159</v>
      </c>
      <c r="B5" s="26">
        <v>174.94477800000001</v>
      </c>
      <c r="C5" s="26">
        <v>58.554378999999997</v>
      </c>
      <c r="D5" s="26">
        <v>145.8125</v>
      </c>
      <c r="E5" s="26">
        <v>13.196151</v>
      </c>
      <c r="F5" s="15">
        <f t="shared" si="4"/>
        <v>7.7070400094383651E-3</v>
      </c>
      <c r="G5" s="15">
        <f t="shared" si="1"/>
        <v>-8.568180711971048E-3</v>
      </c>
      <c r="H5" s="15">
        <f t="shared" si="2"/>
        <v>3.4177360836862881E-3</v>
      </c>
      <c r="I5" s="15">
        <f t="shared" si="3"/>
        <v>3.5523360724823969E-3</v>
      </c>
      <c r="J5" s="15">
        <f t="shared" si="5"/>
        <v>3.8265778229849188E-3</v>
      </c>
    </row>
    <row r="6" spans="1:10" x14ac:dyDescent="0.2">
      <c r="A6" s="25">
        <v>45160</v>
      </c>
      <c r="B6" s="26">
        <v>176.327698</v>
      </c>
      <c r="C6" s="26">
        <v>58.195861999999998</v>
      </c>
      <c r="D6" s="26">
        <v>142.78855899999999</v>
      </c>
      <c r="E6" s="26">
        <v>13.345895000000001</v>
      </c>
      <c r="F6" s="15">
        <f t="shared" si="4"/>
        <v>7.8738144273404372E-3</v>
      </c>
      <c r="G6" s="15">
        <f t="shared" si="1"/>
        <v>-6.141625470814838E-3</v>
      </c>
      <c r="H6" s="15">
        <f t="shared" si="2"/>
        <v>-2.0956622133486116E-2</v>
      </c>
      <c r="I6" s="15">
        <f t="shared" si="3"/>
        <v>1.1283650762276005E-2</v>
      </c>
      <c r="J6" s="15">
        <f t="shared" si="5"/>
        <v>-4.2141520459861928E-3</v>
      </c>
    </row>
    <row r="7" spans="1:10" x14ac:dyDescent="0.2">
      <c r="A7" s="25">
        <v>45161</v>
      </c>
      <c r="B7" s="26">
        <v>180.19790599999999</v>
      </c>
      <c r="C7" s="26">
        <v>58.399344999999997</v>
      </c>
      <c r="D7" s="26">
        <v>143.754257</v>
      </c>
      <c r="E7" s="26">
        <v>13.252305</v>
      </c>
      <c r="F7" s="15">
        <f t="shared" si="4"/>
        <v>2.1711540417555734E-2</v>
      </c>
      <c r="G7" s="15">
        <f t="shared" si="1"/>
        <v>3.4904214645253497E-3</v>
      </c>
      <c r="H7" s="15">
        <f t="shared" si="2"/>
        <v>6.740365503857486E-3</v>
      </c>
      <c r="I7" s="15">
        <f t="shared" si="3"/>
        <v>-7.0373473579131004E-3</v>
      </c>
      <c r="J7" s="15">
        <f t="shared" si="5"/>
        <v>5.1511974929285536E-3</v>
      </c>
    </row>
    <row r="8" spans="1:10" x14ac:dyDescent="0.2">
      <c r="A8" s="25">
        <v>45162</v>
      </c>
      <c r="B8" s="26">
        <v>175.48202499999999</v>
      </c>
      <c r="C8" s="26">
        <v>58.244312000000001</v>
      </c>
      <c r="D8" s="26">
        <v>143.61769100000001</v>
      </c>
      <c r="E8" s="26">
        <v>13.242945000000001</v>
      </c>
      <c r="F8" s="15">
        <f t="shared" si="4"/>
        <v>-2.6519108676923038E-2</v>
      </c>
      <c r="G8" s="15">
        <f t="shared" si="1"/>
        <v>-2.6582344086022547E-3</v>
      </c>
      <c r="H8" s="15">
        <f t="shared" si="2"/>
        <v>-9.5044774711671462E-4</v>
      </c>
      <c r="I8" s="15">
        <f t="shared" si="3"/>
        <v>-7.0654176800563693E-4</v>
      </c>
      <c r="J8" s="15">
        <f t="shared" si="5"/>
        <v>-6.037950088029845E-3</v>
      </c>
    </row>
    <row r="9" spans="1:10" x14ac:dyDescent="0.2">
      <c r="A9" s="25">
        <v>45163</v>
      </c>
      <c r="B9" s="26">
        <v>177.70069899999999</v>
      </c>
      <c r="C9" s="26">
        <v>58.515616999999999</v>
      </c>
      <c r="D9" s="26">
        <v>143.44210799999999</v>
      </c>
      <c r="E9" s="26">
        <v>13.205508999999999</v>
      </c>
      <c r="F9" s="15">
        <f t="shared" si="4"/>
        <v>1.2564052740774025E-2</v>
      </c>
      <c r="G9" s="15">
        <f t="shared" si="1"/>
        <v>4.6472362667604817E-3</v>
      </c>
      <c r="H9" s="15">
        <f t="shared" si="2"/>
        <v>-1.2233201758554283E-3</v>
      </c>
      <c r="I9" s="15">
        <f t="shared" si="3"/>
        <v>-2.830866787178094E-3</v>
      </c>
      <c r="J9" s="15">
        <f t="shared" si="5"/>
        <v>1.2464294268597353E-3</v>
      </c>
    </row>
    <row r="10" spans="1:10" x14ac:dyDescent="0.2">
      <c r="A10" s="25">
        <v>45166</v>
      </c>
      <c r="B10" s="26">
        <v>179.272659</v>
      </c>
      <c r="C10" s="26">
        <v>58.680340000000001</v>
      </c>
      <c r="D10" s="26">
        <v>143.939606</v>
      </c>
      <c r="E10" s="26">
        <v>13.299099</v>
      </c>
      <c r="F10" s="15">
        <f t="shared" si="4"/>
        <v>8.8072127836774459E-3</v>
      </c>
      <c r="G10" s="15">
        <f t="shared" si="1"/>
        <v>2.811071519673288E-3</v>
      </c>
      <c r="H10" s="15">
        <f t="shared" si="2"/>
        <v>3.4622835952314748E-3</v>
      </c>
      <c r="I10" s="15">
        <f t="shared" si="3"/>
        <v>7.0621975605345338E-3</v>
      </c>
      <c r="J10" s="15">
        <f t="shared" si="5"/>
        <v>5.6612861296380778E-3</v>
      </c>
    </row>
    <row r="11" spans="1:10" x14ac:dyDescent="0.2">
      <c r="A11" s="25">
        <v>45167</v>
      </c>
      <c r="B11" s="26">
        <v>183.18263200000001</v>
      </c>
      <c r="C11" s="26">
        <v>58.622204000000004</v>
      </c>
      <c r="D11" s="26">
        <v>145.110153</v>
      </c>
      <c r="E11" s="26">
        <v>13.823200999999999</v>
      </c>
      <c r="F11" s="15">
        <f t="shared" si="4"/>
        <v>2.1575762719950167E-2</v>
      </c>
      <c r="G11" s="15">
        <f t="shared" si="1"/>
        <v>-9.9121473034572902E-4</v>
      </c>
      <c r="H11" s="15">
        <f t="shared" si="2"/>
        <v>8.0993210507113115E-3</v>
      </c>
      <c r="I11" s="15">
        <f t="shared" si="3"/>
        <v>3.8652123786868747E-2</v>
      </c>
      <c r="J11" s="15">
        <f t="shared" si="5"/>
        <v>2.0261285327415675E-2</v>
      </c>
    </row>
    <row r="12" spans="1:10" x14ac:dyDescent="0.2">
      <c r="A12" s="25">
        <v>45168</v>
      </c>
      <c r="B12" s="26">
        <v>186.69465600000001</v>
      </c>
      <c r="C12" s="26">
        <v>58.593136000000001</v>
      </c>
      <c r="D12" s="26">
        <v>144.52487199999999</v>
      </c>
      <c r="E12" s="26">
        <v>13.785766000000001</v>
      </c>
      <c r="F12" s="15">
        <f t="shared" si="4"/>
        <v>1.899078242547661E-2</v>
      </c>
      <c r="G12" s="15">
        <f t="shared" si="1"/>
        <v>-4.9597604879833524E-4</v>
      </c>
      <c r="H12" s="15">
        <f t="shared" si="2"/>
        <v>-4.0415125667635282E-3</v>
      </c>
      <c r="I12" s="15">
        <f t="shared" si="3"/>
        <v>-2.7118017809940271E-3</v>
      </c>
      <c r="J12" s="15">
        <f t="shared" si="5"/>
        <v>1.1226617329080104E-3</v>
      </c>
    </row>
    <row r="13" spans="1:10" x14ac:dyDescent="0.2">
      <c r="A13" s="25">
        <v>45169</v>
      </c>
      <c r="B13" s="26">
        <v>186.913544</v>
      </c>
      <c r="C13" s="26">
        <v>57.973002999999999</v>
      </c>
      <c r="D13" s="26">
        <v>142.739777</v>
      </c>
      <c r="E13" s="26">
        <v>13.841919000000001</v>
      </c>
      <c r="F13" s="15">
        <f t="shared" si="4"/>
        <v>1.1717517176788328E-3</v>
      </c>
      <c r="G13" s="15">
        <f t="shared" si="1"/>
        <v>-1.0640119950070189E-2</v>
      </c>
      <c r="H13" s="15">
        <f t="shared" si="2"/>
        <v>-1.2428386047596607E-2</v>
      </c>
      <c r="I13" s="15">
        <f t="shared" si="3"/>
        <v>4.0649860690958528E-3</v>
      </c>
      <c r="J13" s="15">
        <f t="shared" si="5"/>
        <v>-4.3288021916397315E-3</v>
      </c>
    </row>
    <row r="14" spans="1:10" x14ac:dyDescent="0.2">
      <c r="A14" s="25">
        <v>45170</v>
      </c>
      <c r="B14" s="26">
        <v>188.49546799999999</v>
      </c>
      <c r="C14" s="26">
        <v>57.469138999999998</v>
      </c>
      <c r="D14" s="26">
        <v>143.217758</v>
      </c>
      <c r="E14" s="26">
        <v>13.710893</v>
      </c>
      <c r="F14" s="15">
        <f t="shared" si="4"/>
        <v>8.4277857631225358E-3</v>
      </c>
      <c r="G14" s="15">
        <f t="shared" si="1"/>
        <v>-8.7293459886518768E-3</v>
      </c>
      <c r="H14" s="15">
        <f t="shared" si="2"/>
        <v>3.3430239573994255E-3</v>
      </c>
      <c r="I14" s="15">
        <f t="shared" si="3"/>
        <v>-9.5109702559868468E-3</v>
      </c>
      <c r="J14" s="15">
        <f t="shared" si="5"/>
        <v>-2.7929641661798323E-4</v>
      </c>
    </row>
    <row r="15" spans="1:10" x14ac:dyDescent="0.2">
      <c r="A15" s="25">
        <v>45174</v>
      </c>
      <c r="B15" s="26">
        <v>188.734238</v>
      </c>
      <c r="C15" s="26">
        <v>56.994346999999998</v>
      </c>
      <c r="D15" s="26">
        <v>141.63748200000001</v>
      </c>
      <c r="E15" s="26">
        <v>13.551791</v>
      </c>
      <c r="F15" s="15">
        <f t="shared" si="4"/>
        <v>1.2659131987154749E-3</v>
      </c>
      <c r="G15" s="15">
        <f t="shared" si="1"/>
        <v>-8.2960032000802229E-3</v>
      </c>
      <c r="H15" s="15">
        <f t="shared" si="2"/>
        <v>-1.1095405596341172E-2</v>
      </c>
      <c r="I15" s="15">
        <f t="shared" si="3"/>
        <v>-1.1671910678181512E-2</v>
      </c>
      <c r="J15" s="15">
        <f t="shared" si="5"/>
        <v>-8.7030184436974432E-3</v>
      </c>
    </row>
    <row r="16" spans="1:10" x14ac:dyDescent="0.2">
      <c r="A16" s="25">
        <v>45175</v>
      </c>
      <c r="B16" s="26">
        <v>181.97880599999999</v>
      </c>
      <c r="C16" s="26">
        <v>56.955589000000003</v>
      </c>
      <c r="D16" s="26">
        <v>141.403412</v>
      </c>
      <c r="E16" s="26">
        <v>13.673458</v>
      </c>
      <c r="F16" s="15">
        <f t="shared" si="4"/>
        <v>-3.6449647610985361E-2</v>
      </c>
      <c r="G16" s="15">
        <f t="shared" si="1"/>
        <v>-6.802636816685408E-4</v>
      </c>
      <c r="H16" s="15">
        <f t="shared" si="2"/>
        <v>-1.65396632304482E-3</v>
      </c>
      <c r="I16" s="15">
        <f t="shared" si="3"/>
        <v>8.9378657253624903E-3</v>
      </c>
      <c r="J16" s="15">
        <f t="shared" si="5"/>
        <v>-5.1359948137462367E-3</v>
      </c>
    </row>
    <row r="17" spans="1:16" x14ac:dyDescent="0.2">
      <c r="A17" s="25">
        <v>45176</v>
      </c>
      <c r="B17" s="26">
        <v>176.656036</v>
      </c>
      <c r="C17" s="26">
        <v>56.519558000000004</v>
      </c>
      <c r="D17" s="26">
        <v>140.19380200000001</v>
      </c>
      <c r="E17" s="26">
        <v>13.673458</v>
      </c>
      <c r="F17" s="15">
        <f t="shared" si="4"/>
        <v>-2.9685687263803755E-2</v>
      </c>
      <c r="G17" s="15">
        <f t="shared" si="1"/>
        <v>-7.685086250950387E-3</v>
      </c>
      <c r="H17" s="15">
        <f t="shared" si="2"/>
        <v>-8.5911179492632866E-3</v>
      </c>
      <c r="I17" s="15">
        <f t="shared" si="3"/>
        <v>0</v>
      </c>
      <c r="J17" s="15">
        <f t="shared" si="5"/>
        <v>-9.9898156541735963E-3</v>
      </c>
    </row>
    <row r="18" spans="1:16" x14ac:dyDescent="0.2">
      <c r="A18" s="25">
        <v>45177</v>
      </c>
      <c r="B18" s="26">
        <v>177.27285800000001</v>
      </c>
      <c r="C18" s="26">
        <v>56.519558000000004</v>
      </c>
      <c r="D18" s="26">
        <v>140.301117</v>
      </c>
      <c r="E18" s="26">
        <v>13.47692</v>
      </c>
      <c r="F18" s="15">
        <f t="shared" si="4"/>
        <v>3.4855737123982338E-3</v>
      </c>
      <c r="G18" s="15">
        <f t="shared" si="1"/>
        <v>0</v>
      </c>
      <c r="H18" s="15">
        <f t="shared" si="2"/>
        <v>7.6518323838956222E-4</v>
      </c>
      <c r="I18" s="15">
        <f t="shared" si="3"/>
        <v>-1.4477988707991517E-2</v>
      </c>
      <c r="J18" s="15">
        <f t="shared" si="5"/>
        <v>-3.6366611801214475E-3</v>
      </c>
    </row>
    <row r="19" spans="1:16" x14ac:dyDescent="0.2">
      <c r="A19" s="25">
        <v>45180</v>
      </c>
      <c r="B19" s="26">
        <v>178.446854</v>
      </c>
      <c r="C19" s="26">
        <v>57.052486000000002</v>
      </c>
      <c r="D19" s="26">
        <v>140.91566499999999</v>
      </c>
      <c r="E19" s="26">
        <v>13.589228</v>
      </c>
      <c r="F19" s="15">
        <f t="shared" si="4"/>
        <v>6.6007039975988667E-3</v>
      </c>
      <c r="G19" s="15">
        <f t="shared" si="1"/>
        <v>9.3849136242531647E-3</v>
      </c>
      <c r="H19" s="15">
        <f t="shared" si="2"/>
        <v>4.3706422775577902E-3</v>
      </c>
      <c r="I19" s="15">
        <f t="shared" si="3"/>
        <v>8.2988273439278445E-3</v>
      </c>
      <c r="J19" s="15">
        <f t="shared" si="5"/>
        <v>6.2859574110678022E-3</v>
      </c>
    </row>
    <row r="20" spans="1:16" x14ac:dyDescent="0.2">
      <c r="A20" s="25">
        <v>45181</v>
      </c>
      <c r="B20" s="26">
        <v>175.40245100000001</v>
      </c>
      <c r="C20" s="26">
        <v>56.490485999999997</v>
      </c>
      <c r="D20" s="26">
        <v>142.74954199999999</v>
      </c>
      <c r="E20" s="26">
        <v>13.533073</v>
      </c>
      <c r="F20" s="15">
        <f t="shared" si="4"/>
        <v>-1.7207766577965616E-2</v>
      </c>
      <c r="G20" s="15">
        <f t="shared" si="1"/>
        <v>-9.8994165765982269E-3</v>
      </c>
      <c r="H20" s="15">
        <f t="shared" si="2"/>
        <v>1.2930049259339658E-2</v>
      </c>
      <c r="I20" s="15">
        <f t="shared" si="3"/>
        <v>-4.1408787728015178E-3</v>
      </c>
      <c r="J20" s="15">
        <f t="shared" si="5"/>
        <v>4.887238112031005E-4</v>
      </c>
    </row>
    <row r="21" spans="1:16" x14ac:dyDescent="0.2">
      <c r="A21" s="25">
        <v>45182</v>
      </c>
      <c r="B21" s="26">
        <v>173.32309000000001</v>
      </c>
      <c r="C21" s="26">
        <v>56.626140999999997</v>
      </c>
      <c r="D21" s="26">
        <v>142.817825</v>
      </c>
      <c r="E21" s="26">
        <v>13.682817</v>
      </c>
      <c r="F21" s="15">
        <f t="shared" si="4"/>
        <v>-1.1925628607410014E-2</v>
      </c>
      <c r="G21" s="15">
        <f t="shared" si="1"/>
        <v>2.3984991177818894E-3</v>
      </c>
      <c r="H21" s="15">
        <f t="shared" si="2"/>
        <v>4.7822692080471709E-4</v>
      </c>
      <c r="I21" s="15">
        <f t="shared" si="3"/>
        <v>1.1004270746853787E-2</v>
      </c>
      <c r="J21" s="15">
        <f t="shared" si="5"/>
        <v>1.4768108627912393E-3</v>
      </c>
    </row>
    <row r="22" spans="1:16" x14ac:dyDescent="0.2">
      <c r="A22" s="25">
        <v>45183</v>
      </c>
      <c r="B22" s="26">
        <v>174.84530599999999</v>
      </c>
      <c r="C22" s="26">
        <v>57.094935999999997</v>
      </c>
      <c r="D22" s="26">
        <v>145.58813499999999</v>
      </c>
      <c r="E22" s="26">
        <v>14.094611</v>
      </c>
      <c r="F22" s="15">
        <f t="shared" si="4"/>
        <v>8.744192273870471E-3</v>
      </c>
      <c r="G22" s="15">
        <f t="shared" si="1"/>
        <v>8.2446925036342867E-3</v>
      </c>
      <c r="H22" s="15">
        <f t="shared" si="2"/>
        <v>1.9211775011975799E-2</v>
      </c>
      <c r="I22" s="15">
        <f t="shared" si="3"/>
        <v>2.9651713697862989E-2</v>
      </c>
      <c r="J22" s="15">
        <f t="shared" si="5"/>
        <v>2.0042246390674492E-2</v>
      </c>
    </row>
    <row r="23" spans="1:16" x14ac:dyDescent="0.2">
      <c r="A23" s="25">
        <v>45184</v>
      </c>
      <c r="B23" s="26">
        <v>174.11900299999999</v>
      </c>
      <c r="C23" s="26">
        <v>56.587074000000001</v>
      </c>
      <c r="D23" s="26">
        <v>145.15891999999999</v>
      </c>
      <c r="E23" s="26">
        <v>14.253714</v>
      </c>
      <c r="F23" s="15">
        <f t="shared" si="4"/>
        <v>-4.1626265495737849E-3</v>
      </c>
      <c r="G23" s="15">
        <f t="shared" si="1"/>
        <v>-8.9348416448038568E-3</v>
      </c>
      <c r="H23" s="15">
        <f t="shared" si="2"/>
        <v>-2.9524998063902006E-3</v>
      </c>
      <c r="I23" s="15">
        <f t="shared" si="3"/>
        <v>1.1224978589028094E-2</v>
      </c>
      <c r="J23" s="15">
        <f t="shared" si="5"/>
        <v>1.1313429911168696E-3</v>
      </c>
    </row>
    <row r="24" spans="1:16" x14ac:dyDescent="0.2">
      <c r="A24" s="25">
        <v>45187</v>
      </c>
      <c r="B24" s="26">
        <v>177.06393399999999</v>
      </c>
      <c r="C24" s="26">
        <v>56.938667000000002</v>
      </c>
      <c r="D24" s="26">
        <v>145.461319</v>
      </c>
      <c r="E24" s="26">
        <v>14.122688</v>
      </c>
      <c r="F24" s="15">
        <f t="shared" si="4"/>
        <v>1.6771885661529522E-2</v>
      </c>
      <c r="G24" s="15">
        <f t="shared" si="1"/>
        <v>6.1940863988089057E-3</v>
      </c>
      <c r="H24" s="15">
        <f t="shared" si="2"/>
        <v>2.081060219182381E-3</v>
      </c>
      <c r="I24" s="15">
        <f t="shared" si="3"/>
        <v>-9.2349221157867391E-3</v>
      </c>
      <c r="J24" s="15">
        <f t="shared" si="5"/>
        <v>1.5301136594923666E-3</v>
      </c>
      <c r="L24" s="11" t="s">
        <v>7</v>
      </c>
      <c r="M24" s="2" t="s">
        <v>12</v>
      </c>
      <c r="N24" s="2" t="s">
        <v>13</v>
      </c>
      <c r="O24" s="2" t="s">
        <v>14</v>
      </c>
      <c r="P24" s="2" t="s">
        <v>15</v>
      </c>
    </row>
    <row r="25" spans="1:16" x14ac:dyDescent="0.2">
      <c r="A25" s="25">
        <v>45188</v>
      </c>
      <c r="B25" s="26">
        <v>178.15834000000001</v>
      </c>
      <c r="C25" s="26">
        <v>56.821472</v>
      </c>
      <c r="D25" s="26">
        <v>145.27597</v>
      </c>
      <c r="E25" s="26">
        <v>14.234997</v>
      </c>
      <c r="F25" s="15">
        <f t="shared" si="4"/>
        <v>6.1618290451625419E-3</v>
      </c>
      <c r="G25" s="15">
        <f t="shared" si="1"/>
        <v>-2.0603885067279927E-3</v>
      </c>
      <c r="H25" s="15">
        <f t="shared" si="2"/>
        <v>-1.2750275394505101E-3</v>
      </c>
      <c r="I25" s="15">
        <f t="shared" si="3"/>
        <v>7.9209277625121085E-3</v>
      </c>
      <c r="J25" s="15">
        <f t="shared" si="5"/>
        <v>3.1390478840161106E-3</v>
      </c>
      <c r="L25" s="2" t="s">
        <v>1</v>
      </c>
      <c r="M25" s="9">
        <f>AVERAGE(F3:F254)</f>
        <v>1.0005667965467292E-3</v>
      </c>
      <c r="N25" s="9">
        <f>AVERAGE(G3:G254)</f>
        <v>6.5844828632144513E-4</v>
      </c>
      <c r="O25" s="9">
        <f>AVERAGE(H3:H254)</f>
        <v>1.5030786305094985E-3</v>
      </c>
      <c r="P25" s="9">
        <f>AVERAGE(I3:I254)</f>
        <v>1.5168662454873357E-3</v>
      </c>
    </row>
    <row r="26" spans="1:16" x14ac:dyDescent="0.2">
      <c r="A26" s="25">
        <v>45189</v>
      </c>
      <c r="B26" s="26">
        <v>174.59657300000001</v>
      </c>
      <c r="C26" s="26">
        <v>57.075400999999999</v>
      </c>
      <c r="D26" s="26">
        <v>144.66145299999999</v>
      </c>
      <c r="E26" s="26">
        <v>14.553202000000001</v>
      </c>
      <c r="F26" s="15">
        <f t="shared" si="4"/>
        <v>-2.0194689945887755E-2</v>
      </c>
      <c r="G26" s="15">
        <f t="shared" si="1"/>
        <v>4.4589357728930948E-3</v>
      </c>
      <c r="H26" s="15">
        <f t="shared" si="2"/>
        <v>-4.2389693184284203E-3</v>
      </c>
      <c r="I26" s="15">
        <f t="shared" si="3"/>
        <v>2.2107528152630732E-2</v>
      </c>
      <c r="J26" s="15">
        <f t="shared" si="5"/>
        <v>1.4273245220018617E-3</v>
      </c>
      <c r="L26" s="2" t="s">
        <v>2</v>
      </c>
      <c r="M26" s="9">
        <f>MEDIAN(F3:F254)</f>
        <v>1.947036741825917E-3</v>
      </c>
      <c r="N26" s="9">
        <f>MEDIAN(G3:G254)</f>
        <v>1.050272311962191E-3</v>
      </c>
      <c r="O26" s="9">
        <f>MEDIAN(H3:H254)</f>
        <v>2.0270955243618513E-3</v>
      </c>
      <c r="P26" s="9">
        <f>MEDIAN(I3:I254)</f>
        <v>1.4116370274933096E-3</v>
      </c>
    </row>
    <row r="27" spans="1:16" x14ac:dyDescent="0.2">
      <c r="A27" s="25">
        <v>45190</v>
      </c>
      <c r="B27" s="26">
        <v>173.04452499999999</v>
      </c>
      <c r="C27" s="26">
        <v>56.196418999999999</v>
      </c>
      <c r="D27" s="26">
        <v>143.52990700000001</v>
      </c>
      <c r="E27" s="26">
        <v>14.328587000000001</v>
      </c>
      <c r="F27" s="15">
        <f t="shared" si="4"/>
        <v>-8.9290841663582452E-3</v>
      </c>
      <c r="G27" s="15">
        <f t="shared" si="1"/>
        <v>-1.5520182226064388E-2</v>
      </c>
      <c r="H27" s="15">
        <f t="shared" si="2"/>
        <v>-7.8527809774467452E-3</v>
      </c>
      <c r="I27" s="15">
        <f t="shared" si="3"/>
        <v>-1.5554405482686634E-2</v>
      </c>
      <c r="J27" s="15">
        <f t="shared" si="5"/>
        <v>-1.0862645480342735E-2</v>
      </c>
      <c r="L27" s="2" t="s">
        <v>3</v>
      </c>
      <c r="M27" s="9">
        <f>_xlfn.STDEV.S(F3:F254)</f>
        <v>1.4317007168692672E-2</v>
      </c>
      <c r="N27" s="9">
        <f>_xlfn.STDEV.S(G3:G254)</f>
        <v>8.4145554622722402E-3</v>
      </c>
      <c r="O27" s="9">
        <f>_xlfn.STDEV.S(H3:H254)</f>
        <v>1.1640822805611175E-2</v>
      </c>
      <c r="P27" s="9">
        <f>_xlfn.STDEV.S(I3:I254)</f>
        <v>1.3397541042164431E-2</v>
      </c>
    </row>
    <row r="28" spans="1:16" x14ac:dyDescent="0.2">
      <c r="A28" s="25">
        <v>45191</v>
      </c>
      <c r="B28" s="26">
        <v>173.900116</v>
      </c>
      <c r="C28" s="26">
        <v>56.255015999999998</v>
      </c>
      <c r="D28" s="26">
        <v>142.15448000000001</v>
      </c>
      <c r="E28" s="26">
        <v>14.150764000000001</v>
      </c>
      <c r="F28" s="15">
        <f t="shared" si="4"/>
        <v>4.932157084030179E-3</v>
      </c>
      <c r="G28" s="15">
        <f t="shared" si="1"/>
        <v>1.0421744338548341E-3</v>
      </c>
      <c r="H28" s="15">
        <f t="shared" si="2"/>
        <v>-9.6290710303040105E-3</v>
      </c>
      <c r="I28" s="15">
        <f t="shared" si="3"/>
        <v>-1.2488017087223817E-2</v>
      </c>
      <c r="J28" s="15">
        <f t="shared" si="5"/>
        <v>-7.2123448333486972E-3</v>
      </c>
    </row>
    <row r="29" spans="1:16" x14ac:dyDescent="0.2">
      <c r="A29" s="25">
        <v>45194</v>
      </c>
      <c r="B29" s="26">
        <v>175.18356299999999</v>
      </c>
      <c r="C29" s="26">
        <v>55.669029000000002</v>
      </c>
      <c r="D29" s="26">
        <v>142.856842</v>
      </c>
      <c r="E29" s="26">
        <v>14.094611</v>
      </c>
      <c r="F29" s="15">
        <f t="shared" si="4"/>
        <v>7.3532671978666295E-3</v>
      </c>
      <c r="G29" s="15">
        <f t="shared" si="1"/>
        <v>-1.0471250468192831E-2</v>
      </c>
      <c r="H29" s="15">
        <f t="shared" si="2"/>
        <v>4.9286703199951359E-3</v>
      </c>
      <c r="I29" s="15">
        <f t="shared" si="3"/>
        <v>-3.9760898184737319E-3</v>
      </c>
      <c r="J29" s="15">
        <f t="shared" si="5"/>
        <v>1.9130567663173188E-3</v>
      </c>
      <c r="L29" s="11" t="s">
        <v>11</v>
      </c>
      <c r="M29" s="2" t="str">
        <f>M24</f>
        <v>Apple</v>
      </c>
      <c r="N29" s="2" t="str">
        <f t="shared" ref="N29:P29" si="6">N24</f>
        <v>Coca-Cola</v>
      </c>
      <c r="O29" s="2" t="str">
        <f t="shared" si="6"/>
        <v>JPMorgan</v>
      </c>
      <c r="P29" s="2" t="str">
        <f t="shared" si="6"/>
        <v>AT&amp;T</v>
      </c>
    </row>
    <row r="30" spans="1:16" x14ac:dyDescent="0.2">
      <c r="A30" s="25">
        <v>45195</v>
      </c>
      <c r="B30" s="26">
        <v>171.08453399999999</v>
      </c>
      <c r="C30" s="26">
        <v>55.209999000000003</v>
      </c>
      <c r="D30" s="26">
        <v>141.37413000000001</v>
      </c>
      <c r="E30" s="26">
        <v>14.057176</v>
      </c>
      <c r="F30" s="15">
        <f t="shared" si="4"/>
        <v>-2.3676570379196956E-2</v>
      </c>
      <c r="G30" s="15">
        <f t="shared" si="1"/>
        <v>-8.2798817906721903E-3</v>
      </c>
      <c r="H30" s="15">
        <f t="shared" si="2"/>
        <v>-1.0433243353410393E-2</v>
      </c>
      <c r="I30" s="15">
        <f t="shared" si="3"/>
        <v>-2.6595130223768674E-3</v>
      </c>
      <c r="J30" s="15">
        <f t="shared" si="5"/>
        <v>-1.0479526555787275E-2</v>
      </c>
      <c r="L30" s="2" t="s">
        <v>1</v>
      </c>
      <c r="M30" s="9">
        <f>((1+M25)^250)-1</f>
        <v>0.28404678408841222</v>
      </c>
      <c r="N30" s="9">
        <f t="shared" ref="N30:P30" si="7">((1+N25)^250)-1</f>
        <v>0.17887182553898695</v>
      </c>
      <c r="O30" s="9">
        <f t="shared" si="7"/>
        <v>0.45570094625533186</v>
      </c>
      <c r="P30" s="9">
        <f t="shared" si="7"/>
        <v>0.46071967373147737</v>
      </c>
    </row>
    <row r="31" spans="1:16" x14ac:dyDescent="0.2">
      <c r="A31" s="25">
        <v>45196</v>
      </c>
      <c r="B31" s="26">
        <v>169.56231700000001</v>
      </c>
      <c r="C31" s="26">
        <v>54.643543000000001</v>
      </c>
      <c r="D31" s="26">
        <v>142.203262</v>
      </c>
      <c r="E31" s="26">
        <v>13.916791</v>
      </c>
      <c r="F31" s="15">
        <f t="shared" si="4"/>
        <v>-8.9372740582099996E-3</v>
      </c>
      <c r="G31" s="15">
        <f t="shared" si="1"/>
        <v>-1.0313022416799286E-2</v>
      </c>
      <c r="H31" s="15">
        <f t="shared" si="2"/>
        <v>5.8476760566381946E-3</v>
      </c>
      <c r="I31" s="15">
        <f t="shared" si="3"/>
        <v>-1.0036916003110012E-2</v>
      </c>
      <c r="J31" s="15">
        <f t="shared" si="5"/>
        <v>-2.8788070221865132E-3</v>
      </c>
      <c r="L31" s="2" t="s">
        <v>2</v>
      </c>
      <c r="M31" s="9">
        <f>(1+M26)^250-1</f>
        <v>0.62626492871733297</v>
      </c>
      <c r="N31" s="9">
        <f t="shared" ref="N31:P31" si="8">(1+N26)^250-1</f>
        <v>0.30008583663333854</v>
      </c>
      <c r="O31" s="9">
        <f t="shared" si="8"/>
        <v>0.65907618871373086</v>
      </c>
      <c r="P31" s="9">
        <f t="shared" si="8"/>
        <v>0.42284786388584505</v>
      </c>
    </row>
    <row r="32" spans="1:16" x14ac:dyDescent="0.2">
      <c r="A32" s="25">
        <v>45197</v>
      </c>
      <c r="B32" s="26">
        <v>169.82101399999999</v>
      </c>
      <c r="C32" s="26">
        <v>54.506816999999998</v>
      </c>
      <c r="D32" s="26">
        <v>143.968872</v>
      </c>
      <c r="E32" s="26">
        <v>14.047817</v>
      </c>
      <c r="F32" s="15">
        <f t="shared" si="4"/>
        <v>1.5245124110350558E-3</v>
      </c>
      <c r="G32" s="15">
        <f t="shared" si="1"/>
        <v>-2.5052793506595878E-3</v>
      </c>
      <c r="H32" s="15">
        <f t="shared" si="2"/>
        <v>1.2339652914118577E-2</v>
      </c>
      <c r="I32" s="15">
        <f t="shared" si="3"/>
        <v>9.370913321953802E-3</v>
      </c>
      <c r="J32" s="15">
        <f t="shared" si="5"/>
        <v>8.6209083606874817E-3</v>
      </c>
      <c r="L32" s="2" t="s">
        <v>3</v>
      </c>
      <c r="M32" s="9">
        <f>M27*SQRT(250)</f>
        <v>0.22637175965013689</v>
      </c>
      <c r="N32" s="9">
        <f t="shared" ref="N32:P32" si="9">N27*SQRT(250)</f>
        <v>0.13304580379295658</v>
      </c>
      <c r="O32" s="9">
        <f t="shared" si="9"/>
        <v>0.18405756952081409</v>
      </c>
      <c r="P32" s="9">
        <f t="shared" si="9"/>
        <v>0.21183372369412781</v>
      </c>
    </row>
    <row r="33" spans="1:18" x14ac:dyDescent="0.2">
      <c r="A33" s="25">
        <v>45198</v>
      </c>
      <c r="B33" s="26">
        <v>170.33836400000001</v>
      </c>
      <c r="C33" s="26">
        <v>54.672840000000001</v>
      </c>
      <c r="D33" s="26">
        <v>141.46191400000001</v>
      </c>
      <c r="E33" s="26">
        <v>14.057176</v>
      </c>
      <c r="F33" s="15">
        <f t="shared" si="4"/>
        <v>3.0418117645047292E-3</v>
      </c>
      <c r="G33" s="15">
        <f t="shared" si="1"/>
        <v>3.0412831937692204E-3</v>
      </c>
      <c r="H33" s="15">
        <f t="shared" si="2"/>
        <v>-1.7566587699048578E-2</v>
      </c>
      <c r="I33" s="15">
        <f t="shared" si="3"/>
        <v>6.6600268115622394E-4</v>
      </c>
      <c r="J33" s="15">
        <f t="shared" si="5"/>
        <v>-6.7410008614461787E-3</v>
      </c>
      <c r="L33" s="2" t="s">
        <v>0</v>
      </c>
      <c r="M33" s="10">
        <f>M30/M32</f>
        <v>1.2547801215461394</v>
      </c>
      <c r="N33" s="10">
        <f>N30/N32</f>
        <v>1.344437933700968</v>
      </c>
      <c r="O33" s="10">
        <f>O30/O32</f>
        <v>2.47586093547649</v>
      </c>
      <c r="P33" s="10">
        <f>P30/P32</f>
        <v>2.1749118398009299</v>
      </c>
    </row>
    <row r="34" spans="1:18" x14ac:dyDescent="0.2">
      <c r="A34" s="25">
        <v>45201</v>
      </c>
      <c r="B34" s="26">
        <v>172.865433</v>
      </c>
      <c r="C34" s="26">
        <v>54.184517</v>
      </c>
      <c r="D34" s="26">
        <v>140.24259900000001</v>
      </c>
      <c r="E34" s="26">
        <v>13.729611</v>
      </c>
      <c r="F34" s="15">
        <f t="shared" si="4"/>
        <v>1.4726612543542477E-2</v>
      </c>
      <c r="G34" s="15">
        <f t="shared" si="1"/>
        <v>-8.9718561804357604E-3</v>
      </c>
      <c r="H34" s="15">
        <f t="shared" si="2"/>
        <v>-8.6567488859623613E-3</v>
      </c>
      <c r="I34" s="15">
        <f t="shared" si="3"/>
        <v>-2.3578125464621125E-2</v>
      </c>
      <c r="J34" s="15">
        <f t="shared" si="5"/>
        <v>-8.8179369067360458E-3</v>
      </c>
      <c r="M34" s="6"/>
      <c r="N34" s="6"/>
      <c r="O34" s="6"/>
      <c r="P34" s="6"/>
    </row>
    <row r="35" spans="1:18" x14ac:dyDescent="0.2">
      <c r="A35" s="25">
        <v>45202</v>
      </c>
      <c r="B35" s="26">
        <v>171.52229299999999</v>
      </c>
      <c r="C35" s="26">
        <v>53.598529999999997</v>
      </c>
      <c r="D35" s="26">
        <v>139.208618</v>
      </c>
      <c r="E35" s="26">
        <v>13.832561</v>
      </c>
      <c r="F35" s="15">
        <f t="shared" si="4"/>
        <v>-7.8002013931504684E-3</v>
      </c>
      <c r="G35" s="15">
        <f t="shared" si="1"/>
        <v>-1.0873561101627389E-2</v>
      </c>
      <c r="H35" s="15">
        <f t="shared" si="2"/>
        <v>-7.4001160534839551E-3</v>
      </c>
      <c r="I35" s="15">
        <f t="shared" si="3"/>
        <v>7.470418425544037E-3</v>
      </c>
      <c r="J35" s="15">
        <f t="shared" si="5"/>
        <v>-2.8289855790354316E-3</v>
      </c>
    </row>
    <row r="36" spans="1:18" x14ac:dyDescent="0.2">
      <c r="A36" s="25">
        <v>45203</v>
      </c>
      <c r="B36" s="26">
        <v>172.77589399999999</v>
      </c>
      <c r="C36" s="26">
        <v>53.754795000000001</v>
      </c>
      <c r="D36" s="26">
        <v>139.832886</v>
      </c>
      <c r="E36" s="26">
        <v>13.710893</v>
      </c>
      <c r="F36" s="15">
        <f t="shared" si="4"/>
        <v>7.2820978273525263E-3</v>
      </c>
      <c r="G36" s="15">
        <f t="shared" si="1"/>
        <v>2.9112300036451422E-3</v>
      </c>
      <c r="H36" s="15">
        <f t="shared" si="2"/>
        <v>4.4743812840926343E-3</v>
      </c>
      <c r="I36" s="15">
        <f t="shared" si="3"/>
        <v>-8.8346792935787202E-3</v>
      </c>
      <c r="J36" s="15">
        <f t="shared" si="5"/>
        <v>6.8071290908287667E-4</v>
      </c>
      <c r="L36" s="3" t="s">
        <v>10</v>
      </c>
      <c r="M36" s="7" t="str">
        <f>"w_"&amp;B1</f>
        <v>w_Apple</v>
      </c>
      <c r="N36" s="7" t="str">
        <f t="shared" ref="N36:P36" si="10">"w_"&amp;C1</f>
        <v>w_Coca-Cola</v>
      </c>
      <c r="O36" s="7" t="str">
        <f t="shared" si="10"/>
        <v>w_JPMorgan</v>
      </c>
      <c r="P36" s="7" t="str">
        <f t="shared" si="10"/>
        <v>w_AT&amp;T</v>
      </c>
    </row>
    <row r="37" spans="1:18" x14ac:dyDescent="0.2">
      <c r="A37" s="25">
        <v>45204</v>
      </c>
      <c r="B37" s="26">
        <v>174.019531</v>
      </c>
      <c r="C37" s="26">
        <v>51.156905999999999</v>
      </c>
      <c r="D37" s="26">
        <v>140.42248499999999</v>
      </c>
      <c r="E37" s="26">
        <v>13.879355</v>
      </c>
      <c r="F37" s="15">
        <f t="shared" si="4"/>
        <v>7.1721957179410305E-3</v>
      </c>
      <c r="G37" s="15">
        <f t="shared" si="1"/>
        <v>-4.9535374384451825E-2</v>
      </c>
      <c r="H37" s="15">
        <f t="shared" si="2"/>
        <v>4.2075901542361687E-3</v>
      </c>
      <c r="I37" s="15">
        <f t="shared" si="3"/>
        <v>1.2211857867236135E-2</v>
      </c>
      <c r="J37" s="15">
        <f t="shared" si="5"/>
        <v>5.1834637731418276E-3</v>
      </c>
      <c r="L37" s="7" t="s">
        <v>5</v>
      </c>
      <c r="M37" s="12">
        <v>0.19932091707623176</v>
      </c>
      <c r="N37" s="12">
        <v>4.0838545135725303E-2</v>
      </c>
      <c r="O37" s="12">
        <v>0.4375436963131189</v>
      </c>
      <c r="P37" s="12">
        <v>0.32229684147492393</v>
      </c>
      <c r="Q37" s="8">
        <f>SUM(M37:P37)</f>
        <v>0.99999999999999978</v>
      </c>
    </row>
    <row r="38" spans="1:18" x14ac:dyDescent="0.2">
      <c r="A38" s="25">
        <v>45205</v>
      </c>
      <c r="B38" s="26">
        <v>176.586411</v>
      </c>
      <c r="C38" s="26">
        <v>51.899158</v>
      </c>
      <c r="D38" s="26">
        <v>142.584351</v>
      </c>
      <c r="E38" s="26">
        <v>13.782069999999999</v>
      </c>
      <c r="F38" s="15">
        <f t="shared" si="4"/>
        <v>1.4642797262619538E-2</v>
      </c>
      <c r="G38" s="15">
        <f t="shared" si="1"/>
        <v>1.4405068586763934E-2</v>
      </c>
      <c r="H38" s="15">
        <f t="shared" si="2"/>
        <v>1.5278133083516892E-2</v>
      </c>
      <c r="I38" s="15">
        <f t="shared" si="3"/>
        <v>-7.0340122474886078E-3</v>
      </c>
      <c r="J38" s="15">
        <f t="shared" si="5"/>
        <v>7.9247087144746625E-3</v>
      </c>
    </row>
    <row r="39" spans="1:18" x14ac:dyDescent="0.2">
      <c r="A39" s="25">
        <v>45208</v>
      </c>
      <c r="B39" s="26">
        <v>178.07875100000001</v>
      </c>
      <c r="C39" s="26">
        <v>51.645232999999998</v>
      </c>
      <c r="D39" s="26">
        <v>142.260086</v>
      </c>
      <c r="E39" s="26">
        <v>14.049127</v>
      </c>
      <c r="F39" s="15">
        <f t="shared" si="4"/>
        <v>8.4155364965835446E-3</v>
      </c>
      <c r="G39" s="15">
        <f t="shared" si="1"/>
        <v>-4.9046695157092994E-3</v>
      </c>
      <c r="H39" s="15">
        <f t="shared" si="2"/>
        <v>-2.2767875931944174E-3</v>
      </c>
      <c r="I39" s="15">
        <f t="shared" si="3"/>
        <v>1.919178660718069E-2</v>
      </c>
      <c r="J39" s="15">
        <f t="shared" si="5"/>
        <v>6.6663510313033688E-3</v>
      </c>
      <c r="L39" s="4" t="s">
        <v>1</v>
      </c>
      <c r="M39" s="6">
        <f>AVERAGE(J3:J254)</f>
        <v>1.3728677412470826E-3</v>
      </c>
      <c r="N39" s="5">
        <f>((1+M39)^250)-1</f>
        <v>0.40914277003208266</v>
      </c>
      <c r="P39" s="13" t="s">
        <v>46</v>
      </c>
      <c r="Q39" s="14">
        <v>4.5199999999999997E-2</v>
      </c>
      <c r="R39" s="16"/>
    </row>
    <row r="40" spans="1:18" x14ac:dyDescent="0.2">
      <c r="A40" s="25">
        <v>45209</v>
      </c>
      <c r="B40" s="26">
        <v>177.48181199999999</v>
      </c>
      <c r="C40" s="26">
        <v>52.768374999999999</v>
      </c>
      <c r="D40" s="26">
        <v>143.12480199999999</v>
      </c>
      <c r="E40" s="26">
        <v>14.268497</v>
      </c>
      <c r="F40" s="15">
        <f t="shared" si="4"/>
        <v>-3.3577377412587176E-3</v>
      </c>
      <c r="G40" s="15">
        <f t="shared" si="1"/>
        <v>2.1514155913894644E-2</v>
      </c>
      <c r="H40" s="15">
        <f t="shared" si="2"/>
        <v>6.0600170693245765E-3</v>
      </c>
      <c r="I40" s="15">
        <f t="shared" si="3"/>
        <v>1.5493841465178439E-2</v>
      </c>
      <c r="J40" s="15">
        <f t="shared" si="5"/>
        <v>7.8544778962305432E-3</v>
      </c>
      <c r="L40" s="4" t="s">
        <v>6</v>
      </c>
      <c r="M40" s="5" cm="1">
        <f t="array" ref="M40">SQRT(MMULT(MMULT(M37:P37,M44:P47),TRANSPOSE(M37:P37)))</f>
        <v>7.9850612239779628E-3</v>
      </c>
      <c r="N40" s="5">
        <f>M40*SQRT(250)</f>
        <v>0.12625490361831143</v>
      </c>
      <c r="P40" s="13" t="s">
        <v>7</v>
      </c>
      <c r="Q40" s="14">
        <f>((1+Q39)^(1/250))-1</f>
        <v>1.7684865453726495E-4</v>
      </c>
    </row>
    <row r="41" spans="1:18" x14ac:dyDescent="0.2">
      <c r="A41" s="25">
        <v>45210</v>
      </c>
      <c r="B41" s="26">
        <v>178.88462799999999</v>
      </c>
      <c r="C41" s="26">
        <v>52.455849000000001</v>
      </c>
      <c r="D41" s="26">
        <v>143.61615</v>
      </c>
      <c r="E41" s="26">
        <v>14.087278</v>
      </c>
      <c r="F41" s="15">
        <f t="shared" si="4"/>
        <v>7.8729256654077838E-3</v>
      </c>
      <c r="G41" s="15">
        <f t="shared" si="1"/>
        <v>-5.9402085775266582E-3</v>
      </c>
      <c r="H41" s="15">
        <f t="shared" si="2"/>
        <v>3.4271245700145075E-3</v>
      </c>
      <c r="I41" s="15">
        <f t="shared" si="3"/>
        <v>-1.2781979492703863E-2</v>
      </c>
      <c r="J41" s="15">
        <f t="shared" si="5"/>
        <v>-1.2934255786129127E-3</v>
      </c>
      <c r="L41" s="4" t="s">
        <v>0</v>
      </c>
      <c r="M41" s="6">
        <f>(M39-Q40)/M40</f>
        <v>0.14978208095867174</v>
      </c>
      <c r="N41" s="6">
        <f>(N39-Q39)/N40</f>
        <v>2.8826030482929936</v>
      </c>
    </row>
    <row r="42" spans="1:18" x14ac:dyDescent="0.2">
      <c r="A42" s="25">
        <v>45211</v>
      </c>
      <c r="B42" s="26">
        <v>179.790009</v>
      </c>
      <c r="C42" s="26">
        <v>51.576866000000003</v>
      </c>
      <c r="D42" s="26">
        <v>143.282028</v>
      </c>
      <c r="E42" s="26">
        <v>13.782069999999999</v>
      </c>
      <c r="F42" s="15">
        <f t="shared" si="4"/>
        <v>5.0484914715231101E-3</v>
      </c>
      <c r="G42" s="15">
        <f t="shared" si="1"/>
        <v>-1.6898605731409447E-2</v>
      </c>
      <c r="H42" s="15">
        <f t="shared" si="2"/>
        <v>-2.3292037153074849E-3</v>
      </c>
      <c r="I42" s="15">
        <f t="shared" si="3"/>
        <v>-2.1903648579655197E-2</v>
      </c>
      <c r="J42" s="15">
        <f t="shared" si="5"/>
        <v>-7.7624496799989307E-3</v>
      </c>
    </row>
    <row r="43" spans="1:18" x14ac:dyDescent="0.2">
      <c r="A43" s="25">
        <v>45212</v>
      </c>
      <c r="B43" s="26">
        <v>177.93946800000001</v>
      </c>
      <c r="C43" s="26">
        <v>51.654995</v>
      </c>
      <c r="D43" s="26">
        <v>145.43408199999999</v>
      </c>
      <c r="E43" s="26">
        <v>13.696229000000001</v>
      </c>
      <c r="F43" s="15">
        <f t="shared" si="4"/>
        <v>-1.0346128156285038E-2</v>
      </c>
      <c r="G43" s="15">
        <f t="shared" si="1"/>
        <v>1.5136608826072475E-3</v>
      </c>
      <c r="H43" s="15">
        <f t="shared" si="2"/>
        <v>1.490802752612275E-2</v>
      </c>
      <c r="I43" s="15">
        <f t="shared" si="3"/>
        <v>-6.2479325408984904E-3</v>
      </c>
      <c r="J43" s="15">
        <f t="shared" si="5"/>
        <v>2.5088405008130716E-3</v>
      </c>
      <c r="L43" s="11" t="s">
        <v>9</v>
      </c>
      <c r="M43" s="17" t="str">
        <f>M29</f>
        <v>Apple</v>
      </c>
      <c r="N43" s="17" t="str">
        <f t="shared" ref="N43:P43" si="11">N29</f>
        <v>Coca-Cola</v>
      </c>
      <c r="O43" s="17" t="str">
        <f t="shared" si="11"/>
        <v>JPMorgan</v>
      </c>
      <c r="P43" s="17" t="str">
        <f t="shared" si="11"/>
        <v>AT&amp;T</v>
      </c>
    </row>
    <row r="44" spans="1:18" x14ac:dyDescent="0.2">
      <c r="A44" s="25">
        <v>45215</v>
      </c>
      <c r="B44" s="26">
        <v>177.810135</v>
      </c>
      <c r="C44" s="26">
        <v>52.182383999999999</v>
      </c>
      <c r="D44" s="26">
        <v>145.28668200000001</v>
      </c>
      <c r="E44" s="26">
        <v>13.743919</v>
      </c>
      <c r="F44" s="15">
        <f t="shared" si="4"/>
        <v>-7.2710133536225421E-4</v>
      </c>
      <c r="G44" s="15">
        <f t="shared" si="1"/>
        <v>1.0158067162630343E-2</v>
      </c>
      <c r="H44" s="15">
        <f t="shared" si="2"/>
        <v>-1.0140315442376808E-3</v>
      </c>
      <c r="I44" s="15">
        <f t="shared" si="3"/>
        <v>3.47593227385585E-3</v>
      </c>
      <c r="J44" s="15">
        <f t="shared" si="5"/>
        <v>9.4651306234168689E-4</v>
      </c>
      <c r="L44" s="18" t="str">
        <f>M43</f>
        <v>Apple</v>
      </c>
      <c r="M44" s="19">
        <f>VARP(Portafolio!$F$3:$F$254)</f>
        <v>2.0416329468796719E-4</v>
      </c>
      <c r="N44" s="19">
        <f>M45</f>
        <v>1.114837388610517E-5</v>
      </c>
      <c r="O44" s="19">
        <f>M46</f>
        <v>7.9387037462506825E-6</v>
      </c>
      <c r="P44" s="19">
        <f>M47</f>
        <v>-2.2006229590220094E-6</v>
      </c>
    </row>
    <row r="45" spans="1:18" x14ac:dyDescent="0.2">
      <c r="A45" s="25">
        <v>45216</v>
      </c>
      <c r="B45" s="26">
        <v>176.248108</v>
      </c>
      <c r="C45" s="26">
        <v>52.807445999999999</v>
      </c>
      <c r="D45" s="26">
        <v>144.97221400000001</v>
      </c>
      <c r="E45" s="26">
        <v>13.906060999999999</v>
      </c>
      <c r="F45" s="15">
        <f t="shared" si="4"/>
        <v>-8.8236168219693739E-3</v>
      </c>
      <c r="G45" s="15">
        <f t="shared" si="1"/>
        <v>1.1907236828734701E-2</v>
      </c>
      <c r="H45" s="15">
        <f t="shared" si="2"/>
        <v>-2.1668112665697982E-3</v>
      </c>
      <c r="I45" s="15">
        <f t="shared" si="3"/>
        <v>1.1728316519177792E-2</v>
      </c>
      <c r="J45" s="15">
        <f t="shared" si="5"/>
        <v>1.5594675909491673E-3</v>
      </c>
      <c r="L45" s="18" t="str">
        <f>N43</f>
        <v>Coca-Cola</v>
      </c>
      <c r="M45" s="20">
        <f>_xlfn.COVARIANCE.P($F$3:$F$254,G3:G254)</f>
        <v>1.114837388610517E-5</v>
      </c>
      <c r="N45" s="19">
        <f>VARP(Portafolio!$G$3:$G$254)</f>
        <v>7.052377242278394E-5</v>
      </c>
      <c r="O45" s="19">
        <f>N46</f>
        <v>1.8170255662120506E-5</v>
      </c>
      <c r="P45" s="19">
        <f>N47</f>
        <v>3.9163359961956121E-5</v>
      </c>
    </row>
    <row r="46" spans="1:18" x14ac:dyDescent="0.2">
      <c r="A46" s="25">
        <v>45217</v>
      </c>
      <c r="B46" s="26">
        <v>174.94477800000001</v>
      </c>
      <c r="C46" s="26">
        <v>52.787909999999997</v>
      </c>
      <c r="D46" s="26">
        <v>143.380325</v>
      </c>
      <c r="E46" s="26">
        <v>13.658078</v>
      </c>
      <c r="F46" s="15">
        <f t="shared" si="4"/>
        <v>-7.4223370429170512E-3</v>
      </c>
      <c r="G46" s="15">
        <f t="shared" si="1"/>
        <v>-3.7001627652822851E-4</v>
      </c>
      <c r="H46" s="15">
        <f t="shared" si="2"/>
        <v>-1.1041381345434621E-2</v>
      </c>
      <c r="I46" s="15">
        <f t="shared" si="3"/>
        <v>-1.7993646801684915E-2</v>
      </c>
      <c r="J46" s="15">
        <f t="shared" si="5"/>
        <v>-1.212492028973566E-2</v>
      </c>
      <c r="L46" s="18" t="str">
        <f>O43</f>
        <v>JPMorgan</v>
      </c>
      <c r="M46" s="20">
        <f>_xlfn.COVARIANCE.P($F$3:$F$254,H3:H254)</f>
        <v>7.9387037462506825E-6</v>
      </c>
      <c r="N46" s="20">
        <f>_xlfn.COVARIANCE.P($G$3:$G$254,H3:H254)</f>
        <v>1.8170255662120506E-5</v>
      </c>
      <c r="O46" s="19">
        <f>VARP(Portafolio!$H$3:$H$254)</f>
        <v>1.3497102243452755E-4</v>
      </c>
      <c r="P46" s="19">
        <f>O47</f>
        <v>2.8925886198153199E-5</v>
      </c>
    </row>
    <row r="47" spans="1:18" x14ac:dyDescent="0.2">
      <c r="A47" s="25">
        <v>45218</v>
      </c>
      <c r="B47" s="26">
        <v>174.566742</v>
      </c>
      <c r="C47" s="26">
        <v>53.080902000000002</v>
      </c>
      <c r="D47" s="26">
        <v>142.77105700000001</v>
      </c>
      <c r="E47" s="26">
        <v>14.554627999999999</v>
      </c>
      <c r="F47" s="15">
        <f t="shared" si="4"/>
        <v>-2.1632256780532658E-3</v>
      </c>
      <c r="G47" s="15">
        <f t="shared" si="1"/>
        <v>5.5350153172178456E-3</v>
      </c>
      <c r="H47" s="15">
        <f t="shared" si="2"/>
        <v>-4.2583678361532767E-3</v>
      </c>
      <c r="I47" s="15">
        <f t="shared" si="3"/>
        <v>6.3577877182322051E-2</v>
      </c>
      <c r="J47" s="15">
        <f t="shared" si="5"/>
        <v>1.8422592847118335E-2</v>
      </c>
      <c r="L47" s="18" t="str">
        <f>P43</f>
        <v>AT&amp;T</v>
      </c>
      <c r="M47" s="20">
        <f>_xlfn.COVARIANCE.P($F$3:$F$254,I5:I256)</f>
        <v>-2.2006229590220094E-6</v>
      </c>
      <c r="N47" s="20">
        <f>_xlfn.COVARIANCE.P($G$3:$G$254,I3:I254)</f>
        <v>3.9163359961956121E-5</v>
      </c>
      <c r="O47" s="20">
        <f>_xlfn.COVARIANCE.P($H$3:$H$254,I3:I254)</f>
        <v>2.8925886198153199E-5</v>
      </c>
      <c r="P47" s="19">
        <f>VARP(Portafolio!$I$3:$I$254)</f>
        <v>1.7878182777816105E-4</v>
      </c>
    </row>
    <row r="48" spans="1:18" x14ac:dyDescent="0.2">
      <c r="A48" s="25">
        <v>45219</v>
      </c>
      <c r="B48" s="26">
        <v>171.999863</v>
      </c>
      <c r="C48" s="26">
        <v>53.295769</v>
      </c>
      <c r="D48" s="26">
        <v>140.47163399999999</v>
      </c>
      <c r="E48" s="26">
        <v>14.669083000000001</v>
      </c>
      <c r="F48" s="15">
        <f t="shared" si="4"/>
        <v>-1.48134638605088E-2</v>
      </c>
      <c r="G48" s="15">
        <f t="shared" si="1"/>
        <v>4.0397446205238134E-3</v>
      </c>
      <c r="H48" s="15">
        <f t="shared" si="2"/>
        <v>-1.623677213768495E-2</v>
      </c>
      <c r="I48" s="15">
        <f t="shared" si="3"/>
        <v>7.8330630368045693E-3</v>
      </c>
      <c r="J48" s="15">
        <f t="shared" si="5"/>
        <v>-7.36738173021061E-3</v>
      </c>
    </row>
    <row r="49" spans="1:10" x14ac:dyDescent="0.2">
      <c r="A49" s="25">
        <v>45222</v>
      </c>
      <c r="B49" s="26">
        <v>172.119247</v>
      </c>
      <c r="C49" s="26">
        <v>52.817211</v>
      </c>
      <c r="D49" s="26">
        <v>138.55543499999999</v>
      </c>
      <c r="E49" s="26">
        <v>14.258959000000001</v>
      </c>
      <c r="F49" s="15">
        <f t="shared" si="4"/>
        <v>6.9385280456884656E-4</v>
      </c>
      <c r="G49" s="15">
        <f t="shared" si="1"/>
        <v>-9.01984365197008E-3</v>
      </c>
      <c r="H49" s="15">
        <f t="shared" si="2"/>
        <v>-1.3735076896956099E-2</v>
      </c>
      <c r="I49" s="15">
        <f t="shared" si="3"/>
        <v>-2.8356670761467306E-2</v>
      </c>
      <c r="J49" s="15">
        <f t="shared" si="5"/>
        <v>-1.5379019650579921E-2</v>
      </c>
    </row>
    <row r="50" spans="1:10" x14ac:dyDescent="0.2">
      <c r="A50" s="25">
        <v>45223</v>
      </c>
      <c r="B50" s="26">
        <v>172.55702199999999</v>
      </c>
      <c r="C50" s="26">
        <v>54.340781999999997</v>
      </c>
      <c r="D50" s="26">
        <v>138.722488</v>
      </c>
      <c r="E50" s="26">
        <v>14.812148000000001</v>
      </c>
      <c r="F50" s="15">
        <f t="shared" si="4"/>
        <v>2.5402110604923374E-3</v>
      </c>
      <c r="G50" s="15">
        <f t="shared" si="1"/>
        <v>2.8437891260977562E-2</v>
      </c>
      <c r="H50" s="15">
        <f t="shared" si="2"/>
        <v>1.2049500256252955E-3</v>
      </c>
      <c r="I50" s="15">
        <f t="shared" si="3"/>
        <v>3.8062243981015008E-2</v>
      </c>
      <c r="J50" s="15">
        <f t="shared" si="5"/>
        <v>1.446223860658455E-2</v>
      </c>
    </row>
    <row r="51" spans="1:10" x14ac:dyDescent="0.2">
      <c r="A51" s="25">
        <v>45224</v>
      </c>
      <c r="B51" s="26">
        <v>170.228928</v>
      </c>
      <c r="C51" s="26">
        <v>54.809573999999998</v>
      </c>
      <c r="D51" s="26">
        <v>137.96582000000001</v>
      </c>
      <c r="E51" s="26">
        <v>14.487864</v>
      </c>
      <c r="F51" s="15">
        <f t="shared" si="4"/>
        <v>-1.3583577722310494E-2</v>
      </c>
      <c r="G51" s="15">
        <f t="shared" si="1"/>
        <v>8.5898919565569297E-3</v>
      </c>
      <c r="H51" s="15">
        <f t="shared" si="2"/>
        <v>-5.4694749611117069E-3</v>
      </c>
      <c r="I51" s="15">
        <f t="shared" si="3"/>
        <v>-2.2136321441816844E-2</v>
      </c>
      <c r="J51" s="15">
        <f t="shared" si="5"/>
        <v>-1.1884293252356418E-2</v>
      </c>
    </row>
    <row r="52" spans="1:10" x14ac:dyDescent="0.2">
      <c r="A52" s="25">
        <v>45225</v>
      </c>
      <c r="B52" s="26">
        <v>166.04037500000001</v>
      </c>
      <c r="C52" s="26">
        <v>54.477511999999997</v>
      </c>
      <c r="D52" s="26">
        <v>138.31959499999999</v>
      </c>
      <c r="E52" s="26">
        <v>14.421099999999999</v>
      </c>
      <c r="F52" s="15">
        <f t="shared" si="4"/>
        <v>-2.4913184770041188E-2</v>
      </c>
      <c r="G52" s="15">
        <f t="shared" si="1"/>
        <v>-6.0768940601561034E-3</v>
      </c>
      <c r="H52" s="15">
        <f t="shared" si="2"/>
        <v>2.5609400579485304E-3</v>
      </c>
      <c r="I52" s="15">
        <f t="shared" si="3"/>
        <v>-4.6189215703234801E-3</v>
      </c>
      <c r="J52" s="15">
        <f t="shared" si="5"/>
        <v>-5.5820310021594466E-3</v>
      </c>
    </row>
    <row r="53" spans="1:10" x14ac:dyDescent="0.2">
      <c r="A53" s="25">
        <v>45226</v>
      </c>
      <c r="B53" s="26">
        <v>167.363586</v>
      </c>
      <c r="C53" s="26">
        <v>53.950127000000002</v>
      </c>
      <c r="D53" s="26">
        <v>133.33750900000001</v>
      </c>
      <c r="E53" s="26">
        <v>14.134968000000001</v>
      </c>
      <c r="F53" s="15">
        <f t="shared" si="4"/>
        <v>7.9376258370334254E-3</v>
      </c>
      <c r="G53" s="15">
        <f t="shared" si="1"/>
        <v>-9.7279469304567372E-3</v>
      </c>
      <c r="H53" s="15">
        <f t="shared" si="2"/>
        <v>-3.6683337928199083E-2</v>
      </c>
      <c r="I53" s="15">
        <f t="shared" si="3"/>
        <v>-2.0040684628752883E-2</v>
      </c>
      <c r="J53" s="15">
        <f t="shared" si="5"/>
        <v>-2.1324752965601476E-2</v>
      </c>
    </row>
    <row r="54" spans="1:10" x14ac:dyDescent="0.2">
      <c r="A54" s="25">
        <v>45229</v>
      </c>
      <c r="B54" s="26">
        <v>169.423035</v>
      </c>
      <c r="C54" s="26">
        <v>54.838875000000002</v>
      </c>
      <c r="D54" s="26">
        <v>135.03750600000001</v>
      </c>
      <c r="E54" s="26">
        <v>14.554627999999999</v>
      </c>
      <c r="F54" s="15">
        <f t="shared" si="4"/>
        <v>1.2230145391432332E-2</v>
      </c>
      <c r="G54" s="15">
        <f t="shared" si="1"/>
        <v>1.6339294527615768E-2</v>
      </c>
      <c r="H54" s="15">
        <f t="shared" si="2"/>
        <v>1.26689866257148E-2</v>
      </c>
      <c r="I54" s="15">
        <f t="shared" si="3"/>
        <v>2.9257291384540907E-2</v>
      </c>
      <c r="J54" s="15">
        <f t="shared" si="5"/>
        <v>1.8077764652553646E-2</v>
      </c>
    </row>
    <row r="55" spans="1:10" x14ac:dyDescent="0.2">
      <c r="A55" s="25">
        <v>45230</v>
      </c>
      <c r="B55" s="26">
        <v>169.90060399999999</v>
      </c>
      <c r="C55" s="26">
        <v>55.170937000000002</v>
      </c>
      <c r="D55" s="26">
        <v>136.649078</v>
      </c>
      <c r="E55" s="26">
        <v>14.688157</v>
      </c>
      <c r="F55" s="15">
        <f t="shared" si="4"/>
        <v>2.8148308012558494E-3</v>
      </c>
      <c r="G55" s="15">
        <f t="shared" si="1"/>
        <v>6.0369707476601144E-3</v>
      </c>
      <c r="H55" s="15">
        <f t="shared" si="2"/>
        <v>1.1863603111821981E-2</v>
      </c>
      <c r="I55" s="15">
        <f t="shared" si="3"/>
        <v>9.1325041752728462E-3</v>
      </c>
      <c r="J55" s="15">
        <f t="shared" si="5"/>
        <v>8.9418177666675137E-3</v>
      </c>
    </row>
    <row r="56" spans="1:10" x14ac:dyDescent="0.2">
      <c r="A56" s="25">
        <v>45231</v>
      </c>
      <c r="B56" s="26">
        <v>173.08431999999999</v>
      </c>
      <c r="C56" s="26">
        <v>55.122101000000001</v>
      </c>
      <c r="D56" s="26">
        <v>136.531158</v>
      </c>
      <c r="E56" s="26">
        <v>14.859838</v>
      </c>
      <c r="F56" s="15">
        <f t="shared" si="4"/>
        <v>1.8565290897534802E-2</v>
      </c>
      <c r="G56" s="15">
        <f t="shared" si="1"/>
        <v>-8.8556819319023528E-4</v>
      </c>
      <c r="H56" s="15">
        <f t="shared" si="2"/>
        <v>-8.6331287395108823E-4</v>
      </c>
      <c r="I56" s="15">
        <f t="shared" si="3"/>
        <v>1.1620614661695866E-2</v>
      </c>
      <c r="J56" s="15">
        <f t="shared" si="5"/>
        <v>7.0318357863738013E-3</v>
      </c>
    </row>
    <row r="57" spans="1:10" x14ac:dyDescent="0.2">
      <c r="A57" s="25">
        <v>45232</v>
      </c>
      <c r="B57" s="26">
        <v>176.666</v>
      </c>
      <c r="C57" s="26">
        <v>55.756923999999998</v>
      </c>
      <c r="D57" s="26">
        <v>138.96814000000001</v>
      </c>
      <c r="E57" s="26">
        <v>15.002903999999999</v>
      </c>
      <c r="F57" s="15">
        <f t="shared" si="4"/>
        <v>2.0482069684558096E-2</v>
      </c>
      <c r="G57" s="15">
        <f t="shared" si="1"/>
        <v>1.1450857122828546E-2</v>
      </c>
      <c r="H57" s="15">
        <f t="shared" si="2"/>
        <v>1.7691845912209535E-2</v>
      </c>
      <c r="I57" s="15">
        <f t="shared" si="3"/>
        <v>9.581644883623272E-3</v>
      </c>
      <c r="J57" s="15">
        <f t="shared" si="5"/>
        <v>1.537923079575523E-2</v>
      </c>
    </row>
    <row r="58" spans="1:10" x14ac:dyDescent="0.2">
      <c r="A58" s="25">
        <v>45233</v>
      </c>
      <c r="B58" s="26">
        <v>175.75065599999999</v>
      </c>
      <c r="C58" s="26">
        <v>55.415095999999998</v>
      </c>
      <c r="D58" s="26">
        <v>140.52076700000001</v>
      </c>
      <c r="E58" s="26">
        <v>15.14597</v>
      </c>
      <c r="F58" s="15">
        <f t="shared" si="4"/>
        <v>-5.1946810275440517E-3</v>
      </c>
      <c r="G58" s="15">
        <f t="shared" si="1"/>
        <v>-6.1495523287532295E-3</v>
      </c>
      <c r="H58" s="15">
        <f t="shared" si="2"/>
        <v>1.1110587455196269E-2</v>
      </c>
      <c r="I58" s="15">
        <f t="shared" si="3"/>
        <v>9.4907076045383631E-3</v>
      </c>
      <c r="J58" s="15">
        <f t="shared" si="5"/>
        <v>6.6336452309906247E-3</v>
      </c>
    </row>
    <row r="59" spans="1:10" x14ac:dyDescent="0.2">
      <c r="A59" s="25">
        <v>45236</v>
      </c>
      <c r="B59" s="26">
        <v>178.31753499999999</v>
      </c>
      <c r="C59" s="26">
        <v>55.639729000000003</v>
      </c>
      <c r="D59" s="26">
        <v>141.58204699999999</v>
      </c>
      <c r="E59" s="26">
        <v>15.021978000000001</v>
      </c>
      <c r="F59" s="15">
        <f t="shared" si="4"/>
        <v>1.44996022601437E-2</v>
      </c>
      <c r="G59" s="15">
        <f t="shared" si="1"/>
        <v>4.0454488376433064E-3</v>
      </c>
      <c r="H59" s="15">
        <f t="shared" si="2"/>
        <v>7.5241008178584595E-3</v>
      </c>
      <c r="I59" s="15">
        <f t="shared" si="3"/>
        <v>-8.2201612246451568E-3</v>
      </c>
      <c r="J59" s="15">
        <f t="shared" si="5"/>
        <v>3.6980751488433833E-3</v>
      </c>
    </row>
    <row r="60" spans="1:10" x14ac:dyDescent="0.2">
      <c r="A60" s="25">
        <v>45237</v>
      </c>
      <c r="B60" s="26">
        <v>180.89434800000001</v>
      </c>
      <c r="C60" s="26">
        <v>55.844822000000001</v>
      </c>
      <c r="D60" s="26">
        <v>141.513229</v>
      </c>
      <c r="E60" s="26">
        <v>15.10782</v>
      </c>
      <c r="F60" s="15">
        <f t="shared" si="4"/>
        <v>1.4347282613426004E-2</v>
      </c>
      <c r="G60" s="15">
        <f t="shared" si="1"/>
        <v>3.6793121473435051E-3</v>
      </c>
      <c r="H60" s="15">
        <f t="shared" si="2"/>
        <v>-4.8618261899616047E-4</v>
      </c>
      <c r="I60" s="15">
        <f t="shared" si="3"/>
        <v>5.6981618175608508E-3</v>
      </c>
      <c r="J60" s="15">
        <f t="shared" si="5"/>
        <v>4.6337446990717575E-3</v>
      </c>
    </row>
    <row r="61" spans="1:10" x14ac:dyDescent="0.2">
      <c r="A61" s="25">
        <v>45238</v>
      </c>
      <c r="B61" s="26">
        <v>181.958878</v>
      </c>
      <c r="C61" s="26">
        <v>55.756923999999998</v>
      </c>
      <c r="D61" s="26">
        <v>142.21095299999999</v>
      </c>
      <c r="E61" s="26">
        <v>14.926601</v>
      </c>
      <c r="F61" s="15">
        <f t="shared" si="4"/>
        <v>5.8675683603629037E-3</v>
      </c>
      <c r="G61" s="15">
        <f t="shared" si="1"/>
        <v>-1.5752086562333767E-3</v>
      </c>
      <c r="H61" s="15">
        <f t="shared" si="2"/>
        <v>4.9183358399554396E-3</v>
      </c>
      <c r="I61" s="15">
        <f t="shared" si="3"/>
        <v>-1.2067567354175589E-2</v>
      </c>
      <c r="J61" s="15">
        <f t="shared" si="5"/>
        <v>-6.3215212262406235E-4</v>
      </c>
    </row>
    <row r="62" spans="1:10" x14ac:dyDescent="0.2">
      <c r="A62" s="25">
        <v>45239</v>
      </c>
      <c r="B62" s="26">
        <v>181.48133899999999</v>
      </c>
      <c r="C62" s="26">
        <v>55.336967000000001</v>
      </c>
      <c r="D62" s="26">
        <v>141.78839099999999</v>
      </c>
      <c r="E62" s="26">
        <v>14.907526000000001</v>
      </c>
      <c r="F62" s="15">
        <f t="shared" si="4"/>
        <v>-2.6278835003809412E-3</v>
      </c>
      <c r="G62" s="15">
        <f t="shared" si="1"/>
        <v>-7.5604337307585206E-3</v>
      </c>
      <c r="H62" s="15">
        <f t="shared" si="2"/>
        <v>-2.9757978020443572E-3</v>
      </c>
      <c r="I62" s="15">
        <f t="shared" si="3"/>
        <v>-1.2787371052778911E-3</v>
      </c>
      <c r="J62" s="15">
        <f t="shared" si="5"/>
        <v>-2.5467237633194639E-3</v>
      </c>
    </row>
    <row r="63" spans="1:10" x14ac:dyDescent="0.2">
      <c r="A63" s="25">
        <v>45240</v>
      </c>
      <c r="B63" s="26">
        <v>185.69534300000001</v>
      </c>
      <c r="C63" s="26">
        <v>55.395564999999998</v>
      </c>
      <c r="D63" s="26">
        <v>143.89128099999999</v>
      </c>
      <c r="E63" s="26">
        <v>14.917064999999999</v>
      </c>
      <c r="F63" s="15">
        <f t="shared" si="4"/>
        <v>2.2954556969230551E-2</v>
      </c>
      <c r="G63" s="15">
        <f t="shared" si="1"/>
        <v>1.0583701900695479E-3</v>
      </c>
      <c r="H63" s="15">
        <f t="shared" si="2"/>
        <v>1.4722279452399911E-2</v>
      </c>
      <c r="I63" s="15">
        <f t="shared" si="3"/>
        <v>6.3967350467703291E-4</v>
      </c>
      <c r="J63" s="15">
        <f t="shared" si="5"/>
        <v>1.126635096485344E-2</v>
      </c>
    </row>
    <row r="64" spans="1:10" x14ac:dyDescent="0.2">
      <c r="A64" s="25">
        <v>45243</v>
      </c>
      <c r="B64" s="26">
        <v>184.101395</v>
      </c>
      <c r="C64" s="26">
        <v>55.600662</v>
      </c>
      <c r="D64" s="26">
        <v>143.25254799999999</v>
      </c>
      <c r="E64" s="26">
        <v>14.859838</v>
      </c>
      <c r="F64" s="15">
        <f t="shared" si="4"/>
        <v>-8.6207243473615386E-3</v>
      </c>
      <c r="G64" s="15">
        <f t="shared" si="1"/>
        <v>3.6955712633663846E-3</v>
      </c>
      <c r="H64" s="15">
        <f t="shared" si="2"/>
        <v>-4.4488788474790633E-3</v>
      </c>
      <c r="I64" s="15">
        <f t="shared" si="3"/>
        <v>-3.8437221263010121E-3</v>
      </c>
      <c r="J64" s="15">
        <f t="shared" si="5"/>
        <v>-4.7527673251255564E-3</v>
      </c>
    </row>
    <row r="65" spans="1:10" x14ac:dyDescent="0.2">
      <c r="A65" s="25">
        <v>45244</v>
      </c>
      <c r="B65" s="26">
        <v>186.731415</v>
      </c>
      <c r="C65" s="26">
        <v>55.766689</v>
      </c>
      <c r="D65" s="26">
        <v>145.86644000000001</v>
      </c>
      <c r="E65" s="26">
        <v>14.907526000000001</v>
      </c>
      <c r="F65" s="15">
        <f t="shared" si="4"/>
        <v>1.4184635374476782E-2</v>
      </c>
      <c r="G65" s="15">
        <f t="shared" si="1"/>
        <v>2.981612142296002E-3</v>
      </c>
      <c r="H65" s="15">
        <f t="shared" si="2"/>
        <v>1.8082265985749042E-2</v>
      </c>
      <c r="I65" s="15">
        <f t="shared" si="3"/>
        <v>3.2040486216239152E-3</v>
      </c>
      <c r="J65" s="15">
        <f t="shared" si="5"/>
        <v>1.1893495481086142E-2</v>
      </c>
    </row>
    <row r="66" spans="1:10" x14ac:dyDescent="0.2">
      <c r="A66" s="25">
        <v>45245</v>
      </c>
      <c r="B66" s="26">
        <v>187.29925499999999</v>
      </c>
      <c r="C66" s="26">
        <v>55.874122999999997</v>
      </c>
      <c r="D66" s="26">
        <v>147.14392100000001</v>
      </c>
      <c r="E66" s="26">
        <v>15.031516999999999</v>
      </c>
      <c r="F66" s="15">
        <f t="shared" si="4"/>
        <v>3.0363308776654089E-3</v>
      </c>
      <c r="G66" s="15">
        <f t="shared" si="1"/>
        <v>1.9246372583412658E-3</v>
      </c>
      <c r="H66" s="15">
        <f t="shared" si="2"/>
        <v>8.7197537313942614E-3</v>
      </c>
      <c r="I66" s="15">
        <f t="shared" si="3"/>
        <v>8.2829440398884853E-3</v>
      </c>
      <c r="J66" s="15">
        <f t="shared" si="5"/>
        <v>7.1686436213717775E-3</v>
      </c>
    </row>
    <row r="67" spans="1:10" x14ac:dyDescent="0.2">
      <c r="A67" s="25">
        <v>45246</v>
      </c>
      <c r="B67" s="26">
        <v>188.99284399999999</v>
      </c>
      <c r="C67" s="26">
        <v>55.815520999999997</v>
      </c>
      <c r="D67" s="26">
        <v>148.824265</v>
      </c>
      <c r="E67" s="26">
        <v>15.14597</v>
      </c>
      <c r="F67" s="15">
        <f t="shared" ref="F67:F130" si="12">LN(B67/B66)</f>
        <v>9.0015200429287429E-3</v>
      </c>
      <c r="G67" s="15">
        <f t="shared" ref="G67:G130" si="13">LN(C67/C66)</f>
        <v>-1.0493722296692307E-3</v>
      </c>
      <c r="H67" s="15">
        <f t="shared" ref="H67:H130" si="14">LN(D67/D66)</f>
        <v>1.1355018101563337E-2</v>
      </c>
      <c r="I67" s="15">
        <f t="shared" ref="I67:I130" si="15">LN(E67/E66)</f>
        <v>7.5853598266493183E-3</v>
      </c>
      <c r="J67" s="15">
        <f t="shared" si="5"/>
        <v>9.1643905003113632E-3</v>
      </c>
    </row>
    <row r="68" spans="1:10" x14ac:dyDescent="0.2">
      <c r="A68" s="25">
        <v>45247</v>
      </c>
      <c r="B68" s="26">
        <v>188.972916</v>
      </c>
      <c r="C68" s="26">
        <v>55.922955000000002</v>
      </c>
      <c r="D68" s="26">
        <v>150.17051699999999</v>
      </c>
      <c r="E68" s="26">
        <v>15.165046</v>
      </c>
      <c r="F68" s="15">
        <f t="shared" si="12"/>
        <v>-1.0544870529251719E-4</v>
      </c>
      <c r="G68" s="15">
        <f t="shared" si="13"/>
        <v>1.9229550455904989E-3</v>
      </c>
      <c r="H68" s="15">
        <f t="shared" si="14"/>
        <v>9.0052481102475771E-3</v>
      </c>
      <c r="I68" s="15">
        <f t="shared" si="15"/>
        <v>1.2586844676198644E-3</v>
      </c>
      <c r="J68" s="15">
        <f t="shared" ref="J68:J131" si="16">SUMPRODUCT(F68:I68,$M$37:$P$37)</f>
        <v>4.4033721264817947E-3</v>
      </c>
    </row>
    <row r="69" spans="1:10" x14ac:dyDescent="0.2">
      <c r="A69" s="25">
        <v>45250</v>
      </c>
      <c r="B69" s="26">
        <v>190.726257</v>
      </c>
      <c r="C69" s="26">
        <v>56.059688999999999</v>
      </c>
      <c r="D69" s="26">
        <v>150.63235499999999</v>
      </c>
      <c r="E69" s="26">
        <v>15.355801</v>
      </c>
      <c r="F69" s="15">
        <f t="shared" si="12"/>
        <v>9.2354873918627962E-3</v>
      </c>
      <c r="G69" s="15">
        <f t="shared" si="13"/>
        <v>2.4420582166783792E-3</v>
      </c>
      <c r="H69" s="15">
        <f t="shared" si="14"/>
        <v>3.0707044771690309E-3</v>
      </c>
      <c r="I69" s="15">
        <f t="shared" si="15"/>
        <v>1.250014351434138E-2</v>
      </c>
      <c r="J69" s="15">
        <f t="shared" si="16"/>
        <v>7.3128800811792212E-3</v>
      </c>
    </row>
    <row r="70" spans="1:10" x14ac:dyDescent="0.2">
      <c r="A70" s="25">
        <v>45251</v>
      </c>
      <c r="B70" s="26">
        <v>189.91932700000001</v>
      </c>
      <c r="C70" s="26">
        <v>56.674973000000001</v>
      </c>
      <c r="D70" s="26">
        <v>150.31791699999999</v>
      </c>
      <c r="E70" s="26">
        <v>15.441642</v>
      </c>
      <c r="F70" s="15">
        <f t="shared" si="12"/>
        <v>-4.2398033377747738E-3</v>
      </c>
      <c r="G70" s="15">
        <f t="shared" si="13"/>
        <v>1.0915721899237774E-2</v>
      </c>
      <c r="H70" s="15">
        <f t="shared" si="14"/>
        <v>-2.089635023942204E-3</v>
      </c>
      <c r="I70" s="15">
        <f t="shared" si="15"/>
        <v>5.5745681417839043E-3</v>
      </c>
      <c r="J70" s="15">
        <f t="shared" si="16"/>
        <v>4.8305978432557442E-4</v>
      </c>
    </row>
    <row r="71" spans="1:10" x14ac:dyDescent="0.2">
      <c r="A71" s="25">
        <v>45252</v>
      </c>
      <c r="B71" s="26">
        <v>190.586792</v>
      </c>
      <c r="C71" s="26">
        <v>57.055866000000002</v>
      </c>
      <c r="D71" s="26">
        <v>150.671661</v>
      </c>
      <c r="E71" s="26">
        <v>15.422565000000001</v>
      </c>
      <c r="F71" s="15">
        <f t="shared" si="12"/>
        <v>3.5083046042034536E-3</v>
      </c>
      <c r="G71" s="15">
        <f t="shared" si="13"/>
        <v>6.698173115196048E-3</v>
      </c>
      <c r="H71" s="15">
        <f t="shared" si="14"/>
        <v>2.3505409404632072E-3</v>
      </c>
      <c r="I71" s="15">
        <f t="shared" si="15"/>
        <v>-1.2361893781621346E-3</v>
      </c>
      <c r="J71" s="15">
        <f t="shared" si="16"/>
        <v>1.6028665755635143E-3</v>
      </c>
    </row>
    <row r="72" spans="1:10" x14ac:dyDescent="0.2">
      <c r="A72" s="25">
        <v>45254</v>
      </c>
      <c r="B72" s="26">
        <v>189.25186199999999</v>
      </c>
      <c r="C72" s="26">
        <v>57.202365999999998</v>
      </c>
      <c r="D72" s="26">
        <v>150.878006</v>
      </c>
      <c r="E72" s="26">
        <v>15.460716</v>
      </c>
      <c r="F72" s="15">
        <f t="shared" si="12"/>
        <v>-7.0289607553052254E-3</v>
      </c>
      <c r="G72" s="15">
        <f t="shared" si="13"/>
        <v>2.564368058518235E-3</v>
      </c>
      <c r="H72" s="15">
        <f t="shared" si="14"/>
        <v>1.3685641523619864E-3</v>
      </c>
      <c r="I72" s="15">
        <f t="shared" si="15"/>
        <v>2.4706584385659168E-3</v>
      </c>
      <c r="J72" s="15">
        <f t="shared" si="16"/>
        <v>9.8798185841385343E-5</v>
      </c>
    </row>
    <row r="73" spans="1:10" x14ac:dyDescent="0.2">
      <c r="A73" s="25">
        <v>45257</v>
      </c>
      <c r="B73" s="26">
        <v>189.07252500000001</v>
      </c>
      <c r="C73" s="26">
        <v>57.094935999999997</v>
      </c>
      <c r="D73" s="26">
        <v>150.53410299999999</v>
      </c>
      <c r="E73" s="26">
        <v>15.460716</v>
      </c>
      <c r="F73" s="15">
        <f t="shared" si="12"/>
        <v>-9.4805949388913479E-4</v>
      </c>
      <c r="G73" s="15">
        <f t="shared" si="13"/>
        <v>-1.8798349524674102E-3</v>
      </c>
      <c r="H73" s="15">
        <f t="shared" si="14"/>
        <v>-2.2819464710573719E-3</v>
      </c>
      <c r="I73" s="15">
        <f t="shared" si="15"/>
        <v>0</v>
      </c>
      <c r="J73" s="15">
        <f t="shared" si="16"/>
        <v>-1.2641891060539848E-3</v>
      </c>
    </row>
    <row r="74" spans="1:10" x14ac:dyDescent="0.2">
      <c r="A74" s="25">
        <v>45258</v>
      </c>
      <c r="B74" s="26">
        <v>189.68022199999999</v>
      </c>
      <c r="C74" s="26">
        <v>57.212135000000004</v>
      </c>
      <c r="D74" s="26">
        <v>150.878006</v>
      </c>
      <c r="E74" s="26">
        <v>15.432103</v>
      </c>
      <c r="F74" s="15">
        <f t="shared" si="12"/>
        <v>3.2089405359202782E-3</v>
      </c>
      <c r="G74" s="15">
        <f t="shared" si="13"/>
        <v>2.0506000205027385E-3</v>
      </c>
      <c r="H74" s="15">
        <f t="shared" si="14"/>
        <v>2.2819464710573632E-3</v>
      </c>
      <c r="I74" s="15">
        <f t="shared" si="15"/>
        <v>-1.8524051289652865E-3</v>
      </c>
      <c r="J74" s="15">
        <f t="shared" si="16"/>
        <v>1.1247794634930003E-3</v>
      </c>
    </row>
    <row r="75" spans="1:10" x14ac:dyDescent="0.2">
      <c r="A75" s="25">
        <v>45259</v>
      </c>
      <c r="B75" s="26">
        <v>188.65412900000001</v>
      </c>
      <c r="C75" s="26">
        <v>56.870308000000001</v>
      </c>
      <c r="D75" s="26">
        <v>151.64450099999999</v>
      </c>
      <c r="E75" s="26">
        <v>15.546556000000001</v>
      </c>
      <c r="F75" s="15">
        <f t="shared" si="12"/>
        <v>-5.4242788854046205E-3</v>
      </c>
      <c r="G75" s="15">
        <f t="shared" si="13"/>
        <v>-5.9926490699218782E-3</v>
      </c>
      <c r="H75" s="15">
        <f t="shared" si="14"/>
        <v>5.0673693523613879E-3</v>
      </c>
      <c r="I75" s="15">
        <f t="shared" si="15"/>
        <v>7.3891849715765874E-3</v>
      </c>
      <c r="J75" s="15">
        <f t="shared" si="16"/>
        <v>3.2728031829884706E-3</v>
      </c>
    </row>
    <row r="76" spans="1:10" x14ac:dyDescent="0.2">
      <c r="A76" s="25">
        <v>45260</v>
      </c>
      <c r="B76" s="26">
        <v>189.23191800000001</v>
      </c>
      <c r="C76" s="26">
        <v>57.529868999999998</v>
      </c>
      <c r="D76" s="26">
        <v>153.37397799999999</v>
      </c>
      <c r="E76" s="26">
        <v>15.804074999999999</v>
      </c>
      <c r="F76" s="15">
        <f t="shared" si="12"/>
        <v>3.0580089148523034E-3</v>
      </c>
      <c r="G76" s="15">
        <f t="shared" si="13"/>
        <v>1.1530896635000211E-2</v>
      </c>
      <c r="H76" s="15">
        <f t="shared" si="14"/>
        <v>1.1340267252648781E-2</v>
      </c>
      <c r="I76" s="15">
        <f t="shared" si="15"/>
        <v>1.6428683176453563E-2</v>
      </c>
      <c r="J76" s="15">
        <f t="shared" si="16"/>
        <v>1.1337205332285261E-2</v>
      </c>
    </row>
    <row r="77" spans="1:10" x14ac:dyDescent="0.2">
      <c r="A77" s="25">
        <v>45261</v>
      </c>
      <c r="B77" s="26">
        <v>190.51705899999999</v>
      </c>
      <c r="C77" s="26">
        <v>57.726756999999999</v>
      </c>
      <c r="D77" s="26">
        <v>154.12081900000001</v>
      </c>
      <c r="E77" s="26">
        <v>15.985293</v>
      </c>
      <c r="F77" s="15">
        <f t="shared" si="12"/>
        <v>6.7683969358011721E-3</v>
      </c>
      <c r="G77" s="15">
        <f t="shared" si="13"/>
        <v>3.4165183963682714E-3</v>
      </c>
      <c r="H77" s="15">
        <f t="shared" si="14"/>
        <v>4.857594182652576E-3</v>
      </c>
      <c r="I77" s="15">
        <f t="shared" si="15"/>
        <v>1.1401293855996619E-2</v>
      </c>
      <c r="J77" s="15">
        <f t="shared" si="16"/>
        <v>7.2886194374990462E-3</v>
      </c>
    </row>
    <row r="78" spans="1:10" x14ac:dyDescent="0.2">
      <c r="A78" s="25">
        <v>45264</v>
      </c>
      <c r="B78" s="26">
        <v>188.71388200000001</v>
      </c>
      <c r="C78" s="26">
        <v>57.657845000000002</v>
      </c>
      <c r="D78" s="26">
        <v>155.25086999999999</v>
      </c>
      <c r="E78" s="26">
        <v>15.889915</v>
      </c>
      <c r="F78" s="15">
        <f t="shared" si="12"/>
        <v>-9.5097229376474839E-3</v>
      </c>
      <c r="G78" s="15">
        <f t="shared" si="13"/>
        <v>-1.1944749472458554E-3</v>
      </c>
      <c r="H78" s="15">
        <f t="shared" si="14"/>
        <v>7.3054908777762974E-3</v>
      </c>
      <c r="I78" s="15">
        <f t="shared" si="15"/>
        <v>-5.9844807698541955E-3</v>
      </c>
      <c r="J78" s="15">
        <f t="shared" si="16"/>
        <v>-6.7657508406678219E-4</v>
      </c>
    </row>
    <row r="79" spans="1:10" x14ac:dyDescent="0.2">
      <c r="A79" s="25">
        <v>45265</v>
      </c>
      <c r="B79" s="26">
        <v>192.68881200000001</v>
      </c>
      <c r="C79" s="26">
        <v>57.746445000000001</v>
      </c>
      <c r="D79" s="26">
        <v>155.23121599999999</v>
      </c>
      <c r="E79" s="26">
        <v>16.424029999999998</v>
      </c>
      <c r="F79" s="15">
        <f t="shared" si="12"/>
        <v>2.084449839920156E-2</v>
      </c>
      <c r="G79" s="15">
        <f t="shared" si="13"/>
        <v>1.5354718166455639E-3</v>
      </c>
      <c r="H79" s="15">
        <f t="shared" si="14"/>
        <v>-1.266031176191559E-4</v>
      </c>
      <c r="I79" s="15">
        <f t="shared" si="15"/>
        <v>3.306087505214772E-2</v>
      </c>
      <c r="J79" s="15">
        <f t="shared" si="16"/>
        <v>1.4817472181668085E-2</v>
      </c>
    </row>
    <row r="80" spans="1:10" x14ac:dyDescent="0.2">
      <c r="A80" s="25">
        <v>45266</v>
      </c>
      <c r="B80" s="26">
        <v>191.59298699999999</v>
      </c>
      <c r="C80" s="26">
        <v>57.687378000000002</v>
      </c>
      <c r="D80" s="26">
        <v>153.60000600000001</v>
      </c>
      <c r="E80" s="26">
        <v>16.156974999999999</v>
      </c>
      <c r="F80" s="15">
        <f t="shared" si="12"/>
        <v>-5.7032520050787593E-3</v>
      </c>
      <c r="G80" s="15">
        <f t="shared" si="13"/>
        <v>-1.0233916476147672E-3</v>
      </c>
      <c r="H80" s="15">
        <f t="shared" si="14"/>
        <v>-1.0563861768930536E-2</v>
      </c>
      <c r="I80" s="15">
        <f t="shared" si="15"/>
        <v>-1.6393661333646715E-2</v>
      </c>
      <c r="J80" s="15">
        <f t="shared" si="16"/>
        <v>-1.1084347639724431E-2</v>
      </c>
    </row>
    <row r="81" spans="1:10" x14ac:dyDescent="0.2">
      <c r="A81" s="25">
        <v>45267</v>
      </c>
      <c r="B81" s="26">
        <v>193.53559899999999</v>
      </c>
      <c r="C81" s="26">
        <v>57.825203000000002</v>
      </c>
      <c r="D81" s="26">
        <v>154.071686</v>
      </c>
      <c r="E81" s="26">
        <v>16.300039000000002</v>
      </c>
      <c r="F81" s="15">
        <f t="shared" si="12"/>
        <v>1.0088207138443817E-2</v>
      </c>
      <c r="G81" s="15">
        <f t="shared" si="13"/>
        <v>2.3863212857141401E-3</v>
      </c>
      <c r="H81" s="15">
        <f t="shared" si="14"/>
        <v>3.0661278355592595E-3</v>
      </c>
      <c r="I81" s="15">
        <f t="shared" si="15"/>
        <v>8.8156554713472324E-3</v>
      </c>
      <c r="J81" s="15">
        <f t="shared" si="16"/>
        <v>6.2910674085100739E-3</v>
      </c>
    </row>
    <row r="82" spans="1:10" x14ac:dyDescent="0.2">
      <c r="A82" s="25">
        <v>45268</v>
      </c>
      <c r="B82" s="26">
        <v>194.97015400000001</v>
      </c>
      <c r="C82" s="26">
        <v>57.697223999999999</v>
      </c>
      <c r="D82" s="26">
        <v>155.77169799999999</v>
      </c>
      <c r="E82" s="26">
        <v>16.137896999999999</v>
      </c>
      <c r="F82" s="15">
        <f t="shared" si="12"/>
        <v>7.3850207302899578E-3</v>
      </c>
      <c r="G82" s="15">
        <f t="shared" si="13"/>
        <v>-2.2156572655028478E-3</v>
      </c>
      <c r="H82" s="15">
        <f t="shared" si="14"/>
        <v>1.0973473354382132E-2</v>
      </c>
      <c r="I82" s="15">
        <f t="shared" si="15"/>
        <v>-9.9971434933014119E-3</v>
      </c>
      <c r="J82" s="15">
        <f t="shared" si="16"/>
        <v>2.9608312065530873E-3</v>
      </c>
    </row>
    <row r="83" spans="1:10" x14ac:dyDescent="0.2">
      <c r="A83" s="25">
        <v>45271</v>
      </c>
      <c r="B83" s="26">
        <v>192.44972200000001</v>
      </c>
      <c r="C83" s="26">
        <v>58.120525000000001</v>
      </c>
      <c r="D83" s="26">
        <v>156.341644</v>
      </c>
      <c r="E83" s="26">
        <v>15.851766</v>
      </c>
      <c r="F83" s="15">
        <f t="shared" si="12"/>
        <v>-1.301155524149791E-2</v>
      </c>
      <c r="G83" s="15">
        <f t="shared" si="13"/>
        <v>7.3098102582420726E-3</v>
      </c>
      <c r="H83" s="15">
        <f t="shared" si="14"/>
        <v>3.6521773139312004E-3</v>
      </c>
      <c r="I83" s="15">
        <f t="shared" si="15"/>
        <v>-1.7889443279638567E-2</v>
      </c>
      <c r="J83" s="15">
        <f t="shared" si="16"/>
        <v>-6.462677010402546E-3</v>
      </c>
    </row>
    <row r="84" spans="1:10" x14ac:dyDescent="0.2">
      <c r="A84" s="25">
        <v>45272</v>
      </c>
      <c r="B84" s="26">
        <v>193.97395299999999</v>
      </c>
      <c r="C84" s="26">
        <v>58.494605999999997</v>
      </c>
      <c r="D84" s="26">
        <v>157.73701500000001</v>
      </c>
      <c r="E84" s="26">
        <v>15.651472</v>
      </c>
      <c r="F84" s="15">
        <f t="shared" si="12"/>
        <v>7.8889519649972505E-3</v>
      </c>
      <c r="G84" s="15">
        <f t="shared" si="13"/>
        <v>6.4156731620670822E-3</v>
      </c>
      <c r="H84" s="15">
        <f t="shared" si="14"/>
        <v>8.8855459657744724E-3</v>
      </c>
      <c r="I84" s="15">
        <f t="shared" si="15"/>
        <v>-1.2715943603931842E-2</v>
      </c>
      <c r="J84" s="15">
        <f t="shared" si="16"/>
        <v>1.6239460641433211E-3</v>
      </c>
    </row>
    <row r="85" spans="1:10" x14ac:dyDescent="0.2">
      <c r="A85" s="25">
        <v>45273</v>
      </c>
      <c r="B85" s="26">
        <v>197.21165500000001</v>
      </c>
      <c r="C85" s="26">
        <v>58.996665999999998</v>
      </c>
      <c r="D85" s="26">
        <v>158.26765399999999</v>
      </c>
      <c r="E85" s="26">
        <v>15.689624</v>
      </c>
      <c r="F85" s="15">
        <f t="shared" si="12"/>
        <v>1.6553655693470191E-2</v>
      </c>
      <c r="G85" s="15">
        <f t="shared" si="13"/>
        <v>8.5463889760277086E-3</v>
      </c>
      <c r="H85" s="15">
        <f t="shared" si="14"/>
        <v>3.3584282184013106E-3</v>
      </c>
      <c r="I85" s="15">
        <f t="shared" si="15"/>
        <v>2.4346320782964847E-3</v>
      </c>
      <c r="J85" s="15">
        <f t="shared" si="16"/>
        <v>5.9026452512017154E-3</v>
      </c>
    </row>
    <row r="86" spans="1:10" x14ac:dyDescent="0.2">
      <c r="A86" s="25">
        <v>45274</v>
      </c>
      <c r="B86" s="26">
        <v>197.36108400000001</v>
      </c>
      <c r="C86" s="26">
        <v>58.120525000000001</v>
      </c>
      <c r="D86" s="26">
        <v>161.14686599999999</v>
      </c>
      <c r="E86" s="26">
        <v>15.880378</v>
      </c>
      <c r="F86" s="15">
        <f t="shared" si="12"/>
        <v>7.5742185089877612E-4</v>
      </c>
      <c r="G86" s="15">
        <f t="shared" si="13"/>
        <v>-1.4962062138094838E-2</v>
      </c>
      <c r="H86" s="15">
        <f t="shared" si="14"/>
        <v>1.8028547888701854E-2</v>
      </c>
      <c r="I86" s="15">
        <f t="shared" si="15"/>
        <v>1.208465691282283E-2</v>
      </c>
      <c r="J86" s="15">
        <f t="shared" si="16"/>
        <v>1.1323065403676197E-2</v>
      </c>
    </row>
    <row r="87" spans="1:10" x14ac:dyDescent="0.2">
      <c r="A87" s="25">
        <v>45275</v>
      </c>
      <c r="B87" s="26">
        <v>196.82311999999999</v>
      </c>
      <c r="C87" s="26">
        <v>57.687378000000002</v>
      </c>
      <c r="D87" s="26">
        <v>162.36535599999999</v>
      </c>
      <c r="E87" s="26">
        <v>15.756387999999999</v>
      </c>
      <c r="F87" s="15">
        <f t="shared" si="12"/>
        <v>-2.7295073142777661E-3</v>
      </c>
      <c r="G87" s="15">
        <f t="shared" si="13"/>
        <v>-7.4804742784532674E-3</v>
      </c>
      <c r="H87" s="15">
        <f t="shared" si="14"/>
        <v>7.5329194945627474E-3</v>
      </c>
      <c r="I87" s="15">
        <f t="shared" si="15"/>
        <v>-7.8383887172057826E-3</v>
      </c>
      <c r="J87" s="15">
        <f t="shared" si="16"/>
        <v>-7.9846073633341348E-5</v>
      </c>
    </row>
    <row r="88" spans="1:10" x14ac:dyDescent="0.2">
      <c r="A88" s="25">
        <v>45278</v>
      </c>
      <c r="B88" s="26">
        <v>195.149475</v>
      </c>
      <c r="C88" s="26">
        <v>58.100842</v>
      </c>
      <c r="D88" s="26">
        <v>163.348007</v>
      </c>
      <c r="E88" s="26">
        <v>15.699159999999999</v>
      </c>
      <c r="F88" s="15">
        <f t="shared" si="12"/>
        <v>-8.53965400802611E-3</v>
      </c>
      <c r="G88" s="15">
        <f t="shared" si="13"/>
        <v>7.1417585896560408E-3</v>
      </c>
      <c r="H88" s="15">
        <f t="shared" si="14"/>
        <v>6.0338573294274594E-3</v>
      </c>
      <c r="I88" s="15">
        <f t="shared" si="15"/>
        <v>-3.6386626067303612E-3</v>
      </c>
      <c r="J88" s="15">
        <f t="shared" si="16"/>
        <v>5.68741357202258E-5</v>
      </c>
    </row>
    <row r="89" spans="1:10" x14ac:dyDescent="0.2">
      <c r="A89" s="25">
        <v>45279</v>
      </c>
      <c r="B89" s="26">
        <v>196.19551100000001</v>
      </c>
      <c r="C89" s="26">
        <v>57.913798999999997</v>
      </c>
      <c r="D89" s="26">
        <v>165.52950999999999</v>
      </c>
      <c r="E89" s="26">
        <v>15.842228</v>
      </c>
      <c r="F89" s="15">
        <f t="shared" si="12"/>
        <v>5.3458637702141027E-3</v>
      </c>
      <c r="G89" s="15">
        <f t="shared" si="13"/>
        <v>-3.2244751257021888E-3</v>
      </c>
      <c r="H89" s="15">
        <f t="shared" si="14"/>
        <v>1.3266549902395489E-2</v>
      </c>
      <c r="I89" s="15">
        <f t="shared" si="15"/>
        <v>9.0718253225267661E-3</v>
      </c>
      <c r="J89" s="15">
        <f t="shared" si="16"/>
        <v>9.6623755257628438E-3</v>
      </c>
    </row>
    <row r="90" spans="1:10" x14ac:dyDescent="0.2">
      <c r="A90" s="25">
        <v>45280</v>
      </c>
      <c r="B90" s="26">
        <v>194.093491</v>
      </c>
      <c r="C90" s="26">
        <v>56.712798999999997</v>
      </c>
      <c r="D90" s="26">
        <v>163.66246000000001</v>
      </c>
      <c r="E90" s="26">
        <v>15.641933</v>
      </c>
      <c r="F90" s="15">
        <f t="shared" si="12"/>
        <v>-1.0771711802952852E-2</v>
      </c>
      <c r="G90" s="15">
        <f t="shared" si="13"/>
        <v>-2.0955763699396959E-2</v>
      </c>
      <c r="H90" s="15">
        <f t="shared" si="14"/>
        <v>-1.1343350930772851E-2</v>
      </c>
      <c r="I90" s="15">
        <f t="shared" si="15"/>
        <v>-1.2723712230209391E-2</v>
      </c>
      <c r="J90" s="15">
        <f t="shared" si="16"/>
        <v>-1.2066854335196407E-2</v>
      </c>
    </row>
    <row r="91" spans="1:10" x14ac:dyDescent="0.2">
      <c r="A91" s="25">
        <v>45281</v>
      </c>
      <c r="B91" s="26">
        <v>193.944031</v>
      </c>
      <c r="C91" s="26">
        <v>57.086883999999998</v>
      </c>
      <c r="D91" s="26">
        <v>164.59599299999999</v>
      </c>
      <c r="E91" s="26">
        <v>15.727774999999999</v>
      </c>
      <c r="F91" s="15">
        <f t="shared" si="12"/>
        <v>-7.7033791279105483E-4</v>
      </c>
      <c r="G91" s="15">
        <f t="shared" si="13"/>
        <v>6.5744708171604086E-3</v>
      </c>
      <c r="H91" s="15">
        <f t="shared" si="14"/>
        <v>5.6878079343058051E-3</v>
      </c>
      <c r="I91" s="15">
        <f t="shared" si="15"/>
        <v>5.4729367751170889E-3</v>
      </c>
      <c r="J91" s="15">
        <f t="shared" si="16"/>
        <v>4.3675221076814518E-3</v>
      </c>
    </row>
    <row r="92" spans="1:10" x14ac:dyDescent="0.2">
      <c r="A92" s="25">
        <v>45282</v>
      </c>
      <c r="B92" s="26">
        <v>192.868134</v>
      </c>
      <c r="C92" s="26">
        <v>57.411738999999997</v>
      </c>
      <c r="D92" s="26">
        <v>164.497726</v>
      </c>
      <c r="E92" s="26">
        <v>15.784998999999999</v>
      </c>
      <c r="F92" s="15">
        <f t="shared" si="12"/>
        <v>-5.5629055748559423E-3</v>
      </c>
      <c r="G92" s="15">
        <f t="shared" si="13"/>
        <v>5.6744066112261139E-3</v>
      </c>
      <c r="H92" s="15">
        <f t="shared" si="14"/>
        <v>-5.9719768106862266E-4</v>
      </c>
      <c r="I92" s="15">
        <f t="shared" si="15"/>
        <v>3.6318010530331695E-3</v>
      </c>
      <c r="J92" s="15">
        <f t="shared" si="16"/>
        <v>3.21489971757522E-5</v>
      </c>
    </row>
    <row r="93" spans="1:10" x14ac:dyDescent="0.2">
      <c r="A93" s="25">
        <v>45286</v>
      </c>
      <c r="B93" s="26">
        <v>192.320221</v>
      </c>
      <c r="C93" s="26">
        <v>57.648003000000003</v>
      </c>
      <c r="D93" s="26">
        <v>165.47056599999999</v>
      </c>
      <c r="E93" s="26">
        <v>15.804074999999999</v>
      </c>
      <c r="F93" s="15">
        <f t="shared" si="12"/>
        <v>-2.8449113917028523E-3</v>
      </c>
      <c r="G93" s="15">
        <f t="shared" si="13"/>
        <v>4.1068114348282283E-3</v>
      </c>
      <c r="H93" s="15">
        <f t="shared" si="14"/>
        <v>5.8965836558493075E-3</v>
      </c>
      <c r="I93" s="15">
        <f t="shared" si="15"/>
        <v>1.2077595132303129E-3</v>
      </c>
      <c r="J93" s="15">
        <f t="shared" si="16"/>
        <v>2.569935941325565E-3</v>
      </c>
    </row>
    <row r="94" spans="1:10" x14ac:dyDescent="0.2">
      <c r="A94" s="25">
        <v>45287</v>
      </c>
      <c r="B94" s="26">
        <v>192.41982999999999</v>
      </c>
      <c r="C94" s="26">
        <v>57.795662</v>
      </c>
      <c r="D94" s="26">
        <v>166.46305799999999</v>
      </c>
      <c r="E94" s="26">
        <v>15.813613</v>
      </c>
      <c r="F94" s="15">
        <f t="shared" si="12"/>
        <v>5.1779897604456546E-4</v>
      </c>
      <c r="G94" s="15">
        <f t="shared" si="13"/>
        <v>2.5581149129798759E-3</v>
      </c>
      <c r="H94" s="15">
        <f t="shared" si="14"/>
        <v>5.9800808714544585E-3</v>
      </c>
      <c r="I94" s="15">
        <f t="shared" si="15"/>
        <v>6.0333319054379066E-4</v>
      </c>
      <c r="J94" s="15">
        <f t="shared" si="16"/>
        <v>3.0186769285192503E-3</v>
      </c>
    </row>
    <row r="95" spans="1:10" x14ac:dyDescent="0.2">
      <c r="A95" s="25">
        <v>45288</v>
      </c>
      <c r="B95" s="26">
        <v>192.848206</v>
      </c>
      <c r="C95" s="26">
        <v>57.835045000000001</v>
      </c>
      <c r="D95" s="26">
        <v>167.34747300000001</v>
      </c>
      <c r="E95" s="26">
        <v>15.966218</v>
      </c>
      <c r="F95" s="15">
        <f t="shared" si="12"/>
        <v>2.2237825955231019E-3</v>
      </c>
      <c r="G95" s="15">
        <f t="shared" si="13"/>
        <v>6.811858639393253E-4</v>
      </c>
      <c r="H95" s="15">
        <f t="shared" si="14"/>
        <v>5.2989165247204857E-3</v>
      </c>
      <c r="I95" s="15">
        <f t="shared" si="15"/>
        <v>9.6039637827291333E-3</v>
      </c>
      <c r="J95" s="15">
        <f t="shared" si="16"/>
        <v>5.8848997414621615E-3</v>
      </c>
    </row>
    <row r="96" spans="1:10" x14ac:dyDescent="0.2">
      <c r="A96" s="25">
        <v>45289</v>
      </c>
      <c r="B96" s="26">
        <v>191.80216999999999</v>
      </c>
      <c r="C96" s="26">
        <v>58.012238000000004</v>
      </c>
      <c r="D96" s="26">
        <v>167.150925</v>
      </c>
      <c r="E96" s="26">
        <v>16.004370000000002</v>
      </c>
      <c r="F96" s="15">
        <f t="shared" si="12"/>
        <v>-5.4389057902563941E-3</v>
      </c>
      <c r="G96" s="15">
        <f t="shared" si="13"/>
        <v>3.0590814664282501E-3</v>
      </c>
      <c r="H96" s="15">
        <f t="shared" si="14"/>
        <v>-1.1751806513597941E-3</v>
      </c>
      <c r="I96" s="15">
        <f t="shared" si="15"/>
        <v>2.3866948027653455E-3</v>
      </c>
      <c r="J96" s="15">
        <f t="shared" si="16"/>
        <v>-7.041279430002762E-4</v>
      </c>
    </row>
    <row r="97" spans="1:10" x14ac:dyDescent="0.2">
      <c r="A97" s="25">
        <v>45293</v>
      </c>
      <c r="B97" s="26">
        <v>184.93821700000001</v>
      </c>
      <c r="C97" s="26">
        <v>58.888378000000003</v>
      </c>
      <c r="D97" s="26">
        <v>169.09660299999999</v>
      </c>
      <c r="E97" s="26">
        <v>16.452643999999999</v>
      </c>
      <c r="F97" s="15">
        <f t="shared" si="12"/>
        <v>-3.6442669115568614E-2</v>
      </c>
      <c r="G97" s="15">
        <f t="shared" si="13"/>
        <v>1.4989765411567772E-2</v>
      </c>
      <c r="H97" s="15">
        <f t="shared" si="14"/>
        <v>1.1573020195509662E-2</v>
      </c>
      <c r="I97" s="15">
        <f t="shared" si="15"/>
        <v>2.7624383831125431E-2</v>
      </c>
      <c r="J97" s="15">
        <f t="shared" si="16"/>
        <v>7.3153276728257968E-3</v>
      </c>
    </row>
    <row r="98" spans="1:10" x14ac:dyDescent="0.2">
      <c r="A98" s="25">
        <v>45294</v>
      </c>
      <c r="B98" s="26">
        <v>183.55346700000001</v>
      </c>
      <c r="C98" s="26">
        <v>59.026195999999999</v>
      </c>
      <c r="D98" s="26">
        <v>168.35960399999999</v>
      </c>
      <c r="E98" s="26">
        <v>16.433568999999999</v>
      </c>
      <c r="F98" s="15">
        <f t="shared" si="12"/>
        <v>-7.5158087877084971E-3</v>
      </c>
      <c r="G98" s="15">
        <f t="shared" si="13"/>
        <v>2.3375916662677874E-3</v>
      </c>
      <c r="H98" s="15">
        <f t="shared" si="14"/>
        <v>-4.3679752008790812E-3</v>
      </c>
      <c r="I98" s="15">
        <f t="shared" si="15"/>
        <v>-1.1600607305661888E-3</v>
      </c>
      <c r="J98" s="15">
        <f t="shared" si="16"/>
        <v>-3.6876579815411335E-3</v>
      </c>
    </row>
    <row r="99" spans="1:10" x14ac:dyDescent="0.2">
      <c r="A99" s="25">
        <v>45295</v>
      </c>
      <c r="B99" s="26">
        <v>181.22232099999999</v>
      </c>
      <c r="C99" s="26">
        <v>58.829310999999997</v>
      </c>
      <c r="D99" s="26">
        <v>169.47685200000001</v>
      </c>
      <c r="E99" s="26">
        <v>16.357265000000002</v>
      </c>
      <c r="F99" s="15">
        <f t="shared" si="12"/>
        <v>-1.2781428001649012E-2</v>
      </c>
      <c r="G99" s="15">
        <f t="shared" si="13"/>
        <v>-3.3411282708156569E-3</v>
      </c>
      <c r="H99" s="15">
        <f t="shared" si="14"/>
        <v>6.6141593258210608E-3</v>
      </c>
      <c r="I99" s="15">
        <f t="shared" si="15"/>
        <v>-4.6539918884881352E-3</v>
      </c>
      <c r="J99" s="15">
        <f t="shared" si="16"/>
        <v>-1.2900359350104709E-3</v>
      </c>
    </row>
    <row r="100" spans="1:10" x14ac:dyDescent="0.2">
      <c r="A100" s="25">
        <v>45296</v>
      </c>
      <c r="B100" s="26">
        <v>180.49508700000001</v>
      </c>
      <c r="C100" s="26">
        <v>58.740715000000002</v>
      </c>
      <c r="D100" s="26">
        <v>170.32714799999999</v>
      </c>
      <c r="E100" s="26">
        <v>16.662476000000002</v>
      </c>
      <c r="F100" s="15">
        <f t="shared" si="12"/>
        <v>-4.0210117830922973E-3</v>
      </c>
      <c r="G100" s="15">
        <f t="shared" si="13"/>
        <v>-1.5071191150336566E-3</v>
      </c>
      <c r="H100" s="15">
        <f t="shared" si="14"/>
        <v>5.0046366419241994E-3</v>
      </c>
      <c r="I100" s="15">
        <f t="shared" si="15"/>
        <v>1.8487103983690103E-2</v>
      </c>
      <c r="J100" s="15">
        <f t="shared" si="16"/>
        <v>7.2850621287888859E-3</v>
      </c>
    </row>
    <row r="101" spans="1:10" x14ac:dyDescent="0.2">
      <c r="A101" s="25">
        <v>45299</v>
      </c>
      <c r="B101" s="26">
        <v>184.858521</v>
      </c>
      <c r="C101" s="26">
        <v>59.173865999999997</v>
      </c>
      <c r="D101" s="26">
        <v>170.07998699999999</v>
      </c>
      <c r="E101" s="26">
        <v>16.519407000000001</v>
      </c>
      <c r="F101" s="15">
        <f t="shared" si="12"/>
        <v>2.3887222589555022E-2</v>
      </c>
      <c r="G101" s="15">
        <f t="shared" si="13"/>
        <v>7.3468937372898847E-3</v>
      </c>
      <c r="H101" s="15">
        <f t="shared" si="14"/>
        <v>-1.4521496056958624E-3</v>
      </c>
      <c r="I101" s="15">
        <f t="shared" si="15"/>
        <v>-8.62337357891769E-3</v>
      </c>
      <c r="J101" s="15">
        <f t="shared" si="16"/>
        <v>1.6465945910325904E-3</v>
      </c>
    </row>
    <row r="102" spans="1:10" x14ac:dyDescent="0.2">
      <c r="A102" s="25">
        <v>45300</v>
      </c>
      <c r="B102" s="26">
        <v>184.44010900000001</v>
      </c>
      <c r="C102" s="26">
        <v>59.065578000000002</v>
      </c>
      <c r="D102" s="26">
        <v>168.735321</v>
      </c>
      <c r="E102" s="26">
        <v>16.430229000000001</v>
      </c>
      <c r="F102" s="15">
        <f t="shared" si="12"/>
        <v>-2.2659828390601978E-3</v>
      </c>
      <c r="G102" s="15">
        <f t="shared" si="13"/>
        <v>-1.8316735365529078E-3</v>
      </c>
      <c r="H102" s="15">
        <f t="shared" si="14"/>
        <v>-7.9374988566027482E-3</v>
      </c>
      <c r="I102" s="15">
        <f t="shared" si="15"/>
        <v>-5.4130016942953952E-3</v>
      </c>
      <c r="J102" s="15">
        <f t="shared" si="16"/>
        <v>-5.7440565981258501E-3</v>
      </c>
    </row>
    <row r="103" spans="1:10" x14ac:dyDescent="0.2">
      <c r="A103" s="25">
        <v>45301</v>
      </c>
      <c r="B103" s="26">
        <v>185.48616000000001</v>
      </c>
      <c r="C103" s="26">
        <v>59.262462999999997</v>
      </c>
      <c r="D103" s="26">
        <v>169.091263</v>
      </c>
      <c r="E103" s="26">
        <v>16.352684</v>
      </c>
      <c r="F103" s="15">
        <f t="shared" si="12"/>
        <v>5.655471783241264E-3</v>
      </c>
      <c r="G103" s="15">
        <f t="shared" si="13"/>
        <v>3.3277857054118689E-3</v>
      </c>
      <c r="H103" s="15">
        <f t="shared" si="14"/>
        <v>2.1072476150256008E-3</v>
      </c>
      <c r="I103" s="15">
        <f t="shared" si="15"/>
        <v>-4.7308269784354078E-3</v>
      </c>
      <c r="J103" s="15">
        <f t="shared" si="16"/>
        <v>6.6043806687810023E-4</v>
      </c>
    </row>
    <row r="104" spans="1:10" x14ac:dyDescent="0.2">
      <c r="A104" s="25">
        <v>45302</v>
      </c>
      <c r="B104" s="26">
        <v>184.88841199999999</v>
      </c>
      <c r="C104" s="26">
        <v>58.878535999999997</v>
      </c>
      <c r="D104" s="26">
        <v>168.379379</v>
      </c>
      <c r="E104" s="26">
        <v>15.732308</v>
      </c>
      <c r="F104" s="15">
        <f t="shared" si="12"/>
        <v>-3.2278053849822972E-3</v>
      </c>
      <c r="G104" s="15">
        <f t="shared" si="13"/>
        <v>-6.4994939061170766E-3</v>
      </c>
      <c r="H104" s="15">
        <f t="shared" si="14"/>
        <v>-4.2189451011928857E-3</v>
      </c>
      <c r="I104" s="15">
        <f t="shared" si="15"/>
        <v>-3.8675610583800438E-2</v>
      </c>
      <c r="J104" s="15">
        <f t="shared" si="16"/>
        <v>-1.5219798972113684E-2</v>
      </c>
    </row>
    <row r="105" spans="1:10" x14ac:dyDescent="0.2">
      <c r="A105" s="25">
        <v>45303</v>
      </c>
      <c r="B105" s="26">
        <v>185.217163</v>
      </c>
      <c r="C105" s="26">
        <v>59.449500999999998</v>
      </c>
      <c r="D105" s="26">
        <v>167.143463</v>
      </c>
      <c r="E105" s="26">
        <v>15.974641999999999</v>
      </c>
      <c r="F105" s="15">
        <f t="shared" si="12"/>
        <v>1.776525989713901E-3</v>
      </c>
      <c r="G105" s="15">
        <f t="shared" si="13"/>
        <v>9.6506195124218454E-3</v>
      </c>
      <c r="H105" s="15">
        <f t="shared" si="14"/>
        <v>-7.3671383000021009E-3</v>
      </c>
      <c r="I105" s="15">
        <f t="shared" si="15"/>
        <v>1.5286157688589852E-2</v>
      </c>
      <c r="J105" s="15">
        <f t="shared" si="16"/>
        <v>2.4514514683125523E-3</v>
      </c>
    </row>
    <row r="106" spans="1:10" x14ac:dyDescent="0.2">
      <c r="A106" s="25">
        <v>45307</v>
      </c>
      <c r="B106" s="26">
        <v>182.935822</v>
      </c>
      <c r="C106" s="26">
        <v>59.055732999999996</v>
      </c>
      <c r="D106" s="26">
        <v>166.095428</v>
      </c>
      <c r="E106" s="26">
        <v>15.935869</v>
      </c>
      <c r="F106" s="15">
        <f t="shared" si="12"/>
        <v>-1.2393598825964395E-2</v>
      </c>
      <c r="G106" s="15">
        <f t="shared" si="13"/>
        <v>-6.6456043485522889E-3</v>
      </c>
      <c r="H106" s="15">
        <f t="shared" si="14"/>
        <v>-6.2900128628262742E-3</v>
      </c>
      <c r="I106" s="15">
        <f t="shared" si="15"/>
        <v>-2.4301095699120847E-3</v>
      </c>
      <c r="J106" s="15">
        <f t="shared" si="16"/>
        <v>-6.2770724136873785E-3</v>
      </c>
    </row>
    <row r="107" spans="1:10" x14ac:dyDescent="0.2">
      <c r="A107" s="25">
        <v>45308</v>
      </c>
      <c r="B107" s="26">
        <v>181.98940999999999</v>
      </c>
      <c r="C107" s="26">
        <v>59.055732999999996</v>
      </c>
      <c r="D107" s="26">
        <v>165.205566</v>
      </c>
      <c r="E107" s="26">
        <v>15.906789</v>
      </c>
      <c r="F107" s="15">
        <f t="shared" si="12"/>
        <v>-5.186893307744119E-3</v>
      </c>
      <c r="G107" s="15">
        <f t="shared" si="13"/>
        <v>0</v>
      </c>
      <c r="H107" s="15">
        <f t="shared" si="14"/>
        <v>-5.371937640172391E-3</v>
      </c>
      <c r="I107" s="15">
        <f t="shared" si="15"/>
        <v>-1.8264811991713004E-3</v>
      </c>
      <c r="J107" s="15">
        <f t="shared" si="16"/>
        <v>-3.9729829038269698E-3</v>
      </c>
    </row>
    <row r="108" spans="1:10" x14ac:dyDescent="0.2">
      <c r="A108" s="25">
        <v>45309</v>
      </c>
      <c r="B108" s="26">
        <v>187.91691599999999</v>
      </c>
      <c r="C108" s="26">
        <v>59.223083000000003</v>
      </c>
      <c r="D108" s="26">
        <v>165.53185999999999</v>
      </c>
      <c r="E108" s="26">
        <v>15.897095</v>
      </c>
      <c r="F108" s="15">
        <f t="shared" si="12"/>
        <v>3.205143040647615E-2</v>
      </c>
      <c r="G108" s="15">
        <f t="shared" si="13"/>
        <v>2.8297562882526783E-3</v>
      </c>
      <c r="H108" s="15">
        <f t="shared" si="14"/>
        <v>1.9731308295413211E-3</v>
      </c>
      <c r="I108" s="15">
        <f t="shared" si="15"/>
        <v>-6.0961109656987951E-4</v>
      </c>
      <c r="J108" s="15">
        <f t="shared" si="16"/>
        <v>7.1709388576390986E-3</v>
      </c>
    </row>
    <row r="109" spans="1:10" x14ac:dyDescent="0.2">
      <c r="A109" s="25">
        <v>45310</v>
      </c>
      <c r="B109" s="26">
        <v>190.83583100000001</v>
      </c>
      <c r="C109" s="26">
        <v>58.898228000000003</v>
      </c>
      <c r="D109" s="26">
        <v>168.389252</v>
      </c>
      <c r="E109" s="26">
        <v>16.158815000000001</v>
      </c>
      <c r="F109" s="15">
        <f t="shared" si="12"/>
        <v>1.5413605907075779E-2</v>
      </c>
      <c r="G109" s="15">
        <f t="shared" si="13"/>
        <v>-5.5003761178523645E-3</v>
      </c>
      <c r="H109" s="15">
        <f t="shared" si="14"/>
        <v>1.7114591700558776E-2</v>
      </c>
      <c r="I109" s="15">
        <f t="shared" si="15"/>
        <v>1.6329333065123283E-2</v>
      </c>
      <c r="J109" s="15">
        <f t="shared" si="16"/>
        <v>1.5598900890331174E-2</v>
      </c>
    </row>
    <row r="110" spans="1:10" x14ac:dyDescent="0.2">
      <c r="A110" s="25">
        <v>45313</v>
      </c>
      <c r="B110" s="26">
        <v>193.157028</v>
      </c>
      <c r="C110" s="26">
        <v>58.642273000000003</v>
      </c>
      <c r="D110" s="26">
        <v>168.19151299999999</v>
      </c>
      <c r="E110" s="26">
        <v>16.284828000000001</v>
      </c>
      <c r="F110" s="15">
        <f t="shared" si="12"/>
        <v>1.2089939794405298E-2</v>
      </c>
      <c r="G110" s="15">
        <f t="shared" si="13"/>
        <v>-4.3551865509223759E-3</v>
      </c>
      <c r="H110" s="15">
        <f t="shared" si="14"/>
        <v>-1.1749870658817193E-3</v>
      </c>
      <c r="I110" s="15">
        <f t="shared" si="15"/>
        <v>7.7681556093607577E-3</v>
      </c>
      <c r="J110" s="15">
        <f t="shared" si="16"/>
        <v>4.2214622377396375E-3</v>
      </c>
    </row>
    <row r="111" spans="1:10" x14ac:dyDescent="0.2">
      <c r="A111" s="25">
        <v>45314</v>
      </c>
      <c r="B111" s="26">
        <v>194.44215399999999</v>
      </c>
      <c r="C111" s="26">
        <v>58.917907999999997</v>
      </c>
      <c r="D111" s="26">
        <v>167.08415199999999</v>
      </c>
      <c r="E111" s="26">
        <v>16.662870000000002</v>
      </c>
      <c r="F111" s="15">
        <f t="shared" si="12"/>
        <v>6.6312354047433934E-3</v>
      </c>
      <c r="G111" s="15">
        <f t="shared" si="13"/>
        <v>4.6892664291325829E-3</v>
      </c>
      <c r="H111" s="15">
        <f t="shared" si="14"/>
        <v>-6.605698786174531E-3</v>
      </c>
      <c r="I111" s="15">
        <f t="shared" si="15"/>
        <v>2.2949014004003898E-2</v>
      </c>
      <c r="J111" s="15">
        <f t="shared" si="16"/>
        <v>6.019359605761769E-3</v>
      </c>
    </row>
    <row r="112" spans="1:10" x14ac:dyDescent="0.2">
      <c r="A112" s="25">
        <v>45315</v>
      </c>
      <c r="B112" s="26">
        <v>193.764725</v>
      </c>
      <c r="C112" s="26">
        <v>57.992553999999998</v>
      </c>
      <c r="D112" s="26">
        <v>168.57711800000001</v>
      </c>
      <c r="E112" s="26">
        <v>16.168510000000001</v>
      </c>
      <c r="F112" s="15">
        <f t="shared" si="12"/>
        <v>-3.4900447377881711E-3</v>
      </c>
      <c r="G112" s="15">
        <f t="shared" si="13"/>
        <v>-1.5830462198802939E-2</v>
      </c>
      <c r="H112" s="15">
        <f t="shared" si="14"/>
        <v>8.8957289910188905E-3</v>
      </c>
      <c r="I112" s="15">
        <f t="shared" si="15"/>
        <v>-3.011736741564745E-2</v>
      </c>
      <c r="J112" s="15">
        <f t="shared" si="16"/>
        <v>-7.1565942102710112E-3</v>
      </c>
    </row>
    <row r="113" spans="1:10" x14ac:dyDescent="0.2">
      <c r="A113" s="25">
        <v>45316</v>
      </c>
      <c r="B113" s="26">
        <v>193.43598900000001</v>
      </c>
      <c r="C113" s="26">
        <v>58.238658999999998</v>
      </c>
      <c r="D113" s="26">
        <v>170.98959400000001</v>
      </c>
      <c r="E113" s="26">
        <v>16.653176999999999</v>
      </c>
      <c r="F113" s="15">
        <f t="shared" si="12"/>
        <v>-1.6980138057580752E-3</v>
      </c>
      <c r="G113" s="15">
        <f t="shared" si="13"/>
        <v>4.2347552165082781E-3</v>
      </c>
      <c r="H113" s="15">
        <f t="shared" si="14"/>
        <v>1.4209382167514918E-2</v>
      </c>
      <c r="I113" s="15">
        <f t="shared" si="15"/>
        <v>2.9535485641168389E-2</v>
      </c>
      <c r="J113" s="15">
        <f t="shared" si="16"/>
        <v>1.5570910902553053E-2</v>
      </c>
    </row>
    <row r="114" spans="1:10" x14ac:dyDescent="0.2">
      <c r="A114" s="25">
        <v>45317</v>
      </c>
      <c r="B114" s="26">
        <v>191.69258099999999</v>
      </c>
      <c r="C114" s="26">
        <v>58.445385000000002</v>
      </c>
      <c r="D114" s="26">
        <v>170.337051</v>
      </c>
      <c r="E114" s="26">
        <v>16.759803999999999</v>
      </c>
      <c r="F114" s="15">
        <f t="shared" si="12"/>
        <v>-9.053703332614238E-3</v>
      </c>
      <c r="G114" s="15">
        <f t="shared" si="13"/>
        <v>3.5433502166368901E-3</v>
      </c>
      <c r="H114" s="15">
        <f t="shared" si="14"/>
        <v>-3.8235737207052796E-3</v>
      </c>
      <c r="I114" s="15">
        <f t="shared" si="15"/>
        <v>6.382391439619532E-3</v>
      </c>
      <c r="J114" s="15">
        <f t="shared" si="16"/>
        <v>-1.2758431602761227E-3</v>
      </c>
    </row>
    <row r="115" spans="1:10" x14ac:dyDescent="0.2">
      <c r="A115" s="25">
        <v>45320</v>
      </c>
      <c r="B115" s="26">
        <v>191.005188</v>
      </c>
      <c r="C115" s="26">
        <v>58.799782</v>
      </c>
      <c r="D115" s="26">
        <v>170.78196700000001</v>
      </c>
      <c r="E115" s="26">
        <v>16.721031</v>
      </c>
      <c r="F115" s="15">
        <f t="shared" si="12"/>
        <v>-3.5923582258243084E-3</v>
      </c>
      <c r="G115" s="15">
        <f t="shared" si="13"/>
        <v>6.045418986824742E-3</v>
      </c>
      <c r="H115" s="15">
        <f t="shared" si="14"/>
        <v>2.608569026138582E-3</v>
      </c>
      <c r="I115" s="15">
        <f t="shared" si="15"/>
        <v>-2.3161320398991719E-3</v>
      </c>
      <c r="J115" s="15">
        <f t="shared" si="16"/>
        <v>-7.4265126993620706E-5</v>
      </c>
    </row>
    <row r="116" spans="1:10" x14ac:dyDescent="0.2">
      <c r="A116" s="25">
        <v>45321</v>
      </c>
      <c r="B116" s="26">
        <v>187.32914700000001</v>
      </c>
      <c r="C116" s="26">
        <v>58.967132999999997</v>
      </c>
      <c r="D116" s="26">
        <v>174.282059</v>
      </c>
      <c r="E116" s="26">
        <v>16.992445</v>
      </c>
      <c r="F116" s="15">
        <f t="shared" si="12"/>
        <v>-1.9433375980611085E-2</v>
      </c>
      <c r="G116" s="15">
        <f t="shared" si="13"/>
        <v>2.842073474480988E-3</v>
      </c>
      <c r="H116" s="15">
        <f t="shared" si="14"/>
        <v>2.0287319345977977E-2</v>
      </c>
      <c r="I116" s="15">
        <f t="shared" si="15"/>
        <v>1.610156507641821E-2</v>
      </c>
      <c r="J116" s="15">
        <f t="shared" si="16"/>
        <v>1.0308660085380405E-2</v>
      </c>
    </row>
    <row r="117" spans="1:10" x14ac:dyDescent="0.2">
      <c r="A117" s="25">
        <v>45322</v>
      </c>
      <c r="B117" s="26">
        <v>183.702911</v>
      </c>
      <c r="C117" s="26">
        <v>58.563518999999999</v>
      </c>
      <c r="D117" s="26">
        <v>172.393585</v>
      </c>
      <c r="E117" s="26">
        <v>17.147537</v>
      </c>
      <c r="F117" s="15">
        <f t="shared" si="12"/>
        <v>-1.9547375416428876E-2</v>
      </c>
      <c r="G117" s="15">
        <f t="shared" si="13"/>
        <v>-6.8682608284900979E-3</v>
      </c>
      <c r="H117" s="15">
        <f t="shared" si="14"/>
        <v>-1.0894867940747696E-2</v>
      </c>
      <c r="I117" s="15">
        <f t="shared" si="15"/>
        <v>9.08571462661973E-3</v>
      </c>
      <c r="J117" s="15">
        <f t="shared" si="16"/>
        <v>-6.0153742372202074E-3</v>
      </c>
    </row>
    <row r="118" spans="1:10" x14ac:dyDescent="0.2">
      <c r="A118" s="25">
        <v>45323</v>
      </c>
      <c r="B118" s="26">
        <v>186.15362500000001</v>
      </c>
      <c r="C118" s="26">
        <v>60.030315000000002</v>
      </c>
      <c r="D118" s="26">
        <v>171.770691</v>
      </c>
      <c r="E118" s="26">
        <v>17.486806999999999</v>
      </c>
      <c r="F118" s="15">
        <f t="shared" si="12"/>
        <v>1.3252435087594459E-2</v>
      </c>
      <c r="G118" s="15">
        <f t="shared" si="13"/>
        <v>2.4737724565590001E-2</v>
      </c>
      <c r="H118" s="15">
        <f t="shared" si="14"/>
        <v>-3.6197520984293389E-3</v>
      </c>
      <c r="I118" s="15">
        <f t="shared" si="15"/>
        <v>1.9592162762490182E-2</v>
      </c>
      <c r="J118" s="15">
        <f t="shared" si="16"/>
        <v>8.3824326595088126E-3</v>
      </c>
    </row>
    <row r="119" spans="1:10" x14ac:dyDescent="0.2">
      <c r="A119" s="25">
        <v>45324</v>
      </c>
      <c r="B119" s="26">
        <v>185.14743000000001</v>
      </c>
      <c r="C119" s="26">
        <v>59.597168000000003</v>
      </c>
      <c r="D119" s="26">
        <v>172.75941499999999</v>
      </c>
      <c r="E119" s="26">
        <v>17.283245000000001</v>
      </c>
      <c r="F119" s="15">
        <f t="shared" si="12"/>
        <v>-5.4198470459970276E-3</v>
      </c>
      <c r="G119" s="15">
        <f t="shared" si="13"/>
        <v>-7.2416284624734579E-3</v>
      </c>
      <c r="H119" s="15">
        <f t="shared" si="14"/>
        <v>5.7395664242008678E-3</v>
      </c>
      <c r="I119" s="15">
        <f t="shared" si="15"/>
        <v>-1.1709175802896356E-2</v>
      </c>
      <c r="J119" s="15">
        <f t="shared" si="16"/>
        <v>-2.6385457235104919E-3</v>
      </c>
    </row>
    <row r="120" spans="1:10" x14ac:dyDescent="0.2">
      <c r="A120" s="25">
        <v>45327</v>
      </c>
      <c r="B120" s="26">
        <v>186.970505</v>
      </c>
      <c r="C120" s="26">
        <v>59.104953999999999</v>
      </c>
      <c r="D120" s="26">
        <v>172.53201300000001</v>
      </c>
      <c r="E120" s="26">
        <v>17.186309999999999</v>
      </c>
      <c r="F120" s="15">
        <f t="shared" si="12"/>
        <v>9.7984505156412712E-3</v>
      </c>
      <c r="G120" s="15">
        <f t="shared" si="13"/>
        <v>-8.2933112377348989E-3</v>
      </c>
      <c r="H120" s="15">
        <f t="shared" si="14"/>
        <v>-1.3171600244696804E-3</v>
      </c>
      <c r="I120" s="15">
        <f t="shared" si="15"/>
        <v>-5.6243984313423317E-3</v>
      </c>
      <c r="J120" s="15">
        <f t="shared" si="16"/>
        <v>-7.7469153796365289E-4</v>
      </c>
    </row>
    <row r="121" spans="1:10" x14ac:dyDescent="0.2">
      <c r="A121" s="25">
        <v>45328</v>
      </c>
      <c r="B121" s="26">
        <v>188.58438100000001</v>
      </c>
      <c r="C121" s="26">
        <v>59.006512000000001</v>
      </c>
      <c r="D121" s="26">
        <v>173.12524400000001</v>
      </c>
      <c r="E121" s="26">
        <v>17.069991999999999</v>
      </c>
      <c r="F121" s="15">
        <f t="shared" si="12"/>
        <v>8.5946741458582179E-3</v>
      </c>
      <c r="G121" s="15">
        <f t="shared" si="13"/>
        <v>-1.6669342296507035E-3</v>
      </c>
      <c r="H121" s="15">
        <f t="shared" si="14"/>
        <v>3.4324844651034197E-3</v>
      </c>
      <c r="I121" s="15">
        <f t="shared" si="15"/>
        <v>-6.7910685184317367E-3</v>
      </c>
      <c r="J121" s="15">
        <f t="shared" si="16"/>
        <v>9.5814517061633235E-4</v>
      </c>
    </row>
    <row r="122" spans="1:10" x14ac:dyDescent="0.2">
      <c r="A122" s="25">
        <v>45329</v>
      </c>
      <c r="B122" s="26">
        <v>188.69397000000001</v>
      </c>
      <c r="C122" s="26">
        <v>59.055732999999996</v>
      </c>
      <c r="D122" s="26">
        <v>173.45150799999999</v>
      </c>
      <c r="E122" s="26">
        <v>16.798576000000001</v>
      </c>
      <c r="F122" s="15">
        <f t="shared" si="12"/>
        <v>5.8094509155742779E-4</v>
      </c>
      <c r="G122" s="15">
        <f t="shared" si="13"/>
        <v>8.3381444850086286E-4</v>
      </c>
      <c r="H122" s="15">
        <f t="shared" si="14"/>
        <v>1.8827811992427708E-3</v>
      </c>
      <c r="I122" s="15">
        <f t="shared" si="15"/>
        <v>-1.6027947235816124E-2</v>
      </c>
      <c r="J122" s="15">
        <f t="shared" si="16"/>
        <v>-4.1921114467546611E-3</v>
      </c>
    </row>
    <row r="123" spans="1:10" x14ac:dyDescent="0.2">
      <c r="A123" s="25">
        <v>45330</v>
      </c>
      <c r="B123" s="26">
        <v>187.608093</v>
      </c>
      <c r="C123" s="26">
        <v>58.898228000000003</v>
      </c>
      <c r="D123" s="26">
        <v>172.82862900000001</v>
      </c>
      <c r="E123" s="26">
        <v>16.304216</v>
      </c>
      <c r="F123" s="15">
        <f t="shared" si="12"/>
        <v>-5.7713210785359176E-3</v>
      </c>
      <c r="G123" s="15">
        <f t="shared" si="13"/>
        <v>-2.670619829599635E-3</v>
      </c>
      <c r="H123" s="15">
        <f t="shared" si="14"/>
        <v>-3.5975477957779409E-3</v>
      </c>
      <c r="I123" s="15">
        <f t="shared" si="15"/>
        <v>-2.9870396236716779E-2</v>
      </c>
      <c r="J123" s="15">
        <f t="shared" si="16"/>
        <v>-1.2460627959492699E-2</v>
      </c>
    </row>
    <row r="124" spans="1:10" x14ac:dyDescent="0.2">
      <c r="A124" s="25">
        <v>45331</v>
      </c>
      <c r="B124" s="26">
        <v>188.37616</v>
      </c>
      <c r="C124" s="26">
        <v>58.632430999999997</v>
      </c>
      <c r="D124" s="26">
        <v>173.03625500000001</v>
      </c>
      <c r="E124" s="26">
        <v>16.323602999999999</v>
      </c>
      <c r="F124" s="15">
        <f t="shared" si="12"/>
        <v>4.0856395568765842E-3</v>
      </c>
      <c r="G124" s="15">
        <f t="shared" si="13"/>
        <v>-4.5230317841640829E-3</v>
      </c>
      <c r="H124" s="15">
        <f t="shared" si="14"/>
        <v>1.200619285424928E-3</v>
      </c>
      <c r="I124" s="15">
        <f t="shared" si="15"/>
        <v>1.1883725529783697E-3</v>
      </c>
      <c r="J124" s="15">
        <f t="shared" si="16"/>
        <v>1.5379715059817237E-3</v>
      </c>
    </row>
    <row r="125" spans="1:10" x14ac:dyDescent="0.2">
      <c r="A125" s="25">
        <v>45334</v>
      </c>
      <c r="B125" s="26">
        <v>186.68042</v>
      </c>
      <c r="C125" s="26">
        <v>58.770248000000002</v>
      </c>
      <c r="D125" s="26">
        <v>173.80744899999999</v>
      </c>
      <c r="E125" s="26">
        <v>16.498085</v>
      </c>
      <c r="F125" s="15">
        <f t="shared" si="12"/>
        <v>-9.0426439389799818E-3</v>
      </c>
      <c r="G125" s="15">
        <f t="shared" si="13"/>
        <v>2.3477669245357624E-3</v>
      </c>
      <c r="H125" s="15">
        <f t="shared" si="14"/>
        <v>4.4469325058092328E-3</v>
      </c>
      <c r="I125" s="15">
        <f t="shared" si="15"/>
        <v>1.0632216336701443E-2</v>
      </c>
      <c r="J125" s="15">
        <f t="shared" si="16"/>
        <v>3.6659483318481909E-3</v>
      </c>
    </row>
    <row r="126" spans="1:10" x14ac:dyDescent="0.2">
      <c r="A126" s="25">
        <v>45335</v>
      </c>
      <c r="B126" s="26">
        <v>184.575714</v>
      </c>
      <c r="C126" s="26">
        <v>58.425697</v>
      </c>
      <c r="D126" s="26">
        <v>172.29470800000001</v>
      </c>
      <c r="E126" s="26">
        <v>16.381762999999999</v>
      </c>
      <c r="F126" s="15">
        <f t="shared" si="12"/>
        <v>-1.133841763443315E-2</v>
      </c>
      <c r="G126" s="15">
        <f t="shared" si="13"/>
        <v>-5.8799302773867674E-3</v>
      </c>
      <c r="H126" s="15">
        <f t="shared" si="14"/>
        <v>-8.7416423305419957E-3</v>
      </c>
      <c r="I126" s="15">
        <f t="shared" si="15"/>
        <v>-7.075609674194675E-3</v>
      </c>
      <c r="J126" s="15">
        <f t="shared" si="16"/>
        <v>-8.605408745771443E-3</v>
      </c>
    </row>
    <row r="127" spans="1:10" x14ac:dyDescent="0.2">
      <c r="A127" s="25">
        <v>45336</v>
      </c>
      <c r="B127" s="26">
        <v>183.68794299999999</v>
      </c>
      <c r="C127" s="26">
        <v>58.366633999999998</v>
      </c>
      <c r="D127" s="26">
        <v>174.04473899999999</v>
      </c>
      <c r="E127" s="26">
        <v>16.391455000000001</v>
      </c>
      <c r="F127" s="15">
        <f t="shared" si="12"/>
        <v>-4.8213974030586366E-3</v>
      </c>
      <c r="G127" s="15">
        <f t="shared" si="13"/>
        <v>-1.0114192349661964E-3</v>
      </c>
      <c r="H127" s="15">
        <f t="shared" si="14"/>
        <v>1.0105957663276266E-2</v>
      </c>
      <c r="I127" s="15">
        <f t="shared" si="15"/>
        <v>5.9145856733030231E-4</v>
      </c>
      <c r="J127" s="15">
        <f t="shared" si="16"/>
        <v>3.6101130568427101E-3</v>
      </c>
    </row>
    <row r="128" spans="1:10" x14ac:dyDescent="0.2">
      <c r="A128" s="25">
        <v>45337</v>
      </c>
      <c r="B128" s="26">
        <v>183.39868200000001</v>
      </c>
      <c r="C128" s="26">
        <v>58.474921999999999</v>
      </c>
      <c r="D128" s="26">
        <v>177.84144599999999</v>
      </c>
      <c r="E128" s="26">
        <v>16.565937000000002</v>
      </c>
      <c r="F128" s="15">
        <f t="shared" si="12"/>
        <v>-1.5759825619922172E-3</v>
      </c>
      <c r="G128" s="15">
        <f t="shared" si="13"/>
        <v>1.8535876226185115E-3</v>
      </c>
      <c r="H128" s="15">
        <f t="shared" si="14"/>
        <v>2.1580013672744289E-2</v>
      </c>
      <c r="I128" s="15">
        <f t="shared" si="15"/>
        <v>1.0588436740846002E-2</v>
      </c>
      <c r="J128" s="15">
        <f t="shared" si="16"/>
        <v>1.2616390198828775E-2</v>
      </c>
    </row>
    <row r="129" spans="1:10" x14ac:dyDescent="0.2">
      <c r="A129" s="25">
        <v>45338</v>
      </c>
      <c r="B129" s="26">
        <v>181.852554</v>
      </c>
      <c r="C129" s="26">
        <v>58.465076000000003</v>
      </c>
      <c r="D129" s="26">
        <v>177.01091</v>
      </c>
      <c r="E129" s="26">
        <v>16.449615000000001</v>
      </c>
      <c r="F129" s="15">
        <f t="shared" si="12"/>
        <v>-8.4661574423176515E-3</v>
      </c>
      <c r="G129" s="15">
        <f t="shared" si="13"/>
        <v>-1.6839405150777205E-4</v>
      </c>
      <c r="H129" s="15">
        <f t="shared" si="14"/>
        <v>-4.6810314347300336E-3</v>
      </c>
      <c r="I129" s="15">
        <f t="shared" si="15"/>
        <v>-7.0465265167247411E-3</v>
      </c>
      <c r="J129" s="15">
        <f t="shared" si="16"/>
        <v>-6.0135882698069696E-3</v>
      </c>
    </row>
    <row r="130" spans="1:10" x14ac:dyDescent="0.2">
      <c r="A130" s="25">
        <v>45342</v>
      </c>
      <c r="B130" s="26">
        <v>181.104446</v>
      </c>
      <c r="C130" s="26">
        <v>59.754677000000001</v>
      </c>
      <c r="D130" s="26">
        <v>177.70301799999999</v>
      </c>
      <c r="E130" s="26">
        <v>16.391455000000001</v>
      </c>
      <c r="F130" s="15">
        <f t="shared" si="12"/>
        <v>-4.1223013161664603E-3</v>
      </c>
      <c r="G130" s="15">
        <f t="shared" si="13"/>
        <v>2.181787938436186E-2</v>
      </c>
      <c r="H130" s="15">
        <f t="shared" si="14"/>
        <v>3.9023496044056838E-3</v>
      </c>
      <c r="I130" s="15">
        <f t="shared" si="15"/>
        <v>-3.5419102241213379E-3</v>
      </c>
      <c r="J130" s="15">
        <f t="shared" si="16"/>
        <v>6.3525156539686939E-4</v>
      </c>
    </row>
    <row r="131" spans="1:10" x14ac:dyDescent="0.2">
      <c r="A131" s="25">
        <v>45343</v>
      </c>
      <c r="B131" s="26">
        <v>181.862549</v>
      </c>
      <c r="C131" s="26">
        <v>60.286265999999998</v>
      </c>
      <c r="D131" s="26">
        <v>178.85983300000001</v>
      </c>
      <c r="E131" s="26">
        <v>16.478697</v>
      </c>
      <c r="F131" s="15">
        <f t="shared" ref="F131:F194" si="17">LN(B131/B130)</f>
        <v>4.1772619153831059E-3</v>
      </c>
      <c r="G131" s="15">
        <f t="shared" ref="G131:G194" si="18">LN(C131/C130)</f>
        <v>8.8568526987604264E-3</v>
      </c>
      <c r="H131" s="15">
        <f t="shared" ref="H131:H194" si="19">LN(D131/D130)</f>
        <v>6.4887245296995355E-3</v>
      </c>
      <c r="I131" s="15">
        <f t="shared" ref="I131:I194" si="20">LN(E131/E130)</f>
        <v>5.3082933634442889E-3</v>
      </c>
      <c r="J131" s="15">
        <f t="shared" si="16"/>
        <v>5.7442633542833087E-3</v>
      </c>
    </row>
    <row r="132" spans="1:10" x14ac:dyDescent="0.2">
      <c r="A132" s="25">
        <v>45344</v>
      </c>
      <c r="B132" s="26">
        <v>183.90739400000001</v>
      </c>
      <c r="C132" s="26">
        <v>60.197665999999998</v>
      </c>
      <c r="D132" s="26">
        <v>181.00535600000001</v>
      </c>
      <c r="E132" s="26">
        <v>16.081268000000001</v>
      </c>
      <c r="F132" s="15">
        <f t="shared" si="17"/>
        <v>1.118116096025438E-2</v>
      </c>
      <c r="G132" s="15">
        <f t="shared" si="18"/>
        <v>-1.4707357985398316E-3</v>
      </c>
      <c r="H132" s="15">
        <f t="shared" si="19"/>
        <v>1.1924178761792791E-2</v>
      </c>
      <c r="I132" s="15">
        <f t="shared" si="20"/>
        <v>-2.4413339458236528E-2</v>
      </c>
      <c r="J132" s="15">
        <f t="shared" ref="J132:J195" si="21">SUMPRODUCT(F132:I132,$M$37:$P$37)</f>
        <v>-4.8241640002808991E-4</v>
      </c>
    </row>
    <row r="133" spans="1:10" x14ac:dyDescent="0.2">
      <c r="A133" s="25">
        <v>45345</v>
      </c>
      <c r="B133" s="26">
        <v>182.06204199999999</v>
      </c>
      <c r="C133" s="26">
        <v>60.246890999999998</v>
      </c>
      <c r="D133" s="26">
        <v>181.91499300000001</v>
      </c>
      <c r="E133" s="26">
        <v>16.284828000000001</v>
      </c>
      <c r="F133" s="15">
        <f t="shared" si="17"/>
        <v>-1.0084818339197638E-2</v>
      </c>
      <c r="G133" s="15">
        <f t="shared" si="18"/>
        <v>8.1738858055153973E-4</v>
      </c>
      <c r="H133" s="15">
        <f t="shared" si="19"/>
        <v>5.0128845481506338E-3</v>
      </c>
      <c r="I133" s="15">
        <f t="shared" si="20"/>
        <v>1.2578760442407045E-2</v>
      </c>
      <c r="J133" s="15">
        <f t="shared" si="21"/>
        <v>4.2707165151704609E-3</v>
      </c>
    </row>
    <row r="134" spans="1:10" x14ac:dyDescent="0.2">
      <c r="A134" s="25">
        <v>45348</v>
      </c>
      <c r="B134" s="26">
        <v>180.70545999999999</v>
      </c>
      <c r="C134" s="26">
        <v>59.764519</v>
      </c>
      <c r="D134" s="26">
        <v>181.29208399999999</v>
      </c>
      <c r="E134" s="26">
        <v>16.090962999999999</v>
      </c>
      <c r="F134" s="15">
        <f t="shared" si="17"/>
        <v>-7.479106127821062E-3</v>
      </c>
      <c r="G134" s="15">
        <f t="shared" si="18"/>
        <v>-8.0388122707836501E-3</v>
      </c>
      <c r="H134" s="15">
        <f t="shared" si="19"/>
        <v>-3.4300521667624483E-3</v>
      </c>
      <c r="I134" s="15">
        <f t="shared" si="20"/>
        <v>-1.1976066753339242E-2</v>
      </c>
      <c r="J134" s="15">
        <f t="shared" si="21"/>
        <v>-7.1796818815519281E-3</v>
      </c>
    </row>
    <row r="135" spans="1:10" x14ac:dyDescent="0.2">
      <c r="A135" s="25">
        <v>45349</v>
      </c>
      <c r="B135" s="26">
        <v>182.17176799999999</v>
      </c>
      <c r="C135" s="26">
        <v>59.400280000000002</v>
      </c>
      <c r="D135" s="26">
        <v>181.38107299999999</v>
      </c>
      <c r="E135" s="26">
        <v>16.31391</v>
      </c>
      <c r="F135" s="15">
        <f t="shared" si="17"/>
        <v>8.0816092470088127E-3</v>
      </c>
      <c r="G135" s="15">
        <f t="shared" si="18"/>
        <v>-6.1132169466150627E-3</v>
      </c>
      <c r="H135" s="15">
        <f t="shared" si="19"/>
        <v>4.9073938927271261E-4</v>
      </c>
      <c r="I135" s="15">
        <f t="shared" si="20"/>
        <v>1.3760308076745754E-2</v>
      </c>
      <c r="J135" s="15">
        <f t="shared" si="21"/>
        <v>6.0108026375325979E-3</v>
      </c>
    </row>
    <row r="136" spans="1:10" x14ac:dyDescent="0.2">
      <c r="A136" s="25">
        <v>45350</v>
      </c>
      <c r="B136" s="26">
        <v>180.964798</v>
      </c>
      <c r="C136" s="26">
        <v>59.459347000000001</v>
      </c>
      <c r="D136" s="26">
        <v>182.30058299999999</v>
      </c>
      <c r="E136" s="26">
        <v>16.439921999999999</v>
      </c>
      <c r="F136" s="15">
        <f t="shared" si="17"/>
        <v>-6.647496052951337E-3</v>
      </c>
      <c r="G136" s="15">
        <f t="shared" si="18"/>
        <v>9.9389517455469021E-4</v>
      </c>
      <c r="H136" s="15">
        <f t="shared" si="19"/>
        <v>5.0566859458387667E-3</v>
      </c>
      <c r="I136" s="15">
        <f t="shared" si="20"/>
        <v>7.6945269621530249E-3</v>
      </c>
      <c r="J136" s="15">
        <f t="shared" si="21"/>
        <v>3.4080470197937951E-3</v>
      </c>
    </row>
    <row r="137" spans="1:10" x14ac:dyDescent="0.2">
      <c r="A137" s="25">
        <v>45351</v>
      </c>
      <c r="B137" s="26">
        <v>180.29647800000001</v>
      </c>
      <c r="C137" s="26">
        <v>59.085262</v>
      </c>
      <c r="D137" s="26">
        <v>183.961624</v>
      </c>
      <c r="E137" s="26">
        <v>16.410843</v>
      </c>
      <c r="F137" s="15">
        <f t="shared" si="17"/>
        <v>-3.6999302544279294E-3</v>
      </c>
      <c r="G137" s="15">
        <f t="shared" si="18"/>
        <v>-6.311315966027564E-3</v>
      </c>
      <c r="H137" s="15">
        <f t="shared" si="19"/>
        <v>9.0702909341080495E-3</v>
      </c>
      <c r="I137" s="15">
        <f t="shared" si="20"/>
        <v>-1.7703701935084114E-3</v>
      </c>
      <c r="J137" s="15">
        <f t="shared" si="21"/>
        <v>2.4028454469607859E-3</v>
      </c>
    </row>
    <row r="138" spans="1:10" x14ac:dyDescent="0.2">
      <c r="A138" s="25">
        <v>45352</v>
      </c>
      <c r="B138" s="26">
        <v>179.20922899999999</v>
      </c>
      <c r="C138" s="26">
        <v>58.602893999999999</v>
      </c>
      <c r="D138" s="26">
        <v>183.20030199999999</v>
      </c>
      <c r="E138" s="26">
        <v>16.459311</v>
      </c>
      <c r="F138" s="15">
        <f t="shared" si="17"/>
        <v>-6.0485955778969338E-3</v>
      </c>
      <c r="G138" s="15">
        <f t="shared" si="18"/>
        <v>-8.1974383416661724E-3</v>
      </c>
      <c r="H138" s="15">
        <f t="shared" si="19"/>
        <v>-4.1470699285579005E-3</v>
      </c>
      <c r="I138" s="15">
        <f t="shared" si="20"/>
        <v>2.9490604228386468E-3</v>
      </c>
      <c r="J138" s="15">
        <f t="shared" si="21"/>
        <v>-2.4044345191337221E-3</v>
      </c>
    </row>
    <row r="139" spans="1:10" x14ac:dyDescent="0.2">
      <c r="A139" s="25">
        <v>45355</v>
      </c>
      <c r="B139" s="26">
        <v>174.66066000000001</v>
      </c>
      <c r="C139" s="26">
        <v>58.878535999999997</v>
      </c>
      <c r="D139" s="26">
        <v>184.57463100000001</v>
      </c>
      <c r="E139" s="26">
        <v>16.284828000000001</v>
      </c>
      <c r="F139" s="15">
        <f t="shared" si="17"/>
        <v>-2.5708994582135079E-2</v>
      </c>
      <c r="G139" s="15">
        <f t="shared" si="18"/>
        <v>4.6925289520041878E-3</v>
      </c>
      <c r="H139" s="15">
        <f t="shared" si="19"/>
        <v>7.4737850456217817E-3</v>
      </c>
      <c r="I139" s="15">
        <f t="shared" si="20"/>
        <v>-1.0657458514889893E-2</v>
      </c>
      <c r="J139" s="15">
        <f t="shared" si="21"/>
        <v>-5.0974620049998969E-3</v>
      </c>
    </row>
    <row r="140" spans="1:10" x14ac:dyDescent="0.2">
      <c r="A140" s="25">
        <v>45356</v>
      </c>
      <c r="B140" s="26">
        <v>169.693161</v>
      </c>
      <c r="C140" s="26">
        <v>58.593048000000003</v>
      </c>
      <c r="D140" s="26">
        <v>186.423553</v>
      </c>
      <c r="E140" s="26">
        <v>16.643484000000001</v>
      </c>
      <c r="F140" s="15">
        <f t="shared" si="17"/>
        <v>-2.8853134850884594E-2</v>
      </c>
      <c r="G140" s="15">
        <f t="shared" si="18"/>
        <v>-4.8605552480539922E-3</v>
      </c>
      <c r="H140" s="15">
        <f t="shared" si="19"/>
        <v>9.9673658093087422E-3</v>
      </c>
      <c r="I140" s="15">
        <f t="shared" si="20"/>
        <v>2.1784911671504949E-2</v>
      </c>
      <c r="J140" s="15">
        <f t="shared" si="21"/>
        <v>5.4328349983613598E-3</v>
      </c>
    </row>
    <row r="141" spans="1:10" x14ac:dyDescent="0.2">
      <c r="A141" s="25">
        <v>45357</v>
      </c>
      <c r="B141" s="26">
        <v>168.69564800000001</v>
      </c>
      <c r="C141" s="26">
        <v>58.622585000000001</v>
      </c>
      <c r="D141" s="26">
        <v>187.39250200000001</v>
      </c>
      <c r="E141" s="26">
        <v>16.653176999999999</v>
      </c>
      <c r="F141" s="15">
        <f t="shared" si="17"/>
        <v>-5.8956789518436912E-3</v>
      </c>
      <c r="G141" s="15">
        <f t="shared" si="18"/>
        <v>5.0397715508103207E-4</v>
      </c>
      <c r="H141" s="15">
        <f t="shared" si="19"/>
        <v>5.1841067662975826E-3</v>
      </c>
      <c r="I141" s="15">
        <f t="shared" si="20"/>
        <v>5.8222055801986279E-4</v>
      </c>
      <c r="J141" s="15">
        <f t="shared" si="21"/>
        <v>1.3013706418258935E-3</v>
      </c>
    </row>
    <row r="142" spans="1:10" x14ac:dyDescent="0.2">
      <c r="A142" s="25">
        <v>45358</v>
      </c>
      <c r="B142" s="26">
        <v>168.57595800000001</v>
      </c>
      <c r="C142" s="26">
        <v>58.514296999999999</v>
      </c>
      <c r="D142" s="26">
        <v>185.75122099999999</v>
      </c>
      <c r="E142" s="26">
        <v>16.527163000000002</v>
      </c>
      <c r="F142" s="15">
        <f t="shared" si="17"/>
        <v>-7.0975441095678829E-4</v>
      </c>
      <c r="G142" s="15">
        <f t="shared" si="18"/>
        <v>-1.848914347035491E-3</v>
      </c>
      <c r="H142" s="15">
        <f t="shared" si="19"/>
        <v>-8.7971014039722271E-3</v>
      </c>
      <c r="I142" s="15">
        <f t="shared" si="20"/>
        <v>-7.5957392761439417E-3</v>
      </c>
      <c r="J142" s="15">
        <f t="shared" si="21"/>
        <v>-6.5141749146078601E-3</v>
      </c>
    </row>
    <row r="143" spans="1:10" x14ac:dyDescent="0.2">
      <c r="A143" s="25">
        <v>45359</v>
      </c>
      <c r="B143" s="26">
        <v>170.301605</v>
      </c>
      <c r="C143" s="26">
        <v>58.593048000000003</v>
      </c>
      <c r="D143" s="26">
        <v>186.097275</v>
      </c>
      <c r="E143" s="26">
        <v>16.672564000000001</v>
      </c>
      <c r="F143" s="15">
        <f t="shared" si="17"/>
        <v>1.0184574634208254E-2</v>
      </c>
      <c r="G143" s="15">
        <f t="shared" si="18"/>
        <v>1.3449371919544843E-3</v>
      </c>
      <c r="H143" s="15">
        <f t="shared" si="19"/>
        <v>1.8612639482236896E-3</v>
      </c>
      <c r="I143" s="15">
        <f t="shared" si="20"/>
        <v>8.7592244143747111E-3</v>
      </c>
      <c r="J143" s="15">
        <f t="shared" si="21"/>
        <v>5.7223787045832183E-3</v>
      </c>
    </row>
    <row r="144" spans="1:10" x14ac:dyDescent="0.2">
      <c r="A144" s="25">
        <v>45362</v>
      </c>
      <c r="B144" s="26">
        <v>172.31655900000001</v>
      </c>
      <c r="C144" s="26">
        <v>59.301837999999996</v>
      </c>
      <c r="D144" s="26">
        <v>186.166473</v>
      </c>
      <c r="E144" s="26">
        <v>16.798576000000001</v>
      </c>
      <c r="F144" s="15">
        <f t="shared" si="17"/>
        <v>1.1762232376596935E-2</v>
      </c>
      <c r="G144" s="15">
        <f t="shared" si="18"/>
        <v>1.2024245731310248E-2</v>
      </c>
      <c r="H144" s="15">
        <f t="shared" si="19"/>
        <v>3.7176867835657829E-4</v>
      </c>
      <c r="I144" s="15">
        <f t="shared" si="20"/>
        <v>7.5296267385311973E-3</v>
      </c>
      <c r="J144" s="15">
        <f t="shared" si="21"/>
        <v>5.4249516032035304E-3</v>
      </c>
    </row>
    <row r="145" spans="1:10" x14ac:dyDescent="0.2">
      <c r="A145" s="25">
        <v>45363</v>
      </c>
      <c r="B145" s="26">
        <v>172.795334</v>
      </c>
      <c r="C145" s="26">
        <v>59.557789</v>
      </c>
      <c r="D145" s="26">
        <v>187.699005</v>
      </c>
      <c r="E145" s="26">
        <v>16.672564000000001</v>
      </c>
      <c r="F145" s="15">
        <f t="shared" si="17"/>
        <v>2.7746091448219968E-3</v>
      </c>
      <c r="G145" s="15">
        <f t="shared" si="18"/>
        <v>4.3067844327523246E-3</v>
      </c>
      <c r="H145" s="15">
        <f t="shared" si="19"/>
        <v>8.1983530120362299E-3</v>
      </c>
      <c r="I145" s="15">
        <f t="shared" si="20"/>
        <v>-7.5296267385311115E-3</v>
      </c>
      <c r="J145" s="15">
        <f t="shared" si="21"/>
        <v>1.8892832149732274E-3</v>
      </c>
    </row>
    <row r="146" spans="1:10" x14ac:dyDescent="0.2">
      <c r="A146" s="25">
        <v>45364</v>
      </c>
      <c r="B146" s="26">
        <v>170.70062300000001</v>
      </c>
      <c r="C146" s="26">
        <v>60.168132999999997</v>
      </c>
      <c r="D146" s="26">
        <v>189.22163399999999</v>
      </c>
      <c r="E146" s="26">
        <v>16.662870000000002</v>
      </c>
      <c r="F146" s="15">
        <f t="shared" si="17"/>
        <v>-1.2196574219039144E-2</v>
      </c>
      <c r="G146" s="15">
        <f t="shared" si="18"/>
        <v>1.0195775101912073E-2</v>
      </c>
      <c r="H146" s="15">
        <f t="shared" si="19"/>
        <v>8.079352123651724E-3</v>
      </c>
      <c r="I146" s="15">
        <f t="shared" si="20"/>
        <v>-5.8160336375158385E-4</v>
      </c>
      <c r="J146" s="15">
        <f t="shared" si="21"/>
        <v>1.3329689280354286E-3</v>
      </c>
    </row>
    <row r="147" spans="1:10" x14ac:dyDescent="0.2">
      <c r="A147" s="25">
        <v>45365</v>
      </c>
      <c r="B147" s="26">
        <v>172.565933</v>
      </c>
      <c r="C147" s="26">
        <v>60.034171999999998</v>
      </c>
      <c r="D147" s="26">
        <v>185.85008199999999</v>
      </c>
      <c r="E147" s="26">
        <v>16.488389999999999</v>
      </c>
      <c r="F147" s="15">
        <f t="shared" si="17"/>
        <v>1.0868104262170121E-2</v>
      </c>
      <c r="G147" s="15">
        <f t="shared" si="18"/>
        <v>-2.2289265661106588E-3</v>
      </c>
      <c r="H147" s="15">
        <f t="shared" si="19"/>
        <v>-1.7978656730612674E-2</v>
      </c>
      <c r="I147" s="15">
        <f t="shared" si="20"/>
        <v>-1.0526393935028697E-2</v>
      </c>
      <c r="J147" s="15">
        <f t="shared" si="21"/>
        <v>-9.1838570477960242E-3</v>
      </c>
    </row>
    <row r="148" spans="1:10" x14ac:dyDescent="0.2">
      <c r="A148" s="25">
        <v>45366</v>
      </c>
      <c r="B148" s="26">
        <v>172.18687399999999</v>
      </c>
      <c r="C148" s="26">
        <v>59.418948999999998</v>
      </c>
      <c r="D148" s="26">
        <v>188.15382399999999</v>
      </c>
      <c r="E148" s="26">
        <v>16.527163000000002</v>
      </c>
      <c r="F148" s="15">
        <f t="shared" si="17"/>
        <v>-2.1990199647653258E-3</v>
      </c>
      <c r="G148" s="15">
        <f t="shared" si="18"/>
        <v>-1.0300751202101817E-2</v>
      </c>
      <c r="H148" s="15">
        <f t="shared" si="19"/>
        <v>1.2319503083121451E-2</v>
      </c>
      <c r="I148" s="15">
        <f t="shared" si="20"/>
        <v>2.3487728844055851E-3</v>
      </c>
      <c r="J148" s="15">
        <f t="shared" si="21"/>
        <v>5.288344628770811E-3</v>
      </c>
    </row>
    <row r="149" spans="1:10" x14ac:dyDescent="0.2">
      <c r="A149" s="25">
        <v>45369</v>
      </c>
      <c r="B149" s="26">
        <v>173.284119</v>
      </c>
      <c r="C149" s="26">
        <v>59.667023</v>
      </c>
      <c r="D149" s="26">
        <v>190.487213</v>
      </c>
      <c r="E149" s="26">
        <v>16.769497000000001</v>
      </c>
      <c r="F149" s="15">
        <f t="shared" si="17"/>
        <v>6.3521899768463532E-3</v>
      </c>
      <c r="G149" s="15">
        <f t="shared" si="18"/>
        <v>4.1663069910752798E-3</v>
      </c>
      <c r="H149" s="15">
        <f t="shared" si="19"/>
        <v>1.2325227911982373E-2</v>
      </c>
      <c r="I149" s="15">
        <f t="shared" si="20"/>
        <v>1.455631158926427E-2</v>
      </c>
      <c r="J149" s="15">
        <f t="shared" si="21"/>
        <v>1.1520549274986875E-2</v>
      </c>
    </row>
    <row r="150" spans="1:10" x14ac:dyDescent="0.2">
      <c r="A150" s="25">
        <v>45370</v>
      </c>
      <c r="B150" s="26">
        <v>175.63819899999999</v>
      </c>
      <c r="C150" s="26">
        <v>59.766250999999997</v>
      </c>
      <c r="D150" s="26">
        <v>191.60446200000001</v>
      </c>
      <c r="E150" s="26">
        <v>16.643484000000001</v>
      </c>
      <c r="F150" s="15">
        <f t="shared" si="17"/>
        <v>1.3493637966671364E-2</v>
      </c>
      <c r="G150" s="15">
        <f t="shared" si="18"/>
        <v>1.6616478726241028E-3</v>
      </c>
      <c r="H150" s="15">
        <f t="shared" si="19"/>
        <v>5.8480844115032697E-3</v>
      </c>
      <c r="I150" s="15">
        <f t="shared" si="20"/>
        <v>-7.5427928711403599E-3</v>
      </c>
      <c r="J150" s="15">
        <f t="shared" si="21"/>
        <v>2.8851977273495972E-3</v>
      </c>
    </row>
    <row r="151" spans="1:10" x14ac:dyDescent="0.2">
      <c r="A151" s="25">
        <v>45371</v>
      </c>
      <c r="B151" s="26">
        <v>178.22171</v>
      </c>
      <c r="C151" s="26">
        <v>60.282249</v>
      </c>
      <c r="D151" s="26">
        <v>194.115814</v>
      </c>
      <c r="E151" s="26">
        <v>16.682257</v>
      </c>
      <c r="F151" s="15">
        <f t="shared" si="17"/>
        <v>1.4602145308817756E-2</v>
      </c>
      <c r="G151" s="15">
        <f t="shared" si="18"/>
        <v>8.5965451914703454E-3</v>
      </c>
      <c r="H151" s="15">
        <f t="shared" si="19"/>
        <v>1.3021806957661381E-2</v>
      </c>
      <c r="I151" s="15">
        <f t="shared" si="20"/>
        <v>2.3269110502146303E-3</v>
      </c>
      <c r="J151" s="15">
        <f t="shared" si="21"/>
        <v>9.7091490238554387E-3</v>
      </c>
    </row>
    <row r="152" spans="1:10" x14ac:dyDescent="0.2">
      <c r="A152" s="25">
        <v>45372</v>
      </c>
      <c r="B152" s="26">
        <v>170.94001800000001</v>
      </c>
      <c r="C152" s="26">
        <v>60.004406000000003</v>
      </c>
      <c r="D152" s="26">
        <v>196.81501800000001</v>
      </c>
      <c r="E152" s="26">
        <v>16.633789</v>
      </c>
      <c r="F152" s="15">
        <f t="shared" si="17"/>
        <v>-4.1715613983300662E-2</v>
      </c>
      <c r="G152" s="15">
        <f t="shared" si="18"/>
        <v>-4.6196894266072042E-3</v>
      </c>
      <c r="H152" s="15">
        <f t="shared" si="19"/>
        <v>1.3809332358761774E-2</v>
      </c>
      <c r="I152" s="15">
        <f t="shared" si="20"/>
        <v>-2.9095910236789767E-3</v>
      </c>
      <c r="J152" s="15">
        <f t="shared" si="21"/>
        <v>-3.399021503757634E-3</v>
      </c>
    </row>
    <row r="153" spans="1:10" x14ac:dyDescent="0.2">
      <c r="A153" s="25">
        <v>45373</v>
      </c>
      <c r="B153" s="26">
        <v>171.84773300000001</v>
      </c>
      <c r="C153" s="26">
        <v>60.024253999999999</v>
      </c>
      <c r="D153" s="26">
        <v>194.40254200000001</v>
      </c>
      <c r="E153" s="26">
        <v>16.459311</v>
      </c>
      <c r="F153" s="15">
        <f t="shared" si="17"/>
        <v>5.2960884338796171E-3</v>
      </c>
      <c r="G153" s="15">
        <f t="shared" si="18"/>
        <v>3.3072101581254086E-4</v>
      </c>
      <c r="H153" s="15">
        <f t="shared" si="19"/>
        <v>-1.2333324609694349E-2</v>
      </c>
      <c r="I153" s="15">
        <f t="shared" si="20"/>
        <v>-1.0544773183150766E-2</v>
      </c>
      <c r="J153" s="15">
        <f t="shared" si="21"/>
        <v>-7.7257881598648886E-3</v>
      </c>
    </row>
    <row r="154" spans="1:10" x14ac:dyDescent="0.2">
      <c r="A154" s="25">
        <v>45376</v>
      </c>
      <c r="B154" s="26">
        <v>170.42132599999999</v>
      </c>
      <c r="C154" s="26">
        <v>59.934944000000002</v>
      </c>
      <c r="D154" s="26">
        <v>192.622849</v>
      </c>
      <c r="E154" s="26">
        <v>16.595016000000001</v>
      </c>
      <c r="F154" s="15">
        <f t="shared" si="17"/>
        <v>-8.3350523254073824E-3</v>
      </c>
      <c r="G154" s="15">
        <f t="shared" si="18"/>
        <v>-1.4890065620656438E-3</v>
      </c>
      <c r="H154" s="15">
        <f t="shared" si="19"/>
        <v>-9.1968412694247506E-3</v>
      </c>
      <c r="I154" s="15">
        <f t="shared" si="20"/>
        <v>8.2110739967389546E-3</v>
      </c>
      <c r="J154" s="15">
        <f t="shared" si="21"/>
        <v>-3.0997758442341842E-3</v>
      </c>
    </row>
    <row r="155" spans="1:10" x14ac:dyDescent="0.2">
      <c r="A155" s="25">
        <v>45377</v>
      </c>
      <c r="B155" s="26">
        <v>169.28419500000001</v>
      </c>
      <c r="C155" s="26">
        <v>60.073867999999997</v>
      </c>
      <c r="D155" s="26">
        <v>193.52256800000001</v>
      </c>
      <c r="E155" s="26">
        <v>16.653176999999999</v>
      </c>
      <c r="F155" s="15">
        <f t="shared" si="17"/>
        <v>-6.6948293563426041E-3</v>
      </c>
      <c r="G155" s="15">
        <f t="shared" si="18"/>
        <v>2.3152310191375206E-3</v>
      </c>
      <c r="H155" s="15">
        <f t="shared" si="19"/>
        <v>4.6600093568763086E-3</v>
      </c>
      <c r="I155" s="15">
        <f t="shared" si="20"/>
        <v>3.4985997178958793E-3</v>
      </c>
      <c r="J155" s="15">
        <f t="shared" si="21"/>
        <v>1.9266764970238747E-3</v>
      </c>
    </row>
    <row r="156" spans="1:10" x14ac:dyDescent="0.2">
      <c r="A156" s="25">
        <v>45378</v>
      </c>
      <c r="B156" s="26">
        <v>172.875137</v>
      </c>
      <c r="C156" s="26">
        <v>60.560093000000002</v>
      </c>
      <c r="D156" s="26">
        <v>197.269836</v>
      </c>
      <c r="E156" s="26">
        <v>17.011831000000001</v>
      </c>
      <c r="F156" s="15">
        <f t="shared" si="17"/>
        <v>2.0990652674622658E-2</v>
      </c>
      <c r="G156" s="15">
        <f t="shared" si="18"/>
        <v>8.0612064628980545E-3</v>
      </c>
      <c r="H156" s="15">
        <f t="shared" si="19"/>
        <v>1.9178381247547345E-2</v>
      </c>
      <c r="I156" s="15">
        <f t="shared" si="20"/>
        <v>2.130803414272742E-2</v>
      </c>
      <c r="J156" s="15">
        <f t="shared" si="21"/>
        <v>1.9771976007712862E-2</v>
      </c>
    </row>
    <row r="157" spans="1:10" x14ac:dyDescent="0.2">
      <c r="A157" s="25">
        <v>45379</v>
      </c>
      <c r="B157" s="26">
        <v>171.049744</v>
      </c>
      <c r="C157" s="26">
        <v>60.708939000000001</v>
      </c>
      <c r="D157" s="26">
        <v>198.04104599999999</v>
      </c>
      <c r="E157" s="26">
        <v>17.060296999999998</v>
      </c>
      <c r="F157" s="15">
        <f t="shared" si="17"/>
        <v>-1.0615167680639992E-2</v>
      </c>
      <c r="G157" s="15">
        <f t="shared" si="18"/>
        <v>2.4548076667502516E-3</v>
      </c>
      <c r="H157" s="15">
        <f t="shared" si="19"/>
        <v>3.9017948330012063E-3</v>
      </c>
      <c r="I157" s="15">
        <f t="shared" si="20"/>
        <v>2.8449078782690519E-3</v>
      </c>
      <c r="J157" s="15">
        <f t="shared" si="21"/>
        <v>6.0853637361498478E-4</v>
      </c>
    </row>
    <row r="158" spans="1:10" x14ac:dyDescent="0.2">
      <c r="A158" s="25">
        <v>45383</v>
      </c>
      <c r="B158" s="26">
        <v>169.60337799999999</v>
      </c>
      <c r="C158" s="26">
        <v>60.212788000000003</v>
      </c>
      <c r="D158" s="26">
        <v>196.696381</v>
      </c>
      <c r="E158" s="26">
        <v>16.963363999999999</v>
      </c>
      <c r="F158" s="15">
        <f t="shared" si="17"/>
        <v>-8.4917741718009161E-3</v>
      </c>
      <c r="G158" s="15">
        <f t="shared" si="18"/>
        <v>-8.2061974569752581E-3</v>
      </c>
      <c r="H158" s="15">
        <f t="shared" si="19"/>
        <v>-6.8129855912890617E-3</v>
      </c>
      <c r="I158" s="15">
        <f t="shared" si="20"/>
        <v>-5.697991304405129E-3</v>
      </c>
      <c r="J158" s="15">
        <f t="shared" si="21"/>
        <v>-6.8451408794689668E-3</v>
      </c>
    </row>
    <row r="159" spans="1:10" x14ac:dyDescent="0.2">
      <c r="A159" s="25">
        <v>45384</v>
      </c>
      <c r="B159" s="26">
        <v>168.41635099999999</v>
      </c>
      <c r="C159" s="26">
        <v>59.686870999999996</v>
      </c>
      <c r="D159" s="26">
        <v>196.617279</v>
      </c>
      <c r="E159" s="26">
        <v>16.982749999999999</v>
      </c>
      <c r="F159" s="15">
        <f t="shared" si="17"/>
        <v>-7.0234473180625914E-3</v>
      </c>
      <c r="G159" s="15">
        <f t="shared" si="18"/>
        <v>-8.7726750393700287E-3</v>
      </c>
      <c r="H159" s="15">
        <f t="shared" si="19"/>
        <v>-4.0223368324664339E-4</v>
      </c>
      <c r="I159" s="15">
        <f t="shared" si="20"/>
        <v>1.1421632595400733E-3</v>
      </c>
      <c r="J159" s="15">
        <f t="shared" si="21"/>
        <v>-1.5660624475801071E-3</v>
      </c>
    </row>
    <row r="160" spans="1:10" x14ac:dyDescent="0.2">
      <c r="A160" s="25">
        <v>45385</v>
      </c>
      <c r="B160" s="26">
        <v>169.22431900000001</v>
      </c>
      <c r="C160" s="26">
        <v>59.369335</v>
      </c>
      <c r="D160" s="26">
        <v>196.06359900000001</v>
      </c>
      <c r="E160" s="26">
        <v>17.069991999999999</v>
      </c>
      <c r="F160" s="15">
        <f t="shared" si="17"/>
        <v>4.7859728642550272E-3</v>
      </c>
      <c r="G160" s="15">
        <f t="shared" si="18"/>
        <v>-5.3342326889105063E-3</v>
      </c>
      <c r="H160" s="15">
        <f t="shared" si="19"/>
        <v>-2.8200016753762752E-3</v>
      </c>
      <c r="I160" s="15">
        <f t="shared" si="20"/>
        <v>5.12394513644681E-3</v>
      </c>
      <c r="J160" s="15">
        <f t="shared" si="21"/>
        <v>1.1536595746890201E-3</v>
      </c>
    </row>
    <row r="161" spans="1:10" x14ac:dyDescent="0.2">
      <c r="A161" s="25">
        <v>45386</v>
      </c>
      <c r="B161" s="26">
        <v>168.396423</v>
      </c>
      <c r="C161" s="26">
        <v>58.843414000000003</v>
      </c>
      <c r="D161" s="26">
        <v>194.571854</v>
      </c>
      <c r="E161" s="26">
        <v>17.031217999999999</v>
      </c>
      <c r="F161" s="15">
        <f t="shared" si="17"/>
        <v>-4.9043056684808586E-3</v>
      </c>
      <c r="G161" s="15">
        <f t="shared" si="18"/>
        <v>-8.8979314726668046E-3</v>
      </c>
      <c r="H161" s="15">
        <f t="shared" si="19"/>
        <v>-7.637567148412871E-3</v>
      </c>
      <c r="I161" s="15">
        <f t="shared" si="20"/>
        <v>-2.2740551851044106E-3</v>
      </c>
      <c r="J161" s="15">
        <f t="shared" si="21"/>
        <v>-5.4155994439799007E-3</v>
      </c>
    </row>
    <row r="162" spans="1:10" x14ac:dyDescent="0.2">
      <c r="A162" s="25">
        <v>45387</v>
      </c>
      <c r="B162" s="26">
        <v>169.154495</v>
      </c>
      <c r="C162" s="26">
        <v>59.051796000000003</v>
      </c>
      <c r="D162" s="26">
        <v>196.36193800000001</v>
      </c>
      <c r="E162" s="26">
        <v>16.885818</v>
      </c>
      <c r="F162" s="15">
        <f t="shared" si="17"/>
        <v>4.4916084303433098E-3</v>
      </c>
      <c r="G162" s="15">
        <f t="shared" si="18"/>
        <v>3.5350412795235415E-3</v>
      </c>
      <c r="H162" s="15">
        <f t="shared" si="19"/>
        <v>9.1580546261534317E-3</v>
      </c>
      <c r="I162" s="15">
        <f t="shared" si="20"/>
        <v>-8.5739149328683574E-3</v>
      </c>
      <c r="J162" s="15">
        <f t="shared" si="21"/>
        <v>2.2833408245603111E-3</v>
      </c>
    </row>
    <row r="163" spans="1:10" x14ac:dyDescent="0.2">
      <c r="A163" s="25">
        <v>45390</v>
      </c>
      <c r="B163" s="26">
        <v>168.027344</v>
      </c>
      <c r="C163" s="26">
        <v>58.813643999999996</v>
      </c>
      <c r="D163" s="26">
        <v>197.38626099999999</v>
      </c>
      <c r="E163" s="26">
        <v>16.721031</v>
      </c>
      <c r="F163" s="15">
        <f t="shared" si="17"/>
        <v>-6.685740856598745E-3</v>
      </c>
      <c r="G163" s="15">
        <f t="shared" si="18"/>
        <v>-4.0410882798711488E-3</v>
      </c>
      <c r="H163" s="15">
        <f t="shared" si="19"/>
        <v>5.202946011474462E-3</v>
      </c>
      <c r="I163" s="15">
        <f t="shared" si="20"/>
        <v>-9.8068295948848475E-3</v>
      </c>
      <c r="J163" s="15">
        <f t="shared" si="21"/>
        <v>-2.3818341387223203E-3</v>
      </c>
    </row>
    <row r="164" spans="1:10" x14ac:dyDescent="0.2">
      <c r="A164" s="25">
        <v>45391</v>
      </c>
      <c r="B164" s="26">
        <v>169.24427800000001</v>
      </c>
      <c r="C164" s="26">
        <v>59.260181000000003</v>
      </c>
      <c r="D164" s="26">
        <v>196.06358299999999</v>
      </c>
      <c r="E164" s="26">
        <v>16.650095</v>
      </c>
      <c r="F164" s="15">
        <f t="shared" si="17"/>
        <v>7.2163751807764352E-3</v>
      </c>
      <c r="G164" s="15">
        <f t="shared" si="18"/>
        <v>7.5637276739742845E-3</v>
      </c>
      <c r="H164" s="15">
        <f t="shared" si="19"/>
        <v>-6.7235150953914692E-3</v>
      </c>
      <c r="I164" s="15">
        <f t="shared" si="20"/>
        <v>-4.2513463190354973E-3</v>
      </c>
      <c r="J164" s="15">
        <f t="shared" si="21"/>
        <v>-2.564760984689371E-3</v>
      </c>
    </row>
    <row r="165" spans="1:10" x14ac:dyDescent="0.2">
      <c r="A165" s="25">
        <v>45392</v>
      </c>
      <c r="B165" s="26">
        <v>167.35902400000001</v>
      </c>
      <c r="C165" s="26">
        <v>58.466338999999998</v>
      </c>
      <c r="D165" s="26">
        <v>194.392853</v>
      </c>
      <c r="E165" s="26">
        <v>16.482609</v>
      </c>
      <c r="F165" s="15">
        <f t="shared" si="17"/>
        <v>-1.120175412492392E-2</v>
      </c>
      <c r="G165" s="15">
        <f t="shared" si="18"/>
        <v>-1.348640955626019E-2</v>
      </c>
      <c r="H165" s="15">
        <f t="shared" si="19"/>
        <v>-8.557882737226321E-3</v>
      </c>
      <c r="I165" s="15">
        <f t="shared" si="20"/>
        <v>-1.0110097057956752E-2</v>
      </c>
      <c r="J165" s="15">
        <f t="shared" si="21"/>
        <v>-9.7864092446691246E-3</v>
      </c>
    </row>
    <row r="166" spans="1:10" x14ac:dyDescent="0.2">
      <c r="A166" s="25">
        <v>45393</v>
      </c>
      <c r="B166" s="26">
        <v>174.60079999999999</v>
      </c>
      <c r="C166" s="26">
        <v>58.595337000000001</v>
      </c>
      <c r="D166" s="26">
        <v>194.353058</v>
      </c>
      <c r="E166" s="26">
        <v>16.177192999999999</v>
      </c>
      <c r="F166" s="15">
        <f t="shared" si="17"/>
        <v>4.236087617690229E-2</v>
      </c>
      <c r="G166" s="15">
        <f t="shared" si="18"/>
        <v>2.2039331166826617E-3</v>
      </c>
      <c r="H166" s="15">
        <f t="shared" si="19"/>
        <v>-2.0473527315899678E-4</v>
      </c>
      <c r="I166" s="15">
        <f t="shared" si="20"/>
        <v>-1.8703414262897906E-2</v>
      </c>
      <c r="J166" s="15">
        <f t="shared" si="21"/>
        <v>2.4157821398819264E-3</v>
      </c>
    </row>
    <row r="167" spans="1:10" x14ac:dyDescent="0.2">
      <c r="A167" s="25">
        <v>45394</v>
      </c>
      <c r="B167" s="26">
        <v>176.10702499999999</v>
      </c>
      <c r="C167" s="26">
        <v>57.831263999999997</v>
      </c>
      <c r="D167" s="26">
        <v>181.782715</v>
      </c>
      <c r="E167" s="26">
        <v>16.068819000000001</v>
      </c>
      <c r="F167" s="15">
        <f t="shared" si="17"/>
        <v>8.5896815167550832E-3</v>
      </c>
      <c r="G167" s="15">
        <f t="shared" si="18"/>
        <v>-1.3125590939175541E-2</v>
      </c>
      <c r="H167" s="15">
        <f t="shared" si="19"/>
        <v>-6.6864291458487934E-2</v>
      </c>
      <c r="I167" s="15">
        <f t="shared" si="20"/>
        <v>-6.7217247231749887E-3</v>
      </c>
      <c r="J167" s="15">
        <f t="shared" si="21"/>
        <v>-3.0246366724337927E-2</v>
      </c>
    </row>
    <row r="168" spans="1:10" x14ac:dyDescent="0.2">
      <c r="A168" s="25">
        <v>45397</v>
      </c>
      <c r="B168" s="26">
        <v>172.256699</v>
      </c>
      <c r="C168" s="26">
        <v>57.692345000000003</v>
      </c>
      <c r="D168" s="26">
        <v>181.882172</v>
      </c>
      <c r="E168" s="26">
        <v>15.999855</v>
      </c>
      <c r="F168" s="15">
        <f t="shared" si="17"/>
        <v>-2.2106106529132866E-2</v>
      </c>
      <c r="G168" s="15">
        <f t="shared" si="18"/>
        <v>-2.4050333635455131E-3</v>
      </c>
      <c r="H168" s="15">
        <f t="shared" si="19"/>
        <v>5.4697060967347623E-4</v>
      </c>
      <c r="I168" s="15">
        <f t="shared" si="20"/>
        <v>-4.3010263731349009E-3</v>
      </c>
      <c r="J168" s="15">
        <f t="shared" si="21"/>
        <v>-5.6513111627722696E-3</v>
      </c>
    </row>
    <row r="169" spans="1:10" x14ac:dyDescent="0.2">
      <c r="A169" s="25">
        <v>45398</v>
      </c>
      <c r="B169" s="26">
        <v>168.955017</v>
      </c>
      <c r="C169" s="26">
        <v>57.612960999999999</v>
      </c>
      <c r="D169" s="26">
        <v>179.803696</v>
      </c>
      <c r="E169" s="26">
        <v>15.852073000000001</v>
      </c>
      <c r="F169" s="15">
        <f t="shared" si="17"/>
        <v>-1.9353292388622649E-2</v>
      </c>
      <c r="G169" s="15">
        <f t="shared" si="18"/>
        <v>-1.3769359849297128E-3</v>
      </c>
      <c r="H169" s="15">
        <f t="shared" si="19"/>
        <v>-1.1493392825475091E-2</v>
      </c>
      <c r="I169" s="15">
        <f t="shared" si="20"/>
        <v>-9.2793792839827582E-3</v>
      </c>
      <c r="J169" s="15">
        <f t="shared" si="21"/>
        <v>-1.1933324263826817E-2</v>
      </c>
    </row>
    <row r="170" spans="1:10" x14ac:dyDescent="0.2">
      <c r="A170" s="25">
        <v>45399</v>
      </c>
      <c r="B170" s="26">
        <v>167.57847599999999</v>
      </c>
      <c r="C170" s="26">
        <v>58.059494000000001</v>
      </c>
      <c r="D170" s="26">
        <v>179.08766199999999</v>
      </c>
      <c r="E170" s="26">
        <v>15.881629999999999</v>
      </c>
      <c r="F170" s="15">
        <f t="shared" si="17"/>
        <v>-8.1807529156866562E-3</v>
      </c>
      <c r="G170" s="15">
        <f t="shared" si="18"/>
        <v>7.7206836858722564E-3</v>
      </c>
      <c r="H170" s="15">
        <f t="shared" si="19"/>
        <v>-3.9902601949420831E-3</v>
      </c>
      <c r="I170" s="15">
        <f t="shared" si="20"/>
        <v>1.8628149729069926E-3</v>
      </c>
      <c r="J170" s="15">
        <f t="shared" si="21"/>
        <v>-2.4608274972705148E-3</v>
      </c>
    </row>
    <row r="171" spans="1:10" x14ac:dyDescent="0.2">
      <c r="A171" s="25">
        <v>45400</v>
      </c>
      <c r="B171" s="26">
        <v>166.62088</v>
      </c>
      <c r="C171" s="26">
        <v>58.456417000000002</v>
      </c>
      <c r="D171" s="26">
        <v>180.251205</v>
      </c>
      <c r="E171" s="26">
        <v>16.088524</v>
      </c>
      <c r="F171" s="15">
        <f t="shared" si="17"/>
        <v>-5.7307029681765223E-3</v>
      </c>
      <c r="G171" s="15">
        <f t="shared" si="18"/>
        <v>6.8132245978021052E-3</v>
      </c>
      <c r="H171" s="15">
        <f t="shared" si="19"/>
        <v>6.4760434973849422E-3</v>
      </c>
      <c r="I171" s="15">
        <f t="shared" si="20"/>
        <v>1.2943127412559438E-2</v>
      </c>
      <c r="J171" s="15">
        <f t="shared" si="21"/>
        <v>6.141074302354505E-3</v>
      </c>
    </row>
    <row r="172" spans="1:10" x14ac:dyDescent="0.2">
      <c r="A172" s="25">
        <v>45401</v>
      </c>
      <c r="B172" s="26">
        <v>164.58599899999999</v>
      </c>
      <c r="C172" s="26">
        <v>59.706710999999999</v>
      </c>
      <c r="D172" s="26">
        <v>184.776138</v>
      </c>
      <c r="E172" s="26">
        <v>16.265863</v>
      </c>
      <c r="F172" s="15">
        <f t="shared" si="17"/>
        <v>-1.2287828139873455E-2</v>
      </c>
      <c r="G172" s="15">
        <f t="shared" si="18"/>
        <v>2.1162958107073866E-2</v>
      </c>
      <c r="H172" s="15">
        <f t="shared" si="19"/>
        <v>2.4793566191605932E-2</v>
      </c>
      <c r="I172" s="15">
        <f t="shared" si="20"/>
        <v>1.0962394432582713E-2</v>
      </c>
      <c r="J172" s="15">
        <f t="shared" si="21"/>
        <v>1.2796456943029434E-2</v>
      </c>
    </row>
    <row r="173" spans="1:10" x14ac:dyDescent="0.2">
      <c r="A173" s="25">
        <v>45404</v>
      </c>
      <c r="B173" s="26">
        <v>165.42387400000001</v>
      </c>
      <c r="C173" s="26">
        <v>60.08379</v>
      </c>
      <c r="D173" s="26">
        <v>188.366241</v>
      </c>
      <c r="E173" s="26">
        <v>16.068819000000001</v>
      </c>
      <c r="F173" s="15">
        <f t="shared" si="17"/>
        <v>5.07788929321121E-3</v>
      </c>
      <c r="G173" s="15">
        <f t="shared" si="18"/>
        <v>6.2956618817539729E-3</v>
      </c>
      <c r="H173" s="15">
        <f t="shared" si="19"/>
        <v>1.9243130694284457E-2</v>
      </c>
      <c r="I173" s="15">
        <f t="shared" si="20"/>
        <v>-1.2187931160931781E-2</v>
      </c>
      <c r="J173" s="15">
        <f t="shared" si="21"/>
        <v>5.7608140379832506E-3</v>
      </c>
    </row>
    <row r="174" spans="1:10" x14ac:dyDescent="0.2">
      <c r="A174" s="25">
        <v>45405</v>
      </c>
      <c r="B174" s="26">
        <v>166.48121599999999</v>
      </c>
      <c r="C174" s="26">
        <v>60.173096000000001</v>
      </c>
      <c r="D174" s="26">
        <v>191.08119199999999</v>
      </c>
      <c r="E174" s="26">
        <v>16.25601</v>
      </c>
      <c r="F174" s="15">
        <f t="shared" si="17"/>
        <v>6.3713730744178647E-3</v>
      </c>
      <c r="G174" s="15">
        <f t="shared" si="18"/>
        <v>1.4852540987510795E-3</v>
      </c>
      <c r="H174" s="15">
        <f t="shared" si="19"/>
        <v>1.4310268539026554E-2</v>
      </c>
      <c r="I174" s="15">
        <f t="shared" si="20"/>
        <v>1.1582000481511069E-2</v>
      </c>
      <c r="J174" s="15">
        <f t="shared" si="21"/>
        <v>1.1324813505728726E-2</v>
      </c>
    </row>
    <row r="175" spans="1:10" x14ac:dyDescent="0.2">
      <c r="A175" s="25">
        <v>45406</v>
      </c>
      <c r="B175" s="26">
        <v>168.59591699999999</v>
      </c>
      <c r="C175" s="26">
        <v>61.076087999999999</v>
      </c>
      <c r="D175" s="26">
        <v>192.01602199999999</v>
      </c>
      <c r="E175" s="26">
        <v>16.561426000000001</v>
      </c>
      <c r="F175" s="15">
        <f t="shared" si="17"/>
        <v>1.2622341953280228E-2</v>
      </c>
      <c r="G175" s="15">
        <f t="shared" si="18"/>
        <v>1.4895089026447495E-2</v>
      </c>
      <c r="H175" s="15">
        <f t="shared" si="19"/>
        <v>4.8803897357337367E-3</v>
      </c>
      <c r="I175" s="15">
        <f t="shared" si="20"/>
        <v>1.8613569807513386E-2</v>
      </c>
      <c r="J175" s="15">
        <f t="shared" si="21"/>
        <v>1.1258669061240949E-2</v>
      </c>
    </row>
    <row r="176" spans="1:10" x14ac:dyDescent="0.2">
      <c r="A176" s="25">
        <v>45407</v>
      </c>
      <c r="B176" s="26">
        <v>169.46373</v>
      </c>
      <c r="C176" s="26">
        <v>61.264628999999999</v>
      </c>
      <c r="D176" s="26">
        <v>192.30441300000001</v>
      </c>
      <c r="E176" s="26">
        <v>16.334827000000001</v>
      </c>
      <c r="F176" s="15">
        <f t="shared" si="17"/>
        <v>5.1340934294748482E-3</v>
      </c>
      <c r="G176" s="15">
        <f t="shared" si="18"/>
        <v>3.082230575187468E-3</v>
      </c>
      <c r="H176" s="15">
        <f t="shared" si="19"/>
        <v>1.500784386497234E-3</v>
      </c>
      <c r="I176" s="15">
        <f t="shared" si="20"/>
        <v>-1.377680211997016E-2</v>
      </c>
      <c r="J176" s="15">
        <f t="shared" si="21"/>
        <v>-2.6343550378729137E-3</v>
      </c>
    </row>
    <row r="177" spans="1:10" x14ac:dyDescent="0.2">
      <c r="A177" s="25">
        <v>45408</v>
      </c>
      <c r="B177" s="26">
        <v>168.875214</v>
      </c>
      <c r="C177" s="26">
        <v>61.264628999999999</v>
      </c>
      <c r="D177" s="26">
        <v>192.423767</v>
      </c>
      <c r="E177" s="26">
        <v>16.502313999999998</v>
      </c>
      <c r="F177" s="15">
        <f t="shared" si="17"/>
        <v>-3.4788581331064421E-3</v>
      </c>
      <c r="G177" s="15">
        <f t="shared" si="18"/>
        <v>0</v>
      </c>
      <c r="H177" s="15">
        <f t="shared" si="19"/>
        <v>6.2045885918183598E-4</v>
      </c>
      <c r="I177" s="15">
        <f t="shared" si="20"/>
        <v>1.020115925682203E-2</v>
      </c>
      <c r="J177" s="15">
        <f t="shared" si="21"/>
        <v>2.8658700770441805E-3</v>
      </c>
    </row>
    <row r="178" spans="1:10" x14ac:dyDescent="0.2">
      <c r="A178" s="25">
        <v>45411</v>
      </c>
      <c r="B178" s="26">
        <v>173.06466699999999</v>
      </c>
      <c r="C178" s="26">
        <v>61.562317</v>
      </c>
      <c r="D178" s="26">
        <v>192.21492000000001</v>
      </c>
      <c r="E178" s="26">
        <v>16.768322000000001</v>
      </c>
      <c r="F178" s="15">
        <f t="shared" si="17"/>
        <v>2.4505258851654717E-2</v>
      </c>
      <c r="G178" s="15">
        <f t="shared" si="18"/>
        <v>4.8472846158211921E-3</v>
      </c>
      <c r="H178" s="15">
        <f t="shared" si="19"/>
        <v>-1.0859387138235847E-3</v>
      </c>
      <c r="I178" s="15">
        <f t="shared" si="20"/>
        <v>1.5990897700798735E-2</v>
      </c>
      <c r="J178" s="15">
        <f t="shared" si="21"/>
        <v>9.7610369015713565E-3</v>
      </c>
    </row>
    <row r="179" spans="1:10" x14ac:dyDescent="0.2">
      <c r="A179" s="25">
        <v>45412</v>
      </c>
      <c r="B179" s="26">
        <v>169.90263400000001</v>
      </c>
      <c r="C179" s="26">
        <v>61.294395000000002</v>
      </c>
      <c r="D179" s="26">
        <v>190.68341100000001</v>
      </c>
      <c r="E179" s="26">
        <v>16.640243999999999</v>
      </c>
      <c r="F179" s="15">
        <f t="shared" si="17"/>
        <v>-1.8439790545778333E-2</v>
      </c>
      <c r="G179" s="15">
        <f t="shared" si="18"/>
        <v>-4.3615431401830369E-3</v>
      </c>
      <c r="H179" s="15">
        <f t="shared" si="19"/>
        <v>-7.9996022089060346E-3</v>
      </c>
      <c r="I179" s="15">
        <f t="shared" si="20"/>
        <v>-7.6674124514332052E-3</v>
      </c>
      <c r="J179" s="15">
        <f t="shared" si="21"/>
        <v>-9.8249133735717059E-3</v>
      </c>
    </row>
    <row r="180" spans="1:10" x14ac:dyDescent="0.2">
      <c r="A180" s="25">
        <v>45413</v>
      </c>
      <c r="B180" s="26">
        <v>168.875214</v>
      </c>
      <c r="C180" s="26">
        <v>61.453163000000004</v>
      </c>
      <c r="D180" s="26">
        <v>190.80275</v>
      </c>
      <c r="E180" s="26">
        <v>16.669799999999999</v>
      </c>
      <c r="F180" s="15">
        <f t="shared" si="17"/>
        <v>-6.0654683058762593E-3</v>
      </c>
      <c r="G180" s="15">
        <f t="shared" si="18"/>
        <v>2.5869042305606007E-3</v>
      </c>
      <c r="H180" s="15">
        <f t="shared" si="19"/>
        <v>6.2565312240965142E-4</v>
      </c>
      <c r="I180" s="15">
        <f t="shared" si="20"/>
        <v>1.7746003431574375E-3</v>
      </c>
      <c r="J180" s="15">
        <f t="shared" si="21"/>
        <v>-2.5763063477360479E-4</v>
      </c>
    </row>
    <row r="181" spans="1:10" x14ac:dyDescent="0.2">
      <c r="A181" s="25">
        <v>45414</v>
      </c>
      <c r="B181" s="26">
        <v>172.59584000000001</v>
      </c>
      <c r="C181" s="26">
        <v>61.512703000000002</v>
      </c>
      <c r="D181" s="26">
        <v>190.60385099999999</v>
      </c>
      <c r="E181" s="26">
        <v>16.571278</v>
      </c>
      <c r="F181" s="15">
        <f t="shared" si="17"/>
        <v>2.1792612899963495E-2</v>
      </c>
      <c r="G181" s="15">
        <f t="shared" si="18"/>
        <v>9.683988994642935E-4</v>
      </c>
      <c r="H181" s="15">
        <f t="shared" si="19"/>
        <v>-1.0429762752333207E-3</v>
      </c>
      <c r="I181" s="15">
        <f t="shared" si="20"/>
        <v>-5.9277432873759113E-3</v>
      </c>
      <c r="J181" s="15">
        <f t="shared" si="21"/>
        <v>2.0164309576452869E-3</v>
      </c>
    </row>
    <row r="182" spans="1:10" x14ac:dyDescent="0.2">
      <c r="A182" s="25">
        <v>45415</v>
      </c>
      <c r="B182" s="26">
        <v>182.91987599999999</v>
      </c>
      <c r="C182" s="26">
        <v>61.691315000000003</v>
      </c>
      <c r="D182" s="26">
        <v>189.46017499999999</v>
      </c>
      <c r="E182" s="26">
        <v>16.600836000000001</v>
      </c>
      <c r="F182" s="15">
        <f>LN(B182/B181)</f>
        <v>5.8095544508652106E-2</v>
      </c>
      <c r="G182" s="15">
        <f t="shared" si="18"/>
        <v>2.8994529241732746E-3</v>
      </c>
      <c r="H182" s="15">
        <f t="shared" si="19"/>
        <v>-6.0183515082071516E-3</v>
      </c>
      <c r="I182" s="15">
        <f t="shared" si="20"/>
        <v>1.7820997373106853E-3</v>
      </c>
      <c r="J182" s="15">
        <f t="shared" si="21"/>
        <v>9.6391400005362733E-3</v>
      </c>
    </row>
    <row r="183" spans="1:10" x14ac:dyDescent="0.2">
      <c r="A183" s="25">
        <v>45418</v>
      </c>
      <c r="B183" s="26">
        <v>181.25408899999999</v>
      </c>
      <c r="C183" s="26">
        <v>61.869926</v>
      </c>
      <c r="D183" s="26">
        <v>190.941971</v>
      </c>
      <c r="E183" s="26">
        <v>16.738764</v>
      </c>
      <c r="F183" s="15">
        <f t="shared" si="17"/>
        <v>-9.1483674173388676E-3</v>
      </c>
      <c r="G183" s="15">
        <f t="shared" si="18"/>
        <v>2.8910542328630683E-3</v>
      </c>
      <c r="H183" s="15">
        <f t="shared" si="19"/>
        <v>7.7907210062601899E-3</v>
      </c>
      <c r="I183" s="15">
        <f t="shared" si="20"/>
        <v>8.2741716697485573E-3</v>
      </c>
      <c r="J183" s="15">
        <f t="shared" si="21"/>
        <v>4.3701257264089095E-3</v>
      </c>
    </row>
    <row r="184" spans="1:10" x14ac:dyDescent="0.2">
      <c r="A184" s="25">
        <v>45419</v>
      </c>
      <c r="B184" s="26">
        <v>181.94232199999999</v>
      </c>
      <c r="C184" s="26">
        <v>62.137847999999998</v>
      </c>
      <c r="D184" s="26">
        <v>190.693344</v>
      </c>
      <c r="E184" s="26">
        <v>16.827432999999999</v>
      </c>
      <c r="F184" s="15">
        <f t="shared" si="17"/>
        <v>3.7898712813242458E-3</v>
      </c>
      <c r="G184" s="15">
        <f t="shared" si="18"/>
        <v>4.3210584019733201E-3</v>
      </c>
      <c r="H184" s="15">
        <f t="shared" si="19"/>
        <v>-1.3029561227812455E-3</v>
      </c>
      <c r="I184" s="15">
        <f t="shared" si="20"/>
        <v>5.283244107095986E-3</v>
      </c>
      <c r="J184" s="15">
        <f t="shared" si="21"/>
        <v>2.0645390083400394E-3</v>
      </c>
    </row>
    <row r="185" spans="1:10" x14ac:dyDescent="0.2">
      <c r="A185" s="25">
        <v>45420</v>
      </c>
      <c r="B185" s="26">
        <v>182.28149400000001</v>
      </c>
      <c r="C185" s="26">
        <v>62.366076999999997</v>
      </c>
      <c r="D185" s="26">
        <v>194.571854</v>
      </c>
      <c r="E185" s="26">
        <v>16.856991000000001</v>
      </c>
      <c r="F185" s="15">
        <f t="shared" si="17"/>
        <v>1.8624377821563668E-3</v>
      </c>
      <c r="G185" s="15">
        <f t="shared" si="18"/>
        <v>3.666217842342803E-3</v>
      </c>
      <c r="H185" s="15">
        <f t="shared" si="19"/>
        <v>2.0134915133947339E-2</v>
      </c>
      <c r="I185" s="15">
        <f t="shared" si="20"/>
        <v>1.7549955781686565E-3</v>
      </c>
      <c r="J185" s="15">
        <f t="shared" si="21"/>
        <v>9.8964805338732417E-3</v>
      </c>
    </row>
    <row r="186" spans="1:10" x14ac:dyDescent="0.2">
      <c r="A186" s="25">
        <v>45421</v>
      </c>
      <c r="B186" s="26">
        <v>184.10690299999999</v>
      </c>
      <c r="C186" s="26">
        <v>62.395851</v>
      </c>
      <c r="D186" s="26">
        <v>196.41166699999999</v>
      </c>
      <c r="E186" s="26">
        <v>16.925954999999998</v>
      </c>
      <c r="F186" s="15">
        <f t="shared" si="17"/>
        <v>9.9644209184128335E-3</v>
      </c>
      <c r="G186" s="15">
        <f t="shared" si="18"/>
        <v>4.7729304993157585E-4</v>
      </c>
      <c r="H186" s="15">
        <f t="shared" si="19"/>
        <v>9.4112742907778765E-3</v>
      </c>
      <c r="I186" s="15">
        <f t="shared" si="20"/>
        <v>4.0827757174903999E-3</v>
      </c>
      <c r="J186" s="15">
        <f t="shared" si="21"/>
        <v>7.4393189277554839E-3</v>
      </c>
    </row>
    <row r="187" spans="1:10" x14ac:dyDescent="0.2">
      <c r="A187" s="25">
        <v>45422</v>
      </c>
      <c r="B187" s="26">
        <v>182.83836400000001</v>
      </c>
      <c r="C187" s="26">
        <v>62.772922999999999</v>
      </c>
      <c r="D187" s="26">
        <v>197.674667</v>
      </c>
      <c r="E187" s="26">
        <v>16.916103</v>
      </c>
      <c r="F187" s="15">
        <f t="shared" si="17"/>
        <v>-6.9140777525400921E-3</v>
      </c>
      <c r="G187" s="15">
        <f t="shared" si="18"/>
        <v>6.0250352963449492E-3</v>
      </c>
      <c r="H187" s="15">
        <f t="shared" si="19"/>
        <v>6.4097849393042125E-3</v>
      </c>
      <c r="I187" s="15">
        <f t="shared" si="20"/>
        <v>-5.8223411107649701E-4</v>
      </c>
      <c r="J187" s="15">
        <f t="shared" si="21"/>
        <v>1.4848421374378694E-3</v>
      </c>
    </row>
    <row r="188" spans="1:10" x14ac:dyDescent="0.2">
      <c r="A188" s="25">
        <v>45425</v>
      </c>
      <c r="B188" s="26">
        <v>186.06463600000001</v>
      </c>
      <c r="C188" s="26">
        <v>63.090462000000002</v>
      </c>
      <c r="D188" s="26">
        <v>197.63488799999999</v>
      </c>
      <c r="E188" s="26">
        <v>17.004771999999999</v>
      </c>
      <c r="F188" s="15">
        <f t="shared" si="17"/>
        <v>1.7491613013872163E-2</v>
      </c>
      <c r="G188" s="15">
        <f t="shared" si="18"/>
        <v>5.0457831514656758E-3</v>
      </c>
      <c r="H188" s="15">
        <f t="shared" si="19"/>
        <v>-2.0125493872400897E-4</v>
      </c>
      <c r="I188" s="15">
        <f t="shared" si="20"/>
        <v>5.2280020464313707E-3</v>
      </c>
      <c r="J188" s="15">
        <f t="shared" si="21"/>
        <v>5.2894175070424595E-3</v>
      </c>
    </row>
    <row r="189" spans="1:10" x14ac:dyDescent="0.2">
      <c r="A189" s="25">
        <v>45426</v>
      </c>
      <c r="B189" s="26">
        <v>187.213303</v>
      </c>
      <c r="C189" s="26">
        <v>62.614154999999997</v>
      </c>
      <c r="D189" s="26">
        <v>200.39956699999999</v>
      </c>
      <c r="E189" s="26">
        <v>17.044180000000001</v>
      </c>
      <c r="F189" s="15">
        <f t="shared" si="17"/>
        <v>6.1545058292852206E-3</v>
      </c>
      <c r="G189" s="15">
        <f t="shared" si="18"/>
        <v>-7.578230471947678E-3</v>
      </c>
      <c r="H189" s="15">
        <f t="shared" si="19"/>
        <v>1.3891880096165623E-2</v>
      </c>
      <c r="I189" s="15">
        <f t="shared" si="20"/>
        <v>2.3147859350525577E-3</v>
      </c>
      <c r="J189" s="15">
        <f t="shared" si="21"/>
        <v>7.741590600439551E-3</v>
      </c>
    </row>
    <row r="190" spans="1:10" x14ac:dyDescent="0.2">
      <c r="A190" s="25">
        <v>45427</v>
      </c>
      <c r="B190" s="26">
        <v>189.50065599999999</v>
      </c>
      <c r="C190" s="26">
        <v>62.643925000000003</v>
      </c>
      <c r="D190" s="26">
        <v>200.996262</v>
      </c>
      <c r="E190" s="26">
        <v>17.073736</v>
      </c>
      <c r="F190" s="15">
        <f t="shared" si="17"/>
        <v>1.2143861705092206E-2</v>
      </c>
      <c r="G190" s="15">
        <f t="shared" si="18"/>
        <v>4.7533860586955039E-4</v>
      </c>
      <c r="H190" s="15">
        <f t="shared" si="19"/>
        <v>2.9731023414911141E-3</v>
      </c>
      <c r="I190" s="15">
        <f t="shared" si="20"/>
        <v>1.732579879352201E-3</v>
      </c>
      <c r="J190" s="15">
        <f t="shared" si="21"/>
        <v>4.2992049997478965E-3</v>
      </c>
    </row>
    <row r="191" spans="1:10" x14ac:dyDescent="0.2">
      <c r="A191" s="25">
        <v>45428</v>
      </c>
      <c r="B191" s="26">
        <v>189.62051400000001</v>
      </c>
      <c r="C191" s="26">
        <v>62.832462</v>
      </c>
      <c r="D191" s="26">
        <v>201.35427899999999</v>
      </c>
      <c r="E191" s="26">
        <v>17.044180000000001</v>
      </c>
      <c r="F191" s="15">
        <f t="shared" si="17"/>
        <v>6.3229391275216771E-4</v>
      </c>
      <c r="G191" s="15">
        <f t="shared" si="18"/>
        <v>3.0051413878821489E-3</v>
      </c>
      <c r="H191" s="15">
        <f t="shared" si="19"/>
        <v>1.7796277524522572E-3</v>
      </c>
      <c r="I191" s="15">
        <f t="shared" si="20"/>
        <v>-1.732579879352136E-3</v>
      </c>
      <c r="J191" s="15">
        <f t="shared" si="21"/>
        <v>4.690148869109129E-4</v>
      </c>
    </row>
    <row r="192" spans="1:10" x14ac:dyDescent="0.2">
      <c r="A192" s="25">
        <v>45429</v>
      </c>
      <c r="B192" s="26">
        <v>189.65048200000001</v>
      </c>
      <c r="C192" s="26">
        <v>62.544693000000002</v>
      </c>
      <c r="D192" s="26">
        <v>203.661484</v>
      </c>
      <c r="E192" s="26">
        <v>17.142702</v>
      </c>
      <c r="F192" s="15">
        <f t="shared" si="17"/>
        <v>1.5802948487189222E-4</v>
      </c>
      <c r="G192" s="15">
        <f t="shared" si="18"/>
        <v>-4.5904615610439566E-3</v>
      </c>
      <c r="H192" s="15">
        <f t="shared" si="19"/>
        <v>1.1393284747523526E-2</v>
      </c>
      <c r="I192" s="15">
        <f t="shared" si="20"/>
        <v>5.7637472026845571E-3</v>
      </c>
      <c r="J192" s="15">
        <f t="shared" si="21"/>
        <v>6.6867282502597282E-3</v>
      </c>
    </row>
    <row r="193" spans="1:10" x14ac:dyDescent="0.2">
      <c r="A193" s="25">
        <v>45432</v>
      </c>
      <c r="B193" s="26">
        <v>190.81912199999999</v>
      </c>
      <c r="C193" s="26">
        <v>62.088234</v>
      </c>
      <c r="D193" s="26">
        <v>194.50224299999999</v>
      </c>
      <c r="E193" s="26">
        <v>17.260926999999999</v>
      </c>
      <c r="F193" s="15">
        <f t="shared" si="17"/>
        <v>6.1431644627328542E-3</v>
      </c>
      <c r="G193" s="15">
        <f t="shared" si="18"/>
        <v>-7.3248867997968373E-3</v>
      </c>
      <c r="H193" s="15">
        <f t="shared" si="19"/>
        <v>-4.6015528245516947E-2</v>
      </c>
      <c r="I193" s="15">
        <f t="shared" si="20"/>
        <v>6.8728485226429662E-3</v>
      </c>
      <c r="J193" s="15">
        <f t="shared" si="21"/>
        <v>-1.6993383491286342E-2</v>
      </c>
    </row>
    <row r="194" spans="1:10" x14ac:dyDescent="0.2">
      <c r="A194" s="25">
        <v>45433</v>
      </c>
      <c r="B194" s="26">
        <v>192.12762499999999</v>
      </c>
      <c r="C194" s="26">
        <v>62.425617000000003</v>
      </c>
      <c r="D194" s="26">
        <v>198.42053200000001</v>
      </c>
      <c r="E194" s="26">
        <v>17.014624000000001</v>
      </c>
      <c r="F194" s="15">
        <f t="shared" si="17"/>
        <v>6.8338906269820778E-3</v>
      </c>
      <c r="G194" s="15">
        <f t="shared" si="18"/>
        <v>5.4192175886679812E-3</v>
      </c>
      <c r="H194" s="15">
        <f t="shared" si="19"/>
        <v>1.9944982273812171E-2</v>
      </c>
      <c r="I194" s="15">
        <f t="shared" si="20"/>
        <v>-1.4372182648414963E-2</v>
      </c>
      <c r="J194" s="15">
        <f t="shared" si="21"/>
        <v>5.6781425033624287E-3</v>
      </c>
    </row>
    <row r="195" spans="1:10" x14ac:dyDescent="0.2">
      <c r="A195" s="25">
        <v>45434</v>
      </c>
      <c r="B195" s="26">
        <v>190.67929100000001</v>
      </c>
      <c r="C195" s="26">
        <v>62.514923000000003</v>
      </c>
      <c r="D195" s="26">
        <v>197.21719400000001</v>
      </c>
      <c r="E195" s="26">
        <v>17.241222</v>
      </c>
      <c r="F195" s="15">
        <f t="shared" ref="F195:F254" si="22">LN(B195/B194)</f>
        <v>-7.5669526869904195E-3</v>
      </c>
      <c r="G195" s="15">
        <f t="shared" ref="G195:G254" si="23">LN(C195/C194)</f>
        <v>1.4295762641888972E-3</v>
      </c>
      <c r="H195" s="15">
        <f t="shared" ref="H195:H254" si="24">LN(D195/D194)</f>
        <v>-6.0830483624738684E-3</v>
      </c>
      <c r="I195" s="15">
        <f t="shared" ref="I195:I254" si="25">LN(E195/E194)</f>
        <v>1.3229934834084765E-2</v>
      </c>
      <c r="J195" s="15">
        <f t="shared" si="21"/>
        <v>1.524966103229634E-4</v>
      </c>
    </row>
    <row r="196" spans="1:10" x14ac:dyDescent="0.2">
      <c r="A196" s="25">
        <v>45435</v>
      </c>
      <c r="B196" s="26">
        <v>186.66394</v>
      </c>
      <c r="C196" s="26">
        <v>61.611930999999998</v>
      </c>
      <c r="D196" s="26">
        <v>195.83485400000001</v>
      </c>
      <c r="E196" s="26">
        <v>17.211666000000001</v>
      </c>
      <c r="F196" s="15">
        <f t="shared" si="22"/>
        <v>-2.128302424671985E-2</v>
      </c>
      <c r="G196" s="15">
        <f t="shared" si="23"/>
        <v>-1.454975939193497E-2</v>
      </c>
      <c r="H196" s="15">
        <f t="shared" si="24"/>
        <v>-7.0339066105817626E-3</v>
      </c>
      <c r="I196" s="15">
        <f t="shared" si="25"/>
        <v>-1.7157346722541096E-3</v>
      </c>
      <c r="J196" s="15">
        <f t="shared" ref="J196:J254" si="26">SUMPRODUCT(F196:I196,$M$37:$P$37)</f>
        <v>-8.466960280245097E-3</v>
      </c>
    </row>
    <row r="197" spans="1:10" x14ac:dyDescent="0.2">
      <c r="A197" s="25">
        <v>45436</v>
      </c>
      <c r="B197" s="26">
        <v>189.760345</v>
      </c>
      <c r="C197" s="26">
        <v>61.522624999999998</v>
      </c>
      <c r="D197" s="26">
        <v>199.603973</v>
      </c>
      <c r="E197" s="26">
        <v>17.241222</v>
      </c>
      <c r="F197" s="15">
        <f t="shared" si="22"/>
        <v>1.6452046082168593E-2</v>
      </c>
      <c r="G197" s="15">
        <f t="shared" si="23"/>
        <v>-1.4505435120728959E-3</v>
      </c>
      <c r="H197" s="15">
        <f t="shared" si="24"/>
        <v>1.9063546062445577E-2</v>
      </c>
      <c r="I197" s="15">
        <f t="shared" si="25"/>
        <v>1.7157346722542091E-3</v>
      </c>
      <c r="J197" s="15">
        <f t="shared" si="26"/>
        <v>1.2114109100863532E-2</v>
      </c>
    </row>
    <row r="198" spans="1:10" x14ac:dyDescent="0.2">
      <c r="A198" s="25">
        <v>45440</v>
      </c>
      <c r="B198" s="26">
        <v>189.770355</v>
      </c>
      <c r="C198" s="26">
        <v>61.344009</v>
      </c>
      <c r="D198" s="26">
        <v>198.40063499999999</v>
      </c>
      <c r="E198" s="26">
        <v>17.014624000000001</v>
      </c>
      <c r="F198" s="15">
        <f t="shared" si="22"/>
        <v>5.2749355993220789E-5</v>
      </c>
      <c r="G198" s="15">
        <f t="shared" si="23"/>
        <v>-2.907479760967422E-3</v>
      </c>
      <c r="H198" s="15">
        <f t="shared" si="24"/>
        <v>-6.0468730383955328E-3</v>
      </c>
      <c r="I198" s="15">
        <f t="shared" si="25"/>
        <v>-1.3229934834084642E-2</v>
      </c>
      <c r="J198" s="15">
        <f t="shared" si="26"/>
        <v>-7.0179605837380008E-3</v>
      </c>
    </row>
    <row r="199" spans="1:10" x14ac:dyDescent="0.2">
      <c r="A199" s="25">
        <v>45441</v>
      </c>
      <c r="B199" s="26">
        <v>190.06999200000001</v>
      </c>
      <c r="C199" s="26">
        <v>61.224933999999998</v>
      </c>
      <c r="D199" s="26">
        <v>197.01829499999999</v>
      </c>
      <c r="E199" s="26">
        <v>16.866841999999998</v>
      </c>
      <c r="F199" s="15">
        <f t="shared" si="22"/>
        <v>1.5777000232845243E-3</v>
      </c>
      <c r="G199" s="15">
        <f t="shared" si="23"/>
        <v>-1.9429887302046369E-3</v>
      </c>
      <c r="H199" s="15">
        <f t="shared" si="24"/>
        <v>-6.99180300416376E-3</v>
      </c>
      <c r="I199" s="15">
        <f t="shared" si="25"/>
        <v>-8.7235267318123977E-3</v>
      </c>
      <c r="J199" s="15">
        <f t="shared" si="26"/>
        <v>-5.6356646599645859E-3</v>
      </c>
    </row>
    <row r="200" spans="1:10" x14ac:dyDescent="0.2">
      <c r="A200" s="25">
        <v>45442</v>
      </c>
      <c r="B200" s="26">
        <v>191.06883199999999</v>
      </c>
      <c r="C200" s="26">
        <v>61.492854999999999</v>
      </c>
      <c r="D200" s="26">
        <v>198.231583</v>
      </c>
      <c r="E200" s="26">
        <v>17.359449000000001</v>
      </c>
      <c r="F200" s="15">
        <f t="shared" si="22"/>
        <v>5.2413568168104213E-3</v>
      </c>
      <c r="G200" s="15">
        <f t="shared" si="23"/>
        <v>4.3664643547632167E-3</v>
      </c>
      <c r="H200" s="15">
        <f t="shared" si="24"/>
        <v>6.1393658971166812E-3</v>
      </c>
      <c r="I200" s="15">
        <f t="shared" si="25"/>
        <v>2.8787286268958209E-2</v>
      </c>
      <c r="J200" s="15">
        <f t="shared" si="26"/>
        <v>1.3187324385848765E-2</v>
      </c>
    </row>
    <row r="201" spans="1:10" x14ac:dyDescent="0.2">
      <c r="A201" s="25">
        <v>45443</v>
      </c>
      <c r="B201" s="26">
        <v>192.027725</v>
      </c>
      <c r="C201" s="26">
        <v>62.445464999999999</v>
      </c>
      <c r="D201" s="26">
        <v>201.513397</v>
      </c>
      <c r="E201" s="26">
        <v>17.950575000000001</v>
      </c>
      <c r="F201" s="15">
        <f t="shared" si="22"/>
        <v>5.0060225548219234E-3</v>
      </c>
      <c r="G201" s="15">
        <f t="shared" si="23"/>
        <v>1.537262663889283E-2</v>
      </c>
      <c r="H201" s="15">
        <f t="shared" si="24"/>
        <v>1.6419907185533298E-2</v>
      </c>
      <c r="I201" s="15">
        <f t="shared" si="25"/>
        <v>3.3485178750257492E-2</v>
      </c>
      <c r="J201" s="15">
        <f t="shared" si="26"/>
        <v>1.9602194943886292E-2</v>
      </c>
    </row>
    <row r="202" spans="1:10" x14ac:dyDescent="0.2">
      <c r="A202" s="25">
        <v>45446</v>
      </c>
      <c r="B202" s="26">
        <v>193.80566400000001</v>
      </c>
      <c r="C202" s="26">
        <v>62.445464999999999</v>
      </c>
      <c r="D202" s="26">
        <v>200.70787000000001</v>
      </c>
      <c r="E202" s="26">
        <v>17.743680999999999</v>
      </c>
      <c r="F202" s="15">
        <f t="shared" si="22"/>
        <v>9.2161623911649945E-3</v>
      </c>
      <c r="G202" s="15">
        <f t="shared" si="23"/>
        <v>0</v>
      </c>
      <c r="H202" s="15">
        <f t="shared" si="24"/>
        <v>-4.0053977401266682E-3</v>
      </c>
      <c r="I202" s="15">
        <f t="shared" si="25"/>
        <v>-1.1592695309031092E-2</v>
      </c>
      <c r="J202" s="15">
        <f t="shared" si="26"/>
        <v>-3.6518516749706404E-3</v>
      </c>
    </row>
    <row r="203" spans="1:10" x14ac:dyDescent="0.2">
      <c r="A203" s="25">
        <v>45447</v>
      </c>
      <c r="B203" s="26">
        <v>194.125305</v>
      </c>
      <c r="C203" s="26">
        <v>63.447685</v>
      </c>
      <c r="D203" s="26">
        <v>198.06251499999999</v>
      </c>
      <c r="E203" s="26">
        <v>18.078652999999999</v>
      </c>
      <c r="F203" s="15">
        <f t="shared" si="22"/>
        <v>1.6479275844381797E-3</v>
      </c>
      <c r="G203" s="15">
        <f t="shared" si="23"/>
        <v>1.5922092232906072E-2</v>
      </c>
      <c r="H203" s="15">
        <f t="shared" si="24"/>
        <v>-1.3267754604042227E-2</v>
      </c>
      <c r="I203" s="15">
        <f t="shared" si="25"/>
        <v>1.8702397437831947E-2</v>
      </c>
      <c r="J203" s="15">
        <f t="shared" si="26"/>
        <v>1.2012027507080619E-3</v>
      </c>
    </row>
    <row r="204" spans="1:10" x14ac:dyDescent="0.2">
      <c r="A204" s="25">
        <v>45448</v>
      </c>
      <c r="B204" s="26">
        <v>195.643539</v>
      </c>
      <c r="C204" s="26">
        <v>63.427836999999997</v>
      </c>
      <c r="D204" s="26">
        <v>196.17297400000001</v>
      </c>
      <c r="E204" s="26">
        <v>18.029392000000001</v>
      </c>
      <c r="F204" s="15">
        <f t="shared" si="22"/>
        <v>7.7904722351031866E-3</v>
      </c>
      <c r="G204" s="15">
        <f t="shared" si="23"/>
        <v>-3.1287359214828865E-4</v>
      </c>
      <c r="H204" s="15">
        <f t="shared" si="24"/>
        <v>-9.5859227382981537E-3</v>
      </c>
      <c r="I204" s="15">
        <f t="shared" si="25"/>
        <v>-2.7285349047250127E-3</v>
      </c>
      <c r="J204" s="15">
        <f t="shared" si="26"/>
        <v>-3.5336314810909385E-3</v>
      </c>
    </row>
    <row r="205" spans="1:10" x14ac:dyDescent="0.2">
      <c r="A205" s="25">
        <v>45449</v>
      </c>
      <c r="B205" s="26">
        <v>194.25514200000001</v>
      </c>
      <c r="C205" s="26">
        <v>63.656070999999997</v>
      </c>
      <c r="D205" s="26">
        <v>195.82492099999999</v>
      </c>
      <c r="E205" s="26">
        <v>18.009689000000002</v>
      </c>
      <c r="F205" s="15">
        <f t="shared" si="22"/>
        <v>-7.121864915451831E-3</v>
      </c>
      <c r="G205" s="15">
        <f t="shared" si="23"/>
        <v>3.5918669636785371E-3</v>
      </c>
      <c r="H205" s="15">
        <f t="shared" si="24"/>
        <v>-1.7757906147097171E-3</v>
      </c>
      <c r="I205" s="15">
        <f t="shared" si="25"/>
        <v>-1.0934242170624129E-3</v>
      </c>
      <c r="J205" s="15">
        <f t="shared" si="26"/>
        <v>-2.4022431861128344E-3</v>
      </c>
    </row>
    <row r="206" spans="1:10" x14ac:dyDescent="0.2">
      <c r="A206" s="25">
        <v>45450</v>
      </c>
      <c r="B206" s="26">
        <v>196.66236900000001</v>
      </c>
      <c r="C206" s="26">
        <v>63.417918999999998</v>
      </c>
      <c r="D206" s="26">
        <v>198.84816000000001</v>
      </c>
      <c r="E206" s="26">
        <v>17.832352</v>
      </c>
      <c r="F206" s="15">
        <f t="shared" si="22"/>
        <v>1.2315935510636394E-2</v>
      </c>
      <c r="G206" s="15">
        <f t="shared" si="23"/>
        <v>-3.748245865629597E-3</v>
      </c>
      <c r="H206" s="15">
        <f t="shared" si="24"/>
        <v>1.5320518573155651E-2</v>
      </c>
      <c r="I206" s="15">
        <f t="shared" si="25"/>
        <v>-9.8955551720559757E-3</v>
      </c>
      <c r="J206" s="15">
        <f t="shared" si="26"/>
        <v>5.8158408020062904E-3</v>
      </c>
    </row>
    <row r="207" spans="1:10" x14ac:dyDescent="0.2">
      <c r="A207" s="25">
        <v>45453</v>
      </c>
      <c r="B207" s="26">
        <v>192.89671300000001</v>
      </c>
      <c r="C207" s="26">
        <v>63.100383999999998</v>
      </c>
      <c r="D207" s="26">
        <v>198.51004</v>
      </c>
      <c r="E207" s="26">
        <v>17.5959</v>
      </c>
      <c r="F207" s="15">
        <f t="shared" si="22"/>
        <v>-1.9333515601065478E-2</v>
      </c>
      <c r="G207" s="15">
        <f t="shared" si="23"/>
        <v>-5.0196004719991047E-3</v>
      </c>
      <c r="H207" s="15">
        <f t="shared" si="24"/>
        <v>-1.7018402117130581E-3</v>
      </c>
      <c r="I207" s="15">
        <f t="shared" si="25"/>
        <v>-1.3348415321843266E-2</v>
      </c>
      <c r="J207" s="15">
        <f t="shared" si="26"/>
        <v>-9.1053487940438455E-3</v>
      </c>
    </row>
    <row r="208" spans="1:10" x14ac:dyDescent="0.2">
      <c r="A208" s="25">
        <v>45454</v>
      </c>
      <c r="B208" s="26">
        <v>206.910492</v>
      </c>
      <c r="C208" s="26">
        <v>63.060687999999999</v>
      </c>
      <c r="D208" s="26">
        <v>193.288971</v>
      </c>
      <c r="E208" s="26">
        <v>17.5959</v>
      </c>
      <c r="F208" s="15">
        <f t="shared" si="22"/>
        <v>7.0131414104475584E-2</v>
      </c>
      <c r="G208" s="15">
        <f t="shared" si="23"/>
        <v>-6.2929080548693986E-4</v>
      </c>
      <c r="H208" s="15">
        <f t="shared" si="24"/>
        <v>-2.6653349995766375E-2</v>
      </c>
      <c r="I208" s="15">
        <f t="shared" si="25"/>
        <v>0</v>
      </c>
      <c r="J208" s="15">
        <f t="shared" si="26"/>
        <v>2.2909531779188013E-3</v>
      </c>
    </row>
    <row r="209" spans="1:10" x14ac:dyDescent="0.2">
      <c r="A209" s="25">
        <v>45455</v>
      </c>
      <c r="B209" s="26">
        <v>212.823669</v>
      </c>
      <c r="C209" s="26">
        <v>62.395851</v>
      </c>
      <c r="D209" s="26">
        <v>190.47456399999999</v>
      </c>
      <c r="E209" s="26">
        <v>17.349598</v>
      </c>
      <c r="F209" s="15">
        <f t="shared" si="22"/>
        <v>2.8177683832117249E-2</v>
      </c>
      <c r="G209" s="15">
        <f t="shared" si="23"/>
        <v>-1.0598781521427382E-2</v>
      </c>
      <c r="H209" s="15">
        <f t="shared" si="24"/>
        <v>-1.4667664855327797E-2</v>
      </c>
      <c r="I209" s="15">
        <f t="shared" si="25"/>
        <v>-1.4096584264906203E-2</v>
      </c>
      <c r="J209" s="15">
        <f t="shared" si="26"/>
        <v>-5.7774659162913196E-3</v>
      </c>
    </row>
    <row r="210" spans="1:10" x14ac:dyDescent="0.2">
      <c r="A210" s="25">
        <v>45456</v>
      </c>
      <c r="B210" s="26">
        <v>213.99231</v>
      </c>
      <c r="C210" s="26">
        <v>62.505004999999997</v>
      </c>
      <c r="D210" s="26">
        <v>192.59283400000001</v>
      </c>
      <c r="E210" s="26">
        <v>17.408709000000002</v>
      </c>
      <c r="F210" s="15">
        <f t="shared" si="22"/>
        <v>5.4761020107099078E-3</v>
      </c>
      <c r="G210" s="15">
        <f t="shared" si="23"/>
        <v>1.7478507559406556E-3</v>
      </c>
      <c r="H210" s="15">
        <f t="shared" si="24"/>
        <v>1.1059628683795456E-2</v>
      </c>
      <c r="I210" s="15">
        <f t="shared" si="25"/>
        <v>3.4012621492683047E-3</v>
      </c>
      <c r="J210" s="15">
        <f t="shared" si="26"/>
        <v>7.0981682186605326E-3</v>
      </c>
    </row>
    <row r="211" spans="1:10" x14ac:dyDescent="0.2">
      <c r="A211" s="25">
        <v>45457</v>
      </c>
      <c r="B211" s="26">
        <v>212.244339</v>
      </c>
      <c r="C211" s="26">
        <v>62.549999</v>
      </c>
      <c r="D211" s="26">
        <v>192.71215799999999</v>
      </c>
      <c r="E211" s="26">
        <v>17.379152000000001</v>
      </c>
      <c r="F211" s="15">
        <f t="shared" si="22"/>
        <v>-8.2019263390725322E-3</v>
      </c>
      <c r="G211" s="15">
        <f t="shared" si="23"/>
        <v>7.1958738958610062E-4</v>
      </c>
      <c r="H211" s="15">
        <f t="shared" si="24"/>
        <v>6.1937429460877716E-4</v>
      </c>
      <c r="I211" s="15">
        <f t="shared" si="25"/>
        <v>-1.6992713126116508E-3</v>
      </c>
      <c r="J211" s="15">
        <f t="shared" si="26"/>
        <v>-1.8820950362061547E-3</v>
      </c>
    </row>
    <row r="212" spans="1:10" x14ac:dyDescent="0.2">
      <c r="A212" s="25">
        <v>45460</v>
      </c>
      <c r="B212" s="26">
        <v>216.41949500000001</v>
      </c>
      <c r="C212" s="26">
        <v>62.619999</v>
      </c>
      <c r="D212" s="26">
        <v>193.90554800000001</v>
      </c>
      <c r="E212" s="26">
        <v>17.408709000000002</v>
      </c>
      <c r="F212" s="15">
        <f t="shared" si="22"/>
        <v>1.948047725735666E-2</v>
      </c>
      <c r="G212" s="15">
        <f t="shared" si="23"/>
        <v>1.1184790032108326E-3</v>
      </c>
      <c r="H212" s="15">
        <f t="shared" si="24"/>
        <v>6.1735082056717516E-3</v>
      </c>
      <c r="I212" s="15">
        <f t="shared" si="25"/>
        <v>1.6992713126115697E-3</v>
      </c>
      <c r="J212" s="15">
        <f t="shared" si="26"/>
        <v>7.177393023667638E-3</v>
      </c>
    </row>
    <row r="213" spans="1:10" x14ac:dyDescent="0.2">
      <c r="A213" s="25">
        <v>45461</v>
      </c>
      <c r="B213" s="26">
        <v>214.042236</v>
      </c>
      <c r="C213" s="26">
        <v>62.630001</v>
      </c>
      <c r="D213" s="26">
        <v>195.914413</v>
      </c>
      <c r="E213" s="26">
        <v>17.783089</v>
      </c>
      <c r="F213" s="15">
        <f t="shared" si="22"/>
        <v>-1.1045270681009117E-2</v>
      </c>
      <c r="G213" s="15">
        <f t="shared" si="23"/>
        <v>1.5971257518978638E-4</v>
      </c>
      <c r="H213" s="15">
        <f t="shared" si="24"/>
        <v>1.030672096955205E-2</v>
      </c>
      <c r="I213" s="15">
        <f t="shared" si="25"/>
        <v>2.1277351283956945E-2</v>
      </c>
      <c r="J213" s="15">
        <f t="shared" si="26"/>
        <v>9.1722328513741559E-3</v>
      </c>
    </row>
    <row r="214" spans="1:10" x14ac:dyDescent="0.2">
      <c r="A214" s="25">
        <v>45463</v>
      </c>
      <c r="B214" s="26">
        <v>209.43757600000001</v>
      </c>
      <c r="C214" s="26">
        <v>62.18</v>
      </c>
      <c r="D214" s="26">
        <v>197.575211</v>
      </c>
      <c r="E214" s="26">
        <v>17.842203000000001</v>
      </c>
      <c r="F214" s="15">
        <f t="shared" si="22"/>
        <v>-2.1747631659808291E-2</v>
      </c>
      <c r="G214" s="15">
        <f t="shared" si="23"/>
        <v>-7.2110078735026766E-3</v>
      </c>
      <c r="H214" s="15">
        <f t="shared" si="24"/>
        <v>8.4414315435738397E-3</v>
      </c>
      <c r="I214" s="15">
        <f t="shared" si="25"/>
        <v>3.3186565462668526E-3</v>
      </c>
      <c r="J214" s="15">
        <f t="shared" si="26"/>
        <v>1.3384272536615029E-4</v>
      </c>
    </row>
    <row r="215" spans="1:10" x14ac:dyDescent="0.2">
      <c r="A215" s="25">
        <v>45464</v>
      </c>
      <c r="B215" s="26">
        <v>207.250122</v>
      </c>
      <c r="C215" s="26">
        <v>62.77</v>
      </c>
      <c r="D215" s="26">
        <v>195.218277</v>
      </c>
      <c r="E215" s="26">
        <v>18.127914000000001</v>
      </c>
      <c r="F215" s="15">
        <f t="shared" si="22"/>
        <v>-1.0499345697948081E-2</v>
      </c>
      <c r="G215" s="15">
        <f t="shared" si="23"/>
        <v>9.443847698832648E-3</v>
      </c>
      <c r="H215" s="15">
        <f t="shared" si="24"/>
        <v>-1.2001025271443897E-2</v>
      </c>
      <c r="I215" s="15">
        <f t="shared" si="25"/>
        <v>1.588635415691966E-2</v>
      </c>
      <c r="J215" s="15">
        <f t="shared" si="26"/>
        <v>-1.8379174021991868E-3</v>
      </c>
    </row>
    <row r="216" spans="1:10" x14ac:dyDescent="0.2">
      <c r="A216" s="25">
        <v>45467</v>
      </c>
      <c r="B216" s="26">
        <v>207.89935299999999</v>
      </c>
      <c r="C216" s="26">
        <v>63.970001000000003</v>
      </c>
      <c r="D216" s="26">
        <v>197.78405799999999</v>
      </c>
      <c r="E216" s="26">
        <v>18.374217999999999</v>
      </c>
      <c r="F216" s="15">
        <f t="shared" si="22"/>
        <v>3.1277001097442104E-3</v>
      </c>
      <c r="G216" s="15">
        <f t="shared" si="23"/>
        <v>1.8936986764933515E-2</v>
      </c>
      <c r="H216" s="15">
        <f t="shared" si="24"/>
        <v>1.305751761044515E-2</v>
      </c>
      <c r="I216" s="15">
        <f t="shared" si="25"/>
        <v>1.3495526138129172E-2</v>
      </c>
      <c r="J216" s="15">
        <f t="shared" si="26"/>
        <v>1.1459575011257142E-2</v>
      </c>
    </row>
    <row r="217" spans="1:10" x14ac:dyDescent="0.2">
      <c r="A217" s="25">
        <v>45468</v>
      </c>
      <c r="B217" s="26">
        <v>208.828293</v>
      </c>
      <c r="C217" s="26">
        <v>63.84</v>
      </c>
      <c r="D217" s="26">
        <v>196.978531</v>
      </c>
      <c r="E217" s="26">
        <v>18.413627999999999</v>
      </c>
      <c r="F217" s="15">
        <f t="shared" si="22"/>
        <v>4.4582669163491413E-3</v>
      </c>
      <c r="G217" s="15">
        <f t="shared" si="23"/>
        <v>-2.0342859528205111E-3</v>
      </c>
      <c r="H217" s="15">
        <f t="shared" si="24"/>
        <v>-4.0810762745116238E-3</v>
      </c>
      <c r="I217" s="15">
        <f t="shared" si="25"/>
        <v>2.1425562712271934E-3</v>
      </c>
      <c r="J217" s="15">
        <f t="shared" si="26"/>
        <v>-2.8956150755267136E-4</v>
      </c>
    </row>
    <row r="218" spans="1:10" x14ac:dyDescent="0.2">
      <c r="A218" s="25">
        <v>45469</v>
      </c>
      <c r="B218" s="26">
        <v>213.00344799999999</v>
      </c>
      <c r="C218" s="26">
        <v>64.050003000000004</v>
      </c>
      <c r="D218" s="26">
        <v>196.34204099999999</v>
      </c>
      <c r="E218" s="26">
        <v>18.482592</v>
      </c>
      <c r="F218" s="15">
        <f t="shared" si="22"/>
        <v>1.9796003669469535E-2</v>
      </c>
      <c r="G218" s="15">
        <f t="shared" si="23"/>
        <v>3.2841220395962312E-3</v>
      </c>
      <c r="H218" s="15">
        <f t="shared" si="24"/>
        <v>-3.2364976607338002E-3</v>
      </c>
      <c r="I218" s="15">
        <f t="shared" si="25"/>
        <v>3.738273476931629E-3</v>
      </c>
      <c r="J218" s="15">
        <f t="shared" si="26"/>
        <v>3.8686009565867142E-3</v>
      </c>
    </row>
    <row r="219" spans="1:10" x14ac:dyDescent="0.2">
      <c r="A219" s="25">
        <v>45470</v>
      </c>
      <c r="B219" s="26">
        <v>213.85247799999999</v>
      </c>
      <c r="C219" s="26">
        <v>63.91</v>
      </c>
      <c r="D219" s="26">
        <v>198.072464</v>
      </c>
      <c r="E219" s="26">
        <v>18.472738</v>
      </c>
      <c r="F219" s="15">
        <f t="shared" si="22"/>
        <v>3.9780687953256729E-3</v>
      </c>
      <c r="G219" s="15">
        <f t="shared" si="23"/>
        <v>-2.1882315189594016E-3</v>
      </c>
      <c r="H219" s="15">
        <f t="shared" si="24"/>
        <v>8.7746980951394233E-3</v>
      </c>
      <c r="I219" s="15">
        <f t="shared" si="25"/>
        <v>-5.3329250387106324E-4</v>
      </c>
      <c r="J219" s="15">
        <f t="shared" si="26"/>
        <v>4.3709834778213018E-3</v>
      </c>
    </row>
    <row r="220" spans="1:10" x14ac:dyDescent="0.2">
      <c r="A220" s="25">
        <v>45471</v>
      </c>
      <c r="B220" s="26">
        <v>210.37647999999999</v>
      </c>
      <c r="C220" s="26">
        <v>63.650002000000001</v>
      </c>
      <c r="D220" s="26">
        <v>201.145432</v>
      </c>
      <c r="E220" s="26">
        <v>18.827414999999998</v>
      </c>
      <c r="F220" s="15">
        <f t="shared" si="22"/>
        <v>-1.6387734624486144E-2</v>
      </c>
      <c r="G220" s="15">
        <f t="shared" si="23"/>
        <v>-4.0764872369371159E-3</v>
      </c>
      <c r="H220" s="15">
        <f t="shared" si="24"/>
        <v>1.5395245178859948E-2</v>
      </c>
      <c r="I220" s="15">
        <f t="shared" si="25"/>
        <v>1.901802869604308E-2</v>
      </c>
      <c r="J220" s="15">
        <f t="shared" si="26"/>
        <v>9.432646958843896E-3</v>
      </c>
    </row>
    <row r="221" spans="1:10" x14ac:dyDescent="0.2">
      <c r="A221" s="25">
        <v>45474</v>
      </c>
      <c r="B221" s="26">
        <v>216.499405</v>
      </c>
      <c r="C221" s="26">
        <v>63.279998999999997</v>
      </c>
      <c r="D221" s="26">
        <v>204.31785600000001</v>
      </c>
      <c r="E221" s="26">
        <v>18.699337</v>
      </c>
      <c r="F221" s="15">
        <f t="shared" si="22"/>
        <v>2.8689111628198698E-2</v>
      </c>
      <c r="G221" s="15">
        <f t="shared" si="23"/>
        <v>-5.8300487686362692E-3</v>
      </c>
      <c r="H221" s="15">
        <f t="shared" si="24"/>
        <v>1.5648710168294964E-2</v>
      </c>
      <c r="I221" s="15">
        <f t="shared" si="25"/>
        <v>-6.8259836239331134E-3</v>
      </c>
      <c r="J221" s="15">
        <f t="shared" si="26"/>
        <v>1.0127250857668788E-2</v>
      </c>
    </row>
    <row r="222" spans="1:10" x14ac:dyDescent="0.2">
      <c r="A222" s="25">
        <v>45475</v>
      </c>
      <c r="B222" s="26">
        <v>220.01533499999999</v>
      </c>
      <c r="C222" s="26">
        <v>63.150002000000001</v>
      </c>
      <c r="D222" s="26">
        <v>207.67922999999999</v>
      </c>
      <c r="E222" s="26">
        <v>18.541703999999999</v>
      </c>
      <c r="F222" s="15">
        <f t="shared" si="22"/>
        <v>1.6109449297697549E-2</v>
      </c>
      <c r="G222" s="15">
        <f t="shared" si="23"/>
        <v>-2.0564271894918324E-3</v>
      </c>
      <c r="H222" s="15">
        <f t="shared" si="24"/>
        <v>1.6317826996333985E-2</v>
      </c>
      <c r="I222" s="15">
        <f t="shared" si="25"/>
        <v>-8.4656033871456007E-3</v>
      </c>
      <c r="J222" s="15">
        <f t="shared" si="26"/>
        <v>7.5382938199312632E-3</v>
      </c>
    </row>
    <row r="223" spans="1:10" x14ac:dyDescent="0.2">
      <c r="A223" s="25">
        <v>45476</v>
      </c>
      <c r="B223" s="26">
        <v>221.29385400000001</v>
      </c>
      <c r="C223" s="26">
        <v>63.330002</v>
      </c>
      <c r="D223" s="26">
        <v>207.540009</v>
      </c>
      <c r="E223" s="26">
        <v>18.403773999999999</v>
      </c>
      <c r="F223" s="15">
        <f t="shared" si="22"/>
        <v>5.7942259479230023E-3</v>
      </c>
      <c r="G223" s="15">
        <f t="shared" si="23"/>
        <v>2.8463016418229037E-3</v>
      </c>
      <c r="H223" s="15">
        <f t="shared" si="24"/>
        <v>-6.7059033946733737E-4</v>
      </c>
      <c r="I223" s="15">
        <f t="shared" si="25"/>
        <v>-7.466713020734231E-3</v>
      </c>
      <c r="J223" s="15">
        <f t="shared" si="26"/>
        <v>-1.4287613508683536E-3</v>
      </c>
    </row>
    <row r="224" spans="1:10" x14ac:dyDescent="0.2">
      <c r="A224" s="25">
        <v>45478</v>
      </c>
      <c r="B224" s="26">
        <v>226.07830799999999</v>
      </c>
      <c r="C224" s="26">
        <v>63.759998000000003</v>
      </c>
      <c r="D224" s="26">
        <v>204.78999300000001</v>
      </c>
      <c r="E224" s="26">
        <v>18.492443000000002</v>
      </c>
      <c r="F224" s="15">
        <f t="shared" si="22"/>
        <v>2.1389960415288217E-2</v>
      </c>
      <c r="G224" s="15">
        <f t="shared" si="23"/>
        <v>6.7668210053826762E-3</v>
      </c>
      <c r="H224" s="15">
        <f t="shared" si="24"/>
        <v>-1.3339105875401823E-2</v>
      </c>
      <c r="I224" s="15">
        <f t="shared" si="25"/>
        <v>4.8064098657813409E-3</v>
      </c>
      <c r="J224" s="15">
        <f t="shared" si="26"/>
        <v>2.524626795931211E-4</v>
      </c>
    </row>
    <row r="225" spans="1:10" x14ac:dyDescent="0.2">
      <c r="A225" s="25">
        <v>45481</v>
      </c>
      <c r="B225" s="26">
        <v>227.55661000000001</v>
      </c>
      <c r="C225" s="26">
        <v>62.959999000000003</v>
      </c>
      <c r="D225" s="26">
        <v>205.16999799999999</v>
      </c>
      <c r="E225" s="26">
        <v>18.531851</v>
      </c>
      <c r="F225" s="15">
        <f t="shared" si="22"/>
        <v>6.5176077697273217E-3</v>
      </c>
      <c r="G225" s="15">
        <f t="shared" si="23"/>
        <v>-1.2626414888283227E-2</v>
      </c>
      <c r="H225" s="15">
        <f t="shared" si="24"/>
        <v>1.8538643632364745E-3</v>
      </c>
      <c r="I225" s="15">
        <f t="shared" si="25"/>
        <v>2.1287652308458159E-3</v>
      </c>
      <c r="J225" s="15">
        <f t="shared" si="26"/>
        <v>2.2806921195845722E-3</v>
      </c>
    </row>
    <row r="226" spans="1:10" x14ac:dyDescent="0.2">
      <c r="A226" s="25">
        <v>45482</v>
      </c>
      <c r="B226" s="26">
        <v>228.415604</v>
      </c>
      <c r="C226" s="26">
        <v>62.689999</v>
      </c>
      <c r="D226" s="26">
        <v>207.63000500000001</v>
      </c>
      <c r="E226" s="26">
        <v>18.521999000000001</v>
      </c>
      <c r="F226" s="15">
        <f t="shared" si="22"/>
        <v>3.7677515857849927E-3</v>
      </c>
      <c r="G226" s="15">
        <f t="shared" si="23"/>
        <v>-4.2976588916777241E-3</v>
      </c>
      <c r="H226" s="15">
        <f t="shared" si="24"/>
        <v>1.1918779573079451E-2</v>
      </c>
      <c r="I226" s="15">
        <f t="shared" si="25"/>
        <v>-5.3176661708070883E-4</v>
      </c>
      <c r="J226" s="15">
        <f t="shared" si="26"/>
        <v>5.6190817336279212E-3</v>
      </c>
    </row>
    <row r="227" spans="1:10" x14ac:dyDescent="0.2">
      <c r="A227" s="25">
        <v>45483</v>
      </c>
      <c r="B227" s="26">
        <v>232.710632</v>
      </c>
      <c r="C227" s="26">
        <v>62.830002</v>
      </c>
      <c r="D227" s="26">
        <v>207.800003</v>
      </c>
      <c r="E227" s="26">
        <v>18.739999999999998</v>
      </c>
      <c r="F227" s="15">
        <f t="shared" si="22"/>
        <v>1.8628964806476703E-2</v>
      </c>
      <c r="G227" s="15">
        <f t="shared" si="23"/>
        <v>2.2307689124128954E-3</v>
      </c>
      <c r="H227" s="15">
        <f t="shared" si="24"/>
        <v>8.1841949890559102E-4</v>
      </c>
      <c r="I227" s="15">
        <f t="shared" si="25"/>
        <v>1.1701116052050159E-2</v>
      </c>
      <c r="J227" s="15">
        <f t="shared" si="26"/>
        <v>7.9335707443179103E-3</v>
      </c>
    </row>
    <row r="228" spans="1:10" x14ac:dyDescent="0.2">
      <c r="A228" s="25">
        <v>45484</v>
      </c>
      <c r="B228" s="26">
        <v>227.30690000000001</v>
      </c>
      <c r="C228" s="26">
        <v>63.099997999999999</v>
      </c>
      <c r="D228" s="26">
        <v>207.449997</v>
      </c>
      <c r="E228" s="26">
        <v>18.860001</v>
      </c>
      <c r="F228" s="15">
        <f t="shared" si="22"/>
        <v>-2.3494672238777499E-2</v>
      </c>
      <c r="G228" s="15">
        <f t="shared" si="23"/>
        <v>4.2880396046633875E-3</v>
      </c>
      <c r="H228" s="15">
        <f t="shared" si="24"/>
        <v>-1.6857607845247413E-3</v>
      </c>
      <c r="I228" s="15">
        <f t="shared" si="25"/>
        <v>6.3830534173032645E-3</v>
      </c>
      <c r="J228" s="15">
        <f t="shared" si="26"/>
        <v>-3.1882183674978876E-3</v>
      </c>
    </row>
    <row r="229" spans="1:10" x14ac:dyDescent="0.2">
      <c r="A229" s="25">
        <v>45485</v>
      </c>
      <c r="B229" s="26">
        <v>230.27345299999999</v>
      </c>
      <c r="C229" s="26">
        <v>63.700001</v>
      </c>
      <c r="D229" s="26">
        <v>204.94000199999999</v>
      </c>
      <c r="E229" s="26">
        <v>18.809999000000001</v>
      </c>
      <c r="F229" s="15">
        <f t="shared" si="22"/>
        <v>1.2966442042243119E-2</v>
      </c>
      <c r="G229" s="15">
        <f t="shared" si="23"/>
        <v>9.4638404252588466E-3</v>
      </c>
      <c r="H229" s="15">
        <f t="shared" si="24"/>
        <v>-1.2173069187035165E-2</v>
      </c>
      <c r="I229" s="15">
        <f t="shared" si="25"/>
        <v>-2.6547400778527642E-3</v>
      </c>
      <c r="J229" s="15">
        <f t="shared" si="26"/>
        <v>-3.2108914361595976E-3</v>
      </c>
    </row>
    <row r="230" spans="1:10" x14ac:dyDescent="0.2">
      <c r="A230" s="25">
        <v>45488</v>
      </c>
      <c r="B230" s="26">
        <v>234.128998</v>
      </c>
      <c r="C230" s="26">
        <v>63.41</v>
      </c>
      <c r="D230" s="26">
        <v>210.050003</v>
      </c>
      <c r="E230" s="26">
        <v>18.579999999999998</v>
      </c>
      <c r="F230" s="15">
        <f t="shared" si="22"/>
        <v>1.6604708169325119E-2</v>
      </c>
      <c r="G230" s="15">
        <f t="shared" si="23"/>
        <v>-4.563000564764429E-3</v>
      </c>
      <c r="H230" s="15">
        <f t="shared" si="24"/>
        <v>2.4628348767179134E-2</v>
      </c>
      <c r="I230" s="15">
        <f t="shared" si="25"/>
        <v>-1.2302856764034255E-2</v>
      </c>
      <c r="J230" s="15">
        <f t="shared" si="26"/>
        <v>9.9341262330881665E-3</v>
      </c>
    </row>
    <row r="231" spans="1:10" x14ac:dyDescent="0.2">
      <c r="A231" s="25">
        <v>45489</v>
      </c>
      <c r="B231" s="26">
        <v>234.54852299999999</v>
      </c>
      <c r="C231" s="26">
        <v>64.269997000000004</v>
      </c>
      <c r="D231" s="26">
        <v>213.61999499999999</v>
      </c>
      <c r="E231" s="26">
        <v>18.850000000000001</v>
      </c>
      <c r="F231" s="15">
        <f t="shared" si="22"/>
        <v>1.7902506232981147E-3</v>
      </c>
      <c r="G231" s="15">
        <f t="shared" si="23"/>
        <v>1.3471334993176645E-2</v>
      </c>
      <c r="H231" s="15">
        <f t="shared" si="24"/>
        <v>1.6853100357796223E-2</v>
      </c>
      <c r="I231" s="15">
        <f t="shared" si="25"/>
        <v>1.4427180508327499E-2</v>
      </c>
      <c r="J231" s="15">
        <f t="shared" si="26"/>
        <v>1.2930786652298042E-2</v>
      </c>
    </row>
    <row r="232" spans="1:10" x14ac:dyDescent="0.2">
      <c r="A232" s="25">
        <v>45490</v>
      </c>
      <c r="B232" s="26">
        <v>228.615387</v>
      </c>
      <c r="C232" s="26">
        <v>65.209998999999996</v>
      </c>
      <c r="D232" s="26">
        <v>216.86999499999999</v>
      </c>
      <c r="E232" s="26">
        <v>19.16</v>
      </c>
      <c r="F232" s="15">
        <f t="shared" si="22"/>
        <v>-2.5621428783056767E-2</v>
      </c>
      <c r="G232" s="15">
        <f t="shared" si="23"/>
        <v>1.4519903364922418E-2</v>
      </c>
      <c r="H232" s="15">
        <f t="shared" si="24"/>
        <v>1.5099360369527649E-2</v>
      </c>
      <c r="I232" s="15">
        <f t="shared" si="25"/>
        <v>1.631185864869468E-2</v>
      </c>
      <c r="J232" s="15">
        <f t="shared" si="26"/>
        <v>7.3499755161991831E-3</v>
      </c>
    </row>
    <row r="233" spans="1:10" x14ac:dyDescent="0.2">
      <c r="A233" s="25">
        <v>45491</v>
      </c>
      <c r="B233" s="26">
        <v>223.920807</v>
      </c>
      <c r="C233" s="26">
        <v>65.190002000000007</v>
      </c>
      <c r="D233" s="26">
        <v>209.979996</v>
      </c>
      <c r="E233" s="26">
        <v>19.149999999999999</v>
      </c>
      <c r="F233" s="15">
        <f t="shared" si="22"/>
        <v>-2.074860964039351E-2</v>
      </c>
      <c r="G233" s="15">
        <f t="shared" si="23"/>
        <v>-3.067024540397419E-4</v>
      </c>
      <c r="H233" s="15">
        <f t="shared" si="24"/>
        <v>-3.2285803587666854E-2</v>
      </c>
      <c r="I233" s="15">
        <f t="shared" si="25"/>
        <v>-5.2205691605959625E-4</v>
      </c>
      <c r="J233" s="15">
        <f t="shared" si="26"/>
        <v>-1.8442864318895778E-2</v>
      </c>
    </row>
    <row r="234" spans="1:10" x14ac:dyDescent="0.2">
      <c r="A234" s="25">
        <v>45492</v>
      </c>
      <c r="B234" s="26">
        <v>224.050659</v>
      </c>
      <c r="C234" s="26">
        <v>65.290001000000004</v>
      </c>
      <c r="D234" s="26">
        <v>209.779999</v>
      </c>
      <c r="E234" s="26">
        <v>19.120000999999998</v>
      </c>
      <c r="F234" s="15">
        <f t="shared" si="22"/>
        <v>5.7973336916425204E-4</v>
      </c>
      <c r="G234" s="15">
        <f t="shared" si="23"/>
        <v>1.5327868988235308E-3</v>
      </c>
      <c r="H234" s="15">
        <f t="shared" si="24"/>
        <v>-9.5291127080258486E-4</v>
      </c>
      <c r="I234" s="15">
        <f t="shared" si="25"/>
        <v>-1.5677557021459298E-3</v>
      </c>
      <c r="J234" s="15">
        <f t="shared" si="26"/>
        <v>-7.4407325693876371E-4</v>
      </c>
    </row>
    <row r="235" spans="1:10" x14ac:dyDescent="0.2">
      <c r="A235" s="25">
        <v>45495</v>
      </c>
      <c r="B235" s="26">
        <v>223.70107999999999</v>
      </c>
      <c r="C235" s="26">
        <v>64.769997000000004</v>
      </c>
      <c r="D235" s="26">
        <v>210.279999</v>
      </c>
      <c r="E235" s="26">
        <v>18.549999</v>
      </c>
      <c r="F235" s="15">
        <f t="shared" si="22"/>
        <v>-1.5614861566389346E-3</v>
      </c>
      <c r="G235" s="15">
        <f t="shared" si="23"/>
        <v>-7.9964136377382936E-3</v>
      </c>
      <c r="H235" s="15">
        <f t="shared" si="24"/>
        <v>2.3806134291241197E-3</v>
      </c>
      <c r="I235" s="15">
        <f t="shared" si="25"/>
        <v>-3.0265224779422156E-2</v>
      </c>
      <c r="J235" s="15">
        <f t="shared" si="26"/>
        <v>-9.3505627056765638E-3</v>
      </c>
    </row>
    <row r="236" spans="1:10" x14ac:dyDescent="0.2">
      <c r="A236" s="25">
        <v>45496</v>
      </c>
      <c r="B236" s="26">
        <v>224.74984699999999</v>
      </c>
      <c r="C236" s="26">
        <v>64.959998999999996</v>
      </c>
      <c r="D236" s="26">
        <v>210.33000200000001</v>
      </c>
      <c r="E236" s="26">
        <v>18.209999</v>
      </c>
      <c r="F236" s="15">
        <f t="shared" si="22"/>
        <v>4.6772962161707281E-3</v>
      </c>
      <c r="G236" s="15">
        <f t="shared" si="23"/>
        <v>2.9291935822486634E-3</v>
      </c>
      <c r="H236" s="15">
        <f t="shared" si="24"/>
        <v>2.3776420016967354E-4</v>
      </c>
      <c r="I236" s="15">
        <f t="shared" si="25"/>
        <v>-1.8498896320453713E-2</v>
      </c>
      <c r="J236" s="15">
        <f t="shared" si="26"/>
        <v>-4.8061966522968758E-3</v>
      </c>
    </row>
    <row r="237" spans="1:10" x14ac:dyDescent="0.2">
      <c r="A237" s="25">
        <v>45497</v>
      </c>
      <c r="B237" s="26">
        <v>218.28732299999999</v>
      </c>
      <c r="C237" s="26">
        <v>65.809997999999993</v>
      </c>
      <c r="D237" s="26">
        <v>208.58999600000001</v>
      </c>
      <c r="E237" s="26">
        <v>19.16</v>
      </c>
      <c r="F237" s="15">
        <f t="shared" si="22"/>
        <v>-2.9175802186708118E-2</v>
      </c>
      <c r="G237" s="15">
        <f t="shared" si="23"/>
        <v>1.3000091618175304E-2</v>
      </c>
      <c r="H237" s="15">
        <f t="shared" si="24"/>
        <v>-8.307151793191617E-3</v>
      </c>
      <c r="I237" s="15">
        <f t="shared" si="25"/>
        <v>5.0853933718081321E-2</v>
      </c>
      <c r="J237" s="15">
        <f t="shared" si="26"/>
        <v>7.4708774925135567E-3</v>
      </c>
    </row>
    <row r="238" spans="1:10" x14ac:dyDescent="0.2">
      <c r="A238" s="25">
        <v>45498</v>
      </c>
      <c r="B238" s="26">
        <v>217.23855599999999</v>
      </c>
      <c r="C238" s="26">
        <v>66.069999999999993</v>
      </c>
      <c r="D238" s="26">
        <v>208.66999799999999</v>
      </c>
      <c r="E238" s="26">
        <v>19.190000999999999</v>
      </c>
      <c r="F238" s="15">
        <f t="shared" si="22"/>
        <v>-4.8161042901711899E-3</v>
      </c>
      <c r="G238" s="15">
        <f t="shared" si="23"/>
        <v>3.943013964285107E-3</v>
      </c>
      <c r="H238" s="15">
        <f t="shared" si="24"/>
        <v>3.8346355812063522E-4</v>
      </c>
      <c r="I238" s="15">
        <f t="shared" si="25"/>
        <v>1.564589587366755E-3</v>
      </c>
      <c r="J238" s="15">
        <f t="shared" si="26"/>
        <v>-1.268790252661004E-4</v>
      </c>
    </row>
    <row r="239" spans="1:10" x14ac:dyDescent="0.2">
      <c r="A239" s="25">
        <v>45499</v>
      </c>
      <c r="B239" s="26">
        <v>217.70800800000001</v>
      </c>
      <c r="C239" s="26">
        <v>67.050003000000004</v>
      </c>
      <c r="D239" s="26">
        <v>212.240005</v>
      </c>
      <c r="E239" s="26">
        <v>19.010000000000002</v>
      </c>
      <c r="F239" s="15">
        <f t="shared" si="22"/>
        <v>2.1586660116600692E-3</v>
      </c>
      <c r="G239" s="15">
        <f t="shared" si="23"/>
        <v>1.4723868428621712E-2</v>
      </c>
      <c r="H239" s="15">
        <f t="shared" si="24"/>
        <v>1.6963686226937915E-2</v>
      </c>
      <c r="I239" s="15">
        <f t="shared" si="25"/>
        <v>-9.4242056297434203E-3</v>
      </c>
      <c r="J239" s="15">
        <f t="shared" si="26"/>
        <v>5.4165309214539853E-3</v>
      </c>
    </row>
    <row r="240" spans="1:10" x14ac:dyDescent="0.2">
      <c r="A240" s="25">
        <v>45502</v>
      </c>
      <c r="B240" s="26">
        <v>217.987686</v>
      </c>
      <c r="C240" s="26">
        <v>66.830001999999993</v>
      </c>
      <c r="D240" s="26">
        <v>210.85000600000001</v>
      </c>
      <c r="E240" s="26">
        <v>18.899999999999999</v>
      </c>
      <c r="F240" s="15">
        <f t="shared" si="22"/>
        <v>1.2838228252665619E-3</v>
      </c>
      <c r="G240" s="15">
        <f t="shared" si="23"/>
        <v>-3.2865430207580882E-3</v>
      </c>
      <c r="H240" s="15">
        <f t="shared" si="24"/>
        <v>-6.5707247389028478E-3</v>
      </c>
      <c r="I240" s="15">
        <f t="shared" si="25"/>
        <v>-5.8032344347412621E-3</v>
      </c>
      <c r="J240" s="15">
        <f t="shared" si="26"/>
        <v>-4.6236682109694312E-3</v>
      </c>
    </row>
    <row r="241" spans="1:10" x14ac:dyDescent="0.2">
      <c r="A241" s="25">
        <v>45503</v>
      </c>
      <c r="B241" s="26">
        <v>218.547043</v>
      </c>
      <c r="C241" s="26">
        <v>67.680000000000007</v>
      </c>
      <c r="D241" s="26">
        <v>215.19000199999999</v>
      </c>
      <c r="E241" s="26">
        <v>18.98</v>
      </c>
      <c r="F241" s="15">
        <f t="shared" si="22"/>
        <v>2.562716177992965E-3</v>
      </c>
      <c r="G241" s="15">
        <f t="shared" si="23"/>
        <v>1.2638603848310002E-2</v>
      </c>
      <c r="H241" s="15">
        <f t="shared" si="24"/>
        <v>2.0374359451747755E-2</v>
      </c>
      <c r="I241" s="15">
        <f t="shared" si="25"/>
        <v>4.2238711161852434E-3</v>
      </c>
      <c r="J241" s="15">
        <f t="shared" si="26"/>
        <v>1.1302957996588921E-2</v>
      </c>
    </row>
    <row r="242" spans="1:10" x14ac:dyDescent="0.2">
      <c r="A242" s="25">
        <v>45504</v>
      </c>
      <c r="B242" s="26">
        <v>221.82324199999999</v>
      </c>
      <c r="C242" s="26">
        <v>66.739998</v>
      </c>
      <c r="D242" s="26">
        <v>212.800003</v>
      </c>
      <c r="E242" s="26">
        <v>19.25</v>
      </c>
      <c r="F242" s="15">
        <f t="shared" si="22"/>
        <v>1.4879566390620118E-2</v>
      </c>
      <c r="G242" s="15">
        <f t="shared" si="23"/>
        <v>-1.3986271941776691E-2</v>
      </c>
      <c r="H242" s="15">
        <f t="shared" si="24"/>
        <v>-1.1168596535331227E-2</v>
      </c>
      <c r="I242" s="15">
        <f t="shared" si="25"/>
        <v>1.4125267552011362E-2</v>
      </c>
      <c r="J242" s="15">
        <f t="shared" si="26"/>
        <v>2.0604099270030768E-3</v>
      </c>
    </row>
    <row r="243" spans="1:10" x14ac:dyDescent="0.2">
      <c r="A243" s="25">
        <v>45505</v>
      </c>
      <c r="B243" s="26">
        <v>218.10754399999999</v>
      </c>
      <c r="C243" s="26">
        <v>67.959998999999996</v>
      </c>
      <c r="D243" s="26">
        <v>207.96000699999999</v>
      </c>
      <c r="E243" s="26">
        <v>19.469999000000001</v>
      </c>
      <c r="F243" s="15">
        <f t="shared" si="22"/>
        <v>-1.6892595276606047E-2</v>
      </c>
      <c r="G243" s="15">
        <f t="shared" si="23"/>
        <v>1.8114838733001931E-2</v>
      </c>
      <c r="H243" s="15">
        <f t="shared" si="24"/>
        <v>-2.300698438939985E-2</v>
      </c>
      <c r="I243" s="15">
        <f t="shared" si="25"/>
        <v>1.1363707289245462E-2</v>
      </c>
      <c r="J243" s="15">
        <f t="shared" si="26"/>
        <v>-9.0313379470935082E-3</v>
      </c>
    </row>
    <row r="244" spans="1:10" x14ac:dyDescent="0.2">
      <c r="A244" s="25">
        <v>45506</v>
      </c>
      <c r="B244" s="26">
        <v>219.60580400000001</v>
      </c>
      <c r="C244" s="26">
        <v>69.330001999999993</v>
      </c>
      <c r="D244" s="26">
        <v>199.13999899999999</v>
      </c>
      <c r="E244" s="26">
        <v>19.370000999999998</v>
      </c>
      <c r="F244" s="15">
        <f t="shared" si="22"/>
        <v>6.8458769114516189E-3</v>
      </c>
      <c r="G244" s="15">
        <f t="shared" si="23"/>
        <v>1.9958459712746134E-2</v>
      </c>
      <c r="H244" s="15">
        <f t="shared" si="24"/>
        <v>-4.3337697237488322E-2</v>
      </c>
      <c r="I244" s="15">
        <f t="shared" si="25"/>
        <v>-5.1492389779095047E-3</v>
      </c>
      <c r="J244" s="15">
        <f t="shared" si="26"/>
        <v>-1.8442118775569206E-2</v>
      </c>
    </row>
    <row r="245" spans="1:10" x14ac:dyDescent="0.2">
      <c r="A245" s="25">
        <v>45509</v>
      </c>
      <c r="B245" s="26">
        <v>209.02806100000001</v>
      </c>
      <c r="C245" s="26">
        <v>68.099997999999999</v>
      </c>
      <c r="D245" s="26">
        <v>194.89999399999999</v>
      </c>
      <c r="E245" s="26">
        <v>18.91</v>
      </c>
      <c r="F245" s="15">
        <f t="shared" si="22"/>
        <v>-4.936563304839342E-2</v>
      </c>
      <c r="G245" s="15">
        <f t="shared" si="23"/>
        <v>-1.7900558015048668E-2</v>
      </c>
      <c r="H245" s="15">
        <f t="shared" si="24"/>
        <v>-2.1521514209848672E-2</v>
      </c>
      <c r="I245" s="15">
        <f t="shared" si="25"/>
        <v>-2.4034646374763047E-2</v>
      </c>
      <c r="J245" s="15">
        <f t="shared" si="26"/>
        <v>-2.7733529487892108E-2</v>
      </c>
    </row>
    <row r="246" spans="1:10" x14ac:dyDescent="0.2">
      <c r="A246" s="25">
        <v>45510</v>
      </c>
      <c r="B246" s="26">
        <v>206.99040199999999</v>
      </c>
      <c r="C246" s="26">
        <v>68.050003000000004</v>
      </c>
      <c r="D246" s="26">
        <v>200.33999600000001</v>
      </c>
      <c r="E246" s="26">
        <v>19.190000999999999</v>
      </c>
      <c r="F246" s="15">
        <f t="shared" si="22"/>
        <v>-9.7960810695936606E-3</v>
      </c>
      <c r="G246" s="15">
        <f t="shared" si="23"/>
        <v>-7.3441060418495512E-4</v>
      </c>
      <c r="H246" s="15">
        <f t="shared" si="24"/>
        <v>2.7529327489063685E-2</v>
      </c>
      <c r="I246" s="15">
        <f t="shared" si="25"/>
        <v>1.4698479459715275E-2</v>
      </c>
      <c r="J246" s="15">
        <f t="shared" si="26"/>
        <v>1.4800001087777872E-2</v>
      </c>
    </row>
    <row r="247" spans="1:10" x14ac:dyDescent="0.2">
      <c r="A247" s="25">
        <v>45511</v>
      </c>
      <c r="B247" s="26">
        <v>209.57742300000001</v>
      </c>
      <c r="C247" s="26">
        <v>68.459998999999996</v>
      </c>
      <c r="D247" s="26">
        <v>200.39999399999999</v>
      </c>
      <c r="E247" s="26">
        <v>19.25</v>
      </c>
      <c r="F247" s="15">
        <f t="shared" si="22"/>
        <v>1.2420806909965328E-2</v>
      </c>
      <c r="G247" s="15">
        <f t="shared" si="23"/>
        <v>6.0068453122636119E-3</v>
      </c>
      <c r="H247" s="15">
        <f t="shared" si="24"/>
        <v>2.9943605302915484E-4</v>
      </c>
      <c r="I247" s="15">
        <f t="shared" si="25"/>
        <v>3.1216986037119246E-3</v>
      </c>
      <c r="J247" s="15">
        <f t="shared" si="26"/>
        <v>3.8581674049941042E-3</v>
      </c>
    </row>
    <row r="248" spans="1:10" x14ac:dyDescent="0.2">
      <c r="A248" s="25">
        <v>45512</v>
      </c>
      <c r="B248" s="26">
        <v>213.06338500000001</v>
      </c>
      <c r="C248" s="26">
        <v>68.730002999999996</v>
      </c>
      <c r="D248" s="26">
        <v>204.05999800000001</v>
      </c>
      <c r="E248" s="26">
        <v>19.399999999999999</v>
      </c>
      <c r="F248" s="15">
        <f t="shared" si="22"/>
        <v>1.6496471649674511E-2</v>
      </c>
      <c r="G248" s="15">
        <f t="shared" si="23"/>
        <v>3.9362102876051566E-3</v>
      </c>
      <c r="H248" s="15">
        <f t="shared" si="24"/>
        <v>1.8098719175530638E-2</v>
      </c>
      <c r="I248" s="15">
        <f t="shared" si="25"/>
        <v>7.7620053354891094E-3</v>
      </c>
      <c r="J248" s="15">
        <f t="shared" si="26"/>
        <v>1.3869491248963698E-2</v>
      </c>
    </row>
    <row r="249" spans="1:10" x14ac:dyDescent="0.2">
      <c r="A249" s="25">
        <v>45513</v>
      </c>
      <c r="B249" s="26">
        <v>215.990005</v>
      </c>
      <c r="C249" s="26">
        <v>68.680000000000007</v>
      </c>
      <c r="D249" s="26">
        <v>205.800003</v>
      </c>
      <c r="E249" s="26">
        <v>19.489999999999998</v>
      </c>
      <c r="F249" s="15">
        <f t="shared" si="22"/>
        <v>1.3642429865120695E-2</v>
      </c>
      <c r="G249" s="15">
        <f t="shared" si="23"/>
        <v>-7.2779275329949461E-4</v>
      </c>
      <c r="H249" s="15">
        <f t="shared" si="24"/>
        <v>8.4907795310884548E-3</v>
      </c>
      <c r="I249" s="15">
        <f t="shared" si="25"/>
        <v>4.6284474501869788E-3</v>
      </c>
      <c r="J249" s="15">
        <f t="shared" si="26"/>
        <v>7.8963206893990952E-3</v>
      </c>
    </row>
    <row r="250" spans="1:10" x14ac:dyDescent="0.2">
      <c r="A250" s="25">
        <v>45516</v>
      </c>
      <c r="B250" s="26">
        <v>217.529999</v>
      </c>
      <c r="C250" s="26">
        <v>68.169998000000007</v>
      </c>
      <c r="D250" s="26">
        <v>206.19000199999999</v>
      </c>
      <c r="E250" s="26">
        <v>19.43</v>
      </c>
      <c r="F250" s="15">
        <f t="shared" si="22"/>
        <v>7.1046339891622338E-3</v>
      </c>
      <c r="G250" s="15">
        <f t="shared" si="23"/>
        <v>-7.4534799929999399E-3</v>
      </c>
      <c r="H250" s="15">
        <f t="shared" si="24"/>
        <v>1.8932455242062468E-3</v>
      </c>
      <c r="I250" s="15">
        <f t="shared" si="25"/>
        <v>-3.0832501301206196E-3</v>
      </c>
      <c r="J250" s="15">
        <f t="shared" si="26"/>
        <v>9.4636874937287512E-4</v>
      </c>
    </row>
    <row r="251" spans="1:10" x14ac:dyDescent="0.2">
      <c r="A251" s="25">
        <v>45517</v>
      </c>
      <c r="B251" s="26">
        <v>221.270004</v>
      </c>
      <c r="C251" s="26">
        <v>68.459998999999996</v>
      </c>
      <c r="D251" s="26">
        <v>207.94000199999999</v>
      </c>
      <c r="E251" s="26">
        <v>19.52</v>
      </c>
      <c r="F251" s="15">
        <f t="shared" si="22"/>
        <v>1.7046925905757491E-2</v>
      </c>
      <c r="G251" s="15">
        <f t="shared" si="23"/>
        <v>4.2450624586943594E-3</v>
      </c>
      <c r="H251" s="15">
        <f t="shared" si="24"/>
        <v>8.4515026665683331E-3</v>
      </c>
      <c r="I251" s="15">
        <f t="shared" si="25"/>
        <v>4.6213175955976916E-3</v>
      </c>
      <c r="J251" s="15">
        <f t="shared" si="26"/>
        <v>8.7585088603336341E-3</v>
      </c>
    </row>
    <row r="252" spans="1:10" x14ac:dyDescent="0.2">
      <c r="A252" s="25">
        <v>45518</v>
      </c>
      <c r="B252" s="26">
        <v>221.720001</v>
      </c>
      <c r="C252" s="26">
        <v>68.580001999999993</v>
      </c>
      <c r="D252" s="26">
        <v>210.240005</v>
      </c>
      <c r="E252" s="26">
        <v>19.629999000000002</v>
      </c>
      <c r="F252" s="15">
        <f t="shared" si="22"/>
        <v>2.0316357014954671E-3</v>
      </c>
      <c r="G252" s="15">
        <f t="shared" si="23"/>
        <v>1.751357702825767E-3</v>
      </c>
      <c r="H252" s="15">
        <f t="shared" si="24"/>
        <v>1.1000172910606301E-2</v>
      </c>
      <c r="I252" s="15">
        <f t="shared" si="25"/>
        <v>5.6193763609869146E-3</v>
      </c>
      <c r="J252" s="15">
        <f t="shared" si="26"/>
        <v>7.100633959377595E-3</v>
      </c>
    </row>
    <row r="253" spans="1:10" x14ac:dyDescent="0.2">
      <c r="A253" s="25">
        <v>45519</v>
      </c>
      <c r="B253" s="26">
        <v>224.720001</v>
      </c>
      <c r="C253" s="26">
        <v>68.650002000000001</v>
      </c>
      <c r="D253" s="26">
        <v>211.550003</v>
      </c>
      <c r="E253" s="26">
        <v>19.09</v>
      </c>
      <c r="F253" s="15">
        <f t="shared" si="22"/>
        <v>1.3439858184173351E-2</v>
      </c>
      <c r="G253" s="15">
        <f t="shared" si="23"/>
        <v>1.0201851494693278E-3</v>
      </c>
      <c r="H253" s="15">
        <f t="shared" si="24"/>
        <v>6.2116322685317679E-3</v>
      </c>
      <c r="I253" s="15">
        <f t="shared" si="25"/>
        <v>-2.7894319608277238E-2</v>
      </c>
      <c r="J253" s="15">
        <f t="shared" si="26"/>
        <v>-3.5518828260112257E-3</v>
      </c>
    </row>
    <row r="254" spans="1:10" x14ac:dyDescent="0.2">
      <c r="A254" s="25">
        <v>45520</v>
      </c>
      <c r="B254" s="26">
        <v>226.050003</v>
      </c>
      <c r="C254" s="26">
        <v>69.180000000000007</v>
      </c>
      <c r="D254" s="26">
        <v>213.970001</v>
      </c>
      <c r="E254" s="26">
        <v>19.34</v>
      </c>
      <c r="F254" s="15">
        <f t="shared" si="22"/>
        <v>5.9010397660438866E-3</v>
      </c>
      <c r="G254" s="15">
        <f t="shared" si="23"/>
        <v>7.6906421617582866E-3</v>
      </c>
      <c r="H254" s="15">
        <f t="shared" si="24"/>
        <v>1.1374431605290789E-2</v>
      </c>
      <c r="I254" s="15">
        <f t="shared" si="25"/>
        <v>1.3010852287492039E-2</v>
      </c>
      <c r="J254" s="15">
        <f t="shared" si="26"/>
        <v>1.0660442740112026E-2</v>
      </c>
    </row>
  </sheetData>
  <mergeCells count="1">
    <mergeCell ref="F1:J1"/>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112FA-09E3-420E-BE1A-5213AAC8918A}">
  <dimension ref="A1:L254"/>
  <sheetViews>
    <sheetView showGridLines="0" workbookViewId="0">
      <selection activeCell="H35" sqref="H35"/>
    </sheetView>
  </sheetViews>
  <sheetFormatPr baseColWidth="10" defaultRowHeight="15" x14ac:dyDescent="0.2"/>
  <cols>
    <col min="1" max="5" width="12.5" style="1" bestFit="1" customWidth="1"/>
    <col min="7" max="7" width="23.1640625" bestFit="1" customWidth="1"/>
    <col min="8" max="8" width="18.6640625" bestFit="1" customWidth="1"/>
    <col min="9" max="12" width="12.5" bestFit="1" customWidth="1"/>
  </cols>
  <sheetData>
    <row r="1" spans="1:12" x14ac:dyDescent="0.2">
      <c r="A1" s="89" t="s">
        <v>8</v>
      </c>
      <c r="B1" s="89"/>
      <c r="C1" s="89"/>
      <c r="D1" s="89"/>
      <c r="E1" s="89"/>
    </row>
    <row r="2" spans="1:12" x14ac:dyDescent="0.2">
      <c r="A2" s="2" t="str">
        <f>Portafolio!F2</f>
        <v>r_Apple</v>
      </c>
      <c r="B2" s="2" t="str">
        <f>Portafolio!G2</f>
        <v>r_Coca-Cola</v>
      </c>
      <c r="C2" s="2" t="str">
        <f>Portafolio!H2</f>
        <v>r_JPMorgan</v>
      </c>
      <c r="D2" s="2" t="str">
        <f>Portafolio!I2</f>
        <v>r_AT&amp;T</v>
      </c>
      <c r="E2" s="2" t="str">
        <f>Portafolio!J2</f>
        <v>Portafolio</v>
      </c>
      <c r="G2" s="90" t="s">
        <v>59</v>
      </c>
      <c r="H2" s="91"/>
      <c r="I2" s="91"/>
      <c r="J2" s="91"/>
      <c r="K2" s="91"/>
      <c r="L2" s="92"/>
    </row>
    <row r="3" spans="1:12" x14ac:dyDescent="0.2">
      <c r="A3" s="41">
        <f>Portafolio!F3</f>
        <v>-1.4662185008184019E-2</v>
      </c>
      <c r="B3" s="41">
        <f>Portafolio!G3</f>
        <v>2.1472312077841786E-3</v>
      </c>
      <c r="C3" s="41">
        <f>Portafolio!H3</f>
        <v>-1.0441079130812173E-2</v>
      </c>
      <c r="D3" s="41">
        <f>Portafolio!I3</f>
        <v>-6.4035322871765967E-3</v>
      </c>
      <c r="E3" s="41">
        <f>Portafolio!J3</f>
        <v>-9.4670569504097211E-3</v>
      </c>
      <c r="G3" s="93"/>
      <c r="H3" s="94"/>
      <c r="I3" s="94"/>
      <c r="J3" s="94"/>
      <c r="K3" s="94"/>
      <c r="L3" s="95"/>
    </row>
    <row r="4" spans="1:12" x14ac:dyDescent="0.2">
      <c r="A4" s="41">
        <f>Portafolio!F4</f>
        <v>2.8121205565770678E-3</v>
      </c>
      <c r="B4" s="41">
        <f>Portafolio!G4</f>
        <v>5.5939921723177225E-3</v>
      </c>
      <c r="C4" s="41">
        <f>Portafolio!H4</f>
        <v>2.2848847647558819E-3</v>
      </c>
      <c r="D4" s="41">
        <f>Portafolio!I4</f>
        <v>2.8511962146941443E-3</v>
      </c>
      <c r="E4" s="41">
        <f>Portafolio!J4</f>
        <v>2.7076334101259576E-3</v>
      </c>
    </row>
    <row r="5" spans="1:12" x14ac:dyDescent="0.2">
      <c r="A5" s="41">
        <f>Portafolio!F5</f>
        <v>7.7070400094383651E-3</v>
      </c>
      <c r="B5" s="41">
        <f>Portafolio!G5</f>
        <v>-8.568180711971048E-3</v>
      </c>
      <c r="C5" s="41">
        <f>Portafolio!H5</f>
        <v>3.4177360836862881E-3</v>
      </c>
      <c r="D5" s="41">
        <f>Portafolio!I5</f>
        <v>3.5523360724823969E-3</v>
      </c>
      <c r="E5" s="41">
        <f>Portafolio!J5</f>
        <v>3.8265778229849188E-3</v>
      </c>
      <c r="G5" s="47" t="s">
        <v>58</v>
      </c>
      <c r="H5" s="45" t="str">
        <f>A2</f>
        <v>r_Apple</v>
      </c>
      <c r="I5" s="45" t="str">
        <f>B2</f>
        <v>r_Coca-Cola</v>
      </c>
      <c r="J5" s="45" t="str">
        <f>C2</f>
        <v>r_JPMorgan</v>
      </c>
      <c r="K5" s="45" t="str">
        <f>D2</f>
        <v>r_AT&amp;T</v>
      </c>
      <c r="L5" s="45" t="str">
        <f>E2</f>
        <v>Portafolio</v>
      </c>
    </row>
    <row r="6" spans="1:12" x14ac:dyDescent="0.2">
      <c r="A6" s="41">
        <f>Portafolio!F6</f>
        <v>7.8738144273404372E-3</v>
      </c>
      <c r="B6" s="41">
        <f>Portafolio!G6</f>
        <v>-6.141625470814838E-3</v>
      </c>
      <c r="C6" s="41">
        <f>Portafolio!H6</f>
        <v>-2.0956622133486116E-2</v>
      </c>
      <c r="D6" s="41">
        <f>Portafolio!I6</f>
        <v>1.1283650762276005E-2</v>
      </c>
      <c r="E6" s="41">
        <f>Portafolio!J6</f>
        <v>-4.2141520459861928E-3</v>
      </c>
      <c r="G6" s="47" t="s">
        <v>49</v>
      </c>
      <c r="H6" s="43">
        <f>_xlfn.STDEV.S(A3:A254)</f>
        <v>1.4317007168692672E-2</v>
      </c>
      <c r="I6" s="43">
        <f>_xlfn.STDEV.S(B3:B254)</f>
        <v>8.4145554622722402E-3</v>
      </c>
      <c r="J6" s="43">
        <f>_xlfn.STDEV.S(C3:C254)</f>
        <v>1.1640822805611175E-2</v>
      </c>
      <c r="K6" s="43">
        <f>_xlfn.STDEV.S(D3:D254)</f>
        <v>1.3397541042164431E-2</v>
      </c>
      <c r="L6" s="43">
        <f>_xlfn.STDEV.S(E3:E254)</f>
        <v>7.988127087273136E-3</v>
      </c>
    </row>
    <row r="7" spans="1:12" x14ac:dyDescent="0.2">
      <c r="A7" s="41">
        <f>Portafolio!F7</f>
        <v>2.1711540417555734E-2</v>
      </c>
      <c r="B7" s="41">
        <f>Portafolio!G7</f>
        <v>3.4904214645253497E-3</v>
      </c>
      <c r="C7" s="41">
        <f>Portafolio!H7</f>
        <v>6.740365503857486E-3</v>
      </c>
      <c r="D7" s="41">
        <f>Portafolio!I7</f>
        <v>-7.0373473579131004E-3</v>
      </c>
      <c r="E7" s="41">
        <f>Portafolio!J7</f>
        <v>5.1511974929285536E-3</v>
      </c>
      <c r="G7" s="48" t="s">
        <v>50</v>
      </c>
      <c r="H7" s="49">
        <v>1</v>
      </c>
      <c r="I7" s="46"/>
      <c r="J7" s="46"/>
      <c r="K7" s="46"/>
    </row>
    <row r="8" spans="1:12" x14ac:dyDescent="0.2">
      <c r="A8" s="41">
        <f>Portafolio!F8</f>
        <v>-2.6519108676923038E-2</v>
      </c>
      <c r="B8" s="41">
        <f>Portafolio!G8</f>
        <v>-2.6582344086022547E-3</v>
      </c>
      <c r="C8" s="41">
        <f>Portafolio!H8</f>
        <v>-9.5044774711671462E-4</v>
      </c>
      <c r="D8" s="41">
        <f>Portafolio!I8</f>
        <v>-7.0654176800563693E-4</v>
      </c>
      <c r="E8" s="41">
        <f>Portafolio!J8</f>
        <v>-6.037950088029845E-3</v>
      </c>
      <c r="G8" s="47" t="s">
        <v>51</v>
      </c>
      <c r="H8" s="50">
        <v>0.95</v>
      </c>
      <c r="I8" s="46"/>
      <c r="J8" s="46"/>
      <c r="K8" s="46"/>
    </row>
    <row r="9" spans="1:12" x14ac:dyDescent="0.2">
      <c r="A9" s="41">
        <f>Portafolio!F9</f>
        <v>1.2564052740774025E-2</v>
      </c>
      <c r="B9" s="41">
        <f>Portafolio!G9</f>
        <v>4.6472362667604817E-3</v>
      </c>
      <c r="C9" s="41">
        <f>Portafolio!H9</f>
        <v>-1.2233201758554283E-3</v>
      </c>
      <c r="D9" s="41">
        <f>Portafolio!I9</f>
        <v>-2.830866787178094E-3</v>
      </c>
      <c r="E9" s="41">
        <f>Portafolio!J9</f>
        <v>1.2464294268597353E-3</v>
      </c>
      <c r="G9" s="47" t="s">
        <v>52</v>
      </c>
      <c r="H9" s="51">
        <f>NORMSINV(H8)</f>
        <v>1.6448536269514715</v>
      </c>
      <c r="I9" s="46"/>
      <c r="J9" s="46"/>
      <c r="K9" s="46"/>
    </row>
    <row r="10" spans="1:12" x14ac:dyDescent="0.2">
      <c r="A10" s="41">
        <f>Portafolio!F10</f>
        <v>8.8072127836774459E-3</v>
      </c>
      <c r="B10" s="41">
        <f>Portafolio!G10</f>
        <v>2.811071519673288E-3</v>
      </c>
      <c r="C10" s="41">
        <f>Portafolio!H10</f>
        <v>3.4622835952314748E-3</v>
      </c>
      <c r="D10" s="41">
        <f>Portafolio!I10</f>
        <v>7.0621975605345338E-3</v>
      </c>
      <c r="E10" s="41">
        <f>Portafolio!J10</f>
        <v>5.6612861296380778E-3</v>
      </c>
      <c r="H10" s="46"/>
      <c r="I10" s="46"/>
      <c r="J10" s="46"/>
      <c r="K10" s="46"/>
    </row>
    <row r="11" spans="1:12" x14ac:dyDescent="0.2">
      <c r="A11" s="41">
        <f>Portafolio!F11</f>
        <v>2.1575762719950167E-2</v>
      </c>
      <c r="B11" s="41">
        <f>Portafolio!G11</f>
        <v>-9.9121473034572902E-4</v>
      </c>
      <c r="C11" s="41">
        <f>Portafolio!H11</f>
        <v>8.0993210507113115E-3</v>
      </c>
      <c r="D11" s="41">
        <f>Portafolio!I11</f>
        <v>3.8652123786868747E-2</v>
      </c>
      <c r="E11" s="41">
        <f>Portafolio!J11</f>
        <v>2.0261285327415675E-2</v>
      </c>
      <c r="G11" s="98" t="s">
        <v>57</v>
      </c>
      <c r="H11" s="99"/>
      <c r="I11" s="46"/>
      <c r="J11" s="46"/>
      <c r="K11" s="46"/>
    </row>
    <row r="12" spans="1:12" x14ac:dyDescent="0.2">
      <c r="A12" s="41">
        <f>Portafolio!F12</f>
        <v>1.899078242547661E-2</v>
      </c>
      <c r="B12" s="41">
        <f>Portafolio!G12</f>
        <v>-4.9597604879833524E-4</v>
      </c>
      <c r="C12" s="41">
        <f>Portafolio!H12</f>
        <v>-4.0415125667635282E-3</v>
      </c>
      <c r="D12" s="41">
        <f>Portafolio!I12</f>
        <v>-2.7118017809940271E-3</v>
      </c>
      <c r="E12" s="41">
        <f>Portafolio!J12</f>
        <v>1.1226617329080104E-3</v>
      </c>
      <c r="G12" s="42" t="s">
        <v>53</v>
      </c>
      <c r="H12" s="52">
        <f>H6*SQRT($H$7)*$H$9</f>
        <v>2.354938116851436E-2</v>
      </c>
      <c r="I12" s="52">
        <f>I6*SQRT($H$7)*$H$9</f>
        <v>1.3840712071302811E-2</v>
      </c>
      <c r="J12" s="52">
        <f>J6*SQRT($H$7)*$H$9</f>
        <v>1.9147449612508947E-2</v>
      </c>
      <c r="K12" s="52">
        <f>K6*SQRT($H$7)*$H$9</f>
        <v>2.2036993975435362E-2</v>
      </c>
    </row>
    <row r="13" spans="1:12" x14ac:dyDescent="0.2">
      <c r="A13" s="41">
        <f>Portafolio!F13</f>
        <v>1.1717517176788328E-3</v>
      </c>
      <c r="B13" s="41">
        <f>Portafolio!G13</f>
        <v>-1.0640119950070189E-2</v>
      </c>
      <c r="C13" s="41">
        <f>Portafolio!H13</f>
        <v>-1.2428386047596607E-2</v>
      </c>
      <c r="D13" s="41">
        <f>Portafolio!I13</f>
        <v>4.0649860690958528E-3</v>
      </c>
      <c r="E13" s="41">
        <f>Portafolio!J13</f>
        <v>-4.3288021916397315E-3</v>
      </c>
      <c r="G13" s="42" t="s">
        <v>54</v>
      </c>
      <c r="H13" s="53">
        <v>100000</v>
      </c>
      <c r="I13" s="46"/>
      <c r="J13" s="46"/>
      <c r="K13" s="46"/>
    </row>
    <row r="14" spans="1:12" x14ac:dyDescent="0.2">
      <c r="A14" s="41">
        <f>Portafolio!F14</f>
        <v>8.4277857631225358E-3</v>
      </c>
      <c r="B14" s="41">
        <f>Portafolio!G14</f>
        <v>-8.7293459886518768E-3</v>
      </c>
      <c r="C14" s="41">
        <f>Portafolio!H14</f>
        <v>3.3430239573994255E-3</v>
      </c>
      <c r="D14" s="41">
        <f>Portafolio!I14</f>
        <v>-9.5109702559868468E-3</v>
      </c>
      <c r="E14" s="41">
        <f>Portafolio!J14</f>
        <v>-2.7929641661798323E-4</v>
      </c>
      <c r="G14" s="42" t="s">
        <v>55</v>
      </c>
      <c r="H14" s="54">
        <f>SUM(H12:K12)*H13</f>
        <v>7857.4536827761485</v>
      </c>
      <c r="I14" s="46"/>
      <c r="J14" s="46"/>
      <c r="K14" s="46"/>
    </row>
    <row r="15" spans="1:12" x14ac:dyDescent="0.2">
      <c r="A15" s="41">
        <f>Portafolio!F15</f>
        <v>1.2659131987154749E-3</v>
      </c>
      <c r="B15" s="41">
        <f>Portafolio!G15</f>
        <v>-8.2960032000802229E-3</v>
      </c>
      <c r="C15" s="41">
        <f>Portafolio!H15</f>
        <v>-1.1095405596341172E-2</v>
      </c>
      <c r="D15" s="41">
        <f>Portafolio!I15</f>
        <v>-1.1671910678181512E-2</v>
      </c>
      <c r="E15" s="41">
        <f>Portafolio!J15</f>
        <v>-8.7030184436974432E-3</v>
      </c>
      <c r="H15" s="46"/>
      <c r="I15" s="46"/>
      <c r="J15" s="46"/>
      <c r="K15" s="46"/>
    </row>
    <row r="16" spans="1:12" x14ac:dyDescent="0.2">
      <c r="A16" s="41">
        <f>Portafolio!F16</f>
        <v>-3.6449647610985361E-2</v>
      </c>
      <c r="B16" s="41">
        <f>Portafolio!G16</f>
        <v>-6.802636816685408E-4</v>
      </c>
      <c r="C16" s="41">
        <f>Portafolio!H16</f>
        <v>-1.65396632304482E-3</v>
      </c>
      <c r="D16" s="41">
        <f>Portafolio!I16</f>
        <v>8.9378657253624903E-3</v>
      </c>
      <c r="E16" s="41">
        <f>Portafolio!J16</f>
        <v>-5.1359948137462367E-3</v>
      </c>
      <c r="G16" s="96" t="s">
        <v>56</v>
      </c>
      <c r="H16" s="97"/>
      <c r="I16" s="46"/>
      <c r="J16" s="46"/>
      <c r="K16" s="46"/>
    </row>
    <row r="17" spans="1:11" x14ac:dyDescent="0.2">
      <c r="A17" s="41">
        <f>Portafolio!F17</f>
        <v>-2.9685687263803755E-2</v>
      </c>
      <c r="B17" s="41">
        <f>Portafolio!G17</f>
        <v>-7.685086250950387E-3</v>
      </c>
      <c r="C17" s="41">
        <f>Portafolio!H17</f>
        <v>-8.5911179492632866E-3</v>
      </c>
      <c r="D17" s="41">
        <f>Portafolio!I17</f>
        <v>0</v>
      </c>
      <c r="E17" s="41">
        <f>Portafolio!J17</f>
        <v>-9.9898156541735963E-3</v>
      </c>
      <c r="G17" s="42" t="s">
        <v>53</v>
      </c>
      <c r="H17" s="52">
        <f>SQRT($H$7)*H9*L6</f>
        <v>1.3139299812050512E-2</v>
      </c>
      <c r="I17" s="46"/>
      <c r="J17" s="46"/>
      <c r="K17" s="46"/>
    </row>
    <row r="18" spans="1:11" x14ac:dyDescent="0.2">
      <c r="A18" s="41">
        <f>Portafolio!F18</f>
        <v>3.4855737123982338E-3</v>
      </c>
      <c r="B18" s="41">
        <f>Portafolio!G18</f>
        <v>0</v>
      </c>
      <c r="C18" s="41">
        <f>Portafolio!H18</f>
        <v>7.6518323838956222E-4</v>
      </c>
      <c r="D18" s="41">
        <f>Portafolio!I18</f>
        <v>-1.4477988707991517E-2</v>
      </c>
      <c r="E18" s="41">
        <f>Portafolio!J18</f>
        <v>-3.6366611801214475E-3</v>
      </c>
      <c r="G18" s="42" t="s">
        <v>54</v>
      </c>
      <c r="H18" s="53">
        <v>100000</v>
      </c>
      <c r="I18" s="46"/>
      <c r="J18" s="46"/>
      <c r="K18" s="46"/>
    </row>
    <row r="19" spans="1:11" x14ac:dyDescent="0.2">
      <c r="A19" s="41">
        <f>Portafolio!F19</f>
        <v>6.6007039975988667E-3</v>
      </c>
      <c r="B19" s="41">
        <f>Portafolio!G19</f>
        <v>9.3849136242531647E-3</v>
      </c>
      <c r="C19" s="41">
        <f>Portafolio!H19</f>
        <v>4.3706422775577902E-3</v>
      </c>
      <c r="D19" s="41">
        <f>Portafolio!I19</f>
        <v>8.2988273439278445E-3</v>
      </c>
      <c r="E19" s="41">
        <f>Portafolio!J19</f>
        <v>6.2859574110678022E-3</v>
      </c>
      <c r="G19" s="42" t="s">
        <v>55</v>
      </c>
      <c r="H19" s="54">
        <f>H17*H18</f>
        <v>1313.9299812050513</v>
      </c>
      <c r="I19" s="46"/>
      <c r="J19" s="46"/>
      <c r="K19" s="46"/>
    </row>
    <row r="20" spans="1:11" x14ac:dyDescent="0.2">
      <c r="A20" s="41">
        <f>Portafolio!F20</f>
        <v>-1.7207766577965616E-2</v>
      </c>
      <c r="B20" s="41">
        <f>Portafolio!G20</f>
        <v>-9.8994165765982269E-3</v>
      </c>
      <c r="C20" s="41">
        <f>Portafolio!H20</f>
        <v>1.2930049259339658E-2</v>
      </c>
      <c r="D20" s="41">
        <f>Portafolio!I20</f>
        <v>-4.1408787728015178E-3</v>
      </c>
      <c r="E20" s="41">
        <f>Portafolio!J20</f>
        <v>4.887238112031005E-4</v>
      </c>
    </row>
    <row r="21" spans="1:11" x14ac:dyDescent="0.2">
      <c r="A21" s="41">
        <f>Portafolio!F21</f>
        <v>-1.1925628607410014E-2</v>
      </c>
      <c r="B21" s="41">
        <f>Portafolio!G21</f>
        <v>2.3984991177818894E-3</v>
      </c>
      <c r="C21" s="41">
        <f>Portafolio!H21</f>
        <v>4.7822692080471709E-4</v>
      </c>
      <c r="D21" s="41">
        <f>Portafolio!I21</f>
        <v>1.1004270746853787E-2</v>
      </c>
      <c r="E21" s="41">
        <f>Portafolio!J21</f>
        <v>1.4768108627912393E-3</v>
      </c>
      <c r="G21" s="42" t="s">
        <v>61</v>
      </c>
      <c r="H21" s="44">
        <f>H14-H19</f>
        <v>6543.5237015710973</v>
      </c>
    </row>
    <row r="22" spans="1:11" x14ac:dyDescent="0.2">
      <c r="A22" s="41">
        <f>Portafolio!F22</f>
        <v>8.744192273870471E-3</v>
      </c>
      <c r="B22" s="41">
        <f>Portafolio!G22</f>
        <v>8.2446925036342867E-3</v>
      </c>
      <c r="C22" s="41">
        <f>Portafolio!H22</f>
        <v>1.9211775011975799E-2</v>
      </c>
      <c r="D22" s="41">
        <f>Portafolio!I22</f>
        <v>2.9651713697862989E-2</v>
      </c>
      <c r="E22" s="41">
        <f>Portafolio!J22</f>
        <v>2.0042246390674492E-2</v>
      </c>
      <c r="G22" s="42" t="s">
        <v>61</v>
      </c>
      <c r="H22" s="55">
        <f>1-(H17/H12)</f>
        <v>0.44205328717436443</v>
      </c>
    </row>
    <row r="23" spans="1:11" x14ac:dyDescent="0.2">
      <c r="A23" s="41">
        <f>Portafolio!F23</f>
        <v>-4.1626265495737849E-3</v>
      </c>
      <c r="B23" s="41">
        <f>Portafolio!G23</f>
        <v>-8.9348416448038568E-3</v>
      </c>
      <c r="C23" s="41">
        <f>Portafolio!H23</f>
        <v>-2.9524998063902006E-3</v>
      </c>
      <c r="D23" s="41">
        <f>Portafolio!I23</f>
        <v>1.1224978589028094E-2</v>
      </c>
      <c r="E23" s="41">
        <f>Portafolio!J23</f>
        <v>1.1313429911168696E-3</v>
      </c>
    </row>
    <row r="24" spans="1:11" x14ac:dyDescent="0.2">
      <c r="A24" s="41">
        <f>Portafolio!F24</f>
        <v>1.6771885661529522E-2</v>
      </c>
      <c r="B24" s="41">
        <f>Portafolio!G24</f>
        <v>6.1940863988089057E-3</v>
      </c>
      <c r="C24" s="41">
        <f>Portafolio!H24</f>
        <v>2.081060219182381E-3</v>
      </c>
      <c r="D24" s="41">
        <f>Portafolio!I24</f>
        <v>-9.2349221157867391E-3</v>
      </c>
      <c r="E24" s="41">
        <f>Portafolio!J24</f>
        <v>1.5301136594923666E-3</v>
      </c>
    </row>
    <row r="25" spans="1:11" x14ac:dyDescent="0.2">
      <c r="A25" s="41">
        <f>Portafolio!F25</f>
        <v>6.1618290451625419E-3</v>
      </c>
      <c r="B25" s="41">
        <f>Portafolio!G25</f>
        <v>-2.0603885067279927E-3</v>
      </c>
      <c r="C25" s="41">
        <f>Portafolio!H25</f>
        <v>-1.2750275394505101E-3</v>
      </c>
      <c r="D25" s="41">
        <f>Portafolio!I25</f>
        <v>7.9209277625121085E-3</v>
      </c>
      <c r="E25" s="41">
        <f>Portafolio!J25</f>
        <v>3.1390478840161106E-3</v>
      </c>
    </row>
    <row r="26" spans="1:11" x14ac:dyDescent="0.2">
      <c r="A26" s="41">
        <f>Portafolio!F26</f>
        <v>-2.0194689945887755E-2</v>
      </c>
      <c r="B26" s="41">
        <f>Portafolio!G26</f>
        <v>4.4589357728930948E-3</v>
      </c>
      <c r="C26" s="41">
        <f>Portafolio!H26</f>
        <v>-4.2389693184284203E-3</v>
      </c>
      <c r="D26" s="41">
        <f>Portafolio!I26</f>
        <v>2.2107528152630732E-2</v>
      </c>
      <c r="E26" s="41">
        <f>Portafolio!J26</f>
        <v>1.4273245220018617E-3</v>
      </c>
    </row>
    <row r="27" spans="1:11" x14ac:dyDescent="0.2">
      <c r="A27" s="41">
        <f>Portafolio!F27</f>
        <v>-8.9290841663582452E-3</v>
      </c>
      <c r="B27" s="41">
        <f>Portafolio!G27</f>
        <v>-1.5520182226064388E-2</v>
      </c>
      <c r="C27" s="41">
        <f>Portafolio!H27</f>
        <v>-7.8527809774467452E-3</v>
      </c>
      <c r="D27" s="41">
        <f>Portafolio!I27</f>
        <v>-1.5554405482686634E-2</v>
      </c>
      <c r="E27" s="41">
        <f>Portafolio!J27</f>
        <v>-1.0862645480342735E-2</v>
      </c>
    </row>
    <row r="28" spans="1:11" x14ac:dyDescent="0.2">
      <c r="A28" s="41">
        <f>Portafolio!F28</f>
        <v>4.932157084030179E-3</v>
      </c>
      <c r="B28" s="41">
        <f>Portafolio!G28</f>
        <v>1.0421744338548341E-3</v>
      </c>
      <c r="C28" s="41">
        <f>Portafolio!H28</f>
        <v>-9.6290710303040105E-3</v>
      </c>
      <c r="D28" s="41">
        <f>Portafolio!I28</f>
        <v>-1.2488017087223817E-2</v>
      </c>
      <c r="E28" s="41">
        <f>Portafolio!J28</f>
        <v>-7.2123448333486972E-3</v>
      </c>
    </row>
    <row r="29" spans="1:11" x14ac:dyDescent="0.2">
      <c r="A29" s="41">
        <f>Portafolio!F29</f>
        <v>7.3532671978666295E-3</v>
      </c>
      <c r="B29" s="41">
        <f>Portafolio!G29</f>
        <v>-1.0471250468192831E-2</v>
      </c>
      <c r="C29" s="41">
        <f>Portafolio!H29</f>
        <v>4.9286703199951359E-3</v>
      </c>
      <c r="D29" s="41">
        <f>Portafolio!I29</f>
        <v>-3.9760898184737319E-3</v>
      </c>
      <c r="E29" s="41">
        <f>Portafolio!J29</f>
        <v>1.9130567663173188E-3</v>
      </c>
    </row>
    <row r="30" spans="1:11" x14ac:dyDescent="0.2">
      <c r="A30" s="41">
        <f>Portafolio!F30</f>
        <v>-2.3676570379196956E-2</v>
      </c>
      <c r="B30" s="41">
        <f>Portafolio!G30</f>
        <v>-8.2798817906721903E-3</v>
      </c>
      <c r="C30" s="41">
        <f>Portafolio!H30</f>
        <v>-1.0433243353410393E-2</v>
      </c>
      <c r="D30" s="41">
        <f>Portafolio!I30</f>
        <v>-2.6595130223768674E-3</v>
      </c>
      <c r="E30" s="41">
        <f>Portafolio!J30</f>
        <v>-1.0479526555787275E-2</v>
      </c>
    </row>
    <row r="31" spans="1:11" x14ac:dyDescent="0.2">
      <c r="A31" s="41">
        <f>Portafolio!F31</f>
        <v>-8.9372740582099996E-3</v>
      </c>
      <c r="B31" s="41">
        <f>Portafolio!G31</f>
        <v>-1.0313022416799286E-2</v>
      </c>
      <c r="C31" s="41">
        <f>Portafolio!H31</f>
        <v>5.8476760566381946E-3</v>
      </c>
      <c r="D31" s="41">
        <f>Portafolio!I31</f>
        <v>-1.0036916003110012E-2</v>
      </c>
      <c r="E31" s="41">
        <f>Portafolio!J31</f>
        <v>-2.8788070221865132E-3</v>
      </c>
    </row>
    <row r="32" spans="1:11" x14ac:dyDescent="0.2">
      <c r="A32" s="41">
        <f>Portafolio!F32</f>
        <v>1.5245124110350558E-3</v>
      </c>
      <c r="B32" s="41">
        <f>Portafolio!G32</f>
        <v>-2.5052793506595878E-3</v>
      </c>
      <c r="C32" s="41">
        <f>Portafolio!H32</f>
        <v>1.2339652914118577E-2</v>
      </c>
      <c r="D32" s="41">
        <f>Portafolio!I32</f>
        <v>9.370913321953802E-3</v>
      </c>
      <c r="E32" s="41">
        <f>Portafolio!J32</f>
        <v>8.6209083606874817E-3</v>
      </c>
    </row>
    <row r="33" spans="1:5" x14ac:dyDescent="0.2">
      <c r="A33" s="41">
        <f>Portafolio!F33</f>
        <v>3.0418117645047292E-3</v>
      </c>
      <c r="B33" s="41">
        <f>Portafolio!G33</f>
        <v>3.0412831937692204E-3</v>
      </c>
      <c r="C33" s="41">
        <f>Portafolio!H33</f>
        <v>-1.7566587699048578E-2</v>
      </c>
      <c r="D33" s="41">
        <f>Portafolio!I33</f>
        <v>6.6600268115622394E-4</v>
      </c>
      <c r="E33" s="41">
        <f>Portafolio!J33</f>
        <v>-6.7410008614461787E-3</v>
      </c>
    </row>
    <row r="34" spans="1:5" x14ac:dyDescent="0.2">
      <c r="A34" s="41">
        <f>Portafolio!F34</f>
        <v>1.4726612543542477E-2</v>
      </c>
      <c r="B34" s="41">
        <f>Portafolio!G34</f>
        <v>-8.9718561804357604E-3</v>
      </c>
      <c r="C34" s="41">
        <f>Portafolio!H34</f>
        <v>-8.6567488859623613E-3</v>
      </c>
      <c r="D34" s="41">
        <f>Portafolio!I34</f>
        <v>-2.3578125464621125E-2</v>
      </c>
      <c r="E34" s="41">
        <f>Portafolio!J34</f>
        <v>-8.8179369067360458E-3</v>
      </c>
    </row>
    <row r="35" spans="1:5" x14ac:dyDescent="0.2">
      <c r="A35" s="41">
        <f>Portafolio!F35</f>
        <v>-7.8002013931504684E-3</v>
      </c>
      <c r="B35" s="41">
        <f>Portafolio!G35</f>
        <v>-1.0873561101627389E-2</v>
      </c>
      <c r="C35" s="41">
        <f>Portafolio!H35</f>
        <v>-7.4001160534839551E-3</v>
      </c>
      <c r="D35" s="41">
        <f>Portafolio!I35</f>
        <v>7.470418425544037E-3</v>
      </c>
      <c r="E35" s="41">
        <f>Portafolio!J35</f>
        <v>-2.8289855790354316E-3</v>
      </c>
    </row>
    <row r="36" spans="1:5" x14ac:dyDescent="0.2">
      <c r="A36" s="41">
        <f>Portafolio!F36</f>
        <v>7.2820978273525263E-3</v>
      </c>
      <c r="B36" s="41">
        <f>Portafolio!G36</f>
        <v>2.9112300036451422E-3</v>
      </c>
      <c r="C36" s="41">
        <f>Portafolio!H36</f>
        <v>4.4743812840926343E-3</v>
      </c>
      <c r="D36" s="41">
        <f>Portafolio!I36</f>
        <v>-8.8346792935787202E-3</v>
      </c>
      <c r="E36" s="41">
        <f>Portafolio!J36</f>
        <v>6.8071290908287667E-4</v>
      </c>
    </row>
    <row r="37" spans="1:5" x14ac:dyDescent="0.2">
      <c r="A37" s="41">
        <f>Portafolio!F37</f>
        <v>7.1721957179410305E-3</v>
      </c>
      <c r="B37" s="41">
        <f>Portafolio!G37</f>
        <v>-4.9535374384451825E-2</v>
      </c>
      <c r="C37" s="41">
        <f>Portafolio!H37</f>
        <v>4.2075901542361687E-3</v>
      </c>
      <c r="D37" s="41">
        <f>Portafolio!I37</f>
        <v>1.2211857867236135E-2</v>
      </c>
      <c r="E37" s="41">
        <f>Portafolio!J37</f>
        <v>5.1834637731418276E-3</v>
      </c>
    </row>
    <row r="38" spans="1:5" x14ac:dyDescent="0.2">
      <c r="A38" s="41">
        <f>Portafolio!F38</f>
        <v>1.4642797262619538E-2</v>
      </c>
      <c r="B38" s="41">
        <f>Portafolio!G38</f>
        <v>1.4405068586763934E-2</v>
      </c>
      <c r="C38" s="41">
        <f>Portafolio!H38</f>
        <v>1.5278133083516892E-2</v>
      </c>
      <c r="D38" s="41">
        <f>Portafolio!I38</f>
        <v>-7.0340122474886078E-3</v>
      </c>
      <c r="E38" s="41">
        <f>Portafolio!J38</f>
        <v>7.9247087144746625E-3</v>
      </c>
    </row>
    <row r="39" spans="1:5" x14ac:dyDescent="0.2">
      <c r="A39" s="41">
        <f>Portafolio!F39</f>
        <v>8.4155364965835446E-3</v>
      </c>
      <c r="B39" s="41">
        <f>Portafolio!G39</f>
        <v>-4.9046695157092994E-3</v>
      </c>
      <c r="C39" s="41">
        <f>Portafolio!H39</f>
        <v>-2.2767875931944174E-3</v>
      </c>
      <c r="D39" s="41">
        <f>Portafolio!I39</f>
        <v>1.919178660718069E-2</v>
      </c>
      <c r="E39" s="41">
        <f>Portafolio!J39</f>
        <v>6.6663510313033688E-3</v>
      </c>
    </row>
    <row r="40" spans="1:5" x14ac:dyDescent="0.2">
      <c r="A40" s="41">
        <f>Portafolio!F40</f>
        <v>-3.3577377412587176E-3</v>
      </c>
      <c r="B40" s="41">
        <f>Portafolio!G40</f>
        <v>2.1514155913894644E-2</v>
      </c>
      <c r="C40" s="41">
        <f>Portafolio!H40</f>
        <v>6.0600170693245765E-3</v>
      </c>
      <c r="D40" s="41">
        <f>Portafolio!I40</f>
        <v>1.5493841465178439E-2</v>
      </c>
      <c r="E40" s="41">
        <f>Portafolio!J40</f>
        <v>7.8544778962305432E-3</v>
      </c>
    </row>
    <row r="41" spans="1:5" x14ac:dyDescent="0.2">
      <c r="A41" s="41">
        <f>Portafolio!F41</f>
        <v>7.8729256654077838E-3</v>
      </c>
      <c r="B41" s="41">
        <f>Portafolio!G41</f>
        <v>-5.9402085775266582E-3</v>
      </c>
      <c r="C41" s="41">
        <f>Portafolio!H41</f>
        <v>3.4271245700145075E-3</v>
      </c>
      <c r="D41" s="41">
        <f>Portafolio!I41</f>
        <v>-1.2781979492703863E-2</v>
      </c>
      <c r="E41" s="41">
        <f>Portafolio!J41</f>
        <v>-1.2934255786129127E-3</v>
      </c>
    </row>
    <row r="42" spans="1:5" x14ac:dyDescent="0.2">
      <c r="A42" s="41">
        <f>Portafolio!F42</f>
        <v>5.0484914715231101E-3</v>
      </c>
      <c r="B42" s="41">
        <f>Portafolio!G42</f>
        <v>-1.6898605731409447E-2</v>
      </c>
      <c r="C42" s="41">
        <f>Portafolio!H42</f>
        <v>-2.3292037153074849E-3</v>
      </c>
      <c r="D42" s="41">
        <f>Portafolio!I42</f>
        <v>-2.1903648579655197E-2</v>
      </c>
      <c r="E42" s="41">
        <f>Portafolio!J42</f>
        <v>-7.7624496799989307E-3</v>
      </c>
    </row>
    <row r="43" spans="1:5" x14ac:dyDescent="0.2">
      <c r="A43" s="41">
        <f>Portafolio!F43</f>
        <v>-1.0346128156285038E-2</v>
      </c>
      <c r="B43" s="41">
        <f>Portafolio!G43</f>
        <v>1.5136608826072475E-3</v>
      </c>
      <c r="C43" s="41">
        <f>Portafolio!H43</f>
        <v>1.490802752612275E-2</v>
      </c>
      <c r="D43" s="41">
        <f>Portafolio!I43</f>
        <v>-6.2479325408984904E-3</v>
      </c>
      <c r="E43" s="41">
        <f>Portafolio!J43</f>
        <v>2.5088405008130716E-3</v>
      </c>
    </row>
    <row r="44" spans="1:5" x14ac:dyDescent="0.2">
      <c r="A44" s="41">
        <f>Portafolio!F44</f>
        <v>-7.2710133536225421E-4</v>
      </c>
      <c r="B44" s="41">
        <f>Portafolio!G44</f>
        <v>1.0158067162630343E-2</v>
      </c>
      <c r="C44" s="41">
        <f>Portafolio!H44</f>
        <v>-1.0140315442376808E-3</v>
      </c>
      <c r="D44" s="41">
        <f>Portafolio!I44</f>
        <v>3.47593227385585E-3</v>
      </c>
      <c r="E44" s="41">
        <f>Portafolio!J44</f>
        <v>9.4651306234168689E-4</v>
      </c>
    </row>
    <row r="45" spans="1:5" x14ac:dyDescent="0.2">
      <c r="A45" s="41">
        <f>Portafolio!F45</f>
        <v>-8.8236168219693739E-3</v>
      </c>
      <c r="B45" s="41">
        <f>Portafolio!G45</f>
        <v>1.1907236828734701E-2</v>
      </c>
      <c r="C45" s="41">
        <f>Portafolio!H45</f>
        <v>-2.1668112665697982E-3</v>
      </c>
      <c r="D45" s="41">
        <f>Portafolio!I45</f>
        <v>1.1728316519177792E-2</v>
      </c>
      <c r="E45" s="41">
        <f>Portafolio!J45</f>
        <v>1.5594675909491673E-3</v>
      </c>
    </row>
    <row r="46" spans="1:5" x14ac:dyDescent="0.2">
      <c r="A46" s="41">
        <f>Portafolio!F46</f>
        <v>-7.4223370429170512E-3</v>
      </c>
      <c r="B46" s="41">
        <f>Portafolio!G46</f>
        <v>-3.7001627652822851E-4</v>
      </c>
      <c r="C46" s="41">
        <f>Portafolio!H46</f>
        <v>-1.1041381345434621E-2</v>
      </c>
      <c r="D46" s="41">
        <f>Portafolio!I46</f>
        <v>-1.7993646801684915E-2</v>
      </c>
      <c r="E46" s="41">
        <f>Portafolio!J46</f>
        <v>-1.212492028973566E-2</v>
      </c>
    </row>
    <row r="47" spans="1:5" x14ac:dyDescent="0.2">
      <c r="A47" s="41">
        <f>Portafolio!F47</f>
        <v>-2.1632256780532658E-3</v>
      </c>
      <c r="B47" s="41">
        <f>Portafolio!G47</f>
        <v>5.5350153172178456E-3</v>
      </c>
      <c r="C47" s="41">
        <f>Portafolio!H47</f>
        <v>-4.2583678361532767E-3</v>
      </c>
      <c r="D47" s="41">
        <f>Portafolio!I47</f>
        <v>6.3577877182322051E-2</v>
      </c>
      <c r="E47" s="41">
        <f>Portafolio!J47</f>
        <v>1.8422592847118335E-2</v>
      </c>
    </row>
    <row r="48" spans="1:5" x14ac:dyDescent="0.2">
      <c r="A48" s="41">
        <f>Portafolio!F48</f>
        <v>-1.48134638605088E-2</v>
      </c>
      <c r="B48" s="41">
        <f>Portafolio!G48</f>
        <v>4.0397446205238134E-3</v>
      </c>
      <c r="C48" s="41">
        <f>Portafolio!H48</f>
        <v>-1.623677213768495E-2</v>
      </c>
      <c r="D48" s="41">
        <f>Portafolio!I48</f>
        <v>7.8330630368045693E-3</v>
      </c>
      <c r="E48" s="41">
        <f>Portafolio!J48</f>
        <v>-7.36738173021061E-3</v>
      </c>
    </row>
    <row r="49" spans="1:5" x14ac:dyDescent="0.2">
      <c r="A49" s="41">
        <f>Portafolio!F49</f>
        <v>6.9385280456884656E-4</v>
      </c>
      <c r="B49" s="41">
        <f>Portafolio!G49</f>
        <v>-9.01984365197008E-3</v>
      </c>
      <c r="C49" s="41">
        <f>Portafolio!H49</f>
        <v>-1.3735076896956099E-2</v>
      </c>
      <c r="D49" s="41">
        <f>Portafolio!I49</f>
        <v>-2.8356670761467306E-2</v>
      </c>
      <c r="E49" s="41">
        <f>Portafolio!J49</f>
        <v>-1.5379019650579921E-2</v>
      </c>
    </row>
    <row r="50" spans="1:5" x14ac:dyDescent="0.2">
      <c r="A50" s="41">
        <f>Portafolio!F50</f>
        <v>2.5402110604923374E-3</v>
      </c>
      <c r="B50" s="41">
        <f>Portafolio!G50</f>
        <v>2.8437891260977562E-2</v>
      </c>
      <c r="C50" s="41">
        <f>Portafolio!H50</f>
        <v>1.2049500256252955E-3</v>
      </c>
      <c r="D50" s="41">
        <f>Portafolio!I50</f>
        <v>3.8062243981015008E-2</v>
      </c>
      <c r="E50" s="41">
        <f>Portafolio!J50</f>
        <v>1.446223860658455E-2</v>
      </c>
    </row>
    <row r="51" spans="1:5" x14ac:dyDescent="0.2">
      <c r="A51" s="41">
        <f>Portafolio!F51</f>
        <v>-1.3583577722310494E-2</v>
      </c>
      <c r="B51" s="41">
        <f>Portafolio!G51</f>
        <v>8.5898919565569297E-3</v>
      </c>
      <c r="C51" s="41">
        <f>Portafolio!H51</f>
        <v>-5.4694749611117069E-3</v>
      </c>
      <c r="D51" s="41">
        <f>Portafolio!I51</f>
        <v>-2.2136321441816844E-2</v>
      </c>
      <c r="E51" s="41">
        <f>Portafolio!J51</f>
        <v>-1.1884293252356418E-2</v>
      </c>
    </row>
    <row r="52" spans="1:5" x14ac:dyDescent="0.2">
      <c r="A52" s="41">
        <f>Portafolio!F52</f>
        <v>-2.4913184770041188E-2</v>
      </c>
      <c r="B52" s="41">
        <f>Portafolio!G52</f>
        <v>-6.0768940601561034E-3</v>
      </c>
      <c r="C52" s="41">
        <f>Portafolio!H52</f>
        <v>2.5609400579485304E-3</v>
      </c>
      <c r="D52" s="41">
        <f>Portafolio!I52</f>
        <v>-4.6189215703234801E-3</v>
      </c>
      <c r="E52" s="41">
        <f>Portafolio!J52</f>
        <v>-5.5820310021594466E-3</v>
      </c>
    </row>
    <row r="53" spans="1:5" x14ac:dyDescent="0.2">
      <c r="A53" s="41">
        <f>Portafolio!F53</f>
        <v>7.9376258370334254E-3</v>
      </c>
      <c r="B53" s="41">
        <f>Portafolio!G53</f>
        <v>-9.7279469304567372E-3</v>
      </c>
      <c r="C53" s="41">
        <f>Portafolio!H53</f>
        <v>-3.6683337928199083E-2</v>
      </c>
      <c r="D53" s="41">
        <f>Portafolio!I53</f>
        <v>-2.0040684628752883E-2</v>
      </c>
      <c r="E53" s="41">
        <f>Portafolio!J53</f>
        <v>-2.1324752965601476E-2</v>
      </c>
    </row>
    <row r="54" spans="1:5" x14ac:dyDescent="0.2">
      <c r="A54" s="41">
        <f>Portafolio!F54</f>
        <v>1.2230145391432332E-2</v>
      </c>
      <c r="B54" s="41">
        <f>Portafolio!G54</f>
        <v>1.6339294527615768E-2</v>
      </c>
      <c r="C54" s="41">
        <f>Portafolio!H54</f>
        <v>1.26689866257148E-2</v>
      </c>
      <c r="D54" s="41">
        <f>Portafolio!I54</f>
        <v>2.9257291384540907E-2</v>
      </c>
      <c r="E54" s="41">
        <f>Portafolio!J54</f>
        <v>1.8077764652553646E-2</v>
      </c>
    </row>
    <row r="55" spans="1:5" x14ac:dyDescent="0.2">
      <c r="A55" s="41">
        <f>Portafolio!F55</f>
        <v>2.8148308012558494E-3</v>
      </c>
      <c r="B55" s="41">
        <f>Portafolio!G55</f>
        <v>6.0369707476601144E-3</v>
      </c>
      <c r="C55" s="41">
        <f>Portafolio!H55</f>
        <v>1.1863603111821981E-2</v>
      </c>
      <c r="D55" s="41">
        <f>Portafolio!I55</f>
        <v>9.1325041752728462E-3</v>
      </c>
      <c r="E55" s="41">
        <f>Portafolio!J55</f>
        <v>8.9418177666675137E-3</v>
      </c>
    </row>
    <row r="56" spans="1:5" x14ac:dyDescent="0.2">
      <c r="A56" s="41">
        <f>Portafolio!F56</f>
        <v>1.8565290897534802E-2</v>
      </c>
      <c r="B56" s="41">
        <f>Portafolio!G56</f>
        <v>-8.8556819319023528E-4</v>
      </c>
      <c r="C56" s="41">
        <f>Portafolio!H56</f>
        <v>-8.6331287395108823E-4</v>
      </c>
      <c r="D56" s="41">
        <f>Portafolio!I56</f>
        <v>1.1620614661695866E-2</v>
      </c>
      <c r="E56" s="41">
        <f>Portafolio!J56</f>
        <v>7.0318357863738013E-3</v>
      </c>
    </row>
    <row r="57" spans="1:5" x14ac:dyDescent="0.2">
      <c r="A57" s="41">
        <f>Portafolio!F57</f>
        <v>2.0482069684558096E-2</v>
      </c>
      <c r="B57" s="41">
        <f>Portafolio!G57</f>
        <v>1.1450857122828546E-2</v>
      </c>
      <c r="C57" s="41">
        <f>Portafolio!H57</f>
        <v>1.7691845912209535E-2</v>
      </c>
      <c r="D57" s="41">
        <f>Portafolio!I57</f>
        <v>9.581644883623272E-3</v>
      </c>
      <c r="E57" s="41">
        <f>Portafolio!J57</f>
        <v>1.537923079575523E-2</v>
      </c>
    </row>
    <row r="58" spans="1:5" x14ac:dyDescent="0.2">
      <c r="A58" s="41">
        <f>Portafolio!F58</f>
        <v>-5.1946810275440517E-3</v>
      </c>
      <c r="B58" s="41">
        <f>Portafolio!G58</f>
        <v>-6.1495523287532295E-3</v>
      </c>
      <c r="C58" s="41">
        <f>Portafolio!H58</f>
        <v>1.1110587455196269E-2</v>
      </c>
      <c r="D58" s="41">
        <f>Portafolio!I58</f>
        <v>9.4907076045383631E-3</v>
      </c>
      <c r="E58" s="41">
        <f>Portafolio!J58</f>
        <v>6.6336452309906247E-3</v>
      </c>
    </row>
    <row r="59" spans="1:5" x14ac:dyDescent="0.2">
      <c r="A59" s="41">
        <f>Portafolio!F59</f>
        <v>1.44996022601437E-2</v>
      </c>
      <c r="B59" s="41">
        <f>Portafolio!G59</f>
        <v>4.0454488376433064E-3</v>
      </c>
      <c r="C59" s="41">
        <f>Portafolio!H59</f>
        <v>7.5241008178584595E-3</v>
      </c>
      <c r="D59" s="41">
        <f>Portafolio!I59</f>
        <v>-8.2201612246451568E-3</v>
      </c>
      <c r="E59" s="41">
        <f>Portafolio!J59</f>
        <v>3.6980751488433833E-3</v>
      </c>
    </row>
    <row r="60" spans="1:5" x14ac:dyDescent="0.2">
      <c r="A60" s="41">
        <f>Portafolio!F60</f>
        <v>1.4347282613426004E-2</v>
      </c>
      <c r="B60" s="41">
        <f>Portafolio!G60</f>
        <v>3.6793121473435051E-3</v>
      </c>
      <c r="C60" s="41">
        <f>Portafolio!H60</f>
        <v>-4.8618261899616047E-4</v>
      </c>
      <c r="D60" s="41">
        <f>Portafolio!I60</f>
        <v>5.6981618175608508E-3</v>
      </c>
      <c r="E60" s="41">
        <f>Portafolio!J60</f>
        <v>4.6337446990717575E-3</v>
      </c>
    </row>
    <row r="61" spans="1:5" x14ac:dyDescent="0.2">
      <c r="A61" s="41">
        <f>Portafolio!F61</f>
        <v>5.8675683603629037E-3</v>
      </c>
      <c r="B61" s="41">
        <f>Portafolio!G61</f>
        <v>-1.5752086562333767E-3</v>
      </c>
      <c r="C61" s="41">
        <f>Portafolio!H61</f>
        <v>4.9183358399554396E-3</v>
      </c>
      <c r="D61" s="41">
        <f>Portafolio!I61</f>
        <v>-1.2067567354175589E-2</v>
      </c>
      <c r="E61" s="41">
        <f>Portafolio!J61</f>
        <v>-6.3215212262406235E-4</v>
      </c>
    </row>
    <row r="62" spans="1:5" x14ac:dyDescent="0.2">
      <c r="A62" s="41">
        <f>Portafolio!F62</f>
        <v>-2.6278835003809412E-3</v>
      </c>
      <c r="B62" s="41">
        <f>Portafolio!G62</f>
        <v>-7.5604337307585206E-3</v>
      </c>
      <c r="C62" s="41">
        <f>Portafolio!H62</f>
        <v>-2.9757978020443572E-3</v>
      </c>
      <c r="D62" s="41">
        <f>Portafolio!I62</f>
        <v>-1.2787371052778911E-3</v>
      </c>
      <c r="E62" s="41">
        <f>Portafolio!J62</f>
        <v>-2.5467237633194639E-3</v>
      </c>
    </row>
    <row r="63" spans="1:5" x14ac:dyDescent="0.2">
      <c r="A63" s="41">
        <f>Portafolio!F63</f>
        <v>2.2954556969230551E-2</v>
      </c>
      <c r="B63" s="41">
        <f>Portafolio!G63</f>
        <v>1.0583701900695479E-3</v>
      </c>
      <c r="C63" s="41">
        <f>Portafolio!H63</f>
        <v>1.4722279452399911E-2</v>
      </c>
      <c r="D63" s="41">
        <f>Portafolio!I63</f>
        <v>6.3967350467703291E-4</v>
      </c>
      <c r="E63" s="41">
        <f>Portafolio!J63</f>
        <v>1.126635096485344E-2</v>
      </c>
    </row>
    <row r="64" spans="1:5" x14ac:dyDescent="0.2">
      <c r="A64" s="41">
        <f>Portafolio!F64</f>
        <v>-8.6207243473615386E-3</v>
      </c>
      <c r="B64" s="41">
        <f>Portafolio!G64</f>
        <v>3.6955712633663846E-3</v>
      </c>
      <c r="C64" s="41">
        <f>Portafolio!H64</f>
        <v>-4.4488788474790633E-3</v>
      </c>
      <c r="D64" s="41">
        <f>Portafolio!I64</f>
        <v>-3.8437221263010121E-3</v>
      </c>
      <c r="E64" s="41">
        <f>Portafolio!J64</f>
        <v>-4.7527673251255564E-3</v>
      </c>
    </row>
    <row r="65" spans="1:5" x14ac:dyDescent="0.2">
      <c r="A65" s="41">
        <f>Portafolio!F65</f>
        <v>1.4184635374476782E-2</v>
      </c>
      <c r="B65" s="41">
        <f>Portafolio!G65</f>
        <v>2.981612142296002E-3</v>
      </c>
      <c r="C65" s="41">
        <f>Portafolio!H65</f>
        <v>1.8082265985749042E-2</v>
      </c>
      <c r="D65" s="41">
        <f>Portafolio!I65</f>
        <v>3.2040486216239152E-3</v>
      </c>
      <c r="E65" s="41">
        <f>Portafolio!J65</f>
        <v>1.1893495481086142E-2</v>
      </c>
    </row>
    <row r="66" spans="1:5" x14ac:dyDescent="0.2">
      <c r="A66" s="41">
        <f>Portafolio!F66</f>
        <v>3.0363308776654089E-3</v>
      </c>
      <c r="B66" s="41">
        <f>Portafolio!G66</f>
        <v>1.9246372583412658E-3</v>
      </c>
      <c r="C66" s="41">
        <f>Portafolio!H66</f>
        <v>8.7197537313942614E-3</v>
      </c>
      <c r="D66" s="41">
        <f>Portafolio!I66</f>
        <v>8.2829440398884853E-3</v>
      </c>
      <c r="E66" s="41">
        <f>Portafolio!J66</f>
        <v>7.1686436213717775E-3</v>
      </c>
    </row>
    <row r="67" spans="1:5" x14ac:dyDescent="0.2">
      <c r="A67" s="41">
        <f>Portafolio!F67</f>
        <v>9.0015200429287429E-3</v>
      </c>
      <c r="B67" s="41">
        <f>Portafolio!G67</f>
        <v>-1.0493722296692307E-3</v>
      </c>
      <c r="C67" s="41">
        <f>Portafolio!H67</f>
        <v>1.1355018101563337E-2</v>
      </c>
      <c r="D67" s="41">
        <f>Portafolio!I67</f>
        <v>7.5853598266493183E-3</v>
      </c>
      <c r="E67" s="41">
        <f>Portafolio!J67</f>
        <v>9.1643905003113632E-3</v>
      </c>
    </row>
    <row r="68" spans="1:5" x14ac:dyDescent="0.2">
      <c r="A68" s="41">
        <f>Portafolio!F68</f>
        <v>-1.0544870529251719E-4</v>
      </c>
      <c r="B68" s="41">
        <f>Portafolio!G68</f>
        <v>1.9229550455904989E-3</v>
      </c>
      <c r="C68" s="41">
        <f>Portafolio!H68</f>
        <v>9.0052481102475771E-3</v>
      </c>
      <c r="D68" s="41">
        <f>Portafolio!I68</f>
        <v>1.2586844676198644E-3</v>
      </c>
      <c r="E68" s="41">
        <f>Portafolio!J68</f>
        <v>4.4033721264817947E-3</v>
      </c>
    </row>
    <row r="69" spans="1:5" x14ac:dyDescent="0.2">
      <c r="A69" s="41">
        <f>Portafolio!F69</f>
        <v>9.2354873918627962E-3</v>
      </c>
      <c r="B69" s="41">
        <f>Portafolio!G69</f>
        <v>2.4420582166783792E-3</v>
      </c>
      <c r="C69" s="41">
        <f>Portafolio!H69</f>
        <v>3.0707044771690309E-3</v>
      </c>
      <c r="D69" s="41">
        <f>Portafolio!I69</f>
        <v>1.250014351434138E-2</v>
      </c>
      <c r="E69" s="41">
        <f>Portafolio!J69</f>
        <v>7.3128800811792212E-3</v>
      </c>
    </row>
    <row r="70" spans="1:5" x14ac:dyDescent="0.2">
      <c r="A70" s="41">
        <f>Portafolio!F70</f>
        <v>-4.2398033377747738E-3</v>
      </c>
      <c r="B70" s="41">
        <f>Portafolio!G70</f>
        <v>1.0915721899237774E-2</v>
      </c>
      <c r="C70" s="41">
        <f>Portafolio!H70</f>
        <v>-2.089635023942204E-3</v>
      </c>
      <c r="D70" s="41">
        <f>Portafolio!I70</f>
        <v>5.5745681417839043E-3</v>
      </c>
      <c r="E70" s="41">
        <f>Portafolio!J70</f>
        <v>4.8305978432557442E-4</v>
      </c>
    </row>
    <row r="71" spans="1:5" x14ac:dyDescent="0.2">
      <c r="A71" s="41">
        <f>Portafolio!F71</f>
        <v>3.5083046042034536E-3</v>
      </c>
      <c r="B71" s="41">
        <f>Portafolio!G71</f>
        <v>6.698173115196048E-3</v>
      </c>
      <c r="C71" s="41">
        <f>Portafolio!H71</f>
        <v>2.3505409404632072E-3</v>
      </c>
      <c r="D71" s="41">
        <f>Portafolio!I71</f>
        <v>-1.2361893781621346E-3</v>
      </c>
      <c r="E71" s="41">
        <f>Portafolio!J71</f>
        <v>1.6028665755635143E-3</v>
      </c>
    </row>
    <row r="72" spans="1:5" x14ac:dyDescent="0.2">
      <c r="A72" s="41">
        <f>Portafolio!F72</f>
        <v>-7.0289607553052254E-3</v>
      </c>
      <c r="B72" s="41">
        <f>Portafolio!G72</f>
        <v>2.564368058518235E-3</v>
      </c>
      <c r="C72" s="41">
        <f>Portafolio!H72</f>
        <v>1.3685641523619864E-3</v>
      </c>
      <c r="D72" s="41">
        <f>Portafolio!I72</f>
        <v>2.4706584385659168E-3</v>
      </c>
      <c r="E72" s="41">
        <f>Portafolio!J72</f>
        <v>9.8798185841385343E-5</v>
      </c>
    </row>
    <row r="73" spans="1:5" x14ac:dyDescent="0.2">
      <c r="A73" s="41">
        <f>Portafolio!F73</f>
        <v>-9.4805949388913479E-4</v>
      </c>
      <c r="B73" s="41">
        <f>Portafolio!G73</f>
        <v>-1.8798349524674102E-3</v>
      </c>
      <c r="C73" s="41">
        <f>Portafolio!H73</f>
        <v>-2.2819464710573719E-3</v>
      </c>
      <c r="D73" s="41">
        <f>Portafolio!I73</f>
        <v>0</v>
      </c>
      <c r="E73" s="41">
        <f>Portafolio!J73</f>
        <v>-1.2641891060539848E-3</v>
      </c>
    </row>
    <row r="74" spans="1:5" x14ac:dyDescent="0.2">
      <c r="A74" s="41">
        <f>Portafolio!F74</f>
        <v>3.2089405359202782E-3</v>
      </c>
      <c r="B74" s="41">
        <f>Portafolio!G74</f>
        <v>2.0506000205027385E-3</v>
      </c>
      <c r="C74" s="41">
        <f>Portafolio!H74</f>
        <v>2.2819464710573632E-3</v>
      </c>
      <c r="D74" s="41">
        <f>Portafolio!I74</f>
        <v>-1.8524051289652865E-3</v>
      </c>
      <c r="E74" s="41">
        <f>Portafolio!J74</f>
        <v>1.1247794634930003E-3</v>
      </c>
    </row>
    <row r="75" spans="1:5" x14ac:dyDescent="0.2">
      <c r="A75" s="41">
        <f>Portafolio!F75</f>
        <v>-5.4242788854046205E-3</v>
      </c>
      <c r="B75" s="41">
        <f>Portafolio!G75</f>
        <v>-5.9926490699218782E-3</v>
      </c>
      <c r="C75" s="41">
        <f>Portafolio!H75</f>
        <v>5.0673693523613879E-3</v>
      </c>
      <c r="D75" s="41">
        <f>Portafolio!I75</f>
        <v>7.3891849715765874E-3</v>
      </c>
      <c r="E75" s="41">
        <f>Portafolio!J75</f>
        <v>3.2728031829884706E-3</v>
      </c>
    </row>
    <row r="76" spans="1:5" x14ac:dyDescent="0.2">
      <c r="A76" s="41">
        <f>Portafolio!F76</f>
        <v>3.0580089148523034E-3</v>
      </c>
      <c r="B76" s="41">
        <f>Portafolio!G76</f>
        <v>1.1530896635000211E-2</v>
      </c>
      <c r="C76" s="41">
        <f>Portafolio!H76</f>
        <v>1.1340267252648781E-2</v>
      </c>
      <c r="D76" s="41">
        <f>Portafolio!I76</f>
        <v>1.6428683176453563E-2</v>
      </c>
      <c r="E76" s="41">
        <f>Portafolio!J76</f>
        <v>1.1337205332285261E-2</v>
      </c>
    </row>
    <row r="77" spans="1:5" x14ac:dyDescent="0.2">
      <c r="A77" s="41">
        <f>Portafolio!F77</f>
        <v>6.7683969358011721E-3</v>
      </c>
      <c r="B77" s="41">
        <f>Portafolio!G77</f>
        <v>3.4165183963682714E-3</v>
      </c>
      <c r="C77" s="41">
        <f>Portafolio!H77</f>
        <v>4.857594182652576E-3</v>
      </c>
      <c r="D77" s="41">
        <f>Portafolio!I77</f>
        <v>1.1401293855996619E-2</v>
      </c>
      <c r="E77" s="41">
        <f>Portafolio!J77</f>
        <v>7.2886194374990462E-3</v>
      </c>
    </row>
    <row r="78" spans="1:5" x14ac:dyDescent="0.2">
      <c r="A78" s="41">
        <f>Portafolio!F78</f>
        <v>-9.5097229376474839E-3</v>
      </c>
      <c r="B78" s="41">
        <f>Portafolio!G78</f>
        <v>-1.1944749472458554E-3</v>
      </c>
      <c r="C78" s="41">
        <f>Portafolio!H78</f>
        <v>7.3054908777762974E-3</v>
      </c>
      <c r="D78" s="41">
        <f>Portafolio!I78</f>
        <v>-5.9844807698541955E-3</v>
      </c>
      <c r="E78" s="41">
        <f>Portafolio!J78</f>
        <v>-6.7657508406678219E-4</v>
      </c>
    </row>
    <row r="79" spans="1:5" x14ac:dyDescent="0.2">
      <c r="A79" s="41">
        <f>Portafolio!F79</f>
        <v>2.084449839920156E-2</v>
      </c>
      <c r="B79" s="41">
        <f>Portafolio!G79</f>
        <v>1.5354718166455639E-3</v>
      </c>
      <c r="C79" s="41">
        <f>Portafolio!H79</f>
        <v>-1.266031176191559E-4</v>
      </c>
      <c r="D79" s="41">
        <f>Portafolio!I79</f>
        <v>3.306087505214772E-2</v>
      </c>
      <c r="E79" s="41">
        <f>Portafolio!J79</f>
        <v>1.4817472181668085E-2</v>
      </c>
    </row>
    <row r="80" spans="1:5" x14ac:dyDescent="0.2">
      <c r="A80" s="41">
        <f>Portafolio!F80</f>
        <v>-5.7032520050787593E-3</v>
      </c>
      <c r="B80" s="41">
        <f>Portafolio!G80</f>
        <v>-1.0233916476147672E-3</v>
      </c>
      <c r="C80" s="41">
        <f>Portafolio!H80</f>
        <v>-1.0563861768930536E-2</v>
      </c>
      <c r="D80" s="41">
        <f>Portafolio!I80</f>
        <v>-1.6393661333646715E-2</v>
      </c>
      <c r="E80" s="41">
        <f>Portafolio!J80</f>
        <v>-1.1084347639724431E-2</v>
      </c>
    </row>
    <row r="81" spans="1:5" x14ac:dyDescent="0.2">
      <c r="A81" s="41">
        <f>Portafolio!F81</f>
        <v>1.0088207138443817E-2</v>
      </c>
      <c r="B81" s="41">
        <f>Portafolio!G81</f>
        <v>2.3863212857141401E-3</v>
      </c>
      <c r="C81" s="41">
        <f>Portafolio!H81</f>
        <v>3.0661278355592595E-3</v>
      </c>
      <c r="D81" s="41">
        <f>Portafolio!I81</f>
        <v>8.8156554713472324E-3</v>
      </c>
      <c r="E81" s="41">
        <f>Portafolio!J81</f>
        <v>6.2910674085100739E-3</v>
      </c>
    </row>
    <row r="82" spans="1:5" x14ac:dyDescent="0.2">
      <c r="A82" s="41">
        <f>Portafolio!F82</f>
        <v>7.3850207302899578E-3</v>
      </c>
      <c r="B82" s="41">
        <f>Portafolio!G82</f>
        <v>-2.2156572655028478E-3</v>
      </c>
      <c r="C82" s="41">
        <f>Portafolio!H82</f>
        <v>1.0973473354382132E-2</v>
      </c>
      <c r="D82" s="41">
        <f>Portafolio!I82</f>
        <v>-9.9971434933014119E-3</v>
      </c>
      <c r="E82" s="41">
        <f>Portafolio!J82</f>
        <v>2.9608312065530873E-3</v>
      </c>
    </row>
    <row r="83" spans="1:5" x14ac:dyDescent="0.2">
      <c r="A83" s="41">
        <f>Portafolio!F83</f>
        <v>-1.301155524149791E-2</v>
      </c>
      <c r="B83" s="41">
        <f>Portafolio!G83</f>
        <v>7.3098102582420726E-3</v>
      </c>
      <c r="C83" s="41">
        <f>Portafolio!H83</f>
        <v>3.6521773139312004E-3</v>
      </c>
      <c r="D83" s="41">
        <f>Portafolio!I83</f>
        <v>-1.7889443279638567E-2</v>
      </c>
      <c r="E83" s="41">
        <f>Portafolio!J83</f>
        <v>-6.462677010402546E-3</v>
      </c>
    </row>
    <row r="84" spans="1:5" x14ac:dyDescent="0.2">
      <c r="A84" s="41">
        <f>Portafolio!F84</f>
        <v>7.8889519649972505E-3</v>
      </c>
      <c r="B84" s="41">
        <f>Portafolio!G84</f>
        <v>6.4156731620670822E-3</v>
      </c>
      <c r="C84" s="41">
        <f>Portafolio!H84</f>
        <v>8.8855459657744724E-3</v>
      </c>
      <c r="D84" s="41">
        <f>Portafolio!I84</f>
        <v>-1.2715943603931842E-2</v>
      </c>
      <c r="E84" s="41">
        <f>Portafolio!J84</f>
        <v>1.6239460641433211E-3</v>
      </c>
    </row>
    <row r="85" spans="1:5" x14ac:dyDescent="0.2">
      <c r="A85" s="41">
        <f>Portafolio!F85</f>
        <v>1.6553655693470191E-2</v>
      </c>
      <c r="B85" s="41">
        <f>Portafolio!G85</f>
        <v>8.5463889760277086E-3</v>
      </c>
      <c r="C85" s="41">
        <f>Portafolio!H85</f>
        <v>3.3584282184013106E-3</v>
      </c>
      <c r="D85" s="41">
        <f>Portafolio!I85</f>
        <v>2.4346320782964847E-3</v>
      </c>
      <c r="E85" s="41">
        <f>Portafolio!J85</f>
        <v>5.9026452512017154E-3</v>
      </c>
    </row>
    <row r="86" spans="1:5" x14ac:dyDescent="0.2">
      <c r="A86" s="41">
        <f>Portafolio!F86</f>
        <v>7.5742185089877612E-4</v>
      </c>
      <c r="B86" s="41">
        <f>Portafolio!G86</f>
        <v>-1.4962062138094838E-2</v>
      </c>
      <c r="C86" s="41">
        <f>Portafolio!H86</f>
        <v>1.8028547888701854E-2</v>
      </c>
      <c r="D86" s="41">
        <f>Portafolio!I86</f>
        <v>1.208465691282283E-2</v>
      </c>
      <c r="E86" s="41">
        <f>Portafolio!J86</f>
        <v>1.1323065403676197E-2</v>
      </c>
    </row>
    <row r="87" spans="1:5" x14ac:dyDescent="0.2">
      <c r="A87" s="41">
        <f>Portafolio!F87</f>
        <v>-2.7295073142777661E-3</v>
      </c>
      <c r="B87" s="41">
        <f>Portafolio!G87</f>
        <v>-7.4804742784532674E-3</v>
      </c>
      <c r="C87" s="41">
        <f>Portafolio!H87</f>
        <v>7.5329194945627474E-3</v>
      </c>
      <c r="D87" s="41">
        <f>Portafolio!I87</f>
        <v>-7.8383887172057826E-3</v>
      </c>
      <c r="E87" s="41">
        <f>Portafolio!J87</f>
        <v>-7.9846073633341348E-5</v>
      </c>
    </row>
    <row r="88" spans="1:5" x14ac:dyDescent="0.2">
      <c r="A88" s="41">
        <f>Portafolio!F88</f>
        <v>-8.53965400802611E-3</v>
      </c>
      <c r="B88" s="41">
        <f>Portafolio!G88</f>
        <v>7.1417585896560408E-3</v>
      </c>
      <c r="C88" s="41">
        <f>Portafolio!H88</f>
        <v>6.0338573294274594E-3</v>
      </c>
      <c r="D88" s="41">
        <f>Portafolio!I88</f>
        <v>-3.6386626067303612E-3</v>
      </c>
      <c r="E88" s="41">
        <f>Portafolio!J88</f>
        <v>5.68741357202258E-5</v>
      </c>
    </row>
    <row r="89" spans="1:5" x14ac:dyDescent="0.2">
      <c r="A89" s="41">
        <f>Portafolio!F89</f>
        <v>5.3458637702141027E-3</v>
      </c>
      <c r="B89" s="41">
        <f>Portafolio!G89</f>
        <v>-3.2244751257021888E-3</v>
      </c>
      <c r="C89" s="41">
        <f>Portafolio!H89</f>
        <v>1.3266549902395489E-2</v>
      </c>
      <c r="D89" s="41">
        <f>Portafolio!I89</f>
        <v>9.0718253225267661E-3</v>
      </c>
      <c r="E89" s="41">
        <f>Portafolio!J89</f>
        <v>9.6623755257628438E-3</v>
      </c>
    </row>
    <row r="90" spans="1:5" x14ac:dyDescent="0.2">
      <c r="A90" s="41">
        <f>Portafolio!F90</f>
        <v>-1.0771711802952852E-2</v>
      </c>
      <c r="B90" s="41">
        <f>Portafolio!G90</f>
        <v>-2.0955763699396959E-2</v>
      </c>
      <c r="C90" s="41">
        <f>Portafolio!H90</f>
        <v>-1.1343350930772851E-2</v>
      </c>
      <c r="D90" s="41">
        <f>Portafolio!I90</f>
        <v>-1.2723712230209391E-2</v>
      </c>
      <c r="E90" s="41">
        <f>Portafolio!J90</f>
        <v>-1.2066854335196407E-2</v>
      </c>
    </row>
    <row r="91" spans="1:5" x14ac:dyDescent="0.2">
      <c r="A91" s="41">
        <f>Portafolio!F91</f>
        <v>-7.7033791279105483E-4</v>
      </c>
      <c r="B91" s="41">
        <f>Portafolio!G91</f>
        <v>6.5744708171604086E-3</v>
      </c>
      <c r="C91" s="41">
        <f>Portafolio!H91</f>
        <v>5.6878079343058051E-3</v>
      </c>
      <c r="D91" s="41">
        <f>Portafolio!I91</f>
        <v>5.4729367751170889E-3</v>
      </c>
      <c r="E91" s="41">
        <f>Portafolio!J91</f>
        <v>4.3675221076814518E-3</v>
      </c>
    </row>
    <row r="92" spans="1:5" x14ac:dyDescent="0.2">
      <c r="A92" s="41">
        <f>Portafolio!F92</f>
        <v>-5.5629055748559423E-3</v>
      </c>
      <c r="B92" s="41">
        <f>Portafolio!G92</f>
        <v>5.6744066112261139E-3</v>
      </c>
      <c r="C92" s="41">
        <f>Portafolio!H92</f>
        <v>-5.9719768106862266E-4</v>
      </c>
      <c r="D92" s="41">
        <f>Portafolio!I92</f>
        <v>3.6318010530331695E-3</v>
      </c>
      <c r="E92" s="41">
        <f>Portafolio!J92</f>
        <v>3.21489971757522E-5</v>
      </c>
    </row>
    <row r="93" spans="1:5" x14ac:dyDescent="0.2">
      <c r="A93" s="41">
        <f>Portafolio!F93</f>
        <v>-2.8449113917028523E-3</v>
      </c>
      <c r="B93" s="41">
        <f>Portafolio!G93</f>
        <v>4.1068114348282283E-3</v>
      </c>
      <c r="C93" s="41">
        <f>Portafolio!H93</f>
        <v>5.8965836558493075E-3</v>
      </c>
      <c r="D93" s="41">
        <f>Portafolio!I93</f>
        <v>1.2077595132303129E-3</v>
      </c>
      <c r="E93" s="41">
        <f>Portafolio!J93</f>
        <v>2.569935941325565E-3</v>
      </c>
    </row>
    <row r="94" spans="1:5" x14ac:dyDescent="0.2">
      <c r="A94" s="41">
        <f>Portafolio!F94</f>
        <v>5.1779897604456546E-4</v>
      </c>
      <c r="B94" s="41">
        <f>Portafolio!G94</f>
        <v>2.5581149129798759E-3</v>
      </c>
      <c r="C94" s="41">
        <f>Portafolio!H94</f>
        <v>5.9800808714544585E-3</v>
      </c>
      <c r="D94" s="41">
        <f>Portafolio!I94</f>
        <v>6.0333319054379066E-4</v>
      </c>
      <c r="E94" s="41">
        <f>Portafolio!J94</f>
        <v>3.0186769285192503E-3</v>
      </c>
    </row>
    <row r="95" spans="1:5" x14ac:dyDescent="0.2">
      <c r="A95" s="41">
        <f>Portafolio!F95</f>
        <v>2.2237825955231019E-3</v>
      </c>
      <c r="B95" s="41">
        <f>Portafolio!G95</f>
        <v>6.811858639393253E-4</v>
      </c>
      <c r="C95" s="41">
        <f>Portafolio!H95</f>
        <v>5.2989165247204857E-3</v>
      </c>
      <c r="D95" s="41">
        <f>Portafolio!I95</f>
        <v>9.6039637827291333E-3</v>
      </c>
      <c r="E95" s="41">
        <f>Portafolio!J95</f>
        <v>5.8848997414621615E-3</v>
      </c>
    </row>
    <row r="96" spans="1:5" x14ac:dyDescent="0.2">
      <c r="A96" s="41">
        <f>Portafolio!F96</f>
        <v>-5.4389057902563941E-3</v>
      </c>
      <c r="B96" s="41">
        <f>Portafolio!G96</f>
        <v>3.0590814664282501E-3</v>
      </c>
      <c r="C96" s="41">
        <f>Portafolio!H96</f>
        <v>-1.1751806513597941E-3</v>
      </c>
      <c r="D96" s="41">
        <f>Portafolio!I96</f>
        <v>2.3866948027653455E-3</v>
      </c>
      <c r="E96" s="41">
        <f>Portafolio!J96</f>
        <v>-7.041279430002762E-4</v>
      </c>
    </row>
    <row r="97" spans="1:5" x14ac:dyDescent="0.2">
      <c r="A97" s="41">
        <f>Portafolio!F97</f>
        <v>-3.6442669115568614E-2</v>
      </c>
      <c r="B97" s="41">
        <f>Portafolio!G97</f>
        <v>1.4989765411567772E-2</v>
      </c>
      <c r="C97" s="41">
        <f>Portafolio!H97</f>
        <v>1.1573020195509662E-2</v>
      </c>
      <c r="D97" s="41">
        <f>Portafolio!I97</f>
        <v>2.7624383831125431E-2</v>
      </c>
      <c r="E97" s="41">
        <f>Portafolio!J97</f>
        <v>7.3153276728257968E-3</v>
      </c>
    </row>
    <row r="98" spans="1:5" x14ac:dyDescent="0.2">
      <c r="A98" s="41">
        <f>Portafolio!F98</f>
        <v>-7.5158087877084971E-3</v>
      </c>
      <c r="B98" s="41">
        <f>Portafolio!G98</f>
        <v>2.3375916662677874E-3</v>
      </c>
      <c r="C98" s="41">
        <f>Portafolio!H98</f>
        <v>-4.3679752008790812E-3</v>
      </c>
      <c r="D98" s="41">
        <f>Portafolio!I98</f>
        <v>-1.1600607305661888E-3</v>
      </c>
      <c r="E98" s="41">
        <f>Portafolio!J98</f>
        <v>-3.6876579815411335E-3</v>
      </c>
    </row>
    <row r="99" spans="1:5" x14ac:dyDescent="0.2">
      <c r="A99" s="41">
        <f>Portafolio!F99</f>
        <v>-1.2781428001649012E-2</v>
      </c>
      <c r="B99" s="41">
        <f>Portafolio!G99</f>
        <v>-3.3411282708156569E-3</v>
      </c>
      <c r="C99" s="41">
        <f>Portafolio!H99</f>
        <v>6.6141593258210608E-3</v>
      </c>
      <c r="D99" s="41">
        <f>Portafolio!I99</f>
        <v>-4.6539918884881352E-3</v>
      </c>
      <c r="E99" s="41">
        <f>Portafolio!J99</f>
        <v>-1.2900359350104709E-3</v>
      </c>
    </row>
    <row r="100" spans="1:5" x14ac:dyDescent="0.2">
      <c r="A100" s="41">
        <f>Portafolio!F100</f>
        <v>-4.0210117830922973E-3</v>
      </c>
      <c r="B100" s="41">
        <f>Portafolio!G100</f>
        <v>-1.5071191150336566E-3</v>
      </c>
      <c r="C100" s="41">
        <f>Portafolio!H100</f>
        <v>5.0046366419241994E-3</v>
      </c>
      <c r="D100" s="41">
        <f>Portafolio!I100</f>
        <v>1.8487103983690103E-2</v>
      </c>
      <c r="E100" s="41">
        <f>Portafolio!J100</f>
        <v>7.2850621287888859E-3</v>
      </c>
    </row>
    <row r="101" spans="1:5" x14ac:dyDescent="0.2">
      <c r="A101" s="41">
        <f>Portafolio!F101</f>
        <v>2.3887222589555022E-2</v>
      </c>
      <c r="B101" s="41">
        <f>Portafolio!G101</f>
        <v>7.3468937372898847E-3</v>
      </c>
      <c r="C101" s="41">
        <f>Portafolio!H101</f>
        <v>-1.4521496056958624E-3</v>
      </c>
      <c r="D101" s="41">
        <f>Portafolio!I101</f>
        <v>-8.62337357891769E-3</v>
      </c>
      <c r="E101" s="41">
        <f>Portafolio!J101</f>
        <v>1.6465945910325904E-3</v>
      </c>
    </row>
    <row r="102" spans="1:5" x14ac:dyDescent="0.2">
      <c r="A102" s="41">
        <f>Portafolio!F102</f>
        <v>-2.2659828390601978E-3</v>
      </c>
      <c r="B102" s="41">
        <f>Portafolio!G102</f>
        <v>-1.8316735365529078E-3</v>
      </c>
      <c r="C102" s="41">
        <f>Portafolio!H102</f>
        <v>-7.9374988566027482E-3</v>
      </c>
      <c r="D102" s="41">
        <f>Portafolio!I102</f>
        <v>-5.4130016942953952E-3</v>
      </c>
      <c r="E102" s="41">
        <f>Portafolio!J102</f>
        <v>-5.7440565981258501E-3</v>
      </c>
    </row>
    <row r="103" spans="1:5" x14ac:dyDescent="0.2">
      <c r="A103" s="41">
        <f>Portafolio!F103</f>
        <v>5.655471783241264E-3</v>
      </c>
      <c r="B103" s="41">
        <f>Portafolio!G103</f>
        <v>3.3277857054118689E-3</v>
      </c>
      <c r="C103" s="41">
        <f>Portafolio!H103</f>
        <v>2.1072476150256008E-3</v>
      </c>
      <c r="D103" s="41">
        <f>Portafolio!I103</f>
        <v>-4.7308269784354078E-3</v>
      </c>
      <c r="E103" s="41">
        <f>Portafolio!J103</f>
        <v>6.6043806687810023E-4</v>
      </c>
    </row>
    <row r="104" spans="1:5" x14ac:dyDescent="0.2">
      <c r="A104" s="41">
        <f>Portafolio!F104</f>
        <v>-3.2278053849822972E-3</v>
      </c>
      <c r="B104" s="41">
        <f>Portafolio!G104</f>
        <v>-6.4994939061170766E-3</v>
      </c>
      <c r="C104" s="41">
        <f>Portafolio!H104</f>
        <v>-4.2189451011928857E-3</v>
      </c>
      <c r="D104" s="41">
        <f>Portafolio!I104</f>
        <v>-3.8675610583800438E-2</v>
      </c>
      <c r="E104" s="41">
        <f>Portafolio!J104</f>
        <v>-1.5219798972113684E-2</v>
      </c>
    </row>
    <row r="105" spans="1:5" x14ac:dyDescent="0.2">
      <c r="A105" s="41">
        <f>Portafolio!F105</f>
        <v>1.776525989713901E-3</v>
      </c>
      <c r="B105" s="41">
        <f>Portafolio!G105</f>
        <v>9.6506195124218454E-3</v>
      </c>
      <c r="C105" s="41">
        <f>Portafolio!H105</f>
        <v>-7.3671383000021009E-3</v>
      </c>
      <c r="D105" s="41">
        <f>Portafolio!I105</f>
        <v>1.5286157688589852E-2</v>
      </c>
      <c r="E105" s="41">
        <f>Portafolio!J105</f>
        <v>2.4514514683125523E-3</v>
      </c>
    </row>
    <row r="106" spans="1:5" x14ac:dyDescent="0.2">
      <c r="A106" s="41">
        <f>Portafolio!F106</f>
        <v>-1.2393598825964395E-2</v>
      </c>
      <c r="B106" s="41">
        <f>Portafolio!G106</f>
        <v>-6.6456043485522889E-3</v>
      </c>
      <c r="C106" s="41">
        <f>Portafolio!H106</f>
        <v>-6.2900128628262742E-3</v>
      </c>
      <c r="D106" s="41">
        <f>Portafolio!I106</f>
        <v>-2.4301095699120847E-3</v>
      </c>
      <c r="E106" s="41">
        <f>Portafolio!J106</f>
        <v>-6.2770724136873785E-3</v>
      </c>
    </row>
    <row r="107" spans="1:5" x14ac:dyDescent="0.2">
      <c r="A107" s="41">
        <f>Portafolio!F107</f>
        <v>-5.186893307744119E-3</v>
      </c>
      <c r="B107" s="41">
        <f>Portafolio!G107</f>
        <v>0</v>
      </c>
      <c r="C107" s="41">
        <f>Portafolio!H107</f>
        <v>-5.371937640172391E-3</v>
      </c>
      <c r="D107" s="41">
        <f>Portafolio!I107</f>
        <v>-1.8264811991713004E-3</v>
      </c>
      <c r="E107" s="41">
        <f>Portafolio!J107</f>
        <v>-3.9729829038269698E-3</v>
      </c>
    </row>
    <row r="108" spans="1:5" x14ac:dyDescent="0.2">
      <c r="A108" s="41">
        <f>Portafolio!F108</f>
        <v>3.205143040647615E-2</v>
      </c>
      <c r="B108" s="41">
        <f>Portafolio!G108</f>
        <v>2.8297562882526783E-3</v>
      </c>
      <c r="C108" s="41">
        <f>Portafolio!H108</f>
        <v>1.9731308295413211E-3</v>
      </c>
      <c r="D108" s="41">
        <f>Portafolio!I108</f>
        <v>-6.0961109656987951E-4</v>
      </c>
      <c r="E108" s="41">
        <f>Portafolio!J108</f>
        <v>7.1709388576390986E-3</v>
      </c>
    </row>
    <row r="109" spans="1:5" x14ac:dyDescent="0.2">
      <c r="A109" s="41">
        <f>Portafolio!F109</f>
        <v>1.5413605907075779E-2</v>
      </c>
      <c r="B109" s="41">
        <f>Portafolio!G109</f>
        <v>-5.5003761178523645E-3</v>
      </c>
      <c r="C109" s="41">
        <f>Portafolio!H109</f>
        <v>1.7114591700558776E-2</v>
      </c>
      <c r="D109" s="41">
        <f>Portafolio!I109</f>
        <v>1.6329333065123283E-2</v>
      </c>
      <c r="E109" s="41">
        <f>Portafolio!J109</f>
        <v>1.5598900890331174E-2</v>
      </c>
    </row>
    <row r="110" spans="1:5" x14ac:dyDescent="0.2">
      <c r="A110" s="41">
        <f>Portafolio!F110</f>
        <v>1.2089939794405298E-2</v>
      </c>
      <c r="B110" s="41">
        <f>Portafolio!G110</f>
        <v>-4.3551865509223759E-3</v>
      </c>
      <c r="C110" s="41">
        <f>Portafolio!H110</f>
        <v>-1.1749870658817193E-3</v>
      </c>
      <c r="D110" s="41">
        <f>Portafolio!I110</f>
        <v>7.7681556093607577E-3</v>
      </c>
      <c r="E110" s="41">
        <f>Portafolio!J110</f>
        <v>4.2214622377396375E-3</v>
      </c>
    </row>
    <row r="111" spans="1:5" x14ac:dyDescent="0.2">
      <c r="A111" s="41">
        <f>Portafolio!F111</f>
        <v>6.6312354047433934E-3</v>
      </c>
      <c r="B111" s="41">
        <f>Portafolio!G111</f>
        <v>4.6892664291325829E-3</v>
      </c>
      <c r="C111" s="41">
        <f>Portafolio!H111</f>
        <v>-6.605698786174531E-3</v>
      </c>
      <c r="D111" s="41">
        <f>Portafolio!I111</f>
        <v>2.2949014004003898E-2</v>
      </c>
      <c r="E111" s="41">
        <f>Portafolio!J111</f>
        <v>6.019359605761769E-3</v>
      </c>
    </row>
    <row r="112" spans="1:5" x14ac:dyDescent="0.2">
      <c r="A112" s="41">
        <f>Portafolio!F112</f>
        <v>-3.4900447377881711E-3</v>
      </c>
      <c r="B112" s="41">
        <f>Portafolio!G112</f>
        <v>-1.5830462198802939E-2</v>
      </c>
      <c r="C112" s="41">
        <f>Portafolio!H112</f>
        <v>8.8957289910188905E-3</v>
      </c>
      <c r="D112" s="41">
        <f>Portafolio!I112</f>
        <v>-3.011736741564745E-2</v>
      </c>
      <c r="E112" s="41">
        <f>Portafolio!J112</f>
        <v>-7.1565942102710112E-3</v>
      </c>
    </row>
    <row r="113" spans="1:5" x14ac:dyDescent="0.2">
      <c r="A113" s="41">
        <f>Portafolio!F113</f>
        <v>-1.6980138057580752E-3</v>
      </c>
      <c r="B113" s="41">
        <f>Portafolio!G113</f>
        <v>4.2347552165082781E-3</v>
      </c>
      <c r="C113" s="41">
        <f>Portafolio!H113</f>
        <v>1.4209382167514918E-2</v>
      </c>
      <c r="D113" s="41">
        <f>Portafolio!I113</f>
        <v>2.9535485641168389E-2</v>
      </c>
      <c r="E113" s="41">
        <f>Portafolio!J113</f>
        <v>1.5570910902553053E-2</v>
      </c>
    </row>
    <row r="114" spans="1:5" x14ac:dyDescent="0.2">
      <c r="A114" s="41">
        <f>Portafolio!F114</f>
        <v>-9.053703332614238E-3</v>
      </c>
      <c r="B114" s="41">
        <f>Portafolio!G114</f>
        <v>3.5433502166368901E-3</v>
      </c>
      <c r="C114" s="41">
        <f>Portafolio!H114</f>
        <v>-3.8235737207052796E-3</v>
      </c>
      <c r="D114" s="41">
        <f>Portafolio!I114</f>
        <v>6.382391439619532E-3</v>
      </c>
      <c r="E114" s="41">
        <f>Portafolio!J114</f>
        <v>-1.2758431602761227E-3</v>
      </c>
    </row>
    <row r="115" spans="1:5" x14ac:dyDescent="0.2">
      <c r="A115" s="41">
        <f>Portafolio!F115</f>
        <v>-3.5923582258243084E-3</v>
      </c>
      <c r="B115" s="41">
        <f>Portafolio!G115</f>
        <v>6.045418986824742E-3</v>
      </c>
      <c r="C115" s="41">
        <f>Portafolio!H115</f>
        <v>2.608569026138582E-3</v>
      </c>
      <c r="D115" s="41">
        <f>Portafolio!I115</f>
        <v>-2.3161320398991719E-3</v>
      </c>
      <c r="E115" s="41">
        <f>Portafolio!J115</f>
        <v>-7.4265126993620706E-5</v>
      </c>
    </row>
    <row r="116" spans="1:5" x14ac:dyDescent="0.2">
      <c r="A116" s="41">
        <f>Portafolio!F116</f>
        <v>-1.9433375980611085E-2</v>
      </c>
      <c r="B116" s="41">
        <f>Portafolio!G116</f>
        <v>2.842073474480988E-3</v>
      </c>
      <c r="C116" s="41">
        <f>Portafolio!H116</f>
        <v>2.0287319345977977E-2</v>
      </c>
      <c r="D116" s="41">
        <f>Portafolio!I116</f>
        <v>1.610156507641821E-2</v>
      </c>
      <c r="E116" s="41">
        <f>Portafolio!J116</f>
        <v>1.0308660085380405E-2</v>
      </c>
    </row>
    <row r="117" spans="1:5" x14ac:dyDescent="0.2">
      <c r="A117" s="41">
        <f>Portafolio!F117</f>
        <v>-1.9547375416428876E-2</v>
      </c>
      <c r="B117" s="41">
        <f>Portafolio!G117</f>
        <v>-6.8682608284900979E-3</v>
      </c>
      <c r="C117" s="41">
        <f>Portafolio!H117</f>
        <v>-1.0894867940747696E-2</v>
      </c>
      <c r="D117" s="41">
        <f>Portafolio!I117</f>
        <v>9.08571462661973E-3</v>
      </c>
      <c r="E117" s="41">
        <f>Portafolio!J117</f>
        <v>-6.0153742372202074E-3</v>
      </c>
    </row>
    <row r="118" spans="1:5" x14ac:dyDescent="0.2">
      <c r="A118" s="41">
        <f>Portafolio!F118</f>
        <v>1.3252435087594459E-2</v>
      </c>
      <c r="B118" s="41">
        <f>Portafolio!G118</f>
        <v>2.4737724565590001E-2</v>
      </c>
      <c r="C118" s="41">
        <f>Portafolio!H118</f>
        <v>-3.6197520984293389E-3</v>
      </c>
      <c r="D118" s="41">
        <f>Portafolio!I118</f>
        <v>1.9592162762490182E-2</v>
      </c>
      <c r="E118" s="41">
        <f>Portafolio!J118</f>
        <v>8.3824326595088126E-3</v>
      </c>
    </row>
    <row r="119" spans="1:5" x14ac:dyDescent="0.2">
      <c r="A119" s="41">
        <f>Portafolio!F119</f>
        <v>-5.4198470459970276E-3</v>
      </c>
      <c r="B119" s="41">
        <f>Portafolio!G119</f>
        <v>-7.2416284624734579E-3</v>
      </c>
      <c r="C119" s="41">
        <f>Portafolio!H119</f>
        <v>5.7395664242008678E-3</v>
      </c>
      <c r="D119" s="41">
        <f>Portafolio!I119</f>
        <v>-1.1709175802896356E-2</v>
      </c>
      <c r="E119" s="41">
        <f>Portafolio!J119</f>
        <v>-2.6385457235104919E-3</v>
      </c>
    </row>
    <row r="120" spans="1:5" x14ac:dyDescent="0.2">
      <c r="A120" s="41">
        <f>Portafolio!F120</f>
        <v>9.7984505156412712E-3</v>
      </c>
      <c r="B120" s="41">
        <f>Portafolio!G120</f>
        <v>-8.2933112377348989E-3</v>
      </c>
      <c r="C120" s="41">
        <f>Portafolio!H120</f>
        <v>-1.3171600244696804E-3</v>
      </c>
      <c r="D120" s="41">
        <f>Portafolio!I120</f>
        <v>-5.6243984313423317E-3</v>
      </c>
      <c r="E120" s="41">
        <f>Portafolio!J120</f>
        <v>-7.7469153796365289E-4</v>
      </c>
    </row>
    <row r="121" spans="1:5" x14ac:dyDescent="0.2">
      <c r="A121" s="41">
        <f>Portafolio!F121</f>
        <v>8.5946741458582179E-3</v>
      </c>
      <c r="B121" s="41">
        <f>Portafolio!G121</f>
        <v>-1.6669342296507035E-3</v>
      </c>
      <c r="C121" s="41">
        <f>Portafolio!H121</f>
        <v>3.4324844651034197E-3</v>
      </c>
      <c r="D121" s="41">
        <f>Portafolio!I121</f>
        <v>-6.7910685184317367E-3</v>
      </c>
      <c r="E121" s="41">
        <f>Portafolio!J121</f>
        <v>9.5814517061633235E-4</v>
      </c>
    </row>
    <row r="122" spans="1:5" x14ac:dyDescent="0.2">
      <c r="A122" s="41">
        <f>Portafolio!F122</f>
        <v>5.8094509155742779E-4</v>
      </c>
      <c r="B122" s="41">
        <f>Portafolio!G122</f>
        <v>8.3381444850086286E-4</v>
      </c>
      <c r="C122" s="41">
        <f>Portafolio!H122</f>
        <v>1.8827811992427708E-3</v>
      </c>
      <c r="D122" s="41">
        <f>Portafolio!I122</f>
        <v>-1.6027947235816124E-2</v>
      </c>
      <c r="E122" s="41">
        <f>Portafolio!J122</f>
        <v>-4.1921114467546611E-3</v>
      </c>
    </row>
    <row r="123" spans="1:5" x14ac:dyDescent="0.2">
      <c r="A123" s="41">
        <f>Portafolio!F123</f>
        <v>-5.7713210785359176E-3</v>
      </c>
      <c r="B123" s="41">
        <f>Portafolio!G123</f>
        <v>-2.670619829599635E-3</v>
      </c>
      <c r="C123" s="41">
        <f>Portafolio!H123</f>
        <v>-3.5975477957779409E-3</v>
      </c>
      <c r="D123" s="41">
        <f>Portafolio!I123</f>
        <v>-2.9870396236716779E-2</v>
      </c>
      <c r="E123" s="41">
        <f>Portafolio!J123</f>
        <v>-1.2460627959492699E-2</v>
      </c>
    </row>
    <row r="124" spans="1:5" x14ac:dyDescent="0.2">
      <c r="A124" s="41">
        <f>Portafolio!F124</f>
        <v>4.0856395568765842E-3</v>
      </c>
      <c r="B124" s="41">
        <f>Portafolio!G124</f>
        <v>-4.5230317841640829E-3</v>
      </c>
      <c r="C124" s="41">
        <f>Portafolio!H124</f>
        <v>1.200619285424928E-3</v>
      </c>
      <c r="D124" s="41">
        <f>Portafolio!I124</f>
        <v>1.1883725529783697E-3</v>
      </c>
      <c r="E124" s="41">
        <f>Portafolio!J124</f>
        <v>1.5379715059817237E-3</v>
      </c>
    </row>
    <row r="125" spans="1:5" x14ac:dyDescent="0.2">
      <c r="A125" s="41">
        <f>Portafolio!F125</f>
        <v>-9.0426439389799818E-3</v>
      </c>
      <c r="B125" s="41">
        <f>Portafolio!G125</f>
        <v>2.3477669245357624E-3</v>
      </c>
      <c r="C125" s="41">
        <f>Portafolio!H125</f>
        <v>4.4469325058092328E-3</v>
      </c>
      <c r="D125" s="41">
        <f>Portafolio!I125</f>
        <v>1.0632216336701443E-2</v>
      </c>
      <c r="E125" s="41">
        <f>Portafolio!J125</f>
        <v>3.6659483318481909E-3</v>
      </c>
    </row>
    <row r="126" spans="1:5" x14ac:dyDescent="0.2">
      <c r="A126" s="41">
        <f>Portafolio!F126</f>
        <v>-1.133841763443315E-2</v>
      </c>
      <c r="B126" s="41">
        <f>Portafolio!G126</f>
        <v>-5.8799302773867674E-3</v>
      </c>
      <c r="C126" s="41">
        <f>Portafolio!H126</f>
        <v>-8.7416423305419957E-3</v>
      </c>
      <c r="D126" s="41">
        <f>Portafolio!I126</f>
        <v>-7.075609674194675E-3</v>
      </c>
      <c r="E126" s="41">
        <f>Portafolio!J126</f>
        <v>-8.605408745771443E-3</v>
      </c>
    </row>
    <row r="127" spans="1:5" x14ac:dyDescent="0.2">
      <c r="A127" s="41">
        <f>Portafolio!F127</f>
        <v>-4.8213974030586366E-3</v>
      </c>
      <c r="B127" s="41">
        <f>Portafolio!G127</f>
        <v>-1.0114192349661964E-3</v>
      </c>
      <c r="C127" s="41">
        <f>Portafolio!H127</f>
        <v>1.0105957663276266E-2</v>
      </c>
      <c r="D127" s="41">
        <f>Portafolio!I127</f>
        <v>5.9145856733030231E-4</v>
      </c>
      <c r="E127" s="41">
        <f>Portafolio!J127</f>
        <v>3.6101130568427101E-3</v>
      </c>
    </row>
    <row r="128" spans="1:5" x14ac:dyDescent="0.2">
      <c r="A128" s="41">
        <f>Portafolio!F128</f>
        <v>-1.5759825619922172E-3</v>
      </c>
      <c r="B128" s="41">
        <f>Portafolio!G128</f>
        <v>1.8535876226185115E-3</v>
      </c>
      <c r="C128" s="41">
        <f>Portafolio!H128</f>
        <v>2.1580013672744289E-2</v>
      </c>
      <c r="D128" s="41">
        <f>Portafolio!I128</f>
        <v>1.0588436740846002E-2</v>
      </c>
      <c r="E128" s="41">
        <f>Portafolio!J128</f>
        <v>1.2616390198828775E-2</v>
      </c>
    </row>
    <row r="129" spans="1:5" x14ac:dyDescent="0.2">
      <c r="A129" s="41">
        <f>Portafolio!F129</f>
        <v>-8.4661574423176515E-3</v>
      </c>
      <c r="B129" s="41">
        <f>Portafolio!G129</f>
        <v>-1.6839405150777205E-4</v>
      </c>
      <c r="C129" s="41">
        <f>Portafolio!H129</f>
        <v>-4.6810314347300336E-3</v>
      </c>
      <c r="D129" s="41">
        <f>Portafolio!I129</f>
        <v>-7.0465265167247411E-3</v>
      </c>
      <c r="E129" s="41">
        <f>Portafolio!J129</f>
        <v>-6.0135882698069696E-3</v>
      </c>
    </row>
    <row r="130" spans="1:5" x14ac:dyDescent="0.2">
      <c r="A130" s="41">
        <f>Portafolio!F130</f>
        <v>-4.1223013161664603E-3</v>
      </c>
      <c r="B130" s="41">
        <f>Portafolio!G130</f>
        <v>2.181787938436186E-2</v>
      </c>
      <c r="C130" s="41">
        <f>Portafolio!H130</f>
        <v>3.9023496044056838E-3</v>
      </c>
      <c r="D130" s="41">
        <f>Portafolio!I130</f>
        <v>-3.5419102241213379E-3</v>
      </c>
      <c r="E130" s="41">
        <f>Portafolio!J130</f>
        <v>6.3525156539686939E-4</v>
      </c>
    </row>
    <row r="131" spans="1:5" x14ac:dyDescent="0.2">
      <c r="A131" s="41">
        <f>Portafolio!F131</f>
        <v>4.1772619153831059E-3</v>
      </c>
      <c r="B131" s="41">
        <f>Portafolio!G131</f>
        <v>8.8568526987604264E-3</v>
      </c>
      <c r="C131" s="41">
        <f>Portafolio!H131</f>
        <v>6.4887245296995355E-3</v>
      </c>
      <c r="D131" s="41">
        <f>Portafolio!I131</f>
        <v>5.3082933634442889E-3</v>
      </c>
      <c r="E131" s="41">
        <f>Portafolio!J131</f>
        <v>5.7442633542833087E-3</v>
      </c>
    </row>
    <row r="132" spans="1:5" x14ac:dyDescent="0.2">
      <c r="A132" s="41">
        <f>Portafolio!F132</f>
        <v>1.118116096025438E-2</v>
      </c>
      <c r="B132" s="41">
        <f>Portafolio!G132</f>
        <v>-1.4707357985398316E-3</v>
      </c>
      <c r="C132" s="41">
        <f>Portafolio!H132</f>
        <v>1.1924178761792791E-2</v>
      </c>
      <c r="D132" s="41">
        <f>Portafolio!I132</f>
        <v>-2.4413339458236528E-2</v>
      </c>
      <c r="E132" s="41">
        <f>Portafolio!J132</f>
        <v>-4.8241640002808991E-4</v>
      </c>
    </row>
    <row r="133" spans="1:5" x14ac:dyDescent="0.2">
      <c r="A133" s="41">
        <f>Portafolio!F133</f>
        <v>-1.0084818339197638E-2</v>
      </c>
      <c r="B133" s="41">
        <f>Portafolio!G133</f>
        <v>8.1738858055153973E-4</v>
      </c>
      <c r="C133" s="41">
        <f>Portafolio!H133</f>
        <v>5.0128845481506338E-3</v>
      </c>
      <c r="D133" s="41">
        <f>Portafolio!I133</f>
        <v>1.2578760442407045E-2</v>
      </c>
      <c r="E133" s="41">
        <f>Portafolio!J133</f>
        <v>4.2707165151704609E-3</v>
      </c>
    </row>
    <row r="134" spans="1:5" x14ac:dyDescent="0.2">
      <c r="A134" s="41">
        <f>Portafolio!F134</f>
        <v>-7.479106127821062E-3</v>
      </c>
      <c r="B134" s="41">
        <f>Portafolio!G134</f>
        <v>-8.0388122707836501E-3</v>
      </c>
      <c r="C134" s="41">
        <f>Portafolio!H134</f>
        <v>-3.4300521667624483E-3</v>
      </c>
      <c r="D134" s="41">
        <f>Portafolio!I134</f>
        <v>-1.1976066753339242E-2</v>
      </c>
      <c r="E134" s="41">
        <f>Portafolio!J134</f>
        <v>-7.1796818815519281E-3</v>
      </c>
    </row>
    <row r="135" spans="1:5" x14ac:dyDescent="0.2">
      <c r="A135" s="41">
        <f>Portafolio!F135</f>
        <v>8.0816092470088127E-3</v>
      </c>
      <c r="B135" s="41">
        <f>Portafolio!G135</f>
        <v>-6.1132169466150627E-3</v>
      </c>
      <c r="C135" s="41">
        <f>Portafolio!H135</f>
        <v>4.9073938927271261E-4</v>
      </c>
      <c r="D135" s="41">
        <f>Portafolio!I135</f>
        <v>1.3760308076745754E-2</v>
      </c>
      <c r="E135" s="41">
        <f>Portafolio!J135</f>
        <v>6.0108026375325979E-3</v>
      </c>
    </row>
    <row r="136" spans="1:5" x14ac:dyDescent="0.2">
      <c r="A136" s="41">
        <f>Portafolio!F136</f>
        <v>-6.647496052951337E-3</v>
      </c>
      <c r="B136" s="41">
        <f>Portafolio!G136</f>
        <v>9.9389517455469021E-4</v>
      </c>
      <c r="C136" s="41">
        <f>Portafolio!H136</f>
        <v>5.0566859458387667E-3</v>
      </c>
      <c r="D136" s="41">
        <f>Portafolio!I136</f>
        <v>7.6945269621530249E-3</v>
      </c>
      <c r="E136" s="41">
        <f>Portafolio!J136</f>
        <v>3.4080470197937951E-3</v>
      </c>
    </row>
    <row r="137" spans="1:5" x14ac:dyDescent="0.2">
      <c r="A137" s="41">
        <f>Portafolio!F137</f>
        <v>-3.6999302544279294E-3</v>
      </c>
      <c r="B137" s="41">
        <f>Portafolio!G137</f>
        <v>-6.311315966027564E-3</v>
      </c>
      <c r="C137" s="41">
        <f>Portafolio!H137</f>
        <v>9.0702909341080495E-3</v>
      </c>
      <c r="D137" s="41">
        <f>Portafolio!I137</f>
        <v>-1.7703701935084114E-3</v>
      </c>
      <c r="E137" s="41">
        <f>Portafolio!J137</f>
        <v>2.4028454469607859E-3</v>
      </c>
    </row>
    <row r="138" spans="1:5" x14ac:dyDescent="0.2">
      <c r="A138" s="41">
        <f>Portafolio!F138</f>
        <v>-6.0485955778969338E-3</v>
      </c>
      <c r="B138" s="41">
        <f>Portafolio!G138</f>
        <v>-8.1974383416661724E-3</v>
      </c>
      <c r="C138" s="41">
        <f>Portafolio!H138</f>
        <v>-4.1470699285579005E-3</v>
      </c>
      <c r="D138" s="41">
        <f>Portafolio!I138</f>
        <v>2.9490604228386468E-3</v>
      </c>
      <c r="E138" s="41">
        <f>Portafolio!J138</f>
        <v>-2.4044345191337221E-3</v>
      </c>
    </row>
    <row r="139" spans="1:5" x14ac:dyDescent="0.2">
      <c r="A139" s="41">
        <f>Portafolio!F139</f>
        <v>-2.5708994582135079E-2</v>
      </c>
      <c r="B139" s="41">
        <f>Portafolio!G139</f>
        <v>4.6925289520041878E-3</v>
      </c>
      <c r="C139" s="41">
        <f>Portafolio!H139</f>
        <v>7.4737850456217817E-3</v>
      </c>
      <c r="D139" s="41">
        <f>Portafolio!I139</f>
        <v>-1.0657458514889893E-2</v>
      </c>
      <c r="E139" s="41">
        <f>Portafolio!J139</f>
        <v>-5.0974620049998969E-3</v>
      </c>
    </row>
    <row r="140" spans="1:5" x14ac:dyDescent="0.2">
      <c r="A140" s="41">
        <f>Portafolio!F140</f>
        <v>-2.8853134850884594E-2</v>
      </c>
      <c r="B140" s="41">
        <f>Portafolio!G140</f>
        <v>-4.8605552480539922E-3</v>
      </c>
      <c r="C140" s="41">
        <f>Portafolio!H140</f>
        <v>9.9673658093087422E-3</v>
      </c>
      <c r="D140" s="41">
        <f>Portafolio!I140</f>
        <v>2.1784911671504949E-2</v>
      </c>
      <c r="E140" s="41">
        <f>Portafolio!J140</f>
        <v>5.4328349983613598E-3</v>
      </c>
    </row>
    <row r="141" spans="1:5" x14ac:dyDescent="0.2">
      <c r="A141" s="41">
        <f>Portafolio!F141</f>
        <v>-5.8956789518436912E-3</v>
      </c>
      <c r="B141" s="41">
        <f>Portafolio!G141</f>
        <v>5.0397715508103207E-4</v>
      </c>
      <c r="C141" s="41">
        <f>Portafolio!H141</f>
        <v>5.1841067662975826E-3</v>
      </c>
      <c r="D141" s="41">
        <f>Portafolio!I141</f>
        <v>5.8222055801986279E-4</v>
      </c>
      <c r="E141" s="41">
        <f>Portafolio!J141</f>
        <v>1.3013706418258935E-3</v>
      </c>
    </row>
    <row r="142" spans="1:5" x14ac:dyDescent="0.2">
      <c r="A142" s="41">
        <f>Portafolio!F142</f>
        <v>-7.0975441095678829E-4</v>
      </c>
      <c r="B142" s="41">
        <f>Portafolio!G142</f>
        <v>-1.848914347035491E-3</v>
      </c>
      <c r="C142" s="41">
        <f>Portafolio!H142</f>
        <v>-8.7971014039722271E-3</v>
      </c>
      <c r="D142" s="41">
        <f>Portafolio!I142</f>
        <v>-7.5957392761439417E-3</v>
      </c>
      <c r="E142" s="41">
        <f>Portafolio!J142</f>
        <v>-6.5141749146078601E-3</v>
      </c>
    </row>
    <row r="143" spans="1:5" x14ac:dyDescent="0.2">
      <c r="A143" s="41">
        <f>Portafolio!F143</f>
        <v>1.0184574634208254E-2</v>
      </c>
      <c r="B143" s="41">
        <f>Portafolio!G143</f>
        <v>1.3449371919544843E-3</v>
      </c>
      <c r="C143" s="41">
        <f>Portafolio!H143</f>
        <v>1.8612639482236896E-3</v>
      </c>
      <c r="D143" s="41">
        <f>Portafolio!I143</f>
        <v>8.7592244143747111E-3</v>
      </c>
      <c r="E143" s="41">
        <f>Portafolio!J143</f>
        <v>5.7223787045832183E-3</v>
      </c>
    </row>
    <row r="144" spans="1:5" x14ac:dyDescent="0.2">
      <c r="A144" s="41">
        <f>Portafolio!F144</f>
        <v>1.1762232376596935E-2</v>
      </c>
      <c r="B144" s="41">
        <f>Portafolio!G144</f>
        <v>1.2024245731310248E-2</v>
      </c>
      <c r="C144" s="41">
        <f>Portafolio!H144</f>
        <v>3.7176867835657829E-4</v>
      </c>
      <c r="D144" s="41">
        <f>Portafolio!I144</f>
        <v>7.5296267385311973E-3</v>
      </c>
      <c r="E144" s="41">
        <f>Portafolio!J144</f>
        <v>5.4249516032035304E-3</v>
      </c>
    </row>
    <row r="145" spans="1:5" x14ac:dyDescent="0.2">
      <c r="A145" s="41">
        <f>Portafolio!F145</f>
        <v>2.7746091448219968E-3</v>
      </c>
      <c r="B145" s="41">
        <f>Portafolio!G145</f>
        <v>4.3067844327523246E-3</v>
      </c>
      <c r="C145" s="41">
        <f>Portafolio!H145</f>
        <v>8.1983530120362299E-3</v>
      </c>
      <c r="D145" s="41">
        <f>Portafolio!I145</f>
        <v>-7.5296267385311115E-3</v>
      </c>
      <c r="E145" s="41">
        <f>Portafolio!J145</f>
        <v>1.8892832149732274E-3</v>
      </c>
    </row>
    <row r="146" spans="1:5" x14ac:dyDescent="0.2">
      <c r="A146" s="41">
        <f>Portafolio!F146</f>
        <v>-1.2196574219039144E-2</v>
      </c>
      <c r="B146" s="41">
        <f>Portafolio!G146</f>
        <v>1.0195775101912073E-2</v>
      </c>
      <c r="C146" s="41">
        <f>Portafolio!H146</f>
        <v>8.079352123651724E-3</v>
      </c>
      <c r="D146" s="41">
        <f>Portafolio!I146</f>
        <v>-5.8160336375158385E-4</v>
      </c>
      <c r="E146" s="41">
        <f>Portafolio!J146</f>
        <v>1.3329689280354286E-3</v>
      </c>
    </row>
    <row r="147" spans="1:5" x14ac:dyDescent="0.2">
      <c r="A147" s="41">
        <f>Portafolio!F147</f>
        <v>1.0868104262170121E-2</v>
      </c>
      <c r="B147" s="41">
        <f>Portafolio!G147</f>
        <v>-2.2289265661106588E-3</v>
      </c>
      <c r="C147" s="41">
        <f>Portafolio!H147</f>
        <v>-1.7978656730612674E-2</v>
      </c>
      <c r="D147" s="41">
        <f>Portafolio!I147</f>
        <v>-1.0526393935028697E-2</v>
      </c>
      <c r="E147" s="41">
        <f>Portafolio!J147</f>
        <v>-9.1838570477960242E-3</v>
      </c>
    </row>
    <row r="148" spans="1:5" x14ac:dyDescent="0.2">
      <c r="A148" s="41">
        <f>Portafolio!F148</f>
        <v>-2.1990199647653258E-3</v>
      </c>
      <c r="B148" s="41">
        <f>Portafolio!G148</f>
        <v>-1.0300751202101817E-2</v>
      </c>
      <c r="C148" s="41">
        <f>Portafolio!H148</f>
        <v>1.2319503083121451E-2</v>
      </c>
      <c r="D148" s="41">
        <f>Portafolio!I148</f>
        <v>2.3487728844055851E-3</v>
      </c>
      <c r="E148" s="41">
        <f>Portafolio!J148</f>
        <v>5.288344628770811E-3</v>
      </c>
    </row>
    <row r="149" spans="1:5" x14ac:dyDescent="0.2">
      <c r="A149" s="41">
        <f>Portafolio!F149</f>
        <v>6.3521899768463532E-3</v>
      </c>
      <c r="B149" s="41">
        <f>Portafolio!G149</f>
        <v>4.1663069910752798E-3</v>
      </c>
      <c r="C149" s="41">
        <f>Portafolio!H149</f>
        <v>1.2325227911982373E-2</v>
      </c>
      <c r="D149" s="41">
        <f>Portafolio!I149</f>
        <v>1.455631158926427E-2</v>
      </c>
      <c r="E149" s="41">
        <f>Portafolio!J149</f>
        <v>1.1520549274986875E-2</v>
      </c>
    </row>
    <row r="150" spans="1:5" x14ac:dyDescent="0.2">
      <c r="A150" s="41">
        <f>Portafolio!F150</f>
        <v>1.3493637966671364E-2</v>
      </c>
      <c r="B150" s="41">
        <f>Portafolio!G150</f>
        <v>1.6616478726241028E-3</v>
      </c>
      <c r="C150" s="41">
        <f>Portafolio!H150</f>
        <v>5.8480844115032697E-3</v>
      </c>
      <c r="D150" s="41">
        <f>Portafolio!I150</f>
        <v>-7.5427928711403599E-3</v>
      </c>
      <c r="E150" s="41">
        <f>Portafolio!J150</f>
        <v>2.8851977273495972E-3</v>
      </c>
    </row>
    <row r="151" spans="1:5" x14ac:dyDescent="0.2">
      <c r="A151" s="41">
        <f>Portafolio!F151</f>
        <v>1.4602145308817756E-2</v>
      </c>
      <c r="B151" s="41">
        <f>Portafolio!G151</f>
        <v>8.5965451914703454E-3</v>
      </c>
      <c r="C151" s="41">
        <f>Portafolio!H151</f>
        <v>1.3021806957661381E-2</v>
      </c>
      <c r="D151" s="41">
        <f>Portafolio!I151</f>
        <v>2.3269110502146303E-3</v>
      </c>
      <c r="E151" s="41">
        <f>Portafolio!J151</f>
        <v>9.7091490238554387E-3</v>
      </c>
    </row>
    <row r="152" spans="1:5" x14ac:dyDescent="0.2">
      <c r="A152" s="41">
        <f>Portafolio!F152</f>
        <v>-4.1715613983300662E-2</v>
      </c>
      <c r="B152" s="41">
        <f>Portafolio!G152</f>
        <v>-4.6196894266072042E-3</v>
      </c>
      <c r="C152" s="41">
        <f>Portafolio!H152</f>
        <v>1.3809332358761774E-2</v>
      </c>
      <c r="D152" s="41">
        <f>Portafolio!I152</f>
        <v>-2.9095910236789767E-3</v>
      </c>
      <c r="E152" s="41">
        <f>Portafolio!J152</f>
        <v>-3.399021503757634E-3</v>
      </c>
    </row>
    <row r="153" spans="1:5" x14ac:dyDescent="0.2">
      <c r="A153" s="41">
        <f>Portafolio!F153</f>
        <v>5.2960884338796171E-3</v>
      </c>
      <c r="B153" s="41">
        <f>Portafolio!G153</f>
        <v>3.3072101581254086E-4</v>
      </c>
      <c r="C153" s="41">
        <f>Portafolio!H153</f>
        <v>-1.2333324609694349E-2</v>
      </c>
      <c r="D153" s="41">
        <f>Portafolio!I153</f>
        <v>-1.0544773183150766E-2</v>
      </c>
      <c r="E153" s="41">
        <f>Portafolio!J153</f>
        <v>-7.7257881598648886E-3</v>
      </c>
    </row>
    <row r="154" spans="1:5" x14ac:dyDescent="0.2">
      <c r="A154" s="41">
        <f>Portafolio!F154</f>
        <v>-8.3350523254073824E-3</v>
      </c>
      <c r="B154" s="41">
        <f>Portafolio!G154</f>
        <v>-1.4890065620656438E-3</v>
      </c>
      <c r="C154" s="41">
        <f>Portafolio!H154</f>
        <v>-9.1968412694247506E-3</v>
      </c>
      <c r="D154" s="41">
        <f>Portafolio!I154</f>
        <v>8.2110739967389546E-3</v>
      </c>
      <c r="E154" s="41">
        <f>Portafolio!J154</f>
        <v>-3.0997758442341842E-3</v>
      </c>
    </row>
    <row r="155" spans="1:5" x14ac:dyDescent="0.2">
      <c r="A155" s="41">
        <f>Portafolio!F155</f>
        <v>-6.6948293563426041E-3</v>
      </c>
      <c r="B155" s="41">
        <f>Portafolio!G155</f>
        <v>2.3152310191375206E-3</v>
      </c>
      <c r="C155" s="41">
        <f>Portafolio!H155</f>
        <v>4.6600093568763086E-3</v>
      </c>
      <c r="D155" s="41">
        <f>Portafolio!I155</f>
        <v>3.4985997178958793E-3</v>
      </c>
      <c r="E155" s="41">
        <f>Portafolio!J155</f>
        <v>1.9266764970238747E-3</v>
      </c>
    </row>
    <row r="156" spans="1:5" x14ac:dyDescent="0.2">
      <c r="A156" s="41">
        <f>Portafolio!F156</f>
        <v>2.0990652674622658E-2</v>
      </c>
      <c r="B156" s="41">
        <f>Portafolio!G156</f>
        <v>8.0612064628980545E-3</v>
      </c>
      <c r="C156" s="41">
        <f>Portafolio!H156</f>
        <v>1.9178381247547345E-2</v>
      </c>
      <c r="D156" s="41">
        <f>Portafolio!I156</f>
        <v>2.130803414272742E-2</v>
      </c>
      <c r="E156" s="41">
        <f>Portafolio!J156</f>
        <v>1.9771976007712862E-2</v>
      </c>
    </row>
    <row r="157" spans="1:5" x14ac:dyDescent="0.2">
      <c r="A157" s="41">
        <f>Portafolio!F157</f>
        <v>-1.0615167680639992E-2</v>
      </c>
      <c r="B157" s="41">
        <f>Portafolio!G157</f>
        <v>2.4548076667502516E-3</v>
      </c>
      <c r="C157" s="41">
        <f>Portafolio!H157</f>
        <v>3.9017948330012063E-3</v>
      </c>
      <c r="D157" s="41">
        <f>Portafolio!I157</f>
        <v>2.8449078782690519E-3</v>
      </c>
      <c r="E157" s="41">
        <f>Portafolio!J157</f>
        <v>6.0853637361498478E-4</v>
      </c>
    </row>
    <row r="158" spans="1:5" x14ac:dyDescent="0.2">
      <c r="A158" s="41">
        <f>Portafolio!F158</f>
        <v>-8.4917741718009161E-3</v>
      </c>
      <c r="B158" s="41">
        <f>Portafolio!G158</f>
        <v>-8.2061974569752581E-3</v>
      </c>
      <c r="C158" s="41">
        <f>Portafolio!H158</f>
        <v>-6.8129855912890617E-3</v>
      </c>
      <c r="D158" s="41">
        <f>Portafolio!I158</f>
        <v>-5.697991304405129E-3</v>
      </c>
      <c r="E158" s="41">
        <f>Portafolio!J158</f>
        <v>-6.8451408794689668E-3</v>
      </c>
    </row>
    <row r="159" spans="1:5" x14ac:dyDescent="0.2">
      <c r="A159" s="41">
        <f>Portafolio!F159</f>
        <v>-7.0234473180625914E-3</v>
      </c>
      <c r="B159" s="41">
        <f>Portafolio!G159</f>
        <v>-8.7726750393700287E-3</v>
      </c>
      <c r="C159" s="41">
        <f>Portafolio!H159</f>
        <v>-4.0223368324664339E-4</v>
      </c>
      <c r="D159" s="41">
        <f>Portafolio!I159</f>
        <v>1.1421632595400733E-3</v>
      </c>
      <c r="E159" s="41">
        <f>Portafolio!J159</f>
        <v>-1.5660624475801071E-3</v>
      </c>
    </row>
    <row r="160" spans="1:5" x14ac:dyDescent="0.2">
      <c r="A160" s="41">
        <f>Portafolio!F160</f>
        <v>4.7859728642550272E-3</v>
      </c>
      <c r="B160" s="41">
        <f>Portafolio!G160</f>
        <v>-5.3342326889105063E-3</v>
      </c>
      <c r="C160" s="41">
        <f>Portafolio!H160</f>
        <v>-2.8200016753762752E-3</v>
      </c>
      <c r="D160" s="41">
        <f>Portafolio!I160</f>
        <v>5.12394513644681E-3</v>
      </c>
      <c r="E160" s="41">
        <f>Portafolio!J160</f>
        <v>1.1536595746890201E-3</v>
      </c>
    </row>
    <row r="161" spans="1:5" x14ac:dyDescent="0.2">
      <c r="A161" s="41">
        <f>Portafolio!F161</f>
        <v>-4.9043056684808586E-3</v>
      </c>
      <c r="B161" s="41">
        <f>Portafolio!G161</f>
        <v>-8.8979314726668046E-3</v>
      </c>
      <c r="C161" s="41">
        <f>Portafolio!H161</f>
        <v>-7.637567148412871E-3</v>
      </c>
      <c r="D161" s="41">
        <f>Portafolio!I161</f>
        <v>-2.2740551851044106E-3</v>
      </c>
      <c r="E161" s="41">
        <f>Portafolio!J161</f>
        <v>-5.4155994439799007E-3</v>
      </c>
    </row>
    <row r="162" spans="1:5" x14ac:dyDescent="0.2">
      <c r="A162" s="41">
        <f>Portafolio!F162</f>
        <v>4.4916084303433098E-3</v>
      </c>
      <c r="B162" s="41">
        <f>Portafolio!G162</f>
        <v>3.5350412795235415E-3</v>
      </c>
      <c r="C162" s="41">
        <f>Portafolio!H162</f>
        <v>9.1580546261534317E-3</v>
      </c>
      <c r="D162" s="41">
        <f>Portafolio!I162</f>
        <v>-8.5739149328683574E-3</v>
      </c>
      <c r="E162" s="41">
        <f>Portafolio!J162</f>
        <v>2.2833408245603111E-3</v>
      </c>
    </row>
    <row r="163" spans="1:5" x14ac:dyDescent="0.2">
      <c r="A163" s="41">
        <f>Portafolio!F163</f>
        <v>-6.685740856598745E-3</v>
      </c>
      <c r="B163" s="41">
        <f>Portafolio!G163</f>
        <v>-4.0410882798711488E-3</v>
      </c>
      <c r="C163" s="41">
        <f>Portafolio!H163</f>
        <v>5.202946011474462E-3</v>
      </c>
      <c r="D163" s="41">
        <f>Portafolio!I163</f>
        <v>-9.8068295948848475E-3</v>
      </c>
      <c r="E163" s="41">
        <f>Portafolio!J163</f>
        <v>-2.3818341387223203E-3</v>
      </c>
    </row>
    <row r="164" spans="1:5" x14ac:dyDescent="0.2">
      <c r="A164" s="41">
        <f>Portafolio!F164</f>
        <v>7.2163751807764352E-3</v>
      </c>
      <c r="B164" s="41">
        <f>Portafolio!G164</f>
        <v>7.5637276739742845E-3</v>
      </c>
      <c r="C164" s="41">
        <f>Portafolio!H164</f>
        <v>-6.7235150953914692E-3</v>
      </c>
      <c r="D164" s="41">
        <f>Portafolio!I164</f>
        <v>-4.2513463190354973E-3</v>
      </c>
      <c r="E164" s="41">
        <f>Portafolio!J164</f>
        <v>-2.564760984689371E-3</v>
      </c>
    </row>
    <row r="165" spans="1:5" x14ac:dyDescent="0.2">
      <c r="A165" s="41">
        <f>Portafolio!F165</f>
        <v>-1.120175412492392E-2</v>
      </c>
      <c r="B165" s="41">
        <f>Portafolio!G165</f>
        <v>-1.348640955626019E-2</v>
      </c>
      <c r="C165" s="41">
        <f>Portafolio!H165</f>
        <v>-8.557882737226321E-3</v>
      </c>
      <c r="D165" s="41">
        <f>Portafolio!I165</f>
        <v>-1.0110097057956752E-2</v>
      </c>
      <c r="E165" s="41">
        <f>Portafolio!J165</f>
        <v>-9.7864092446691246E-3</v>
      </c>
    </row>
    <row r="166" spans="1:5" x14ac:dyDescent="0.2">
      <c r="A166" s="41">
        <f>Portafolio!F166</f>
        <v>4.236087617690229E-2</v>
      </c>
      <c r="B166" s="41">
        <f>Portafolio!G166</f>
        <v>2.2039331166826617E-3</v>
      </c>
      <c r="C166" s="41">
        <f>Portafolio!H166</f>
        <v>-2.0473527315899678E-4</v>
      </c>
      <c r="D166" s="41">
        <f>Portafolio!I166</f>
        <v>-1.8703414262897906E-2</v>
      </c>
      <c r="E166" s="41">
        <f>Portafolio!J166</f>
        <v>2.4157821398819264E-3</v>
      </c>
    </row>
    <row r="167" spans="1:5" x14ac:dyDescent="0.2">
      <c r="A167" s="41">
        <f>Portafolio!F167</f>
        <v>8.5896815167550832E-3</v>
      </c>
      <c r="B167" s="41">
        <f>Portafolio!G167</f>
        <v>-1.3125590939175541E-2</v>
      </c>
      <c r="C167" s="41">
        <f>Portafolio!H167</f>
        <v>-6.6864291458487934E-2</v>
      </c>
      <c r="D167" s="41">
        <f>Portafolio!I167</f>
        <v>-6.7217247231749887E-3</v>
      </c>
      <c r="E167" s="41">
        <f>Portafolio!J167</f>
        <v>-3.0246366724337927E-2</v>
      </c>
    </row>
    <row r="168" spans="1:5" x14ac:dyDescent="0.2">
      <c r="A168" s="41">
        <f>Portafolio!F168</f>
        <v>-2.2106106529132866E-2</v>
      </c>
      <c r="B168" s="41">
        <f>Portafolio!G168</f>
        <v>-2.4050333635455131E-3</v>
      </c>
      <c r="C168" s="41">
        <f>Portafolio!H168</f>
        <v>5.4697060967347623E-4</v>
      </c>
      <c r="D168" s="41">
        <f>Portafolio!I168</f>
        <v>-4.3010263731349009E-3</v>
      </c>
      <c r="E168" s="41">
        <f>Portafolio!J168</f>
        <v>-5.6513111627722696E-3</v>
      </c>
    </row>
    <row r="169" spans="1:5" x14ac:dyDescent="0.2">
      <c r="A169" s="41">
        <f>Portafolio!F169</f>
        <v>-1.9353292388622649E-2</v>
      </c>
      <c r="B169" s="41">
        <f>Portafolio!G169</f>
        <v>-1.3769359849297128E-3</v>
      </c>
      <c r="C169" s="41">
        <f>Portafolio!H169</f>
        <v>-1.1493392825475091E-2</v>
      </c>
      <c r="D169" s="41">
        <f>Portafolio!I169</f>
        <v>-9.2793792839827582E-3</v>
      </c>
      <c r="E169" s="41">
        <f>Portafolio!J169</f>
        <v>-1.1933324263826817E-2</v>
      </c>
    </row>
    <row r="170" spans="1:5" x14ac:dyDescent="0.2">
      <c r="A170" s="41">
        <f>Portafolio!F170</f>
        <v>-8.1807529156866562E-3</v>
      </c>
      <c r="B170" s="41">
        <f>Portafolio!G170</f>
        <v>7.7206836858722564E-3</v>
      </c>
      <c r="C170" s="41">
        <f>Portafolio!H170</f>
        <v>-3.9902601949420831E-3</v>
      </c>
      <c r="D170" s="41">
        <f>Portafolio!I170</f>
        <v>1.8628149729069926E-3</v>
      </c>
      <c r="E170" s="41">
        <f>Portafolio!J170</f>
        <v>-2.4608274972705148E-3</v>
      </c>
    </row>
    <row r="171" spans="1:5" x14ac:dyDescent="0.2">
      <c r="A171" s="41">
        <f>Portafolio!F171</f>
        <v>-5.7307029681765223E-3</v>
      </c>
      <c r="B171" s="41">
        <f>Portafolio!G171</f>
        <v>6.8132245978021052E-3</v>
      </c>
      <c r="C171" s="41">
        <f>Portafolio!H171</f>
        <v>6.4760434973849422E-3</v>
      </c>
      <c r="D171" s="41">
        <f>Portafolio!I171</f>
        <v>1.2943127412559438E-2</v>
      </c>
      <c r="E171" s="41">
        <f>Portafolio!J171</f>
        <v>6.141074302354505E-3</v>
      </c>
    </row>
    <row r="172" spans="1:5" x14ac:dyDescent="0.2">
      <c r="A172" s="41">
        <f>Portafolio!F172</f>
        <v>-1.2287828139873455E-2</v>
      </c>
      <c r="B172" s="41">
        <f>Portafolio!G172</f>
        <v>2.1162958107073866E-2</v>
      </c>
      <c r="C172" s="41">
        <f>Portafolio!H172</f>
        <v>2.4793566191605932E-2</v>
      </c>
      <c r="D172" s="41">
        <f>Portafolio!I172</f>
        <v>1.0962394432582713E-2</v>
      </c>
      <c r="E172" s="41">
        <f>Portafolio!J172</f>
        <v>1.2796456943029434E-2</v>
      </c>
    </row>
    <row r="173" spans="1:5" x14ac:dyDescent="0.2">
      <c r="A173" s="41">
        <f>Portafolio!F173</f>
        <v>5.07788929321121E-3</v>
      </c>
      <c r="B173" s="41">
        <f>Portafolio!G173</f>
        <v>6.2956618817539729E-3</v>
      </c>
      <c r="C173" s="41">
        <f>Portafolio!H173</f>
        <v>1.9243130694284457E-2</v>
      </c>
      <c r="D173" s="41">
        <f>Portafolio!I173</f>
        <v>-1.2187931160931781E-2</v>
      </c>
      <c r="E173" s="41">
        <f>Portafolio!J173</f>
        <v>5.7608140379832506E-3</v>
      </c>
    </row>
    <row r="174" spans="1:5" x14ac:dyDescent="0.2">
      <c r="A174" s="41">
        <f>Portafolio!F174</f>
        <v>6.3713730744178647E-3</v>
      </c>
      <c r="B174" s="41">
        <f>Portafolio!G174</f>
        <v>1.4852540987510795E-3</v>
      </c>
      <c r="C174" s="41">
        <f>Portafolio!H174</f>
        <v>1.4310268539026554E-2</v>
      </c>
      <c r="D174" s="41">
        <f>Portafolio!I174</f>
        <v>1.1582000481511069E-2</v>
      </c>
      <c r="E174" s="41">
        <f>Portafolio!J174</f>
        <v>1.1324813505728726E-2</v>
      </c>
    </row>
    <row r="175" spans="1:5" x14ac:dyDescent="0.2">
      <c r="A175" s="41">
        <f>Portafolio!F175</f>
        <v>1.2622341953280228E-2</v>
      </c>
      <c r="B175" s="41">
        <f>Portafolio!G175</f>
        <v>1.4895089026447495E-2</v>
      </c>
      <c r="C175" s="41">
        <f>Portafolio!H175</f>
        <v>4.8803897357337367E-3</v>
      </c>
      <c r="D175" s="41">
        <f>Portafolio!I175</f>
        <v>1.8613569807513386E-2</v>
      </c>
      <c r="E175" s="41">
        <f>Portafolio!J175</f>
        <v>1.1258669061240949E-2</v>
      </c>
    </row>
    <row r="176" spans="1:5" x14ac:dyDescent="0.2">
      <c r="A176" s="41">
        <f>Portafolio!F176</f>
        <v>5.1340934294748482E-3</v>
      </c>
      <c r="B176" s="41">
        <f>Portafolio!G176</f>
        <v>3.082230575187468E-3</v>
      </c>
      <c r="C176" s="41">
        <f>Portafolio!H176</f>
        <v>1.500784386497234E-3</v>
      </c>
      <c r="D176" s="41">
        <f>Portafolio!I176</f>
        <v>-1.377680211997016E-2</v>
      </c>
      <c r="E176" s="41">
        <f>Portafolio!J176</f>
        <v>-2.6343550378729137E-3</v>
      </c>
    </row>
    <row r="177" spans="1:5" x14ac:dyDescent="0.2">
      <c r="A177" s="41">
        <f>Portafolio!F177</f>
        <v>-3.4788581331064421E-3</v>
      </c>
      <c r="B177" s="41">
        <f>Portafolio!G177</f>
        <v>0</v>
      </c>
      <c r="C177" s="41">
        <f>Portafolio!H177</f>
        <v>6.2045885918183598E-4</v>
      </c>
      <c r="D177" s="41">
        <f>Portafolio!I177</f>
        <v>1.020115925682203E-2</v>
      </c>
      <c r="E177" s="41">
        <f>Portafolio!J177</f>
        <v>2.8658700770441805E-3</v>
      </c>
    </row>
    <row r="178" spans="1:5" x14ac:dyDescent="0.2">
      <c r="A178" s="41">
        <f>Portafolio!F178</f>
        <v>2.4505258851654717E-2</v>
      </c>
      <c r="B178" s="41">
        <f>Portafolio!G178</f>
        <v>4.8472846158211921E-3</v>
      </c>
      <c r="C178" s="41">
        <f>Portafolio!H178</f>
        <v>-1.0859387138235847E-3</v>
      </c>
      <c r="D178" s="41">
        <f>Portafolio!I178</f>
        <v>1.5990897700798735E-2</v>
      </c>
      <c r="E178" s="41">
        <f>Portafolio!J178</f>
        <v>9.7610369015713565E-3</v>
      </c>
    </row>
    <row r="179" spans="1:5" x14ac:dyDescent="0.2">
      <c r="A179" s="41">
        <f>Portafolio!F179</f>
        <v>-1.8439790545778333E-2</v>
      </c>
      <c r="B179" s="41">
        <f>Portafolio!G179</f>
        <v>-4.3615431401830369E-3</v>
      </c>
      <c r="C179" s="41">
        <f>Portafolio!H179</f>
        <v>-7.9996022089060346E-3</v>
      </c>
      <c r="D179" s="41">
        <f>Portafolio!I179</f>
        <v>-7.6674124514332052E-3</v>
      </c>
      <c r="E179" s="41">
        <f>Portafolio!J179</f>
        <v>-9.8249133735717059E-3</v>
      </c>
    </row>
    <row r="180" spans="1:5" x14ac:dyDescent="0.2">
      <c r="A180" s="41">
        <f>Portafolio!F180</f>
        <v>-6.0654683058762593E-3</v>
      </c>
      <c r="B180" s="41">
        <f>Portafolio!G180</f>
        <v>2.5869042305606007E-3</v>
      </c>
      <c r="C180" s="41">
        <f>Portafolio!H180</f>
        <v>6.2565312240965142E-4</v>
      </c>
      <c r="D180" s="41">
        <f>Portafolio!I180</f>
        <v>1.7746003431574375E-3</v>
      </c>
      <c r="E180" s="41">
        <f>Portafolio!J180</f>
        <v>-2.5763063477360479E-4</v>
      </c>
    </row>
    <row r="181" spans="1:5" x14ac:dyDescent="0.2">
      <c r="A181" s="41">
        <f>Portafolio!F181</f>
        <v>2.1792612899963495E-2</v>
      </c>
      <c r="B181" s="41">
        <f>Portafolio!G181</f>
        <v>9.683988994642935E-4</v>
      </c>
      <c r="C181" s="41">
        <f>Portafolio!H181</f>
        <v>-1.0429762752333207E-3</v>
      </c>
      <c r="D181" s="41">
        <f>Portafolio!I181</f>
        <v>-5.9277432873759113E-3</v>
      </c>
      <c r="E181" s="41">
        <f>Portafolio!J181</f>
        <v>2.0164309576452869E-3</v>
      </c>
    </row>
    <row r="182" spans="1:5" x14ac:dyDescent="0.2">
      <c r="A182" s="41">
        <f>Portafolio!F182</f>
        <v>5.8095544508652106E-2</v>
      </c>
      <c r="B182" s="41">
        <f>Portafolio!G182</f>
        <v>2.8994529241732746E-3</v>
      </c>
      <c r="C182" s="41">
        <f>Portafolio!H182</f>
        <v>-6.0183515082071516E-3</v>
      </c>
      <c r="D182" s="41">
        <f>Portafolio!I182</f>
        <v>1.7820997373106853E-3</v>
      </c>
      <c r="E182" s="41">
        <f>Portafolio!J182</f>
        <v>9.6391400005362733E-3</v>
      </c>
    </row>
    <row r="183" spans="1:5" x14ac:dyDescent="0.2">
      <c r="A183" s="41">
        <f>Portafolio!F183</f>
        <v>-9.1483674173388676E-3</v>
      </c>
      <c r="B183" s="41">
        <f>Portafolio!G183</f>
        <v>2.8910542328630683E-3</v>
      </c>
      <c r="C183" s="41">
        <f>Portafolio!H183</f>
        <v>7.7907210062601899E-3</v>
      </c>
      <c r="D183" s="41">
        <f>Portafolio!I183</f>
        <v>8.2741716697485573E-3</v>
      </c>
      <c r="E183" s="41">
        <f>Portafolio!J183</f>
        <v>4.3701257264089095E-3</v>
      </c>
    </row>
    <row r="184" spans="1:5" x14ac:dyDescent="0.2">
      <c r="A184" s="41">
        <f>Portafolio!F184</f>
        <v>3.7898712813242458E-3</v>
      </c>
      <c r="B184" s="41">
        <f>Portafolio!G184</f>
        <v>4.3210584019733201E-3</v>
      </c>
      <c r="C184" s="41">
        <f>Portafolio!H184</f>
        <v>-1.3029561227812455E-3</v>
      </c>
      <c r="D184" s="41">
        <f>Portafolio!I184</f>
        <v>5.283244107095986E-3</v>
      </c>
      <c r="E184" s="41">
        <f>Portafolio!J184</f>
        <v>2.0645390083400394E-3</v>
      </c>
    </row>
    <row r="185" spans="1:5" x14ac:dyDescent="0.2">
      <c r="A185" s="41">
        <f>Portafolio!F185</f>
        <v>1.8624377821563668E-3</v>
      </c>
      <c r="B185" s="41">
        <f>Portafolio!G185</f>
        <v>3.666217842342803E-3</v>
      </c>
      <c r="C185" s="41">
        <f>Portafolio!H185</f>
        <v>2.0134915133947339E-2</v>
      </c>
      <c r="D185" s="41">
        <f>Portafolio!I185</f>
        <v>1.7549955781686565E-3</v>
      </c>
      <c r="E185" s="41">
        <f>Portafolio!J185</f>
        <v>9.8964805338732417E-3</v>
      </c>
    </row>
    <row r="186" spans="1:5" x14ac:dyDescent="0.2">
      <c r="A186" s="41">
        <f>Portafolio!F186</f>
        <v>9.9644209184128335E-3</v>
      </c>
      <c r="B186" s="41">
        <f>Portafolio!G186</f>
        <v>4.7729304993157585E-4</v>
      </c>
      <c r="C186" s="41">
        <f>Portafolio!H186</f>
        <v>9.4112742907778765E-3</v>
      </c>
      <c r="D186" s="41">
        <f>Portafolio!I186</f>
        <v>4.0827757174903999E-3</v>
      </c>
      <c r="E186" s="41">
        <f>Portafolio!J186</f>
        <v>7.4393189277554839E-3</v>
      </c>
    </row>
    <row r="187" spans="1:5" x14ac:dyDescent="0.2">
      <c r="A187" s="41">
        <f>Portafolio!F187</f>
        <v>-6.9140777525400921E-3</v>
      </c>
      <c r="B187" s="41">
        <f>Portafolio!G187</f>
        <v>6.0250352963449492E-3</v>
      </c>
      <c r="C187" s="41">
        <f>Portafolio!H187</f>
        <v>6.4097849393042125E-3</v>
      </c>
      <c r="D187" s="41">
        <f>Portafolio!I187</f>
        <v>-5.8223411107649701E-4</v>
      </c>
      <c r="E187" s="41">
        <f>Portafolio!J187</f>
        <v>1.4848421374378694E-3</v>
      </c>
    </row>
    <row r="188" spans="1:5" x14ac:dyDescent="0.2">
      <c r="A188" s="41">
        <f>Portafolio!F188</f>
        <v>1.7491613013872163E-2</v>
      </c>
      <c r="B188" s="41">
        <f>Portafolio!G188</f>
        <v>5.0457831514656758E-3</v>
      </c>
      <c r="C188" s="41">
        <f>Portafolio!H188</f>
        <v>-2.0125493872400897E-4</v>
      </c>
      <c r="D188" s="41">
        <f>Portafolio!I188</f>
        <v>5.2280020464313707E-3</v>
      </c>
      <c r="E188" s="41">
        <f>Portafolio!J188</f>
        <v>5.2894175070424595E-3</v>
      </c>
    </row>
    <row r="189" spans="1:5" x14ac:dyDescent="0.2">
      <c r="A189" s="41">
        <f>Portafolio!F189</f>
        <v>6.1545058292852206E-3</v>
      </c>
      <c r="B189" s="41">
        <f>Portafolio!G189</f>
        <v>-7.578230471947678E-3</v>
      </c>
      <c r="C189" s="41">
        <f>Portafolio!H189</f>
        <v>1.3891880096165623E-2</v>
      </c>
      <c r="D189" s="41">
        <f>Portafolio!I189</f>
        <v>2.3147859350525577E-3</v>
      </c>
      <c r="E189" s="41">
        <f>Portafolio!J189</f>
        <v>7.741590600439551E-3</v>
      </c>
    </row>
    <row r="190" spans="1:5" x14ac:dyDescent="0.2">
      <c r="A190" s="41">
        <f>Portafolio!F190</f>
        <v>1.2143861705092206E-2</v>
      </c>
      <c r="B190" s="41">
        <f>Portafolio!G190</f>
        <v>4.7533860586955039E-4</v>
      </c>
      <c r="C190" s="41">
        <f>Portafolio!H190</f>
        <v>2.9731023414911141E-3</v>
      </c>
      <c r="D190" s="41">
        <f>Portafolio!I190</f>
        <v>1.732579879352201E-3</v>
      </c>
      <c r="E190" s="41">
        <f>Portafolio!J190</f>
        <v>4.2992049997478965E-3</v>
      </c>
    </row>
    <row r="191" spans="1:5" x14ac:dyDescent="0.2">
      <c r="A191" s="41">
        <f>Portafolio!F191</f>
        <v>6.3229391275216771E-4</v>
      </c>
      <c r="B191" s="41">
        <f>Portafolio!G191</f>
        <v>3.0051413878821489E-3</v>
      </c>
      <c r="C191" s="41">
        <f>Portafolio!H191</f>
        <v>1.7796277524522572E-3</v>
      </c>
      <c r="D191" s="41">
        <f>Portafolio!I191</f>
        <v>-1.732579879352136E-3</v>
      </c>
      <c r="E191" s="41">
        <f>Portafolio!J191</f>
        <v>4.690148869109129E-4</v>
      </c>
    </row>
    <row r="192" spans="1:5" x14ac:dyDescent="0.2">
      <c r="A192" s="41">
        <f>Portafolio!F192</f>
        <v>1.5802948487189222E-4</v>
      </c>
      <c r="B192" s="41">
        <f>Portafolio!G192</f>
        <v>-4.5904615610439566E-3</v>
      </c>
      <c r="C192" s="41">
        <f>Portafolio!H192</f>
        <v>1.1393284747523526E-2</v>
      </c>
      <c r="D192" s="41">
        <f>Portafolio!I192</f>
        <v>5.7637472026845571E-3</v>
      </c>
      <c r="E192" s="41">
        <f>Portafolio!J192</f>
        <v>6.6867282502597282E-3</v>
      </c>
    </row>
    <row r="193" spans="1:5" x14ac:dyDescent="0.2">
      <c r="A193" s="41">
        <f>Portafolio!F193</f>
        <v>6.1431644627328542E-3</v>
      </c>
      <c r="B193" s="41">
        <f>Portafolio!G193</f>
        <v>-7.3248867997968373E-3</v>
      </c>
      <c r="C193" s="41">
        <f>Portafolio!H193</f>
        <v>-4.6015528245516947E-2</v>
      </c>
      <c r="D193" s="41">
        <f>Portafolio!I193</f>
        <v>6.8728485226429662E-3</v>
      </c>
      <c r="E193" s="41">
        <f>Portafolio!J193</f>
        <v>-1.6993383491286342E-2</v>
      </c>
    </row>
    <row r="194" spans="1:5" x14ac:dyDescent="0.2">
      <c r="A194" s="41">
        <f>Portafolio!F194</f>
        <v>6.8338906269820778E-3</v>
      </c>
      <c r="B194" s="41">
        <f>Portafolio!G194</f>
        <v>5.4192175886679812E-3</v>
      </c>
      <c r="C194" s="41">
        <f>Portafolio!H194</f>
        <v>1.9944982273812171E-2</v>
      </c>
      <c r="D194" s="41">
        <f>Portafolio!I194</f>
        <v>-1.4372182648414963E-2</v>
      </c>
      <c r="E194" s="41">
        <f>Portafolio!J194</f>
        <v>5.6781425033624287E-3</v>
      </c>
    </row>
    <row r="195" spans="1:5" x14ac:dyDescent="0.2">
      <c r="A195" s="41">
        <f>Portafolio!F195</f>
        <v>-7.5669526869904195E-3</v>
      </c>
      <c r="B195" s="41">
        <f>Portafolio!G195</f>
        <v>1.4295762641888972E-3</v>
      </c>
      <c r="C195" s="41">
        <f>Portafolio!H195</f>
        <v>-6.0830483624738684E-3</v>
      </c>
      <c r="D195" s="41">
        <f>Portafolio!I195</f>
        <v>1.3229934834084765E-2</v>
      </c>
      <c r="E195" s="41">
        <f>Portafolio!J195</f>
        <v>1.524966103229634E-4</v>
      </c>
    </row>
    <row r="196" spans="1:5" x14ac:dyDescent="0.2">
      <c r="A196" s="41">
        <f>Portafolio!F196</f>
        <v>-2.128302424671985E-2</v>
      </c>
      <c r="B196" s="41">
        <f>Portafolio!G196</f>
        <v>-1.454975939193497E-2</v>
      </c>
      <c r="C196" s="41">
        <f>Portafolio!H196</f>
        <v>-7.0339066105817626E-3</v>
      </c>
      <c r="D196" s="41">
        <f>Portafolio!I196</f>
        <v>-1.7157346722541096E-3</v>
      </c>
      <c r="E196" s="41">
        <f>Portafolio!J196</f>
        <v>-8.466960280245097E-3</v>
      </c>
    </row>
    <row r="197" spans="1:5" x14ac:dyDescent="0.2">
      <c r="A197" s="41">
        <f>Portafolio!F197</f>
        <v>1.6452046082168593E-2</v>
      </c>
      <c r="B197" s="41">
        <f>Portafolio!G197</f>
        <v>-1.4505435120728959E-3</v>
      </c>
      <c r="C197" s="41">
        <f>Portafolio!H197</f>
        <v>1.9063546062445577E-2</v>
      </c>
      <c r="D197" s="41">
        <f>Portafolio!I197</f>
        <v>1.7157346722542091E-3</v>
      </c>
      <c r="E197" s="41">
        <f>Portafolio!J197</f>
        <v>1.2114109100863532E-2</v>
      </c>
    </row>
    <row r="198" spans="1:5" x14ac:dyDescent="0.2">
      <c r="A198" s="41">
        <f>Portafolio!F198</f>
        <v>5.2749355993220789E-5</v>
      </c>
      <c r="B198" s="41">
        <f>Portafolio!G198</f>
        <v>-2.907479760967422E-3</v>
      </c>
      <c r="C198" s="41">
        <f>Portafolio!H198</f>
        <v>-6.0468730383955328E-3</v>
      </c>
      <c r="D198" s="41">
        <f>Portafolio!I198</f>
        <v>-1.3229934834084642E-2</v>
      </c>
      <c r="E198" s="41">
        <f>Portafolio!J198</f>
        <v>-7.0179605837380008E-3</v>
      </c>
    </row>
    <row r="199" spans="1:5" x14ac:dyDescent="0.2">
      <c r="A199" s="41">
        <f>Portafolio!F199</f>
        <v>1.5777000232845243E-3</v>
      </c>
      <c r="B199" s="41">
        <f>Portafolio!G199</f>
        <v>-1.9429887302046369E-3</v>
      </c>
      <c r="C199" s="41">
        <f>Portafolio!H199</f>
        <v>-6.99180300416376E-3</v>
      </c>
      <c r="D199" s="41">
        <f>Portafolio!I199</f>
        <v>-8.7235267318123977E-3</v>
      </c>
      <c r="E199" s="41">
        <f>Portafolio!J199</f>
        <v>-5.6356646599645859E-3</v>
      </c>
    </row>
    <row r="200" spans="1:5" x14ac:dyDescent="0.2">
      <c r="A200" s="41">
        <f>Portafolio!F200</f>
        <v>5.2413568168104213E-3</v>
      </c>
      <c r="B200" s="41">
        <f>Portafolio!G200</f>
        <v>4.3664643547632167E-3</v>
      </c>
      <c r="C200" s="41">
        <f>Portafolio!H200</f>
        <v>6.1393658971166812E-3</v>
      </c>
      <c r="D200" s="41">
        <f>Portafolio!I200</f>
        <v>2.8787286268958209E-2</v>
      </c>
      <c r="E200" s="41">
        <f>Portafolio!J200</f>
        <v>1.3187324385848765E-2</v>
      </c>
    </row>
    <row r="201" spans="1:5" x14ac:dyDescent="0.2">
      <c r="A201" s="41">
        <f>Portafolio!F201</f>
        <v>5.0060225548219234E-3</v>
      </c>
      <c r="B201" s="41">
        <f>Portafolio!G201</f>
        <v>1.537262663889283E-2</v>
      </c>
      <c r="C201" s="41">
        <f>Portafolio!H201</f>
        <v>1.6419907185533298E-2</v>
      </c>
      <c r="D201" s="41">
        <f>Portafolio!I201</f>
        <v>3.3485178750257492E-2</v>
      </c>
      <c r="E201" s="41">
        <f>Portafolio!J201</f>
        <v>1.9602194943886292E-2</v>
      </c>
    </row>
    <row r="202" spans="1:5" x14ac:dyDescent="0.2">
      <c r="A202" s="41">
        <f>Portafolio!F202</f>
        <v>9.2161623911649945E-3</v>
      </c>
      <c r="B202" s="41">
        <f>Portafolio!G202</f>
        <v>0</v>
      </c>
      <c r="C202" s="41">
        <f>Portafolio!H202</f>
        <v>-4.0053977401266682E-3</v>
      </c>
      <c r="D202" s="41">
        <f>Portafolio!I202</f>
        <v>-1.1592695309031092E-2</v>
      </c>
      <c r="E202" s="41">
        <f>Portafolio!J202</f>
        <v>-3.6518516749706404E-3</v>
      </c>
    </row>
    <row r="203" spans="1:5" x14ac:dyDescent="0.2">
      <c r="A203" s="41">
        <f>Portafolio!F203</f>
        <v>1.6479275844381797E-3</v>
      </c>
      <c r="B203" s="41">
        <f>Portafolio!G203</f>
        <v>1.5922092232906072E-2</v>
      </c>
      <c r="C203" s="41">
        <f>Portafolio!H203</f>
        <v>-1.3267754604042227E-2</v>
      </c>
      <c r="D203" s="41">
        <f>Portafolio!I203</f>
        <v>1.8702397437831947E-2</v>
      </c>
      <c r="E203" s="41">
        <f>Portafolio!J203</f>
        <v>1.2012027507080619E-3</v>
      </c>
    </row>
    <row r="204" spans="1:5" x14ac:dyDescent="0.2">
      <c r="A204" s="41">
        <f>Portafolio!F204</f>
        <v>7.7904722351031866E-3</v>
      </c>
      <c r="B204" s="41">
        <f>Portafolio!G204</f>
        <v>-3.1287359214828865E-4</v>
      </c>
      <c r="C204" s="41">
        <f>Portafolio!H204</f>
        <v>-9.5859227382981537E-3</v>
      </c>
      <c r="D204" s="41">
        <f>Portafolio!I204</f>
        <v>-2.7285349047250127E-3</v>
      </c>
      <c r="E204" s="41">
        <f>Portafolio!J204</f>
        <v>-3.5336314810909385E-3</v>
      </c>
    </row>
    <row r="205" spans="1:5" x14ac:dyDescent="0.2">
      <c r="A205" s="41">
        <f>Portafolio!F205</f>
        <v>-7.121864915451831E-3</v>
      </c>
      <c r="B205" s="41">
        <f>Portafolio!G205</f>
        <v>3.5918669636785371E-3</v>
      </c>
      <c r="C205" s="41">
        <f>Portafolio!H205</f>
        <v>-1.7757906147097171E-3</v>
      </c>
      <c r="D205" s="41">
        <f>Portafolio!I205</f>
        <v>-1.0934242170624129E-3</v>
      </c>
      <c r="E205" s="41">
        <f>Portafolio!J205</f>
        <v>-2.4022431861128344E-3</v>
      </c>
    </row>
    <row r="206" spans="1:5" x14ac:dyDescent="0.2">
      <c r="A206" s="41">
        <f>Portafolio!F206</f>
        <v>1.2315935510636394E-2</v>
      </c>
      <c r="B206" s="41">
        <f>Portafolio!G206</f>
        <v>-3.748245865629597E-3</v>
      </c>
      <c r="C206" s="41">
        <f>Portafolio!H206</f>
        <v>1.5320518573155651E-2</v>
      </c>
      <c r="D206" s="41">
        <f>Portafolio!I206</f>
        <v>-9.8955551720559757E-3</v>
      </c>
      <c r="E206" s="41">
        <f>Portafolio!J206</f>
        <v>5.8158408020062904E-3</v>
      </c>
    </row>
    <row r="207" spans="1:5" x14ac:dyDescent="0.2">
      <c r="A207" s="41">
        <f>Portafolio!F207</f>
        <v>-1.9333515601065478E-2</v>
      </c>
      <c r="B207" s="41">
        <f>Portafolio!G207</f>
        <v>-5.0196004719991047E-3</v>
      </c>
      <c r="C207" s="41">
        <f>Portafolio!H207</f>
        <v>-1.7018402117130581E-3</v>
      </c>
      <c r="D207" s="41">
        <f>Portafolio!I207</f>
        <v>-1.3348415321843266E-2</v>
      </c>
      <c r="E207" s="41">
        <f>Portafolio!J207</f>
        <v>-9.1053487940438455E-3</v>
      </c>
    </row>
    <row r="208" spans="1:5" x14ac:dyDescent="0.2">
      <c r="A208" s="41">
        <f>Portafolio!F208</f>
        <v>7.0131414104475584E-2</v>
      </c>
      <c r="B208" s="41">
        <f>Portafolio!G208</f>
        <v>-6.2929080548693986E-4</v>
      </c>
      <c r="C208" s="41">
        <f>Portafolio!H208</f>
        <v>-2.6653349995766375E-2</v>
      </c>
      <c r="D208" s="41">
        <f>Portafolio!I208</f>
        <v>0</v>
      </c>
      <c r="E208" s="41">
        <f>Portafolio!J208</f>
        <v>2.2909531779188013E-3</v>
      </c>
    </row>
    <row r="209" spans="1:5" x14ac:dyDescent="0.2">
      <c r="A209" s="41">
        <f>Portafolio!F209</f>
        <v>2.8177683832117249E-2</v>
      </c>
      <c r="B209" s="41">
        <f>Portafolio!G209</f>
        <v>-1.0598781521427382E-2</v>
      </c>
      <c r="C209" s="41">
        <f>Portafolio!H209</f>
        <v>-1.4667664855327797E-2</v>
      </c>
      <c r="D209" s="41">
        <f>Portafolio!I209</f>
        <v>-1.4096584264906203E-2</v>
      </c>
      <c r="E209" s="41">
        <f>Portafolio!J209</f>
        <v>-5.7774659162913196E-3</v>
      </c>
    </row>
    <row r="210" spans="1:5" x14ac:dyDescent="0.2">
      <c r="A210" s="41">
        <f>Portafolio!F210</f>
        <v>5.4761020107099078E-3</v>
      </c>
      <c r="B210" s="41">
        <f>Portafolio!G210</f>
        <v>1.7478507559406556E-3</v>
      </c>
      <c r="C210" s="41">
        <f>Portafolio!H210</f>
        <v>1.1059628683795456E-2</v>
      </c>
      <c r="D210" s="41">
        <f>Portafolio!I210</f>
        <v>3.4012621492683047E-3</v>
      </c>
      <c r="E210" s="41">
        <f>Portafolio!J210</f>
        <v>7.0981682186605326E-3</v>
      </c>
    </row>
    <row r="211" spans="1:5" x14ac:dyDescent="0.2">
      <c r="A211" s="41">
        <f>Portafolio!F211</f>
        <v>-8.2019263390725322E-3</v>
      </c>
      <c r="B211" s="41">
        <f>Portafolio!G211</f>
        <v>7.1958738958610062E-4</v>
      </c>
      <c r="C211" s="41">
        <f>Portafolio!H211</f>
        <v>6.1937429460877716E-4</v>
      </c>
      <c r="D211" s="41">
        <f>Portafolio!I211</f>
        <v>-1.6992713126116508E-3</v>
      </c>
      <c r="E211" s="41">
        <f>Portafolio!J211</f>
        <v>-1.8820950362061547E-3</v>
      </c>
    </row>
    <row r="212" spans="1:5" x14ac:dyDescent="0.2">
      <c r="A212" s="41">
        <f>Portafolio!F212</f>
        <v>1.948047725735666E-2</v>
      </c>
      <c r="B212" s="41">
        <f>Portafolio!G212</f>
        <v>1.1184790032108326E-3</v>
      </c>
      <c r="C212" s="41">
        <f>Portafolio!H212</f>
        <v>6.1735082056717516E-3</v>
      </c>
      <c r="D212" s="41">
        <f>Portafolio!I212</f>
        <v>1.6992713126115697E-3</v>
      </c>
      <c r="E212" s="41">
        <f>Portafolio!J212</f>
        <v>7.177393023667638E-3</v>
      </c>
    </row>
    <row r="213" spans="1:5" x14ac:dyDescent="0.2">
      <c r="A213" s="41">
        <f>Portafolio!F213</f>
        <v>-1.1045270681009117E-2</v>
      </c>
      <c r="B213" s="41">
        <f>Portafolio!G213</f>
        <v>1.5971257518978638E-4</v>
      </c>
      <c r="C213" s="41">
        <f>Portafolio!H213</f>
        <v>1.030672096955205E-2</v>
      </c>
      <c r="D213" s="41">
        <f>Portafolio!I213</f>
        <v>2.1277351283956945E-2</v>
      </c>
      <c r="E213" s="41">
        <f>Portafolio!J213</f>
        <v>9.1722328513741559E-3</v>
      </c>
    </row>
    <row r="214" spans="1:5" x14ac:dyDescent="0.2">
      <c r="A214" s="41">
        <f>Portafolio!F214</f>
        <v>-2.1747631659808291E-2</v>
      </c>
      <c r="B214" s="41">
        <f>Portafolio!G214</f>
        <v>-7.2110078735026766E-3</v>
      </c>
      <c r="C214" s="41">
        <f>Portafolio!H214</f>
        <v>8.4414315435738397E-3</v>
      </c>
      <c r="D214" s="41">
        <f>Portafolio!I214</f>
        <v>3.3186565462668526E-3</v>
      </c>
      <c r="E214" s="41">
        <f>Portafolio!J214</f>
        <v>1.3384272536615029E-4</v>
      </c>
    </row>
    <row r="215" spans="1:5" x14ac:dyDescent="0.2">
      <c r="A215" s="41">
        <f>Portafolio!F215</f>
        <v>-1.0499345697948081E-2</v>
      </c>
      <c r="B215" s="41">
        <f>Portafolio!G215</f>
        <v>9.443847698832648E-3</v>
      </c>
      <c r="C215" s="41">
        <f>Portafolio!H215</f>
        <v>-1.2001025271443897E-2</v>
      </c>
      <c r="D215" s="41">
        <f>Portafolio!I215</f>
        <v>1.588635415691966E-2</v>
      </c>
      <c r="E215" s="41">
        <f>Portafolio!J215</f>
        <v>-1.8379174021991868E-3</v>
      </c>
    </row>
    <row r="216" spans="1:5" x14ac:dyDescent="0.2">
      <c r="A216" s="41">
        <f>Portafolio!F216</f>
        <v>3.1277001097442104E-3</v>
      </c>
      <c r="B216" s="41">
        <f>Portafolio!G216</f>
        <v>1.8936986764933515E-2</v>
      </c>
      <c r="C216" s="41">
        <f>Portafolio!H216</f>
        <v>1.305751761044515E-2</v>
      </c>
      <c r="D216" s="41">
        <f>Portafolio!I216</f>
        <v>1.3495526138129172E-2</v>
      </c>
      <c r="E216" s="41">
        <f>Portafolio!J216</f>
        <v>1.1459575011257142E-2</v>
      </c>
    </row>
    <row r="217" spans="1:5" x14ac:dyDescent="0.2">
      <c r="A217" s="41">
        <f>Portafolio!F217</f>
        <v>4.4582669163491413E-3</v>
      </c>
      <c r="B217" s="41">
        <f>Portafolio!G217</f>
        <v>-2.0342859528205111E-3</v>
      </c>
      <c r="C217" s="41">
        <f>Portafolio!H217</f>
        <v>-4.0810762745116238E-3</v>
      </c>
      <c r="D217" s="41">
        <f>Portafolio!I217</f>
        <v>2.1425562712271934E-3</v>
      </c>
      <c r="E217" s="41">
        <f>Portafolio!J217</f>
        <v>-2.8956150755267136E-4</v>
      </c>
    </row>
    <row r="218" spans="1:5" x14ac:dyDescent="0.2">
      <c r="A218" s="41">
        <f>Portafolio!F218</f>
        <v>1.9796003669469535E-2</v>
      </c>
      <c r="B218" s="41">
        <f>Portafolio!G218</f>
        <v>3.2841220395962312E-3</v>
      </c>
      <c r="C218" s="41">
        <f>Portafolio!H218</f>
        <v>-3.2364976607338002E-3</v>
      </c>
      <c r="D218" s="41">
        <f>Portafolio!I218</f>
        <v>3.738273476931629E-3</v>
      </c>
      <c r="E218" s="41">
        <f>Portafolio!J218</f>
        <v>3.8686009565867142E-3</v>
      </c>
    </row>
    <row r="219" spans="1:5" x14ac:dyDescent="0.2">
      <c r="A219" s="41">
        <f>Portafolio!F219</f>
        <v>3.9780687953256729E-3</v>
      </c>
      <c r="B219" s="41">
        <f>Portafolio!G219</f>
        <v>-2.1882315189594016E-3</v>
      </c>
      <c r="C219" s="41">
        <f>Portafolio!H219</f>
        <v>8.7746980951394233E-3</v>
      </c>
      <c r="D219" s="41">
        <f>Portafolio!I219</f>
        <v>-5.3329250387106324E-4</v>
      </c>
      <c r="E219" s="41">
        <f>Portafolio!J219</f>
        <v>4.3709834778213018E-3</v>
      </c>
    </row>
    <row r="220" spans="1:5" x14ac:dyDescent="0.2">
      <c r="A220" s="41">
        <f>Portafolio!F220</f>
        <v>-1.6387734624486144E-2</v>
      </c>
      <c r="B220" s="41">
        <f>Portafolio!G220</f>
        <v>-4.0764872369371159E-3</v>
      </c>
      <c r="C220" s="41">
        <f>Portafolio!H220</f>
        <v>1.5395245178859948E-2</v>
      </c>
      <c r="D220" s="41">
        <f>Portafolio!I220</f>
        <v>1.901802869604308E-2</v>
      </c>
      <c r="E220" s="41">
        <f>Portafolio!J220</f>
        <v>9.432646958843896E-3</v>
      </c>
    </row>
    <row r="221" spans="1:5" x14ac:dyDescent="0.2">
      <c r="A221" s="41">
        <f>Portafolio!F221</f>
        <v>2.8689111628198698E-2</v>
      </c>
      <c r="B221" s="41">
        <f>Portafolio!G221</f>
        <v>-5.8300487686362692E-3</v>
      </c>
      <c r="C221" s="41">
        <f>Portafolio!H221</f>
        <v>1.5648710168294964E-2</v>
      </c>
      <c r="D221" s="41">
        <f>Portafolio!I221</f>
        <v>-6.8259836239331134E-3</v>
      </c>
      <c r="E221" s="41">
        <f>Portafolio!J221</f>
        <v>1.0127250857668788E-2</v>
      </c>
    </row>
    <row r="222" spans="1:5" x14ac:dyDescent="0.2">
      <c r="A222" s="41">
        <f>Portafolio!F222</f>
        <v>1.6109449297697549E-2</v>
      </c>
      <c r="B222" s="41">
        <f>Portafolio!G222</f>
        <v>-2.0564271894918324E-3</v>
      </c>
      <c r="C222" s="41">
        <f>Portafolio!H222</f>
        <v>1.6317826996333985E-2</v>
      </c>
      <c r="D222" s="41">
        <f>Portafolio!I222</f>
        <v>-8.4656033871456007E-3</v>
      </c>
      <c r="E222" s="41">
        <f>Portafolio!J222</f>
        <v>7.5382938199312632E-3</v>
      </c>
    </row>
    <row r="223" spans="1:5" x14ac:dyDescent="0.2">
      <c r="A223" s="41">
        <f>Portafolio!F223</f>
        <v>5.7942259479230023E-3</v>
      </c>
      <c r="B223" s="41">
        <f>Portafolio!G223</f>
        <v>2.8463016418229037E-3</v>
      </c>
      <c r="C223" s="41">
        <f>Portafolio!H223</f>
        <v>-6.7059033946733737E-4</v>
      </c>
      <c r="D223" s="41">
        <f>Portafolio!I223</f>
        <v>-7.466713020734231E-3</v>
      </c>
      <c r="E223" s="41">
        <f>Portafolio!J223</f>
        <v>-1.4287613508683536E-3</v>
      </c>
    </row>
    <row r="224" spans="1:5" x14ac:dyDescent="0.2">
      <c r="A224" s="41">
        <f>Portafolio!F224</f>
        <v>2.1389960415288217E-2</v>
      </c>
      <c r="B224" s="41">
        <f>Portafolio!G224</f>
        <v>6.7668210053826762E-3</v>
      </c>
      <c r="C224" s="41">
        <f>Portafolio!H224</f>
        <v>-1.3339105875401823E-2</v>
      </c>
      <c r="D224" s="41">
        <f>Portafolio!I224</f>
        <v>4.8064098657813409E-3</v>
      </c>
      <c r="E224" s="41">
        <f>Portafolio!J224</f>
        <v>2.524626795931211E-4</v>
      </c>
    </row>
    <row r="225" spans="1:5" x14ac:dyDescent="0.2">
      <c r="A225" s="41">
        <f>Portafolio!F225</f>
        <v>6.5176077697273217E-3</v>
      </c>
      <c r="B225" s="41">
        <f>Portafolio!G225</f>
        <v>-1.2626414888283227E-2</v>
      </c>
      <c r="C225" s="41">
        <f>Portafolio!H225</f>
        <v>1.8538643632364745E-3</v>
      </c>
      <c r="D225" s="41">
        <f>Portafolio!I225</f>
        <v>2.1287652308458159E-3</v>
      </c>
      <c r="E225" s="41">
        <f>Portafolio!J225</f>
        <v>2.2806921195845722E-3</v>
      </c>
    </row>
    <row r="226" spans="1:5" x14ac:dyDescent="0.2">
      <c r="A226" s="41">
        <f>Portafolio!F226</f>
        <v>3.7677515857849927E-3</v>
      </c>
      <c r="B226" s="41">
        <f>Portafolio!G226</f>
        <v>-4.2976588916777241E-3</v>
      </c>
      <c r="C226" s="41">
        <f>Portafolio!H226</f>
        <v>1.1918779573079451E-2</v>
      </c>
      <c r="D226" s="41">
        <f>Portafolio!I226</f>
        <v>-5.3176661708070883E-4</v>
      </c>
      <c r="E226" s="41">
        <f>Portafolio!J226</f>
        <v>5.6190817336279212E-3</v>
      </c>
    </row>
    <row r="227" spans="1:5" x14ac:dyDescent="0.2">
      <c r="A227" s="41">
        <f>Portafolio!F227</f>
        <v>1.8628964806476703E-2</v>
      </c>
      <c r="B227" s="41">
        <f>Portafolio!G227</f>
        <v>2.2307689124128954E-3</v>
      </c>
      <c r="C227" s="41">
        <f>Portafolio!H227</f>
        <v>8.1841949890559102E-4</v>
      </c>
      <c r="D227" s="41">
        <f>Portafolio!I227</f>
        <v>1.1701116052050159E-2</v>
      </c>
      <c r="E227" s="41">
        <f>Portafolio!J227</f>
        <v>7.9335707443179103E-3</v>
      </c>
    </row>
    <row r="228" spans="1:5" x14ac:dyDescent="0.2">
      <c r="A228" s="41">
        <f>Portafolio!F228</f>
        <v>-2.3494672238777499E-2</v>
      </c>
      <c r="B228" s="41">
        <f>Portafolio!G228</f>
        <v>4.2880396046633875E-3</v>
      </c>
      <c r="C228" s="41">
        <f>Portafolio!H228</f>
        <v>-1.6857607845247413E-3</v>
      </c>
      <c r="D228" s="41">
        <f>Portafolio!I228</f>
        <v>6.3830534173032645E-3</v>
      </c>
      <c r="E228" s="41">
        <f>Portafolio!J228</f>
        <v>-3.1882183674978876E-3</v>
      </c>
    </row>
    <row r="229" spans="1:5" x14ac:dyDescent="0.2">
      <c r="A229" s="41">
        <f>Portafolio!F229</f>
        <v>1.2966442042243119E-2</v>
      </c>
      <c r="B229" s="41">
        <f>Portafolio!G229</f>
        <v>9.4638404252588466E-3</v>
      </c>
      <c r="C229" s="41">
        <f>Portafolio!H229</f>
        <v>-1.2173069187035165E-2</v>
      </c>
      <c r="D229" s="41">
        <f>Portafolio!I229</f>
        <v>-2.6547400778527642E-3</v>
      </c>
      <c r="E229" s="41">
        <f>Portafolio!J229</f>
        <v>-3.2108914361595976E-3</v>
      </c>
    </row>
    <row r="230" spans="1:5" x14ac:dyDescent="0.2">
      <c r="A230" s="41">
        <f>Portafolio!F230</f>
        <v>1.6604708169325119E-2</v>
      </c>
      <c r="B230" s="41">
        <f>Portafolio!G230</f>
        <v>-4.563000564764429E-3</v>
      </c>
      <c r="C230" s="41">
        <f>Portafolio!H230</f>
        <v>2.4628348767179134E-2</v>
      </c>
      <c r="D230" s="41">
        <f>Portafolio!I230</f>
        <v>-1.2302856764034255E-2</v>
      </c>
      <c r="E230" s="41">
        <f>Portafolio!J230</f>
        <v>9.9341262330881665E-3</v>
      </c>
    </row>
    <row r="231" spans="1:5" x14ac:dyDescent="0.2">
      <c r="A231" s="41">
        <f>Portafolio!F231</f>
        <v>1.7902506232981147E-3</v>
      </c>
      <c r="B231" s="41">
        <f>Portafolio!G231</f>
        <v>1.3471334993176645E-2</v>
      </c>
      <c r="C231" s="41">
        <f>Portafolio!H231</f>
        <v>1.6853100357796223E-2</v>
      </c>
      <c r="D231" s="41">
        <f>Portafolio!I231</f>
        <v>1.4427180508327499E-2</v>
      </c>
      <c r="E231" s="41">
        <f>Portafolio!J231</f>
        <v>1.2930786652298042E-2</v>
      </c>
    </row>
    <row r="232" spans="1:5" x14ac:dyDescent="0.2">
      <c r="A232" s="41">
        <f>Portafolio!F232</f>
        <v>-2.5621428783056767E-2</v>
      </c>
      <c r="B232" s="41">
        <f>Portafolio!G232</f>
        <v>1.4519903364922418E-2</v>
      </c>
      <c r="C232" s="41">
        <f>Portafolio!H232</f>
        <v>1.5099360369527649E-2</v>
      </c>
      <c r="D232" s="41">
        <f>Portafolio!I232</f>
        <v>1.631185864869468E-2</v>
      </c>
      <c r="E232" s="41">
        <f>Portafolio!J232</f>
        <v>7.3499755161991831E-3</v>
      </c>
    </row>
    <row r="233" spans="1:5" x14ac:dyDescent="0.2">
      <c r="A233" s="41">
        <f>Portafolio!F233</f>
        <v>-2.074860964039351E-2</v>
      </c>
      <c r="B233" s="41">
        <f>Portafolio!G233</f>
        <v>-3.067024540397419E-4</v>
      </c>
      <c r="C233" s="41">
        <f>Portafolio!H233</f>
        <v>-3.2285803587666854E-2</v>
      </c>
      <c r="D233" s="41">
        <f>Portafolio!I233</f>
        <v>-5.2205691605959625E-4</v>
      </c>
      <c r="E233" s="41">
        <f>Portafolio!J233</f>
        <v>-1.8442864318895778E-2</v>
      </c>
    </row>
    <row r="234" spans="1:5" x14ac:dyDescent="0.2">
      <c r="A234" s="41">
        <f>Portafolio!F234</f>
        <v>5.7973336916425204E-4</v>
      </c>
      <c r="B234" s="41">
        <f>Portafolio!G234</f>
        <v>1.5327868988235308E-3</v>
      </c>
      <c r="C234" s="41">
        <f>Portafolio!H234</f>
        <v>-9.5291127080258486E-4</v>
      </c>
      <c r="D234" s="41">
        <f>Portafolio!I234</f>
        <v>-1.5677557021459298E-3</v>
      </c>
      <c r="E234" s="41">
        <f>Portafolio!J234</f>
        <v>-7.4407325693876371E-4</v>
      </c>
    </row>
    <row r="235" spans="1:5" x14ac:dyDescent="0.2">
      <c r="A235" s="41">
        <f>Portafolio!F235</f>
        <v>-1.5614861566389346E-3</v>
      </c>
      <c r="B235" s="41">
        <f>Portafolio!G235</f>
        <v>-7.9964136377382936E-3</v>
      </c>
      <c r="C235" s="41">
        <f>Portafolio!H235</f>
        <v>2.3806134291241197E-3</v>
      </c>
      <c r="D235" s="41">
        <f>Portafolio!I235</f>
        <v>-3.0265224779422156E-2</v>
      </c>
      <c r="E235" s="41">
        <f>Portafolio!J235</f>
        <v>-9.3505627056765638E-3</v>
      </c>
    </row>
    <row r="236" spans="1:5" x14ac:dyDescent="0.2">
      <c r="A236" s="41">
        <f>Portafolio!F236</f>
        <v>4.6772962161707281E-3</v>
      </c>
      <c r="B236" s="41">
        <f>Portafolio!G236</f>
        <v>2.9291935822486634E-3</v>
      </c>
      <c r="C236" s="41">
        <f>Portafolio!H236</f>
        <v>2.3776420016967354E-4</v>
      </c>
      <c r="D236" s="41">
        <f>Portafolio!I236</f>
        <v>-1.8498896320453713E-2</v>
      </c>
      <c r="E236" s="41">
        <f>Portafolio!J236</f>
        <v>-4.8061966522968758E-3</v>
      </c>
    </row>
    <row r="237" spans="1:5" x14ac:dyDescent="0.2">
      <c r="A237" s="41">
        <f>Portafolio!F237</f>
        <v>-2.9175802186708118E-2</v>
      </c>
      <c r="B237" s="41">
        <f>Portafolio!G237</f>
        <v>1.3000091618175304E-2</v>
      </c>
      <c r="C237" s="41">
        <f>Portafolio!H237</f>
        <v>-8.307151793191617E-3</v>
      </c>
      <c r="D237" s="41">
        <f>Portafolio!I237</f>
        <v>5.0853933718081321E-2</v>
      </c>
      <c r="E237" s="41">
        <f>Portafolio!J237</f>
        <v>7.4708774925135567E-3</v>
      </c>
    </row>
    <row r="238" spans="1:5" x14ac:dyDescent="0.2">
      <c r="A238" s="41">
        <f>Portafolio!F238</f>
        <v>-4.8161042901711899E-3</v>
      </c>
      <c r="B238" s="41">
        <f>Portafolio!G238</f>
        <v>3.943013964285107E-3</v>
      </c>
      <c r="C238" s="41">
        <f>Portafolio!H238</f>
        <v>3.8346355812063522E-4</v>
      </c>
      <c r="D238" s="41">
        <f>Portafolio!I238</f>
        <v>1.564589587366755E-3</v>
      </c>
      <c r="E238" s="41">
        <f>Portafolio!J238</f>
        <v>-1.268790252661004E-4</v>
      </c>
    </row>
    <row r="239" spans="1:5" x14ac:dyDescent="0.2">
      <c r="A239" s="41">
        <f>Portafolio!F239</f>
        <v>2.1586660116600692E-3</v>
      </c>
      <c r="B239" s="41">
        <f>Portafolio!G239</f>
        <v>1.4723868428621712E-2</v>
      </c>
      <c r="C239" s="41">
        <f>Portafolio!H239</f>
        <v>1.6963686226937915E-2</v>
      </c>
      <c r="D239" s="41">
        <f>Portafolio!I239</f>
        <v>-9.4242056297434203E-3</v>
      </c>
      <c r="E239" s="41">
        <f>Portafolio!J239</f>
        <v>5.4165309214539853E-3</v>
      </c>
    </row>
    <row r="240" spans="1:5" x14ac:dyDescent="0.2">
      <c r="A240" s="41">
        <f>Portafolio!F240</f>
        <v>1.2838228252665619E-3</v>
      </c>
      <c r="B240" s="41">
        <f>Portafolio!G240</f>
        <v>-3.2865430207580882E-3</v>
      </c>
      <c r="C240" s="41">
        <f>Portafolio!H240</f>
        <v>-6.5707247389028478E-3</v>
      </c>
      <c r="D240" s="41">
        <f>Portafolio!I240</f>
        <v>-5.8032344347412621E-3</v>
      </c>
      <c r="E240" s="41">
        <f>Portafolio!J240</f>
        <v>-4.6236682109694312E-3</v>
      </c>
    </row>
    <row r="241" spans="1:5" x14ac:dyDescent="0.2">
      <c r="A241" s="41">
        <f>Portafolio!F241</f>
        <v>2.562716177992965E-3</v>
      </c>
      <c r="B241" s="41">
        <f>Portafolio!G241</f>
        <v>1.2638603848310002E-2</v>
      </c>
      <c r="C241" s="41">
        <f>Portafolio!H241</f>
        <v>2.0374359451747755E-2</v>
      </c>
      <c r="D241" s="41">
        <f>Portafolio!I241</f>
        <v>4.2238711161852434E-3</v>
      </c>
      <c r="E241" s="41">
        <f>Portafolio!J241</f>
        <v>1.1302957996588921E-2</v>
      </c>
    </row>
    <row r="242" spans="1:5" x14ac:dyDescent="0.2">
      <c r="A242" s="41">
        <f>Portafolio!F242</f>
        <v>1.4879566390620118E-2</v>
      </c>
      <c r="B242" s="41">
        <f>Portafolio!G242</f>
        <v>-1.3986271941776691E-2</v>
      </c>
      <c r="C242" s="41">
        <f>Portafolio!H242</f>
        <v>-1.1168596535331227E-2</v>
      </c>
      <c r="D242" s="41">
        <f>Portafolio!I242</f>
        <v>1.4125267552011362E-2</v>
      </c>
      <c r="E242" s="41">
        <f>Portafolio!J242</f>
        <v>2.0604099270030768E-3</v>
      </c>
    </row>
    <row r="243" spans="1:5" x14ac:dyDescent="0.2">
      <c r="A243" s="41">
        <f>Portafolio!F243</f>
        <v>-1.6892595276606047E-2</v>
      </c>
      <c r="B243" s="41">
        <f>Portafolio!G243</f>
        <v>1.8114838733001931E-2</v>
      </c>
      <c r="C243" s="41">
        <f>Portafolio!H243</f>
        <v>-2.300698438939985E-2</v>
      </c>
      <c r="D243" s="41">
        <f>Portafolio!I243</f>
        <v>1.1363707289245462E-2</v>
      </c>
      <c r="E243" s="41">
        <f>Portafolio!J243</f>
        <v>-9.0313379470935082E-3</v>
      </c>
    </row>
    <row r="244" spans="1:5" x14ac:dyDescent="0.2">
      <c r="A244" s="41">
        <f>Portafolio!F244</f>
        <v>6.8458769114516189E-3</v>
      </c>
      <c r="B244" s="41">
        <f>Portafolio!G244</f>
        <v>1.9958459712746134E-2</v>
      </c>
      <c r="C244" s="41">
        <f>Portafolio!H244</f>
        <v>-4.3337697237488322E-2</v>
      </c>
      <c r="D244" s="41">
        <f>Portafolio!I244</f>
        <v>-5.1492389779095047E-3</v>
      </c>
      <c r="E244" s="41">
        <f>Portafolio!J244</f>
        <v>-1.8442118775569206E-2</v>
      </c>
    </row>
    <row r="245" spans="1:5" x14ac:dyDescent="0.2">
      <c r="A245" s="41">
        <f>Portafolio!F245</f>
        <v>-4.936563304839342E-2</v>
      </c>
      <c r="B245" s="41">
        <f>Portafolio!G245</f>
        <v>-1.7900558015048668E-2</v>
      </c>
      <c r="C245" s="41">
        <f>Portafolio!H245</f>
        <v>-2.1521514209848672E-2</v>
      </c>
      <c r="D245" s="41">
        <f>Portafolio!I245</f>
        <v>-2.4034646374763047E-2</v>
      </c>
      <c r="E245" s="41">
        <f>Portafolio!J245</f>
        <v>-2.7733529487892108E-2</v>
      </c>
    </row>
    <row r="246" spans="1:5" x14ac:dyDescent="0.2">
      <c r="A246" s="41">
        <f>Portafolio!F246</f>
        <v>-9.7960810695936606E-3</v>
      </c>
      <c r="B246" s="41">
        <f>Portafolio!G246</f>
        <v>-7.3441060418495512E-4</v>
      </c>
      <c r="C246" s="41">
        <f>Portafolio!H246</f>
        <v>2.7529327489063685E-2</v>
      </c>
      <c r="D246" s="41">
        <f>Portafolio!I246</f>
        <v>1.4698479459715275E-2</v>
      </c>
      <c r="E246" s="41">
        <f>Portafolio!J246</f>
        <v>1.4800001087777872E-2</v>
      </c>
    </row>
    <row r="247" spans="1:5" x14ac:dyDescent="0.2">
      <c r="A247" s="41">
        <f>Portafolio!F247</f>
        <v>1.2420806909965328E-2</v>
      </c>
      <c r="B247" s="41">
        <f>Portafolio!G247</f>
        <v>6.0068453122636119E-3</v>
      </c>
      <c r="C247" s="41">
        <f>Portafolio!H247</f>
        <v>2.9943605302915484E-4</v>
      </c>
      <c r="D247" s="41">
        <f>Portafolio!I247</f>
        <v>3.1216986037119246E-3</v>
      </c>
      <c r="E247" s="41">
        <f>Portafolio!J247</f>
        <v>3.8581674049941042E-3</v>
      </c>
    </row>
    <row r="248" spans="1:5" x14ac:dyDescent="0.2">
      <c r="A248" s="41">
        <f>Portafolio!F248</f>
        <v>1.6496471649674511E-2</v>
      </c>
      <c r="B248" s="41">
        <f>Portafolio!G248</f>
        <v>3.9362102876051566E-3</v>
      </c>
      <c r="C248" s="41">
        <f>Portafolio!H248</f>
        <v>1.8098719175530638E-2</v>
      </c>
      <c r="D248" s="41">
        <f>Portafolio!I248</f>
        <v>7.7620053354891094E-3</v>
      </c>
      <c r="E248" s="41">
        <f>Portafolio!J248</f>
        <v>1.3869491248963698E-2</v>
      </c>
    </row>
    <row r="249" spans="1:5" x14ac:dyDescent="0.2">
      <c r="A249" s="41">
        <f>Portafolio!F249</f>
        <v>1.3642429865120695E-2</v>
      </c>
      <c r="B249" s="41">
        <f>Portafolio!G249</f>
        <v>-7.2779275329949461E-4</v>
      </c>
      <c r="C249" s="41">
        <f>Portafolio!H249</f>
        <v>8.4907795310884548E-3</v>
      </c>
      <c r="D249" s="41">
        <f>Portafolio!I249</f>
        <v>4.6284474501869788E-3</v>
      </c>
      <c r="E249" s="41">
        <f>Portafolio!J249</f>
        <v>7.8963206893990952E-3</v>
      </c>
    </row>
    <row r="250" spans="1:5" x14ac:dyDescent="0.2">
      <c r="A250" s="41">
        <f>Portafolio!F250</f>
        <v>7.1046339891622338E-3</v>
      </c>
      <c r="B250" s="41">
        <f>Portafolio!G250</f>
        <v>-7.4534799929999399E-3</v>
      </c>
      <c r="C250" s="41">
        <f>Portafolio!H250</f>
        <v>1.8932455242062468E-3</v>
      </c>
      <c r="D250" s="41">
        <f>Portafolio!I250</f>
        <v>-3.0832501301206196E-3</v>
      </c>
      <c r="E250" s="41">
        <f>Portafolio!J250</f>
        <v>9.4636874937287512E-4</v>
      </c>
    </row>
    <row r="251" spans="1:5" x14ac:dyDescent="0.2">
      <c r="A251" s="41">
        <f>Portafolio!F251</f>
        <v>1.7046925905757491E-2</v>
      </c>
      <c r="B251" s="41">
        <f>Portafolio!G251</f>
        <v>4.2450624586943594E-3</v>
      </c>
      <c r="C251" s="41">
        <f>Portafolio!H251</f>
        <v>8.4515026665683331E-3</v>
      </c>
      <c r="D251" s="41">
        <f>Portafolio!I251</f>
        <v>4.6213175955976916E-3</v>
      </c>
      <c r="E251" s="41">
        <f>Portafolio!J251</f>
        <v>8.7585088603336341E-3</v>
      </c>
    </row>
    <row r="252" spans="1:5" x14ac:dyDescent="0.2">
      <c r="A252" s="41">
        <f>Portafolio!F252</f>
        <v>2.0316357014954671E-3</v>
      </c>
      <c r="B252" s="41">
        <f>Portafolio!G252</f>
        <v>1.751357702825767E-3</v>
      </c>
      <c r="C252" s="41">
        <f>Portafolio!H252</f>
        <v>1.1000172910606301E-2</v>
      </c>
      <c r="D252" s="41">
        <f>Portafolio!I252</f>
        <v>5.6193763609869146E-3</v>
      </c>
      <c r="E252" s="41">
        <f>Portafolio!J252</f>
        <v>7.100633959377595E-3</v>
      </c>
    </row>
    <row r="253" spans="1:5" x14ac:dyDescent="0.2">
      <c r="A253" s="41">
        <f>Portafolio!F253</f>
        <v>1.3439858184173351E-2</v>
      </c>
      <c r="B253" s="41">
        <f>Portafolio!G253</f>
        <v>1.0201851494693278E-3</v>
      </c>
      <c r="C253" s="41">
        <f>Portafolio!H253</f>
        <v>6.2116322685317679E-3</v>
      </c>
      <c r="D253" s="41">
        <f>Portafolio!I253</f>
        <v>-2.7894319608277238E-2</v>
      </c>
      <c r="E253" s="41">
        <f>Portafolio!J253</f>
        <v>-3.5518828260112257E-3</v>
      </c>
    </row>
    <row r="254" spans="1:5" x14ac:dyDescent="0.2">
      <c r="A254" s="41">
        <f>Portafolio!F254</f>
        <v>5.9010397660438866E-3</v>
      </c>
      <c r="B254" s="41">
        <f>Portafolio!G254</f>
        <v>7.6906421617582866E-3</v>
      </c>
      <c r="C254" s="41">
        <f>Portafolio!H254</f>
        <v>1.1374431605290789E-2</v>
      </c>
      <c r="D254" s="41">
        <f>Portafolio!I254</f>
        <v>1.3010852287492039E-2</v>
      </c>
      <c r="E254" s="41">
        <f>Portafolio!J254</f>
        <v>1.0660442740112026E-2</v>
      </c>
    </row>
  </sheetData>
  <mergeCells count="4">
    <mergeCell ref="G2:L3"/>
    <mergeCell ref="G16:H16"/>
    <mergeCell ref="G11:H1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69E36-123C-4AC0-9472-1E7BD488A25E}">
  <dimension ref="A1:L254"/>
  <sheetViews>
    <sheetView showGridLines="0" workbookViewId="0">
      <selection activeCell="H21" sqref="H21"/>
    </sheetView>
  </sheetViews>
  <sheetFormatPr baseColWidth="10" defaultRowHeight="15" x14ac:dyDescent="0.2"/>
  <cols>
    <col min="1" max="5" width="12.5" style="1" bestFit="1" customWidth="1"/>
    <col min="7" max="7" width="23.1640625" bestFit="1" customWidth="1"/>
    <col min="8" max="8" width="15" customWidth="1"/>
    <col min="9" max="12" width="12.5" bestFit="1" customWidth="1"/>
  </cols>
  <sheetData>
    <row r="1" spans="1:12" x14ac:dyDescent="0.2">
      <c r="A1" s="89" t="s">
        <v>8</v>
      </c>
      <c r="B1" s="89"/>
      <c r="C1" s="89"/>
      <c r="D1" s="89"/>
      <c r="E1" s="89"/>
    </row>
    <row r="2" spans="1:12" x14ac:dyDescent="0.2">
      <c r="A2" s="2" t="str">
        <f>Portafolio!F2</f>
        <v>r_Apple</v>
      </c>
      <c r="B2" s="2" t="str">
        <f>Portafolio!G2</f>
        <v>r_Coca-Cola</v>
      </c>
      <c r="C2" s="2" t="str">
        <f>Portafolio!H2</f>
        <v>r_JPMorgan</v>
      </c>
      <c r="D2" s="2" t="str">
        <f>Portafolio!I2</f>
        <v>r_AT&amp;T</v>
      </c>
      <c r="E2" s="2" t="str">
        <f>Portafolio!J2</f>
        <v>Portafolio</v>
      </c>
      <c r="G2" s="90" t="s">
        <v>65</v>
      </c>
      <c r="H2" s="91"/>
      <c r="I2" s="91"/>
      <c r="J2" s="91"/>
      <c r="K2" s="91"/>
      <c r="L2" s="92"/>
    </row>
    <row r="3" spans="1:12" x14ac:dyDescent="0.2">
      <c r="A3" s="41">
        <f>Portafolio!F3</f>
        <v>-1.4662185008184019E-2</v>
      </c>
      <c r="B3" s="41">
        <f>Portafolio!G3</f>
        <v>2.1472312077841786E-3</v>
      </c>
      <c r="C3" s="41">
        <f>Portafolio!H3</f>
        <v>-1.0441079130812173E-2</v>
      </c>
      <c r="D3" s="41">
        <f>Portafolio!I3</f>
        <v>-6.4035322871765967E-3</v>
      </c>
      <c r="E3" s="41">
        <f>Portafolio!J3</f>
        <v>-9.4670569504097211E-3</v>
      </c>
      <c r="G3" s="93"/>
      <c r="H3" s="94"/>
      <c r="I3" s="94"/>
      <c r="J3" s="94"/>
      <c r="K3" s="94"/>
      <c r="L3" s="95"/>
    </row>
    <row r="4" spans="1:12" x14ac:dyDescent="0.2">
      <c r="A4" s="41">
        <f>Portafolio!F4</f>
        <v>2.8121205565770678E-3</v>
      </c>
      <c r="B4" s="41">
        <f>Portafolio!G4</f>
        <v>5.5939921723177225E-3</v>
      </c>
      <c r="C4" s="41">
        <f>Portafolio!H4</f>
        <v>2.2848847647558819E-3</v>
      </c>
      <c r="D4" s="41">
        <f>Portafolio!I4</f>
        <v>2.8511962146941443E-3</v>
      </c>
      <c r="E4" s="41">
        <f>Portafolio!J4</f>
        <v>2.7076334101259576E-3</v>
      </c>
    </row>
    <row r="5" spans="1:12" x14ac:dyDescent="0.2">
      <c r="A5" s="41">
        <f>Portafolio!F5</f>
        <v>7.7070400094383651E-3</v>
      </c>
      <c r="B5" s="41">
        <f>Portafolio!G5</f>
        <v>-8.568180711971048E-3</v>
      </c>
      <c r="C5" s="41">
        <f>Portafolio!H5</f>
        <v>3.4177360836862881E-3</v>
      </c>
      <c r="D5" s="41">
        <f>Portafolio!I5</f>
        <v>3.5523360724823969E-3</v>
      </c>
      <c r="E5" s="41">
        <f>Portafolio!J5</f>
        <v>3.8265778229849188E-3</v>
      </c>
      <c r="G5" s="47" t="s">
        <v>58</v>
      </c>
      <c r="H5" s="45" t="str">
        <f>A2</f>
        <v>r_Apple</v>
      </c>
      <c r="I5" s="45" t="str">
        <f>B2</f>
        <v>r_Coca-Cola</v>
      </c>
      <c r="J5" s="45" t="str">
        <f>C2</f>
        <v>r_JPMorgan</v>
      </c>
      <c r="K5" s="45" t="str">
        <f>D2</f>
        <v>r_AT&amp;T</v>
      </c>
      <c r="L5" s="45" t="str">
        <f>E2</f>
        <v>Portafolio</v>
      </c>
    </row>
    <row r="6" spans="1:12" x14ac:dyDescent="0.2">
      <c r="A6" s="41">
        <f>Portafolio!F6</f>
        <v>7.8738144273404372E-3</v>
      </c>
      <c r="B6" s="41">
        <f>Portafolio!G6</f>
        <v>-6.141625470814838E-3</v>
      </c>
      <c r="C6" s="41">
        <f>Portafolio!H6</f>
        <v>-2.0956622133486116E-2</v>
      </c>
      <c r="D6" s="41">
        <f>Portafolio!I6</f>
        <v>1.1283650762276005E-2</v>
      </c>
      <c r="E6" s="41">
        <f>Portafolio!J6</f>
        <v>-4.2141520459861928E-3</v>
      </c>
      <c r="G6" s="47" t="s">
        <v>60</v>
      </c>
      <c r="H6" s="43">
        <f>_xlfn.PERCENTILE.INC(A3:A254,1-$H$8)</f>
        <v>-2.2730961098472936E-2</v>
      </c>
      <c r="I6" s="43">
        <f t="shared" ref="I6:L6" si="0">_xlfn.PERCENTILE.INC(B3:B254,1-$H$8)</f>
        <v>-1.0745168468270927E-2</v>
      </c>
      <c r="J6" s="43">
        <f t="shared" si="0"/>
        <v>-1.4154741478223352E-2</v>
      </c>
      <c r="K6" s="43">
        <f t="shared" si="0"/>
        <v>-1.8590929394553597E-2</v>
      </c>
      <c r="L6" s="43">
        <f t="shared" si="0"/>
        <v>-1.1444323165408816E-2</v>
      </c>
    </row>
    <row r="7" spans="1:12" x14ac:dyDescent="0.2">
      <c r="A7" s="41">
        <f>Portafolio!F7</f>
        <v>2.1711540417555734E-2</v>
      </c>
      <c r="B7" s="41">
        <f>Portafolio!G7</f>
        <v>3.4904214645253497E-3</v>
      </c>
      <c r="C7" s="41">
        <f>Portafolio!H7</f>
        <v>6.740365503857486E-3</v>
      </c>
      <c r="D7" s="41">
        <f>Portafolio!I7</f>
        <v>-7.0373473579131004E-3</v>
      </c>
      <c r="E7" s="41">
        <f>Portafolio!J7</f>
        <v>5.1511974929285536E-3</v>
      </c>
      <c r="G7" s="48" t="s">
        <v>50</v>
      </c>
      <c r="H7" s="49">
        <v>1</v>
      </c>
      <c r="I7" s="46"/>
      <c r="J7" s="46"/>
      <c r="K7" s="46"/>
    </row>
    <row r="8" spans="1:12" x14ac:dyDescent="0.2">
      <c r="A8" s="41">
        <f>Portafolio!F8</f>
        <v>-2.6519108676923038E-2</v>
      </c>
      <c r="B8" s="41">
        <f>Portafolio!G8</f>
        <v>-2.6582344086022547E-3</v>
      </c>
      <c r="C8" s="41">
        <f>Portafolio!H8</f>
        <v>-9.5044774711671462E-4</v>
      </c>
      <c r="D8" s="41">
        <f>Portafolio!I8</f>
        <v>-7.0654176800563693E-4</v>
      </c>
      <c r="E8" s="41">
        <f>Portafolio!J8</f>
        <v>-6.037950088029845E-3</v>
      </c>
      <c r="G8" s="47" t="s">
        <v>51</v>
      </c>
      <c r="H8" s="50">
        <v>0.95</v>
      </c>
      <c r="I8" s="46"/>
      <c r="J8" s="46"/>
      <c r="K8" s="46"/>
    </row>
    <row r="9" spans="1:12" x14ac:dyDescent="0.2">
      <c r="A9" s="41">
        <f>Portafolio!F9</f>
        <v>1.2564052740774025E-2</v>
      </c>
      <c r="B9" s="41">
        <f>Portafolio!G9</f>
        <v>4.6472362667604817E-3</v>
      </c>
      <c r="C9" s="41">
        <f>Portafolio!H9</f>
        <v>-1.2233201758554283E-3</v>
      </c>
      <c r="D9" s="41">
        <f>Portafolio!I9</f>
        <v>-2.830866787178094E-3</v>
      </c>
      <c r="E9" s="41">
        <f>Portafolio!J9</f>
        <v>1.2464294268597353E-3</v>
      </c>
      <c r="G9" s="46"/>
      <c r="H9" s="46"/>
      <c r="I9" s="46"/>
      <c r="J9" s="46"/>
      <c r="K9" s="46"/>
    </row>
    <row r="10" spans="1:12" x14ac:dyDescent="0.2">
      <c r="A10" s="41">
        <f>Portafolio!F10</f>
        <v>8.8072127836774459E-3</v>
      </c>
      <c r="B10" s="41">
        <f>Portafolio!G10</f>
        <v>2.811071519673288E-3</v>
      </c>
      <c r="C10" s="41">
        <f>Portafolio!H10</f>
        <v>3.4622835952314748E-3</v>
      </c>
      <c r="D10" s="41">
        <f>Portafolio!I10</f>
        <v>7.0621975605345338E-3</v>
      </c>
      <c r="E10" s="41">
        <f>Portafolio!J10</f>
        <v>5.6612861296380778E-3</v>
      </c>
      <c r="H10" s="46"/>
      <c r="I10" s="46"/>
      <c r="J10" s="46"/>
      <c r="K10" s="46"/>
    </row>
    <row r="11" spans="1:12" x14ac:dyDescent="0.2">
      <c r="A11" s="41">
        <f>Portafolio!F11</f>
        <v>2.1575762719950167E-2</v>
      </c>
      <c r="B11" s="41">
        <f>Portafolio!G11</f>
        <v>-9.9121473034572902E-4</v>
      </c>
      <c r="C11" s="41">
        <f>Portafolio!H11</f>
        <v>8.0993210507113115E-3</v>
      </c>
      <c r="D11" s="41">
        <f>Portafolio!I11</f>
        <v>3.8652123786868747E-2</v>
      </c>
      <c r="E11" s="41">
        <f>Portafolio!J11</f>
        <v>2.0261285327415675E-2</v>
      </c>
      <c r="G11" s="98" t="s">
        <v>57</v>
      </c>
      <c r="H11" s="99"/>
      <c r="I11" s="46"/>
      <c r="J11" s="46"/>
      <c r="K11" s="46"/>
    </row>
    <row r="12" spans="1:12" x14ac:dyDescent="0.2">
      <c r="A12" s="41">
        <f>Portafolio!F12</f>
        <v>1.899078242547661E-2</v>
      </c>
      <c r="B12" s="41">
        <f>Portafolio!G12</f>
        <v>-4.9597604879833524E-4</v>
      </c>
      <c r="C12" s="41">
        <f>Portafolio!H12</f>
        <v>-4.0415125667635282E-3</v>
      </c>
      <c r="D12" s="41">
        <f>Portafolio!I12</f>
        <v>-2.7118017809940271E-3</v>
      </c>
      <c r="E12" s="41">
        <f>Portafolio!J12</f>
        <v>1.1226617329080104E-3</v>
      </c>
      <c r="G12" s="42" t="s">
        <v>53</v>
      </c>
      <c r="H12" s="52">
        <f>-(H6*SQRT($H$7))</f>
        <v>2.2730961098472936E-2</v>
      </c>
      <c r="I12" s="52">
        <f>-(I6*SQRT($H$7))</f>
        <v>1.0745168468270927E-2</v>
      </c>
      <c r="J12" s="52">
        <f>-(J6*SQRT($H$7))</f>
        <v>1.4154741478223352E-2</v>
      </c>
      <c r="K12" s="52">
        <f>-(K6*SQRT($H$7))</f>
        <v>1.8590929394553597E-2</v>
      </c>
    </row>
    <row r="13" spans="1:12" x14ac:dyDescent="0.2">
      <c r="A13" s="41">
        <f>Portafolio!F13</f>
        <v>1.1717517176788328E-3</v>
      </c>
      <c r="B13" s="41">
        <f>Portafolio!G13</f>
        <v>-1.0640119950070189E-2</v>
      </c>
      <c r="C13" s="41">
        <f>Portafolio!H13</f>
        <v>-1.2428386047596607E-2</v>
      </c>
      <c r="D13" s="41">
        <f>Portafolio!I13</f>
        <v>4.0649860690958528E-3</v>
      </c>
      <c r="E13" s="41">
        <f>Portafolio!J13</f>
        <v>-4.3288021916397315E-3</v>
      </c>
      <c r="G13" s="42" t="s">
        <v>54</v>
      </c>
      <c r="H13" s="53">
        <v>100000</v>
      </c>
      <c r="I13" s="46"/>
      <c r="J13" s="46"/>
      <c r="K13" s="46"/>
    </row>
    <row r="14" spans="1:12" x14ac:dyDescent="0.2">
      <c r="A14" s="41">
        <f>Portafolio!F14</f>
        <v>8.4277857631225358E-3</v>
      </c>
      <c r="B14" s="41">
        <f>Portafolio!G14</f>
        <v>-8.7293459886518768E-3</v>
      </c>
      <c r="C14" s="41">
        <f>Portafolio!H14</f>
        <v>3.3430239573994255E-3</v>
      </c>
      <c r="D14" s="41">
        <f>Portafolio!I14</f>
        <v>-9.5109702559868468E-3</v>
      </c>
      <c r="E14" s="41">
        <f>Portafolio!J14</f>
        <v>-2.7929641661798323E-4</v>
      </c>
      <c r="G14" s="42" t="s">
        <v>55</v>
      </c>
      <c r="H14" s="54">
        <f>SUM(H12:K12)*H13</f>
        <v>6622.1800439520803</v>
      </c>
      <c r="I14" s="46"/>
      <c r="J14" s="46"/>
      <c r="K14" s="46"/>
    </row>
    <row r="15" spans="1:12" x14ac:dyDescent="0.2">
      <c r="A15" s="41">
        <f>Portafolio!F15</f>
        <v>1.2659131987154749E-3</v>
      </c>
      <c r="B15" s="41">
        <f>Portafolio!G15</f>
        <v>-8.2960032000802229E-3</v>
      </c>
      <c r="C15" s="41">
        <f>Portafolio!H15</f>
        <v>-1.1095405596341172E-2</v>
      </c>
      <c r="D15" s="41">
        <f>Portafolio!I15</f>
        <v>-1.1671910678181512E-2</v>
      </c>
      <c r="E15" s="41">
        <f>Portafolio!J15</f>
        <v>-8.7030184436974432E-3</v>
      </c>
      <c r="H15" s="46"/>
      <c r="I15" s="46"/>
      <c r="J15" s="46"/>
      <c r="K15" s="46"/>
    </row>
    <row r="16" spans="1:12" x14ac:dyDescent="0.2">
      <c r="A16" s="41">
        <f>Portafolio!F16</f>
        <v>-3.6449647610985361E-2</v>
      </c>
      <c r="B16" s="41">
        <f>Portafolio!G16</f>
        <v>-6.802636816685408E-4</v>
      </c>
      <c r="C16" s="41">
        <f>Portafolio!H16</f>
        <v>-1.65396632304482E-3</v>
      </c>
      <c r="D16" s="41">
        <f>Portafolio!I16</f>
        <v>8.9378657253624903E-3</v>
      </c>
      <c r="E16" s="41">
        <f>Portafolio!J16</f>
        <v>-5.1359948137462367E-3</v>
      </c>
      <c r="G16" s="96" t="s">
        <v>56</v>
      </c>
      <c r="H16" s="97"/>
      <c r="I16" s="46"/>
      <c r="J16" s="46"/>
      <c r="K16" s="46"/>
    </row>
    <row r="17" spans="1:11" x14ac:dyDescent="0.2">
      <c r="A17" s="41">
        <f>Portafolio!F17</f>
        <v>-2.9685687263803755E-2</v>
      </c>
      <c r="B17" s="41">
        <f>Portafolio!G17</f>
        <v>-7.685086250950387E-3</v>
      </c>
      <c r="C17" s="41">
        <f>Portafolio!H17</f>
        <v>-8.5911179492632866E-3</v>
      </c>
      <c r="D17" s="41">
        <f>Portafolio!I17</f>
        <v>0</v>
      </c>
      <c r="E17" s="41">
        <f>Portafolio!J17</f>
        <v>-9.9898156541735963E-3</v>
      </c>
      <c r="G17" s="42" t="s">
        <v>53</v>
      </c>
      <c r="H17" s="52">
        <f>-(SQRT($H$7)*$L$6)</f>
        <v>1.1444323165408816E-2</v>
      </c>
      <c r="I17" s="46"/>
      <c r="J17" s="46"/>
      <c r="K17" s="46"/>
    </row>
    <row r="18" spans="1:11" x14ac:dyDescent="0.2">
      <c r="A18" s="41">
        <f>Portafolio!F18</f>
        <v>3.4855737123982338E-3</v>
      </c>
      <c r="B18" s="41">
        <f>Portafolio!G18</f>
        <v>0</v>
      </c>
      <c r="C18" s="41">
        <f>Portafolio!H18</f>
        <v>7.6518323838956222E-4</v>
      </c>
      <c r="D18" s="41">
        <f>Portafolio!I18</f>
        <v>-1.4477988707991517E-2</v>
      </c>
      <c r="E18" s="41">
        <f>Portafolio!J18</f>
        <v>-3.6366611801214475E-3</v>
      </c>
      <c r="G18" s="42" t="s">
        <v>54</v>
      </c>
      <c r="H18" s="53">
        <v>100000</v>
      </c>
      <c r="I18" s="46"/>
      <c r="J18" s="46"/>
      <c r="K18" s="46"/>
    </row>
    <row r="19" spans="1:11" x14ac:dyDescent="0.2">
      <c r="A19" s="41">
        <f>Portafolio!F19</f>
        <v>6.6007039975988667E-3</v>
      </c>
      <c r="B19" s="41">
        <f>Portafolio!G19</f>
        <v>9.3849136242531647E-3</v>
      </c>
      <c r="C19" s="41">
        <f>Portafolio!H19</f>
        <v>4.3706422775577902E-3</v>
      </c>
      <c r="D19" s="41">
        <f>Portafolio!I19</f>
        <v>8.2988273439278445E-3</v>
      </c>
      <c r="E19" s="41">
        <f>Portafolio!J19</f>
        <v>6.2859574110678022E-3</v>
      </c>
      <c r="G19" s="42" t="s">
        <v>55</v>
      </c>
      <c r="H19" s="54">
        <f>H17*H18</f>
        <v>1144.4323165408816</v>
      </c>
      <c r="I19" s="46"/>
      <c r="J19" s="46"/>
      <c r="K19" s="46"/>
    </row>
    <row r="20" spans="1:11" x14ac:dyDescent="0.2">
      <c r="A20" s="41">
        <f>Portafolio!F20</f>
        <v>-1.7207766577965616E-2</v>
      </c>
      <c r="B20" s="41">
        <f>Portafolio!G20</f>
        <v>-9.8994165765982269E-3</v>
      </c>
      <c r="C20" s="41">
        <f>Portafolio!H20</f>
        <v>1.2930049259339658E-2</v>
      </c>
      <c r="D20" s="41">
        <f>Portafolio!I20</f>
        <v>-4.1408787728015178E-3</v>
      </c>
      <c r="E20" s="41">
        <f>Portafolio!J20</f>
        <v>4.887238112031005E-4</v>
      </c>
    </row>
    <row r="21" spans="1:11" x14ac:dyDescent="0.2">
      <c r="A21" s="41">
        <f>Portafolio!F21</f>
        <v>-1.1925628607410014E-2</v>
      </c>
      <c r="B21" s="41">
        <f>Portafolio!G21</f>
        <v>2.3984991177818894E-3</v>
      </c>
      <c r="C21" s="41">
        <f>Portafolio!H21</f>
        <v>4.7822692080471709E-4</v>
      </c>
      <c r="D21" s="41">
        <f>Portafolio!I21</f>
        <v>1.1004270746853787E-2</v>
      </c>
      <c r="E21" s="41">
        <f>Portafolio!J21</f>
        <v>1.4768108627912393E-3</v>
      </c>
      <c r="G21" s="42" t="s">
        <v>61</v>
      </c>
      <c r="H21" s="44">
        <f>H14-H19</f>
        <v>5477.7477274111989</v>
      </c>
    </row>
    <row r="22" spans="1:11" x14ac:dyDescent="0.2">
      <c r="A22" s="41">
        <f>Portafolio!F22</f>
        <v>8.744192273870471E-3</v>
      </c>
      <c r="B22" s="41">
        <f>Portafolio!G22</f>
        <v>8.2446925036342867E-3</v>
      </c>
      <c r="C22" s="41">
        <f>Portafolio!H22</f>
        <v>1.9211775011975799E-2</v>
      </c>
      <c r="D22" s="41">
        <f>Portafolio!I22</f>
        <v>2.9651713697862989E-2</v>
      </c>
      <c r="E22" s="41">
        <f>Portafolio!J22</f>
        <v>2.0042246390674492E-2</v>
      </c>
      <c r="G22" s="42" t="s">
        <v>61</v>
      </c>
      <c r="H22" s="55">
        <f>1-(H17/H12)</f>
        <v>0.49653148778748102</v>
      </c>
    </row>
    <row r="23" spans="1:11" x14ac:dyDescent="0.2">
      <c r="A23" s="41">
        <f>Portafolio!F23</f>
        <v>-4.1626265495737849E-3</v>
      </c>
      <c r="B23" s="41">
        <f>Portafolio!G23</f>
        <v>-8.9348416448038568E-3</v>
      </c>
      <c r="C23" s="41">
        <f>Portafolio!H23</f>
        <v>-2.9524998063902006E-3</v>
      </c>
      <c r="D23" s="41">
        <f>Portafolio!I23</f>
        <v>1.1224978589028094E-2</v>
      </c>
      <c r="E23" s="41">
        <f>Portafolio!J23</f>
        <v>1.1313429911168696E-3</v>
      </c>
    </row>
    <row r="24" spans="1:11" x14ac:dyDescent="0.2">
      <c r="A24" s="41">
        <f>Portafolio!F24</f>
        <v>1.6771885661529522E-2</v>
      </c>
      <c r="B24" s="41">
        <f>Portafolio!G24</f>
        <v>6.1940863988089057E-3</v>
      </c>
      <c r="C24" s="41">
        <f>Portafolio!H24</f>
        <v>2.081060219182381E-3</v>
      </c>
      <c r="D24" s="41">
        <f>Portafolio!I24</f>
        <v>-9.2349221157867391E-3</v>
      </c>
      <c r="E24" s="41">
        <f>Portafolio!J24</f>
        <v>1.5301136594923666E-3</v>
      </c>
    </row>
    <row r="25" spans="1:11" x14ac:dyDescent="0.2">
      <c r="A25" s="41">
        <f>Portafolio!F25</f>
        <v>6.1618290451625419E-3</v>
      </c>
      <c r="B25" s="41">
        <f>Portafolio!G25</f>
        <v>-2.0603885067279927E-3</v>
      </c>
      <c r="C25" s="41">
        <f>Portafolio!H25</f>
        <v>-1.2750275394505101E-3</v>
      </c>
      <c r="D25" s="41">
        <f>Portafolio!I25</f>
        <v>7.9209277625121085E-3</v>
      </c>
      <c r="E25" s="41">
        <f>Portafolio!J25</f>
        <v>3.1390478840161106E-3</v>
      </c>
    </row>
    <row r="26" spans="1:11" x14ac:dyDescent="0.2">
      <c r="A26" s="41">
        <f>Portafolio!F26</f>
        <v>-2.0194689945887755E-2</v>
      </c>
      <c r="B26" s="41">
        <f>Portafolio!G26</f>
        <v>4.4589357728930948E-3</v>
      </c>
      <c r="C26" s="41">
        <f>Portafolio!H26</f>
        <v>-4.2389693184284203E-3</v>
      </c>
      <c r="D26" s="41">
        <f>Portafolio!I26</f>
        <v>2.2107528152630732E-2</v>
      </c>
      <c r="E26" s="41">
        <f>Portafolio!J26</f>
        <v>1.4273245220018617E-3</v>
      </c>
    </row>
    <row r="27" spans="1:11" x14ac:dyDescent="0.2">
      <c r="A27" s="41">
        <f>Portafolio!F27</f>
        <v>-8.9290841663582452E-3</v>
      </c>
      <c r="B27" s="41">
        <f>Portafolio!G27</f>
        <v>-1.5520182226064388E-2</v>
      </c>
      <c r="C27" s="41">
        <f>Portafolio!H27</f>
        <v>-7.8527809774467452E-3</v>
      </c>
      <c r="D27" s="41">
        <f>Portafolio!I27</f>
        <v>-1.5554405482686634E-2</v>
      </c>
      <c r="E27" s="41">
        <f>Portafolio!J27</f>
        <v>-1.0862645480342735E-2</v>
      </c>
    </row>
    <row r="28" spans="1:11" x14ac:dyDescent="0.2">
      <c r="A28" s="41">
        <f>Portafolio!F28</f>
        <v>4.932157084030179E-3</v>
      </c>
      <c r="B28" s="41">
        <f>Portafolio!G28</f>
        <v>1.0421744338548341E-3</v>
      </c>
      <c r="C28" s="41">
        <f>Portafolio!H28</f>
        <v>-9.6290710303040105E-3</v>
      </c>
      <c r="D28" s="41">
        <f>Portafolio!I28</f>
        <v>-1.2488017087223817E-2</v>
      </c>
      <c r="E28" s="41">
        <f>Portafolio!J28</f>
        <v>-7.2123448333486972E-3</v>
      </c>
    </row>
    <row r="29" spans="1:11" x14ac:dyDescent="0.2">
      <c r="A29" s="41">
        <f>Portafolio!F29</f>
        <v>7.3532671978666295E-3</v>
      </c>
      <c r="B29" s="41">
        <f>Portafolio!G29</f>
        <v>-1.0471250468192831E-2</v>
      </c>
      <c r="C29" s="41">
        <f>Portafolio!H29</f>
        <v>4.9286703199951359E-3</v>
      </c>
      <c r="D29" s="41">
        <f>Portafolio!I29</f>
        <v>-3.9760898184737319E-3</v>
      </c>
      <c r="E29" s="41">
        <f>Portafolio!J29</f>
        <v>1.9130567663173188E-3</v>
      </c>
    </row>
    <row r="30" spans="1:11" x14ac:dyDescent="0.2">
      <c r="A30" s="41">
        <f>Portafolio!F30</f>
        <v>-2.3676570379196956E-2</v>
      </c>
      <c r="B30" s="41">
        <f>Portafolio!G30</f>
        <v>-8.2798817906721903E-3</v>
      </c>
      <c r="C30" s="41">
        <f>Portafolio!H30</f>
        <v>-1.0433243353410393E-2</v>
      </c>
      <c r="D30" s="41">
        <f>Portafolio!I30</f>
        <v>-2.6595130223768674E-3</v>
      </c>
      <c r="E30" s="41">
        <f>Portafolio!J30</f>
        <v>-1.0479526555787275E-2</v>
      </c>
    </row>
    <row r="31" spans="1:11" x14ac:dyDescent="0.2">
      <c r="A31" s="41">
        <f>Portafolio!F31</f>
        <v>-8.9372740582099996E-3</v>
      </c>
      <c r="B31" s="41">
        <f>Portafolio!G31</f>
        <v>-1.0313022416799286E-2</v>
      </c>
      <c r="C31" s="41">
        <f>Portafolio!H31</f>
        <v>5.8476760566381946E-3</v>
      </c>
      <c r="D31" s="41">
        <f>Portafolio!I31</f>
        <v>-1.0036916003110012E-2</v>
      </c>
      <c r="E31" s="41">
        <f>Portafolio!J31</f>
        <v>-2.8788070221865132E-3</v>
      </c>
    </row>
    <row r="32" spans="1:11" x14ac:dyDescent="0.2">
      <c r="A32" s="41">
        <f>Portafolio!F32</f>
        <v>1.5245124110350558E-3</v>
      </c>
      <c r="B32" s="41">
        <f>Portafolio!G32</f>
        <v>-2.5052793506595878E-3</v>
      </c>
      <c r="C32" s="41">
        <f>Portafolio!H32</f>
        <v>1.2339652914118577E-2</v>
      </c>
      <c r="D32" s="41">
        <f>Portafolio!I32</f>
        <v>9.370913321953802E-3</v>
      </c>
      <c r="E32" s="41">
        <f>Portafolio!J32</f>
        <v>8.6209083606874817E-3</v>
      </c>
    </row>
    <row r="33" spans="1:5" x14ac:dyDescent="0.2">
      <c r="A33" s="41">
        <f>Portafolio!F33</f>
        <v>3.0418117645047292E-3</v>
      </c>
      <c r="B33" s="41">
        <f>Portafolio!G33</f>
        <v>3.0412831937692204E-3</v>
      </c>
      <c r="C33" s="41">
        <f>Portafolio!H33</f>
        <v>-1.7566587699048578E-2</v>
      </c>
      <c r="D33" s="41">
        <f>Portafolio!I33</f>
        <v>6.6600268115622394E-4</v>
      </c>
      <c r="E33" s="41">
        <f>Portafolio!J33</f>
        <v>-6.7410008614461787E-3</v>
      </c>
    </row>
    <row r="34" spans="1:5" x14ac:dyDescent="0.2">
      <c r="A34" s="41">
        <f>Portafolio!F34</f>
        <v>1.4726612543542477E-2</v>
      </c>
      <c r="B34" s="41">
        <f>Portafolio!G34</f>
        <v>-8.9718561804357604E-3</v>
      </c>
      <c r="C34" s="41">
        <f>Portafolio!H34</f>
        <v>-8.6567488859623613E-3</v>
      </c>
      <c r="D34" s="41">
        <f>Portafolio!I34</f>
        <v>-2.3578125464621125E-2</v>
      </c>
      <c r="E34" s="41">
        <f>Portafolio!J34</f>
        <v>-8.8179369067360458E-3</v>
      </c>
    </row>
    <row r="35" spans="1:5" x14ac:dyDescent="0.2">
      <c r="A35" s="41">
        <f>Portafolio!F35</f>
        <v>-7.8002013931504684E-3</v>
      </c>
      <c r="B35" s="41">
        <f>Portafolio!G35</f>
        <v>-1.0873561101627389E-2</v>
      </c>
      <c r="C35" s="41">
        <f>Portafolio!H35</f>
        <v>-7.4001160534839551E-3</v>
      </c>
      <c r="D35" s="41">
        <f>Portafolio!I35</f>
        <v>7.470418425544037E-3</v>
      </c>
      <c r="E35" s="41">
        <f>Portafolio!J35</f>
        <v>-2.8289855790354316E-3</v>
      </c>
    </row>
    <row r="36" spans="1:5" x14ac:dyDescent="0.2">
      <c r="A36" s="41">
        <f>Portafolio!F36</f>
        <v>7.2820978273525263E-3</v>
      </c>
      <c r="B36" s="41">
        <f>Portafolio!G36</f>
        <v>2.9112300036451422E-3</v>
      </c>
      <c r="C36" s="41">
        <f>Portafolio!H36</f>
        <v>4.4743812840926343E-3</v>
      </c>
      <c r="D36" s="41">
        <f>Portafolio!I36</f>
        <v>-8.8346792935787202E-3</v>
      </c>
      <c r="E36" s="41">
        <f>Portafolio!J36</f>
        <v>6.8071290908287667E-4</v>
      </c>
    </row>
    <row r="37" spans="1:5" x14ac:dyDescent="0.2">
      <c r="A37" s="41">
        <f>Portafolio!F37</f>
        <v>7.1721957179410305E-3</v>
      </c>
      <c r="B37" s="41">
        <f>Portafolio!G37</f>
        <v>-4.9535374384451825E-2</v>
      </c>
      <c r="C37" s="41">
        <f>Portafolio!H37</f>
        <v>4.2075901542361687E-3</v>
      </c>
      <c r="D37" s="41">
        <f>Portafolio!I37</f>
        <v>1.2211857867236135E-2</v>
      </c>
      <c r="E37" s="41">
        <f>Portafolio!J37</f>
        <v>5.1834637731418276E-3</v>
      </c>
    </row>
    <row r="38" spans="1:5" x14ac:dyDescent="0.2">
      <c r="A38" s="41">
        <f>Portafolio!F38</f>
        <v>1.4642797262619538E-2</v>
      </c>
      <c r="B38" s="41">
        <f>Portafolio!G38</f>
        <v>1.4405068586763934E-2</v>
      </c>
      <c r="C38" s="41">
        <f>Portafolio!H38</f>
        <v>1.5278133083516892E-2</v>
      </c>
      <c r="D38" s="41">
        <f>Portafolio!I38</f>
        <v>-7.0340122474886078E-3</v>
      </c>
      <c r="E38" s="41">
        <f>Portafolio!J38</f>
        <v>7.9247087144746625E-3</v>
      </c>
    </row>
    <row r="39" spans="1:5" x14ac:dyDescent="0.2">
      <c r="A39" s="41">
        <f>Portafolio!F39</f>
        <v>8.4155364965835446E-3</v>
      </c>
      <c r="B39" s="41">
        <f>Portafolio!G39</f>
        <v>-4.9046695157092994E-3</v>
      </c>
      <c r="C39" s="41">
        <f>Portafolio!H39</f>
        <v>-2.2767875931944174E-3</v>
      </c>
      <c r="D39" s="41">
        <f>Portafolio!I39</f>
        <v>1.919178660718069E-2</v>
      </c>
      <c r="E39" s="41">
        <f>Portafolio!J39</f>
        <v>6.6663510313033688E-3</v>
      </c>
    </row>
    <row r="40" spans="1:5" x14ac:dyDescent="0.2">
      <c r="A40" s="41">
        <f>Portafolio!F40</f>
        <v>-3.3577377412587176E-3</v>
      </c>
      <c r="B40" s="41">
        <f>Portafolio!G40</f>
        <v>2.1514155913894644E-2</v>
      </c>
      <c r="C40" s="41">
        <f>Portafolio!H40</f>
        <v>6.0600170693245765E-3</v>
      </c>
      <c r="D40" s="41">
        <f>Portafolio!I40</f>
        <v>1.5493841465178439E-2</v>
      </c>
      <c r="E40" s="41">
        <f>Portafolio!J40</f>
        <v>7.8544778962305432E-3</v>
      </c>
    </row>
    <row r="41" spans="1:5" x14ac:dyDescent="0.2">
      <c r="A41" s="41">
        <f>Portafolio!F41</f>
        <v>7.8729256654077838E-3</v>
      </c>
      <c r="B41" s="41">
        <f>Portafolio!G41</f>
        <v>-5.9402085775266582E-3</v>
      </c>
      <c r="C41" s="41">
        <f>Portafolio!H41</f>
        <v>3.4271245700145075E-3</v>
      </c>
      <c r="D41" s="41">
        <f>Portafolio!I41</f>
        <v>-1.2781979492703863E-2</v>
      </c>
      <c r="E41" s="41">
        <f>Portafolio!J41</f>
        <v>-1.2934255786129127E-3</v>
      </c>
    </row>
    <row r="42" spans="1:5" x14ac:dyDescent="0.2">
      <c r="A42" s="41">
        <f>Portafolio!F42</f>
        <v>5.0484914715231101E-3</v>
      </c>
      <c r="B42" s="41">
        <f>Portafolio!G42</f>
        <v>-1.6898605731409447E-2</v>
      </c>
      <c r="C42" s="41">
        <f>Portafolio!H42</f>
        <v>-2.3292037153074849E-3</v>
      </c>
      <c r="D42" s="41">
        <f>Portafolio!I42</f>
        <v>-2.1903648579655197E-2</v>
      </c>
      <c r="E42" s="41">
        <f>Portafolio!J42</f>
        <v>-7.7624496799989307E-3</v>
      </c>
    </row>
    <row r="43" spans="1:5" x14ac:dyDescent="0.2">
      <c r="A43" s="41">
        <f>Portafolio!F43</f>
        <v>-1.0346128156285038E-2</v>
      </c>
      <c r="B43" s="41">
        <f>Portafolio!G43</f>
        <v>1.5136608826072475E-3</v>
      </c>
      <c r="C43" s="41">
        <f>Portafolio!H43</f>
        <v>1.490802752612275E-2</v>
      </c>
      <c r="D43" s="41">
        <f>Portafolio!I43</f>
        <v>-6.2479325408984904E-3</v>
      </c>
      <c r="E43" s="41">
        <f>Portafolio!J43</f>
        <v>2.5088405008130716E-3</v>
      </c>
    </row>
    <row r="44" spans="1:5" x14ac:dyDescent="0.2">
      <c r="A44" s="41">
        <f>Portafolio!F44</f>
        <v>-7.2710133536225421E-4</v>
      </c>
      <c r="B44" s="41">
        <f>Portafolio!G44</f>
        <v>1.0158067162630343E-2</v>
      </c>
      <c r="C44" s="41">
        <f>Portafolio!H44</f>
        <v>-1.0140315442376808E-3</v>
      </c>
      <c r="D44" s="41">
        <f>Portafolio!I44</f>
        <v>3.47593227385585E-3</v>
      </c>
      <c r="E44" s="41">
        <f>Portafolio!J44</f>
        <v>9.4651306234168689E-4</v>
      </c>
    </row>
    <row r="45" spans="1:5" x14ac:dyDescent="0.2">
      <c r="A45" s="41">
        <f>Portafolio!F45</f>
        <v>-8.8236168219693739E-3</v>
      </c>
      <c r="B45" s="41">
        <f>Portafolio!G45</f>
        <v>1.1907236828734701E-2</v>
      </c>
      <c r="C45" s="41">
        <f>Portafolio!H45</f>
        <v>-2.1668112665697982E-3</v>
      </c>
      <c r="D45" s="41">
        <f>Portafolio!I45</f>
        <v>1.1728316519177792E-2</v>
      </c>
      <c r="E45" s="41">
        <f>Portafolio!J45</f>
        <v>1.5594675909491673E-3</v>
      </c>
    </row>
    <row r="46" spans="1:5" x14ac:dyDescent="0.2">
      <c r="A46" s="41">
        <f>Portafolio!F46</f>
        <v>-7.4223370429170512E-3</v>
      </c>
      <c r="B46" s="41">
        <f>Portafolio!G46</f>
        <v>-3.7001627652822851E-4</v>
      </c>
      <c r="C46" s="41">
        <f>Portafolio!H46</f>
        <v>-1.1041381345434621E-2</v>
      </c>
      <c r="D46" s="41">
        <f>Portafolio!I46</f>
        <v>-1.7993646801684915E-2</v>
      </c>
      <c r="E46" s="41">
        <f>Portafolio!J46</f>
        <v>-1.212492028973566E-2</v>
      </c>
    </row>
    <row r="47" spans="1:5" x14ac:dyDescent="0.2">
      <c r="A47" s="41">
        <f>Portafolio!F47</f>
        <v>-2.1632256780532658E-3</v>
      </c>
      <c r="B47" s="41">
        <f>Portafolio!G47</f>
        <v>5.5350153172178456E-3</v>
      </c>
      <c r="C47" s="41">
        <f>Portafolio!H47</f>
        <v>-4.2583678361532767E-3</v>
      </c>
      <c r="D47" s="41">
        <f>Portafolio!I47</f>
        <v>6.3577877182322051E-2</v>
      </c>
      <c r="E47" s="41">
        <f>Portafolio!J47</f>
        <v>1.8422592847118335E-2</v>
      </c>
    </row>
    <row r="48" spans="1:5" x14ac:dyDescent="0.2">
      <c r="A48" s="41">
        <f>Portafolio!F48</f>
        <v>-1.48134638605088E-2</v>
      </c>
      <c r="B48" s="41">
        <f>Portafolio!G48</f>
        <v>4.0397446205238134E-3</v>
      </c>
      <c r="C48" s="41">
        <f>Portafolio!H48</f>
        <v>-1.623677213768495E-2</v>
      </c>
      <c r="D48" s="41">
        <f>Portafolio!I48</f>
        <v>7.8330630368045693E-3</v>
      </c>
      <c r="E48" s="41">
        <f>Portafolio!J48</f>
        <v>-7.36738173021061E-3</v>
      </c>
    </row>
    <row r="49" spans="1:5" x14ac:dyDescent="0.2">
      <c r="A49" s="41">
        <f>Portafolio!F49</f>
        <v>6.9385280456884656E-4</v>
      </c>
      <c r="B49" s="41">
        <f>Portafolio!G49</f>
        <v>-9.01984365197008E-3</v>
      </c>
      <c r="C49" s="41">
        <f>Portafolio!H49</f>
        <v>-1.3735076896956099E-2</v>
      </c>
      <c r="D49" s="41">
        <f>Portafolio!I49</f>
        <v>-2.8356670761467306E-2</v>
      </c>
      <c r="E49" s="41">
        <f>Portafolio!J49</f>
        <v>-1.5379019650579921E-2</v>
      </c>
    </row>
    <row r="50" spans="1:5" x14ac:dyDescent="0.2">
      <c r="A50" s="41">
        <f>Portafolio!F50</f>
        <v>2.5402110604923374E-3</v>
      </c>
      <c r="B50" s="41">
        <f>Portafolio!G50</f>
        <v>2.8437891260977562E-2</v>
      </c>
      <c r="C50" s="41">
        <f>Portafolio!H50</f>
        <v>1.2049500256252955E-3</v>
      </c>
      <c r="D50" s="41">
        <f>Portafolio!I50</f>
        <v>3.8062243981015008E-2</v>
      </c>
      <c r="E50" s="41">
        <f>Portafolio!J50</f>
        <v>1.446223860658455E-2</v>
      </c>
    </row>
    <row r="51" spans="1:5" x14ac:dyDescent="0.2">
      <c r="A51" s="41">
        <f>Portafolio!F51</f>
        <v>-1.3583577722310494E-2</v>
      </c>
      <c r="B51" s="41">
        <f>Portafolio!G51</f>
        <v>8.5898919565569297E-3</v>
      </c>
      <c r="C51" s="41">
        <f>Portafolio!H51</f>
        <v>-5.4694749611117069E-3</v>
      </c>
      <c r="D51" s="41">
        <f>Portafolio!I51</f>
        <v>-2.2136321441816844E-2</v>
      </c>
      <c r="E51" s="41">
        <f>Portafolio!J51</f>
        <v>-1.1884293252356418E-2</v>
      </c>
    </row>
    <row r="52" spans="1:5" x14ac:dyDescent="0.2">
      <c r="A52" s="41">
        <f>Portafolio!F52</f>
        <v>-2.4913184770041188E-2</v>
      </c>
      <c r="B52" s="41">
        <f>Portafolio!G52</f>
        <v>-6.0768940601561034E-3</v>
      </c>
      <c r="C52" s="41">
        <f>Portafolio!H52</f>
        <v>2.5609400579485304E-3</v>
      </c>
      <c r="D52" s="41">
        <f>Portafolio!I52</f>
        <v>-4.6189215703234801E-3</v>
      </c>
      <c r="E52" s="41">
        <f>Portafolio!J52</f>
        <v>-5.5820310021594466E-3</v>
      </c>
    </row>
    <row r="53" spans="1:5" x14ac:dyDescent="0.2">
      <c r="A53" s="41">
        <f>Portafolio!F53</f>
        <v>7.9376258370334254E-3</v>
      </c>
      <c r="B53" s="41">
        <f>Portafolio!G53</f>
        <v>-9.7279469304567372E-3</v>
      </c>
      <c r="C53" s="41">
        <f>Portafolio!H53</f>
        <v>-3.6683337928199083E-2</v>
      </c>
      <c r="D53" s="41">
        <f>Portafolio!I53</f>
        <v>-2.0040684628752883E-2</v>
      </c>
      <c r="E53" s="41">
        <f>Portafolio!J53</f>
        <v>-2.1324752965601476E-2</v>
      </c>
    </row>
    <row r="54" spans="1:5" x14ac:dyDescent="0.2">
      <c r="A54" s="41">
        <f>Portafolio!F54</f>
        <v>1.2230145391432332E-2</v>
      </c>
      <c r="B54" s="41">
        <f>Portafolio!G54</f>
        <v>1.6339294527615768E-2</v>
      </c>
      <c r="C54" s="41">
        <f>Portafolio!H54</f>
        <v>1.26689866257148E-2</v>
      </c>
      <c r="D54" s="41">
        <f>Portafolio!I54</f>
        <v>2.9257291384540907E-2</v>
      </c>
      <c r="E54" s="41">
        <f>Portafolio!J54</f>
        <v>1.8077764652553646E-2</v>
      </c>
    </row>
    <row r="55" spans="1:5" x14ac:dyDescent="0.2">
      <c r="A55" s="41">
        <f>Portafolio!F55</f>
        <v>2.8148308012558494E-3</v>
      </c>
      <c r="B55" s="41">
        <f>Portafolio!G55</f>
        <v>6.0369707476601144E-3</v>
      </c>
      <c r="C55" s="41">
        <f>Portafolio!H55</f>
        <v>1.1863603111821981E-2</v>
      </c>
      <c r="D55" s="41">
        <f>Portafolio!I55</f>
        <v>9.1325041752728462E-3</v>
      </c>
      <c r="E55" s="41">
        <f>Portafolio!J55</f>
        <v>8.9418177666675137E-3</v>
      </c>
    </row>
    <row r="56" spans="1:5" x14ac:dyDescent="0.2">
      <c r="A56" s="41">
        <f>Portafolio!F56</f>
        <v>1.8565290897534802E-2</v>
      </c>
      <c r="B56" s="41">
        <f>Portafolio!G56</f>
        <v>-8.8556819319023528E-4</v>
      </c>
      <c r="C56" s="41">
        <f>Portafolio!H56</f>
        <v>-8.6331287395108823E-4</v>
      </c>
      <c r="D56" s="41">
        <f>Portafolio!I56</f>
        <v>1.1620614661695866E-2</v>
      </c>
      <c r="E56" s="41">
        <f>Portafolio!J56</f>
        <v>7.0318357863738013E-3</v>
      </c>
    </row>
    <row r="57" spans="1:5" x14ac:dyDescent="0.2">
      <c r="A57" s="41">
        <f>Portafolio!F57</f>
        <v>2.0482069684558096E-2</v>
      </c>
      <c r="B57" s="41">
        <f>Portafolio!G57</f>
        <v>1.1450857122828546E-2</v>
      </c>
      <c r="C57" s="41">
        <f>Portafolio!H57</f>
        <v>1.7691845912209535E-2</v>
      </c>
      <c r="D57" s="41">
        <f>Portafolio!I57</f>
        <v>9.581644883623272E-3</v>
      </c>
      <c r="E57" s="41">
        <f>Portafolio!J57</f>
        <v>1.537923079575523E-2</v>
      </c>
    </row>
    <row r="58" spans="1:5" x14ac:dyDescent="0.2">
      <c r="A58" s="41">
        <f>Portafolio!F58</f>
        <v>-5.1946810275440517E-3</v>
      </c>
      <c r="B58" s="41">
        <f>Portafolio!G58</f>
        <v>-6.1495523287532295E-3</v>
      </c>
      <c r="C58" s="41">
        <f>Portafolio!H58</f>
        <v>1.1110587455196269E-2</v>
      </c>
      <c r="D58" s="41">
        <f>Portafolio!I58</f>
        <v>9.4907076045383631E-3</v>
      </c>
      <c r="E58" s="41">
        <f>Portafolio!J58</f>
        <v>6.6336452309906247E-3</v>
      </c>
    </row>
    <row r="59" spans="1:5" x14ac:dyDescent="0.2">
      <c r="A59" s="41">
        <f>Portafolio!F59</f>
        <v>1.44996022601437E-2</v>
      </c>
      <c r="B59" s="41">
        <f>Portafolio!G59</f>
        <v>4.0454488376433064E-3</v>
      </c>
      <c r="C59" s="41">
        <f>Portafolio!H59</f>
        <v>7.5241008178584595E-3</v>
      </c>
      <c r="D59" s="41">
        <f>Portafolio!I59</f>
        <v>-8.2201612246451568E-3</v>
      </c>
      <c r="E59" s="41">
        <f>Portafolio!J59</f>
        <v>3.6980751488433833E-3</v>
      </c>
    </row>
    <row r="60" spans="1:5" x14ac:dyDescent="0.2">
      <c r="A60" s="41">
        <f>Portafolio!F60</f>
        <v>1.4347282613426004E-2</v>
      </c>
      <c r="B60" s="41">
        <f>Portafolio!G60</f>
        <v>3.6793121473435051E-3</v>
      </c>
      <c r="C60" s="41">
        <f>Portafolio!H60</f>
        <v>-4.8618261899616047E-4</v>
      </c>
      <c r="D60" s="41">
        <f>Portafolio!I60</f>
        <v>5.6981618175608508E-3</v>
      </c>
      <c r="E60" s="41">
        <f>Portafolio!J60</f>
        <v>4.6337446990717575E-3</v>
      </c>
    </row>
    <row r="61" spans="1:5" x14ac:dyDescent="0.2">
      <c r="A61" s="41">
        <f>Portafolio!F61</f>
        <v>5.8675683603629037E-3</v>
      </c>
      <c r="B61" s="41">
        <f>Portafolio!G61</f>
        <v>-1.5752086562333767E-3</v>
      </c>
      <c r="C61" s="41">
        <f>Portafolio!H61</f>
        <v>4.9183358399554396E-3</v>
      </c>
      <c r="D61" s="41">
        <f>Portafolio!I61</f>
        <v>-1.2067567354175589E-2</v>
      </c>
      <c r="E61" s="41">
        <f>Portafolio!J61</f>
        <v>-6.3215212262406235E-4</v>
      </c>
    </row>
    <row r="62" spans="1:5" x14ac:dyDescent="0.2">
      <c r="A62" s="41">
        <f>Portafolio!F62</f>
        <v>-2.6278835003809412E-3</v>
      </c>
      <c r="B62" s="41">
        <f>Portafolio!G62</f>
        <v>-7.5604337307585206E-3</v>
      </c>
      <c r="C62" s="41">
        <f>Portafolio!H62</f>
        <v>-2.9757978020443572E-3</v>
      </c>
      <c r="D62" s="41">
        <f>Portafolio!I62</f>
        <v>-1.2787371052778911E-3</v>
      </c>
      <c r="E62" s="41">
        <f>Portafolio!J62</f>
        <v>-2.5467237633194639E-3</v>
      </c>
    </row>
    <row r="63" spans="1:5" x14ac:dyDescent="0.2">
      <c r="A63" s="41">
        <f>Portafolio!F63</f>
        <v>2.2954556969230551E-2</v>
      </c>
      <c r="B63" s="41">
        <f>Portafolio!G63</f>
        <v>1.0583701900695479E-3</v>
      </c>
      <c r="C63" s="41">
        <f>Portafolio!H63</f>
        <v>1.4722279452399911E-2</v>
      </c>
      <c r="D63" s="41">
        <f>Portafolio!I63</f>
        <v>6.3967350467703291E-4</v>
      </c>
      <c r="E63" s="41">
        <f>Portafolio!J63</f>
        <v>1.126635096485344E-2</v>
      </c>
    </row>
    <row r="64" spans="1:5" x14ac:dyDescent="0.2">
      <c r="A64" s="41">
        <f>Portafolio!F64</f>
        <v>-8.6207243473615386E-3</v>
      </c>
      <c r="B64" s="41">
        <f>Portafolio!G64</f>
        <v>3.6955712633663846E-3</v>
      </c>
      <c r="C64" s="41">
        <f>Portafolio!H64</f>
        <v>-4.4488788474790633E-3</v>
      </c>
      <c r="D64" s="41">
        <f>Portafolio!I64</f>
        <v>-3.8437221263010121E-3</v>
      </c>
      <c r="E64" s="41">
        <f>Portafolio!J64</f>
        <v>-4.7527673251255564E-3</v>
      </c>
    </row>
    <row r="65" spans="1:5" x14ac:dyDescent="0.2">
      <c r="A65" s="41">
        <f>Portafolio!F65</f>
        <v>1.4184635374476782E-2</v>
      </c>
      <c r="B65" s="41">
        <f>Portafolio!G65</f>
        <v>2.981612142296002E-3</v>
      </c>
      <c r="C65" s="41">
        <f>Portafolio!H65</f>
        <v>1.8082265985749042E-2</v>
      </c>
      <c r="D65" s="41">
        <f>Portafolio!I65</f>
        <v>3.2040486216239152E-3</v>
      </c>
      <c r="E65" s="41">
        <f>Portafolio!J65</f>
        <v>1.1893495481086142E-2</v>
      </c>
    </row>
    <row r="66" spans="1:5" x14ac:dyDescent="0.2">
      <c r="A66" s="41">
        <f>Portafolio!F66</f>
        <v>3.0363308776654089E-3</v>
      </c>
      <c r="B66" s="41">
        <f>Portafolio!G66</f>
        <v>1.9246372583412658E-3</v>
      </c>
      <c r="C66" s="41">
        <f>Portafolio!H66</f>
        <v>8.7197537313942614E-3</v>
      </c>
      <c r="D66" s="41">
        <f>Portafolio!I66</f>
        <v>8.2829440398884853E-3</v>
      </c>
      <c r="E66" s="41">
        <f>Portafolio!J66</f>
        <v>7.1686436213717775E-3</v>
      </c>
    </row>
    <row r="67" spans="1:5" x14ac:dyDescent="0.2">
      <c r="A67" s="41">
        <f>Portafolio!F67</f>
        <v>9.0015200429287429E-3</v>
      </c>
      <c r="B67" s="41">
        <f>Portafolio!G67</f>
        <v>-1.0493722296692307E-3</v>
      </c>
      <c r="C67" s="41">
        <f>Portafolio!H67</f>
        <v>1.1355018101563337E-2</v>
      </c>
      <c r="D67" s="41">
        <f>Portafolio!I67</f>
        <v>7.5853598266493183E-3</v>
      </c>
      <c r="E67" s="41">
        <f>Portafolio!J67</f>
        <v>9.1643905003113632E-3</v>
      </c>
    </row>
    <row r="68" spans="1:5" x14ac:dyDescent="0.2">
      <c r="A68" s="41">
        <f>Portafolio!F68</f>
        <v>-1.0544870529251719E-4</v>
      </c>
      <c r="B68" s="41">
        <f>Portafolio!G68</f>
        <v>1.9229550455904989E-3</v>
      </c>
      <c r="C68" s="41">
        <f>Portafolio!H68</f>
        <v>9.0052481102475771E-3</v>
      </c>
      <c r="D68" s="41">
        <f>Portafolio!I68</f>
        <v>1.2586844676198644E-3</v>
      </c>
      <c r="E68" s="41">
        <f>Portafolio!J68</f>
        <v>4.4033721264817947E-3</v>
      </c>
    </row>
    <row r="69" spans="1:5" x14ac:dyDescent="0.2">
      <c r="A69" s="41">
        <f>Portafolio!F69</f>
        <v>9.2354873918627962E-3</v>
      </c>
      <c r="B69" s="41">
        <f>Portafolio!G69</f>
        <v>2.4420582166783792E-3</v>
      </c>
      <c r="C69" s="41">
        <f>Portafolio!H69</f>
        <v>3.0707044771690309E-3</v>
      </c>
      <c r="D69" s="41">
        <f>Portafolio!I69</f>
        <v>1.250014351434138E-2</v>
      </c>
      <c r="E69" s="41">
        <f>Portafolio!J69</f>
        <v>7.3128800811792212E-3</v>
      </c>
    </row>
    <row r="70" spans="1:5" x14ac:dyDescent="0.2">
      <c r="A70" s="41">
        <f>Portafolio!F70</f>
        <v>-4.2398033377747738E-3</v>
      </c>
      <c r="B70" s="41">
        <f>Portafolio!G70</f>
        <v>1.0915721899237774E-2</v>
      </c>
      <c r="C70" s="41">
        <f>Portafolio!H70</f>
        <v>-2.089635023942204E-3</v>
      </c>
      <c r="D70" s="41">
        <f>Portafolio!I70</f>
        <v>5.5745681417839043E-3</v>
      </c>
      <c r="E70" s="41">
        <f>Portafolio!J70</f>
        <v>4.8305978432557442E-4</v>
      </c>
    </row>
    <row r="71" spans="1:5" x14ac:dyDescent="0.2">
      <c r="A71" s="41">
        <f>Portafolio!F71</f>
        <v>3.5083046042034536E-3</v>
      </c>
      <c r="B71" s="41">
        <f>Portafolio!G71</f>
        <v>6.698173115196048E-3</v>
      </c>
      <c r="C71" s="41">
        <f>Portafolio!H71</f>
        <v>2.3505409404632072E-3</v>
      </c>
      <c r="D71" s="41">
        <f>Portafolio!I71</f>
        <v>-1.2361893781621346E-3</v>
      </c>
      <c r="E71" s="41">
        <f>Portafolio!J71</f>
        <v>1.6028665755635143E-3</v>
      </c>
    </row>
    <row r="72" spans="1:5" x14ac:dyDescent="0.2">
      <c r="A72" s="41">
        <f>Portafolio!F72</f>
        <v>-7.0289607553052254E-3</v>
      </c>
      <c r="B72" s="41">
        <f>Portafolio!G72</f>
        <v>2.564368058518235E-3</v>
      </c>
      <c r="C72" s="41">
        <f>Portafolio!H72</f>
        <v>1.3685641523619864E-3</v>
      </c>
      <c r="D72" s="41">
        <f>Portafolio!I72</f>
        <v>2.4706584385659168E-3</v>
      </c>
      <c r="E72" s="41">
        <f>Portafolio!J72</f>
        <v>9.8798185841385343E-5</v>
      </c>
    </row>
    <row r="73" spans="1:5" x14ac:dyDescent="0.2">
      <c r="A73" s="41">
        <f>Portafolio!F73</f>
        <v>-9.4805949388913479E-4</v>
      </c>
      <c r="B73" s="41">
        <f>Portafolio!G73</f>
        <v>-1.8798349524674102E-3</v>
      </c>
      <c r="C73" s="41">
        <f>Portafolio!H73</f>
        <v>-2.2819464710573719E-3</v>
      </c>
      <c r="D73" s="41">
        <f>Portafolio!I73</f>
        <v>0</v>
      </c>
      <c r="E73" s="41">
        <f>Portafolio!J73</f>
        <v>-1.2641891060539848E-3</v>
      </c>
    </row>
    <row r="74" spans="1:5" x14ac:dyDescent="0.2">
      <c r="A74" s="41">
        <f>Portafolio!F74</f>
        <v>3.2089405359202782E-3</v>
      </c>
      <c r="B74" s="41">
        <f>Portafolio!G74</f>
        <v>2.0506000205027385E-3</v>
      </c>
      <c r="C74" s="41">
        <f>Portafolio!H74</f>
        <v>2.2819464710573632E-3</v>
      </c>
      <c r="D74" s="41">
        <f>Portafolio!I74</f>
        <v>-1.8524051289652865E-3</v>
      </c>
      <c r="E74" s="41">
        <f>Portafolio!J74</f>
        <v>1.1247794634930003E-3</v>
      </c>
    </row>
    <row r="75" spans="1:5" x14ac:dyDescent="0.2">
      <c r="A75" s="41">
        <f>Portafolio!F75</f>
        <v>-5.4242788854046205E-3</v>
      </c>
      <c r="B75" s="41">
        <f>Portafolio!G75</f>
        <v>-5.9926490699218782E-3</v>
      </c>
      <c r="C75" s="41">
        <f>Portafolio!H75</f>
        <v>5.0673693523613879E-3</v>
      </c>
      <c r="D75" s="41">
        <f>Portafolio!I75</f>
        <v>7.3891849715765874E-3</v>
      </c>
      <c r="E75" s="41">
        <f>Portafolio!J75</f>
        <v>3.2728031829884706E-3</v>
      </c>
    </row>
    <row r="76" spans="1:5" x14ac:dyDescent="0.2">
      <c r="A76" s="41">
        <f>Portafolio!F76</f>
        <v>3.0580089148523034E-3</v>
      </c>
      <c r="B76" s="41">
        <f>Portafolio!G76</f>
        <v>1.1530896635000211E-2</v>
      </c>
      <c r="C76" s="41">
        <f>Portafolio!H76</f>
        <v>1.1340267252648781E-2</v>
      </c>
      <c r="D76" s="41">
        <f>Portafolio!I76</f>
        <v>1.6428683176453563E-2</v>
      </c>
      <c r="E76" s="41">
        <f>Portafolio!J76</f>
        <v>1.1337205332285261E-2</v>
      </c>
    </row>
    <row r="77" spans="1:5" x14ac:dyDescent="0.2">
      <c r="A77" s="41">
        <f>Portafolio!F77</f>
        <v>6.7683969358011721E-3</v>
      </c>
      <c r="B77" s="41">
        <f>Portafolio!G77</f>
        <v>3.4165183963682714E-3</v>
      </c>
      <c r="C77" s="41">
        <f>Portafolio!H77</f>
        <v>4.857594182652576E-3</v>
      </c>
      <c r="D77" s="41">
        <f>Portafolio!I77</f>
        <v>1.1401293855996619E-2</v>
      </c>
      <c r="E77" s="41">
        <f>Portafolio!J77</f>
        <v>7.2886194374990462E-3</v>
      </c>
    </row>
    <row r="78" spans="1:5" x14ac:dyDescent="0.2">
      <c r="A78" s="41">
        <f>Portafolio!F78</f>
        <v>-9.5097229376474839E-3</v>
      </c>
      <c r="B78" s="41">
        <f>Portafolio!G78</f>
        <v>-1.1944749472458554E-3</v>
      </c>
      <c r="C78" s="41">
        <f>Portafolio!H78</f>
        <v>7.3054908777762974E-3</v>
      </c>
      <c r="D78" s="41">
        <f>Portafolio!I78</f>
        <v>-5.9844807698541955E-3</v>
      </c>
      <c r="E78" s="41">
        <f>Portafolio!J78</f>
        <v>-6.7657508406678219E-4</v>
      </c>
    </row>
    <row r="79" spans="1:5" x14ac:dyDescent="0.2">
      <c r="A79" s="41">
        <f>Portafolio!F79</f>
        <v>2.084449839920156E-2</v>
      </c>
      <c r="B79" s="41">
        <f>Portafolio!G79</f>
        <v>1.5354718166455639E-3</v>
      </c>
      <c r="C79" s="41">
        <f>Portafolio!H79</f>
        <v>-1.266031176191559E-4</v>
      </c>
      <c r="D79" s="41">
        <f>Portafolio!I79</f>
        <v>3.306087505214772E-2</v>
      </c>
      <c r="E79" s="41">
        <f>Portafolio!J79</f>
        <v>1.4817472181668085E-2</v>
      </c>
    </row>
    <row r="80" spans="1:5" x14ac:dyDescent="0.2">
      <c r="A80" s="41">
        <f>Portafolio!F80</f>
        <v>-5.7032520050787593E-3</v>
      </c>
      <c r="B80" s="41">
        <f>Portafolio!G80</f>
        <v>-1.0233916476147672E-3</v>
      </c>
      <c r="C80" s="41">
        <f>Portafolio!H80</f>
        <v>-1.0563861768930536E-2</v>
      </c>
      <c r="D80" s="41">
        <f>Portafolio!I80</f>
        <v>-1.6393661333646715E-2</v>
      </c>
      <c r="E80" s="41">
        <f>Portafolio!J80</f>
        <v>-1.1084347639724431E-2</v>
      </c>
    </row>
    <row r="81" spans="1:5" x14ac:dyDescent="0.2">
      <c r="A81" s="41">
        <f>Portafolio!F81</f>
        <v>1.0088207138443817E-2</v>
      </c>
      <c r="B81" s="41">
        <f>Portafolio!G81</f>
        <v>2.3863212857141401E-3</v>
      </c>
      <c r="C81" s="41">
        <f>Portafolio!H81</f>
        <v>3.0661278355592595E-3</v>
      </c>
      <c r="D81" s="41">
        <f>Portafolio!I81</f>
        <v>8.8156554713472324E-3</v>
      </c>
      <c r="E81" s="41">
        <f>Portafolio!J81</f>
        <v>6.2910674085100739E-3</v>
      </c>
    </row>
    <row r="82" spans="1:5" x14ac:dyDescent="0.2">
      <c r="A82" s="41">
        <f>Portafolio!F82</f>
        <v>7.3850207302899578E-3</v>
      </c>
      <c r="B82" s="41">
        <f>Portafolio!G82</f>
        <v>-2.2156572655028478E-3</v>
      </c>
      <c r="C82" s="41">
        <f>Portafolio!H82</f>
        <v>1.0973473354382132E-2</v>
      </c>
      <c r="D82" s="41">
        <f>Portafolio!I82</f>
        <v>-9.9971434933014119E-3</v>
      </c>
      <c r="E82" s="41">
        <f>Portafolio!J82</f>
        <v>2.9608312065530873E-3</v>
      </c>
    </row>
    <row r="83" spans="1:5" x14ac:dyDescent="0.2">
      <c r="A83" s="41">
        <f>Portafolio!F83</f>
        <v>-1.301155524149791E-2</v>
      </c>
      <c r="B83" s="41">
        <f>Portafolio!G83</f>
        <v>7.3098102582420726E-3</v>
      </c>
      <c r="C83" s="41">
        <f>Portafolio!H83</f>
        <v>3.6521773139312004E-3</v>
      </c>
      <c r="D83" s="41">
        <f>Portafolio!I83</f>
        <v>-1.7889443279638567E-2</v>
      </c>
      <c r="E83" s="41">
        <f>Portafolio!J83</f>
        <v>-6.462677010402546E-3</v>
      </c>
    </row>
    <row r="84" spans="1:5" x14ac:dyDescent="0.2">
      <c r="A84" s="41">
        <f>Portafolio!F84</f>
        <v>7.8889519649972505E-3</v>
      </c>
      <c r="B84" s="41">
        <f>Portafolio!G84</f>
        <v>6.4156731620670822E-3</v>
      </c>
      <c r="C84" s="41">
        <f>Portafolio!H84</f>
        <v>8.8855459657744724E-3</v>
      </c>
      <c r="D84" s="41">
        <f>Portafolio!I84</f>
        <v>-1.2715943603931842E-2</v>
      </c>
      <c r="E84" s="41">
        <f>Portafolio!J84</f>
        <v>1.6239460641433211E-3</v>
      </c>
    </row>
    <row r="85" spans="1:5" x14ac:dyDescent="0.2">
      <c r="A85" s="41">
        <f>Portafolio!F85</f>
        <v>1.6553655693470191E-2</v>
      </c>
      <c r="B85" s="41">
        <f>Portafolio!G85</f>
        <v>8.5463889760277086E-3</v>
      </c>
      <c r="C85" s="41">
        <f>Portafolio!H85</f>
        <v>3.3584282184013106E-3</v>
      </c>
      <c r="D85" s="41">
        <f>Portafolio!I85</f>
        <v>2.4346320782964847E-3</v>
      </c>
      <c r="E85" s="41">
        <f>Portafolio!J85</f>
        <v>5.9026452512017154E-3</v>
      </c>
    </row>
    <row r="86" spans="1:5" x14ac:dyDescent="0.2">
      <c r="A86" s="41">
        <f>Portafolio!F86</f>
        <v>7.5742185089877612E-4</v>
      </c>
      <c r="B86" s="41">
        <f>Portafolio!G86</f>
        <v>-1.4962062138094838E-2</v>
      </c>
      <c r="C86" s="41">
        <f>Portafolio!H86</f>
        <v>1.8028547888701854E-2</v>
      </c>
      <c r="D86" s="41">
        <f>Portafolio!I86</f>
        <v>1.208465691282283E-2</v>
      </c>
      <c r="E86" s="41">
        <f>Portafolio!J86</f>
        <v>1.1323065403676197E-2</v>
      </c>
    </row>
    <row r="87" spans="1:5" x14ac:dyDescent="0.2">
      <c r="A87" s="41">
        <f>Portafolio!F87</f>
        <v>-2.7295073142777661E-3</v>
      </c>
      <c r="B87" s="41">
        <f>Portafolio!G87</f>
        <v>-7.4804742784532674E-3</v>
      </c>
      <c r="C87" s="41">
        <f>Portafolio!H87</f>
        <v>7.5329194945627474E-3</v>
      </c>
      <c r="D87" s="41">
        <f>Portafolio!I87</f>
        <v>-7.8383887172057826E-3</v>
      </c>
      <c r="E87" s="41">
        <f>Portafolio!J87</f>
        <v>-7.9846073633341348E-5</v>
      </c>
    </row>
    <row r="88" spans="1:5" x14ac:dyDescent="0.2">
      <c r="A88" s="41">
        <f>Portafolio!F88</f>
        <v>-8.53965400802611E-3</v>
      </c>
      <c r="B88" s="41">
        <f>Portafolio!G88</f>
        <v>7.1417585896560408E-3</v>
      </c>
      <c r="C88" s="41">
        <f>Portafolio!H88</f>
        <v>6.0338573294274594E-3</v>
      </c>
      <c r="D88" s="41">
        <f>Portafolio!I88</f>
        <v>-3.6386626067303612E-3</v>
      </c>
      <c r="E88" s="41">
        <f>Portafolio!J88</f>
        <v>5.68741357202258E-5</v>
      </c>
    </row>
    <row r="89" spans="1:5" x14ac:dyDescent="0.2">
      <c r="A89" s="41">
        <f>Portafolio!F89</f>
        <v>5.3458637702141027E-3</v>
      </c>
      <c r="B89" s="41">
        <f>Portafolio!G89</f>
        <v>-3.2244751257021888E-3</v>
      </c>
      <c r="C89" s="41">
        <f>Portafolio!H89</f>
        <v>1.3266549902395489E-2</v>
      </c>
      <c r="D89" s="41">
        <f>Portafolio!I89</f>
        <v>9.0718253225267661E-3</v>
      </c>
      <c r="E89" s="41">
        <f>Portafolio!J89</f>
        <v>9.6623755257628438E-3</v>
      </c>
    </row>
    <row r="90" spans="1:5" x14ac:dyDescent="0.2">
      <c r="A90" s="41">
        <f>Portafolio!F90</f>
        <v>-1.0771711802952852E-2</v>
      </c>
      <c r="B90" s="41">
        <f>Portafolio!G90</f>
        <v>-2.0955763699396959E-2</v>
      </c>
      <c r="C90" s="41">
        <f>Portafolio!H90</f>
        <v>-1.1343350930772851E-2</v>
      </c>
      <c r="D90" s="41">
        <f>Portafolio!I90</f>
        <v>-1.2723712230209391E-2</v>
      </c>
      <c r="E90" s="41">
        <f>Portafolio!J90</f>
        <v>-1.2066854335196407E-2</v>
      </c>
    </row>
    <row r="91" spans="1:5" x14ac:dyDescent="0.2">
      <c r="A91" s="41">
        <f>Portafolio!F91</f>
        <v>-7.7033791279105483E-4</v>
      </c>
      <c r="B91" s="41">
        <f>Portafolio!G91</f>
        <v>6.5744708171604086E-3</v>
      </c>
      <c r="C91" s="41">
        <f>Portafolio!H91</f>
        <v>5.6878079343058051E-3</v>
      </c>
      <c r="D91" s="41">
        <f>Portafolio!I91</f>
        <v>5.4729367751170889E-3</v>
      </c>
      <c r="E91" s="41">
        <f>Portafolio!J91</f>
        <v>4.3675221076814518E-3</v>
      </c>
    </row>
    <row r="92" spans="1:5" x14ac:dyDescent="0.2">
      <c r="A92" s="41">
        <f>Portafolio!F92</f>
        <v>-5.5629055748559423E-3</v>
      </c>
      <c r="B92" s="41">
        <f>Portafolio!G92</f>
        <v>5.6744066112261139E-3</v>
      </c>
      <c r="C92" s="41">
        <f>Portafolio!H92</f>
        <v>-5.9719768106862266E-4</v>
      </c>
      <c r="D92" s="41">
        <f>Portafolio!I92</f>
        <v>3.6318010530331695E-3</v>
      </c>
      <c r="E92" s="41">
        <f>Portafolio!J92</f>
        <v>3.21489971757522E-5</v>
      </c>
    </row>
    <row r="93" spans="1:5" x14ac:dyDescent="0.2">
      <c r="A93" s="41">
        <f>Portafolio!F93</f>
        <v>-2.8449113917028523E-3</v>
      </c>
      <c r="B93" s="41">
        <f>Portafolio!G93</f>
        <v>4.1068114348282283E-3</v>
      </c>
      <c r="C93" s="41">
        <f>Portafolio!H93</f>
        <v>5.8965836558493075E-3</v>
      </c>
      <c r="D93" s="41">
        <f>Portafolio!I93</f>
        <v>1.2077595132303129E-3</v>
      </c>
      <c r="E93" s="41">
        <f>Portafolio!J93</f>
        <v>2.569935941325565E-3</v>
      </c>
    </row>
    <row r="94" spans="1:5" x14ac:dyDescent="0.2">
      <c r="A94" s="41">
        <f>Portafolio!F94</f>
        <v>5.1779897604456546E-4</v>
      </c>
      <c r="B94" s="41">
        <f>Portafolio!G94</f>
        <v>2.5581149129798759E-3</v>
      </c>
      <c r="C94" s="41">
        <f>Portafolio!H94</f>
        <v>5.9800808714544585E-3</v>
      </c>
      <c r="D94" s="41">
        <f>Portafolio!I94</f>
        <v>6.0333319054379066E-4</v>
      </c>
      <c r="E94" s="41">
        <f>Portafolio!J94</f>
        <v>3.0186769285192503E-3</v>
      </c>
    </row>
    <row r="95" spans="1:5" x14ac:dyDescent="0.2">
      <c r="A95" s="41">
        <f>Portafolio!F95</f>
        <v>2.2237825955231019E-3</v>
      </c>
      <c r="B95" s="41">
        <f>Portafolio!G95</f>
        <v>6.811858639393253E-4</v>
      </c>
      <c r="C95" s="41">
        <f>Portafolio!H95</f>
        <v>5.2989165247204857E-3</v>
      </c>
      <c r="D95" s="41">
        <f>Portafolio!I95</f>
        <v>9.6039637827291333E-3</v>
      </c>
      <c r="E95" s="41">
        <f>Portafolio!J95</f>
        <v>5.8848997414621615E-3</v>
      </c>
    </row>
    <row r="96" spans="1:5" x14ac:dyDescent="0.2">
      <c r="A96" s="41">
        <f>Portafolio!F96</f>
        <v>-5.4389057902563941E-3</v>
      </c>
      <c r="B96" s="41">
        <f>Portafolio!G96</f>
        <v>3.0590814664282501E-3</v>
      </c>
      <c r="C96" s="41">
        <f>Portafolio!H96</f>
        <v>-1.1751806513597941E-3</v>
      </c>
      <c r="D96" s="41">
        <f>Portafolio!I96</f>
        <v>2.3866948027653455E-3</v>
      </c>
      <c r="E96" s="41">
        <f>Portafolio!J96</f>
        <v>-7.041279430002762E-4</v>
      </c>
    </row>
    <row r="97" spans="1:5" x14ac:dyDescent="0.2">
      <c r="A97" s="41">
        <f>Portafolio!F97</f>
        <v>-3.6442669115568614E-2</v>
      </c>
      <c r="B97" s="41">
        <f>Portafolio!G97</f>
        <v>1.4989765411567772E-2</v>
      </c>
      <c r="C97" s="41">
        <f>Portafolio!H97</f>
        <v>1.1573020195509662E-2</v>
      </c>
      <c r="D97" s="41">
        <f>Portafolio!I97</f>
        <v>2.7624383831125431E-2</v>
      </c>
      <c r="E97" s="41">
        <f>Portafolio!J97</f>
        <v>7.3153276728257968E-3</v>
      </c>
    </row>
    <row r="98" spans="1:5" x14ac:dyDescent="0.2">
      <c r="A98" s="41">
        <f>Portafolio!F98</f>
        <v>-7.5158087877084971E-3</v>
      </c>
      <c r="B98" s="41">
        <f>Portafolio!G98</f>
        <v>2.3375916662677874E-3</v>
      </c>
      <c r="C98" s="41">
        <f>Portafolio!H98</f>
        <v>-4.3679752008790812E-3</v>
      </c>
      <c r="D98" s="41">
        <f>Portafolio!I98</f>
        <v>-1.1600607305661888E-3</v>
      </c>
      <c r="E98" s="41">
        <f>Portafolio!J98</f>
        <v>-3.6876579815411335E-3</v>
      </c>
    </row>
    <row r="99" spans="1:5" x14ac:dyDescent="0.2">
      <c r="A99" s="41">
        <f>Portafolio!F99</f>
        <v>-1.2781428001649012E-2</v>
      </c>
      <c r="B99" s="41">
        <f>Portafolio!G99</f>
        <v>-3.3411282708156569E-3</v>
      </c>
      <c r="C99" s="41">
        <f>Portafolio!H99</f>
        <v>6.6141593258210608E-3</v>
      </c>
      <c r="D99" s="41">
        <f>Portafolio!I99</f>
        <v>-4.6539918884881352E-3</v>
      </c>
      <c r="E99" s="41">
        <f>Portafolio!J99</f>
        <v>-1.2900359350104709E-3</v>
      </c>
    </row>
    <row r="100" spans="1:5" x14ac:dyDescent="0.2">
      <c r="A100" s="41">
        <f>Portafolio!F100</f>
        <v>-4.0210117830922973E-3</v>
      </c>
      <c r="B100" s="41">
        <f>Portafolio!G100</f>
        <v>-1.5071191150336566E-3</v>
      </c>
      <c r="C100" s="41">
        <f>Portafolio!H100</f>
        <v>5.0046366419241994E-3</v>
      </c>
      <c r="D100" s="41">
        <f>Portafolio!I100</f>
        <v>1.8487103983690103E-2</v>
      </c>
      <c r="E100" s="41">
        <f>Portafolio!J100</f>
        <v>7.2850621287888859E-3</v>
      </c>
    </row>
    <row r="101" spans="1:5" x14ac:dyDescent="0.2">
      <c r="A101" s="41">
        <f>Portafolio!F101</f>
        <v>2.3887222589555022E-2</v>
      </c>
      <c r="B101" s="41">
        <f>Portafolio!G101</f>
        <v>7.3468937372898847E-3</v>
      </c>
      <c r="C101" s="41">
        <f>Portafolio!H101</f>
        <v>-1.4521496056958624E-3</v>
      </c>
      <c r="D101" s="41">
        <f>Portafolio!I101</f>
        <v>-8.62337357891769E-3</v>
      </c>
      <c r="E101" s="41">
        <f>Portafolio!J101</f>
        <v>1.6465945910325904E-3</v>
      </c>
    </row>
    <row r="102" spans="1:5" x14ac:dyDescent="0.2">
      <c r="A102" s="41">
        <f>Portafolio!F102</f>
        <v>-2.2659828390601978E-3</v>
      </c>
      <c r="B102" s="41">
        <f>Portafolio!G102</f>
        <v>-1.8316735365529078E-3</v>
      </c>
      <c r="C102" s="41">
        <f>Portafolio!H102</f>
        <v>-7.9374988566027482E-3</v>
      </c>
      <c r="D102" s="41">
        <f>Portafolio!I102</f>
        <v>-5.4130016942953952E-3</v>
      </c>
      <c r="E102" s="41">
        <f>Portafolio!J102</f>
        <v>-5.7440565981258501E-3</v>
      </c>
    </row>
    <row r="103" spans="1:5" x14ac:dyDescent="0.2">
      <c r="A103" s="41">
        <f>Portafolio!F103</f>
        <v>5.655471783241264E-3</v>
      </c>
      <c r="B103" s="41">
        <f>Portafolio!G103</f>
        <v>3.3277857054118689E-3</v>
      </c>
      <c r="C103" s="41">
        <f>Portafolio!H103</f>
        <v>2.1072476150256008E-3</v>
      </c>
      <c r="D103" s="41">
        <f>Portafolio!I103</f>
        <v>-4.7308269784354078E-3</v>
      </c>
      <c r="E103" s="41">
        <f>Portafolio!J103</f>
        <v>6.6043806687810023E-4</v>
      </c>
    </row>
    <row r="104" spans="1:5" x14ac:dyDescent="0.2">
      <c r="A104" s="41">
        <f>Portafolio!F104</f>
        <v>-3.2278053849822972E-3</v>
      </c>
      <c r="B104" s="41">
        <f>Portafolio!G104</f>
        <v>-6.4994939061170766E-3</v>
      </c>
      <c r="C104" s="41">
        <f>Portafolio!H104</f>
        <v>-4.2189451011928857E-3</v>
      </c>
      <c r="D104" s="41">
        <f>Portafolio!I104</f>
        <v>-3.8675610583800438E-2</v>
      </c>
      <c r="E104" s="41">
        <f>Portafolio!J104</f>
        <v>-1.5219798972113684E-2</v>
      </c>
    </row>
    <row r="105" spans="1:5" x14ac:dyDescent="0.2">
      <c r="A105" s="41">
        <f>Portafolio!F105</f>
        <v>1.776525989713901E-3</v>
      </c>
      <c r="B105" s="41">
        <f>Portafolio!G105</f>
        <v>9.6506195124218454E-3</v>
      </c>
      <c r="C105" s="41">
        <f>Portafolio!H105</f>
        <v>-7.3671383000021009E-3</v>
      </c>
      <c r="D105" s="41">
        <f>Portafolio!I105</f>
        <v>1.5286157688589852E-2</v>
      </c>
      <c r="E105" s="41">
        <f>Portafolio!J105</f>
        <v>2.4514514683125523E-3</v>
      </c>
    </row>
    <row r="106" spans="1:5" x14ac:dyDescent="0.2">
      <c r="A106" s="41">
        <f>Portafolio!F106</f>
        <v>-1.2393598825964395E-2</v>
      </c>
      <c r="B106" s="41">
        <f>Portafolio!G106</f>
        <v>-6.6456043485522889E-3</v>
      </c>
      <c r="C106" s="41">
        <f>Portafolio!H106</f>
        <v>-6.2900128628262742E-3</v>
      </c>
      <c r="D106" s="41">
        <f>Portafolio!I106</f>
        <v>-2.4301095699120847E-3</v>
      </c>
      <c r="E106" s="41">
        <f>Portafolio!J106</f>
        <v>-6.2770724136873785E-3</v>
      </c>
    </row>
    <row r="107" spans="1:5" x14ac:dyDescent="0.2">
      <c r="A107" s="41">
        <f>Portafolio!F107</f>
        <v>-5.186893307744119E-3</v>
      </c>
      <c r="B107" s="41">
        <f>Portafolio!G107</f>
        <v>0</v>
      </c>
      <c r="C107" s="41">
        <f>Portafolio!H107</f>
        <v>-5.371937640172391E-3</v>
      </c>
      <c r="D107" s="41">
        <f>Portafolio!I107</f>
        <v>-1.8264811991713004E-3</v>
      </c>
      <c r="E107" s="41">
        <f>Portafolio!J107</f>
        <v>-3.9729829038269698E-3</v>
      </c>
    </row>
    <row r="108" spans="1:5" x14ac:dyDescent="0.2">
      <c r="A108" s="41">
        <f>Portafolio!F108</f>
        <v>3.205143040647615E-2</v>
      </c>
      <c r="B108" s="41">
        <f>Portafolio!G108</f>
        <v>2.8297562882526783E-3</v>
      </c>
      <c r="C108" s="41">
        <f>Portafolio!H108</f>
        <v>1.9731308295413211E-3</v>
      </c>
      <c r="D108" s="41">
        <f>Portafolio!I108</f>
        <v>-6.0961109656987951E-4</v>
      </c>
      <c r="E108" s="41">
        <f>Portafolio!J108</f>
        <v>7.1709388576390986E-3</v>
      </c>
    </row>
    <row r="109" spans="1:5" x14ac:dyDescent="0.2">
      <c r="A109" s="41">
        <f>Portafolio!F109</f>
        <v>1.5413605907075779E-2</v>
      </c>
      <c r="B109" s="41">
        <f>Portafolio!G109</f>
        <v>-5.5003761178523645E-3</v>
      </c>
      <c r="C109" s="41">
        <f>Portafolio!H109</f>
        <v>1.7114591700558776E-2</v>
      </c>
      <c r="D109" s="41">
        <f>Portafolio!I109</f>
        <v>1.6329333065123283E-2</v>
      </c>
      <c r="E109" s="41">
        <f>Portafolio!J109</f>
        <v>1.5598900890331174E-2</v>
      </c>
    </row>
    <row r="110" spans="1:5" x14ac:dyDescent="0.2">
      <c r="A110" s="41">
        <f>Portafolio!F110</f>
        <v>1.2089939794405298E-2</v>
      </c>
      <c r="B110" s="41">
        <f>Portafolio!G110</f>
        <v>-4.3551865509223759E-3</v>
      </c>
      <c r="C110" s="41">
        <f>Portafolio!H110</f>
        <v>-1.1749870658817193E-3</v>
      </c>
      <c r="D110" s="41">
        <f>Portafolio!I110</f>
        <v>7.7681556093607577E-3</v>
      </c>
      <c r="E110" s="41">
        <f>Portafolio!J110</f>
        <v>4.2214622377396375E-3</v>
      </c>
    </row>
    <row r="111" spans="1:5" x14ac:dyDescent="0.2">
      <c r="A111" s="41">
        <f>Portafolio!F111</f>
        <v>6.6312354047433934E-3</v>
      </c>
      <c r="B111" s="41">
        <f>Portafolio!G111</f>
        <v>4.6892664291325829E-3</v>
      </c>
      <c r="C111" s="41">
        <f>Portafolio!H111</f>
        <v>-6.605698786174531E-3</v>
      </c>
      <c r="D111" s="41">
        <f>Portafolio!I111</f>
        <v>2.2949014004003898E-2</v>
      </c>
      <c r="E111" s="41">
        <f>Portafolio!J111</f>
        <v>6.019359605761769E-3</v>
      </c>
    </row>
    <row r="112" spans="1:5" x14ac:dyDescent="0.2">
      <c r="A112" s="41">
        <f>Portafolio!F112</f>
        <v>-3.4900447377881711E-3</v>
      </c>
      <c r="B112" s="41">
        <f>Portafolio!G112</f>
        <v>-1.5830462198802939E-2</v>
      </c>
      <c r="C112" s="41">
        <f>Portafolio!H112</f>
        <v>8.8957289910188905E-3</v>
      </c>
      <c r="D112" s="41">
        <f>Portafolio!I112</f>
        <v>-3.011736741564745E-2</v>
      </c>
      <c r="E112" s="41">
        <f>Portafolio!J112</f>
        <v>-7.1565942102710112E-3</v>
      </c>
    </row>
    <row r="113" spans="1:5" x14ac:dyDescent="0.2">
      <c r="A113" s="41">
        <f>Portafolio!F113</f>
        <v>-1.6980138057580752E-3</v>
      </c>
      <c r="B113" s="41">
        <f>Portafolio!G113</f>
        <v>4.2347552165082781E-3</v>
      </c>
      <c r="C113" s="41">
        <f>Portafolio!H113</f>
        <v>1.4209382167514918E-2</v>
      </c>
      <c r="D113" s="41">
        <f>Portafolio!I113</f>
        <v>2.9535485641168389E-2</v>
      </c>
      <c r="E113" s="41">
        <f>Portafolio!J113</f>
        <v>1.5570910902553053E-2</v>
      </c>
    </row>
    <row r="114" spans="1:5" x14ac:dyDescent="0.2">
      <c r="A114" s="41">
        <f>Portafolio!F114</f>
        <v>-9.053703332614238E-3</v>
      </c>
      <c r="B114" s="41">
        <f>Portafolio!G114</f>
        <v>3.5433502166368901E-3</v>
      </c>
      <c r="C114" s="41">
        <f>Portafolio!H114</f>
        <v>-3.8235737207052796E-3</v>
      </c>
      <c r="D114" s="41">
        <f>Portafolio!I114</f>
        <v>6.382391439619532E-3</v>
      </c>
      <c r="E114" s="41">
        <f>Portafolio!J114</f>
        <v>-1.2758431602761227E-3</v>
      </c>
    </row>
    <row r="115" spans="1:5" x14ac:dyDescent="0.2">
      <c r="A115" s="41">
        <f>Portafolio!F115</f>
        <v>-3.5923582258243084E-3</v>
      </c>
      <c r="B115" s="41">
        <f>Portafolio!G115</f>
        <v>6.045418986824742E-3</v>
      </c>
      <c r="C115" s="41">
        <f>Portafolio!H115</f>
        <v>2.608569026138582E-3</v>
      </c>
      <c r="D115" s="41">
        <f>Portafolio!I115</f>
        <v>-2.3161320398991719E-3</v>
      </c>
      <c r="E115" s="41">
        <f>Portafolio!J115</f>
        <v>-7.4265126993620706E-5</v>
      </c>
    </row>
    <row r="116" spans="1:5" x14ac:dyDescent="0.2">
      <c r="A116" s="41">
        <f>Portafolio!F116</f>
        <v>-1.9433375980611085E-2</v>
      </c>
      <c r="B116" s="41">
        <f>Portafolio!G116</f>
        <v>2.842073474480988E-3</v>
      </c>
      <c r="C116" s="41">
        <f>Portafolio!H116</f>
        <v>2.0287319345977977E-2</v>
      </c>
      <c r="D116" s="41">
        <f>Portafolio!I116</f>
        <v>1.610156507641821E-2</v>
      </c>
      <c r="E116" s="41">
        <f>Portafolio!J116</f>
        <v>1.0308660085380405E-2</v>
      </c>
    </row>
    <row r="117" spans="1:5" x14ac:dyDescent="0.2">
      <c r="A117" s="41">
        <f>Portafolio!F117</f>
        <v>-1.9547375416428876E-2</v>
      </c>
      <c r="B117" s="41">
        <f>Portafolio!G117</f>
        <v>-6.8682608284900979E-3</v>
      </c>
      <c r="C117" s="41">
        <f>Portafolio!H117</f>
        <v>-1.0894867940747696E-2</v>
      </c>
      <c r="D117" s="41">
        <f>Portafolio!I117</f>
        <v>9.08571462661973E-3</v>
      </c>
      <c r="E117" s="41">
        <f>Portafolio!J117</f>
        <v>-6.0153742372202074E-3</v>
      </c>
    </row>
    <row r="118" spans="1:5" x14ac:dyDescent="0.2">
      <c r="A118" s="41">
        <f>Portafolio!F118</f>
        <v>1.3252435087594459E-2</v>
      </c>
      <c r="B118" s="41">
        <f>Portafolio!G118</f>
        <v>2.4737724565590001E-2</v>
      </c>
      <c r="C118" s="41">
        <f>Portafolio!H118</f>
        <v>-3.6197520984293389E-3</v>
      </c>
      <c r="D118" s="41">
        <f>Portafolio!I118</f>
        <v>1.9592162762490182E-2</v>
      </c>
      <c r="E118" s="41">
        <f>Portafolio!J118</f>
        <v>8.3824326595088126E-3</v>
      </c>
    </row>
    <row r="119" spans="1:5" x14ac:dyDescent="0.2">
      <c r="A119" s="41">
        <f>Portafolio!F119</f>
        <v>-5.4198470459970276E-3</v>
      </c>
      <c r="B119" s="41">
        <f>Portafolio!G119</f>
        <v>-7.2416284624734579E-3</v>
      </c>
      <c r="C119" s="41">
        <f>Portafolio!H119</f>
        <v>5.7395664242008678E-3</v>
      </c>
      <c r="D119" s="41">
        <f>Portafolio!I119</f>
        <v>-1.1709175802896356E-2</v>
      </c>
      <c r="E119" s="41">
        <f>Portafolio!J119</f>
        <v>-2.6385457235104919E-3</v>
      </c>
    </row>
    <row r="120" spans="1:5" x14ac:dyDescent="0.2">
      <c r="A120" s="41">
        <f>Portafolio!F120</f>
        <v>9.7984505156412712E-3</v>
      </c>
      <c r="B120" s="41">
        <f>Portafolio!G120</f>
        <v>-8.2933112377348989E-3</v>
      </c>
      <c r="C120" s="41">
        <f>Portafolio!H120</f>
        <v>-1.3171600244696804E-3</v>
      </c>
      <c r="D120" s="41">
        <f>Portafolio!I120</f>
        <v>-5.6243984313423317E-3</v>
      </c>
      <c r="E120" s="41">
        <f>Portafolio!J120</f>
        <v>-7.7469153796365289E-4</v>
      </c>
    </row>
    <row r="121" spans="1:5" x14ac:dyDescent="0.2">
      <c r="A121" s="41">
        <f>Portafolio!F121</f>
        <v>8.5946741458582179E-3</v>
      </c>
      <c r="B121" s="41">
        <f>Portafolio!G121</f>
        <v>-1.6669342296507035E-3</v>
      </c>
      <c r="C121" s="41">
        <f>Portafolio!H121</f>
        <v>3.4324844651034197E-3</v>
      </c>
      <c r="D121" s="41">
        <f>Portafolio!I121</f>
        <v>-6.7910685184317367E-3</v>
      </c>
      <c r="E121" s="41">
        <f>Portafolio!J121</f>
        <v>9.5814517061633235E-4</v>
      </c>
    </row>
    <row r="122" spans="1:5" x14ac:dyDescent="0.2">
      <c r="A122" s="41">
        <f>Portafolio!F122</f>
        <v>5.8094509155742779E-4</v>
      </c>
      <c r="B122" s="41">
        <f>Portafolio!G122</f>
        <v>8.3381444850086286E-4</v>
      </c>
      <c r="C122" s="41">
        <f>Portafolio!H122</f>
        <v>1.8827811992427708E-3</v>
      </c>
      <c r="D122" s="41">
        <f>Portafolio!I122</f>
        <v>-1.6027947235816124E-2</v>
      </c>
      <c r="E122" s="41">
        <f>Portafolio!J122</f>
        <v>-4.1921114467546611E-3</v>
      </c>
    </row>
    <row r="123" spans="1:5" x14ac:dyDescent="0.2">
      <c r="A123" s="41">
        <f>Portafolio!F123</f>
        <v>-5.7713210785359176E-3</v>
      </c>
      <c r="B123" s="41">
        <f>Portafolio!G123</f>
        <v>-2.670619829599635E-3</v>
      </c>
      <c r="C123" s="41">
        <f>Portafolio!H123</f>
        <v>-3.5975477957779409E-3</v>
      </c>
      <c r="D123" s="41">
        <f>Portafolio!I123</f>
        <v>-2.9870396236716779E-2</v>
      </c>
      <c r="E123" s="41">
        <f>Portafolio!J123</f>
        <v>-1.2460627959492699E-2</v>
      </c>
    </row>
    <row r="124" spans="1:5" x14ac:dyDescent="0.2">
      <c r="A124" s="41">
        <f>Portafolio!F124</f>
        <v>4.0856395568765842E-3</v>
      </c>
      <c r="B124" s="41">
        <f>Portafolio!G124</f>
        <v>-4.5230317841640829E-3</v>
      </c>
      <c r="C124" s="41">
        <f>Portafolio!H124</f>
        <v>1.200619285424928E-3</v>
      </c>
      <c r="D124" s="41">
        <f>Portafolio!I124</f>
        <v>1.1883725529783697E-3</v>
      </c>
      <c r="E124" s="41">
        <f>Portafolio!J124</f>
        <v>1.5379715059817237E-3</v>
      </c>
    </row>
    <row r="125" spans="1:5" x14ac:dyDescent="0.2">
      <c r="A125" s="41">
        <f>Portafolio!F125</f>
        <v>-9.0426439389799818E-3</v>
      </c>
      <c r="B125" s="41">
        <f>Portafolio!G125</f>
        <v>2.3477669245357624E-3</v>
      </c>
      <c r="C125" s="41">
        <f>Portafolio!H125</f>
        <v>4.4469325058092328E-3</v>
      </c>
      <c r="D125" s="41">
        <f>Portafolio!I125</f>
        <v>1.0632216336701443E-2</v>
      </c>
      <c r="E125" s="41">
        <f>Portafolio!J125</f>
        <v>3.6659483318481909E-3</v>
      </c>
    </row>
    <row r="126" spans="1:5" x14ac:dyDescent="0.2">
      <c r="A126" s="41">
        <f>Portafolio!F126</f>
        <v>-1.133841763443315E-2</v>
      </c>
      <c r="B126" s="41">
        <f>Portafolio!G126</f>
        <v>-5.8799302773867674E-3</v>
      </c>
      <c r="C126" s="41">
        <f>Portafolio!H126</f>
        <v>-8.7416423305419957E-3</v>
      </c>
      <c r="D126" s="41">
        <f>Portafolio!I126</f>
        <v>-7.075609674194675E-3</v>
      </c>
      <c r="E126" s="41">
        <f>Portafolio!J126</f>
        <v>-8.605408745771443E-3</v>
      </c>
    </row>
    <row r="127" spans="1:5" x14ac:dyDescent="0.2">
      <c r="A127" s="41">
        <f>Portafolio!F127</f>
        <v>-4.8213974030586366E-3</v>
      </c>
      <c r="B127" s="41">
        <f>Portafolio!G127</f>
        <v>-1.0114192349661964E-3</v>
      </c>
      <c r="C127" s="41">
        <f>Portafolio!H127</f>
        <v>1.0105957663276266E-2</v>
      </c>
      <c r="D127" s="41">
        <f>Portafolio!I127</f>
        <v>5.9145856733030231E-4</v>
      </c>
      <c r="E127" s="41">
        <f>Portafolio!J127</f>
        <v>3.6101130568427101E-3</v>
      </c>
    </row>
    <row r="128" spans="1:5" x14ac:dyDescent="0.2">
      <c r="A128" s="41">
        <f>Portafolio!F128</f>
        <v>-1.5759825619922172E-3</v>
      </c>
      <c r="B128" s="41">
        <f>Portafolio!G128</f>
        <v>1.8535876226185115E-3</v>
      </c>
      <c r="C128" s="41">
        <f>Portafolio!H128</f>
        <v>2.1580013672744289E-2</v>
      </c>
      <c r="D128" s="41">
        <f>Portafolio!I128</f>
        <v>1.0588436740846002E-2</v>
      </c>
      <c r="E128" s="41">
        <f>Portafolio!J128</f>
        <v>1.2616390198828775E-2</v>
      </c>
    </row>
    <row r="129" spans="1:5" x14ac:dyDescent="0.2">
      <c r="A129" s="41">
        <f>Portafolio!F129</f>
        <v>-8.4661574423176515E-3</v>
      </c>
      <c r="B129" s="41">
        <f>Portafolio!G129</f>
        <v>-1.6839405150777205E-4</v>
      </c>
      <c r="C129" s="41">
        <f>Portafolio!H129</f>
        <v>-4.6810314347300336E-3</v>
      </c>
      <c r="D129" s="41">
        <f>Portafolio!I129</f>
        <v>-7.0465265167247411E-3</v>
      </c>
      <c r="E129" s="41">
        <f>Portafolio!J129</f>
        <v>-6.0135882698069696E-3</v>
      </c>
    </row>
    <row r="130" spans="1:5" x14ac:dyDescent="0.2">
      <c r="A130" s="41">
        <f>Portafolio!F130</f>
        <v>-4.1223013161664603E-3</v>
      </c>
      <c r="B130" s="41">
        <f>Portafolio!G130</f>
        <v>2.181787938436186E-2</v>
      </c>
      <c r="C130" s="41">
        <f>Portafolio!H130</f>
        <v>3.9023496044056838E-3</v>
      </c>
      <c r="D130" s="41">
        <f>Portafolio!I130</f>
        <v>-3.5419102241213379E-3</v>
      </c>
      <c r="E130" s="41">
        <f>Portafolio!J130</f>
        <v>6.3525156539686939E-4</v>
      </c>
    </row>
    <row r="131" spans="1:5" x14ac:dyDescent="0.2">
      <c r="A131" s="41">
        <f>Portafolio!F131</f>
        <v>4.1772619153831059E-3</v>
      </c>
      <c r="B131" s="41">
        <f>Portafolio!G131</f>
        <v>8.8568526987604264E-3</v>
      </c>
      <c r="C131" s="41">
        <f>Portafolio!H131</f>
        <v>6.4887245296995355E-3</v>
      </c>
      <c r="D131" s="41">
        <f>Portafolio!I131</f>
        <v>5.3082933634442889E-3</v>
      </c>
      <c r="E131" s="41">
        <f>Portafolio!J131</f>
        <v>5.7442633542833087E-3</v>
      </c>
    </row>
    <row r="132" spans="1:5" x14ac:dyDescent="0.2">
      <c r="A132" s="41">
        <f>Portafolio!F132</f>
        <v>1.118116096025438E-2</v>
      </c>
      <c r="B132" s="41">
        <f>Portafolio!G132</f>
        <v>-1.4707357985398316E-3</v>
      </c>
      <c r="C132" s="41">
        <f>Portafolio!H132</f>
        <v>1.1924178761792791E-2</v>
      </c>
      <c r="D132" s="41">
        <f>Portafolio!I132</f>
        <v>-2.4413339458236528E-2</v>
      </c>
      <c r="E132" s="41">
        <f>Portafolio!J132</f>
        <v>-4.8241640002808991E-4</v>
      </c>
    </row>
    <row r="133" spans="1:5" x14ac:dyDescent="0.2">
      <c r="A133" s="41">
        <f>Portafolio!F133</f>
        <v>-1.0084818339197638E-2</v>
      </c>
      <c r="B133" s="41">
        <f>Portafolio!G133</f>
        <v>8.1738858055153973E-4</v>
      </c>
      <c r="C133" s="41">
        <f>Portafolio!H133</f>
        <v>5.0128845481506338E-3</v>
      </c>
      <c r="D133" s="41">
        <f>Portafolio!I133</f>
        <v>1.2578760442407045E-2</v>
      </c>
      <c r="E133" s="41">
        <f>Portafolio!J133</f>
        <v>4.2707165151704609E-3</v>
      </c>
    </row>
    <row r="134" spans="1:5" x14ac:dyDescent="0.2">
      <c r="A134" s="41">
        <f>Portafolio!F134</f>
        <v>-7.479106127821062E-3</v>
      </c>
      <c r="B134" s="41">
        <f>Portafolio!G134</f>
        <v>-8.0388122707836501E-3</v>
      </c>
      <c r="C134" s="41">
        <f>Portafolio!H134</f>
        <v>-3.4300521667624483E-3</v>
      </c>
      <c r="D134" s="41">
        <f>Portafolio!I134</f>
        <v>-1.1976066753339242E-2</v>
      </c>
      <c r="E134" s="41">
        <f>Portafolio!J134</f>
        <v>-7.1796818815519281E-3</v>
      </c>
    </row>
    <row r="135" spans="1:5" x14ac:dyDescent="0.2">
      <c r="A135" s="41">
        <f>Portafolio!F135</f>
        <v>8.0816092470088127E-3</v>
      </c>
      <c r="B135" s="41">
        <f>Portafolio!G135</f>
        <v>-6.1132169466150627E-3</v>
      </c>
      <c r="C135" s="41">
        <f>Portafolio!H135</f>
        <v>4.9073938927271261E-4</v>
      </c>
      <c r="D135" s="41">
        <f>Portafolio!I135</f>
        <v>1.3760308076745754E-2</v>
      </c>
      <c r="E135" s="41">
        <f>Portafolio!J135</f>
        <v>6.0108026375325979E-3</v>
      </c>
    </row>
    <row r="136" spans="1:5" x14ac:dyDescent="0.2">
      <c r="A136" s="41">
        <f>Portafolio!F136</f>
        <v>-6.647496052951337E-3</v>
      </c>
      <c r="B136" s="41">
        <f>Portafolio!G136</f>
        <v>9.9389517455469021E-4</v>
      </c>
      <c r="C136" s="41">
        <f>Portafolio!H136</f>
        <v>5.0566859458387667E-3</v>
      </c>
      <c r="D136" s="41">
        <f>Portafolio!I136</f>
        <v>7.6945269621530249E-3</v>
      </c>
      <c r="E136" s="41">
        <f>Portafolio!J136</f>
        <v>3.4080470197937951E-3</v>
      </c>
    </row>
    <row r="137" spans="1:5" x14ac:dyDescent="0.2">
      <c r="A137" s="41">
        <f>Portafolio!F137</f>
        <v>-3.6999302544279294E-3</v>
      </c>
      <c r="B137" s="41">
        <f>Portafolio!G137</f>
        <v>-6.311315966027564E-3</v>
      </c>
      <c r="C137" s="41">
        <f>Portafolio!H137</f>
        <v>9.0702909341080495E-3</v>
      </c>
      <c r="D137" s="41">
        <f>Portafolio!I137</f>
        <v>-1.7703701935084114E-3</v>
      </c>
      <c r="E137" s="41">
        <f>Portafolio!J137</f>
        <v>2.4028454469607859E-3</v>
      </c>
    </row>
    <row r="138" spans="1:5" x14ac:dyDescent="0.2">
      <c r="A138" s="41">
        <f>Portafolio!F138</f>
        <v>-6.0485955778969338E-3</v>
      </c>
      <c r="B138" s="41">
        <f>Portafolio!G138</f>
        <v>-8.1974383416661724E-3</v>
      </c>
      <c r="C138" s="41">
        <f>Portafolio!H138</f>
        <v>-4.1470699285579005E-3</v>
      </c>
      <c r="D138" s="41">
        <f>Portafolio!I138</f>
        <v>2.9490604228386468E-3</v>
      </c>
      <c r="E138" s="41">
        <f>Portafolio!J138</f>
        <v>-2.4044345191337221E-3</v>
      </c>
    </row>
    <row r="139" spans="1:5" x14ac:dyDescent="0.2">
      <c r="A139" s="41">
        <f>Portafolio!F139</f>
        <v>-2.5708994582135079E-2</v>
      </c>
      <c r="B139" s="41">
        <f>Portafolio!G139</f>
        <v>4.6925289520041878E-3</v>
      </c>
      <c r="C139" s="41">
        <f>Portafolio!H139</f>
        <v>7.4737850456217817E-3</v>
      </c>
      <c r="D139" s="41">
        <f>Portafolio!I139</f>
        <v>-1.0657458514889893E-2</v>
      </c>
      <c r="E139" s="41">
        <f>Portafolio!J139</f>
        <v>-5.0974620049998969E-3</v>
      </c>
    </row>
    <row r="140" spans="1:5" x14ac:dyDescent="0.2">
      <c r="A140" s="41">
        <f>Portafolio!F140</f>
        <v>-2.8853134850884594E-2</v>
      </c>
      <c r="B140" s="41">
        <f>Portafolio!G140</f>
        <v>-4.8605552480539922E-3</v>
      </c>
      <c r="C140" s="41">
        <f>Portafolio!H140</f>
        <v>9.9673658093087422E-3</v>
      </c>
      <c r="D140" s="41">
        <f>Portafolio!I140</f>
        <v>2.1784911671504949E-2</v>
      </c>
      <c r="E140" s="41">
        <f>Portafolio!J140</f>
        <v>5.4328349983613598E-3</v>
      </c>
    </row>
    <row r="141" spans="1:5" x14ac:dyDescent="0.2">
      <c r="A141" s="41">
        <f>Portafolio!F141</f>
        <v>-5.8956789518436912E-3</v>
      </c>
      <c r="B141" s="41">
        <f>Portafolio!G141</f>
        <v>5.0397715508103207E-4</v>
      </c>
      <c r="C141" s="41">
        <f>Portafolio!H141</f>
        <v>5.1841067662975826E-3</v>
      </c>
      <c r="D141" s="41">
        <f>Portafolio!I141</f>
        <v>5.8222055801986279E-4</v>
      </c>
      <c r="E141" s="41">
        <f>Portafolio!J141</f>
        <v>1.3013706418258935E-3</v>
      </c>
    </row>
    <row r="142" spans="1:5" x14ac:dyDescent="0.2">
      <c r="A142" s="41">
        <f>Portafolio!F142</f>
        <v>-7.0975441095678829E-4</v>
      </c>
      <c r="B142" s="41">
        <f>Portafolio!G142</f>
        <v>-1.848914347035491E-3</v>
      </c>
      <c r="C142" s="41">
        <f>Portafolio!H142</f>
        <v>-8.7971014039722271E-3</v>
      </c>
      <c r="D142" s="41">
        <f>Portafolio!I142</f>
        <v>-7.5957392761439417E-3</v>
      </c>
      <c r="E142" s="41">
        <f>Portafolio!J142</f>
        <v>-6.5141749146078601E-3</v>
      </c>
    </row>
    <row r="143" spans="1:5" x14ac:dyDescent="0.2">
      <c r="A143" s="41">
        <f>Portafolio!F143</f>
        <v>1.0184574634208254E-2</v>
      </c>
      <c r="B143" s="41">
        <f>Portafolio!G143</f>
        <v>1.3449371919544843E-3</v>
      </c>
      <c r="C143" s="41">
        <f>Portafolio!H143</f>
        <v>1.8612639482236896E-3</v>
      </c>
      <c r="D143" s="41">
        <f>Portafolio!I143</f>
        <v>8.7592244143747111E-3</v>
      </c>
      <c r="E143" s="41">
        <f>Portafolio!J143</f>
        <v>5.7223787045832183E-3</v>
      </c>
    </row>
    <row r="144" spans="1:5" x14ac:dyDescent="0.2">
      <c r="A144" s="41">
        <f>Portafolio!F144</f>
        <v>1.1762232376596935E-2</v>
      </c>
      <c r="B144" s="41">
        <f>Portafolio!G144</f>
        <v>1.2024245731310248E-2</v>
      </c>
      <c r="C144" s="41">
        <f>Portafolio!H144</f>
        <v>3.7176867835657829E-4</v>
      </c>
      <c r="D144" s="41">
        <f>Portafolio!I144</f>
        <v>7.5296267385311973E-3</v>
      </c>
      <c r="E144" s="41">
        <f>Portafolio!J144</f>
        <v>5.4249516032035304E-3</v>
      </c>
    </row>
    <row r="145" spans="1:5" x14ac:dyDescent="0.2">
      <c r="A145" s="41">
        <f>Portafolio!F145</f>
        <v>2.7746091448219968E-3</v>
      </c>
      <c r="B145" s="41">
        <f>Portafolio!G145</f>
        <v>4.3067844327523246E-3</v>
      </c>
      <c r="C145" s="41">
        <f>Portafolio!H145</f>
        <v>8.1983530120362299E-3</v>
      </c>
      <c r="D145" s="41">
        <f>Portafolio!I145</f>
        <v>-7.5296267385311115E-3</v>
      </c>
      <c r="E145" s="41">
        <f>Portafolio!J145</f>
        <v>1.8892832149732274E-3</v>
      </c>
    </row>
    <row r="146" spans="1:5" x14ac:dyDescent="0.2">
      <c r="A146" s="41">
        <f>Portafolio!F146</f>
        <v>-1.2196574219039144E-2</v>
      </c>
      <c r="B146" s="41">
        <f>Portafolio!G146</f>
        <v>1.0195775101912073E-2</v>
      </c>
      <c r="C146" s="41">
        <f>Portafolio!H146</f>
        <v>8.079352123651724E-3</v>
      </c>
      <c r="D146" s="41">
        <f>Portafolio!I146</f>
        <v>-5.8160336375158385E-4</v>
      </c>
      <c r="E146" s="41">
        <f>Portafolio!J146</f>
        <v>1.3329689280354286E-3</v>
      </c>
    </row>
    <row r="147" spans="1:5" x14ac:dyDescent="0.2">
      <c r="A147" s="41">
        <f>Portafolio!F147</f>
        <v>1.0868104262170121E-2</v>
      </c>
      <c r="B147" s="41">
        <f>Portafolio!G147</f>
        <v>-2.2289265661106588E-3</v>
      </c>
      <c r="C147" s="41">
        <f>Portafolio!H147</f>
        <v>-1.7978656730612674E-2</v>
      </c>
      <c r="D147" s="41">
        <f>Portafolio!I147</f>
        <v>-1.0526393935028697E-2</v>
      </c>
      <c r="E147" s="41">
        <f>Portafolio!J147</f>
        <v>-9.1838570477960242E-3</v>
      </c>
    </row>
    <row r="148" spans="1:5" x14ac:dyDescent="0.2">
      <c r="A148" s="41">
        <f>Portafolio!F148</f>
        <v>-2.1990199647653258E-3</v>
      </c>
      <c r="B148" s="41">
        <f>Portafolio!G148</f>
        <v>-1.0300751202101817E-2</v>
      </c>
      <c r="C148" s="41">
        <f>Portafolio!H148</f>
        <v>1.2319503083121451E-2</v>
      </c>
      <c r="D148" s="41">
        <f>Portafolio!I148</f>
        <v>2.3487728844055851E-3</v>
      </c>
      <c r="E148" s="41">
        <f>Portafolio!J148</f>
        <v>5.288344628770811E-3</v>
      </c>
    </row>
    <row r="149" spans="1:5" x14ac:dyDescent="0.2">
      <c r="A149" s="41">
        <f>Portafolio!F149</f>
        <v>6.3521899768463532E-3</v>
      </c>
      <c r="B149" s="41">
        <f>Portafolio!G149</f>
        <v>4.1663069910752798E-3</v>
      </c>
      <c r="C149" s="41">
        <f>Portafolio!H149</f>
        <v>1.2325227911982373E-2</v>
      </c>
      <c r="D149" s="41">
        <f>Portafolio!I149</f>
        <v>1.455631158926427E-2</v>
      </c>
      <c r="E149" s="41">
        <f>Portafolio!J149</f>
        <v>1.1520549274986875E-2</v>
      </c>
    </row>
    <row r="150" spans="1:5" x14ac:dyDescent="0.2">
      <c r="A150" s="41">
        <f>Portafolio!F150</f>
        <v>1.3493637966671364E-2</v>
      </c>
      <c r="B150" s="41">
        <f>Portafolio!G150</f>
        <v>1.6616478726241028E-3</v>
      </c>
      <c r="C150" s="41">
        <f>Portafolio!H150</f>
        <v>5.8480844115032697E-3</v>
      </c>
      <c r="D150" s="41">
        <f>Portafolio!I150</f>
        <v>-7.5427928711403599E-3</v>
      </c>
      <c r="E150" s="41">
        <f>Portafolio!J150</f>
        <v>2.8851977273495972E-3</v>
      </c>
    </row>
    <row r="151" spans="1:5" x14ac:dyDescent="0.2">
      <c r="A151" s="41">
        <f>Portafolio!F151</f>
        <v>1.4602145308817756E-2</v>
      </c>
      <c r="B151" s="41">
        <f>Portafolio!G151</f>
        <v>8.5965451914703454E-3</v>
      </c>
      <c r="C151" s="41">
        <f>Portafolio!H151</f>
        <v>1.3021806957661381E-2</v>
      </c>
      <c r="D151" s="41">
        <f>Portafolio!I151</f>
        <v>2.3269110502146303E-3</v>
      </c>
      <c r="E151" s="41">
        <f>Portafolio!J151</f>
        <v>9.7091490238554387E-3</v>
      </c>
    </row>
    <row r="152" spans="1:5" x14ac:dyDescent="0.2">
      <c r="A152" s="41">
        <f>Portafolio!F152</f>
        <v>-4.1715613983300662E-2</v>
      </c>
      <c r="B152" s="41">
        <f>Portafolio!G152</f>
        <v>-4.6196894266072042E-3</v>
      </c>
      <c r="C152" s="41">
        <f>Portafolio!H152</f>
        <v>1.3809332358761774E-2</v>
      </c>
      <c r="D152" s="41">
        <f>Portafolio!I152</f>
        <v>-2.9095910236789767E-3</v>
      </c>
      <c r="E152" s="41">
        <f>Portafolio!J152</f>
        <v>-3.399021503757634E-3</v>
      </c>
    </row>
    <row r="153" spans="1:5" x14ac:dyDescent="0.2">
      <c r="A153" s="41">
        <f>Portafolio!F153</f>
        <v>5.2960884338796171E-3</v>
      </c>
      <c r="B153" s="41">
        <f>Portafolio!G153</f>
        <v>3.3072101581254086E-4</v>
      </c>
      <c r="C153" s="41">
        <f>Portafolio!H153</f>
        <v>-1.2333324609694349E-2</v>
      </c>
      <c r="D153" s="41">
        <f>Portafolio!I153</f>
        <v>-1.0544773183150766E-2</v>
      </c>
      <c r="E153" s="41">
        <f>Portafolio!J153</f>
        <v>-7.7257881598648886E-3</v>
      </c>
    </row>
    <row r="154" spans="1:5" x14ac:dyDescent="0.2">
      <c r="A154" s="41">
        <f>Portafolio!F154</f>
        <v>-8.3350523254073824E-3</v>
      </c>
      <c r="B154" s="41">
        <f>Portafolio!G154</f>
        <v>-1.4890065620656438E-3</v>
      </c>
      <c r="C154" s="41">
        <f>Portafolio!H154</f>
        <v>-9.1968412694247506E-3</v>
      </c>
      <c r="D154" s="41">
        <f>Portafolio!I154</f>
        <v>8.2110739967389546E-3</v>
      </c>
      <c r="E154" s="41">
        <f>Portafolio!J154</f>
        <v>-3.0997758442341842E-3</v>
      </c>
    </row>
    <row r="155" spans="1:5" x14ac:dyDescent="0.2">
      <c r="A155" s="41">
        <f>Portafolio!F155</f>
        <v>-6.6948293563426041E-3</v>
      </c>
      <c r="B155" s="41">
        <f>Portafolio!G155</f>
        <v>2.3152310191375206E-3</v>
      </c>
      <c r="C155" s="41">
        <f>Portafolio!H155</f>
        <v>4.6600093568763086E-3</v>
      </c>
      <c r="D155" s="41">
        <f>Portafolio!I155</f>
        <v>3.4985997178958793E-3</v>
      </c>
      <c r="E155" s="41">
        <f>Portafolio!J155</f>
        <v>1.9266764970238747E-3</v>
      </c>
    </row>
    <row r="156" spans="1:5" x14ac:dyDescent="0.2">
      <c r="A156" s="41">
        <f>Portafolio!F156</f>
        <v>2.0990652674622658E-2</v>
      </c>
      <c r="B156" s="41">
        <f>Portafolio!G156</f>
        <v>8.0612064628980545E-3</v>
      </c>
      <c r="C156" s="41">
        <f>Portafolio!H156</f>
        <v>1.9178381247547345E-2</v>
      </c>
      <c r="D156" s="41">
        <f>Portafolio!I156</f>
        <v>2.130803414272742E-2</v>
      </c>
      <c r="E156" s="41">
        <f>Portafolio!J156</f>
        <v>1.9771976007712862E-2</v>
      </c>
    </row>
    <row r="157" spans="1:5" x14ac:dyDescent="0.2">
      <c r="A157" s="41">
        <f>Portafolio!F157</f>
        <v>-1.0615167680639992E-2</v>
      </c>
      <c r="B157" s="41">
        <f>Portafolio!G157</f>
        <v>2.4548076667502516E-3</v>
      </c>
      <c r="C157" s="41">
        <f>Portafolio!H157</f>
        <v>3.9017948330012063E-3</v>
      </c>
      <c r="D157" s="41">
        <f>Portafolio!I157</f>
        <v>2.8449078782690519E-3</v>
      </c>
      <c r="E157" s="41">
        <f>Portafolio!J157</f>
        <v>6.0853637361498478E-4</v>
      </c>
    </row>
    <row r="158" spans="1:5" x14ac:dyDescent="0.2">
      <c r="A158" s="41">
        <f>Portafolio!F158</f>
        <v>-8.4917741718009161E-3</v>
      </c>
      <c r="B158" s="41">
        <f>Portafolio!G158</f>
        <v>-8.2061974569752581E-3</v>
      </c>
      <c r="C158" s="41">
        <f>Portafolio!H158</f>
        <v>-6.8129855912890617E-3</v>
      </c>
      <c r="D158" s="41">
        <f>Portafolio!I158</f>
        <v>-5.697991304405129E-3</v>
      </c>
      <c r="E158" s="41">
        <f>Portafolio!J158</f>
        <v>-6.8451408794689668E-3</v>
      </c>
    </row>
    <row r="159" spans="1:5" x14ac:dyDescent="0.2">
      <c r="A159" s="41">
        <f>Portafolio!F159</f>
        <v>-7.0234473180625914E-3</v>
      </c>
      <c r="B159" s="41">
        <f>Portafolio!G159</f>
        <v>-8.7726750393700287E-3</v>
      </c>
      <c r="C159" s="41">
        <f>Portafolio!H159</f>
        <v>-4.0223368324664339E-4</v>
      </c>
      <c r="D159" s="41">
        <f>Portafolio!I159</f>
        <v>1.1421632595400733E-3</v>
      </c>
      <c r="E159" s="41">
        <f>Portafolio!J159</f>
        <v>-1.5660624475801071E-3</v>
      </c>
    </row>
    <row r="160" spans="1:5" x14ac:dyDescent="0.2">
      <c r="A160" s="41">
        <f>Portafolio!F160</f>
        <v>4.7859728642550272E-3</v>
      </c>
      <c r="B160" s="41">
        <f>Portafolio!G160</f>
        <v>-5.3342326889105063E-3</v>
      </c>
      <c r="C160" s="41">
        <f>Portafolio!H160</f>
        <v>-2.8200016753762752E-3</v>
      </c>
      <c r="D160" s="41">
        <f>Portafolio!I160</f>
        <v>5.12394513644681E-3</v>
      </c>
      <c r="E160" s="41">
        <f>Portafolio!J160</f>
        <v>1.1536595746890201E-3</v>
      </c>
    </row>
    <row r="161" spans="1:5" x14ac:dyDescent="0.2">
      <c r="A161" s="41">
        <f>Portafolio!F161</f>
        <v>-4.9043056684808586E-3</v>
      </c>
      <c r="B161" s="41">
        <f>Portafolio!G161</f>
        <v>-8.8979314726668046E-3</v>
      </c>
      <c r="C161" s="41">
        <f>Portafolio!H161</f>
        <v>-7.637567148412871E-3</v>
      </c>
      <c r="D161" s="41">
        <f>Portafolio!I161</f>
        <v>-2.2740551851044106E-3</v>
      </c>
      <c r="E161" s="41">
        <f>Portafolio!J161</f>
        <v>-5.4155994439799007E-3</v>
      </c>
    </row>
    <row r="162" spans="1:5" x14ac:dyDescent="0.2">
      <c r="A162" s="41">
        <f>Portafolio!F162</f>
        <v>4.4916084303433098E-3</v>
      </c>
      <c r="B162" s="41">
        <f>Portafolio!G162</f>
        <v>3.5350412795235415E-3</v>
      </c>
      <c r="C162" s="41">
        <f>Portafolio!H162</f>
        <v>9.1580546261534317E-3</v>
      </c>
      <c r="D162" s="41">
        <f>Portafolio!I162</f>
        <v>-8.5739149328683574E-3</v>
      </c>
      <c r="E162" s="41">
        <f>Portafolio!J162</f>
        <v>2.2833408245603111E-3</v>
      </c>
    </row>
    <row r="163" spans="1:5" x14ac:dyDescent="0.2">
      <c r="A163" s="41">
        <f>Portafolio!F163</f>
        <v>-6.685740856598745E-3</v>
      </c>
      <c r="B163" s="41">
        <f>Portafolio!G163</f>
        <v>-4.0410882798711488E-3</v>
      </c>
      <c r="C163" s="41">
        <f>Portafolio!H163</f>
        <v>5.202946011474462E-3</v>
      </c>
      <c r="D163" s="41">
        <f>Portafolio!I163</f>
        <v>-9.8068295948848475E-3</v>
      </c>
      <c r="E163" s="41">
        <f>Portafolio!J163</f>
        <v>-2.3818341387223203E-3</v>
      </c>
    </row>
    <row r="164" spans="1:5" x14ac:dyDescent="0.2">
      <c r="A164" s="41">
        <f>Portafolio!F164</f>
        <v>7.2163751807764352E-3</v>
      </c>
      <c r="B164" s="41">
        <f>Portafolio!G164</f>
        <v>7.5637276739742845E-3</v>
      </c>
      <c r="C164" s="41">
        <f>Portafolio!H164</f>
        <v>-6.7235150953914692E-3</v>
      </c>
      <c r="D164" s="41">
        <f>Portafolio!I164</f>
        <v>-4.2513463190354973E-3</v>
      </c>
      <c r="E164" s="41">
        <f>Portafolio!J164</f>
        <v>-2.564760984689371E-3</v>
      </c>
    </row>
    <row r="165" spans="1:5" x14ac:dyDescent="0.2">
      <c r="A165" s="41">
        <f>Portafolio!F165</f>
        <v>-1.120175412492392E-2</v>
      </c>
      <c r="B165" s="41">
        <f>Portafolio!G165</f>
        <v>-1.348640955626019E-2</v>
      </c>
      <c r="C165" s="41">
        <f>Portafolio!H165</f>
        <v>-8.557882737226321E-3</v>
      </c>
      <c r="D165" s="41">
        <f>Portafolio!I165</f>
        <v>-1.0110097057956752E-2</v>
      </c>
      <c r="E165" s="41">
        <f>Portafolio!J165</f>
        <v>-9.7864092446691246E-3</v>
      </c>
    </row>
    <row r="166" spans="1:5" x14ac:dyDescent="0.2">
      <c r="A166" s="41">
        <f>Portafolio!F166</f>
        <v>4.236087617690229E-2</v>
      </c>
      <c r="B166" s="41">
        <f>Portafolio!G166</f>
        <v>2.2039331166826617E-3</v>
      </c>
      <c r="C166" s="41">
        <f>Portafolio!H166</f>
        <v>-2.0473527315899678E-4</v>
      </c>
      <c r="D166" s="41">
        <f>Portafolio!I166</f>
        <v>-1.8703414262897906E-2</v>
      </c>
      <c r="E166" s="41">
        <f>Portafolio!J166</f>
        <v>2.4157821398819264E-3</v>
      </c>
    </row>
    <row r="167" spans="1:5" x14ac:dyDescent="0.2">
      <c r="A167" s="41">
        <f>Portafolio!F167</f>
        <v>8.5896815167550832E-3</v>
      </c>
      <c r="B167" s="41">
        <f>Portafolio!G167</f>
        <v>-1.3125590939175541E-2</v>
      </c>
      <c r="C167" s="41">
        <f>Portafolio!H167</f>
        <v>-6.6864291458487934E-2</v>
      </c>
      <c r="D167" s="41">
        <f>Portafolio!I167</f>
        <v>-6.7217247231749887E-3</v>
      </c>
      <c r="E167" s="41">
        <f>Portafolio!J167</f>
        <v>-3.0246366724337927E-2</v>
      </c>
    </row>
    <row r="168" spans="1:5" x14ac:dyDescent="0.2">
      <c r="A168" s="41">
        <f>Portafolio!F168</f>
        <v>-2.2106106529132866E-2</v>
      </c>
      <c r="B168" s="41">
        <f>Portafolio!G168</f>
        <v>-2.4050333635455131E-3</v>
      </c>
      <c r="C168" s="41">
        <f>Portafolio!H168</f>
        <v>5.4697060967347623E-4</v>
      </c>
      <c r="D168" s="41">
        <f>Portafolio!I168</f>
        <v>-4.3010263731349009E-3</v>
      </c>
      <c r="E168" s="41">
        <f>Portafolio!J168</f>
        <v>-5.6513111627722696E-3</v>
      </c>
    </row>
    <row r="169" spans="1:5" x14ac:dyDescent="0.2">
      <c r="A169" s="41">
        <f>Portafolio!F169</f>
        <v>-1.9353292388622649E-2</v>
      </c>
      <c r="B169" s="41">
        <f>Portafolio!G169</f>
        <v>-1.3769359849297128E-3</v>
      </c>
      <c r="C169" s="41">
        <f>Portafolio!H169</f>
        <v>-1.1493392825475091E-2</v>
      </c>
      <c r="D169" s="41">
        <f>Portafolio!I169</f>
        <v>-9.2793792839827582E-3</v>
      </c>
      <c r="E169" s="41">
        <f>Portafolio!J169</f>
        <v>-1.1933324263826817E-2</v>
      </c>
    </row>
    <row r="170" spans="1:5" x14ac:dyDescent="0.2">
      <c r="A170" s="41">
        <f>Portafolio!F170</f>
        <v>-8.1807529156866562E-3</v>
      </c>
      <c r="B170" s="41">
        <f>Portafolio!G170</f>
        <v>7.7206836858722564E-3</v>
      </c>
      <c r="C170" s="41">
        <f>Portafolio!H170</f>
        <v>-3.9902601949420831E-3</v>
      </c>
      <c r="D170" s="41">
        <f>Portafolio!I170</f>
        <v>1.8628149729069926E-3</v>
      </c>
      <c r="E170" s="41">
        <f>Portafolio!J170</f>
        <v>-2.4608274972705148E-3</v>
      </c>
    </row>
    <row r="171" spans="1:5" x14ac:dyDescent="0.2">
      <c r="A171" s="41">
        <f>Portafolio!F171</f>
        <v>-5.7307029681765223E-3</v>
      </c>
      <c r="B171" s="41">
        <f>Portafolio!G171</f>
        <v>6.8132245978021052E-3</v>
      </c>
      <c r="C171" s="41">
        <f>Portafolio!H171</f>
        <v>6.4760434973849422E-3</v>
      </c>
      <c r="D171" s="41">
        <f>Portafolio!I171</f>
        <v>1.2943127412559438E-2</v>
      </c>
      <c r="E171" s="41">
        <f>Portafolio!J171</f>
        <v>6.141074302354505E-3</v>
      </c>
    </row>
    <row r="172" spans="1:5" x14ac:dyDescent="0.2">
      <c r="A172" s="41">
        <f>Portafolio!F172</f>
        <v>-1.2287828139873455E-2</v>
      </c>
      <c r="B172" s="41">
        <f>Portafolio!G172</f>
        <v>2.1162958107073866E-2</v>
      </c>
      <c r="C172" s="41">
        <f>Portafolio!H172</f>
        <v>2.4793566191605932E-2</v>
      </c>
      <c r="D172" s="41">
        <f>Portafolio!I172</f>
        <v>1.0962394432582713E-2</v>
      </c>
      <c r="E172" s="41">
        <f>Portafolio!J172</f>
        <v>1.2796456943029434E-2</v>
      </c>
    </row>
    <row r="173" spans="1:5" x14ac:dyDescent="0.2">
      <c r="A173" s="41">
        <f>Portafolio!F173</f>
        <v>5.07788929321121E-3</v>
      </c>
      <c r="B173" s="41">
        <f>Portafolio!G173</f>
        <v>6.2956618817539729E-3</v>
      </c>
      <c r="C173" s="41">
        <f>Portafolio!H173</f>
        <v>1.9243130694284457E-2</v>
      </c>
      <c r="D173" s="41">
        <f>Portafolio!I173</f>
        <v>-1.2187931160931781E-2</v>
      </c>
      <c r="E173" s="41">
        <f>Portafolio!J173</f>
        <v>5.7608140379832506E-3</v>
      </c>
    </row>
    <row r="174" spans="1:5" x14ac:dyDescent="0.2">
      <c r="A174" s="41">
        <f>Portafolio!F174</f>
        <v>6.3713730744178647E-3</v>
      </c>
      <c r="B174" s="41">
        <f>Portafolio!G174</f>
        <v>1.4852540987510795E-3</v>
      </c>
      <c r="C174" s="41">
        <f>Portafolio!H174</f>
        <v>1.4310268539026554E-2</v>
      </c>
      <c r="D174" s="41">
        <f>Portafolio!I174</f>
        <v>1.1582000481511069E-2</v>
      </c>
      <c r="E174" s="41">
        <f>Portafolio!J174</f>
        <v>1.1324813505728726E-2</v>
      </c>
    </row>
    <row r="175" spans="1:5" x14ac:dyDescent="0.2">
      <c r="A175" s="41">
        <f>Portafolio!F175</f>
        <v>1.2622341953280228E-2</v>
      </c>
      <c r="B175" s="41">
        <f>Portafolio!G175</f>
        <v>1.4895089026447495E-2</v>
      </c>
      <c r="C175" s="41">
        <f>Portafolio!H175</f>
        <v>4.8803897357337367E-3</v>
      </c>
      <c r="D175" s="41">
        <f>Portafolio!I175</f>
        <v>1.8613569807513386E-2</v>
      </c>
      <c r="E175" s="41">
        <f>Portafolio!J175</f>
        <v>1.1258669061240949E-2</v>
      </c>
    </row>
    <row r="176" spans="1:5" x14ac:dyDescent="0.2">
      <c r="A176" s="41">
        <f>Portafolio!F176</f>
        <v>5.1340934294748482E-3</v>
      </c>
      <c r="B176" s="41">
        <f>Portafolio!G176</f>
        <v>3.082230575187468E-3</v>
      </c>
      <c r="C176" s="41">
        <f>Portafolio!H176</f>
        <v>1.500784386497234E-3</v>
      </c>
      <c r="D176" s="41">
        <f>Portafolio!I176</f>
        <v>-1.377680211997016E-2</v>
      </c>
      <c r="E176" s="41">
        <f>Portafolio!J176</f>
        <v>-2.6343550378729137E-3</v>
      </c>
    </row>
    <row r="177" spans="1:5" x14ac:dyDescent="0.2">
      <c r="A177" s="41">
        <f>Portafolio!F177</f>
        <v>-3.4788581331064421E-3</v>
      </c>
      <c r="B177" s="41">
        <f>Portafolio!G177</f>
        <v>0</v>
      </c>
      <c r="C177" s="41">
        <f>Portafolio!H177</f>
        <v>6.2045885918183598E-4</v>
      </c>
      <c r="D177" s="41">
        <f>Portafolio!I177</f>
        <v>1.020115925682203E-2</v>
      </c>
      <c r="E177" s="41">
        <f>Portafolio!J177</f>
        <v>2.8658700770441805E-3</v>
      </c>
    </row>
    <row r="178" spans="1:5" x14ac:dyDescent="0.2">
      <c r="A178" s="41">
        <f>Portafolio!F178</f>
        <v>2.4505258851654717E-2</v>
      </c>
      <c r="B178" s="41">
        <f>Portafolio!G178</f>
        <v>4.8472846158211921E-3</v>
      </c>
      <c r="C178" s="41">
        <f>Portafolio!H178</f>
        <v>-1.0859387138235847E-3</v>
      </c>
      <c r="D178" s="41">
        <f>Portafolio!I178</f>
        <v>1.5990897700798735E-2</v>
      </c>
      <c r="E178" s="41">
        <f>Portafolio!J178</f>
        <v>9.7610369015713565E-3</v>
      </c>
    </row>
    <row r="179" spans="1:5" x14ac:dyDescent="0.2">
      <c r="A179" s="41">
        <f>Portafolio!F179</f>
        <v>-1.8439790545778333E-2</v>
      </c>
      <c r="B179" s="41">
        <f>Portafolio!G179</f>
        <v>-4.3615431401830369E-3</v>
      </c>
      <c r="C179" s="41">
        <f>Portafolio!H179</f>
        <v>-7.9996022089060346E-3</v>
      </c>
      <c r="D179" s="41">
        <f>Portafolio!I179</f>
        <v>-7.6674124514332052E-3</v>
      </c>
      <c r="E179" s="41">
        <f>Portafolio!J179</f>
        <v>-9.8249133735717059E-3</v>
      </c>
    </row>
    <row r="180" spans="1:5" x14ac:dyDescent="0.2">
      <c r="A180" s="41">
        <f>Portafolio!F180</f>
        <v>-6.0654683058762593E-3</v>
      </c>
      <c r="B180" s="41">
        <f>Portafolio!G180</f>
        <v>2.5869042305606007E-3</v>
      </c>
      <c r="C180" s="41">
        <f>Portafolio!H180</f>
        <v>6.2565312240965142E-4</v>
      </c>
      <c r="D180" s="41">
        <f>Portafolio!I180</f>
        <v>1.7746003431574375E-3</v>
      </c>
      <c r="E180" s="41">
        <f>Portafolio!J180</f>
        <v>-2.5763063477360479E-4</v>
      </c>
    </row>
    <row r="181" spans="1:5" x14ac:dyDescent="0.2">
      <c r="A181" s="41">
        <f>Portafolio!F181</f>
        <v>2.1792612899963495E-2</v>
      </c>
      <c r="B181" s="41">
        <f>Portafolio!G181</f>
        <v>9.683988994642935E-4</v>
      </c>
      <c r="C181" s="41">
        <f>Portafolio!H181</f>
        <v>-1.0429762752333207E-3</v>
      </c>
      <c r="D181" s="41">
        <f>Portafolio!I181</f>
        <v>-5.9277432873759113E-3</v>
      </c>
      <c r="E181" s="41">
        <f>Portafolio!J181</f>
        <v>2.0164309576452869E-3</v>
      </c>
    </row>
    <row r="182" spans="1:5" x14ac:dyDescent="0.2">
      <c r="A182" s="41">
        <f>Portafolio!F182</f>
        <v>5.8095544508652106E-2</v>
      </c>
      <c r="B182" s="41">
        <f>Portafolio!G182</f>
        <v>2.8994529241732746E-3</v>
      </c>
      <c r="C182" s="41">
        <f>Portafolio!H182</f>
        <v>-6.0183515082071516E-3</v>
      </c>
      <c r="D182" s="41">
        <f>Portafolio!I182</f>
        <v>1.7820997373106853E-3</v>
      </c>
      <c r="E182" s="41">
        <f>Portafolio!J182</f>
        <v>9.6391400005362733E-3</v>
      </c>
    </row>
    <row r="183" spans="1:5" x14ac:dyDescent="0.2">
      <c r="A183" s="41">
        <f>Portafolio!F183</f>
        <v>-9.1483674173388676E-3</v>
      </c>
      <c r="B183" s="41">
        <f>Portafolio!G183</f>
        <v>2.8910542328630683E-3</v>
      </c>
      <c r="C183" s="41">
        <f>Portafolio!H183</f>
        <v>7.7907210062601899E-3</v>
      </c>
      <c r="D183" s="41">
        <f>Portafolio!I183</f>
        <v>8.2741716697485573E-3</v>
      </c>
      <c r="E183" s="41">
        <f>Portafolio!J183</f>
        <v>4.3701257264089095E-3</v>
      </c>
    </row>
    <row r="184" spans="1:5" x14ac:dyDescent="0.2">
      <c r="A184" s="41">
        <f>Portafolio!F184</f>
        <v>3.7898712813242458E-3</v>
      </c>
      <c r="B184" s="41">
        <f>Portafolio!G184</f>
        <v>4.3210584019733201E-3</v>
      </c>
      <c r="C184" s="41">
        <f>Portafolio!H184</f>
        <v>-1.3029561227812455E-3</v>
      </c>
      <c r="D184" s="41">
        <f>Portafolio!I184</f>
        <v>5.283244107095986E-3</v>
      </c>
      <c r="E184" s="41">
        <f>Portafolio!J184</f>
        <v>2.0645390083400394E-3</v>
      </c>
    </row>
    <row r="185" spans="1:5" x14ac:dyDescent="0.2">
      <c r="A185" s="41">
        <f>Portafolio!F185</f>
        <v>1.8624377821563668E-3</v>
      </c>
      <c r="B185" s="41">
        <f>Portafolio!G185</f>
        <v>3.666217842342803E-3</v>
      </c>
      <c r="C185" s="41">
        <f>Portafolio!H185</f>
        <v>2.0134915133947339E-2</v>
      </c>
      <c r="D185" s="41">
        <f>Portafolio!I185</f>
        <v>1.7549955781686565E-3</v>
      </c>
      <c r="E185" s="41">
        <f>Portafolio!J185</f>
        <v>9.8964805338732417E-3</v>
      </c>
    </row>
    <row r="186" spans="1:5" x14ac:dyDescent="0.2">
      <c r="A186" s="41">
        <f>Portafolio!F186</f>
        <v>9.9644209184128335E-3</v>
      </c>
      <c r="B186" s="41">
        <f>Portafolio!G186</f>
        <v>4.7729304993157585E-4</v>
      </c>
      <c r="C186" s="41">
        <f>Portafolio!H186</f>
        <v>9.4112742907778765E-3</v>
      </c>
      <c r="D186" s="41">
        <f>Portafolio!I186</f>
        <v>4.0827757174903999E-3</v>
      </c>
      <c r="E186" s="41">
        <f>Portafolio!J186</f>
        <v>7.4393189277554839E-3</v>
      </c>
    </row>
    <row r="187" spans="1:5" x14ac:dyDescent="0.2">
      <c r="A187" s="41">
        <f>Portafolio!F187</f>
        <v>-6.9140777525400921E-3</v>
      </c>
      <c r="B187" s="41">
        <f>Portafolio!G187</f>
        <v>6.0250352963449492E-3</v>
      </c>
      <c r="C187" s="41">
        <f>Portafolio!H187</f>
        <v>6.4097849393042125E-3</v>
      </c>
      <c r="D187" s="41">
        <f>Portafolio!I187</f>
        <v>-5.8223411107649701E-4</v>
      </c>
      <c r="E187" s="41">
        <f>Portafolio!J187</f>
        <v>1.4848421374378694E-3</v>
      </c>
    </row>
    <row r="188" spans="1:5" x14ac:dyDescent="0.2">
      <c r="A188" s="41">
        <f>Portafolio!F188</f>
        <v>1.7491613013872163E-2</v>
      </c>
      <c r="B188" s="41">
        <f>Portafolio!G188</f>
        <v>5.0457831514656758E-3</v>
      </c>
      <c r="C188" s="41">
        <f>Portafolio!H188</f>
        <v>-2.0125493872400897E-4</v>
      </c>
      <c r="D188" s="41">
        <f>Portafolio!I188</f>
        <v>5.2280020464313707E-3</v>
      </c>
      <c r="E188" s="41">
        <f>Portafolio!J188</f>
        <v>5.2894175070424595E-3</v>
      </c>
    </row>
    <row r="189" spans="1:5" x14ac:dyDescent="0.2">
      <c r="A189" s="41">
        <f>Portafolio!F189</f>
        <v>6.1545058292852206E-3</v>
      </c>
      <c r="B189" s="41">
        <f>Portafolio!G189</f>
        <v>-7.578230471947678E-3</v>
      </c>
      <c r="C189" s="41">
        <f>Portafolio!H189</f>
        <v>1.3891880096165623E-2</v>
      </c>
      <c r="D189" s="41">
        <f>Portafolio!I189</f>
        <v>2.3147859350525577E-3</v>
      </c>
      <c r="E189" s="41">
        <f>Portafolio!J189</f>
        <v>7.741590600439551E-3</v>
      </c>
    </row>
    <row r="190" spans="1:5" x14ac:dyDescent="0.2">
      <c r="A190" s="41">
        <f>Portafolio!F190</f>
        <v>1.2143861705092206E-2</v>
      </c>
      <c r="B190" s="41">
        <f>Portafolio!G190</f>
        <v>4.7533860586955039E-4</v>
      </c>
      <c r="C190" s="41">
        <f>Portafolio!H190</f>
        <v>2.9731023414911141E-3</v>
      </c>
      <c r="D190" s="41">
        <f>Portafolio!I190</f>
        <v>1.732579879352201E-3</v>
      </c>
      <c r="E190" s="41">
        <f>Portafolio!J190</f>
        <v>4.2992049997478965E-3</v>
      </c>
    </row>
    <row r="191" spans="1:5" x14ac:dyDescent="0.2">
      <c r="A191" s="41">
        <f>Portafolio!F191</f>
        <v>6.3229391275216771E-4</v>
      </c>
      <c r="B191" s="41">
        <f>Portafolio!G191</f>
        <v>3.0051413878821489E-3</v>
      </c>
      <c r="C191" s="41">
        <f>Portafolio!H191</f>
        <v>1.7796277524522572E-3</v>
      </c>
      <c r="D191" s="41">
        <f>Portafolio!I191</f>
        <v>-1.732579879352136E-3</v>
      </c>
      <c r="E191" s="41">
        <f>Portafolio!J191</f>
        <v>4.690148869109129E-4</v>
      </c>
    </row>
    <row r="192" spans="1:5" x14ac:dyDescent="0.2">
      <c r="A192" s="41">
        <f>Portafolio!F192</f>
        <v>1.5802948487189222E-4</v>
      </c>
      <c r="B192" s="41">
        <f>Portafolio!G192</f>
        <v>-4.5904615610439566E-3</v>
      </c>
      <c r="C192" s="41">
        <f>Portafolio!H192</f>
        <v>1.1393284747523526E-2</v>
      </c>
      <c r="D192" s="41">
        <f>Portafolio!I192</f>
        <v>5.7637472026845571E-3</v>
      </c>
      <c r="E192" s="41">
        <f>Portafolio!J192</f>
        <v>6.6867282502597282E-3</v>
      </c>
    </row>
    <row r="193" spans="1:5" x14ac:dyDescent="0.2">
      <c r="A193" s="41">
        <f>Portafolio!F193</f>
        <v>6.1431644627328542E-3</v>
      </c>
      <c r="B193" s="41">
        <f>Portafolio!G193</f>
        <v>-7.3248867997968373E-3</v>
      </c>
      <c r="C193" s="41">
        <f>Portafolio!H193</f>
        <v>-4.6015528245516947E-2</v>
      </c>
      <c r="D193" s="41">
        <f>Portafolio!I193</f>
        <v>6.8728485226429662E-3</v>
      </c>
      <c r="E193" s="41">
        <f>Portafolio!J193</f>
        <v>-1.6993383491286342E-2</v>
      </c>
    </row>
    <row r="194" spans="1:5" x14ac:dyDescent="0.2">
      <c r="A194" s="41">
        <f>Portafolio!F194</f>
        <v>6.8338906269820778E-3</v>
      </c>
      <c r="B194" s="41">
        <f>Portafolio!G194</f>
        <v>5.4192175886679812E-3</v>
      </c>
      <c r="C194" s="41">
        <f>Portafolio!H194</f>
        <v>1.9944982273812171E-2</v>
      </c>
      <c r="D194" s="41">
        <f>Portafolio!I194</f>
        <v>-1.4372182648414963E-2</v>
      </c>
      <c r="E194" s="41">
        <f>Portafolio!J194</f>
        <v>5.6781425033624287E-3</v>
      </c>
    </row>
    <row r="195" spans="1:5" x14ac:dyDescent="0.2">
      <c r="A195" s="41">
        <f>Portafolio!F195</f>
        <v>-7.5669526869904195E-3</v>
      </c>
      <c r="B195" s="41">
        <f>Portafolio!G195</f>
        <v>1.4295762641888972E-3</v>
      </c>
      <c r="C195" s="41">
        <f>Portafolio!H195</f>
        <v>-6.0830483624738684E-3</v>
      </c>
      <c r="D195" s="41">
        <f>Portafolio!I195</f>
        <v>1.3229934834084765E-2</v>
      </c>
      <c r="E195" s="41">
        <f>Portafolio!J195</f>
        <v>1.524966103229634E-4</v>
      </c>
    </row>
    <row r="196" spans="1:5" x14ac:dyDescent="0.2">
      <c r="A196" s="41">
        <f>Portafolio!F196</f>
        <v>-2.128302424671985E-2</v>
      </c>
      <c r="B196" s="41">
        <f>Portafolio!G196</f>
        <v>-1.454975939193497E-2</v>
      </c>
      <c r="C196" s="41">
        <f>Portafolio!H196</f>
        <v>-7.0339066105817626E-3</v>
      </c>
      <c r="D196" s="41">
        <f>Portafolio!I196</f>
        <v>-1.7157346722541096E-3</v>
      </c>
      <c r="E196" s="41">
        <f>Portafolio!J196</f>
        <v>-8.466960280245097E-3</v>
      </c>
    </row>
    <row r="197" spans="1:5" x14ac:dyDescent="0.2">
      <c r="A197" s="41">
        <f>Portafolio!F197</f>
        <v>1.6452046082168593E-2</v>
      </c>
      <c r="B197" s="41">
        <f>Portafolio!G197</f>
        <v>-1.4505435120728959E-3</v>
      </c>
      <c r="C197" s="41">
        <f>Portafolio!H197</f>
        <v>1.9063546062445577E-2</v>
      </c>
      <c r="D197" s="41">
        <f>Portafolio!I197</f>
        <v>1.7157346722542091E-3</v>
      </c>
      <c r="E197" s="41">
        <f>Portafolio!J197</f>
        <v>1.2114109100863532E-2</v>
      </c>
    </row>
    <row r="198" spans="1:5" x14ac:dyDescent="0.2">
      <c r="A198" s="41">
        <f>Portafolio!F198</f>
        <v>5.2749355993220789E-5</v>
      </c>
      <c r="B198" s="41">
        <f>Portafolio!G198</f>
        <v>-2.907479760967422E-3</v>
      </c>
      <c r="C198" s="41">
        <f>Portafolio!H198</f>
        <v>-6.0468730383955328E-3</v>
      </c>
      <c r="D198" s="41">
        <f>Portafolio!I198</f>
        <v>-1.3229934834084642E-2</v>
      </c>
      <c r="E198" s="41">
        <f>Portafolio!J198</f>
        <v>-7.0179605837380008E-3</v>
      </c>
    </row>
    <row r="199" spans="1:5" x14ac:dyDescent="0.2">
      <c r="A199" s="41">
        <f>Portafolio!F199</f>
        <v>1.5777000232845243E-3</v>
      </c>
      <c r="B199" s="41">
        <f>Portafolio!G199</f>
        <v>-1.9429887302046369E-3</v>
      </c>
      <c r="C199" s="41">
        <f>Portafolio!H199</f>
        <v>-6.99180300416376E-3</v>
      </c>
      <c r="D199" s="41">
        <f>Portafolio!I199</f>
        <v>-8.7235267318123977E-3</v>
      </c>
      <c r="E199" s="41">
        <f>Portafolio!J199</f>
        <v>-5.6356646599645859E-3</v>
      </c>
    </row>
    <row r="200" spans="1:5" x14ac:dyDescent="0.2">
      <c r="A200" s="41">
        <f>Portafolio!F200</f>
        <v>5.2413568168104213E-3</v>
      </c>
      <c r="B200" s="41">
        <f>Portafolio!G200</f>
        <v>4.3664643547632167E-3</v>
      </c>
      <c r="C200" s="41">
        <f>Portafolio!H200</f>
        <v>6.1393658971166812E-3</v>
      </c>
      <c r="D200" s="41">
        <f>Portafolio!I200</f>
        <v>2.8787286268958209E-2</v>
      </c>
      <c r="E200" s="41">
        <f>Portafolio!J200</f>
        <v>1.3187324385848765E-2</v>
      </c>
    </row>
    <row r="201" spans="1:5" x14ac:dyDescent="0.2">
      <c r="A201" s="41">
        <f>Portafolio!F201</f>
        <v>5.0060225548219234E-3</v>
      </c>
      <c r="B201" s="41">
        <f>Portafolio!G201</f>
        <v>1.537262663889283E-2</v>
      </c>
      <c r="C201" s="41">
        <f>Portafolio!H201</f>
        <v>1.6419907185533298E-2</v>
      </c>
      <c r="D201" s="41">
        <f>Portafolio!I201</f>
        <v>3.3485178750257492E-2</v>
      </c>
      <c r="E201" s="41">
        <f>Portafolio!J201</f>
        <v>1.9602194943886292E-2</v>
      </c>
    </row>
    <row r="202" spans="1:5" x14ac:dyDescent="0.2">
      <c r="A202" s="41">
        <f>Portafolio!F202</f>
        <v>9.2161623911649945E-3</v>
      </c>
      <c r="B202" s="41">
        <f>Portafolio!G202</f>
        <v>0</v>
      </c>
      <c r="C202" s="41">
        <f>Portafolio!H202</f>
        <v>-4.0053977401266682E-3</v>
      </c>
      <c r="D202" s="41">
        <f>Portafolio!I202</f>
        <v>-1.1592695309031092E-2</v>
      </c>
      <c r="E202" s="41">
        <f>Portafolio!J202</f>
        <v>-3.6518516749706404E-3</v>
      </c>
    </row>
    <row r="203" spans="1:5" x14ac:dyDescent="0.2">
      <c r="A203" s="41">
        <f>Portafolio!F203</f>
        <v>1.6479275844381797E-3</v>
      </c>
      <c r="B203" s="41">
        <f>Portafolio!G203</f>
        <v>1.5922092232906072E-2</v>
      </c>
      <c r="C203" s="41">
        <f>Portafolio!H203</f>
        <v>-1.3267754604042227E-2</v>
      </c>
      <c r="D203" s="41">
        <f>Portafolio!I203</f>
        <v>1.8702397437831947E-2</v>
      </c>
      <c r="E203" s="41">
        <f>Portafolio!J203</f>
        <v>1.2012027507080619E-3</v>
      </c>
    </row>
    <row r="204" spans="1:5" x14ac:dyDescent="0.2">
      <c r="A204" s="41">
        <f>Portafolio!F204</f>
        <v>7.7904722351031866E-3</v>
      </c>
      <c r="B204" s="41">
        <f>Portafolio!G204</f>
        <v>-3.1287359214828865E-4</v>
      </c>
      <c r="C204" s="41">
        <f>Portafolio!H204</f>
        <v>-9.5859227382981537E-3</v>
      </c>
      <c r="D204" s="41">
        <f>Portafolio!I204</f>
        <v>-2.7285349047250127E-3</v>
      </c>
      <c r="E204" s="41">
        <f>Portafolio!J204</f>
        <v>-3.5336314810909385E-3</v>
      </c>
    </row>
    <row r="205" spans="1:5" x14ac:dyDescent="0.2">
      <c r="A205" s="41">
        <f>Portafolio!F205</f>
        <v>-7.121864915451831E-3</v>
      </c>
      <c r="B205" s="41">
        <f>Portafolio!G205</f>
        <v>3.5918669636785371E-3</v>
      </c>
      <c r="C205" s="41">
        <f>Portafolio!H205</f>
        <v>-1.7757906147097171E-3</v>
      </c>
      <c r="D205" s="41">
        <f>Portafolio!I205</f>
        <v>-1.0934242170624129E-3</v>
      </c>
      <c r="E205" s="41">
        <f>Portafolio!J205</f>
        <v>-2.4022431861128344E-3</v>
      </c>
    </row>
    <row r="206" spans="1:5" x14ac:dyDescent="0.2">
      <c r="A206" s="41">
        <f>Portafolio!F206</f>
        <v>1.2315935510636394E-2</v>
      </c>
      <c r="B206" s="41">
        <f>Portafolio!G206</f>
        <v>-3.748245865629597E-3</v>
      </c>
      <c r="C206" s="41">
        <f>Portafolio!H206</f>
        <v>1.5320518573155651E-2</v>
      </c>
      <c r="D206" s="41">
        <f>Portafolio!I206</f>
        <v>-9.8955551720559757E-3</v>
      </c>
      <c r="E206" s="41">
        <f>Portafolio!J206</f>
        <v>5.8158408020062904E-3</v>
      </c>
    </row>
    <row r="207" spans="1:5" x14ac:dyDescent="0.2">
      <c r="A207" s="41">
        <f>Portafolio!F207</f>
        <v>-1.9333515601065478E-2</v>
      </c>
      <c r="B207" s="41">
        <f>Portafolio!G207</f>
        <v>-5.0196004719991047E-3</v>
      </c>
      <c r="C207" s="41">
        <f>Portafolio!H207</f>
        <v>-1.7018402117130581E-3</v>
      </c>
      <c r="D207" s="41">
        <f>Portafolio!I207</f>
        <v>-1.3348415321843266E-2</v>
      </c>
      <c r="E207" s="41">
        <f>Portafolio!J207</f>
        <v>-9.1053487940438455E-3</v>
      </c>
    </row>
    <row r="208" spans="1:5" x14ac:dyDescent="0.2">
      <c r="A208" s="41">
        <f>Portafolio!F208</f>
        <v>7.0131414104475584E-2</v>
      </c>
      <c r="B208" s="41">
        <f>Portafolio!G208</f>
        <v>-6.2929080548693986E-4</v>
      </c>
      <c r="C208" s="41">
        <f>Portafolio!H208</f>
        <v>-2.6653349995766375E-2</v>
      </c>
      <c r="D208" s="41">
        <f>Portafolio!I208</f>
        <v>0</v>
      </c>
      <c r="E208" s="41">
        <f>Portafolio!J208</f>
        <v>2.2909531779188013E-3</v>
      </c>
    </row>
    <row r="209" spans="1:5" x14ac:dyDescent="0.2">
      <c r="A209" s="41">
        <f>Portafolio!F209</f>
        <v>2.8177683832117249E-2</v>
      </c>
      <c r="B209" s="41">
        <f>Portafolio!G209</f>
        <v>-1.0598781521427382E-2</v>
      </c>
      <c r="C209" s="41">
        <f>Portafolio!H209</f>
        <v>-1.4667664855327797E-2</v>
      </c>
      <c r="D209" s="41">
        <f>Portafolio!I209</f>
        <v>-1.4096584264906203E-2</v>
      </c>
      <c r="E209" s="41">
        <f>Portafolio!J209</f>
        <v>-5.7774659162913196E-3</v>
      </c>
    </row>
    <row r="210" spans="1:5" x14ac:dyDescent="0.2">
      <c r="A210" s="41">
        <f>Portafolio!F210</f>
        <v>5.4761020107099078E-3</v>
      </c>
      <c r="B210" s="41">
        <f>Portafolio!G210</f>
        <v>1.7478507559406556E-3</v>
      </c>
      <c r="C210" s="41">
        <f>Portafolio!H210</f>
        <v>1.1059628683795456E-2</v>
      </c>
      <c r="D210" s="41">
        <f>Portafolio!I210</f>
        <v>3.4012621492683047E-3</v>
      </c>
      <c r="E210" s="41">
        <f>Portafolio!J210</f>
        <v>7.0981682186605326E-3</v>
      </c>
    </row>
    <row r="211" spans="1:5" x14ac:dyDescent="0.2">
      <c r="A211" s="41">
        <f>Portafolio!F211</f>
        <v>-8.2019263390725322E-3</v>
      </c>
      <c r="B211" s="41">
        <f>Portafolio!G211</f>
        <v>7.1958738958610062E-4</v>
      </c>
      <c r="C211" s="41">
        <f>Portafolio!H211</f>
        <v>6.1937429460877716E-4</v>
      </c>
      <c r="D211" s="41">
        <f>Portafolio!I211</f>
        <v>-1.6992713126116508E-3</v>
      </c>
      <c r="E211" s="41">
        <f>Portafolio!J211</f>
        <v>-1.8820950362061547E-3</v>
      </c>
    </row>
    <row r="212" spans="1:5" x14ac:dyDescent="0.2">
      <c r="A212" s="41">
        <f>Portafolio!F212</f>
        <v>1.948047725735666E-2</v>
      </c>
      <c r="B212" s="41">
        <f>Portafolio!G212</f>
        <v>1.1184790032108326E-3</v>
      </c>
      <c r="C212" s="41">
        <f>Portafolio!H212</f>
        <v>6.1735082056717516E-3</v>
      </c>
      <c r="D212" s="41">
        <f>Portafolio!I212</f>
        <v>1.6992713126115697E-3</v>
      </c>
      <c r="E212" s="41">
        <f>Portafolio!J212</f>
        <v>7.177393023667638E-3</v>
      </c>
    </row>
    <row r="213" spans="1:5" x14ac:dyDescent="0.2">
      <c r="A213" s="41">
        <f>Portafolio!F213</f>
        <v>-1.1045270681009117E-2</v>
      </c>
      <c r="B213" s="41">
        <f>Portafolio!G213</f>
        <v>1.5971257518978638E-4</v>
      </c>
      <c r="C213" s="41">
        <f>Portafolio!H213</f>
        <v>1.030672096955205E-2</v>
      </c>
      <c r="D213" s="41">
        <f>Portafolio!I213</f>
        <v>2.1277351283956945E-2</v>
      </c>
      <c r="E213" s="41">
        <f>Portafolio!J213</f>
        <v>9.1722328513741559E-3</v>
      </c>
    </row>
    <row r="214" spans="1:5" x14ac:dyDescent="0.2">
      <c r="A214" s="41">
        <f>Portafolio!F214</f>
        <v>-2.1747631659808291E-2</v>
      </c>
      <c r="B214" s="41">
        <f>Portafolio!G214</f>
        <v>-7.2110078735026766E-3</v>
      </c>
      <c r="C214" s="41">
        <f>Portafolio!H214</f>
        <v>8.4414315435738397E-3</v>
      </c>
      <c r="D214" s="41">
        <f>Portafolio!I214</f>
        <v>3.3186565462668526E-3</v>
      </c>
      <c r="E214" s="41">
        <f>Portafolio!J214</f>
        <v>1.3384272536615029E-4</v>
      </c>
    </row>
    <row r="215" spans="1:5" x14ac:dyDescent="0.2">
      <c r="A215" s="41">
        <f>Portafolio!F215</f>
        <v>-1.0499345697948081E-2</v>
      </c>
      <c r="B215" s="41">
        <f>Portafolio!G215</f>
        <v>9.443847698832648E-3</v>
      </c>
      <c r="C215" s="41">
        <f>Portafolio!H215</f>
        <v>-1.2001025271443897E-2</v>
      </c>
      <c r="D215" s="41">
        <f>Portafolio!I215</f>
        <v>1.588635415691966E-2</v>
      </c>
      <c r="E215" s="41">
        <f>Portafolio!J215</f>
        <v>-1.8379174021991868E-3</v>
      </c>
    </row>
    <row r="216" spans="1:5" x14ac:dyDescent="0.2">
      <c r="A216" s="41">
        <f>Portafolio!F216</f>
        <v>3.1277001097442104E-3</v>
      </c>
      <c r="B216" s="41">
        <f>Portafolio!G216</f>
        <v>1.8936986764933515E-2</v>
      </c>
      <c r="C216" s="41">
        <f>Portafolio!H216</f>
        <v>1.305751761044515E-2</v>
      </c>
      <c r="D216" s="41">
        <f>Portafolio!I216</f>
        <v>1.3495526138129172E-2</v>
      </c>
      <c r="E216" s="41">
        <f>Portafolio!J216</f>
        <v>1.1459575011257142E-2</v>
      </c>
    </row>
    <row r="217" spans="1:5" x14ac:dyDescent="0.2">
      <c r="A217" s="41">
        <f>Portafolio!F217</f>
        <v>4.4582669163491413E-3</v>
      </c>
      <c r="B217" s="41">
        <f>Portafolio!G217</f>
        <v>-2.0342859528205111E-3</v>
      </c>
      <c r="C217" s="41">
        <f>Portafolio!H217</f>
        <v>-4.0810762745116238E-3</v>
      </c>
      <c r="D217" s="41">
        <f>Portafolio!I217</f>
        <v>2.1425562712271934E-3</v>
      </c>
      <c r="E217" s="41">
        <f>Portafolio!J217</f>
        <v>-2.8956150755267136E-4</v>
      </c>
    </row>
    <row r="218" spans="1:5" x14ac:dyDescent="0.2">
      <c r="A218" s="41">
        <f>Portafolio!F218</f>
        <v>1.9796003669469535E-2</v>
      </c>
      <c r="B218" s="41">
        <f>Portafolio!G218</f>
        <v>3.2841220395962312E-3</v>
      </c>
      <c r="C218" s="41">
        <f>Portafolio!H218</f>
        <v>-3.2364976607338002E-3</v>
      </c>
      <c r="D218" s="41">
        <f>Portafolio!I218</f>
        <v>3.738273476931629E-3</v>
      </c>
      <c r="E218" s="41">
        <f>Portafolio!J218</f>
        <v>3.8686009565867142E-3</v>
      </c>
    </row>
    <row r="219" spans="1:5" x14ac:dyDescent="0.2">
      <c r="A219" s="41">
        <f>Portafolio!F219</f>
        <v>3.9780687953256729E-3</v>
      </c>
      <c r="B219" s="41">
        <f>Portafolio!G219</f>
        <v>-2.1882315189594016E-3</v>
      </c>
      <c r="C219" s="41">
        <f>Portafolio!H219</f>
        <v>8.7746980951394233E-3</v>
      </c>
      <c r="D219" s="41">
        <f>Portafolio!I219</f>
        <v>-5.3329250387106324E-4</v>
      </c>
      <c r="E219" s="41">
        <f>Portafolio!J219</f>
        <v>4.3709834778213018E-3</v>
      </c>
    </row>
    <row r="220" spans="1:5" x14ac:dyDescent="0.2">
      <c r="A220" s="41">
        <f>Portafolio!F220</f>
        <v>-1.6387734624486144E-2</v>
      </c>
      <c r="B220" s="41">
        <f>Portafolio!G220</f>
        <v>-4.0764872369371159E-3</v>
      </c>
      <c r="C220" s="41">
        <f>Portafolio!H220</f>
        <v>1.5395245178859948E-2</v>
      </c>
      <c r="D220" s="41">
        <f>Portafolio!I220</f>
        <v>1.901802869604308E-2</v>
      </c>
      <c r="E220" s="41">
        <f>Portafolio!J220</f>
        <v>9.432646958843896E-3</v>
      </c>
    </row>
    <row r="221" spans="1:5" x14ac:dyDescent="0.2">
      <c r="A221" s="41">
        <f>Portafolio!F221</f>
        <v>2.8689111628198698E-2</v>
      </c>
      <c r="B221" s="41">
        <f>Portafolio!G221</f>
        <v>-5.8300487686362692E-3</v>
      </c>
      <c r="C221" s="41">
        <f>Portafolio!H221</f>
        <v>1.5648710168294964E-2</v>
      </c>
      <c r="D221" s="41">
        <f>Portafolio!I221</f>
        <v>-6.8259836239331134E-3</v>
      </c>
      <c r="E221" s="41">
        <f>Portafolio!J221</f>
        <v>1.0127250857668788E-2</v>
      </c>
    </row>
    <row r="222" spans="1:5" x14ac:dyDescent="0.2">
      <c r="A222" s="41">
        <f>Portafolio!F222</f>
        <v>1.6109449297697549E-2</v>
      </c>
      <c r="B222" s="41">
        <f>Portafolio!G222</f>
        <v>-2.0564271894918324E-3</v>
      </c>
      <c r="C222" s="41">
        <f>Portafolio!H222</f>
        <v>1.6317826996333985E-2</v>
      </c>
      <c r="D222" s="41">
        <f>Portafolio!I222</f>
        <v>-8.4656033871456007E-3</v>
      </c>
      <c r="E222" s="41">
        <f>Portafolio!J222</f>
        <v>7.5382938199312632E-3</v>
      </c>
    </row>
    <row r="223" spans="1:5" x14ac:dyDescent="0.2">
      <c r="A223" s="41">
        <f>Portafolio!F223</f>
        <v>5.7942259479230023E-3</v>
      </c>
      <c r="B223" s="41">
        <f>Portafolio!G223</f>
        <v>2.8463016418229037E-3</v>
      </c>
      <c r="C223" s="41">
        <f>Portafolio!H223</f>
        <v>-6.7059033946733737E-4</v>
      </c>
      <c r="D223" s="41">
        <f>Portafolio!I223</f>
        <v>-7.466713020734231E-3</v>
      </c>
      <c r="E223" s="41">
        <f>Portafolio!J223</f>
        <v>-1.4287613508683536E-3</v>
      </c>
    </row>
    <row r="224" spans="1:5" x14ac:dyDescent="0.2">
      <c r="A224" s="41">
        <f>Portafolio!F224</f>
        <v>2.1389960415288217E-2</v>
      </c>
      <c r="B224" s="41">
        <f>Portafolio!G224</f>
        <v>6.7668210053826762E-3</v>
      </c>
      <c r="C224" s="41">
        <f>Portafolio!H224</f>
        <v>-1.3339105875401823E-2</v>
      </c>
      <c r="D224" s="41">
        <f>Portafolio!I224</f>
        <v>4.8064098657813409E-3</v>
      </c>
      <c r="E224" s="41">
        <f>Portafolio!J224</f>
        <v>2.524626795931211E-4</v>
      </c>
    </row>
    <row r="225" spans="1:5" x14ac:dyDescent="0.2">
      <c r="A225" s="41">
        <f>Portafolio!F225</f>
        <v>6.5176077697273217E-3</v>
      </c>
      <c r="B225" s="41">
        <f>Portafolio!G225</f>
        <v>-1.2626414888283227E-2</v>
      </c>
      <c r="C225" s="41">
        <f>Portafolio!H225</f>
        <v>1.8538643632364745E-3</v>
      </c>
      <c r="D225" s="41">
        <f>Portafolio!I225</f>
        <v>2.1287652308458159E-3</v>
      </c>
      <c r="E225" s="41">
        <f>Portafolio!J225</f>
        <v>2.2806921195845722E-3</v>
      </c>
    </row>
    <row r="226" spans="1:5" x14ac:dyDescent="0.2">
      <c r="A226" s="41">
        <f>Portafolio!F226</f>
        <v>3.7677515857849927E-3</v>
      </c>
      <c r="B226" s="41">
        <f>Portafolio!G226</f>
        <v>-4.2976588916777241E-3</v>
      </c>
      <c r="C226" s="41">
        <f>Portafolio!H226</f>
        <v>1.1918779573079451E-2</v>
      </c>
      <c r="D226" s="41">
        <f>Portafolio!I226</f>
        <v>-5.3176661708070883E-4</v>
      </c>
      <c r="E226" s="41">
        <f>Portafolio!J226</f>
        <v>5.6190817336279212E-3</v>
      </c>
    </row>
    <row r="227" spans="1:5" x14ac:dyDescent="0.2">
      <c r="A227" s="41">
        <f>Portafolio!F227</f>
        <v>1.8628964806476703E-2</v>
      </c>
      <c r="B227" s="41">
        <f>Portafolio!G227</f>
        <v>2.2307689124128954E-3</v>
      </c>
      <c r="C227" s="41">
        <f>Portafolio!H227</f>
        <v>8.1841949890559102E-4</v>
      </c>
      <c r="D227" s="41">
        <f>Portafolio!I227</f>
        <v>1.1701116052050159E-2</v>
      </c>
      <c r="E227" s="41">
        <f>Portafolio!J227</f>
        <v>7.9335707443179103E-3</v>
      </c>
    </row>
    <row r="228" spans="1:5" x14ac:dyDescent="0.2">
      <c r="A228" s="41">
        <f>Portafolio!F228</f>
        <v>-2.3494672238777499E-2</v>
      </c>
      <c r="B228" s="41">
        <f>Portafolio!G228</f>
        <v>4.2880396046633875E-3</v>
      </c>
      <c r="C228" s="41">
        <f>Portafolio!H228</f>
        <v>-1.6857607845247413E-3</v>
      </c>
      <c r="D228" s="41">
        <f>Portafolio!I228</f>
        <v>6.3830534173032645E-3</v>
      </c>
      <c r="E228" s="41">
        <f>Portafolio!J228</f>
        <v>-3.1882183674978876E-3</v>
      </c>
    </row>
    <row r="229" spans="1:5" x14ac:dyDescent="0.2">
      <c r="A229" s="41">
        <f>Portafolio!F229</f>
        <v>1.2966442042243119E-2</v>
      </c>
      <c r="B229" s="41">
        <f>Portafolio!G229</f>
        <v>9.4638404252588466E-3</v>
      </c>
      <c r="C229" s="41">
        <f>Portafolio!H229</f>
        <v>-1.2173069187035165E-2</v>
      </c>
      <c r="D229" s="41">
        <f>Portafolio!I229</f>
        <v>-2.6547400778527642E-3</v>
      </c>
      <c r="E229" s="41">
        <f>Portafolio!J229</f>
        <v>-3.2108914361595976E-3</v>
      </c>
    </row>
    <row r="230" spans="1:5" x14ac:dyDescent="0.2">
      <c r="A230" s="41">
        <f>Portafolio!F230</f>
        <v>1.6604708169325119E-2</v>
      </c>
      <c r="B230" s="41">
        <f>Portafolio!G230</f>
        <v>-4.563000564764429E-3</v>
      </c>
      <c r="C230" s="41">
        <f>Portafolio!H230</f>
        <v>2.4628348767179134E-2</v>
      </c>
      <c r="D230" s="41">
        <f>Portafolio!I230</f>
        <v>-1.2302856764034255E-2</v>
      </c>
      <c r="E230" s="41">
        <f>Portafolio!J230</f>
        <v>9.9341262330881665E-3</v>
      </c>
    </row>
    <row r="231" spans="1:5" x14ac:dyDescent="0.2">
      <c r="A231" s="41">
        <f>Portafolio!F231</f>
        <v>1.7902506232981147E-3</v>
      </c>
      <c r="B231" s="41">
        <f>Portafolio!G231</f>
        <v>1.3471334993176645E-2</v>
      </c>
      <c r="C231" s="41">
        <f>Portafolio!H231</f>
        <v>1.6853100357796223E-2</v>
      </c>
      <c r="D231" s="41">
        <f>Portafolio!I231</f>
        <v>1.4427180508327499E-2</v>
      </c>
      <c r="E231" s="41">
        <f>Portafolio!J231</f>
        <v>1.2930786652298042E-2</v>
      </c>
    </row>
    <row r="232" spans="1:5" x14ac:dyDescent="0.2">
      <c r="A232" s="41">
        <f>Portafolio!F232</f>
        <v>-2.5621428783056767E-2</v>
      </c>
      <c r="B232" s="41">
        <f>Portafolio!G232</f>
        <v>1.4519903364922418E-2</v>
      </c>
      <c r="C232" s="41">
        <f>Portafolio!H232</f>
        <v>1.5099360369527649E-2</v>
      </c>
      <c r="D232" s="41">
        <f>Portafolio!I232</f>
        <v>1.631185864869468E-2</v>
      </c>
      <c r="E232" s="41">
        <f>Portafolio!J232</f>
        <v>7.3499755161991831E-3</v>
      </c>
    </row>
    <row r="233" spans="1:5" x14ac:dyDescent="0.2">
      <c r="A233" s="41">
        <f>Portafolio!F233</f>
        <v>-2.074860964039351E-2</v>
      </c>
      <c r="B233" s="41">
        <f>Portafolio!G233</f>
        <v>-3.067024540397419E-4</v>
      </c>
      <c r="C233" s="41">
        <f>Portafolio!H233</f>
        <v>-3.2285803587666854E-2</v>
      </c>
      <c r="D233" s="41">
        <f>Portafolio!I233</f>
        <v>-5.2205691605959625E-4</v>
      </c>
      <c r="E233" s="41">
        <f>Portafolio!J233</f>
        <v>-1.8442864318895778E-2</v>
      </c>
    </row>
    <row r="234" spans="1:5" x14ac:dyDescent="0.2">
      <c r="A234" s="41">
        <f>Portafolio!F234</f>
        <v>5.7973336916425204E-4</v>
      </c>
      <c r="B234" s="41">
        <f>Portafolio!G234</f>
        <v>1.5327868988235308E-3</v>
      </c>
      <c r="C234" s="41">
        <f>Portafolio!H234</f>
        <v>-9.5291127080258486E-4</v>
      </c>
      <c r="D234" s="41">
        <f>Portafolio!I234</f>
        <v>-1.5677557021459298E-3</v>
      </c>
      <c r="E234" s="41">
        <f>Portafolio!J234</f>
        <v>-7.4407325693876371E-4</v>
      </c>
    </row>
    <row r="235" spans="1:5" x14ac:dyDescent="0.2">
      <c r="A235" s="41">
        <f>Portafolio!F235</f>
        <v>-1.5614861566389346E-3</v>
      </c>
      <c r="B235" s="41">
        <f>Portafolio!G235</f>
        <v>-7.9964136377382936E-3</v>
      </c>
      <c r="C235" s="41">
        <f>Portafolio!H235</f>
        <v>2.3806134291241197E-3</v>
      </c>
      <c r="D235" s="41">
        <f>Portafolio!I235</f>
        <v>-3.0265224779422156E-2</v>
      </c>
      <c r="E235" s="41">
        <f>Portafolio!J235</f>
        <v>-9.3505627056765638E-3</v>
      </c>
    </row>
    <row r="236" spans="1:5" x14ac:dyDescent="0.2">
      <c r="A236" s="41">
        <f>Portafolio!F236</f>
        <v>4.6772962161707281E-3</v>
      </c>
      <c r="B236" s="41">
        <f>Portafolio!G236</f>
        <v>2.9291935822486634E-3</v>
      </c>
      <c r="C236" s="41">
        <f>Portafolio!H236</f>
        <v>2.3776420016967354E-4</v>
      </c>
      <c r="D236" s="41">
        <f>Portafolio!I236</f>
        <v>-1.8498896320453713E-2</v>
      </c>
      <c r="E236" s="41">
        <f>Portafolio!J236</f>
        <v>-4.8061966522968758E-3</v>
      </c>
    </row>
    <row r="237" spans="1:5" x14ac:dyDescent="0.2">
      <c r="A237" s="41">
        <f>Portafolio!F237</f>
        <v>-2.9175802186708118E-2</v>
      </c>
      <c r="B237" s="41">
        <f>Portafolio!G237</f>
        <v>1.3000091618175304E-2</v>
      </c>
      <c r="C237" s="41">
        <f>Portafolio!H237</f>
        <v>-8.307151793191617E-3</v>
      </c>
      <c r="D237" s="41">
        <f>Portafolio!I237</f>
        <v>5.0853933718081321E-2</v>
      </c>
      <c r="E237" s="41">
        <f>Portafolio!J237</f>
        <v>7.4708774925135567E-3</v>
      </c>
    </row>
    <row r="238" spans="1:5" x14ac:dyDescent="0.2">
      <c r="A238" s="41">
        <f>Portafolio!F238</f>
        <v>-4.8161042901711899E-3</v>
      </c>
      <c r="B238" s="41">
        <f>Portafolio!G238</f>
        <v>3.943013964285107E-3</v>
      </c>
      <c r="C238" s="41">
        <f>Portafolio!H238</f>
        <v>3.8346355812063522E-4</v>
      </c>
      <c r="D238" s="41">
        <f>Portafolio!I238</f>
        <v>1.564589587366755E-3</v>
      </c>
      <c r="E238" s="41">
        <f>Portafolio!J238</f>
        <v>-1.268790252661004E-4</v>
      </c>
    </row>
    <row r="239" spans="1:5" x14ac:dyDescent="0.2">
      <c r="A239" s="41">
        <f>Portafolio!F239</f>
        <v>2.1586660116600692E-3</v>
      </c>
      <c r="B239" s="41">
        <f>Portafolio!G239</f>
        <v>1.4723868428621712E-2</v>
      </c>
      <c r="C239" s="41">
        <f>Portafolio!H239</f>
        <v>1.6963686226937915E-2</v>
      </c>
      <c r="D239" s="41">
        <f>Portafolio!I239</f>
        <v>-9.4242056297434203E-3</v>
      </c>
      <c r="E239" s="41">
        <f>Portafolio!J239</f>
        <v>5.4165309214539853E-3</v>
      </c>
    </row>
    <row r="240" spans="1:5" x14ac:dyDescent="0.2">
      <c r="A240" s="41">
        <f>Portafolio!F240</f>
        <v>1.2838228252665619E-3</v>
      </c>
      <c r="B240" s="41">
        <f>Portafolio!G240</f>
        <v>-3.2865430207580882E-3</v>
      </c>
      <c r="C240" s="41">
        <f>Portafolio!H240</f>
        <v>-6.5707247389028478E-3</v>
      </c>
      <c r="D240" s="41">
        <f>Portafolio!I240</f>
        <v>-5.8032344347412621E-3</v>
      </c>
      <c r="E240" s="41">
        <f>Portafolio!J240</f>
        <v>-4.6236682109694312E-3</v>
      </c>
    </row>
    <row r="241" spans="1:5" x14ac:dyDescent="0.2">
      <c r="A241" s="41">
        <f>Portafolio!F241</f>
        <v>2.562716177992965E-3</v>
      </c>
      <c r="B241" s="41">
        <f>Portafolio!G241</f>
        <v>1.2638603848310002E-2</v>
      </c>
      <c r="C241" s="41">
        <f>Portafolio!H241</f>
        <v>2.0374359451747755E-2</v>
      </c>
      <c r="D241" s="41">
        <f>Portafolio!I241</f>
        <v>4.2238711161852434E-3</v>
      </c>
      <c r="E241" s="41">
        <f>Portafolio!J241</f>
        <v>1.1302957996588921E-2</v>
      </c>
    </row>
    <row r="242" spans="1:5" x14ac:dyDescent="0.2">
      <c r="A242" s="41">
        <f>Portafolio!F242</f>
        <v>1.4879566390620118E-2</v>
      </c>
      <c r="B242" s="41">
        <f>Portafolio!G242</f>
        <v>-1.3986271941776691E-2</v>
      </c>
      <c r="C242" s="41">
        <f>Portafolio!H242</f>
        <v>-1.1168596535331227E-2</v>
      </c>
      <c r="D242" s="41">
        <f>Portafolio!I242</f>
        <v>1.4125267552011362E-2</v>
      </c>
      <c r="E242" s="41">
        <f>Portafolio!J242</f>
        <v>2.0604099270030768E-3</v>
      </c>
    </row>
    <row r="243" spans="1:5" x14ac:dyDescent="0.2">
      <c r="A243" s="41">
        <f>Portafolio!F243</f>
        <v>-1.6892595276606047E-2</v>
      </c>
      <c r="B243" s="41">
        <f>Portafolio!G243</f>
        <v>1.8114838733001931E-2</v>
      </c>
      <c r="C243" s="41">
        <f>Portafolio!H243</f>
        <v>-2.300698438939985E-2</v>
      </c>
      <c r="D243" s="41">
        <f>Portafolio!I243</f>
        <v>1.1363707289245462E-2</v>
      </c>
      <c r="E243" s="41">
        <f>Portafolio!J243</f>
        <v>-9.0313379470935082E-3</v>
      </c>
    </row>
    <row r="244" spans="1:5" x14ac:dyDescent="0.2">
      <c r="A244" s="41">
        <f>Portafolio!F244</f>
        <v>6.8458769114516189E-3</v>
      </c>
      <c r="B244" s="41">
        <f>Portafolio!G244</f>
        <v>1.9958459712746134E-2</v>
      </c>
      <c r="C244" s="41">
        <f>Portafolio!H244</f>
        <v>-4.3337697237488322E-2</v>
      </c>
      <c r="D244" s="41">
        <f>Portafolio!I244</f>
        <v>-5.1492389779095047E-3</v>
      </c>
      <c r="E244" s="41">
        <f>Portafolio!J244</f>
        <v>-1.8442118775569206E-2</v>
      </c>
    </row>
    <row r="245" spans="1:5" x14ac:dyDescent="0.2">
      <c r="A245" s="41">
        <f>Portafolio!F245</f>
        <v>-4.936563304839342E-2</v>
      </c>
      <c r="B245" s="41">
        <f>Portafolio!G245</f>
        <v>-1.7900558015048668E-2</v>
      </c>
      <c r="C245" s="41">
        <f>Portafolio!H245</f>
        <v>-2.1521514209848672E-2</v>
      </c>
      <c r="D245" s="41">
        <f>Portafolio!I245</f>
        <v>-2.4034646374763047E-2</v>
      </c>
      <c r="E245" s="41">
        <f>Portafolio!J245</f>
        <v>-2.7733529487892108E-2</v>
      </c>
    </row>
    <row r="246" spans="1:5" x14ac:dyDescent="0.2">
      <c r="A246" s="41">
        <f>Portafolio!F246</f>
        <v>-9.7960810695936606E-3</v>
      </c>
      <c r="B246" s="41">
        <f>Portafolio!G246</f>
        <v>-7.3441060418495512E-4</v>
      </c>
      <c r="C246" s="41">
        <f>Portafolio!H246</f>
        <v>2.7529327489063685E-2</v>
      </c>
      <c r="D246" s="41">
        <f>Portafolio!I246</f>
        <v>1.4698479459715275E-2</v>
      </c>
      <c r="E246" s="41">
        <f>Portafolio!J246</f>
        <v>1.4800001087777872E-2</v>
      </c>
    </row>
    <row r="247" spans="1:5" x14ac:dyDescent="0.2">
      <c r="A247" s="41">
        <f>Portafolio!F247</f>
        <v>1.2420806909965328E-2</v>
      </c>
      <c r="B247" s="41">
        <f>Portafolio!G247</f>
        <v>6.0068453122636119E-3</v>
      </c>
      <c r="C247" s="41">
        <f>Portafolio!H247</f>
        <v>2.9943605302915484E-4</v>
      </c>
      <c r="D247" s="41">
        <f>Portafolio!I247</f>
        <v>3.1216986037119246E-3</v>
      </c>
      <c r="E247" s="41">
        <f>Portafolio!J247</f>
        <v>3.8581674049941042E-3</v>
      </c>
    </row>
    <row r="248" spans="1:5" x14ac:dyDescent="0.2">
      <c r="A248" s="41">
        <f>Portafolio!F248</f>
        <v>1.6496471649674511E-2</v>
      </c>
      <c r="B248" s="41">
        <f>Portafolio!G248</f>
        <v>3.9362102876051566E-3</v>
      </c>
      <c r="C248" s="41">
        <f>Portafolio!H248</f>
        <v>1.8098719175530638E-2</v>
      </c>
      <c r="D248" s="41">
        <f>Portafolio!I248</f>
        <v>7.7620053354891094E-3</v>
      </c>
      <c r="E248" s="41">
        <f>Portafolio!J248</f>
        <v>1.3869491248963698E-2</v>
      </c>
    </row>
    <row r="249" spans="1:5" x14ac:dyDescent="0.2">
      <c r="A249" s="41">
        <f>Portafolio!F249</f>
        <v>1.3642429865120695E-2</v>
      </c>
      <c r="B249" s="41">
        <f>Portafolio!G249</f>
        <v>-7.2779275329949461E-4</v>
      </c>
      <c r="C249" s="41">
        <f>Portafolio!H249</f>
        <v>8.4907795310884548E-3</v>
      </c>
      <c r="D249" s="41">
        <f>Portafolio!I249</f>
        <v>4.6284474501869788E-3</v>
      </c>
      <c r="E249" s="41">
        <f>Portafolio!J249</f>
        <v>7.8963206893990952E-3</v>
      </c>
    </row>
    <row r="250" spans="1:5" x14ac:dyDescent="0.2">
      <c r="A250" s="41">
        <f>Portafolio!F250</f>
        <v>7.1046339891622338E-3</v>
      </c>
      <c r="B250" s="41">
        <f>Portafolio!G250</f>
        <v>-7.4534799929999399E-3</v>
      </c>
      <c r="C250" s="41">
        <f>Portafolio!H250</f>
        <v>1.8932455242062468E-3</v>
      </c>
      <c r="D250" s="41">
        <f>Portafolio!I250</f>
        <v>-3.0832501301206196E-3</v>
      </c>
      <c r="E250" s="41">
        <f>Portafolio!J250</f>
        <v>9.4636874937287512E-4</v>
      </c>
    </row>
    <row r="251" spans="1:5" x14ac:dyDescent="0.2">
      <c r="A251" s="41">
        <f>Portafolio!F251</f>
        <v>1.7046925905757491E-2</v>
      </c>
      <c r="B251" s="41">
        <f>Portafolio!G251</f>
        <v>4.2450624586943594E-3</v>
      </c>
      <c r="C251" s="41">
        <f>Portafolio!H251</f>
        <v>8.4515026665683331E-3</v>
      </c>
      <c r="D251" s="41">
        <f>Portafolio!I251</f>
        <v>4.6213175955976916E-3</v>
      </c>
      <c r="E251" s="41">
        <f>Portafolio!J251</f>
        <v>8.7585088603336341E-3</v>
      </c>
    </row>
    <row r="252" spans="1:5" x14ac:dyDescent="0.2">
      <c r="A252" s="41">
        <f>Portafolio!F252</f>
        <v>2.0316357014954671E-3</v>
      </c>
      <c r="B252" s="41">
        <f>Portafolio!G252</f>
        <v>1.751357702825767E-3</v>
      </c>
      <c r="C252" s="41">
        <f>Portafolio!H252</f>
        <v>1.1000172910606301E-2</v>
      </c>
      <c r="D252" s="41">
        <f>Portafolio!I252</f>
        <v>5.6193763609869146E-3</v>
      </c>
      <c r="E252" s="41">
        <f>Portafolio!J252</f>
        <v>7.100633959377595E-3</v>
      </c>
    </row>
    <row r="253" spans="1:5" x14ac:dyDescent="0.2">
      <c r="A253" s="41">
        <f>Portafolio!F253</f>
        <v>1.3439858184173351E-2</v>
      </c>
      <c r="B253" s="41">
        <f>Portafolio!G253</f>
        <v>1.0201851494693278E-3</v>
      </c>
      <c r="C253" s="41">
        <f>Portafolio!H253</f>
        <v>6.2116322685317679E-3</v>
      </c>
      <c r="D253" s="41">
        <f>Portafolio!I253</f>
        <v>-2.7894319608277238E-2</v>
      </c>
      <c r="E253" s="41">
        <f>Portafolio!J253</f>
        <v>-3.5518828260112257E-3</v>
      </c>
    </row>
    <row r="254" spans="1:5" x14ac:dyDescent="0.2">
      <c r="A254" s="41">
        <f>Portafolio!F254</f>
        <v>5.9010397660438866E-3</v>
      </c>
      <c r="B254" s="41">
        <f>Portafolio!G254</f>
        <v>7.6906421617582866E-3</v>
      </c>
      <c r="C254" s="41">
        <f>Portafolio!H254</f>
        <v>1.1374431605290789E-2</v>
      </c>
      <c r="D254" s="41">
        <f>Portafolio!I254</f>
        <v>1.3010852287492039E-2</v>
      </c>
      <c r="E254" s="41">
        <f>Portafolio!J254</f>
        <v>1.0660442740112026E-2</v>
      </c>
    </row>
  </sheetData>
  <mergeCells count="4">
    <mergeCell ref="A1:E1"/>
    <mergeCell ref="G2:L3"/>
    <mergeCell ref="G11:H11"/>
    <mergeCell ref="G16:H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1DE77-B72B-4F56-967E-C7EE24978912}">
  <sheetPr>
    <tabColor theme="7" tint="0.79998168889431442"/>
  </sheetPr>
  <dimension ref="A1:L254"/>
  <sheetViews>
    <sheetView showGridLines="0" workbookViewId="0">
      <selection activeCell="G36" sqref="G36"/>
    </sheetView>
  </sheetViews>
  <sheetFormatPr baseColWidth="10" defaultColWidth="11.5" defaultRowHeight="15" x14ac:dyDescent="0.2"/>
  <cols>
    <col min="1" max="5" width="12.5" style="1" bestFit="1" customWidth="1"/>
    <col min="6" max="6" width="11.5" style="1"/>
    <col min="7" max="7" width="23.1640625" style="1" bestFit="1" customWidth="1"/>
    <col min="8" max="8" width="15" style="1" customWidth="1"/>
    <col min="9" max="12" width="12.5" style="1" bestFit="1" customWidth="1"/>
    <col min="13" max="16384" width="11.5" style="1"/>
  </cols>
  <sheetData>
    <row r="1" spans="1:12" x14ac:dyDescent="0.2">
      <c r="A1" s="89" t="s">
        <v>8</v>
      </c>
      <c r="B1" s="89"/>
      <c r="C1" s="89"/>
      <c r="D1" s="89"/>
      <c r="E1" s="89"/>
    </row>
    <row r="2" spans="1:12" x14ac:dyDescent="0.2">
      <c r="A2" s="2" t="str">
        <f>Portafolio!F2</f>
        <v>r_Apple</v>
      </c>
      <c r="B2" s="2" t="str">
        <f>Portafolio!G2</f>
        <v>r_Coca-Cola</v>
      </c>
      <c r="C2" s="2" t="str">
        <f>Portafolio!H2</f>
        <v>r_JPMorgan</v>
      </c>
      <c r="D2" s="2" t="str">
        <f>Portafolio!I2</f>
        <v>r_AT&amp;T</v>
      </c>
      <c r="E2" s="2" t="str">
        <f>Portafolio!J2</f>
        <v>Portafolio</v>
      </c>
      <c r="G2" s="100" t="s">
        <v>64</v>
      </c>
      <c r="H2" s="101"/>
      <c r="I2" s="101"/>
      <c r="J2" s="101"/>
      <c r="K2" s="101"/>
      <c r="L2" s="102"/>
    </row>
    <row r="3" spans="1:12" x14ac:dyDescent="0.2">
      <c r="A3" s="41">
        <f>Portafolio!F3</f>
        <v>-1.4662185008184019E-2</v>
      </c>
      <c r="B3" s="41">
        <f>Portafolio!G3</f>
        <v>2.1472312077841786E-3</v>
      </c>
      <c r="C3" s="41">
        <f>Portafolio!H3</f>
        <v>-1.0441079130812173E-2</v>
      </c>
      <c r="D3" s="41">
        <f>Portafolio!I3</f>
        <v>-6.4035322871765967E-3</v>
      </c>
      <c r="E3" s="41">
        <f>Portafolio!J3</f>
        <v>-9.4670569504097211E-3</v>
      </c>
      <c r="G3" s="103"/>
      <c r="H3" s="104"/>
      <c r="I3" s="104"/>
      <c r="J3" s="104"/>
      <c r="K3" s="104"/>
      <c r="L3" s="105"/>
    </row>
    <row r="4" spans="1:12" x14ac:dyDescent="0.2">
      <c r="A4" s="41">
        <f>Portafolio!F4</f>
        <v>2.8121205565770678E-3</v>
      </c>
      <c r="B4" s="41">
        <f>Portafolio!G4</f>
        <v>5.5939921723177225E-3</v>
      </c>
      <c r="C4" s="41">
        <f>Portafolio!H4</f>
        <v>2.2848847647558819E-3</v>
      </c>
      <c r="D4" s="41">
        <f>Portafolio!I4</f>
        <v>2.8511962146941443E-3</v>
      </c>
      <c r="E4" s="41">
        <f>Portafolio!J4</f>
        <v>2.7076334101259576E-3</v>
      </c>
    </row>
    <row r="5" spans="1:12" x14ac:dyDescent="0.2">
      <c r="A5" s="41">
        <f>Portafolio!F5</f>
        <v>7.7070400094383651E-3</v>
      </c>
      <c r="B5" s="41">
        <f>Portafolio!G5</f>
        <v>-8.568180711971048E-3</v>
      </c>
      <c r="C5" s="41">
        <f>Portafolio!H5</f>
        <v>3.4177360836862881E-3</v>
      </c>
      <c r="D5" s="41">
        <f>Portafolio!I5</f>
        <v>3.5523360724823969E-3</v>
      </c>
      <c r="E5" s="41">
        <f>Portafolio!J5</f>
        <v>3.8265778229849188E-3</v>
      </c>
      <c r="G5" s="76" t="s">
        <v>58</v>
      </c>
      <c r="H5" s="77" t="str">
        <f>A2</f>
        <v>r_Apple</v>
      </c>
      <c r="I5" s="77" t="str">
        <f>B2</f>
        <v>r_Coca-Cola</v>
      </c>
      <c r="J5" s="77" t="str">
        <f>C2</f>
        <v>r_JPMorgan</v>
      </c>
      <c r="K5" s="77" t="str">
        <f>D2</f>
        <v>r_AT&amp;T</v>
      </c>
      <c r="L5" s="77" t="str">
        <f>E2</f>
        <v>Portafolio</v>
      </c>
    </row>
    <row r="6" spans="1:12" x14ac:dyDescent="0.2">
      <c r="A6" s="41">
        <f>Portafolio!F6</f>
        <v>7.8738144273404372E-3</v>
      </c>
      <c r="B6" s="41">
        <f>Portafolio!G6</f>
        <v>-6.141625470814838E-3</v>
      </c>
      <c r="C6" s="41">
        <f>Portafolio!H6</f>
        <v>-2.0956622133486116E-2</v>
      </c>
      <c r="D6" s="41">
        <f>Portafolio!I6</f>
        <v>1.1283650762276005E-2</v>
      </c>
      <c r="E6" s="41">
        <f>Portafolio!J6</f>
        <v>-4.2141520459861928E-3</v>
      </c>
      <c r="G6" s="78" t="s">
        <v>62</v>
      </c>
      <c r="H6" s="73">
        <v>1.0005667965467292E-3</v>
      </c>
      <c r="I6" s="73">
        <v>6.5844828632144513E-4</v>
      </c>
      <c r="J6" s="73">
        <v>1.5030786305094985E-3</v>
      </c>
      <c r="K6" s="74"/>
      <c r="L6" s="74"/>
    </row>
    <row r="7" spans="1:12" x14ac:dyDescent="0.2">
      <c r="A7" s="41">
        <f>Portafolio!F7</f>
        <v>2.1711540417555734E-2</v>
      </c>
      <c r="B7" s="41">
        <f>Portafolio!G7</f>
        <v>3.4904214645253497E-3</v>
      </c>
      <c r="C7" s="41">
        <f>Portafolio!H7</f>
        <v>6.740365503857486E-3</v>
      </c>
      <c r="D7" s="41">
        <f>Portafolio!I7</f>
        <v>-7.0373473579131004E-3</v>
      </c>
      <c r="E7" s="41">
        <f>Portafolio!J7</f>
        <v>5.1511974929285536E-3</v>
      </c>
      <c r="G7" s="79" t="s">
        <v>63</v>
      </c>
      <c r="H7" s="75">
        <f>H6</f>
        <v>1.0005667965467292E-3</v>
      </c>
      <c r="I7" s="75">
        <f t="shared" ref="I7:L7" si="0">I6</f>
        <v>6.5844828632144513E-4</v>
      </c>
      <c r="J7" s="75">
        <f t="shared" si="0"/>
        <v>1.5030786305094985E-3</v>
      </c>
      <c r="K7" s="75">
        <f t="shared" si="0"/>
        <v>0</v>
      </c>
      <c r="L7" s="75">
        <f t="shared" si="0"/>
        <v>0</v>
      </c>
    </row>
    <row r="8" spans="1:12" x14ac:dyDescent="0.2">
      <c r="A8" s="41">
        <f>Portafolio!F8</f>
        <v>-2.6519108676923038E-2</v>
      </c>
      <c r="B8" s="41">
        <f>Portafolio!G8</f>
        <v>-2.6582344086022547E-3</v>
      </c>
      <c r="C8" s="41">
        <f>Portafolio!H8</f>
        <v>-9.5044774711671462E-4</v>
      </c>
      <c r="D8" s="41">
        <f>Portafolio!I8</f>
        <v>-7.0654176800563693E-4</v>
      </c>
      <c r="E8" s="41">
        <f>Portafolio!J8</f>
        <v>-6.037950088029845E-3</v>
      </c>
      <c r="G8" s="76" t="s">
        <v>50</v>
      </c>
      <c r="H8" s="80">
        <v>1</v>
      </c>
      <c r="I8" s="81"/>
      <c r="J8" s="81"/>
      <c r="K8" s="81"/>
    </row>
    <row r="9" spans="1:12" x14ac:dyDescent="0.2">
      <c r="A9" s="41">
        <f>Portafolio!F9</f>
        <v>1.2564052740774025E-2</v>
      </c>
      <c r="B9" s="41">
        <f>Portafolio!G9</f>
        <v>4.6472362667604817E-3</v>
      </c>
      <c r="C9" s="41">
        <f>Portafolio!H9</f>
        <v>-1.2233201758554283E-3</v>
      </c>
      <c r="D9" s="41">
        <f>Portafolio!I9</f>
        <v>-2.830866787178094E-3</v>
      </c>
      <c r="E9" s="41">
        <f>Portafolio!J9</f>
        <v>1.2464294268597353E-3</v>
      </c>
      <c r="G9" s="81"/>
      <c r="H9" s="81"/>
      <c r="I9" s="81"/>
      <c r="J9" s="81"/>
      <c r="K9" s="81"/>
    </row>
    <row r="10" spans="1:12" x14ac:dyDescent="0.2">
      <c r="A10" s="41">
        <f>Portafolio!F10</f>
        <v>8.8072127836774459E-3</v>
      </c>
      <c r="B10" s="41">
        <f>Portafolio!G10</f>
        <v>2.811071519673288E-3</v>
      </c>
      <c r="C10" s="41">
        <f>Portafolio!H10</f>
        <v>3.4622835952314748E-3</v>
      </c>
      <c r="D10" s="41">
        <f>Portafolio!I10</f>
        <v>7.0621975605345338E-3</v>
      </c>
      <c r="E10" s="41">
        <f>Portafolio!J10</f>
        <v>5.6612861296380778E-3</v>
      </c>
      <c r="H10" s="81"/>
      <c r="I10" s="81"/>
      <c r="J10" s="81"/>
      <c r="K10" s="81"/>
    </row>
    <row r="11" spans="1:12" x14ac:dyDescent="0.2">
      <c r="A11" s="41">
        <f>Portafolio!F11</f>
        <v>2.1575762719950167E-2</v>
      </c>
      <c r="B11" s="41">
        <f>Portafolio!G11</f>
        <v>-9.9121473034572902E-4</v>
      </c>
      <c r="C11" s="41">
        <f>Portafolio!H11</f>
        <v>8.0993210507113115E-3</v>
      </c>
      <c r="D11" s="41">
        <f>Portafolio!I11</f>
        <v>3.8652123786868747E-2</v>
      </c>
      <c r="E11" s="41">
        <f>Portafolio!J11</f>
        <v>2.0261285327415675E-2</v>
      </c>
      <c r="G11" s="106" t="s">
        <v>57</v>
      </c>
      <c r="H11" s="107"/>
      <c r="I11" s="81"/>
      <c r="J11" s="81"/>
      <c r="K11" s="81"/>
    </row>
    <row r="12" spans="1:12" x14ac:dyDescent="0.2">
      <c r="A12" s="41">
        <f>Portafolio!F12</f>
        <v>1.899078242547661E-2</v>
      </c>
      <c r="B12" s="41">
        <f>Portafolio!G12</f>
        <v>-4.9597604879833524E-4</v>
      </c>
      <c r="C12" s="41">
        <f>Portafolio!H12</f>
        <v>-4.0415125667635282E-3</v>
      </c>
      <c r="D12" s="41">
        <f>Portafolio!I12</f>
        <v>-2.7118017809940271E-3</v>
      </c>
      <c r="E12" s="41">
        <f>Portafolio!J12</f>
        <v>1.1226617329080104E-3</v>
      </c>
      <c r="G12" s="82" t="s">
        <v>53</v>
      </c>
      <c r="H12" s="83" cm="1">
        <f t="array" ref="H12">_xll.ROV.RiskSim.RSFunctions.RSForecastStatistic(H7,"Percentile0.05")*SQRT($H$8)</f>
        <v>-1.8754889309644845E-2</v>
      </c>
      <c r="I12" s="83" cm="1">
        <f t="array" ref="I12">_xll.ROV.RiskSim.RSFunctions.RSForecastStatistic(I7,"Percentile0.05")*SQRT($H$8)</f>
        <v>-1.3878689320383429E-2</v>
      </c>
      <c r="J12" s="83" cm="1">
        <f t="array" ref="J12">_xll.ROV.RiskSim.RSFunctions.RSForecastStatistic(J7,"Percentile0.05")*SQRT($H$8)</f>
        <v>-1.5062498984236018E-2</v>
      </c>
      <c r="K12" s="83" cm="1">
        <f t="array" ref="K12">_xll.ROV.RiskSim.RSFunctions.RSForecastStatistic(K7,"Percentile0.05")*SQRT($H$8)</f>
        <v>-1.9501454834640469E-2</v>
      </c>
    </row>
    <row r="13" spans="1:12" x14ac:dyDescent="0.2">
      <c r="A13" s="41">
        <f>Portafolio!F13</f>
        <v>1.1717517176788328E-3</v>
      </c>
      <c r="B13" s="41">
        <f>Portafolio!G13</f>
        <v>-1.0640119950070189E-2</v>
      </c>
      <c r="C13" s="41">
        <f>Portafolio!H13</f>
        <v>-1.2428386047596607E-2</v>
      </c>
      <c r="D13" s="41">
        <f>Portafolio!I13</f>
        <v>4.0649860690958528E-3</v>
      </c>
      <c r="E13" s="41">
        <f>Portafolio!J13</f>
        <v>-4.3288021916397315E-3</v>
      </c>
      <c r="G13" s="82" t="s">
        <v>54</v>
      </c>
      <c r="H13" s="84">
        <v>100000</v>
      </c>
      <c r="I13" s="81"/>
      <c r="J13" s="81"/>
      <c r="K13" s="81"/>
    </row>
    <row r="14" spans="1:12" x14ac:dyDescent="0.2">
      <c r="A14" s="41">
        <f>Portafolio!F14</f>
        <v>8.4277857631225358E-3</v>
      </c>
      <c r="B14" s="41">
        <f>Portafolio!G14</f>
        <v>-8.7293459886518768E-3</v>
      </c>
      <c r="C14" s="41">
        <f>Portafolio!H14</f>
        <v>3.3430239573994255E-3</v>
      </c>
      <c r="D14" s="41">
        <f>Portafolio!I14</f>
        <v>-9.5109702559868468E-3</v>
      </c>
      <c r="E14" s="41">
        <f>Portafolio!J14</f>
        <v>-2.7929641661798323E-4</v>
      </c>
      <c r="G14" s="82" t="s">
        <v>55</v>
      </c>
      <c r="H14" s="85">
        <f>SUM(H12:K12)*H13</f>
        <v>-6719.7532448904767</v>
      </c>
      <c r="I14" s="81"/>
      <c r="J14" s="81"/>
      <c r="K14" s="81"/>
    </row>
    <row r="15" spans="1:12" x14ac:dyDescent="0.2">
      <c r="A15" s="41">
        <f>Portafolio!F15</f>
        <v>1.2659131987154749E-3</v>
      </c>
      <c r="B15" s="41">
        <f>Portafolio!G15</f>
        <v>-8.2960032000802229E-3</v>
      </c>
      <c r="C15" s="41">
        <f>Portafolio!H15</f>
        <v>-1.1095405596341172E-2</v>
      </c>
      <c r="D15" s="41">
        <f>Portafolio!I15</f>
        <v>-1.1671910678181512E-2</v>
      </c>
      <c r="E15" s="41">
        <f>Portafolio!J15</f>
        <v>-8.7030184436974432E-3</v>
      </c>
      <c r="H15" s="81"/>
      <c r="I15" s="81"/>
      <c r="J15" s="81"/>
      <c r="K15" s="81"/>
    </row>
    <row r="16" spans="1:12" x14ac:dyDescent="0.2">
      <c r="A16" s="41">
        <f>Portafolio!F16</f>
        <v>-3.6449647610985361E-2</v>
      </c>
      <c r="B16" s="41">
        <f>Portafolio!G16</f>
        <v>-6.802636816685408E-4</v>
      </c>
      <c r="C16" s="41">
        <f>Portafolio!H16</f>
        <v>-1.65396632304482E-3</v>
      </c>
      <c r="D16" s="41">
        <f>Portafolio!I16</f>
        <v>8.9378657253624903E-3</v>
      </c>
      <c r="E16" s="41">
        <f>Portafolio!J16</f>
        <v>-5.1359948137462367E-3</v>
      </c>
      <c r="G16" s="108" t="s">
        <v>56</v>
      </c>
      <c r="H16" s="109"/>
      <c r="I16" s="81"/>
      <c r="J16" s="81"/>
      <c r="K16" s="81"/>
    </row>
    <row r="17" spans="1:11" x14ac:dyDescent="0.2">
      <c r="A17" s="41">
        <f>Portafolio!F17</f>
        <v>-2.9685687263803755E-2</v>
      </c>
      <c r="B17" s="41">
        <f>Portafolio!G17</f>
        <v>-7.685086250950387E-3</v>
      </c>
      <c r="C17" s="41">
        <f>Portafolio!H17</f>
        <v>-8.5911179492632866E-3</v>
      </c>
      <c r="D17" s="41">
        <f>Portafolio!I17</f>
        <v>0</v>
      </c>
      <c r="E17" s="41">
        <f>Portafolio!J17</f>
        <v>-9.9898156541735963E-3</v>
      </c>
      <c r="G17" s="82" t="s">
        <v>53</v>
      </c>
      <c r="H17" s="83" cm="1">
        <f t="array" ref="H17">_xll.ROV.RiskSim.RSFunctions.RSForecastStatistic(L7,"Percentile0.05")*SQRT($H$8)</f>
        <v>-1.0906380535291782E-2</v>
      </c>
      <c r="I17" s="81"/>
      <c r="J17" s="81"/>
      <c r="K17" s="81"/>
    </row>
    <row r="18" spans="1:11" x14ac:dyDescent="0.2">
      <c r="A18" s="41">
        <f>Portafolio!F18</f>
        <v>3.4855737123982338E-3</v>
      </c>
      <c r="B18" s="41">
        <f>Portafolio!G18</f>
        <v>0</v>
      </c>
      <c r="C18" s="41">
        <f>Portafolio!H18</f>
        <v>7.6518323838956222E-4</v>
      </c>
      <c r="D18" s="41">
        <f>Portafolio!I18</f>
        <v>-1.4477988707991517E-2</v>
      </c>
      <c r="E18" s="41">
        <f>Portafolio!J18</f>
        <v>-3.6366611801214475E-3</v>
      </c>
      <c r="G18" s="82" t="s">
        <v>54</v>
      </c>
      <c r="H18" s="84">
        <v>100000</v>
      </c>
      <c r="I18" s="81"/>
      <c r="J18" s="81"/>
      <c r="K18" s="81"/>
    </row>
    <row r="19" spans="1:11" x14ac:dyDescent="0.2">
      <c r="A19" s="41">
        <f>Portafolio!F19</f>
        <v>6.6007039975988667E-3</v>
      </c>
      <c r="B19" s="41">
        <f>Portafolio!G19</f>
        <v>9.3849136242531647E-3</v>
      </c>
      <c r="C19" s="41">
        <f>Portafolio!H19</f>
        <v>4.3706422775577902E-3</v>
      </c>
      <c r="D19" s="41">
        <f>Portafolio!I19</f>
        <v>8.2988273439278445E-3</v>
      </c>
      <c r="E19" s="41">
        <f>Portafolio!J19</f>
        <v>6.2859574110678022E-3</v>
      </c>
      <c r="G19" s="82" t="s">
        <v>55</v>
      </c>
      <c r="H19" s="85">
        <f>H17*H18</f>
        <v>-1090.6380535291783</v>
      </c>
      <c r="I19" s="81"/>
      <c r="J19" s="81"/>
      <c r="K19" s="81"/>
    </row>
    <row r="20" spans="1:11" x14ac:dyDescent="0.2">
      <c r="A20" s="41">
        <f>Portafolio!F20</f>
        <v>-1.7207766577965616E-2</v>
      </c>
      <c r="B20" s="41">
        <f>Portafolio!G20</f>
        <v>-9.8994165765982269E-3</v>
      </c>
      <c r="C20" s="41">
        <f>Portafolio!H20</f>
        <v>1.2930049259339658E-2</v>
      </c>
      <c r="D20" s="41">
        <f>Portafolio!I20</f>
        <v>-4.1408787728015178E-3</v>
      </c>
      <c r="E20" s="41">
        <f>Portafolio!J20</f>
        <v>4.887238112031005E-4</v>
      </c>
    </row>
    <row r="21" spans="1:11" x14ac:dyDescent="0.2">
      <c r="A21" s="41">
        <f>Portafolio!F21</f>
        <v>-1.1925628607410014E-2</v>
      </c>
      <c r="B21" s="41">
        <f>Portafolio!G21</f>
        <v>2.3984991177818894E-3</v>
      </c>
      <c r="C21" s="41">
        <f>Portafolio!H21</f>
        <v>4.7822692080471709E-4</v>
      </c>
      <c r="D21" s="41">
        <f>Portafolio!I21</f>
        <v>1.1004270746853787E-2</v>
      </c>
      <c r="E21" s="41">
        <f>Portafolio!J21</f>
        <v>1.4768108627912393E-3</v>
      </c>
      <c r="G21" s="82" t="s">
        <v>61</v>
      </c>
      <c r="H21" s="86">
        <f>H14-H19</f>
        <v>-5629.1151913612985</v>
      </c>
    </row>
    <row r="22" spans="1:11" x14ac:dyDescent="0.2">
      <c r="A22" s="41">
        <f>Portafolio!F22</f>
        <v>8.744192273870471E-3</v>
      </c>
      <c r="B22" s="41">
        <f>Portafolio!G22</f>
        <v>8.2446925036342867E-3</v>
      </c>
      <c r="C22" s="41">
        <f>Portafolio!H22</f>
        <v>1.9211775011975799E-2</v>
      </c>
      <c r="D22" s="41">
        <f>Portafolio!I22</f>
        <v>2.9651713697862989E-2</v>
      </c>
      <c r="E22" s="41">
        <f>Portafolio!J22</f>
        <v>2.0042246390674492E-2</v>
      </c>
      <c r="G22" s="82" t="s">
        <v>61</v>
      </c>
      <c r="H22" s="87">
        <f>1-(H17/H12)</f>
        <v>0.41847801097481863</v>
      </c>
    </row>
    <row r="23" spans="1:11" x14ac:dyDescent="0.2">
      <c r="A23" s="41">
        <f>Portafolio!F23</f>
        <v>-4.1626265495737849E-3</v>
      </c>
      <c r="B23" s="41">
        <f>Portafolio!G23</f>
        <v>-8.9348416448038568E-3</v>
      </c>
      <c r="C23" s="41">
        <f>Portafolio!H23</f>
        <v>-2.9524998063902006E-3</v>
      </c>
      <c r="D23" s="41">
        <f>Portafolio!I23</f>
        <v>1.1224978589028094E-2</v>
      </c>
      <c r="E23" s="41">
        <f>Portafolio!J23</f>
        <v>1.1313429911168696E-3</v>
      </c>
    </row>
    <row r="24" spans="1:11" x14ac:dyDescent="0.2">
      <c r="A24" s="41">
        <f>Portafolio!F24</f>
        <v>1.6771885661529522E-2</v>
      </c>
      <c r="B24" s="41">
        <f>Portafolio!G24</f>
        <v>6.1940863988089057E-3</v>
      </c>
      <c r="C24" s="41">
        <f>Portafolio!H24</f>
        <v>2.081060219182381E-3</v>
      </c>
      <c r="D24" s="41">
        <f>Portafolio!I24</f>
        <v>-9.2349221157867391E-3</v>
      </c>
      <c r="E24" s="41">
        <f>Portafolio!J24</f>
        <v>1.5301136594923666E-3</v>
      </c>
    </row>
    <row r="25" spans="1:11" x14ac:dyDescent="0.2">
      <c r="A25" s="41">
        <f>Portafolio!F25</f>
        <v>6.1618290451625419E-3</v>
      </c>
      <c r="B25" s="41">
        <f>Portafolio!G25</f>
        <v>-2.0603885067279927E-3</v>
      </c>
      <c r="C25" s="41">
        <f>Portafolio!H25</f>
        <v>-1.2750275394505101E-3</v>
      </c>
      <c r="D25" s="41">
        <f>Portafolio!I25</f>
        <v>7.9209277625121085E-3</v>
      </c>
      <c r="E25" s="41">
        <f>Portafolio!J25</f>
        <v>3.1390478840161106E-3</v>
      </c>
    </row>
    <row r="26" spans="1:11" x14ac:dyDescent="0.2">
      <c r="A26" s="41">
        <f>Portafolio!F26</f>
        <v>-2.0194689945887755E-2</v>
      </c>
      <c r="B26" s="41">
        <f>Portafolio!G26</f>
        <v>4.4589357728930948E-3</v>
      </c>
      <c r="C26" s="41">
        <f>Portafolio!H26</f>
        <v>-4.2389693184284203E-3</v>
      </c>
      <c r="D26" s="41">
        <f>Portafolio!I26</f>
        <v>2.2107528152630732E-2</v>
      </c>
      <c r="E26" s="41">
        <f>Portafolio!J26</f>
        <v>1.4273245220018617E-3</v>
      </c>
    </row>
    <row r="27" spans="1:11" x14ac:dyDescent="0.2">
      <c r="A27" s="41">
        <f>Portafolio!F27</f>
        <v>-8.9290841663582452E-3</v>
      </c>
      <c r="B27" s="41">
        <f>Portafolio!G27</f>
        <v>-1.5520182226064388E-2</v>
      </c>
      <c r="C27" s="41">
        <f>Portafolio!H27</f>
        <v>-7.8527809774467452E-3</v>
      </c>
      <c r="D27" s="41">
        <f>Portafolio!I27</f>
        <v>-1.5554405482686634E-2</v>
      </c>
      <c r="E27" s="41">
        <f>Portafolio!J27</f>
        <v>-1.0862645480342735E-2</v>
      </c>
    </row>
    <row r="28" spans="1:11" x14ac:dyDescent="0.2">
      <c r="A28" s="41">
        <f>Portafolio!F28</f>
        <v>4.932157084030179E-3</v>
      </c>
      <c r="B28" s="41">
        <f>Portafolio!G28</f>
        <v>1.0421744338548341E-3</v>
      </c>
      <c r="C28" s="41">
        <f>Portafolio!H28</f>
        <v>-9.6290710303040105E-3</v>
      </c>
      <c r="D28" s="41">
        <f>Portafolio!I28</f>
        <v>-1.2488017087223817E-2</v>
      </c>
      <c r="E28" s="41">
        <f>Portafolio!J28</f>
        <v>-7.2123448333486972E-3</v>
      </c>
    </row>
    <row r="29" spans="1:11" x14ac:dyDescent="0.2">
      <c r="A29" s="41">
        <f>Portafolio!F29</f>
        <v>7.3532671978666295E-3</v>
      </c>
      <c r="B29" s="41">
        <f>Portafolio!G29</f>
        <v>-1.0471250468192831E-2</v>
      </c>
      <c r="C29" s="41">
        <f>Portafolio!H29</f>
        <v>4.9286703199951359E-3</v>
      </c>
      <c r="D29" s="41">
        <f>Portafolio!I29</f>
        <v>-3.9760898184737319E-3</v>
      </c>
      <c r="E29" s="41">
        <f>Portafolio!J29</f>
        <v>1.9130567663173188E-3</v>
      </c>
    </row>
    <row r="30" spans="1:11" x14ac:dyDescent="0.2">
      <c r="A30" s="41">
        <f>Portafolio!F30</f>
        <v>-2.3676570379196956E-2</v>
      </c>
      <c r="B30" s="41">
        <f>Portafolio!G30</f>
        <v>-8.2798817906721903E-3</v>
      </c>
      <c r="C30" s="41">
        <f>Portafolio!H30</f>
        <v>-1.0433243353410393E-2</v>
      </c>
      <c r="D30" s="41">
        <f>Portafolio!I30</f>
        <v>-2.6595130223768674E-3</v>
      </c>
      <c r="E30" s="41">
        <f>Portafolio!J30</f>
        <v>-1.0479526555787275E-2</v>
      </c>
    </row>
    <row r="31" spans="1:11" x14ac:dyDescent="0.2">
      <c r="A31" s="41">
        <f>Portafolio!F31</f>
        <v>-8.9372740582099996E-3</v>
      </c>
      <c r="B31" s="41">
        <f>Portafolio!G31</f>
        <v>-1.0313022416799286E-2</v>
      </c>
      <c r="C31" s="41">
        <f>Portafolio!H31</f>
        <v>5.8476760566381946E-3</v>
      </c>
      <c r="D31" s="41">
        <f>Portafolio!I31</f>
        <v>-1.0036916003110012E-2</v>
      </c>
      <c r="E31" s="41">
        <f>Portafolio!J31</f>
        <v>-2.8788070221865132E-3</v>
      </c>
    </row>
    <row r="32" spans="1:11" x14ac:dyDescent="0.2">
      <c r="A32" s="41">
        <f>Portafolio!F32</f>
        <v>1.5245124110350558E-3</v>
      </c>
      <c r="B32" s="41">
        <f>Portafolio!G32</f>
        <v>-2.5052793506595878E-3</v>
      </c>
      <c r="C32" s="41">
        <f>Portafolio!H32</f>
        <v>1.2339652914118577E-2</v>
      </c>
      <c r="D32" s="41">
        <f>Portafolio!I32</f>
        <v>9.370913321953802E-3</v>
      </c>
      <c r="E32" s="41">
        <f>Portafolio!J32</f>
        <v>8.6209083606874817E-3</v>
      </c>
    </row>
    <row r="33" spans="1:5" x14ac:dyDescent="0.2">
      <c r="A33" s="41">
        <f>Portafolio!F33</f>
        <v>3.0418117645047292E-3</v>
      </c>
      <c r="B33" s="41">
        <f>Portafolio!G33</f>
        <v>3.0412831937692204E-3</v>
      </c>
      <c r="C33" s="41">
        <f>Portafolio!H33</f>
        <v>-1.7566587699048578E-2</v>
      </c>
      <c r="D33" s="41">
        <f>Portafolio!I33</f>
        <v>6.6600268115622394E-4</v>
      </c>
      <c r="E33" s="41">
        <f>Portafolio!J33</f>
        <v>-6.7410008614461787E-3</v>
      </c>
    </row>
    <row r="34" spans="1:5" x14ac:dyDescent="0.2">
      <c r="A34" s="41">
        <f>Portafolio!F34</f>
        <v>1.4726612543542477E-2</v>
      </c>
      <c r="B34" s="41">
        <f>Portafolio!G34</f>
        <v>-8.9718561804357604E-3</v>
      </c>
      <c r="C34" s="41">
        <f>Portafolio!H34</f>
        <v>-8.6567488859623613E-3</v>
      </c>
      <c r="D34" s="41">
        <f>Portafolio!I34</f>
        <v>-2.3578125464621125E-2</v>
      </c>
      <c r="E34" s="41">
        <f>Portafolio!J34</f>
        <v>-8.8179369067360458E-3</v>
      </c>
    </row>
    <row r="35" spans="1:5" x14ac:dyDescent="0.2">
      <c r="A35" s="41">
        <f>Portafolio!F35</f>
        <v>-7.8002013931504684E-3</v>
      </c>
      <c r="B35" s="41">
        <f>Portafolio!G35</f>
        <v>-1.0873561101627389E-2</v>
      </c>
      <c r="C35" s="41">
        <f>Portafolio!H35</f>
        <v>-7.4001160534839551E-3</v>
      </c>
      <c r="D35" s="41">
        <f>Portafolio!I35</f>
        <v>7.470418425544037E-3</v>
      </c>
      <c r="E35" s="41">
        <f>Portafolio!J35</f>
        <v>-2.8289855790354316E-3</v>
      </c>
    </row>
    <row r="36" spans="1:5" x14ac:dyDescent="0.2">
      <c r="A36" s="41">
        <f>Portafolio!F36</f>
        <v>7.2820978273525263E-3</v>
      </c>
      <c r="B36" s="41">
        <f>Portafolio!G36</f>
        <v>2.9112300036451422E-3</v>
      </c>
      <c r="C36" s="41">
        <f>Portafolio!H36</f>
        <v>4.4743812840926343E-3</v>
      </c>
      <c r="D36" s="41">
        <f>Portafolio!I36</f>
        <v>-8.8346792935787202E-3</v>
      </c>
      <c r="E36" s="41">
        <f>Portafolio!J36</f>
        <v>6.8071290908287667E-4</v>
      </c>
    </row>
    <row r="37" spans="1:5" x14ac:dyDescent="0.2">
      <c r="A37" s="41">
        <f>Portafolio!F37</f>
        <v>7.1721957179410305E-3</v>
      </c>
      <c r="B37" s="41">
        <f>Portafolio!G37</f>
        <v>-4.9535374384451825E-2</v>
      </c>
      <c r="C37" s="41">
        <f>Portafolio!H37</f>
        <v>4.2075901542361687E-3</v>
      </c>
      <c r="D37" s="41">
        <f>Portafolio!I37</f>
        <v>1.2211857867236135E-2</v>
      </c>
      <c r="E37" s="41">
        <f>Portafolio!J37</f>
        <v>5.1834637731418276E-3</v>
      </c>
    </row>
    <row r="38" spans="1:5" x14ac:dyDescent="0.2">
      <c r="A38" s="41">
        <f>Portafolio!F38</f>
        <v>1.4642797262619538E-2</v>
      </c>
      <c r="B38" s="41">
        <f>Portafolio!G38</f>
        <v>1.4405068586763934E-2</v>
      </c>
      <c r="C38" s="41">
        <f>Portafolio!H38</f>
        <v>1.5278133083516892E-2</v>
      </c>
      <c r="D38" s="41">
        <f>Portafolio!I38</f>
        <v>-7.0340122474886078E-3</v>
      </c>
      <c r="E38" s="41">
        <f>Portafolio!J38</f>
        <v>7.9247087144746625E-3</v>
      </c>
    </row>
    <row r="39" spans="1:5" x14ac:dyDescent="0.2">
      <c r="A39" s="41">
        <f>Portafolio!F39</f>
        <v>8.4155364965835446E-3</v>
      </c>
      <c r="B39" s="41">
        <f>Portafolio!G39</f>
        <v>-4.9046695157092994E-3</v>
      </c>
      <c r="C39" s="41">
        <f>Portafolio!H39</f>
        <v>-2.2767875931944174E-3</v>
      </c>
      <c r="D39" s="41">
        <f>Portafolio!I39</f>
        <v>1.919178660718069E-2</v>
      </c>
      <c r="E39" s="41">
        <f>Portafolio!J39</f>
        <v>6.6663510313033688E-3</v>
      </c>
    </row>
    <row r="40" spans="1:5" x14ac:dyDescent="0.2">
      <c r="A40" s="41">
        <f>Portafolio!F40</f>
        <v>-3.3577377412587176E-3</v>
      </c>
      <c r="B40" s="41">
        <f>Portafolio!G40</f>
        <v>2.1514155913894644E-2</v>
      </c>
      <c r="C40" s="41">
        <f>Portafolio!H40</f>
        <v>6.0600170693245765E-3</v>
      </c>
      <c r="D40" s="41">
        <f>Portafolio!I40</f>
        <v>1.5493841465178439E-2</v>
      </c>
      <c r="E40" s="41">
        <f>Portafolio!J40</f>
        <v>7.8544778962305432E-3</v>
      </c>
    </row>
    <row r="41" spans="1:5" x14ac:dyDescent="0.2">
      <c r="A41" s="41">
        <f>Portafolio!F41</f>
        <v>7.8729256654077838E-3</v>
      </c>
      <c r="B41" s="41">
        <f>Portafolio!G41</f>
        <v>-5.9402085775266582E-3</v>
      </c>
      <c r="C41" s="41">
        <f>Portafolio!H41</f>
        <v>3.4271245700145075E-3</v>
      </c>
      <c r="D41" s="41">
        <f>Portafolio!I41</f>
        <v>-1.2781979492703863E-2</v>
      </c>
      <c r="E41" s="41">
        <f>Portafolio!J41</f>
        <v>-1.2934255786129127E-3</v>
      </c>
    </row>
    <row r="42" spans="1:5" x14ac:dyDescent="0.2">
      <c r="A42" s="41">
        <f>Portafolio!F42</f>
        <v>5.0484914715231101E-3</v>
      </c>
      <c r="B42" s="41">
        <f>Portafolio!G42</f>
        <v>-1.6898605731409447E-2</v>
      </c>
      <c r="C42" s="41">
        <f>Portafolio!H42</f>
        <v>-2.3292037153074849E-3</v>
      </c>
      <c r="D42" s="41">
        <f>Portafolio!I42</f>
        <v>-2.1903648579655197E-2</v>
      </c>
      <c r="E42" s="41">
        <f>Portafolio!J42</f>
        <v>-7.7624496799989307E-3</v>
      </c>
    </row>
    <row r="43" spans="1:5" x14ac:dyDescent="0.2">
      <c r="A43" s="41">
        <f>Portafolio!F43</f>
        <v>-1.0346128156285038E-2</v>
      </c>
      <c r="B43" s="41">
        <f>Portafolio!G43</f>
        <v>1.5136608826072475E-3</v>
      </c>
      <c r="C43" s="41">
        <f>Portafolio!H43</f>
        <v>1.490802752612275E-2</v>
      </c>
      <c r="D43" s="41">
        <f>Portafolio!I43</f>
        <v>-6.2479325408984904E-3</v>
      </c>
      <c r="E43" s="41">
        <f>Portafolio!J43</f>
        <v>2.5088405008130716E-3</v>
      </c>
    </row>
    <row r="44" spans="1:5" x14ac:dyDescent="0.2">
      <c r="A44" s="41">
        <f>Portafolio!F44</f>
        <v>-7.2710133536225421E-4</v>
      </c>
      <c r="B44" s="41">
        <f>Portafolio!G44</f>
        <v>1.0158067162630343E-2</v>
      </c>
      <c r="C44" s="41">
        <f>Portafolio!H44</f>
        <v>-1.0140315442376808E-3</v>
      </c>
      <c r="D44" s="41">
        <f>Portafolio!I44</f>
        <v>3.47593227385585E-3</v>
      </c>
      <c r="E44" s="41">
        <f>Portafolio!J44</f>
        <v>9.4651306234168689E-4</v>
      </c>
    </row>
    <row r="45" spans="1:5" x14ac:dyDescent="0.2">
      <c r="A45" s="41">
        <f>Portafolio!F45</f>
        <v>-8.8236168219693739E-3</v>
      </c>
      <c r="B45" s="41">
        <f>Portafolio!G45</f>
        <v>1.1907236828734701E-2</v>
      </c>
      <c r="C45" s="41">
        <f>Portafolio!H45</f>
        <v>-2.1668112665697982E-3</v>
      </c>
      <c r="D45" s="41">
        <f>Portafolio!I45</f>
        <v>1.1728316519177792E-2</v>
      </c>
      <c r="E45" s="41">
        <f>Portafolio!J45</f>
        <v>1.5594675909491673E-3</v>
      </c>
    </row>
    <row r="46" spans="1:5" x14ac:dyDescent="0.2">
      <c r="A46" s="41">
        <f>Portafolio!F46</f>
        <v>-7.4223370429170512E-3</v>
      </c>
      <c r="B46" s="41">
        <f>Portafolio!G46</f>
        <v>-3.7001627652822851E-4</v>
      </c>
      <c r="C46" s="41">
        <f>Portafolio!H46</f>
        <v>-1.1041381345434621E-2</v>
      </c>
      <c r="D46" s="41">
        <f>Portafolio!I46</f>
        <v>-1.7993646801684915E-2</v>
      </c>
      <c r="E46" s="41">
        <f>Portafolio!J46</f>
        <v>-1.212492028973566E-2</v>
      </c>
    </row>
    <row r="47" spans="1:5" x14ac:dyDescent="0.2">
      <c r="A47" s="41">
        <f>Portafolio!F47</f>
        <v>-2.1632256780532658E-3</v>
      </c>
      <c r="B47" s="41">
        <f>Portafolio!G47</f>
        <v>5.5350153172178456E-3</v>
      </c>
      <c r="C47" s="41">
        <f>Portafolio!H47</f>
        <v>-4.2583678361532767E-3</v>
      </c>
      <c r="D47" s="41">
        <f>Portafolio!I47</f>
        <v>6.3577877182322051E-2</v>
      </c>
      <c r="E47" s="41">
        <f>Portafolio!J47</f>
        <v>1.8422592847118335E-2</v>
      </c>
    </row>
    <row r="48" spans="1:5" x14ac:dyDescent="0.2">
      <c r="A48" s="41">
        <f>Portafolio!F48</f>
        <v>-1.48134638605088E-2</v>
      </c>
      <c r="B48" s="41">
        <f>Portafolio!G48</f>
        <v>4.0397446205238134E-3</v>
      </c>
      <c r="C48" s="41">
        <f>Portafolio!H48</f>
        <v>-1.623677213768495E-2</v>
      </c>
      <c r="D48" s="41">
        <f>Portafolio!I48</f>
        <v>7.8330630368045693E-3</v>
      </c>
      <c r="E48" s="41">
        <f>Portafolio!J48</f>
        <v>-7.36738173021061E-3</v>
      </c>
    </row>
    <row r="49" spans="1:5" x14ac:dyDescent="0.2">
      <c r="A49" s="41">
        <f>Portafolio!F49</f>
        <v>6.9385280456884656E-4</v>
      </c>
      <c r="B49" s="41">
        <f>Portafolio!G49</f>
        <v>-9.01984365197008E-3</v>
      </c>
      <c r="C49" s="41">
        <f>Portafolio!H49</f>
        <v>-1.3735076896956099E-2</v>
      </c>
      <c r="D49" s="41">
        <f>Portafolio!I49</f>
        <v>-2.8356670761467306E-2</v>
      </c>
      <c r="E49" s="41">
        <f>Portafolio!J49</f>
        <v>-1.5379019650579921E-2</v>
      </c>
    </row>
    <row r="50" spans="1:5" x14ac:dyDescent="0.2">
      <c r="A50" s="41">
        <f>Portafolio!F50</f>
        <v>2.5402110604923374E-3</v>
      </c>
      <c r="B50" s="41">
        <f>Portafolio!G50</f>
        <v>2.8437891260977562E-2</v>
      </c>
      <c r="C50" s="41">
        <f>Portafolio!H50</f>
        <v>1.2049500256252955E-3</v>
      </c>
      <c r="D50" s="41">
        <f>Portafolio!I50</f>
        <v>3.8062243981015008E-2</v>
      </c>
      <c r="E50" s="41">
        <f>Portafolio!J50</f>
        <v>1.446223860658455E-2</v>
      </c>
    </row>
    <row r="51" spans="1:5" x14ac:dyDescent="0.2">
      <c r="A51" s="41">
        <f>Portafolio!F51</f>
        <v>-1.3583577722310494E-2</v>
      </c>
      <c r="B51" s="41">
        <f>Portafolio!G51</f>
        <v>8.5898919565569297E-3</v>
      </c>
      <c r="C51" s="41">
        <f>Portafolio!H51</f>
        <v>-5.4694749611117069E-3</v>
      </c>
      <c r="D51" s="41">
        <f>Portafolio!I51</f>
        <v>-2.2136321441816844E-2</v>
      </c>
      <c r="E51" s="41">
        <f>Portafolio!J51</f>
        <v>-1.1884293252356418E-2</v>
      </c>
    </row>
    <row r="52" spans="1:5" x14ac:dyDescent="0.2">
      <c r="A52" s="41">
        <f>Portafolio!F52</f>
        <v>-2.4913184770041188E-2</v>
      </c>
      <c r="B52" s="41">
        <f>Portafolio!G52</f>
        <v>-6.0768940601561034E-3</v>
      </c>
      <c r="C52" s="41">
        <f>Portafolio!H52</f>
        <v>2.5609400579485304E-3</v>
      </c>
      <c r="D52" s="41">
        <f>Portafolio!I52</f>
        <v>-4.6189215703234801E-3</v>
      </c>
      <c r="E52" s="41">
        <f>Portafolio!J52</f>
        <v>-5.5820310021594466E-3</v>
      </c>
    </row>
    <row r="53" spans="1:5" x14ac:dyDescent="0.2">
      <c r="A53" s="41">
        <f>Portafolio!F53</f>
        <v>7.9376258370334254E-3</v>
      </c>
      <c r="B53" s="41">
        <f>Portafolio!G53</f>
        <v>-9.7279469304567372E-3</v>
      </c>
      <c r="C53" s="41">
        <f>Portafolio!H53</f>
        <v>-3.6683337928199083E-2</v>
      </c>
      <c r="D53" s="41">
        <f>Portafolio!I53</f>
        <v>-2.0040684628752883E-2</v>
      </c>
      <c r="E53" s="41">
        <f>Portafolio!J53</f>
        <v>-2.1324752965601476E-2</v>
      </c>
    </row>
    <row r="54" spans="1:5" x14ac:dyDescent="0.2">
      <c r="A54" s="41">
        <f>Portafolio!F54</f>
        <v>1.2230145391432332E-2</v>
      </c>
      <c r="B54" s="41">
        <f>Portafolio!G54</f>
        <v>1.6339294527615768E-2</v>
      </c>
      <c r="C54" s="41">
        <f>Portafolio!H54</f>
        <v>1.26689866257148E-2</v>
      </c>
      <c r="D54" s="41">
        <f>Portafolio!I54</f>
        <v>2.9257291384540907E-2</v>
      </c>
      <c r="E54" s="41">
        <f>Portafolio!J54</f>
        <v>1.8077764652553646E-2</v>
      </c>
    </row>
    <row r="55" spans="1:5" x14ac:dyDescent="0.2">
      <c r="A55" s="41">
        <f>Portafolio!F55</f>
        <v>2.8148308012558494E-3</v>
      </c>
      <c r="B55" s="41">
        <f>Portafolio!G55</f>
        <v>6.0369707476601144E-3</v>
      </c>
      <c r="C55" s="41">
        <f>Portafolio!H55</f>
        <v>1.1863603111821981E-2</v>
      </c>
      <c r="D55" s="41">
        <f>Portafolio!I55</f>
        <v>9.1325041752728462E-3</v>
      </c>
      <c r="E55" s="41">
        <f>Portafolio!J55</f>
        <v>8.9418177666675137E-3</v>
      </c>
    </row>
    <row r="56" spans="1:5" x14ac:dyDescent="0.2">
      <c r="A56" s="41">
        <f>Portafolio!F56</f>
        <v>1.8565290897534802E-2</v>
      </c>
      <c r="B56" s="41">
        <f>Portafolio!G56</f>
        <v>-8.8556819319023528E-4</v>
      </c>
      <c r="C56" s="41">
        <f>Portafolio!H56</f>
        <v>-8.6331287395108823E-4</v>
      </c>
      <c r="D56" s="41">
        <f>Portafolio!I56</f>
        <v>1.1620614661695866E-2</v>
      </c>
      <c r="E56" s="41">
        <f>Portafolio!J56</f>
        <v>7.0318357863738013E-3</v>
      </c>
    </row>
    <row r="57" spans="1:5" x14ac:dyDescent="0.2">
      <c r="A57" s="41">
        <f>Portafolio!F57</f>
        <v>2.0482069684558096E-2</v>
      </c>
      <c r="B57" s="41">
        <f>Portafolio!G57</f>
        <v>1.1450857122828546E-2</v>
      </c>
      <c r="C57" s="41">
        <f>Portafolio!H57</f>
        <v>1.7691845912209535E-2</v>
      </c>
      <c r="D57" s="41">
        <f>Portafolio!I57</f>
        <v>9.581644883623272E-3</v>
      </c>
      <c r="E57" s="41">
        <f>Portafolio!J57</f>
        <v>1.537923079575523E-2</v>
      </c>
    </row>
    <row r="58" spans="1:5" x14ac:dyDescent="0.2">
      <c r="A58" s="41">
        <f>Portafolio!F58</f>
        <v>-5.1946810275440517E-3</v>
      </c>
      <c r="B58" s="41">
        <f>Portafolio!G58</f>
        <v>-6.1495523287532295E-3</v>
      </c>
      <c r="C58" s="41">
        <f>Portafolio!H58</f>
        <v>1.1110587455196269E-2</v>
      </c>
      <c r="D58" s="41">
        <f>Portafolio!I58</f>
        <v>9.4907076045383631E-3</v>
      </c>
      <c r="E58" s="41">
        <f>Portafolio!J58</f>
        <v>6.6336452309906247E-3</v>
      </c>
    </row>
    <row r="59" spans="1:5" x14ac:dyDescent="0.2">
      <c r="A59" s="41">
        <f>Portafolio!F59</f>
        <v>1.44996022601437E-2</v>
      </c>
      <c r="B59" s="41">
        <f>Portafolio!G59</f>
        <v>4.0454488376433064E-3</v>
      </c>
      <c r="C59" s="41">
        <f>Portafolio!H59</f>
        <v>7.5241008178584595E-3</v>
      </c>
      <c r="D59" s="41">
        <f>Portafolio!I59</f>
        <v>-8.2201612246451568E-3</v>
      </c>
      <c r="E59" s="41">
        <f>Portafolio!J59</f>
        <v>3.6980751488433833E-3</v>
      </c>
    </row>
    <row r="60" spans="1:5" x14ac:dyDescent="0.2">
      <c r="A60" s="41">
        <f>Portafolio!F60</f>
        <v>1.4347282613426004E-2</v>
      </c>
      <c r="B60" s="41">
        <f>Portafolio!G60</f>
        <v>3.6793121473435051E-3</v>
      </c>
      <c r="C60" s="41">
        <f>Portafolio!H60</f>
        <v>-4.8618261899616047E-4</v>
      </c>
      <c r="D60" s="41">
        <f>Portafolio!I60</f>
        <v>5.6981618175608508E-3</v>
      </c>
      <c r="E60" s="41">
        <f>Portafolio!J60</f>
        <v>4.6337446990717575E-3</v>
      </c>
    </row>
    <row r="61" spans="1:5" x14ac:dyDescent="0.2">
      <c r="A61" s="41">
        <f>Portafolio!F61</f>
        <v>5.8675683603629037E-3</v>
      </c>
      <c r="B61" s="41">
        <f>Portafolio!G61</f>
        <v>-1.5752086562333767E-3</v>
      </c>
      <c r="C61" s="41">
        <f>Portafolio!H61</f>
        <v>4.9183358399554396E-3</v>
      </c>
      <c r="D61" s="41">
        <f>Portafolio!I61</f>
        <v>-1.2067567354175589E-2</v>
      </c>
      <c r="E61" s="41">
        <f>Portafolio!J61</f>
        <v>-6.3215212262406235E-4</v>
      </c>
    </row>
    <row r="62" spans="1:5" x14ac:dyDescent="0.2">
      <c r="A62" s="41">
        <f>Portafolio!F62</f>
        <v>-2.6278835003809412E-3</v>
      </c>
      <c r="B62" s="41">
        <f>Portafolio!G62</f>
        <v>-7.5604337307585206E-3</v>
      </c>
      <c r="C62" s="41">
        <f>Portafolio!H62</f>
        <v>-2.9757978020443572E-3</v>
      </c>
      <c r="D62" s="41">
        <f>Portafolio!I62</f>
        <v>-1.2787371052778911E-3</v>
      </c>
      <c r="E62" s="41">
        <f>Portafolio!J62</f>
        <v>-2.5467237633194639E-3</v>
      </c>
    </row>
    <row r="63" spans="1:5" x14ac:dyDescent="0.2">
      <c r="A63" s="41">
        <f>Portafolio!F63</f>
        <v>2.2954556969230551E-2</v>
      </c>
      <c r="B63" s="41">
        <f>Portafolio!G63</f>
        <v>1.0583701900695479E-3</v>
      </c>
      <c r="C63" s="41">
        <f>Portafolio!H63</f>
        <v>1.4722279452399911E-2</v>
      </c>
      <c r="D63" s="41">
        <f>Portafolio!I63</f>
        <v>6.3967350467703291E-4</v>
      </c>
      <c r="E63" s="41">
        <f>Portafolio!J63</f>
        <v>1.126635096485344E-2</v>
      </c>
    </row>
    <row r="64" spans="1:5" x14ac:dyDescent="0.2">
      <c r="A64" s="41">
        <f>Portafolio!F64</f>
        <v>-8.6207243473615386E-3</v>
      </c>
      <c r="B64" s="41">
        <f>Portafolio!G64</f>
        <v>3.6955712633663846E-3</v>
      </c>
      <c r="C64" s="41">
        <f>Portafolio!H64</f>
        <v>-4.4488788474790633E-3</v>
      </c>
      <c r="D64" s="41">
        <f>Portafolio!I64</f>
        <v>-3.8437221263010121E-3</v>
      </c>
      <c r="E64" s="41">
        <f>Portafolio!J64</f>
        <v>-4.7527673251255564E-3</v>
      </c>
    </row>
    <row r="65" spans="1:5" x14ac:dyDescent="0.2">
      <c r="A65" s="41">
        <f>Portafolio!F65</f>
        <v>1.4184635374476782E-2</v>
      </c>
      <c r="B65" s="41">
        <f>Portafolio!G65</f>
        <v>2.981612142296002E-3</v>
      </c>
      <c r="C65" s="41">
        <f>Portafolio!H65</f>
        <v>1.8082265985749042E-2</v>
      </c>
      <c r="D65" s="41">
        <f>Portafolio!I65</f>
        <v>3.2040486216239152E-3</v>
      </c>
      <c r="E65" s="41">
        <f>Portafolio!J65</f>
        <v>1.1893495481086142E-2</v>
      </c>
    </row>
    <row r="66" spans="1:5" x14ac:dyDescent="0.2">
      <c r="A66" s="41">
        <f>Portafolio!F66</f>
        <v>3.0363308776654089E-3</v>
      </c>
      <c r="B66" s="41">
        <f>Portafolio!G66</f>
        <v>1.9246372583412658E-3</v>
      </c>
      <c r="C66" s="41">
        <f>Portafolio!H66</f>
        <v>8.7197537313942614E-3</v>
      </c>
      <c r="D66" s="41">
        <f>Portafolio!I66</f>
        <v>8.2829440398884853E-3</v>
      </c>
      <c r="E66" s="41">
        <f>Portafolio!J66</f>
        <v>7.1686436213717775E-3</v>
      </c>
    </row>
    <row r="67" spans="1:5" x14ac:dyDescent="0.2">
      <c r="A67" s="41">
        <f>Portafolio!F67</f>
        <v>9.0015200429287429E-3</v>
      </c>
      <c r="B67" s="41">
        <f>Portafolio!G67</f>
        <v>-1.0493722296692307E-3</v>
      </c>
      <c r="C67" s="41">
        <f>Portafolio!H67</f>
        <v>1.1355018101563337E-2</v>
      </c>
      <c r="D67" s="41">
        <f>Portafolio!I67</f>
        <v>7.5853598266493183E-3</v>
      </c>
      <c r="E67" s="41">
        <f>Portafolio!J67</f>
        <v>9.1643905003113632E-3</v>
      </c>
    </row>
    <row r="68" spans="1:5" x14ac:dyDescent="0.2">
      <c r="A68" s="41">
        <f>Portafolio!F68</f>
        <v>-1.0544870529251719E-4</v>
      </c>
      <c r="B68" s="41">
        <f>Portafolio!G68</f>
        <v>1.9229550455904989E-3</v>
      </c>
      <c r="C68" s="41">
        <f>Portafolio!H68</f>
        <v>9.0052481102475771E-3</v>
      </c>
      <c r="D68" s="41">
        <f>Portafolio!I68</f>
        <v>1.2586844676198644E-3</v>
      </c>
      <c r="E68" s="41">
        <f>Portafolio!J68</f>
        <v>4.4033721264817947E-3</v>
      </c>
    </row>
    <row r="69" spans="1:5" x14ac:dyDescent="0.2">
      <c r="A69" s="41">
        <f>Portafolio!F69</f>
        <v>9.2354873918627962E-3</v>
      </c>
      <c r="B69" s="41">
        <f>Portafolio!G69</f>
        <v>2.4420582166783792E-3</v>
      </c>
      <c r="C69" s="41">
        <f>Portafolio!H69</f>
        <v>3.0707044771690309E-3</v>
      </c>
      <c r="D69" s="41">
        <f>Portafolio!I69</f>
        <v>1.250014351434138E-2</v>
      </c>
      <c r="E69" s="41">
        <f>Portafolio!J69</f>
        <v>7.3128800811792212E-3</v>
      </c>
    </row>
    <row r="70" spans="1:5" x14ac:dyDescent="0.2">
      <c r="A70" s="41">
        <f>Portafolio!F70</f>
        <v>-4.2398033377747738E-3</v>
      </c>
      <c r="B70" s="41">
        <f>Portafolio!G70</f>
        <v>1.0915721899237774E-2</v>
      </c>
      <c r="C70" s="41">
        <f>Portafolio!H70</f>
        <v>-2.089635023942204E-3</v>
      </c>
      <c r="D70" s="41">
        <f>Portafolio!I70</f>
        <v>5.5745681417839043E-3</v>
      </c>
      <c r="E70" s="41">
        <f>Portafolio!J70</f>
        <v>4.8305978432557442E-4</v>
      </c>
    </row>
    <row r="71" spans="1:5" x14ac:dyDescent="0.2">
      <c r="A71" s="41">
        <f>Portafolio!F71</f>
        <v>3.5083046042034536E-3</v>
      </c>
      <c r="B71" s="41">
        <f>Portafolio!G71</f>
        <v>6.698173115196048E-3</v>
      </c>
      <c r="C71" s="41">
        <f>Portafolio!H71</f>
        <v>2.3505409404632072E-3</v>
      </c>
      <c r="D71" s="41">
        <f>Portafolio!I71</f>
        <v>-1.2361893781621346E-3</v>
      </c>
      <c r="E71" s="41">
        <f>Portafolio!J71</f>
        <v>1.6028665755635143E-3</v>
      </c>
    </row>
    <row r="72" spans="1:5" x14ac:dyDescent="0.2">
      <c r="A72" s="41">
        <f>Portafolio!F72</f>
        <v>-7.0289607553052254E-3</v>
      </c>
      <c r="B72" s="41">
        <f>Portafolio!G72</f>
        <v>2.564368058518235E-3</v>
      </c>
      <c r="C72" s="41">
        <f>Portafolio!H72</f>
        <v>1.3685641523619864E-3</v>
      </c>
      <c r="D72" s="41">
        <f>Portafolio!I72</f>
        <v>2.4706584385659168E-3</v>
      </c>
      <c r="E72" s="41">
        <f>Portafolio!J72</f>
        <v>9.8798185841385343E-5</v>
      </c>
    </row>
    <row r="73" spans="1:5" x14ac:dyDescent="0.2">
      <c r="A73" s="41">
        <f>Portafolio!F73</f>
        <v>-9.4805949388913479E-4</v>
      </c>
      <c r="B73" s="41">
        <f>Portafolio!G73</f>
        <v>-1.8798349524674102E-3</v>
      </c>
      <c r="C73" s="41">
        <f>Portafolio!H73</f>
        <v>-2.2819464710573719E-3</v>
      </c>
      <c r="D73" s="41">
        <f>Portafolio!I73</f>
        <v>0</v>
      </c>
      <c r="E73" s="41">
        <f>Portafolio!J73</f>
        <v>-1.2641891060539848E-3</v>
      </c>
    </row>
    <row r="74" spans="1:5" x14ac:dyDescent="0.2">
      <c r="A74" s="41">
        <f>Portafolio!F74</f>
        <v>3.2089405359202782E-3</v>
      </c>
      <c r="B74" s="41">
        <f>Portafolio!G74</f>
        <v>2.0506000205027385E-3</v>
      </c>
      <c r="C74" s="41">
        <f>Portafolio!H74</f>
        <v>2.2819464710573632E-3</v>
      </c>
      <c r="D74" s="41">
        <f>Portafolio!I74</f>
        <v>-1.8524051289652865E-3</v>
      </c>
      <c r="E74" s="41">
        <f>Portafolio!J74</f>
        <v>1.1247794634930003E-3</v>
      </c>
    </row>
    <row r="75" spans="1:5" x14ac:dyDescent="0.2">
      <c r="A75" s="41">
        <f>Portafolio!F75</f>
        <v>-5.4242788854046205E-3</v>
      </c>
      <c r="B75" s="41">
        <f>Portafolio!G75</f>
        <v>-5.9926490699218782E-3</v>
      </c>
      <c r="C75" s="41">
        <f>Portafolio!H75</f>
        <v>5.0673693523613879E-3</v>
      </c>
      <c r="D75" s="41">
        <f>Portafolio!I75</f>
        <v>7.3891849715765874E-3</v>
      </c>
      <c r="E75" s="41">
        <f>Portafolio!J75</f>
        <v>3.2728031829884706E-3</v>
      </c>
    </row>
    <row r="76" spans="1:5" x14ac:dyDescent="0.2">
      <c r="A76" s="41">
        <f>Portafolio!F76</f>
        <v>3.0580089148523034E-3</v>
      </c>
      <c r="B76" s="41">
        <f>Portafolio!G76</f>
        <v>1.1530896635000211E-2</v>
      </c>
      <c r="C76" s="41">
        <f>Portafolio!H76</f>
        <v>1.1340267252648781E-2</v>
      </c>
      <c r="D76" s="41">
        <f>Portafolio!I76</f>
        <v>1.6428683176453563E-2</v>
      </c>
      <c r="E76" s="41">
        <f>Portafolio!J76</f>
        <v>1.1337205332285261E-2</v>
      </c>
    </row>
    <row r="77" spans="1:5" x14ac:dyDescent="0.2">
      <c r="A77" s="41">
        <f>Portafolio!F77</f>
        <v>6.7683969358011721E-3</v>
      </c>
      <c r="B77" s="41">
        <f>Portafolio!G77</f>
        <v>3.4165183963682714E-3</v>
      </c>
      <c r="C77" s="41">
        <f>Portafolio!H77</f>
        <v>4.857594182652576E-3</v>
      </c>
      <c r="D77" s="41">
        <f>Portafolio!I77</f>
        <v>1.1401293855996619E-2</v>
      </c>
      <c r="E77" s="41">
        <f>Portafolio!J77</f>
        <v>7.2886194374990462E-3</v>
      </c>
    </row>
    <row r="78" spans="1:5" x14ac:dyDescent="0.2">
      <c r="A78" s="41">
        <f>Portafolio!F78</f>
        <v>-9.5097229376474839E-3</v>
      </c>
      <c r="B78" s="41">
        <f>Portafolio!G78</f>
        <v>-1.1944749472458554E-3</v>
      </c>
      <c r="C78" s="41">
        <f>Portafolio!H78</f>
        <v>7.3054908777762974E-3</v>
      </c>
      <c r="D78" s="41">
        <f>Portafolio!I78</f>
        <v>-5.9844807698541955E-3</v>
      </c>
      <c r="E78" s="41">
        <f>Portafolio!J78</f>
        <v>-6.7657508406678219E-4</v>
      </c>
    </row>
    <row r="79" spans="1:5" x14ac:dyDescent="0.2">
      <c r="A79" s="41">
        <f>Portafolio!F79</f>
        <v>2.084449839920156E-2</v>
      </c>
      <c r="B79" s="41">
        <f>Portafolio!G79</f>
        <v>1.5354718166455639E-3</v>
      </c>
      <c r="C79" s="41">
        <f>Portafolio!H79</f>
        <v>-1.266031176191559E-4</v>
      </c>
      <c r="D79" s="41">
        <f>Portafolio!I79</f>
        <v>3.306087505214772E-2</v>
      </c>
      <c r="E79" s="41">
        <f>Portafolio!J79</f>
        <v>1.4817472181668085E-2</v>
      </c>
    </row>
    <row r="80" spans="1:5" x14ac:dyDescent="0.2">
      <c r="A80" s="41">
        <f>Portafolio!F80</f>
        <v>-5.7032520050787593E-3</v>
      </c>
      <c r="B80" s="41">
        <f>Portafolio!G80</f>
        <v>-1.0233916476147672E-3</v>
      </c>
      <c r="C80" s="41">
        <f>Portafolio!H80</f>
        <v>-1.0563861768930536E-2</v>
      </c>
      <c r="D80" s="41">
        <f>Portafolio!I80</f>
        <v>-1.6393661333646715E-2</v>
      </c>
      <c r="E80" s="41">
        <f>Portafolio!J80</f>
        <v>-1.1084347639724431E-2</v>
      </c>
    </row>
    <row r="81" spans="1:5" x14ac:dyDescent="0.2">
      <c r="A81" s="41">
        <f>Portafolio!F81</f>
        <v>1.0088207138443817E-2</v>
      </c>
      <c r="B81" s="41">
        <f>Portafolio!G81</f>
        <v>2.3863212857141401E-3</v>
      </c>
      <c r="C81" s="41">
        <f>Portafolio!H81</f>
        <v>3.0661278355592595E-3</v>
      </c>
      <c r="D81" s="41">
        <f>Portafolio!I81</f>
        <v>8.8156554713472324E-3</v>
      </c>
      <c r="E81" s="41">
        <f>Portafolio!J81</f>
        <v>6.2910674085100739E-3</v>
      </c>
    </row>
    <row r="82" spans="1:5" x14ac:dyDescent="0.2">
      <c r="A82" s="41">
        <f>Portafolio!F82</f>
        <v>7.3850207302899578E-3</v>
      </c>
      <c r="B82" s="41">
        <f>Portafolio!G82</f>
        <v>-2.2156572655028478E-3</v>
      </c>
      <c r="C82" s="41">
        <f>Portafolio!H82</f>
        <v>1.0973473354382132E-2</v>
      </c>
      <c r="D82" s="41">
        <f>Portafolio!I82</f>
        <v>-9.9971434933014119E-3</v>
      </c>
      <c r="E82" s="41">
        <f>Portafolio!J82</f>
        <v>2.9608312065530873E-3</v>
      </c>
    </row>
    <row r="83" spans="1:5" x14ac:dyDescent="0.2">
      <c r="A83" s="41">
        <f>Portafolio!F83</f>
        <v>-1.301155524149791E-2</v>
      </c>
      <c r="B83" s="41">
        <f>Portafolio!G83</f>
        <v>7.3098102582420726E-3</v>
      </c>
      <c r="C83" s="41">
        <f>Portafolio!H83</f>
        <v>3.6521773139312004E-3</v>
      </c>
      <c r="D83" s="41">
        <f>Portafolio!I83</f>
        <v>-1.7889443279638567E-2</v>
      </c>
      <c r="E83" s="41">
        <f>Portafolio!J83</f>
        <v>-6.462677010402546E-3</v>
      </c>
    </row>
    <row r="84" spans="1:5" x14ac:dyDescent="0.2">
      <c r="A84" s="41">
        <f>Portafolio!F84</f>
        <v>7.8889519649972505E-3</v>
      </c>
      <c r="B84" s="41">
        <f>Portafolio!G84</f>
        <v>6.4156731620670822E-3</v>
      </c>
      <c r="C84" s="41">
        <f>Portafolio!H84</f>
        <v>8.8855459657744724E-3</v>
      </c>
      <c r="D84" s="41">
        <f>Portafolio!I84</f>
        <v>-1.2715943603931842E-2</v>
      </c>
      <c r="E84" s="41">
        <f>Portafolio!J84</f>
        <v>1.6239460641433211E-3</v>
      </c>
    </row>
    <row r="85" spans="1:5" x14ac:dyDescent="0.2">
      <c r="A85" s="41">
        <f>Portafolio!F85</f>
        <v>1.6553655693470191E-2</v>
      </c>
      <c r="B85" s="41">
        <f>Portafolio!G85</f>
        <v>8.5463889760277086E-3</v>
      </c>
      <c r="C85" s="41">
        <f>Portafolio!H85</f>
        <v>3.3584282184013106E-3</v>
      </c>
      <c r="D85" s="41">
        <f>Portafolio!I85</f>
        <v>2.4346320782964847E-3</v>
      </c>
      <c r="E85" s="41">
        <f>Portafolio!J85</f>
        <v>5.9026452512017154E-3</v>
      </c>
    </row>
    <row r="86" spans="1:5" x14ac:dyDescent="0.2">
      <c r="A86" s="41">
        <f>Portafolio!F86</f>
        <v>7.5742185089877612E-4</v>
      </c>
      <c r="B86" s="41">
        <f>Portafolio!G86</f>
        <v>-1.4962062138094838E-2</v>
      </c>
      <c r="C86" s="41">
        <f>Portafolio!H86</f>
        <v>1.8028547888701854E-2</v>
      </c>
      <c r="D86" s="41">
        <f>Portafolio!I86</f>
        <v>1.208465691282283E-2</v>
      </c>
      <c r="E86" s="41">
        <f>Portafolio!J86</f>
        <v>1.1323065403676197E-2</v>
      </c>
    </row>
    <row r="87" spans="1:5" x14ac:dyDescent="0.2">
      <c r="A87" s="41">
        <f>Portafolio!F87</f>
        <v>-2.7295073142777661E-3</v>
      </c>
      <c r="B87" s="41">
        <f>Portafolio!G87</f>
        <v>-7.4804742784532674E-3</v>
      </c>
      <c r="C87" s="41">
        <f>Portafolio!H87</f>
        <v>7.5329194945627474E-3</v>
      </c>
      <c r="D87" s="41">
        <f>Portafolio!I87</f>
        <v>-7.8383887172057826E-3</v>
      </c>
      <c r="E87" s="41">
        <f>Portafolio!J87</f>
        <v>-7.9846073633341348E-5</v>
      </c>
    </row>
    <row r="88" spans="1:5" x14ac:dyDescent="0.2">
      <c r="A88" s="41">
        <f>Portafolio!F88</f>
        <v>-8.53965400802611E-3</v>
      </c>
      <c r="B88" s="41">
        <f>Portafolio!G88</f>
        <v>7.1417585896560408E-3</v>
      </c>
      <c r="C88" s="41">
        <f>Portafolio!H88</f>
        <v>6.0338573294274594E-3</v>
      </c>
      <c r="D88" s="41">
        <f>Portafolio!I88</f>
        <v>-3.6386626067303612E-3</v>
      </c>
      <c r="E88" s="41">
        <f>Portafolio!J88</f>
        <v>5.68741357202258E-5</v>
      </c>
    </row>
    <row r="89" spans="1:5" x14ac:dyDescent="0.2">
      <c r="A89" s="41">
        <f>Portafolio!F89</f>
        <v>5.3458637702141027E-3</v>
      </c>
      <c r="B89" s="41">
        <f>Portafolio!G89</f>
        <v>-3.2244751257021888E-3</v>
      </c>
      <c r="C89" s="41">
        <f>Portafolio!H89</f>
        <v>1.3266549902395489E-2</v>
      </c>
      <c r="D89" s="41">
        <f>Portafolio!I89</f>
        <v>9.0718253225267661E-3</v>
      </c>
      <c r="E89" s="41">
        <f>Portafolio!J89</f>
        <v>9.6623755257628438E-3</v>
      </c>
    </row>
    <row r="90" spans="1:5" x14ac:dyDescent="0.2">
      <c r="A90" s="41">
        <f>Portafolio!F90</f>
        <v>-1.0771711802952852E-2</v>
      </c>
      <c r="B90" s="41">
        <f>Portafolio!G90</f>
        <v>-2.0955763699396959E-2</v>
      </c>
      <c r="C90" s="41">
        <f>Portafolio!H90</f>
        <v>-1.1343350930772851E-2</v>
      </c>
      <c r="D90" s="41">
        <f>Portafolio!I90</f>
        <v>-1.2723712230209391E-2</v>
      </c>
      <c r="E90" s="41">
        <f>Portafolio!J90</f>
        <v>-1.2066854335196407E-2</v>
      </c>
    </row>
    <row r="91" spans="1:5" x14ac:dyDescent="0.2">
      <c r="A91" s="41">
        <f>Portafolio!F91</f>
        <v>-7.7033791279105483E-4</v>
      </c>
      <c r="B91" s="41">
        <f>Portafolio!G91</f>
        <v>6.5744708171604086E-3</v>
      </c>
      <c r="C91" s="41">
        <f>Portafolio!H91</f>
        <v>5.6878079343058051E-3</v>
      </c>
      <c r="D91" s="41">
        <f>Portafolio!I91</f>
        <v>5.4729367751170889E-3</v>
      </c>
      <c r="E91" s="41">
        <f>Portafolio!J91</f>
        <v>4.3675221076814518E-3</v>
      </c>
    </row>
    <row r="92" spans="1:5" x14ac:dyDescent="0.2">
      <c r="A92" s="41">
        <f>Portafolio!F92</f>
        <v>-5.5629055748559423E-3</v>
      </c>
      <c r="B92" s="41">
        <f>Portafolio!G92</f>
        <v>5.6744066112261139E-3</v>
      </c>
      <c r="C92" s="41">
        <f>Portafolio!H92</f>
        <v>-5.9719768106862266E-4</v>
      </c>
      <c r="D92" s="41">
        <f>Portafolio!I92</f>
        <v>3.6318010530331695E-3</v>
      </c>
      <c r="E92" s="41">
        <f>Portafolio!J92</f>
        <v>3.21489971757522E-5</v>
      </c>
    </row>
    <row r="93" spans="1:5" x14ac:dyDescent="0.2">
      <c r="A93" s="41">
        <f>Portafolio!F93</f>
        <v>-2.8449113917028523E-3</v>
      </c>
      <c r="B93" s="41">
        <f>Portafolio!G93</f>
        <v>4.1068114348282283E-3</v>
      </c>
      <c r="C93" s="41">
        <f>Portafolio!H93</f>
        <v>5.8965836558493075E-3</v>
      </c>
      <c r="D93" s="41">
        <f>Portafolio!I93</f>
        <v>1.2077595132303129E-3</v>
      </c>
      <c r="E93" s="41">
        <f>Portafolio!J93</f>
        <v>2.569935941325565E-3</v>
      </c>
    </row>
    <row r="94" spans="1:5" x14ac:dyDescent="0.2">
      <c r="A94" s="41">
        <f>Portafolio!F94</f>
        <v>5.1779897604456546E-4</v>
      </c>
      <c r="B94" s="41">
        <f>Portafolio!G94</f>
        <v>2.5581149129798759E-3</v>
      </c>
      <c r="C94" s="41">
        <f>Portafolio!H94</f>
        <v>5.9800808714544585E-3</v>
      </c>
      <c r="D94" s="41">
        <f>Portafolio!I94</f>
        <v>6.0333319054379066E-4</v>
      </c>
      <c r="E94" s="41">
        <f>Portafolio!J94</f>
        <v>3.0186769285192503E-3</v>
      </c>
    </row>
    <row r="95" spans="1:5" x14ac:dyDescent="0.2">
      <c r="A95" s="41">
        <f>Portafolio!F95</f>
        <v>2.2237825955231019E-3</v>
      </c>
      <c r="B95" s="41">
        <f>Portafolio!G95</f>
        <v>6.811858639393253E-4</v>
      </c>
      <c r="C95" s="41">
        <f>Portafolio!H95</f>
        <v>5.2989165247204857E-3</v>
      </c>
      <c r="D95" s="41">
        <f>Portafolio!I95</f>
        <v>9.6039637827291333E-3</v>
      </c>
      <c r="E95" s="41">
        <f>Portafolio!J95</f>
        <v>5.8848997414621615E-3</v>
      </c>
    </row>
    <row r="96" spans="1:5" x14ac:dyDescent="0.2">
      <c r="A96" s="41">
        <f>Portafolio!F96</f>
        <v>-5.4389057902563941E-3</v>
      </c>
      <c r="B96" s="41">
        <f>Portafolio!G96</f>
        <v>3.0590814664282501E-3</v>
      </c>
      <c r="C96" s="41">
        <f>Portafolio!H96</f>
        <v>-1.1751806513597941E-3</v>
      </c>
      <c r="D96" s="41">
        <f>Portafolio!I96</f>
        <v>2.3866948027653455E-3</v>
      </c>
      <c r="E96" s="41">
        <f>Portafolio!J96</f>
        <v>-7.041279430002762E-4</v>
      </c>
    </row>
    <row r="97" spans="1:5" x14ac:dyDescent="0.2">
      <c r="A97" s="41">
        <f>Portafolio!F97</f>
        <v>-3.6442669115568614E-2</v>
      </c>
      <c r="B97" s="41">
        <f>Portafolio!G97</f>
        <v>1.4989765411567772E-2</v>
      </c>
      <c r="C97" s="41">
        <f>Portafolio!H97</f>
        <v>1.1573020195509662E-2</v>
      </c>
      <c r="D97" s="41">
        <f>Portafolio!I97</f>
        <v>2.7624383831125431E-2</v>
      </c>
      <c r="E97" s="41">
        <f>Portafolio!J97</f>
        <v>7.3153276728257968E-3</v>
      </c>
    </row>
    <row r="98" spans="1:5" x14ac:dyDescent="0.2">
      <c r="A98" s="41">
        <f>Portafolio!F98</f>
        <v>-7.5158087877084971E-3</v>
      </c>
      <c r="B98" s="41">
        <f>Portafolio!G98</f>
        <v>2.3375916662677874E-3</v>
      </c>
      <c r="C98" s="41">
        <f>Portafolio!H98</f>
        <v>-4.3679752008790812E-3</v>
      </c>
      <c r="D98" s="41">
        <f>Portafolio!I98</f>
        <v>-1.1600607305661888E-3</v>
      </c>
      <c r="E98" s="41">
        <f>Portafolio!J98</f>
        <v>-3.6876579815411335E-3</v>
      </c>
    </row>
    <row r="99" spans="1:5" x14ac:dyDescent="0.2">
      <c r="A99" s="41">
        <f>Portafolio!F99</f>
        <v>-1.2781428001649012E-2</v>
      </c>
      <c r="B99" s="41">
        <f>Portafolio!G99</f>
        <v>-3.3411282708156569E-3</v>
      </c>
      <c r="C99" s="41">
        <f>Portafolio!H99</f>
        <v>6.6141593258210608E-3</v>
      </c>
      <c r="D99" s="41">
        <f>Portafolio!I99</f>
        <v>-4.6539918884881352E-3</v>
      </c>
      <c r="E99" s="41">
        <f>Portafolio!J99</f>
        <v>-1.2900359350104709E-3</v>
      </c>
    </row>
    <row r="100" spans="1:5" x14ac:dyDescent="0.2">
      <c r="A100" s="41">
        <f>Portafolio!F100</f>
        <v>-4.0210117830922973E-3</v>
      </c>
      <c r="B100" s="41">
        <f>Portafolio!G100</f>
        <v>-1.5071191150336566E-3</v>
      </c>
      <c r="C100" s="41">
        <f>Portafolio!H100</f>
        <v>5.0046366419241994E-3</v>
      </c>
      <c r="D100" s="41">
        <f>Portafolio!I100</f>
        <v>1.8487103983690103E-2</v>
      </c>
      <c r="E100" s="41">
        <f>Portafolio!J100</f>
        <v>7.2850621287888859E-3</v>
      </c>
    </row>
    <row r="101" spans="1:5" x14ac:dyDescent="0.2">
      <c r="A101" s="41">
        <f>Portafolio!F101</f>
        <v>2.3887222589555022E-2</v>
      </c>
      <c r="B101" s="41">
        <f>Portafolio!G101</f>
        <v>7.3468937372898847E-3</v>
      </c>
      <c r="C101" s="41">
        <f>Portafolio!H101</f>
        <v>-1.4521496056958624E-3</v>
      </c>
      <c r="D101" s="41">
        <f>Portafolio!I101</f>
        <v>-8.62337357891769E-3</v>
      </c>
      <c r="E101" s="41">
        <f>Portafolio!J101</f>
        <v>1.6465945910325904E-3</v>
      </c>
    </row>
    <row r="102" spans="1:5" x14ac:dyDescent="0.2">
      <c r="A102" s="41">
        <f>Portafolio!F102</f>
        <v>-2.2659828390601978E-3</v>
      </c>
      <c r="B102" s="41">
        <f>Portafolio!G102</f>
        <v>-1.8316735365529078E-3</v>
      </c>
      <c r="C102" s="41">
        <f>Portafolio!H102</f>
        <v>-7.9374988566027482E-3</v>
      </c>
      <c r="D102" s="41">
        <f>Portafolio!I102</f>
        <v>-5.4130016942953952E-3</v>
      </c>
      <c r="E102" s="41">
        <f>Portafolio!J102</f>
        <v>-5.7440565981258501E-3</v>
      </c>
    </row>
    <row r="103" spans="1:5" x14ac:dyDescent="0.2">
      <c r="A103" s="41">
        <f>Portafolio!F103</f>
        <v>5.655471783241264E-3</v>
      </c>
      <c r="B103" s="41">
        <f>Portafolio!G103</f>
        <v>3.3277857054118689E-3</v>
      </c>
      <c r="C103" s="41">
        <f>Portafolio!H103</f>
        <v>2.1072476150256008E-3</v>
      </c>
      <c r="D103" s="41">
        <f>Portafolio!I103</f>
        <v>-4.7308269784354078E-3</v>
      </c>
      <c r="E103" s="41">
        <f>Portafolio!J103</f>
        <v>6.6043806687810023E-4</v>
      </c>
    </row>
    <row r="104" spans="1:5" x14ac:dyDescent="0.2">
      <c r="A104" s="41">
        <f>Portafolio!F104</f>
        <v>-3.2278053849822972E-3</v>
      </c>
      <c r="B104" s="41">
        <f>Portafolio!G104</f>
        <v>-6.4994939061170766E-3</v>
      </c>
      <c r="C104" s="41">
        <f>Portafolio!H104</f>
        <v>-4.2189451011928857E-3</v>
      </c>
      <c r="D104" s="41">
        <f>Portafolio!I104</f>
        <v>-3.8675610583800438E-2</v>
      </c>
      <c r="E104" s="41">
        <f>Portafolio!J104</f>
        <v>-1.5219798972113684E-2</v>
      </c>
    </row>
    <row r="105" spans="1:5" x14ac:dyDescent="0.2">
      <c r="A105" s="41">
        <f>Portafolio!F105</f>
        <v>1.776525989713901E-3</v>
      </c>
      <c r="B105" s="41">
        <f>Portafolio!G105</f>
        <v>9.6506195124218454E-3</v>
      </c>
      <c r="C105" s="41">
        <f>Portafolio!H105</f>
        <v>-7.3671383000021009E-3</v>
      </c>
      <c r="D105" s="41">
        <f>Portafolio!I105</f>
        <v>1.5286157688589852E-2</v>
      </c>
      <c r="E105" s="41">
        <f>Portafolio!J105</f>
        <v>2.4514514683125523E-3</v>
      </c>
    </row>
    <row r="106" spans="1:5" x14ac:dyDescent="0.2">
      <c r="A106" s="41">
        <f>Portafolio!F106</f>
        <v>-1.2393598825964395E-2</v>
      </c>
      <c r="B106" s="41">
        <f>Portafolio!G106</f>
        <v>-6.6456043485522889E-3</v>
      </c>
      <c r="C106" s="41">
        <f>Portafolio!H106</f>
        <v>-6.2900128628262742E-3</v>
      </c>
      <c r="D106" s="41">
        <f>Portafolio!I106</f>
        <v>-2.4301095699120847E-3</v>
      </c>
      <c r="E106" s="41">
        <f>Portafolio!J106</f>
        <v>-6.2770724136873785E-3</v>
      </c>
    </row>
    <row r="107" spans="1:5" x14ac:dyDescent="0.2">
      <c r="A107" s="41">
        <f>Portafolio!F107</f>
        <v>-5.186893307744119E-3</v>
      </c>
      <c r="B107" s="41">
        <f>Portafolio!G107</f>
        <v>0</v>
      </c>
      <c r="C107" s="41">
        <f>Portafolio!H107</f>
        <v>-5.371937640172391E-3</v>
      </c>
      <c r="D107" s="41">
        <f>Portafolio!I107</f>
        <v>-1.8264811991713004E-3</v>
      </c>
      <c r="E107" s="41">
        <f>Portafolio!J107</f>
        <v>-3.9729829038269698E-3</v>
      </c>
    </row>
    <row r="108" spans="1:5" x14ac:dyDescent="0.2">
      <c r="A108" s="41">
        <f>Portafolio!F108</f>
        <v>3.205143040647615E-2</v>
      </c>
      <c r="B108" s="41">
        <f>Portafolio!G108</f>
        <v>2.8297562882526783E-3</v>
      </c>
      <c r="C108" s="41">
        <f>Portafolio!H108</f>
        <v>1.9731308295413211E-3</v>
      </c>
      <c r="D108" s="41">
        <f>Portafolio!I108</f>
        <v>-6.0961109656987951E-4</v>
      </c>
      <c r="E108" s="41">
        <f>Portafolio!J108</f>
        <v>7.1709388576390986E-3</v>
      </c>
    </row>
    <row r="109" spans="1:5" x14ac:dyDescent="0.2">
      <c r="A109" s="41">
        <f>Portafolio!F109</f>
        <v>1.5413605907075779E-2</v>
      </c>
      <c r="B109" s="41">
        <f>Portafolio!G109</f>
        <v>-5.5003761178523645E-3</v>
      </c>
      <c r="C109" s="41">
        <f>Portafolio!H109</f>
        <v>1.7114591700558776E-2</v>
      </c>
      <c r="D109" s="41">
        <f>Portafolio!I109</f>
        <v>1.6329333065123283E-2</v>
      </c>
      <c r="E109" s="41">
        <f>Portafolio!J109</f>
        <v>1.5598900890331174E-2</v>
      </c>
    </row>
    <row r="110" spans="1:5" x14ac:dyDescent="0.2">
      <c r="A110" s="41">
        <f>Portafolio!F110</f>
        <v>1.2089939794405298E-2</v>
      </c>
      <c r="B110" s="41">
        <f>Portafolio!G110</f>
        <v>-4.3551865509223759E-3</v>
      </c>
      <c r="C110" s="41">
        <f>Portafolio!H110</f>
        <v>-1.1749870658817193E-3</v>
      </c>
      <c r="D110" s="41">
        <f>Portafolio!I110</f>
        <v>7.7681556093607577E-3</v>
      </c>
      <c r="E110" s="41">
        <f>Portafolio!J110</f>
        <v>4.2214622377396375E-3</v>
      </c>
    </row>
    <row r="111" spans="1:5" x14ac:dyDescent="0.2">
      <c r="A111" s="41">
        <f>Portafolio!F111</f>
        <v>6.6312354047433934E-3</v>
      </c>
      <c r="B111" s="41">
        <f>Portafolio!G111</f>
        <v>4.6892664291325829E-3</v>
      </c>
      <c r="C111" s="41">
        <f>Portafolio!H111</f>
        <v>-6.605698786174531E-3</v>
      </c>
      <c r="D111" s="41">
        <f>Portafolio!I111</f>
        <v>2.2949014004003898E-2</v>
      </c>
      <c r="E111" s="41">
        <f>Portafolio!J111</f>
        <v>6.019359605761769E-3</v>
      </c>
    </row>
    <row r="112" spans="1:5" x14ac:dyDescent="0.2">
      <c r="A112" s="41">
        <f>Portafolio!F112</f>
        <v>-3.4900447377881711E-3</v>
      </c>
      <c r="B112" s="41">
        <f>Portafolio!G112</f>
        <v>-1.5830462198802939E-2</v>
      </c>
      <c r="C112" s="41">
        <f>Portafolio!H112</f>
        <v>8.8957289910188905E-3</v>
      </c>
      <c r="D112" s="41">
        <f>Portafolio!I112</f>
        <v>-3.011736741564745E-2</v>
      </c>
      <c r="E112" s="41">
        <f>Portafolio!J112</f>
        <v>-7.1565942102710112E-3</v>
      </c>
    </row>
    <row r="113" spans="1:5" x14ac:dyDescent="0.2">
      <c r="A113" s="41">
        <f>Portafolio!F113</f>
        <v>-1.6980138057580752E-3</v>
      </c>
      <c r="B113" s="41">
        <f>Portafolio!G113</f>
        <v>4.2347552165082781E-3</v>
      </c>
      <c r="C113" s="41">
        <f>Portafolio!H113</f>
        <v>1.4209382167514918E-2</v>
      </c>
      <c r="D113" s="41">
        <f>Portafolio!I113</f>
        <v>2.9535485641168389E-2</v>
      </c>
      <c r="E113" s="41">
        <f>Portafolio!J113</f>
        <v>1.5570910902553053E-2</v>
      </c>
    </row>
    <row r="114" spans="1:5" x14ac:dyDescent="0.2">
      <c r="A114" s="41">
        <f>Portafolio!F114</f>
        <v>-9.053703332614238E-3</v>
      </c>
      <c r="B114" s="41">
        <f>Portafolio!G114</f>
        <v>3.5433502166368901E-3</v>
      </c>
      <c r="C114" s="41">
        <f>Portafolio!H114</f>
        <v>-3.8235737207052796E-3</v>
      </c>
      <c r="D114" s="41">
        <f>Portafolio!I114</f>
        <v>6.382391439619532E-3</v>
      </c>
      <c r="E114" s="41">
        <f>Portafolio!J114</f>
        <v>-1.2758431602761227E-3</v>
      </c>
    </row>
    <row r="115" spans="1:5" x14ac:dyDescent="0.2">
      <c r="A115" s="41">
        <f>Portafolio!F115</f>
        <v>-3.5923582258243084E-3</v>
      </c>
      <c r="B115" s="41">
        <f>Portafolio!G115</f>
        <v>6.045418986824742E-3</v>
      </c>
      <c r="C115" s="41">
        <f>Portafolio!H115</f>
        <v>2.608569026138582E-3</v>
      </c>
      <c r="D115" s="41">
        <f>Portafolio!I115</f>
        <v>-2.3161320398991719E-3</v>
      </c>
      <c r="E115" s="41">
        <f>Portafolio!J115</f>
        <v>-7.4265126993620706E-5</v>
      </c>
    </row>
    <row r="116" spans="1:5" x14ac:dyDescent="0.2">
      <c r="A116" s="41">
        <f>Portafolio!F116</f>
        <v>-1.9433375980611085E-2</v>
      </c>
      <c r="B116" s="41">
        <f>Portafolio!G116</f>
        <v>2.842073474480988E-3</v>
      </c>
      <c r="C116" s="41">
        <f>Portafolio!H116</f>
        <v>2.0287319345977977E-2</v>
      </c>
      <c r="D116" s="41">
        <f>Portafolio!I116</f>
        <v>1.610156507641821E-2</v>
      </c>
      <c r="E116" s="41">
        <f>Portafolio!J116</f>
        <v>1.0308660085380405E-2</v>
      </c>
    </row>
    <row r="117" spans="1:5" x14ac:dyDescent="0.2">
      <c r="A117" s="41">
        <f>Portafolio!F117</f>
        <v>-1.9547375416428876E-2</v>
      </c>
      <c r="B117" s="41">
        <f>Portafolio!G117</f>
        <v>-6.8682608284900979E-3</v>
      </c>
      <c r="C117" s="41">
        <f>Portafolio!H117</f>
        <v>-1.0894867940747696E-2</v>
      </c>
      <c r="D117" s="41">
        <f>Portafolio!I117</f>
        <v>9.08571462661973E-3</v>
      </c>
      <c r="E117" s="41">
        <f>Portafolio!J117</f>
        <v>-6.0153742372202074E-3</v>
      </c>
    </row>
    <row r="118" spans="1:5" x14ac:dyDescent="0.2">
      <c r="A118" s="41">
        <f>Portafolio!F118</f>
        <v>1.3252435087594459E-2</v>
      </c>
      <c r="B118" s="41">
        <f>Portafolio!G118</f>
        <v>2.4737724565590001E-2</v>
      </c>
      <c r="C118" s="41">
        <f>Portafolio!H118</f>
        <v>-3.6197520984293389E-3</v>
      </c>
      <c r="D118" s="41">
        <f>Portafolio!I118</f>
        <v>1.9592162762490182E-2</v>
      </c>
      <c r="E118" s="41">
        <f>Portafolio!J118</f>
        <v>8.3824326595088126E-3</v>
      </c>
    </row>
    <row r="119" spans="1:5" x14ac:dyDescent="0.2">
      <c r="A119" s="41">
        <f>Portafolio!F119</f>
        <v>-5.4198470459970276E-3</v>
      </c>
      <c r="B119" s="41">
        <f>Portafolio!G119</f>
        <v>-7.2416284624734579E-3</v>
      </c>
      <c r="C119" s="41">
        <f>Portafolio!H119</f>
        <v>5.7395664242008678E-3</v>
      </c>
      <c r="D119" s="41">
        <f>Portafolio!I119</f>
        <v>-1.1709175802896356E-2</v>
      </c>
      <c r="E119" s="41">
        <f>Portafolio!J119</f>
        <v>-2.6385457235104919E-3</v>
      </c>
    </row>
    <row r="120" spans="1:5" x14ac:dyDescent="0.2">
      <c r="A120" s="41">
        <f>Portafolio!F120</f>
        <v>9.7984505156412712E-3</v>
      </c>
      <c r="B120" s="41">
        <f>Portafolio!G120</f>
        <v>-8.2933112377348989E-3</v>
      </c>
      <c r="C120" s="41">
        <f>Portafolio!H120</f>
        <v>-1.3171600244696804E-3</v>
      </c>
      <c r="D120" s="41">
        <f>Portafolio!I120</f>
        <v>-5.6243984313423317E-3</v>
      </c>
      <c r="E120" s="41">
        <f>Portafolio!J120</f>
        <v>-7.7469153796365289E-4</v>
      </c>
    </row>
    <row r="121" spans="1:5" x14ac:dyDescent="0.2">
      <c r="A121" s="41">
        <f>Portafolio!F121</f>
        <v>8.5946741458582179E-3</v>
      </c>
      <c r="B121" s="41">
        <f>Portafolio!G121</f>
        <v>-1.6669342296507035E-3</v>
      </c>
      <c r="C121" s="41">
        <f>Portafolio!H121</f>
        <v>3.4324844651034197E-3</v>
      </c>
      <c r="D121" s="41">
        <f>Portafolio!I121</f>
        <v>-6.7910685184317367E-3</v>
      </c>
      <c r="E121" s="41">
        <f>Portafolio!J121</f>
        <v>9.5814517061633235E-4</v>
      </c>
    </row>
    <row r="122" spans="1:5" x14ac:dyDescent="0.2">
      <c r="A122" s="41">
        <f>Portafolio!F122</f>
        <v>5.8094509155742779E-4</v>
      </c>
      <c r="B122" s="41">
        <f>Portafolio!G122</f>
        <v>8.3381444850086286E-4</v>
      </c>
      <c r="C122" s="41">
        <f>Portafolio!H122</f>
        <v>1.8827811992427708E-3</v>
      </c>
      <c r="D122" s="41">
        <f>Portafolio!I122</f>
        <v>-1.6027947235816124E-2</v>
      </c>
      <c r="E122" s="41">
        <f>Portafolio!J122</f>
        <v>-4.1921114467546611E-3</v>
      </c>
    </row>
    <row r="123" spans="1:5" x14ac:dyDescent="0.2">
      <c r="A123" s="41">
        <f>Portafolio!F123</f>
        <v>-5.7713210785359176E-3</v>
      </c>
      <c r="B123" s="41">
        <f>Portafolio!G123</f>
        <v>-2.670619829599635E-3</v>
      </c>
      <c r="C123" s="41">
        <f>Portafolio!H123</f>
        <v>-3.5975477957779409E-3</v>
      </c>
      <c r="D123" s="41">
        <f>Portafolio!I123</f>
        <v>-2.9870396236716779E-2</v>
      </c>
      <c r="E123" s="41">
        <f>Portafolio!J123</f>
        <v>-1.2460627959492699E-2</v>
      </c>
    </row>
    <row r="124" spans="1:5" x14ac:dyDescent="0.2">
      <c r="A124" s="41">
        <f>Portafolio!F124</f>
        <v>4.0856395568765842E-3</v>
      </c>
      <c r="B124" s="41">
        <f>Portafolio!G124</f>
        <v>-4.5230317841640829E-3</v>
      </c>
      <c r="C124" s="41">
        <f>Portafolio!H124</f>
        <v>1.200619285424928E-3</v>
      </c>
      <c r="D124" s="41">
        <f>Portafolio!I124</f>
        <v>1.1883725529783697E-3</v>
      </c>
      <c r="E124" s="41">
        <f>Portafolio!J124</f>
        <v>1.5379715059817237E-3</v>
      </c>
    </row>
    <row r="125" spans="1:5" x14ac:dyDescent="0.2">
      <c r="A125" s="41">
        <f>Portafolio!F125</f>
        <v>-9.0426439389799818E-3</v>
      </c>
      <c r="B125" s="41">
        <f>Portafolio!G125</f>
        <v>2.3477669245357624E-3</v>
      </c>
      <c r="C125" s="41">
        <f>Portafolio!H125</f>
        <v>4.4469325058092328E-3</v>
      </c>
      <c r="D125" s="41">
        <f>Portafolio!I125</f>
        <v>1.0632216336701443E-2</v>
      </c>
      <c r="E125" s="41">
        <f>Portafolio!J125</f>
        <v>3.6659483318481909E-3</v>
      </c>
    </row>
    <row r="126" spans="1:5" x14ac:dyDescent="0.2">
      <c r="A126" s="41">
        <f>Portafolio!F126</f>
        <v>-1.133841763443315E-2</v>
      </c>
      <c r="B126" s="41">
        <f>Portafolio!G126</f>
        <v>-5.8799302773867674E-3</v>
      </c>
      <c r="C126" s="41">
        <f>Portafolio!H126</f>
        <v>-8.7416423305419957E-3</v>
      </c>
      <c r="D126" s="41">
        <f>Portafolio!I126</f>
        <v>-7.075609674194675E-3</v>
      </c>
      <c r="E126" s="41">
        <f>Portafolio!J126</f>
        <v>-8.605408745771443E-3</v>
      </c>
    </row>
    <row r="127" spans="1:5" x14ac:dyDescent="0.2">
      <c r="A127" s="41">
        <f>Portafolio!F127</f>
        <v>-4.8213974030586366E-3</v>
      </c>
      <c r="B127" s="41">
        <f>Portafolio!G127</f>
        <v>-1.0114192349661964E-3</v>
      </c>
      <c r="C127" s="41">
        <f>Portafolio!H127</f>
        <v>1.0105957663276266E-2</v>
      </c>
      <c r="D127" s="41">
        <f>Portafolio!I127</f>
        <v>5.9145856733030231E-4</v>
      </c>
      <c r="E127" s="41">
        <f>Portafolio!J127</f>
        <v>3.6101130568427101E-3</v>
      </c>
    </row>
    <row r="128" spans="1:5" x14ac:dyDescent="0.2">
      <c r="A128" s="41">
        <f>Portafolio!F128</f>
        <v>-1.5759825619922172E-3</v>
      </c>
      <c r="B128" s="41">
        <f>Portafolio!G128</f>
        <v>1.8535876226185115E-3</v>
      </c>
      <c r="C128" s="41">
        <f>Portafolio!H128</f>
        <v>2.1580013672744289E-2</v>
      </c>
      <c r="D128" s="41">
        <f>Portafolio!I128</f>
        <v>1.0588436740846002E-2</v>
      </c>
      <c r="E128" s="41">
        <f>Portafolio!J128</f>
        <v>1.2616390198828775E-2</v>
      </c>
    </row>
    <row r="129" spans="1:5" x14ac:dyDescent="0.2">
      <c r="A129" s="41">
        <f>Portafolio!F129</f>
        <v>-8.4661574423176515E-3</v>
      </c>
      <c r="B129" s="41">
        <f>Portafolio!G129</f>
        <v>-1.6839405150777205E-4</v>
      </c>
      <c r="C129" s="41">
        <f>Portafolio!H129</f>
        <v>-4.6810314347300336E-3</v>
      </c>
      <c r="D129" s="41">
        <f>Portafolio!I129</f>
        <v>-7.0465265167247411E-3</v>
      </c>
      <c r="E129" s="41">
        <f>Portafolio!J129</f>
        <v>-6.0135882698069696E-3</v>
      </c>
    </row>
    <row r="130" spans="1:5" x14ac:dyDescent="0.2">
      <c r="A130" s="41">
        <f>Portafolio!F130</f>
        <v>-4.1223013161664603E-3</v>
      </c>
      <c r="B130" s="41">
        <f>Portafolio!G130</f>
        <v>2.181787938436186E-2</v>
      </c>
      <c r="C130" s="41">
        <f>Portafolio!H130</f>
        <v>3.9023496044056838E-3</v>
      </c>
      <c r="D130" s="41">
        <f>Portafolio!I130</f>
        <v>-3.5419102241213379E-3</v>
      </c>
      <c r="E130" s="41">
        <f>Portafolio!J130</f>
        <v>6.3525156539686939E-4</v>
      </c>
    </row>
    <row r="131" spans="1:5" x14ac:dyDescent="0.2">
      <c r="A131" s="41">
        <f>Portafolio!F131</f>
        <v>4.1772619153831059E-3</v>
      </c>
      <c r="B131" s="41">
        <f>Portafolio!G131</f>
        <v>8.8568526987604264E-3</v>
      </c>
      <c r="C131" s="41">
        <f>Portafolio!H131</f>
        <v>6.4887245296995355E-3</v>
      </c>
      <c r="D131" s="41">
        <f>Portafolio!I131</f>
        <v>5.3082933634442889E-3</v>
      </c>
      <c r="E131" s="41">
        <f>Portafolio!J131</f>
        <v>5.7442633542833087E-3</v>
      </c>
    </row>
    <row r="132" spans="1:5" x14ac:dyDescent="0.2">
      <c r="A132" s="41">
        <f>Portafolio!F132</f>
        <v>1.118116096025438E-2</v>
      </c>
      <c r="B132" s="41">
        <f>Portafolio!G132</f>
        <v>-1.4707357985398316E-3</v>
      </c>
      <c r="C132" s="41">
        <f>Portafolio!H132</f>
        <v>1.1924178761792791E-2</v>
      </c>
      <c r="D132" s="41">
        <f>Portafolio!I132</f>
        <v>-2.4413339458236528E-2</v>
      </c>
      <c r="E132" s="41">
        <f>Portafolio!J132</f>
        <v>-4.8241640002808991E-4</v>
      </c>
    </row>
    <row r="133" spans="1:5" x14ac:dyDescent="0.2">
      <c r="A133" s="41">
        <f>Portafolio!F133</f>
        <v>-1.0084818339197638E-2</v>
      </c>
      <c r="B133" s="41">
        <f>Portafolio!G133</f>
        <v>8.1738858055153973E-4</v>
      </c>
      <c r="C133" s="41">
        <f>Portafolio!H133</f>
        <v>5.0128845481506338E-3</v>
      </c>
      <c r="D133" s="41">
        <f>Portafolio!I133</f>
        <v>1.2578760442407045E-2</v>
      </c>
      <c r="E133" s="41">
        <f>Portafolio!J133</f>
        <v>4.2707165151704609E-3</v>
      </c>
    </row>
    <row r="134" spans="1:5" x14ac:dyDescent="0.2">
      <c r="A134" s="41">
        <f>Portafolio!F134</f>
        <v>-7.479106127821062E-3</v>
      </c>
      <c r="B134" s="41">
        <f>Portafolio!G134</f>
        <v>-8.0388122707836501E-3</v>
      </c>
      <c r="C134" s="41">
        <f>Portafolio!H134</f>
        <v>-3.4300521667624483E-3</v>
      </c>
      <c r="D134" s="41">
        <f>Portafolio!I134</f>
        <v>-1.1976066753339242E-2</v>
      </c>
      <c r="E134" s="41">
        <f>Portafolio!J134</f>
        <v>-7.1796818815519281E-3</v>
      </c>
    </row>
    <row r="135" spans="1:5" x14ac:dyDescent="0.2">
      <c r="A135" s="41">
        <f>Portafolio!F135</f>
        <v>8.0816092470088127E-3</v>
      </c>
      <c r="B135" s="41">
        <f>Portafolio!G135</f>
        <v>-6.1132169466150627E-3</v>
      </c>
      <c r="C135" s="41">
        <f>Portafolio!H135</f>
        <v>4.9073938927271261E-4</v>
      </c>
      <c r="D135" s="41">
        <f>Portafolio!I135</f>
        <v>1.3760308076745754E-2</v>
      </c>
      <c r="E135" s="41">
        <f>Portafolio!J135</f>
        <v>6.0108026375325979E-3</v>
      </c>
    </row>
    <row r="136" spans="1:5" x14ac:dyDescent="0.2">
      <c r="A136" s="41">
        <f>Portafolio!F136</f>
        <v>-6.647496052951337E-3</v>
      </c>
      <c r="B136" s="41">
        <f>Portafolio!G136</f>
        <v>9.9389517455469021E-4</v>
      </c>
      <c r="C136" s="41">
        <f>Portafolio!H136</f>
        <v>5.0566859458387667E-3</v>
      </c>
      <c r="D136" s="41">
        <f>Portafolio!I136</f>
        <v>7.6945269621530249E-3</v>
      </c>
      <c r="E136" s="41">
        <f>Portafolio!J136</f>
        <v>3.4080470197937951E-3</v>
      </c>
    </row>
    <row r="137" spans="1:5" x14ac:dyDescent="0.2">
      <c r="A137" s="41">
        <f>Portafolio!F137</f>
        <v>-3.6999302544279294E-3</v>
      </c>
      <c r="B137" s="41">
        <f>Portafolio!G137</f>
        <v>-6.311315966027564E-3</v>
      </c>
      <c r="C137" s="41">
        <f>Portafolio!H137</f>
        <v>9.0702909341080495E-3</v>
      </c>
      <c r="D137" s="41">
        <f>Portafolio!I137</f>
        <v>-1.7703701935084114E-3</v>
      </c>
      <c r="E137" s="41">
        <f>Portafolio!J137</f>
        <v>2.4028454469607859E-3</v>
      </c>
    </row>
    <row r="138" spans="1:5" x14ac:dyDescent="0.2">
      <c r="A138" s="41">
        <f>Portafolio!F138</f>
        <v>-6.0485955778969338E-3</v>
      </c>
      <c r="B138" s="41">
        <f>Portafolio!G138</f>
        <v>-8.1974383416661724E-3</v>
      </c>
      <c r="C138" s="41">
        <f>Portafolio!H138</f>
        <v>-4.1470699285579005E-3</v>
      </c>
      <c r="D138" s="41">
        <f>Portafolio!I138</f>
        <v>2.9490604228386468E-3</v>
      </c>
      <c r="E138" s="41">
        <f>Portafolio!J138</f>
        <v>-2.4044345191337221E-3</v>
      </c>
    </row>
    <row r="139" spans="1:5" x14ac:dyDescent="0.2">
      <c r="A139" s="41">
        <f>Portafolio!F139</f>
        <v>-2.5708994582135079E-2</v>
      </c>
      <c r="B139" s="41">
        <f>Portafolio!G139</f>
        <v>4.6925289520041878E-3</v>
      </c>
      <c r="C139" s="41">
        <f>Portafolio!H139</f>
        <v>7.4737850456217817E-3</v>
      </c>
      <c r="D139" s="41">
        <f>Portafolio!I139</f>
        <v>-1.0657458514889893E-2</v>
      </c>
      <c r="E139" s="41">
        <f>Portafolio!J139</f>
        <v>-5.0974620049998969E-3</v>
      </c>
    </row>
    <row r="140" spans="1:5" x14ac:dyDescent="0.2">
      <c r="A140" s="41">
        <f>Portafolio!F140</f>
        <v>-2.8853134850884594E-2</v>
      </c>
      <c r="B140" s="41">
        <f>Portafolio!G140</f>
        <v>-4.8605552480539922E-3</v>
      </c>
      <c r="C140" s="41">
        <f>Portafolio!H140</f>
        <v>9.9673658093087422E-3</v>
      </c>
      <c r="D140" s="41">
        <f>Portafolio!I140</f>
        <v>2.1784911671504949E-2</v>
      </c>
      <c r="E140" s="41">
        <f>Portafolio!J140</f>
        <v>5.4328349983613598E-3</v>
      </c>
    </row>
    <row r="141" spans="1:5" x14ac:dyDescent="0.2">
      <c r="A141" s="41">
        <f>Portafolio!F141</f>
        <v>-5.8956789518436912E-3</v>
      </c>
      <c r="B141" s="41">
        <f>Portafolio!G141</f>
        <v>5.0397715508103207E-4</v>
      </c>
      <c r="C141" s="41">
        <f>Portafolio!H141</f>
        <v>5.1841067662975826E-3</v>
      </c>
      <c r="D141" s="41">
        <f>Portafolio!I141</f>
        <v>5.8222055801986279E-4</v>
      </c>
      <c r="E141" s="41">
        <f>Portafolio!J141</f>
        <v>1.3013706418258935E-3</v>
      </c>
    </row>
    <row r="142" spans="1:5" x14ac:dyDescent="0.2">
      <c r="A142" s="41">
        <f>Portafolio!F142</f>
        <v>-7.0975441095678829E-4</v>
      </c>
      <c r="B142" s="41">
        <f>Portafolio!G142</f>
        <v>-1.848914347035491E-3</v>
      </c>
      <c r="C142" s="41">
        <f>Portafolio!H142</f>
        <v>-8.7971014039722271E-3</v>
      </c>
      <c r="D142" s="41">
        <f>Portafolio!I142</f>
        <v>-7.5957392761439417E-3</v>
      </c>
      <c r="E142" s="41">
        <f>Portafolio!J142</f>
        <v>-6.5141749146078601E-3</v>
      </c>
    </row>
    <row r="143" spans="1:5" x14ac:dyDescent="0.2">
      <c r="A143" s="41">
        <f>Portafolio!F143</f>
        <v>1.0184574634208254E-2</v>
      </c>
      <c r="B143" s="41">
        <f>Portafolio!G143</f>
        <v>1.3449371919544843E-3</v>
      </c>
      <c r="C143" s="41">
        <f>Portafolio!H143</f>
        <v>1.8612639482236896E-3</v>
      </c>
      <c r="D143" s="41">
        <f>Portafolio!I143</f>
        <v>8.7592244143747111E-3</v>
      </c>
      <c r="E143" s="41">
        <f>Portafolio!J143</f>
        <v>5.7223787045832183E-3</v>
      </c>
    </row>
    <row r="144" spans="1:5" x14ac:dyDescent="0.2">
      <c r="A144" s="41">
        <f>Portafolio!F144</f>
        <v>1.1762232376596935E-2</v>
      </c>
      <c r="B144" s="41">
        <f>Portafolio!G144</f>
        <v>1.2024245731310248E-2</v>
      </c>
      <c r="C144" s="41">
        <f>Portafolio!H144</f>
        <v>3.7176867835657829E-4</v>
      </c>
      <c r="D144" s="41">
        <f>Portafolio!I144</f>
        <v>7.5296267385311973E-3</v>
      </c>
      <c r="E144" s="41">
        <f>Portafolio!J144</f>
        <v>5.4249516032035304E-3</v>
      </c>
    </row>
    <row r="145" spans="1:5" x14ac:dyDescent="0.2">
      <c r="A145" s="41">
        <f>Portafolio!F145</f>
        <v>2.7746091448219968E-3</v>
      </c>
      <c r="B145" s="41">
        <f>Portafolio!G145</f>
        <v>4.3067844327523246E-3</v>
      </c>
      <c r="C145" s="41">
        <f>Portafolio!H145</f>
        <v>8.1983530120362299E-3</v>
      </c>
      <c r="D145" s="41">
        <f>Portafolio!I145</f>
        <v>-7.5296267385311115E-3</v>
      </c>
      <c r="E145" s="41">
        <f>Portafolio!J145</f>
        <v>1.8892832149732274E-3</v>
      </c>
    </row>
    <row r="146" spans="1:5" x14ac:dyDescent="0.2">
      <c r="A146" s="41">
        <f>Portafolio!F146</f>
        <v>-1.2196574219039144E-2</v>
      </c>
      <c r="B146" s="41">
        <f>Portafolio!G146</f>
        <v>1.0195775101912073E-2</v>
      </c>
      <c r="C146" s="41">
        <f>Portafolio!H146</f>
        <v>8.079352123651724E-3</v>
      </c>
      <c r="D146" s="41">
        <f>Portafolio!I146</f>
        <v>-5.8160336375158385E-4</v>
      </c>
      <c r="E146" s="41">
        <f>Portafolio!J146</f>
        <v>1.3329689280354286E-3</v>
      </c>
    </row>
    <row r="147" spans="1:5" x14ac:dyDescent="0.2">
      <c r="A147" s="41">
        <f>Portafolio!F147</f>
        <v>1.0868104262170121E-2</v>
      </c>
      <c r="B147" s="41">
        <f>Portafolio!G147</f>
        <v>-2.2289265661106588E-3</v>
      </c>
      <c r="C147" s="41">
        <f>Portafolio!H147</f>
        <v>-1.7978656730612674E-2</v>
      </c>
      <c r="D147" s="41">
        <f>Portafolio!I147</f>
        <v>-1.0526393935028697E-2</v>
      </c>
      <c r="E147" s="41">
        <f>Portafolio!J147</f>
        <v>-9.1838570477960242E-3</v>
      </c>
    </row>
    <row r="148" spans="1:5" x14ac:dyDescent="0.2">
      <c r="A148" s="41">
        <f>Portafolio!F148</f>
        <v>-2.1990199647653258E-3</v>
      </c>
      <c r="B148" s="41">
        <f>Portafolio!G148</f>
        <v>-1.0300751202101817E-2</v>
      </c>
      <c r="C148" s="41">
        <f>Portafolio!H148</f>
        <v>1.2319503083121451E-2</v>
      </c>
      <c r="D148" s="41">
        <f>Portafolio!I148</f>
        <v>2.3487728844055851E-3</v>
      </c>
      <c r="E148" s="41">
        <f>Portafolio!J148</f>
        <v>5.288344628770811E-3</v>
      </c>
    </row>
    <row r="149" spans="1:5" x14ac:dyDescent="0.2">
      <c r="A149" s="41">
        <f>Portafolio!F149</f>
        <v>6.3521899768463532E-3</v>
      </c>
      <c r="B149" s="41">
        <f>Portafolio!G149</f>
        <v>4.1663069910752798E-3</v>
      </c>
      <c r="C149" s="41">
        <f>Portafolio!H149</f>
        <v>1.2325227911982373E-2</v>
      </c>
      <c r="D149" s="41">
        <f>Portafolio!I149</f>
        <v>1.455631158926427E-2</v>
      </c>
      <c r="E149" s="41">
        <f>Portafolio!J149</f>
        <v>1.1520549274986875E-2</v>
      </c>
    </row>
    <row r="150" spans="1:5" x14ac:dyDescent="0.2">
      <c r="A150" s="41">
        <f>Portafolio!F150</f>
        <v>1.3493637966671364E-2</v>
      </c>
      <c r="B150" s="41">
        <f>Portafolio!G150</f>
        <v>1.6616478726241028E-3</v>
      </c>
      <c r="C150" s="41">
        <f>Portafolio!H150</f>
        <v>5.8480844115032697E-3</v>
      </c>
      <c r="D150" s="41">
        <f>Portafolio!I150</f>
        <v>-7.5427928711403599E-3</v>
      </c>
      <c r="E150" s="41">
        <f>Portafolio!J150</f>
        <v>2.8851977273495972E-3</v>
      </c>
    </row>
    <row r="151" spans="1:5" x14ac:dyDescent="0.2">
      <c r="A151" s="41">
        <f>Portafolio!F151</f>
        <v>1.4602145308817756E-2</v>
      </c>
      <c r="B151" s="41">
        <f>Portafolio!G151</f>
        <v>8.5965451914703454E-3</v>
      </c>
      <c r="C151" s="41">
        <f>Portafolio!H151</f>
        <v>1.3021806957661381E-2</v>
      </c>
      <c r="D151" s="41">
        <f>Portafolio!I151</f>
        <v>2.3269110502146303E-3</v>
      </c>
      <c r="E151" s="41">
        <f>Portafolio!J151</f>
        <v>9.7091490238554387E-3</v>
      </c>
    </row>
    <row r="152" spans="1:5" x14ac:dyDescent="0.2">
      <c r="A152" s="41">
        <f>Portafolio!F152</f>
        <v>-4.1715613983300662E-2</v>
      </c>
      <c r="B152" s="41">
        <f>Portafolio!G152</f>
        <v>-4.6196894266072042E-3</v>
      </c>
      <c r="C152" s="41">
        <f>Portafolio!H152</f>
        <v>1.3809332358761774E-2</v>
      </c>
      <c r="D152" s="41">
        <f>Portafolio!I152</f>
        <v>-2.9095910236789767E-3</v>
      </c>
      <c r="E152" s="41">
        <f>Portafolio!J152</f>
        <v>-3.399021503757634E-3</v>
      </c>
    </row>
    <row r="153" spans="1:5" x14ac:dyDescent="0.2">
      <c r="A153" s="41">
        <f>Portafolio!F153</f>
        <v>5.2960884338796171E-3</v>
      </c>
      <c r="B153" s="41">
        <f>Portafolio!G153</f>
        <v>3.3072101581254086E-4</v>
      </c>
      <c r="C153" s="41">
        <f>Portafolio!H153</f>
        <v>-1.2333324609694349E-2</v>
      </c>
      <c r="D153" s="41">
        <f>Portafolio!I153</f>
        <v>-1.0544773183150766E-2</v>
      </c>
      <c r="E153" s="41">
        <f>Portafolio!J153</f>
        <v>-7.7257881598648886E-3</v>
      </c>
    </row>
    <row r="154" spans="1:5" x14ac:dyDescent="0.2">
      <c r="A154" s="41">
        <f>Portafolio!F154</f>
        <v>-8.3350523254073824E-3</v>
      </c>
      <c r="B154" s="41">
        <f>Portafolio!G154</f>
        <v>-1.4890065620656438E-3</v>
      </c>
      <c r="C154" s="41">
        <f>Portafolio!H154</f>
        <v>-9.1968412694247506E-3</v>
      </c>
      <c r="D154" s="41">
        <f>Portafolio!I154</f>
        <v>8.2110739967389546E-3</v>
      </c>
      <c r="E154" s="41">
        <f>Portafolio!J154</f>
        <v>-3.0997758442341842E-3</v>
      </c>
    </row>
    <row r="155" spans="1:5" x14ac:dyDescent="0.2">
      <c r="A155" s="41">
        <f>Portafolio!F155</f>
        <v>-6.6948293563426041E-3</v>
      </c>
      <c r="B155" s="41">
        <f>Portafolio!G155</f>
        <v>2.3152310191375206E-3</v>
      </c>
      <c r="C155" s="41">
        <f>Portafolio!H155</f>
        <v>4.6600093568763086E-3</v>
      </c>
      <c r="D155" s="41">
        <f>Portafolio!I155</f>
        <v>3.4985997178958793E-3</v>
      </c>
      <c r="E155" s="41">
        <f>Portafolio!J155</f>
        <v>1.9266764970238747E-3</v>
      </c>
    </row>
    <row r="156" spans="1:5" x14ac:dyDescent="0.2">
      <c r="A156" s="41">
        <f>Portafolio!F156</f>
        <v>2.0990652674622658E-2</v>
      </c>
      <c r="B156" s="41">
        <f>Portafolio!G156</f>
        <v>8.0612064628980545E-3</v>
      </c>
      <c r="C156" s="41">
        <f>Portafolio!H156</f>
        <v>1.9178381247547345E-2</v>
      </c>
      <c r="D156" s="41">
        <f>Portafolio!I156</f>
        <v>2.130803414272742E-2</v>
      </c>
      <c r="E156" s="41">
        <f>Portafolio!J156</f>
        <v>1.9771976007712862E-2</v>
      </c>
    </row>
    <row r="157" spans="1:5" x14ac:dyDescent="0.2">
      <c r="A157" s="41">
        <f>Portafolio!F157</f>
        <v>-1.0615167680639992E-2</v>
      </c>
      <c r="B157" s="41">
        <f>Portafolio!G157</f>
        <v>2.4548076667502516E-3</v>
      </c>
      <c r="C157" s="41">
        <f>Portafolio!H157</f>
        <v>3.9017948330012063E-3</v>
      </c>
      <c r="D157" s="41">
        <f>Portafolio!I157</f>
        <v>2.8449078782690519E-3</v>
      </c>
      <c r="E157" s="41">
        <f>Portafolio!J157</f>
        <v>6.0853637361498478E-4</v>
      </c>
    </row>
    <row r="158" spans="1:5" x14ac:dyDescent="0.2">
      <c r="A158" s="41">
        <f>Portafolio!F158</f>
        <v>-8.4917741718009161E-3</v>
      </c>
      <c r="B158" s="41">
        <f>Portafolio!G158</f>
        <v>-8.2061974569752581E-3</v>
      </c>
      <c r="C158" s="41">
        <f>Portafolio!H158</f>
        <v>-6.8129855912890617E-3</v>
      </c>
      <c r="D158" s="41">
        <f>Portafolio!I158</f>
        <v>-5.697991304405129E-3</v>
      </c>
      <c r="E158" s="41">
        <f>Portafolio!J158</f>
        <v>-6.8451408794689668E-3</v>
      </c>
    </row>
    <row r="159" spans="1:5" x14ac:dyDescent="0.2">
      <c r="A159" s="41">
        <f>Portafolio!F159</f>
        <v>-7.0234473180625914E-3</v>
      </c>
      <c r="B159" s="41">
        <f>Portafolio!G159</f>
        <v>-8.7726750393700287E-3</v>
      </c>
      <c r="C159" s="41">
        <f>Portafolio!H159</f>
        <v>-4.0223368324664339E-4</v>
      </c>
      <c r="D159" s="41">
        <f>Portafolio!I159</f>
        <v>1.1421632595400733E-3</v>
      </c>
      <c r="E159" s="41">
        <f>Portafolio!J159</f>
        <v>-1.5660624475801071E-3</v>
      </c>
    </row>
    <row r="160" spans="1:5" x14ac:dyDescent="0.2">
      <c r="A160" s="41">
        <f>Portafolio!F160</f>
        <v>4.7859728642550272E-3</v>
      </c>
      <c r="B160" s="41">
        <f>Portafolio!G160</f>
        <v>-5.3342326889105063E-3</v>
      </c>
      <c r="C160" s="41">
        <f>Portafolio!H160</f>
        <v>-2.8200016753762752E-3</v>
      </c>
      <c r="D160" s="41">
        <f>Portafolio!I160</f>
        <v>5.12394513644681E-3</v>
      </c>
      <c r="E160" s="41">
        <f>Portafolio!J160</f>
        <v>1.1536595746890201E-3</v>
      </c>
    </row>
    <row r="161" spans="1:5" x14ac:dyDescent="0.2">
      <c r="A161" s="41">
        <f>Portafolio!F161</f>
        <v>-4.9043056684808586E-3</v>
      </c>
      <c r="B161" s="41">
        <f>Portafolio!G161</f>
        <v>-8.8979314726668046E-3</v>
      </c>
      <c r="C161" s="41">
        <f>Portafolio!H161</f>
        <v>-7.637567148412871E-3</v>
      </c>
      <c r="D161" s="41">
        <f>Portafolio!I161</f>
        <v>-2.2740551851044106E-3</v>
      </c>
      <c r="E161" s="41">
        <f>Portafolio!J161</f>
        <v>-5.4155994439799007E-3</v>
      </c>
    </row>
    <row r="162" spans="1:5" x14ac:dyDescent="0.2">
      <c r="A162" s="41">
        <f>Portafolio!F162</f>
        <v>4.4916084303433098E-3</v>
      </c>
      <c r="B162" s="41">
        <f>Portafolio!G162</f>
        <v>3.5350412795235415E-3</v>
      </c>
      <c r="C162" s="41">
        <f>Portafolio!H162</f>
        <v>9.1580546261534317E-3</v>
      </c>
      <c r="D162" s="41">
        <f>Portafolio!I162</f>
        <v>-8.5739149328683574E-3</v>
      </c>
      <c r="E162" s="41">
        <f>Portafolio!J162</f>
        <v>2.2833408245603111E-3</v>
      </c>
    </row>
    <row r="163" spans="1:5" x14ac:dyDescent="0.2">
      <c r="A163" s="41">
        <f>Portafolio!F163</f>
        <v>-6.685740856598745E-3</v>
      </c>
      <c r="B163" s="41">
        <f>Portafolio!G163</f>
        <v>-4.0410882798711488E-3</v>
      </c>
      <c r="C163" s="41">
        <f>Portafolio!H163</f>
        <v>5.202946011474462E-3</v>
      </c>
      <c r="D163" s="41">
        <f>Portafolio!I163</f>
        <v>-9.8068295948848475E-3</v>
      </c>
      <c r="E163" s="41">
        <f>Portafolio!J163</f>
        <v>-2.3818341387223203E-3</v>
      </c>
    </row>
    <row r="164" spans="1:5" x14ac:dyDescent="0.2">
      <c r="A164" s="41">
        <f>Portafolio!F164</f>
        <v>7.2163751807764352E-3</v>
      </c>
      <c r="B164" s="41">
        <f>Portafolio!G164</f>
        <v>7.5637276739742845E-3</v>
      </c>
      <c r="C164" s="41">
        <f>Portafolio!H164</f>
        <v>-6.7235150953914692E-3</v>
      </c>
      <c r="D164" s="41">
        <f>Portafolio!I164</f>
        <v>-4.2513463190354973E-3</v>
      </c>
      <c r="E164" s="41">
        <f>Portafolio!J164</f>
        <v>-2.564760984689371E-3</v>
      </c>
    </row>
    <row r="165" spans="1:5" x14ac:dyDescent="0.2">
      <c r="A165" s="41">
        <f>Portafolio!F165</f>
        <v>-1.120175412492392E-2</v>
      </c>
      <c r="B165" s="41">
        <f>Portafolio!G165</f>
        <v>-1.348640955626019E-2</v>
      </c>
      <c r="C165" s="41">
        <f>Portafolio!H165</f>
        <v>-8.557882737226321E-3</v>
      </c>
      <c r="D165" s="41">
        <f>Portafolio!I165</f>
        <v>-1.0110097057956752E-2</v>
      </c>
      <c r="E165" s="41">
        <f>Portafolio!J165</f>
        <v>-9.7864092446691246E-3</v>
      </c>
    </row>
    <row r="166" spans="1:5" x14ac:dyDescent="0.2">
      <c r="A166" s="41">
        <f>Portafolio!F166</f>
        <v>4.236087617690229E-2</v>
      </c>
      <c r="B166" s="41">
        <f>Portafolio!G166</f>
        <v>2.2039331166826617E-3</v>
      </c>
      <c r="C166" s="41">
        <f>Portafolio!H166</f>
        <v>-2.0473527315899678E-4</v>
      </c>
      <c r="D166" s="41">
        <f>Portafolio!I166</f>
        <v>-1.8703414262897906E-2</v>
      </c>
      <c r="E166" s="41">
        <f>Portafolio!J166</f>
        <v>2.4157821398819264E-3</v>
      </c>
    </row>
    <row r="167" spans="1:5" x14ac:dyDescent="0.2">
      <c r="A167" s="41">
        <f>Portafolio!F167</f>
        <v>8.5896815167550832E-3</v>
      </c>
      <c r="B167" s="41">
        <f>Portafolio!G167</f>
        <v>-1.3125590939175541E-2</v>
      </c>
      <c r="C167" s="41">
        <f>Portafolio!H167</f>
        <v>-6.6864291458487934E-2</v>
      </c>
      <c r="D167" s="41">
        <f>Portafolio!I167</f>
        <v>-6.7217247231749887E-3</v>
      </c>
      <c r="E167" s="41">
        <f>Portafolio!J167</f>
        <v>-3.0246366724337927E-2</v>
      </c>
    </row>
    <row r="168" spans="1:5" x14ac:dyDescent="0.2">
      <c r="A168" s="41">
        <f>Portafolio!F168</f>
        <v>-2.2106106529132866E-2</v>
      </c>
      <c r="B168" s="41">
        <f>Portafolio!G168</f>
        <v>-2.4050333635455131E-3</v>
      </c>
      <c r="C168" s="41">
        <f>Portafolio!H168</f>
        <v>5.4697060967347623E-4</v>
      </c>
      <c r="D168" s="41">
        <f>Portafolio!I168</f>
        <v>-4.3010263731349009E-3</v>
      </c>
      <c r="E168" s="41">
        <f>Portafolio!J168</f>
        <v>-5.6513111627722696E-3</v>
      </c>
    </row>
    <row r="169" spans="1:5" x14ac:dyDescent="0.2">
      <c r="A169" s="41">
        <f>Portafolio!F169</f>
        <v>-1.9353292388622649E-2</v>
      </c>
      <c r="B169" s="41">
        <f>Portafolio!G169</f>
        <v>-1.3769359849297128E-3</v>
      </c>
      <c r="C169" s="41">
        <f>Portafolio!H169</f>
        <v>-1.1493392825475091E-2</v>
      </c>
      <c r="D169" s="41">
        <f>Portafolio!I169</f>
        <v>-9.2793792839827582E-3</v>
      </c>
      <c r="E169" s="41">
        <f>Portafolio!J169</f>
        <v>-1.1933324263826817E-2</v>
      </c>
    </row>
    <row r="170" spans="1:5" x14ac:dyDescent="0.2">
      <c r="A170" s="41">
        <f>Portafolio!F170</f>
        <v>-8.1807529156866562E-3</v>
      </c>
      <c r="B170" s="41">
        <f>Portafolio!G170</f>
        <v>7.7206836858722564E-3</v>
      </c>
      <c r="C170" s="41">
        <f>Portafolio!H170</f>
        <v>-3.9902601949420831E-3</v>
      </c>
      <c r="D170" s="41">
        <f>Portafolio!I170</f>
        <v>1.8628149729069926E-3</v>
      </c>
      <c r="E170" s="41">
        <f>Portafolio!J170</f>
        <v>-2.4608274972705148E-3</v>
      </c>
    </row>
    <row r="171" spans="1:5" x14ac:dyDescent="0.2">
      <c r="A171" s="41">
        <f>Portafolio!F171</f>
        <v>-5.7307029681765223E-3</v>
      </c>
      <c r="B171" s="41">
        <f>Portafolio!G171</f>
        <v>6.8132245978021052E-3</v>
      </c>
      <c r="C171" s="41">
        <f>Portafolio!H171</f>
        <v>6.4760434973849422E-3</v>
      </c>
      <c r="D171" s="41">
        <f>Portafolio!I171</f>
        <v>1.2943127412559438E-2</v>
      </c>
      <c r="E171" s="41">
        <f>Portafolio!J171</f>
        <v>6.141074302354505E-3</v>
      </c>
    </row>
    <row r="172" spans="1:5" x14ac:dyDescent="0.2">
      <c r="A172" s="41">
        <f>Portafolio!F172</f>
        <v>-1.2287828139873455E-2</v>
      </c>
      <c r="B172" s="41">
        <f>Portafolio!G172</f>
        <v>2.1162958107073866E-2</v>
      </c>
      <c r="C172" s="41">
        <f>Portafolio!H172</f>
        <v>2.4793566191605932E-2</v>
      </c>
      <c r="D172" s="41">
        <f>Portafolio!I172</f>
        <v>1.0962394432582713E-2</v>
      </c>
      <c r="E172" s="41">
        <f>Portafolio!J172</f>
        <v>1.2796456943029434E-2</v>
      </c>
    </row>
    <row r="173" spans="1:5" x14ac:dyDescent="0.2">
      <c r="A173" s="41">
        <f>Portafolio!F173</f>
        <v>5.07788929321121E-3</v>
      </c>
      <c r="B173" s="41">
        <f>Portafolio!G173</f>
        <v>6.2956618817539729E-3</v>
      </c>
      <c r="C173" s="41">
        <f>Portafolio!H173</f>
        <v>1.9243130694284457E-2</v>
      </c>
      <c r="D173" s="41">
        <f>Portafolio!I173</f>
        <v>-1.2187931160931781E-2</v>
      </c>
      <c r="E173" s="41">
        <f>Portafolio!J173</f>
        <v>5.7608140379832506E-3</v>
      </c>
    </row>
    <row r="174" spans="1:5" x14ac:dyDescent="0.2">
      <c r="A174" s="41">
        <f>Portafolio!F174</f>
        <v>6.3713730744178647E-3</v>
      </c>
      <c r="B174" s="41">
        <f>Portafolio!G174</f>
        <v>1.4852540987510795E-3</v>
      </c>
      <c r="C174" s="41">
        <f>Portafolio!H174</f>
        <v>1.4310268539026554E-2</v>
      </c>
      <c r="D174" s="41">
        <f>Portafolio!I174</f>
        <v>1.1582000481511069E-2</v>
      </c>
      <c r="E174" s="41">
        <f>Portafolio!J174</f>
        <v>1.1324813505728726E-2</v>
      </c>
    </row>
    <row r="175" spans="1:5" x14ac:dyDescent="0.2">
      <c r="A175" s="41">
        <f>Portafolio!F175</f>
        <v>1.2622341953280228E-2</v>
      </c>
      <c r="B175" s="41">
        <f>Portafolio!G175</f>
        <v>1.4895089026447495E-2</v>
      </c>
      <c r="C175" s="41">
        <f>Portafolio!H175</f>
        <v>4.8803897357337367E-3</v>
      </c>
      <c r="D175" s="41">
        <f>Portafolio!I175</f>
        <v>1.8613569807513386E-2</v>
      </c>
      <c r="E175" s="41">
        <f>Portafolio!J175</f>
        <v>1.1258669061240949E-2</v>
      </c>
    </row>
    <row r="176" spans="1:5" x14ac:dyDescent="0.2">
      <c r="A176" s="41">
        <f>Portafolio!F176</f>
        <v>5.1340934294748482E-3</v>
      </c>
      <c r="B176" s="41">
        <f>Portafolio!G176</f>
        <v>3.082230575187468E-3</v>
      </c>
      <c r="C176" s="41">
        <f>Portafolio!H176</f>
        <v>1.500784386497234E-3</v>
      </c>
      <c r="D176" s="41">
        <f>Portafolio!I176</f>
        <v>-1.377680211997016E-2</v>
      </c>
      <c r="E176" s="41">
        <f>Portafolio!J176</f>
        <v>-2.6343550378729137E-3</v>
      </c>
    </row>
    <row r="177" spans="1:5" x14ac:dyDescent="0.2">
      <c r="A177" s="41">
        <f>Portafolio!F177</f>
        <v>-3.4788581331064421E-3</v>
      </c>
      <c r="B177" s="41">
        <f>Portafolio!G177</f>
        <v>0</v>
      </c>
      <c r="C177" s="41">
        <f>Portafolio!H177</f>
        <v>6.2045885918183598E-4</v>
      </c>
      <c r="D177" s="41">
        <f>Portafolio!I177</f>
        <v>1.020115925682203E-2</v>
      </c>
      <c r="E177" s="41">
        <f>Portafolio!J177</f>
        <v>2.8658700770441805E-3</v>
      </c>
    </row>
    <row r="178" spans="1:5" x14ac:dyDescent="0.2">
      <c r="A178" s="41">
        <f>Portafolio!F178</f>
        <v>2.4505258851654717E-2</v>
      </c>
      <c r="B178" s="41">
        <f>Portafolio!G178</f>
        <v>4.8472846158211921E-3</v>
      </c>
      <c r="C178" s="41">
        <f>Portafolio!H178</f>
        <v>-1.0859387138235847E-3</v>
      </c>
      <c r="D178" s="41">
        <f>Portafolio!I178</f>
        <v>1.5990897700798735E-2</v>
      </c>
      <c r="E178" s="41">
        <f>Portafolio!J178</f>
        <v>9.7610369015713565E-3</v>
      </c>
    </row>
    <row r="179" spans="1:5" x14ac:dyDescent="0.2">
      <c r="A179" s="41">
        <f>Portafolio!F179</f>
        <v>-1.8439790545778333E-2</v>
      </c>
      <c r="B179" s="41">
        <f>Portafolio!G179</f>
        <v>-4.3615431401830369E-3</v>
      </c>
      <c r="C179" s="41">
        <f>Portafolio!H179</f>
        <v>-7.9996022089060346E-3</v>
      </c>
      <c r="D179" s="41">
        <f>Portafolio!I179</f>
        <v>-7.6674124514332052E-3</v>
      </c>
      <c r="E179" s="41">
        <f>Portafolio!J179</f>
        <v>-9.8249133735717059E-3</v>
      </c>
    </row>
    <row r="180" spans="1:5" x14ac:dyDescent="0.2">
      <c r="A180" s="41">
        <f>Portafolio!F180</f>
        <v>-6.0654683058762593E-3</v>
      </c>
      <c r="B180" s="41">
        <f>Portafolio!G180</f>
        <v>2.5869042305606007E-3</v>
      </c>
      <c r="C180" s="41">
        <f>Portafolio!H180</f>
        <v>6.2565312240965142E-4</v>
      </c>
      <c r="D180" s="41">
        <f>Portafolio!I180</f>
        <v>1.7746003431574375E-3</v>
      </c>
      <c r="E180" s="41">
        <f>Portafolio!J180</f>
        <v>-2.5763063477360479E-4</v>
      </c>
    </row>
    <row r="181" spans="1:5" x14ac:dyDescent="0.2">
      <c r="A181" s="41">
        <f>Portafolio!F181</f>
        <v>2.1792612899963495E-2</v>
      </c>
      <c r="B181" s="41">
        <f>Portafolio!G181</f>
        <v>9.683988994642935E-4</v>
      </c>
      <c r="C181" s="41">
        <f>Portafolio!H181</f>
        <v>-1.0429762752333207E-3</v>
      </c>
      <c r="D181" s="41">
        <f>Portafolio!I181</f>
        <v>-5.9277432873759113E-3</v>
      </c>
      <c r="E181" s="41">
        <f>Portafolio!J181</f>
        <v>2.0164309576452869E-3</v>
      </c>
    </row>
    <row r="182" spans="1:5" x14ac:dyDescent="0.2">
      <c r="A182" s="41">
        <f>Portafolio!F182</f>
        <v>5.8095544508652106E-2</v>
      </c>
      <c r="B182" s="41">
        <f>Portafolio!G182</f>
        <v>2.8994529241732746E-3</v>
      </c>
      <c r="C182" s="41">
        <f>Portafolio!H182</f>
        <v>-6.0183515082071516E-3</v>
      </c>
      <c r="D182" s="41">
        <f>Portafolio!I182</f>
        <v>1.7820997373106853E-3</v>
      </c>
      <c r="E182" s="41">
        <f>Portafolio!J182</f>
        <v>9.6391400005362733E-3</v>
      </c>
    </row>
    <row r="183" spans="1:5" x14ac:dyDescent="0.2">
      <c r="A183" s="41">
        <f>Portafolio!F183</f>
        <v>-9.1483674173388676E-3</v>
      </c>
      <c r="B183" s="41">
        <f>Portafolio!G183</f>
        <v>2.8910542328630683E-3</v>
      </c>
      <c r="C183" s="41">
        <f>Portafolio!H183</f>
        <v>7.7907210062601899E-3</v>
      </c>
      <c r="D183" s="41">
        <f>Portafolio!I183</f>
        <v>8.2741716697485573E-3</v>
      </c>
      <c r="E183" s="41">
        <f>Portafolio!J183</f>
        <v>4.3701257264089095E-3</v>
      </c>
    </row>
    <row r="184" spans="1:5" x14ac:dyDescent="0.2">
      <c r="A184" s="41">
        <f>Portafolio!F184</f>
        <v>3.7898712813242458E-3</v>
      </c>
      <c r="B184" s="41">
        <f>Portafolio!G184</f>
        <v>4.3210584019733201E-3</v>
      </c>
      <c r="C184" s="41">
        <f>Portafolio!H184</f>
        <v>-1.3029561227812455E-3</v>
      </c>
      <c r="D184" s="41">
        <f>Portafolio!I184</f>
        <v>5.283244107095986E-3</v>
      </c>
      <c r="E184" s="41">
        <f>Portafolio!J184</f>
        <v>2.0645390083400394E-3</v>
      </c>
    </row>
    <row r="185" spans="1:5" x14ac:dyDescent="0.2">
      <c r="A185" s="41">
        <f>Portafolio!F185</f>
        <v>1.8624377821563668E-3</v>
      </c>
      <c r="B185" s="41">
        <f>Portafolio!G185</f>
        <v>3.666217842342803E-3</v>
      </c>
      <c r="C185" s="41">
        <f>Portafolio!H185</f>
        <v>2.0134915133947339E-2</v>
      </c>
      <c r="D185" s="41">
        <f>Portafolio!I185</f>
        <v>1.7549955781686565E-3</v>
      </c>
      <c r="E185" s="41">
        <f>Portafolio!J185</f>
        <v>9.8964805338732417E-3</v>
      </c>
    </row>
    <row r="186" spans="1:5" x14ac:dyDescent="0.2">
      <c r="A186" s="41">
        <f>Portafolio!F186</f>
        <v>9.9644209184128335E-3</v>
      </c>
      <c r="B186" s="41">
        <f>Portafolio!G186</f>
        <v>4.7729304993157585E-4</v>
      </c>
      <c r="C186" s="41">
        <f>Portafolio!H186</f>
        <v>9.4112742907778765E-3</v>
      </c>
      <c r="D186" s="41">
        <f>Portafolio!I186</f>
        <v>4.0827757174903999E-3</v>
      </c>
      <c r="E186" s="41">
        <f>Portafolio!J186</f>
        <v>7.4393189277554839E-3</v>
      </c>
    </row>
    <row r="187" spans="1:5" x14ac:dyDescent="0.2">
      <c r="A187" s="41">
        <f>Portafolio!F187</f>
        <v>-6.9140777525400921E-3</v>
      </c>
      <c r="B187" s="41">
        <f>Portafolio!G187</f>
        <v>6.0250352963449492E-3</v>
      </c>
      <c r="C187" s="41">
        <f>Portafolio!H187</f>
        <v>6.4097849393042125E-3</v>
      </c>
      <c r="D187" s="41">
        <f>Portafolio!I187</f>
        <v>-5.8223411107649701E-4</v>
      </c>
      <c r="E187" s="41">
        <f>Portafolio!J187</f>
        <v>1.4848421374378694E-3</v>
      </c>
    </row>
    <row r="188" spans="1:5" x14ac:dyDescent="0.2">
      <c r="A188" s="41">
        <f>Portafolio!F188</f>
        <v>1.7491613013872163E-2</v>
      </c>
      <c r="B188" s="41">
        <f>Portafolio!G188</f>
        <v>5.0457831514656758E-3</v>
      </c>
      <c r="C188" s="41">
        <f>Portafolio!H188</f>
        <v>-2.0125493872400897E-4</v>
      </c>
      <c r="D188" s="41">
        <f>Portafolio!I188</f>
        <v>5.2280020464313707E-3</v>
      </c>
      <c r="E188" s="41">
        <f>Portafolio!J188</f>
        <v>5.2894175070424595E-3</v>
      </c>
    </row>
    <row r="189" spans="1:5" x14ac:dyDescent="0.2">
      <c r="A189" s="41">
        <f>Portafolio!F189</f>
        <v>6.1545058292852206E-3</v>
      </c>
      <c r="B189" s="41">
        <f>Portafolio!G189</f>
        <v>-7.578230471947678E-3</v>
      </c>
      <c r="C189" s="41">
        <f>Portafolio!H189</f>
        <v>1.3891880096165623E-2</v>
      </c>
      <c r="D189" s="41">
        <f>Portafolio!I189</f>
        <v>2.3147859350525577E-3</v>
      </c>
      <c r="E189" s="41">
        <f>Portafolio!J189</f>
        <v>7.741590600439551E-3</v>
      </c>
    </row>
    <row r="190" spans="1:5" x14ac:dyDescent="0.2">
      <c r="A190" s="41">
        <f>Portafolio!F190</f>
        <v>1.2143861705092206E-2</v>
      </c>
      <c r="B190" s="41">
        <f>Portafolio!G190</f>
        <v>4.7533860586955039E-4</v>
      </c>
      <c r="C190" s="41">
        <f>Portafolio!H190</f>
        <v>2.9731023414911141E-3</v>
      </c>
      <c r="D190" s="41">
        <f>Portafolio!I190</f>
        <v>1.732579879352201E-3</v>
      </c>
      <c r="E190" s="41">
        <f>Portafolio!J190</f>
        <v>4.2992049997478965E-3</v>
      </c>
    </row>
    <row r="191" spans="1:5" x14ac:dyDescent="0.2">
      <c r="A191" s="41">
        <f>Portafolio!F191</f>
        <v>6.3229391275216771E-4</v>
      </c>
      <c r="B191" s="41">
        <f>Portafolio!G191</f>
        <v>3.0051413878821489E-3</v>
      </c>
      <c r="C191" s="41">
        <f>Portafolio!H191</f>
        <v>1.7796277524522572E-3</v>
      </c>
      <c r="D191" s="41">
        <f>Portafolio!I191</f>
        <v>-1.732579879352136E-3</v>
      </c>
      <c r="E191" s="41">
        <f>Portafolio!J191</f>
        <v>4.690148869109129E-4</v>
      </c>
    </row>
    <row r="192" spans="1:5" x14ac:dyDescent="0.2">
      <c r="A192" s="41">
        <f>Portafolio!F192</f>
        <v>1.5802948487189222E-4</v>
      </c>
      <c r="B192" s="41">
        <f>Portafolio!G192</f>
        <v>-4.5904615610439566E-3</v>
      </c>
      <c r="C192" s="41">
        <f>Portafolio!H192</f>
        <v>1.1393284747523526E-2</v>
      </c>
      <c r="D192" s="41">
        <f>Portafolio!I192</f>
        <v>5.7637472026845571E-3</v>
      </c>
      <c r="E192" s="41">
        <f>Portafolio!J192</f>
        <v>6.6867282502597282E-3</v>
      </c>
    </row>
    <row r="193" spans="1:5" x14ac:dyDescent="0.2">
      <c r="A193" s="41">
        <f>Portafolio!F193</f>
        <v>6.1431644627328542E-3</v>
      </c>
      <c r="B193" s="41">
        <f>Portafolio!G193</f>
        <v>-7.3248867997968373E-3</v>
      </c>
      <c r="C193" s="41">
        <f>Portafolio!H193</f>
        <v>-4.6015528245516947E-2</v>
      </c>
      <c r="D193" s="41">
        <f>Portafolio!I193</f>
        <v>6.8728485226429662E-3</v>
      </c>
      <c r="E193" s="41">
        <f>Portafolio!J193</f>
        <v>-1.6993383491286342E-2</v>
      </c>
    </row>
    <row r="194" spans="1:5" x14ac:dyDescent="0.2">
      <c r="A194" s="41">
        <f>Portafolio!F194</f>
        <v>6.8338906269820778E-3</v>
      </c>
      <c r="B194" s="41">
        <f>Portafolio!G194</f>
        <v>5.4192175886679812E-3</v>
      </c>
      <c r="C194" s="41">
        <f>Portafolio!H194</f>
        <v>1.9944982273812171E-2</v>
      </c>
      <c r="D194" s="41">
        <f>Portafolio!I194</f>
        <v>-1.4372182648414963E-2</v>
      </c>
      <c r="E194" s="41">
        <f>Portafolio!J194</f>
        <v>5.6781425033624287E-3</v>
      </c>
    </row>
    <row r="195" spans="1:5" x14ac:dyDescent="0.2">
      <c r="A195" s="41">
        <f>Portafolio!F195</f>
        <v>-7.5669526869904195E-3</v>
      </c>
      <c r="B195" s="41">
        <f>Portafolio!G195</f>
        <v>1.4295762641888972E-3</v>
      </c>
      <c r="C195" s="41">
        <f>Portafolio!H195</f>
        <v>-6.0830483624738684E-3</v>
      </c>
      <c r="D195" s="41">
        <f>Portafolio!I195</f>
        <v>1.3229934834084765E-2</v>
      </c>
      <c r="E195" s="41">
        <f>Portafolio!J195</f>
        <v>1.524966103229634E-4</v>
      </c>
    </row>
    <row r="196" spans="1:5" x14ac:dyDescent="0.2">
      <c r="A196" s="41">
        <f>Portafolio!F196</f>
        <v>-2.128302424671985E-2</v>
      </c>
      <c r="B196" s="41">
        <f>Portafolio!G196</f>
        <v>-1.454975939193497E-2</v>
      </c>
      <c r="C196" s="41">
        <f>Portafolio!H196</f>
        <v>-7.0339066105817626E-3</v>
      </c>
      <c r="D196" s="41">
        <f>Portafolio!I196</f>
        <v>-1.7157346722541096E-3</v>
      </c>
      <c r="E196" s="41">
        <f>Portafolio!J196</f>
        <v>-8.466960280245097E-3</v>
      </c>
    </row>
    <row r="197" spans="1:5" x14ac:dyDescent="0.2">
      <c r="A197" s="41">
        <f>Portafolio!F197</f>
        <v>1.6452046082168593E-2</v>
      </c>
      <c r="B197" s="41">
        <f>Portafolio!G197</f>
        <v>-1.4505435120728959E-3</v>
      </c>
      <c r="C197" s="41">
        <f>Portafolio!H197</f>
        <v>1.9063546062445577E-2</v>
      </c>
      <c r="D197" s="41">
        <f>Portafolio!I197</f>
        <v>1.7157346722542091E-3</v>
      </c>
      <c r="E197" s="41">
        <f>Portafolio!J197</f>
        <v>1.2114109100863532E-2</v>
      </c>
    </row>
    <row r="198" spans="1:5" x14ac:dyDescent="0.2">
      <c r="A198" s="41">
        <f>Portafolio!F198</f>
        <v>5.2749355993220789E-5</v>
      </c>
      <c r="B198" s="41">
        <f>Portafolio!G198</f>
        <v>-2.907479760967422E-3</v>
      </c>
      <c r="C198" s="41">
        <f>Portafolio!H198</f>
        <v>-6.0468730383955328E-3</v>
      </c>
      <c r="D198" s="41">
        <f>Portafolio!I198</f>
        <v>-1.3229934834084642E-2</v>
      </c>
      <c r="E198" s="41">
        <f>Portafolio!J198</f>
        <v>-7.0179605837380008E-3</v>
      </c>
    </row>
    <row r="199" spans="1:5" x14ac:dyDescent="0.2">
      <c r="A199" s="41">
        <f>Portafolio!F199</f>
        <v>1.5777000232845243E-3</v>
      </c>
      <c r="B199" s="41">
        <f>Portafolio!G199</f>
        <v>-1.9429887302046369E-3</v>
      </c>
      <c r="C199" s="41">
        <f>Portafolio!H199</f>
        <v>-6.99180300416376E-3</v>
      </c>
      <c r="D199" s="41">
        <f>Portafolio!I199</f>
        <v>-8.7235267318123977E-3</v>
      </c>
      <c r="E199" s="41">
        <f>Portafolio!J199</f>
        <v>-5.6356646599645859E-3</v>
      </c>
    </row>
    <row r="200" spans="1:5" x14ac:dyDescent="0.2">
      <c r="A200" s="41">
        <f>Portafolio!F200</f>
        <v>5.2413568168104213E-3</v>
      </c>
      <c r="B200" s="41">
        <f>Portafolio!G200</f>
        <v>4.3664643547632167E-3</v>
      </c>
      <c r="C200" s="41">
        <f>Portafolio!H200</f>
        <v>6.1393658971166812E-3</v>
      </c>
      <c r="D200" s="41">
        <f>Portafolio!I200</f>
        <v>2.8787286268958209E-2</v>
      </c>
      <c r="E200" s="41">
        <f>Portafolio!J200</f>
        <v>1.3187324385848765E-2</v>
      </c>
    </row>
    <row r="201" spans="1:5" x14ac:dyDescent="0.2">
      <c r="A201" s="41">
        <f>Portafolio!F201</f>
        <v>5.0060225548219234E-3</v>
      </c>
      <c r="B201" s="41">
        <f>Portafolio!G201</f>
        <v>1.537262663889283E-2</v>
      </c>
      <c r="C201" s="41">
        <f>Portafolio!H201</f>
        <v>1.6419907185533298E-2</v>
      </c>
      <c r="D201" s="41">
        <f>Portafolio!I201</f>
        <v>3.3485178750257492E-2</v>
      </c>
      <c r="E201" s="41">
        <f>Portafolio!J201</f>
        <v>1.9602194943886292E-2</v>
      </c>
    </row>
    <row r="202" spans="1:5" x14ac:dyDescent="0.2">
      <c r="A202" s="41">
        <f>Portafolio!F202</f>
        <v>9.2161623911649945E-3</v>
      </c>
      <c r="B202" s="41">
        <f>Portafolio!G202</f>
        <v>0</v>
      </c>
      <c r="C202" s="41">
        <f>Portafolio!H202</f>
        <v>-4.0053977401266682E-3</v>
      </c>
      <c r="D202" s="41">
        <f>Portafolio!I202</f>
        <v>-1.1592695309031092E-2</v>
      </c>
      <c r="E202" s="41">
        <f>Portafolio!J202</f>
        <v>-3.6518516749706404E-3</v>
      </c>
    </row>
    <row r="203" spans="1:5" x14ac:dyDescent="0.2">
      <c r="A203" s="41">
        <f>Portafolio!F203</f>
        <v>1.6479275844381797E-3</v>
      </c>
      <c r="B203" s="41">
        <f>Portafolio!G203</f>
        <v>1.5922092232906072E-2</v>
      </c>
      <c r="C203" s="41">
        <f>Portafolio!H203</f>
        <v>-1.3267754604042227E-2</v>
      </c>
      <c r="D203" s="41">
        <f>Portafolio!I203</f>
        <v>1.8702397437831947E-2</v>
      </c>
      <c r="E203" s="41">
        <f>Portafolio!J203</f>
        <v>1.2012027507080619E-3</v>
      </c>
    </row>
    <row r="204" spans="1:5" x14ac:dyDescent="0.2">
      <c r="A204" s="41">
        <f>Portafolio!F204</f>
        <v>7.7904722351031866E-3</v>
      </c>
      <c r="B204" s="41">
        <f>Portafolio!G204</f>
        <v>-3.1287359214828865E-4</v>
      </c>
      <c r="C204" s="41">
        <f>Portafolio!H204</f>
        <v>-9.5859227382981537E-3</v>
      </c>
      <c r="D204" s="41">
        <f>Portafolio!I204</f>
        <v>-2.7285349047250127E-3</v>
      </c>
      <c r="E204" s="41">
        <f>Portafolio!J204</f>
        <v>-3.5336314810909385E-3</v>
      </c>
    </row>
    <row r="205" spans="1:5" x14ac:dyDescent="0.2">
      <c r="A205" s="41">
        <f>Portafolio!F205</f>
        <v>-7.121864915451831E-3</v>
      </c>
      <c r="B205" s="41">
        <f>Portafolio!G205</f>
        <v>3.5918669636785371E-3</v>
      </c>
      <c r="C205" s="41">
        <f>Portafolio!H205</f>
        <v>-1.7757906147097171E-3</v>
      </c>
      <c r="D205" s="41">
        <f>Portafolio!I205</f>
        <v>-1.0934242170624129E-3</v>
      </c>
      <c r="E205" s="41">
        <f>Portafolio!J205</f>
        <v>-2.4022431861128344E-3</v>
      </c>
    </row>
    <row r="206" spans="1:5" x14ac:dyDescent="0.2">
      <c r="A206" s="41">
        <f>Portafolio!F206</f>
        <v>1.2315935510636394E-2</v>
      </c>
      <c r="B206" s="41">
        <f>Portafolio!G206</f>
        <v>-3.748245865629597E-3</v>
      </c>
      <c r="C206" s="41">
        <f>Portafolio!H206</f>
        <v>1.5320518573155651E-2</v>
      </c>
      <c r="D206" s="41">
        <f>Portafolio!I206</f>
        <v>-9.8955551720559757E-3</v>
      </c>
      <c r="E206" s="41">
        <f>Portafolio!J206</f>
        <v>5.8158408020062904E-3</v>
      </c>
    </row>
    <row r="207" spans="1:5" x14ac:dyDescent="0.2">
      <c r="A207" s="41">
        <f>Portafolio!F207</f>
        <v>-1.9333515601065478E-2</v>
      </c>
      <c r="B207" s="41">
        <f>Portafolio!G207</f>
        <v>-5.0196004719991047E-3</v>
      </c>
      <c r="C207" s="41">
        <f>Portafolio!H207</f>
        <v>-1.7018402117130581E-3</v>
      </c>
      <c r="D207" s="41">
        <f>Portafolio!I207</f>
        <v>-1.3348415321843266E-2</v>
      </c>
      <c r="E207" s="41">
        <f>Portafolio!J207</f>
        <v>-9.1053487940438455E-3</v>
      </c>
    </row>
    <row r="208" spans="1:5" x14ac:dyDescent="0.2">
      <c r="A208" s="41">
        <f>Portafolio!F208</f>
        <v>7.0131414104475584E-2</v>
      </c>
      <c r="B208" s="41">
        <f>Portafolio!G208</f>
        <v>-6.2929080548693986E-4</v>
      </c>
      <c r="C208" s="41">
        <f>Portafolio!H208</f>
        <v>-2.6653349995766375E-2</v>
      </c>
      <c r="D208" s="41">
        <f>Portafolio!I208</f>
        <v>0</v>
      </c>
      <c r="E208" s="41">
        <f>Portafolio!J208</f>
        <v>2.2909531779188013E-3</v>
      </c>
    </row>
    <row r="209" spans="1:5" x14ac:dyDescent="0.2">
      <c r="A209" s="41">
        <f>Portafolio!F209</f>
        <v>2.8177683832117249E-2</v>
      </c>
      <c r="B209" s="41">
        <f>Portafolio!G209</f>
        <v>-1.0598781521427382E-2</v>
      </c>
      <c r="C209" s="41">
        <f>Portafolio!H209</f>
        <v>-1.4667664855327797E-2</v>
      </c>
      <c r="D209" s="41">
        <f>Portafolio!I209</f>
        <v>-1.4096584264906203E-2</v>
      </c>
      <c r="E209" s="41">
        <f>Portafolio!J209</f>
        <v>-5.7774659162913196E-3</v>
      </c>
    </row>
    <row r="210" spans="1:5" x14ac:dyDescent="0.2">
      <c r="A210" s="41">
        <f>Portafolio!F210</f>
        <v>5.4761020107099078E-3</v>
      </c>
      <c r="B210" s="41">
        <f>Portafolio!G210</f>
        <v>1.7478507559406556E-3</v>
      </c>
      <c r="C210" s="41">
        <f>Portafolio!H210</f>
        <v>1.1059628683795456E-2</v>
      </c>
      <c r="D210" s="41">
        <f>Portafolio!I210</f>
        <v>3.4012621492683047E-3</v>
      </c>
      <c r="E210" s="41">
        <f>Portafolio!J210</f>
        <v>7.0981682186605326E-3</v>
      </c>
    </row>
    <row r="211" spans="1:5" x14ac:dyDescent="0.2">
      <c r="A211" s="41">
        <f>Portafolio!F211</f>
        <v>-8.2019263390725322E-3</v>
      </c>
      <c r="B211" s="41">
        <f>Portafolio!G211</f>
        <v>7.1958738958610062E-4</v>
      </c>
      <c r="C211" s="41">
        <f>Portafolio!H211</f>
        <v>6.1937429460877716E-4</v>
      </c>
      <c r="D211" s="41">
        <f>Portafolio!I211</f>
        <v>-1.6992713126116508E-3</v>
      </c>
      <c r="E211" s="41">
        <f>Portafolio!J211</f>
        <v>-1.8820950362061547E-3</v>
      </c>
    </row>
    <row r="212" spans="1:5" x14ac:dyDescent="0.2">
      <c r="A212" s="41">
        <f>Portafolio!F212</f>
        <v>1.948047725735666E-2</v>
      </c>
      <c r="B212" s="41">
        <f>Portafolio!G212</f>
        <v>1.1184790032108326E-3</v>
      </c>
      <c r="C212" s="41">
        <f>Portafolio!H212</f>
        <v>6.1735082056717516E-3</v>
      </c>
      <c r="D212" s="41">
        <f>Portafolio!I212</f>
        <v>1.6992713126115697E-3</v>
      </c>
      <c r="E212" s="41">
        <f>Portafolio!J212</f>
        <v>7.177393023667638E-3</v>
      </c>
    </row>
    <row r="213" spans="1:5" x14ac:dyDescent="0.2">
      <c r="A213" s="41">
        <f>Portafolio!F213</f>
        <v>-1.1045270681009117E-2</v>
      </c>
      <c r="B213" s="41">
        <f>Portafolio!G213</f>
        <v>1.5971257518978638E-4</v>
      </c>
      <c r="C213" s="41">
        <f>Portafolio!H213</f>
        <v>1.030672096955205E-2</v>
      </c>
      <c r="D213" s="41">
        <f>Portafolio!I213</f>
        <v>2.1277351283956945E-2</v>
      </c>
      <c r="E213" s="41">
        <f>Portafolio!J213</f>
        <v>9.1722328513741559E-3</v>
      </c>
    </row>
    <row r="214" spans="1:5" x14ac:dyDescent="0.2">
      <c r="A214" s="41">
        <f>Portafolio!F214</f>
        <v>-2.1747631659808291E-2</v>
      </c>
      <c r="B214" s="41">
        <f>Portafolio!G214</f>
        <v>-7.2110078735026766E-3</v>
      </c>
      <c r="C214" s="41">
        <f>Portafolio!H214</f>
        <v>8.4414315435738397E-3</v>
      </c>
      <c r="D214" s="41">
        <f>Portafolio!I214</f>
        <v>3.3186565462668526E-3</v>
      </c>
      <c r="E214" s="41">
        <f>Portafolio!J214</f>
        <v>1.3384272536615029E-4</v>
      </c>
    </row>
    <row r="215" spans="1:5" x14ac:dyDescent="0.2">
      <c r="A215" s="41">
        <f>Portafolio!F215</f>
        <v>-1.0499345697948081E-2</v>
      </c>
      <c r="B215" s="41">
        <f>Portafolio!G215</f>
        <v>9.443847698832648E-3</v>
      </c>
      <c r="C215" s="41">
        <f>Portafolio!H215</f>
        <v>-1.2001025271443897E-2</v>
      </c>
      <c r="D215" s="41">
        <f>Portafolio!I215</f>
        <v>1.588635415691966E-2</v>
      </c>
      <c r="E215" s="41">
        <f>Portafolio!J215</f>
        <v>-1.8379174021991868E-3</v>
      </c>
    </row>
    <row r="216" spans="1:5" x14ac:dyDescent="0.2">
      <c r="A216" s="41">
        <f>Portafolio!F216</f>
        <v>3.1277001097442104E-3</v>
      </c>
      <c r="B216" s="41">
        <f>Portafolio!G216</f>
        <v>1.8936986764933515E-2</v>
      </c>
      <c r="C216" s="41">
        <f>Portafolio!H216</f>
        <v>1.305751761044515E-2</v>
      </c>
      <c r="D216" s="41">
        <f>Portafolio!I216</f>
        <v>1.3495526138129172E-2</v>
      </c>
      <c r="E216" s="41">
        <f>Portafolio!J216</f>
        <v>1.1459575011257142E-2</v>
      </c>
    </row>
    <row r="217" spans="1:5" x14ac:dyDescent="0.2">
      <c r="A217" s="41">
        <f>Portafolio!F217</f>
        <v>4.4582669163491413E-3</v>
      </c>
      <c r="B217" s="41">
        <f>Portafolio!G217</f>
        <v>-2.0342859528205111E-3</v>
      </c>
      <c r="C217" s="41">
        <f>Portafolio!H217</f>
        <v>-4.0810762745116238E-3</v>
      </c>
      <c r="D217" s="41">
        <f>Portafolio!I217</f>
        <v>2.1425562712271934E-3</v>
      </c>
      <c r="E217" s="41">
        <f>Portafolio!J217</f>
        <v>-2.8956150755267136E-4</v>
      </c>
    </row>
    <row r="218" spans="1:5" x14ac:dyDescent="0.2">
      <c r="A218" s="41">
        <f>Portafolio!F218</f>
        <v>1.9796003669469535E-2</v>
      </c>
      <c r="B218" s="41">
        <f>Portafolio!G218</f>
        <v>3.2841220395962312E-3</v>
      </c>
      <c r="C218" s="41">
        <f>Portafolio!H218</f>
        <v>-3.2364976607338002E-3</v>
      </c>
      <c r="D218" s="41">
        <f>Portafolio!I218</f>
        <v>3.738273476931629E-3</v>
      </c>
      <c r="E218" s="41">
        <f>Portafolio!J218</f>
        <v>3.8686009565867142E-3</v>
      </c>
    </row>
    <row r="219" spans="1:5" x14ac:dyDescent="0.2">
      <c r="A219" s="41">
        <f>Portafolio!F219</f>
        <v>3.9780687953256729E-3</v>
      </c>
      <c r="B219" s="41">
        <f>Portafolio!G219</f>
        <v>-2.1882315189594016E-3</v>
      </c>
      <c r="C219" s="41">
        <f>Portafolio!H219</f>
        <v>8.7746980951394233E-3</v>
      </c>
      <c r="D219" s="41">
        <f>Portafolio!I219</f>
        <v>-5.3329250387106324E-4</v>
      </c>
      <c r="E219" s="41">
        <f>Portafolio!J219</f>
        <v>4.3709834778213018E-3</v>
      </c>
    </row>
    <row r="220" spans="1:5" x14ac:dyDescent="0.2">
      <c r="A220" s="41">
        <f>Portafolio!F220</f>
        <v>-1.6387734624486144E-2</v>
      </c>
      <c r="B220" s="41">
        <f>Portafolio!G220</f>
        <v>-4.0764872369371159E-3</v>
      </c>
      <c r="C220" s="41">
        <f>Portafolio!H220</f>
        <v>1.5395245178859948E-2</v>
      </c>
      <c r="D220" s="41">
        <f>Portafolio!I220</f>
        <v>1.901802869604308E-2</v>
      </c>
      <c r="E220" s="41">
        <f>Portafolio!J220</f>
        <v>9.432646958843896E-3</v>
      </c>
    </row>
    <row r="221" spans="1:5" x14ac:dyDescent="0.2">
      <c r="A221" s="41">
        <f>Portafolio!F221</f>
        <v>2.8689111628198698E-2</v>
      </c>
      <c r="B221" s="41">
        <f>Portafolio!G221</f>
        <v>-5.8300487686362692E-3</v>
      </c>
      <c r="C221" s="41">
        <f>Portafolio!H221</f>
        <v>1.5648710168294964E-2</v>
      </c>
      <c r="D221" s="41">
        <f>Portafolio!I221</f>
        <v>-6.8259836239331134E-3</v>
      </c>
      <c r="E221" s="41">
        <f>Portafolio!J221</f>
        <v>1.0127250857668788E-2</v>
      </c>
    </row>
    <row r="222" spans="1:5" x14ac:dyDescent="0.2">
      <c r="A222" s="41">
        <f>Portafolio!F222</f>
        <v>1.6109449297697549E-2</v>
      </c>
      <c r="B222" s="41">
        <f>Portafolio!G222</f>
        <v>-2.0564271894918324E-3</v>
      </c>
      <c r="C222" s="41">
        <f>Portafolio!H222</f>
        <v>1.6317826996333985E-2</v>
      </c>
      <c r="D222" s="41">
        <f>Portafolio!I222</f>
        <v>-8.4656033871456007E-3</v>
      </c>
      <c r="E222" s="41">
        <f>Portafolio!J222</f>
        <v>7.5382938199312632E-3</v>
      </c>
    </row>
    <row r="223" spans="1:5" x14ac:dyDescent="0.2">
      <c r="A223" s="41">
        <f>Portafolio!F223</f>
        <v>5.7942259479230023E-3</v>
      </c>
      <c r="B223" s="41">
        <f>Portafolio!G223</f>
        <v>2.8463016418229037E-3</v>
      </c>
      <c r="C223" s="41">
        <f>Portafolio!H223</f>
        <v>-6.7059033946733737E-4</v>
      </c>
      <c r="D223" s="41">
        <f>Portafolio!I223</f>
        <v>-7.466713020734231E-3</v>
      </c>
      <c r="E223" s="41">
        <f>Portafolio!J223</f>
        <v>-1.4287613508683536E-3</v>
      </c>
    </row>
    <row r="224" spans="1:5" x14ac:dyDescent="0.2">
      <c r="A224" s="41">
        <f>Portafolio!F224</f>
        <v>2.1389960415288217E-2</v>
      </c>
      <c r="B224" s="41">
        <f>Portafolio!G224</f>
        <v>6.7668210053826762E-3</v>
      </c>
      <c r="C224" s="41">
        <f>Portafolio!H224</f>
        <v>-1.3339105875401823E-2</v>
      </c>
      <c r="D224" s="41">
        <f>Portafolio!I224</f>
        <v>4.8064098657813409E-3</v>
      </c>
      <c r="E224" s="41">
        <f>Portafolio!J224</f>
        <v>2.524626795931211E-4</v>
      </c>
    </row>
    <row r="225" spans="1:5" x14ac:dyDescent="0.2">
      <c r="A225" s="41">
        <f>Portafolio!F225</f>
        <v>6.5176077697273217E-3</v>
      </c>
      <c r="B225" s="41">
        <f>Portafolio!G225</f>
        <v>-1.2626414888283227E-2</v>
      </c>
      <c r="C225" s="41">
        <f>Portafolio!H225</f>
        <v>1.8538643632364745E-3</v>
      </c>
      <c r="D225" s="41">
        <f>Portafolio!I225</f>
        <v>2.1287652308458159E-3</v>
      </c>
      <c r="E225" s="41">
        <f>Portafolio!J225</f>
        <v>2.2806921195845722E-3</v>
      </c>
    </row>
    <row r="226" spans="1:5" x14ac:dyDescent="0.2">
      <c r="A226" s="41">
        <f>Portafolio!F226</f>
        <v>3.7677515857849927E-3</v>
      </c>
      <c r="B226" s="41">
        <f>Portafolio!G226</f>
        <v>-4.2976588916777241E-3</v>
      </c>
      <c r="C226" s="41">
        <f>Portafolio!H226</f>
        <v>1.1918779573079451E-2</v>
      </c>
      <c r="D226" s="41">
        <f>Portafolio!I226</f>
        <v>-5.3176661708070883E-4</v>
      </c>
      <c r="E226" s="41">
        <f>Portafolio!J226</f>
        <v>5.6190817336279212E-3</v>
      </c>
    </row>
    <row r="227" spans="1:5" x14ac:dyDescent="0.2">
      <c r="A227" s="41">
        <f>Portafolio!F227</f>
        <v>1.8628964806476703E-2</v>
      </c>
      <c r="B227" s="41">
        <f>Portafolio!G227</f>
        <v>2.2307689124128954E-3</v>
      </c>
      <c r="C227" s="41">
        <f>Portafolio!H227</f>
        <v>8.1841949890559102E-4</v>
      </c>
      <c r="D227" s="41">
        <f>Portafolio!I227</f>
        <v>1.1701116052050159E-2</v>
      </c>
      <c r="E227" s="41">
        <f>Portafolio!J227</f>
        <v>7.9335707443179103E-3</v>
      </c>
    </row>
    <row r="228" spans="1:5" x14ac:dyDescent="0.2">
      <c r="A228" s="41">
        <f>Portafolio!F228</f>
        <v>-2.3494672238777499E-2</v>
      </c>
      <c r="B228" s="41">
        <f>Portafolio!G228</f>
        <v>4.2880396046633875E-3</v>
      </c>
      <c r="C228" s="41">
        <f>Portafolio!H228</f>
        <v>-1.6857607845247413E-3</v>
      </c>
      <c r="D228" s="41">
        <f>Portafolio!I228</f>
        <v>6.3830534173032645E-3</v>
      </c>
      <c r="E228" s="41">
        <f>Portafolio!J228</f>
        <v>-3.1882183674978876E-3</v>
      </c>
    </row>
    <row r="229" spans="1:5" x14ac:dyDescent="0.2">
      <c r="A229" s="41">
        <f>Portafolio!F229</f>
        <v>1.2966442042243119E-2</v>
      </c>
      <c r="B229" s="41">
        <f>Portafolio!G229</f>
        <v>9.4638404252588466E-3</v>
      </c>
      <c r="C229" s="41">
        <f>Portafolio!H229</f>
        <v>-1.2173069187035165E-2</v>
      </c>
      <c r="D229" s="41">
        <f>Portafolio!I229</f>
        <v>-2.6547400778527642E-3</v>
      </c>
      <c r="E229" s="41">
        <f>Portafolio!J229</f>
        <v>-3.2108914361595976E-3</v>
      </c>
    </row>
    <row r="230" spans="1:5" x14ac:dyDescent="0.2">
      <c r="A230" s="41">
        <f>Portafolio!F230</f>
        <v>1.6604708169325119E-2</v>
      </c>
      <c r="B230" s="41">
        <f>Portafolio!G230</f>
        <v>-4.563000564764429E-3</v>
      </c>
      <c r="C230" s="41">
        <f>Portafolio!H230</f>
        <v>2.4628348767179134E-2</v>
      </c>
      <c r="D230" s="41">
        <f>Portafolio!I230</f>
        <v>-1.2302856764034255E-2</v>
      </c>
      <c r="E230" s="41">
        <f>Portafolio!J230</f>
        <v>9.9341262330881665E-3</v>
      </c>
    </row>
    <row r="231" spans="1:5" x14ac:dyDescent="0.2">
      <c r="A231" s="41">
        <f>Portafolio!F231</f>
        <v>1.7902506232981147E-3</v>
      </c>
      <c r="B231" s="41">
        <f>Portafolio!G231</f>
        <v>1.3471334993176645E-2</v>
      </c>
      <c r="C231" s="41">
        <f>Portafolio!H231</f>
        <v>1.6853100357796223E-2</v>
      </c>
      <c r="D231" s="41">
        <f>Portafolio!I231</f>
        <v>1.4427180508327499E-2</v>
      </c>
      <c r="E231" s="41">
        <f>Portafolio!J231</f>
        <v>1.2930786652298042E-2</v>
      </c>
    </row>
    <row r="232" spans="1:5" x14ac:dyDescent="0.2">
      <c r="A232" s="41">
        <f>Portafolio!F232</f>
        <v>-2.5621428783056767E-2</v>
      </c>
      <c r="B232" s="41">
        <f>Portafolio!G232</f>
        <v>1.4519903364922418E-2</v>
      </c>
      <c r="C232" s="41">
        <f>Portafolio!H232</f>
        <v>1.5099360369527649E-2</v>
      </c>
      <c r="D232" s="41">
        <f>Portafolio!I232</f>
        <v>1.631185864869468E-2</v>
      </c>
      <c r="E232" s="41">
        <f>Portafolio!J232</f>
        <v>7.3499755161991831E-3</v>
      </c>
    </row>
    <row r="233" spans="1:5" x14ac:dyDescent="0.2">
      <c r="A233" s="41">
        <f>Portafolio!F233</f>
        <v>-2.074860964039351E-2</v>
      </c>
      <c r="B233" s="41">
        <f>Portafolio!G233</f>
        <v>-3.067024540397419E-4</v>
      </c>
      <c r="C233" s="41">
        <f>Portafolio!H233</f>
        <v>-3.2285803587666854E-2</v>
      </c>
      <c r="D233" s="41">
        <f>Portafolio!I233</f>
        <v>-5.2205691605959625E-4</v>
      </c>
      <c r="E233" s="41">
        <f>Portafolio!J233</f>
        <v>-1.8442864318895778E-2</v>
      </c>
    </row>
    <row r="234" spans="1:5" x14ac:dyDescent="0.2">
      <c r="A234" s="41">
        <f>Portafolio!F234</f>
        <v>5.7973336916425204E-4</v>
      </c>
      <c r="B234" s="41">
        <f>Portafolio!G234</f>
        <v>1.5327868988235308E-3</v>
      </c>
      <c r="C234" s="41">
        <f>Portafolio!H234</f>
        <v>-9.5291127080258486E-4</v>
      </c>
      <c r="D234" s="41">
        <f>Portafolio!I234</f>
        <v>-1.5677557021459298E-3</v>
      </c>
      <c r="E234" s="41">
        <f>Portafolio!J234</f>
        <v>-7.4407325693876371E-4</v>
      </c>
    </row>
    <row r="235" spans="1:5" x14ac:dyDescent="0.2">
      <c r="A235" s="41">
        <f>Portafolio!F235</f>
        <v>-1.5614861566389346E-3</v>
      </c>
      <c r="B235" s="41">
        <f>Portafolio!G235</f>
        <v>-7.9964136377382936E-3</v>
      </c>
      <c r="C235" s="41">
        <f>Portafolio!H235</f>
        <v>2.3806134291241197E-3</v>
      </c>
      <c r="D235" s="41">
        <f>Portafolio!I235</f>
        <v>-3.0265224779422156E-2</v>
      </c>
      <c r="E235" s="41">
        <f>Portafolio!J235</f>
        <v>-9.3505627056765638E-3</v>
      </c>
    </row>
    <row r="236" spans="1:5" x14ac:dyDescent="0.2">
      <c r="A236" s="41">
        <f>Portafolio!F236</f>
        <v>4.6772962161707281E-3</v>
      </c>
      <c r="B236" s="41">
        <f>Portafolio!G236</f>
        <v>2.9291935822486634E-3</v>
      </c>
      <c r="C236" s="41">
        <f>Portafolio!H236</f>
        <v>2.3776420016967354E-4</v>
      </c>
      <c r="D236" s="41">
        <f>Portafolio!I236</f>
        <v>-1.8498896320453713E-2</v>
      </c>
      <c r="E236" s="41">
        <f>Portafolio!J236</f>
        <v>-4.8061966522968758E-3</v>
      </c>
    </row>
    <row r="237" spans="1:5" x14ac:dyDescent="0.2">
      <c r="A237" s="41">
        <f>Portafolio!F237</f>
        <v>-2.9175802186708118E-2</v>
      </c>
      <c r="B237" s="41">
        <f>Portafolio!G237</f>
        <v>1.3000091618175304E-2</v>
      </c>
      <c r="C237" s="41">
        <f>Portafolio!H237</f>
        <v>-8.307151793191617E-3</v>
      </c>
      <c r="D237" s="41">
        <f>Portafolio!I237</f>
        <v>5.0853933718081321E-2</v>
      </c>
      <c r="E237" s="41">
        <f>Portafolio!J237</f>
        <v>7.4708774925135567E-3</v>
      </c>
    </row>
    <row r="238" spans="1:5" x14ac:dyDescent="0.2">
      <c r="A238" s="41">
        <f>Portafolio!F238</f>
        <v>-4.8161042901711899E-3</v>
      </c>
      <c r="B238" s="41">
        <f>Portafolio!G238</f>
        <v>3.943013964285107E-3</v>
      </c>
      <c r="C238" s="41">
        <f>Portafolio!H238</f>
        <v>3.8346355812063522E-4</v>
      </c>
      <c r="D238" s="41">
        <f>Portafolio!I238</f>
        <v>1.564589587366755E-3</v>
      </c>
      <c r="E238" s="41">
        <f>Portafolio!J238</f>
        <v>-1.268790252661004E-4</v>
      </c>
    </row>
    <row r="239" spans="1:5" x14ac:dyDescent="0.2">
      <c r="A239" s="41">
        <f>Portafolio!F239</f>
        <v>2.1586660116600692E-3</v>
      </c>
      <c r="B239" s="41">
        <f>Portafolio!G239</f>
        <v>1.4723868428621712E-2</v>
      </c>
      <c r="C239" s="41">
        <f>Portafolio!H239</f>
        <v>1.6963686226937915E-2</v>
      </c>
      <c r="D239" s="41">
        <f>Portafolio!I239</f>
        <v>-9.4242056297434203E-3</v>
      </c>
      <c r="E239" s="41">
        <f>Portafolio!J239</f>
        <v>5.4165309214539853E-3</v>
      </c>
    </row>
    <row r="240" spans="1:5" x14ac:dyDescent="0.2">
      <c r="A240" s="41">
        <f>Portafolio!F240</f>
        <v>1.2838228252665619E-3</v>
      </c>
      <c r="B240" s="41">
        <f>Portafolio!G240</f>
        <v>-3.2865430207580882E-3</v>
      </c>
      <c r="C240" s="41">
        <f>Portafolio!H240</f>
        <v>-6.5707247389028478E-3</v>
      </c>
      <c r="D240" s="41">
        <f>Portafolio!I240</f>
        <v>-5.8032344347412621E-3</v>
      </c>
      <c r="E240" s="41">
        <f>Portafolio!J240</f>
        <v>-4.6236682109694312E-3</v>
      </c>
    </row>
    <row r="241" spans="1:5" x14ac:dyDescent="0.2">
      <c r="A241" s="41">
        <f>Portafolio!F241</f>
        <v>2.562716177992965E-3</v>
      </c>
      <c r="B241" s="41">
        <f>Portafolio!G241</f>
        <v>1.2638603848310002E-2</v>
      </c>
      <c r="C241" s="41">
        <f>Portafolio!H241</f>
        <v>2.0374359451747755E-2</v>
      </c>
      <c r="D241" s="41">
        <f>Portafolio!I241</f>
        <v>4.2238711161852434E-3</v>
      </c>
      <c r="E241" s="41">
        <f>Portafolio!J241</f>
        <v>1.1302957996588921E-2</v>
      </c>
    </row>
    <row r="242" spans="1:5" x14ac:dyDescent="0.2">
      <c r="A242" s="41">
        <f>Portafolio!F242</f>
        <v>1.4879566390620118E-2</v>
      </c>
      <c r="B242" s="41">
        <f>Portafolio!G242</f>
        <v>-1.3986271941776691E-2</v>
      </c>
      <c r="C242" s="41">
        <f>Portafolio!H242</f>
        <v>-1.1168596535331227E-2</v>
      </c>
      <c r="D242" s="41">
        <f>Portafolio!I242</f>
        <v>1.4125267552011362E-2</v>
      </c>
      <c r="E242" s="41">
        <f>Portafolio!J242</f>
        <v>2.0604099270030768E-3</v>
      </c>
    </row>
    <row r="243" spans="1:5" x14ac:dyDescent="0.2">
      <c r="A243" s="41">
        <f>Portafolio!F243</f>
        <v>-1.6892595276606047E-2</v>
      </c>
      <c r="B243" s="41">
        <f>Portafolio!G243</f>
        <v>1.8114838733001931E-2</v>
      </c>
      <c r="C243" s="41">
        <f>Portafolio!H243</f>
        <v>-2.300698438939985E-2</v>
      </c>
      <c r="D243" s="41">
        <f>Portafolio!I243</f>
        <v>1.1363707289245462E-2</v>
      </c>
      <c r="E243" s="41">
        <f>Portafolio!J243</f>
        <v>-9.0313379470935082E-3</v>
      </c>
    </row>
    <row r="244" spans="1:5" x14ac:dyDescent="0.2">
      <c r="A244" s="41">
        <f>Portafolio!F244</f>
        <v>6.8458769114516189E-3</v>
      </c>
      <c r="B244" s="41">
        <f>Portafolio!G244</f>
        <v>1.9958459712746134E-2</v>
      </c>
      <c r="C244" s="41">
        <f>Portafolio!H244</f>
        <v>-4.3337697237488322E-2</v>
      </c>
      <c r="D244" s="41">
        <f>Portafolio!I244</f>
        <v>-5.1492389779095047E-3</v>
      </c>
      <c r="E244" s="41">
        <f>Portafolio!J244</f>
        <v>-1.8442118775569206E-2</v>
      </c>
    </row>
    <row r="245" spans="1:5" x14ac:dyDescent="0.2">
      <c r="A245" s="41">
        <f>Portafolio!F245</f>
        <v>-4.936563304839342E-2</v>
      </c>
      <c r="B245" s="41">
        <f>Portafolio!G245</f>
        <v>-1.7900558015048668E-2</v>
      </c>
      <c r="C245" s="41">
        <f>Portafolio!H245</f>
        <v>-2.1521514209848672E-2</v>
      </c>
      <c r="D245" s="41">
        <f>Portafolio!I245</f>
        <v>-2.4034646374763047E-2</v>
      </c>
      <c r="E245" s="41">
        <f>Portafolio!J245</f>
        <v>-2.7733529487892108E-2</v>
      </c>
    </row>
    <row r="246" spans="1:5" x14ac:dyDescent="0.2">
      <c r="A246" s="41">
        <f>Portafolio!F246</f>
        <v>-9.7960810695936606E-3</v>
      </c>
      <c r="B246" s="41">
        <f>Portafolio!G246</f>
        <v>-7.3441060418495512E-4</v>
      </c>
      <c r="C246" s="41">
        <f>Portafolio!H246</f>
        <v>2.7529327489063685E-2</v>
      </c>
      <c r="D246" s="41">
        <f>Portafolio!I246</f>
        <v>1.4698479459715275E-2</v>
      </c>
      <c r="E246" s="41">
        <f>Portafolio!J246</f>
        <v>1.4800001087777872E-2</v>
      </c>
    </row>
    <row r="247" spans="1:5" x14ac:dyDescent="0.2">
      <c r="A247" s="41">
        <f>Portafolio!F247</f>
        <v>1.2420806909965328E-2</v>
      </c>
      <c r="B247" s="41">
        <f>Portafolio!G247</f>
        <v>6.0068453122636119E-3</v>
      </c>
      <c r="C247" s="41">
        <f>Portafolio!H247</f>
        <v>2.9943605302915484E-4</v>
      </c>
      <c r="D247" s="41">
        <f>Portafolio!I247</f>
        <v>3.1216986037119246E-3</v>
      </c>
      <c r="E247" s="41">
        <f>Portafolio!J247</f>
        <v>3.8581674049941042E-3</v>
      </c>
    </row>
    <row r="248" spans="1:5" x14ac:dyDescent="0.2">
      <c r="A248" s="41">
        <f>Portafolio!F248</f>
        <v>1.6496471649674511E-2</v>
      </c>
      <c r="B248" s="41">
        <f>Portafolio!G248</f>
        <v>3.9362102876051566E-3</v>
      </c>
      <c r="C248" s="41">
        <f>Portafolio!H248</f>
        <v>1.8098719175530638E-2</v>
      </c>
      <c r="D248" s="41">
        <f>Portafolio!I248</f>
        <v>7.7620053354891094E-3</v>
      </c>
      <c r="E248" s="41">
        <f>Portafolio!J248</f>
        <v>1.3869491248963698E-2</v>
      </c>
    </row>
    <row r="249" spans="1:5" x14ac:dyDescent="0.2">
      <c r="A249" s="41">
        <f>Portafolio!F249</f>
        <v>1.3642429865120695E-2</v>
      </c>
      <c r="B249" s="41">
        <f>Portafolio!G249</f>
        <v>-7.2779275329949461E-4</v>
      </c>
      <c r="C249" s="41">
        <f>Portafolio!H249</f>
        <v>8.4907795310884548E-3</v>
      </c>
      <c r="D249" s="41">
        <f>Portafolio!I249</f>
        <v>4.6284474501869788E-3</v>
      </c>
      <c r="E249" s="41">
        <f>Portafolio!J249</f>
        <v>7.8963206893990952E-3</v>
      </c>
    </row>
    <row r="250" spans="1:5" x14ac:dyDescent="0.2">
      <c r="A250" s="41">
        <f>Portafolio!F250</f>
        <v>7.1046339891622338E-3</v>
      </c>
      <c r="B250" s="41">
        <f>Portafolio!G250</f>
        <v>-7.4534799929999399E-3</v>
      </c>
      <c r="C250" s="41">
        <f>Portafolio!H250</f>
        <v>1.8932455242062468E-3</v>
      </c>
      <c r="D250" s="41">
        <f>Portafolio!I250</f>
        <v>-3.0832501301206196E-3</v>
      </c>
      <c r="E250" s="41">
        <f>Portafolio!J250</f>
        <v>9.4636874937287512E-4</v>
      </c>
    </row>
    <row r="251" spans="1:5" x14ac:dyDescent="0.2">
      <c r="A251" s="41">
        <f>Portafolio!F251</f>
        <v>1.7046925905757491E-2</v>
      </c>
      <c r="B251" s="41">
        <f>Portafolio!G251</f>
        <v>4.2450624586943594E-3</v>
      </c>
      <c r="C251" s="41">
        <f>Portafolio!H251</f>
        <v>8.4515026665683331E-3</v>
      </c>
      <c r="D251" s="41">
        <f>Portafolio!I251</f>
        <v>4.6213175955976916E-3</v>
      </c>
      <c r="E251" s="41">
        <f>Portafolio!J251</f>
        <v>8.7585088603336341E-3</v>
      </c>
    </row>
    <row r="252" spans="1:5" x14ac:dyDescent="0.2">
      <c r="A252" s="41">
        <f>Portafolio!F252</f>
        <v>2.0316357014954671E-3</v>
      </c>
      <c r="B252" s="41">
        <f>Portafolio!G252</f>
        <v>1.751357702825767E-3</v>
      </c>
      <c r="C252" s="41">
        <f>Portafolio!H252</f>
        <v>1.1000172910606301E-2</v>
      </c>
      <c r="D252" s="41">
        <f>Portafolio!I252</f>
        <v>5.6193763609869146E-3</v>
      </c>
      <c r="E252" s="41">
        <f>Portafolio!J252</f>
        <v>7.100633959377595E-3</v>
      </c>
    </row>
    <row r="253" spans="1:5" x14ac:dyDescent="0.2">
      <c r="A253" s="41">
        <f>Portafolio!F253</f>
        <v>1.3439858184173351E-2</v>
      </c>
      <c r="B253" s="41">
        <f>Portafolio!G253</f>
        <v>1.0201851494693278E-3</v>
      </c>
      <c r="C253" s="41">
        <f>Portafolio!H253</f>
        <v>6.2116322685317679E-3</v>
      </c>
      <c r="D253" s="41">
        <f>Portafolio!I253</f>
        <v>-2.7894319608277238E-2</v>
      </c>
      <c r="E253" s="41">
        <f>Portafolio!J253</f>
        <v>-3.5518828260112257E-3</v>
      </c>
    </row>
    <row r="254" spans="1:5" x14ac:dyDescent="0.2">
      <c r="A254" s="41">
        <f>Portafolio!F254</f>
        <v>5.9010397660438866E-3</v>
      </c>
      <c r="B254" s="41">
        <f>Portafolio!G254</f>
        <v>7.6906421617582866E-3</v>
      </c>
      <c r="C254" s="41">
        <f>Portafolio!H254</f>
        <v>1.1374431605290789E-2</v>
      </c>
      <c r="D254" s="41">
        <f>Portafolio!I254</f>
        <v>1.3010852287492039E-2</v>
      </c>
      <c r="E254" s="41">
        <f>Portafolio!J254</f>
        <v>1.0660442740112026E-2</v>
      </c>
    </row>
  </sheetData>
  <mergeCells count="4">
    <mergeCell ref="A1:E1"/>
    <mergeCell ref="G2:L3"/>
    <mergeCell ref="G11:H11"/>
    <mergeCell ref="G16:H1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4ABB5-67C5-484B-8D87-9B4BDAA9B460}">
  <sheetPr>
    <tabColor theme="7" tint="0.79998168889431442"/>
    <pageSetUpPr fitToPage="1"/>
  </sheetPr>
  <dimension ref="B1:N47"/>
  <sheetViews>
    <sheetView workbookViewId="0">
      <selection activeCell="I24" sqref="I24"/>
    </sheetView>
  </sheetViews>
  <sheetFormatPr baseColWidth="10" defaultColWidth="9.1640625" defaultRowHeight="12" x14ac:dyDescent="0.15"/>
  <cols>
    <col min="1" max="1" width="2.6640625" style="56" customWidth="1"/>
    <col min="2" max="4" width="9.1640625" style="56"/>
    <col min="5" max="5" width="10.33203125" style="56" customWidth="1"/>
    <col min="6" max="8" width="9.1640625" style="56"/>
    <col min="9" max="9" width="10.33203125" style="56" customWidth="1"/>
    <col min="10" max="12" width="9.1640625" style="56"/>
    <col min="13" max="13" width="10.33203125" style="56" customWidth="1"/>
    <col min="14" max="256" width="9.1640625" style="56"/>
    <col min="257" max="257" width="2.6640625" style="56" customWidth="1"/>
    <col min="258" max="260" width="9.1640625" style="56"/>
    <col min="261" max="261" width="10.33203125" style="56" customWidth="1"/>
    <col min="262" max="264" width="9.1640625" style="56"/>
    <col min="265" max="265" width="10.33203125" style="56" customWidth="1"/>
    <col min="266" max="268" width="9.1640625" style="56"/>
    <col min="269" max="269" width="10.33203125" style="56" customWidth="1"/>
    <col min="270" max="512" width="9.1640625" style="56"/>
    <col min="513" max="513" width="2.6640625" style="56" customWidth="1"/>
    <col min="514" max="516" width="9.1640625" style="56"/>
    <col min="517" max="517" width="10.33203125" style="56" customWidth="1"/>
    <col min="518" max="520" width="9.1640625" style="56"/>
    <col min="521" max="521" width="10.33203125" style="56" customWidth="1"/>
    <col min="522" max="524" width="9.1640625" style="56"/>
    <col min="525" max="525" width="10.33203125" style="56" customWidth="1"/>
    <col min="526" max="768" width="9.1640625" style="56"/>
    <col min="769" max="769" width="2.6640625" style="56" customWidth="1"/>
    <col min="770" max="772" width="9.1640625" style="56"/>
    <col min="773" max="773" width="10.33203125" style="56" customWidth="1"/>
    <col min="774" max="776" width="9.1640625" style="56"/>
    <col min="777" max="777" width="10.33203125" style="56" customWidth="1"/>
    <col min="778" max="780" width="9.1640625" style="56"/>
    <col min="781" max="781" width="10.33203125" style="56" customWidth="1"/>
    <col min="782" max="1024" width="9.1640625" style="56"/>
    <col min="1025" max="1025" width="2.6640625" style="56" customWidth="1"/>
    <col min="1026" max="1028" width="9.1640625" style="56"/>
    <col min="1029" max="1029" width="10.33203125" style="56" customWidth="1"/>
    <col min="1030" max="1032" width="9.1640625" style="56"/>
    <col min="1033" max="1033" width="10.33203125" style="56" customWidth="1"/>
    <col min="1034" max="1036" width="9.1640625" style="56"/>
    <col min="1037" max="1037" width="10.33203125" style="56" customWidth="1"/>
    <col min="1038" max="1280" width="9.1640625" style="56"/>
    <col min="1281" max="1281" width="2.6640625" style="56" customWidth="1"/>
    <col min="1282" max="1284" width="9.1640625" style="56"/>
    <col min="1285" max="1285" width="10.33203125" style="56" customWidth="1"/>
    <col min="1286" max="1288" width="9.1640625" style="56"/>
    <col min="1289" max="1289" width="10.33203125" style="56" customWidth="1"/>
    <col min="1290" max="1292" width="9.1640625" style="56"/>
    <col min="1293" max="1293" width="10.33203125" style="56" customWidth="1"/>
    <col min="1294" max="1536" width="9.1640625" style="56"/>
    <col min="1537" max="1537" width="2.6640625" style="56" customWidth="1"/>
    <col min="1538" max="1540" width="9.1640625" style="56"/>
    <col min="1541" max="1541" width="10.33203125" style="56" customWidth="1"/>
    <col min="1542" max="1544" width="9.1640625" style="56"/>
    <col min="1545" max="1545" width="10.33203125" style="56" customWidth="1"/>
    <col min="1546" max="1548" width="9.1640625" style="56"/>
    <col min="1549" max="1549" width="10.33203125" style="56" customWidth="1"/>
    <col min="1550" max="1792" width="9.1640625" style="56"/>
    <col min="1793" max="1793" width="2.6640625" style="56" customWidth="1"/>
    <col min="1794" max="1796" width="9.1640625" style="56"/>
    <col min="1797" max="1797" width="10.33203125" style="56" customWidth="1"/>
    <col min="1798" max="1800" width="9.1640625" style="56"/>
    <col min="1801" max="1801" width="10.33203125" style="56" customWidth="1"/>
    <col min="1802" max="1804" width="9.1640625" style="56"/>
    <col min="1805" max="1805" width="10.33203125" style="56" customWidth="1"/>
    <col min="1806" max="2048" width="9.1640625" style="56"/>
    <col min="2049" max="2049" width="2.6640625" style="56" customWidth="1"/>
    <col min="2050" max="2052" width="9.1640625" style="56"/>
    <col min="2053" max="2053" width="10.33203125" style="56" customWidth="1"/>
    <col min="2054" max="2056" width="9.1640625" style="56"/>
    <col min="2057" max="2057" width="10.33203125" style="56" customWidth="1"/>
    <col min="2058" max="2060" width="9.1640625" style="56"/>
    <col min="2061" max="2061" width="10.33203125" style="56" customWidth="1"/>
    <col min="2062" max="2304" width="9.1640625" style="56"/>
    <col min="2305" max="2305" width="2.6640625" style="56" customWidth="1"/>
    <col min="2306" max="2308" width="9.1640625" style="56"/>
    <col min="2309" max="2309" width="10.33203125" style="56" customWidth="1"/>
    <col min="2310" max="2312" width="9.1640625" style="56"/>
    <col min="2313" max="2313" width="10.33203125" style="56" customWidth="1"/>
    <col min="2314" max="2316" width="9.1640625" style="56"/>
    <col min="2317" max="2317" width="10.33203125" style="56" customWidth="1"/>
    <col min="2318" max="2560" width="9.1640625" style="56"/>
    <col min="2561" max="2561" width="2.6640625" style="56" customWidth="1"/>
    <col min="2562" max="2564" width="9.1640625" style="56"/>
    <col min="2565" max="2565" width="10.33203125" style="56" customWidth="1"/>
    <col min="2566" max="2568" width="9.1640625" style="56"/>
    <col min="2569" max="2569" width="10.33203125" style="56" customWidth="1"/>
    <col min="2570" max="2572" width="9.1640625" style="56"/>
    <col min="2573" max="2573" width="10.33203125" style="56" customWidth="1"/>
    <col min="2574" max="2816" width="9.1640625" style="56"/>
    <col min="2817" max="2817" width="2.6640625" style="56" customWidth="1"/>
    <col min="2818" max="2820" width="9.1640625" style="56"/>
    <col min="2821" max="2821" width="10.33203125" style="56" customWidth="1"/>
    <col min="2822" max="2824" width="9.1640625" style="56"/>
    <col min="2825" max="2825" width="10.33203125" style="56" customWidth="1"/>
    <col min="2826" max="2828" width="9.1640625" style="56"/>
    <col min="2829" max="2829" width="10.33203125" style="56" customWidth="1"/>
    <col min="2830" max="3072" width="9.1640625" style="56"/>
    <col min="3073" max="3073" width="2.6640625" style="56" customWidth="1"/>
    <col min="3074" max="3076" width="9.1640625" style="56"/>
    <col min="3077" max="3077" width="10.33203125" style="56" customWidth="1"/>
    <col min="3078" max="3080" width="9.1640625" style="56"/>
    <col min="3081" max="3081" width="10.33203125" style="56" customWidth="1"/>
    <col min="3082" max="3084" width="9.1640625" style="56"/>
    <col min="3085" max="3085" width="10.33203125" style="56" customWidth="1"/>
    <col min="3086" max="3328" width="9.1640625" style="56"/>
    <col min="3329" max="3329" width="2.6640625" style="56" customWidth="1"/>
    <col min="3330" max="3332" width="9.1640625" style="56"/>
    <col min="3333" max="3333" width="10.33203125" style="56" customWidth="1"/>
    <col min="3334" max="3336" width="9.1640625" style="56"/>
    <col min="3337" max="3337" width="10.33203125" style="56" customWidth="1"/>
    <col min="3338" max="3340" width="9.1640625" style="56"/>
    <col min="3341" max="3341" width="10.33203125" style="56" customWidth="1"/>
    <col min="3342" max="3584" width="9.1640625" style="56"/>
    <col min="3585" max="3585" width="2.6640625" style="56" customWidth="1"/>
    <col min="3586" max="3588" width="9.1640625" style="56"/>
    <col min="3589" max="3589" width="10.33203125" style="56" customWidth="1"/>
    <col min="3590" max="3592" width="9.1640625" style="56"/>
    <col min="3593" max="3593" width="10.33203125" style="56" customWidth="1"/>
    <col min="3594" max="3596" width="9.1640625" style="56"/>
    <col min="3597" max="3597" width="10.33203125" style="56" customWidth="1"/>
    <col min="3598" max="3840" width="9.1640625" style="56"/>
    <col min="3841" max="3841" width="2.6640625" style="56" customWidth="1"/>
    <col min="3842" max="3844" width="9.1640625" style="56"/>
    <col min="3845" max="3845" width="10.33203125" style="56" customWidth="1"/>
    <col min="3846" max="3848" width="9.1640625" style="56"/>
    <col min="3849" max="3849" width="10.33203125" style="56" customWidth="1"/>
    <col min="3850" max="3852" width="9.1640625" style="56"/>
    <col min="3853" max="3853" width="10.33203125" style="56" customWidth="1"/>
    <col min="3854" max="4096" width="9.1640625" style="56"/>
    <col min="4097" max="4097" width="2.6640625" style="56" customWidth="1"/>
    <col min="4098" max="4100" width="9.1640625" style="56"/>
    <col min="4101" max="4101" width="10.33203125" style="56" customWidth="1"/>
    <col min="4102" max="4104" width="9.1640625" style="56"/>
    <col min="4105" max="4105" width="10.33203125" style="56" customWidth="1"/>
    <col min="4106" max="4108" width="9.1640625" style="56"/>
    <col min="4109" max="4109" width="10.33203125" style="56" customWidth="1"/>
    <col min="4110" max="4352" width="9.1640625" style="56"/>
    <col min="4353" max="4353" width="2.6640625" style="56" customWidth="1"/>
    <col min="4354" max="4356" width="9.1640625" style="56"/>
    <col min="4357" max="4357" width="10.33203125" style="56" customWidth="1"/>
    <col min="4358" max="4360" width="9.1640625" style="56"/>
    <col min="4361" max="4361" width="10.33203125" style="56" customWidth="1"/>
    <col min="4362" max="4364" width="9.1640625" style="56"/>
    <col min="4365" max="4365" width="10.33203125" style="56" customWidth="1"/>
    <col min="4366" max="4608" width="9.1640625" style="56"/>
    <col min="4609" max="4609" width="2.6640625" style="56" customWidth="1"/>
    <col min="4610" max="4612" width="9.1640625" style="56"/>
    <col min="4613" max="4613" width="10.33203125" style="56" customWidth="1"/>
    <col min="4614" max="4616" width="9.1640625" style="56"/>
    <col min="4617" max="4617" width="10.33203125" style="56" customWidth="1"/>
    <col min="4618" max="4620" width="9.1640625" style="56"/>
    <col min="4621" max="4621" width="10.33203125" style="56" customWidth="1"/>
    <col min="4622" max="4864" width="9.1640625" style="56"/>
    <col min="4865" max="4865" width="2.6640625" style="56" customWidth="1"/>
    <col min="4866" max="4868" width="9.1640625" style="56"/>
    <col min="4869" max="4869" width="10.33203125" style="56" customWidth="1"/>
    <col min="4870" max="4872" width="9.1640625" style="56"/>
    <col min="4873" max="4873" width="10.33203125" style="56" customWidth="1"/>
    <col min="4874" max="4876" width="9.1640625" style="56"/>
    <col min="4877" max="4877" width="10.33203125" style="56" customWidth="1"/>
    <col min="4878" max="5120" width="9.1640625" style="56"/>
    <col min="5121" max="5121" width="2.6640625" style="56" customWidth="1"/>
    <col min="5122" max="5124" width="9.1640625" style="56"/>
    <col min="5125" max="5125" width="10.33203125" style="56" customWidth="1"/>
    <col min="5126" max="5128" width="9.1640625" style="56"/>
    <col min="5129" max="5129" width="10.33203125" style="56" customWidth="1"/>
    <col min="5130" max="5132" width="9.1640625" style="56"/>
    <col min="5133" max="5133" width="10.33203125" style="56" customWidth="1"/>
    <col min="5134" max="5376" width="9.1640625" style="56"/>
    <col min="5377" max="5377" width="2.6640625" style="56" customWidth="1"/>
    <col min="5378" max="5380" width="9.1640625" style="56"/>
    <col min="5381" max="5381" width="10.33203125" style="56" customWidth="1"/>
    <col min="5382" max="5384" width="9.1640625" style="56"/>
    <col min="5385" max="5385" width="10.33203125" style="56" customWidth="1"/>
    <col min="5386" max="5388" width="9.1640625" style="56"/>
    <col min="5389" max="5389" width="10.33203125" style="56" customWidth="1"/>
    <col min="5390" max="5632" width="9.1640625" style="56"/>
    <col min="5633" max="5633" width="2.6640625" style="56" customWidth="1"/>
    <col min="5634" max="5636" width="9.1640625" style="56"/>
    <col min="5637" max="5637" width="10.33203125" style="56" customWidth="1"/>
    <col min="5638" max="5640" width="9.1640625" style="56"/>
    <col min="5641" max="5641" width="10.33203125" style="56" customWidth="1"/>
    <col min="5642" max="5644" width="9.1640625" style="56"/>
    <col min="5645" max="5645" width="10.33203125" style="56" customWidth="1"/>
    <col min="5646" max="5888" width="9.1640625" style="56"/>
    <col min="5889" max="5889" width="2.6640625" style="56" customWidth="1"/>
    <col min="5890" max="5892" width="9.1640625" style="56"/>
    <col min="5893" max="5893" width="10.33203125" style="56" customWidth="1"/>
    <col min="5894" max="5896" width="9.1640625" style="56"/>
    <col min="5897" max="5897" width="10.33203125" style="56" customWidth="1"/>
    <col min="5898" max="5900" width="9.1640625" style="56"/>
    <col min="5901" max="5901" width="10.33203125" style="56" customWidth="1"/>
    <col min="5902" max="6144" width="9.1640625" style="56"/>
    <col min="6145" max="6145" width="2.6640625" style="56" customWidth="1"/>
    <col min="6146" max="6148" width="9.1640625" style="56"/>
    <col min="6149" max="6149" width="10.33203125" style="56" customWidth="1"/>
    <col min="6150" max="6152" width="9.1640625" style="56"/>
    <col min="6153" max="6153" width="10.33203125" style="56" customWidth="1"/>
    <col min="6154" max="6156" width="9.1640625" style="56"/>
    <col min="6157" max="6157" width="10.33203125" style="56" customWidth="1"/>
    <col min="6158" max="6400" width="9.1640625" style="56"/>
    <col min="6401" max="6401" width="2.6640625" style="56" customWidth="1"/>
    <col min="6402" max="6404" width="9.1640625" style="56"/>
    <col min="6405" max="6405" width="10.33203125" style="56" customWidth="1"/>
    <col min="6406" max="6408" width="9.1640625" style="56"/>
    <col min="6409" max="6409" width="10.33203125" style="56" customWidth="1"/>
    <col min="6410" max="6412" width="9.1640625" style="56"/>
    <col min="6413" max="6413" width="10.33203125" style="56" customWidth="1"/>
    <col min="6414" max="6656" width="9.1640625" style="56"/>
    <col min="6657" max="6657" width="2.6640625" style="56" customWidth="1"/>
    <col min="6658" max="6660" width="9.1640625" style="56"/>
    <col min="6661" max="6661" width="10.33203125" style="56" customWidth="1"/>
    <col min="6662" max="6664" width="9.1640625" style="56"/>
    <col min="6665" max="6665" width="10.33203125" style="56" customWidth="1"/>
    <col min="6666" max="6668" width="9.1640625" style="56"/>
    <col min="6669" max="6669" width="10.33203125" style="56" customWidth="1"/>
    <col min="6670" max="6912" width="9.1640625" style="56"/>
    <col min="6913" max="6913" width="2.6640625" style="56" customWidth="1"/>
    <col min="6914" max="6916" width="9.1640625" style="56"/>
    <col min="6917" max="6917" width="10.33203125" style="56" customWidth="1"/>
    <col min="6918" max="6920" width="9.1640625" style="56"/>
    <col min="6921" max="6921" width="10.33203125" style="56" customWidth="1"/>
    <col min="6922" max="6924" width="9.1640625" style="56"/>
    <col min="6925" max="6925" width="10.33203125" style="56" customWidth="1"/>
    <col min="6926" max="7168" width="9.1640625" style="56"/>
    <col min="7169" max="7169" width="2.6640625" style="56" customWidth="1"/>
    <col min="7170" max="7172" width="9.1640625" style="56"/>
    <col min="7173" max="7173" width="10.33203125" style="56" customWidth="1"/>
    <col min="7174" max="7176" width="9.1640625" style="56"/>
    <col min="7177" max="7177" width="10.33203125" style="56" customWidth="1"/>
    <col min="7178" max="7180" width="9.1640625" style="56"/>
    <col min="7181" max="7181" width="10.33203125" style="56" customWidth="1"/>
    <col min="7182" max="7424" width="9.1640625" style="56"/>
    <col min="7425" max="7425" width="2.6640625" style="56" customWidth="1"/>
    <col min="7426" max="7428" width="9.1640625" style="56"/>
    <col min="7429" max="7429" width="10.33203125" style="56" customWidth="1"/>
    <col min="7430" max="7432" width="9.1640625" style="56"/>
    <col min="7433" max="7433" width="10.33203125" style="56" customWidth="1"/>
    <col min="7434" max="7436" width="9.1640625" style="56"/>
    <col min="7437" max="7437" width="10.33203125" style="56" customWidth="1"/>
    <col min="7438" max="7680" width="9.1640625" style="56"/>
    <col min="7681" max="7681" width="2.6640625" style="56" customWidth="1"/>
    <col min="7682" max="7684" width="9.1640625" style="56"/>
    <col min="7685" max="7685" width="10.33203125" style="56" customWidth="1"/>
    <col min="7686" max="7688" width="9.1640625" style="56"/>
    <col min="7689" max="7689" width="10.33203125" style="56" customWidth="1"/>
    <col min="7690" max="7692" width="9.1640625" style="56"/>
    <col min="7693" max="7693" width="10.33203125" style="56" customWidth="1"/>
    <col min="7694" max="7936" width="9.1640625" style="56"/>
    <col min="7937" max="7937" width="2.6640625" style="56" customWidth="1"/>
    <col min="7938" max="7940" width="9.1640625" style="56"/>
    <col min="7941" max="7941" width="10.33203125" style="56" customWidth="1"/>
    <col min="7942" max="7944" width="9.1640625" style="56"/>
    <col min="7945" max="7945" width="10.33203125" style="56" customWidth="1"/>
    <col min="7946" max="7948" width="9.1640625" style="56"/>
    <col min="7949" max="7949" width="10.33203125" style="56" customWidth="1"/>
    <col min="7950" max="8192" width="9.1640625" style="56"/>
    <col min="8193" max="8193" width="2.6640625" style="56" customWidth="1"/>
    <col min="8194" max="8196" width="9.1640625" style="56"/>
    <col min="8197" max="8197" width="10.33203125" style="56" customWidth="1"/>
    <col min="8198" max="8200" width="9.1640625" style="56"/>
    <col min="8201" max="8201" width="10.33203125" style="56" customWidth="1"/>
    <col min="8202" max="8204" width="9.1640625" style="56"/>
    <col min="8205" max="8205" width="10.33203125" style="56" customWidth="1"/>
    <col min="8206" max="8448" width="9.1640625" style="56"/>
    <col min="8449" max="8449" width="2.6640625" style="56" customWidth="1"/>
    <col min="8450" max="8452" width="9.1640625" style="56"/>
    <col min="8453" max="8453" width="10.33203125" style="56" customWidth="1"/>
    <col min="8454" max="8456" width="9.1640625" style="56"/>
    <col min="8457" max="8457" width="10.33203125" style="56" customWidth="1"/>
    <col min="8458" max="8460" width="9.1640625" style="56"/>
    <col min="8461" max="8461" width="10.33203125" style="56" customWidth="1"/>
    <col min="8462" max="8704" width="9.1640625" style="56"/>
    <col min="8705" max="8705" width="2.6640625" style="56" customWidth="1"/>
    <col min="8706" max="8708" width="9.1640625" style="56"/>
    <col min="8709" max="8709" width="10.33203125" style="56" customWidth="1"/>
    <col min="8710" max="8712" width="9.1640625" style="56"/>
    <col min="8713" max="8713" width="10.33203125" style="56" customWidth="1"/>
    <col min="8714" max="8716" width="9.1640625" style="56"/>
    <col min="8717" max="8717" width="10.33203125" style="56" customWidth="1"/>
    <col min="8718" max="8960" width="9.1640625" style="56"/>
    <col min="8961" max="8961" width="2.6640625" style="56" customWidth="1"/>
    <col min="8962" max="8964" width="9.1640625" style="56"/>
    <col min="8965" max="8965" width="10.33203125" style="56" customWidth="1"/>
    <col min="8966" max="8968" width="9.1640625" style="56"/>
    <col min="8969" max="8969" width="10.33203125" style="56" customWidth="1"/>
    <col min="8970" max="8972" width="9.1640625" style="56"/>
    <col min="8973" max="8973" width="10.33203125" style="56" customWidth="1"/>
    <col min="8974" max="9216" width="9.1640625" style="56"/>
    <col min="9217" max="9217" width="2.6640625" style="56" customWidth="1"/>
    <col min="9218" max="9220" width="9.1640625" style="56"/>
    <col min="9221" max="9221" width="10.33203125" style="56" customWidth="1"/>
    <col min="9222" max="9224" width="9.1640625" style="56"/>
    <col min="9225" max="9225" width="10.33203125" style="56" customWidth="1"/>
    <col min="9226" max="9228" width="9.1640625" style="56"/>
    <col min="9229" max="9229" width="10.33203125" style="56" customWidth="1"/>
    <col min="9230" max="9472" width="9.1640625" style="56"/>
    <col min="9473" max="9473" width="2.6640625" style="56" customWidth="1"/>
    <col min="9474" max="9476" width="9.1640625" style="56"/>
    <col min="9477" max="9477" width="10.33203125" style="56" customWidth="1"/>
    <col min="9478" max="9480" width="9.1640625" style="56"/>
    <col min="9481" max="9481" width="10.33203125" style="56" customWidth="1"/>
    <col min="9482" max="9484" width="9.1640625" style="56"/>
    <col min="9485" max="9485" width="10.33203125" style="56" customWidth="1"/>
    <col min="9486" max="9728" width="9.1640625" style="56"/>
    <col min="9729" max="9729" width="2.6640625" style="56" customWidth="1"/>
    <col min="9730" max="9732" width="9.1640625" style="56"/>
    <col min="9733" max="9733" width="10.33203125" style="56" customWidth="1"/>
    <col min="9734" max="9736" width="9.1640625" style="56"/>
    <col min="9737" max="9737" width="10.33203125" style="56" customWidth="1"/>
    <col min="9738" max="9740" width="9.1640625" style="56"/>
    <col min="9741" max="9741" width="10.33203125" style="56" customWidth="1"/>
    <col min="9742" max="9984" width="9.1640625" style="56"/>
    <col min="9985" max="9985" width="2.6640625" style="56" customWidth="1"/>
    <col min="9986" max="9988" width="9.1640625" style="56"/>
    <col min="9989" max="9989" width="10.33203125" style="56" customWidth="1"/>
    <col min="9990" max="9992" width="9.1640625" style="56"/>
    <col min="9993" max="9993" width="10.33203125" style="56" customWidth="1"/>
    <col min="9994" max="9996" width="9.1640625" style="56"/>
    <col min="9997" max="9997" width="10.33203125" style="56" customWidth="1"/>
    <col min="9998" max="10240" width="9.1640625" style="56"/>
    <col min="10241" max="10241" width="2.6640625" style="56" customWidth="1"/>
    <col min="10242" max="10244" width="9.1640625" style="56"/>
    <col min="10245" max="10245" width="10.33203125" style="56" customWidth="1"/>
    <col min="10246" max="10248" width="9.1640625" style="56"/>
    <col min="10249" max="10249" width="10.33203125" style="56" customWidth="1"/>
    <col min="10250" max="10252" width="9.1640625" style="56"/>
    <col min="10253" max="10253" width="10.33203125" style="56" customWidth="1"/>
    <col min="10254" max="10496" width="9.1640625" style="56"/>
    <col min="10497" max="10497" width="2.6640625" style="56" customWidth="1"/>
    <col min="10498" max="10500" width="9.1640625" style="56"/>
    <col min="10501" max="10501" width="10.33203125" style="56" customWidth="1"/>
    <col min="10502" max="10504" width="9.1640625" style="56"/>
    <col min="10505" max="10505" width="10.33203125" style="56" customWidth="1"/>
    <col min="10506" max="10508" width="9.1640625" style="56"/>
    <col min="10509" max="10509" width="10.33203125" style="56" customWidth="1"/>
    <col min="10510" max="10752" width="9.1640625" style="56"/>
    <col min="10753" max="10753" width="2.6640625" style="56" customWidth="1"/>
    <col min="10754" max="10756" width="9.1640625" style="56"/>
    <col min="10757" max="10757" width="10.33203125" style="56" customWidth="1"/>
    <col min="10758" max="10760" width="9.1640625" style="56"/>
    <col min="10761" max="10761" width="10.33203125" style="56" customWidth="1"/>
    <col min="10762" max="10764" width="9.1640625" style="56"/>
    <col min="10765" max="10765" width="10.33203125" style="56" customWidth="1"/>
    <col min="10766" max="11008" width="9.1640625" style="56"/>
    <col min="11009" max="11009" width="2.6640625" style="56" customWidth="1"/>
    <col min="11010" max="11012" width="9.1640625" style="56"/>
    <col min="11013" max="11013" width="10.33203125" style="56" customWidth="1"/>
    <col min="11014" max="11016" width="9.1640625" style="56"/>
    <col min="11017" max="11017" width="10.33203125" style="56" customWidth="1"/>
    <col min="11018" max="11020" width="9.1640625" style="56"/>
    <col min="11021" max="11021" width="10.33203125" style="56" customWidth="1"/>
    <col min="11022" max="11264" width="9.1640625" style="56"/>
    <col min="11265" max="11265" width="2.6640625" style="56" customWidth="1"/>
    <col min="11266" max="11268" width="9.1640625" style="56"/>
    <col min="11269" max="11269" width="10.33203125" style="56" customWidth="1"/>
    <col min="11270" max="11272" width="9.1640625" style="56"/>
    <col min="11273" max="11273" width="10.33203125" style="56" customWidth="1"/>
    <col min="11274" max="11276" width="9.1640625" style="56"/>
    <col min="11277" max="11277" width="10.33203125" style="56" customWidth="1"/>
    <col min="11278" max="11520" width="9.1640625" style="56"/>
    <col min="11521" max="11521" width="2.6640625" style="56" customWidth="1"/>
    <col min="11522" max="11524" width="9.1640625" style="56"/>
    <col min="11525" max="11525" width="10.33203125" style="56" customWidth="1"/>
    <col min="11526" max="11528" width="9.1640625" style="56"/>
    <col min="11529" max="11529" width="10.33203125" style="56" customWidth="1"/>
    <col min="11530" max="11532" width="9.1640625" style="56"/>
    <col min="11533" max="11533" width="10.33203125" style="56" customWidth="1"/>
    <col min="11534" max="11776" width="9.1640625" style="56"/>
    <col min="11777" max="11777" width="2.6640625" style="56" customWidth="1"/>
    <col min="11778" max="11780" width="9.1640625" style="56"/>
    <col min="11781" max="11781" width="10.33203125" style="56" customWidth="1"/>
    <col min="11782" max="11784" width="9.1640625" style="56"/>
    <col min="11785" max="11785" width="10.33203125" style="56" customWidth="1"/>
    <col min="11786" max="11788" width="9.1640625" style="56"/>
    <col min="11789" max="11789" width="10.33203125" style="56" customWidth="1"/>
    <col min="11790" max="12032" width="9.1640625" style="56"/>
    <col min="12033" max="12033" width="2.6640625" style="56" customWidth="1"/>
    <col min="12034" max="12036" width="9.1640625" style="56"/>
    <col min="12037" max="12037" width="10.33203125" style="56" customWidth="1"/>
    <col min="12038" max="12040" width="9.1640625" style="56"/>
    <col min="12041" max="12041" width="10.33203125" style="56" customWidth="1"/>
    <col min="12042" max="12044" width="9.1640625" style="56"/>
    <col min="12045" max="12045" width="10.33203125" style="56" customWidth="1"/>
    <col min="12046" max="12288" width="9.1640625" style="56"/>
    <col min="12289" max="12289" width="2.6640625" style="56" customWidth="1"/>
    <col min="12290" max="12292" width="9.1640625" style="56"/>
    <col min="12293" max="12293" width="10.33203125" style="56" customWidth="1"/>
    <col min="12294" max="12296" width="9.1640625" style="56"/>
    <col min="12297" max="12297" width="10.33203125" style="56" customWidth="1"/>
    <col min="12298" max="12300" width="9.1640625" style="56"/>
    <col min="12301" max="12301" width="10.33203125" style="56" customWidth="1"/>
    <col min="12302" max="12544" width="9.1640625" style="56"/>
    <col min="12545" max="12545" width="2.6640625" style="56" customWidth="1"/>
    <col min="12546" max="12548" width="9.1640625" style="56"/>
    <col min="12549" max="12549" width="10.33203125" style="56" customWidth="1"/>
    <col min="12550" max="12552" width="9.1640625" style="56"/>
    <col min="12553" max="12553" width="10.33203125" style="56" customWidth="1"/>
    <col min="12554" max="12556" width="9.1640625" style="56"/>
    <col min="12557" max="12557" width="10.33203125" style="56" customWidth="1"/>
    <col min="12558" max="12800" width="9.1640625" style="56"/>
    <col min="12801" max="12801" width="2.6640625" style="56" customWidth="1"/>
    <col min="12802" max="12804" width="9.1640625" style="56"/>
    <col min="12805" max="12805" width="10.33203125" style="56" customWidth="1"/>
    <col min="12806" max="12808" width="9.1640625" style="56"/>
    <col min="12809" max="12809" width="10.33203125" style="56" customWidth="1"/>
    <col min="12810" max="12812" width="9.1640625" style="56"/>
    <col min="12813" max="12813" width="10.33203125" style="56" customWidth="1"/>
    <col min="12814" max="13056" width="9.1640625" style="56"/>
    <col min="13057" max="13057" width="2.6640625" style="56" customWidth="1"/>
    <col min="13058" max="13060" width="9.1640625" style="56"/>
    <col min="13061" max="13061" width="10.33203125" style="56" customWidth="1"/>
    <col min="13062" max="13064" width="9.1640625" style="56"/>
    <col min="13065" max="13065" width="10.33203125" style="56" customWidth="1"/>
    <col min="13066" max="13068" width="9.1640625" style="56"/>
    <col min="13069" max="13069" width="10.33203125" style="56" customWidth="1"/>
    <col min="13070" max="13312" width="9.1640625" style="56"/>
    <col min="13313" max="13313" width="2.6640625" style="56" customWidth="1"/>
    <col min="13314" max="13316" width="9.1640625" style="56"/>
    <col min="13317" max="13317" width="10.33203125" style="56" customWidth="1"/>
    <col min="13318" max="13320" width="9.1640625" style="56"/>
    <col min="13321" max="13321" width="10.33203125" style="56" customWidth="1"/>
    <col min="13322" max="13324" width="9.1640625" style="56"/>
    <col min="13325" max="13325" width="10.33203125" style="56" customWidth="1"/>
    <col min="13326" max="13568" width="9.1640625" style="56"/>
    <col min="13569" max="13569" width="2.6640625" style="56" customWidth="1"/>
    <col min="13570" max="13572" width="9.1640625" style="56"/>
    <col min="13573" max="13573" width="10.33203125" style="56" customWidth="1"/>
    <col min="13574" max="13576" width="9.1640625" style="56"/>
    <col min="13577" max="13577" width="10.33203125" style="56" customWidth="1"/>
    <col min="13578" max="13580" width="9.1640625" style="56"/>
    <col min="13581" max="13581" width="10.33203125" style="56" customWidth="1"/>
    <col min="13582" max="13824" width="9.1640625" style="56"/>
    <col min="13825" max="13825" width="2.6640625" style="56" customWidth="1"/>
    <col min="13826" max="13828" width="9.1640625" style="56"/>
    <col min="13829" max="13829" width="10.33203125" style="56" customWidth="1"/>
    <col min="13830" max="13832" width="9.1640625" style="56"/>
    <col min="13833" max="13833" width="10.33203125" style="56" customWidth="1"/>
    <col min="13834" max="13836" width="9.1640625" style="56"/>
    <col min="13837" max="13837" width="10.33203125" style="56" customWidth="1"/>
    <col min="13838" max="14080" width="9.1640625" style="56"/>
    <col min="14081" max="14081" width="2.6640625" style="56" customWidth="1"/>
    <col min="14082" max="14084" width="9.1640625" style="56"/>
    <col min="14085" max="14085" width="10.33203125" style="56" customWidth="1"/>
    <col min="14086" max="14088" width="9.1640625" style="56"/>
    <col min="14089" max="14089" width="10.33203125" style="56" customWidth="1"/>
    <col min="14090" max="14092" width="9.1640625" style="56"/>
    <col min="14093" max="14093" width="10.33203125" style="56" customWidth="1"/>
    <col min="14094" max="14336" width="9.1640625" style="56"/>
    <col min="14337" max="14337" width="2.6640625" style="56" customWidth="1"/>
    <col min="14338" max="14340" width="9.1640625" style="56"/>
    <col min="14341" max="14341" width="10.33203125" style="56" customWidth="1"/>
    <col min="14342" max="14344" width="9.1640625" style="56"/>
    <col min="14345" max="14345" width="10.33203125" style="56" customWidth="1"/>
    <col min="14346" max="14348" width="9.1640625" style="56"/>
    <col min="14349" max="14349" width="10.33203125" style="56" customWidth="1"/>
    <col min="14350" max="14592" width="9.1640625" style="56"/>
    <col min="14593" max="14593" width="2.6640625" style="56" customWidth="1"/>
    <col min="14594" max="14596" width="9.1640625" style="56"/>
    <col min="14597" max="14597" width="10.33203125" style="56" customWidth="1"/>
    <col min="14598" max="14600" width="9.1640625" style="56"/>
    <col min="14601" max="14601" width="10.33203125" style="56" customWidth="1"/>
    <col min="14602" max="14604" width="9.1640625" style="56"/>
    <col min="14605" max="14605" width="10.33203125" style="56" customWidth="1"/>
    <col min="14606" max="14848" width="9.1640625" style="56"/>
    <col min="14849" max="14849" width="2.6640625" style="56" customWidth="1"/>
    <col min="14850" max="14852" width="9.1640625" style="56"/>
    <col min="14853" max="14853" width="10.33203125" style="56" customWidth="1"/>
    <col min="14854" max="14856" width="9.1640625" style="56"/>
    <col min="14857" max="14857" width="10.33203125" style="56" customWidth="1"/>
    <col min="14858" max="14860" width="9.1640625" style="56"/>
    <col min="14861" max="14861" width="10.33203125" style="56" customWidth="1"/>
    <col min="14862" max="15104" width="9.1640625" style="56"/>
    <col min="15105" max="15105" width="2.6640625" style="56" customWidth="1"/>
    <col min="15106" max="15108" width="9.1640625" style="56"/>
    <col min="15109" max="15109" width="10.33203125" style="56" customWidth="1"/>
    <col min="15110" max="15112" width="9.1640625" style="56"/>
    <col min="15113" max="15113" width="10.33203125" style="56" customWidth="1"/>
    <col min="15114" max="15116" width="9.1640625" style="56"/>
    <col min="15117" max="15117" width="10.33203125" style="56" customWidth="1"/>
    <col min="15118" max="15360" width="9.1640625" style="56"/>
    <col min="15361" max="15361" width="2.6640625" style="56" customWidth="1"/>
    <col min="15362" max="15364" width="9.1640625" style="56"/>
    <col min="15365" max="15365" width="10.33203125" style="56" customWidth="1"/>
    <col min="15366" max="15368" width="9.1640625" style="56"/>
    <col min="15369" max="15369" width="10.33203125" style="56" customWidth="1"/>
    <col min="15370" max="15372" width="9.1640625" style="56"/>
    <col min="15373" max="15373" width="10.33203125" style="56" customWidth="1"/>
    <col min="15374" max="15616" width="9.1640625" style="56"/>
    <col min="15617" max="15617" width="2.6640625" style="56" customWidth="1"/>
    <col min="15618" max="15620" width="9.1640625" style="56"/>
    <col min="15621" max="15621" width="10.33203125" style="56" customWidth="1"/>
    <col min="15622" max="15624" width="9.1640625" style="56"/>
    <col min="15625" max="15625" width="10.33203125" style="56" customWidth="1"/>
    <col min="15626" max="15628" width="9.1640625" style="56"/>
    <col min="15629" max="15629" width="10.33203125" style="56" customWidth="1"/>
    <col min="15630" max="15872" width="9.1640625" style="56"/>
    <col min="15873" max="15873" width="2.6640625" style="56" customWidth="1"/>
    <col min="15874" max="15876" width="9.1640625" style="56"/>
    <col min="15877" max="15877" width="10.33203125" style="56" customWidth="1"/>
    <col min="15878" max="15880" width="9.1640625" style="56"/>
    <col min="15881" max="15881" width="10.33203125" style="56" customWidth="1"/>
    <col min="15882" max="15884" width="9.1640625" style="56"/>
    <col min="15885" max="15885" width="10.33203125" style="56" customWidth="1"/>
    <col min="15886" max="16128" width="9.1640625" style="56"/>
    <col min="16129" max="16129" width="2.6640625" style="56" customWidth="1"/>
    <col min="16130" max="16132" width="9.1640625" style="56"/>
    <col min="16133" max="16133" width="10.33203125" style="56" customWidth="1"/>
    <col min="16134" max="16136" width="9.1640625" style="56"/>
    <col min="16137" max="16137" width="10.33203125" style="56" customWidth="1"/>
    <col min="16138" max="16140" width="9.1640625" style="56"/>
    <col min="16141" max="16141" width="10.33203125" style="56" customWidth="1"/>
    <col min="16142" max="16384" width="9.1640625" style="56"/>
  </cols>
  <sheetData>
    <row r="1" spans="2:14" ht="25" customHeight="1" x14ac:dyDescent="0.15">
      <c r="B1" s="110" t="s">
        <v>66</v>
      </c>
      <c r="C1" s="110"/>
      <c r="D1" s="110"/>
      <c r="E1" s="110"/>
      <c r="F1" s="110"/>
      <c r="G1" s="110"/>
      <c r="H1" s="110"/>
      <c r="I1" s="110"/>
      <c r="J1" s="110"/>
      <c r="K1" s="110"/>
      <c r="L1" s="110"/>
      <c r="M1" s="110"/>
      <c r="N1" s="110"/>
    </row>
    <row r="3" spans="2:14" ht="15" thickBot="1" x14ac:dyDescent="0.2">
      <c r="B3" s="111" t="s">
        <v>67</v>
      </c>
      <c r="C3" s="111"/>
      <c r="D3" s="111"/>
      <c r="E3" s="111"/>
      <c r="F3" s="111"/>
      <c r="G3" s="111"/>
      <c r="H3" s="111"/>
      <c r="I3" s="111"/>
      <c r="J3" s="111"/>
      <c r="K3" s="111"/>
      <c r="L3" s="111"/>
      <c r="M3" s="111"/>
      <c r="N3" s="111"/>
    </row>
    <row r="4" spans="2:14" ht="13" thickTop="1" x14ac:dyDescent="0.15"/>
    <row r="5" spans="2:14" x14ac:dyDescent="0.15">
      <c r="C5" s="57"/>
      <c r="D5" s="57" t="s">
        <v>68</v>
      </c>
      <c r="E5" s="57" t="s">
        <v>69</v>
      </c>
      <c r="G5" s="57"/>
      <c r="H5" s="57" t="s">
        <v>68</v>
      </c>
      <c r="I5" s="57" t="s">
        <v>81</v>
      </c>
      <c r="K5" s="57"/>
      <c r="L5" s="57" t="s">
        <v>68</v>
      </c>
      <c r="M5" s="57" t="s">
        <v>83</v>
      </c>
    </row>
    <row r="6" spans="2:14" x14ac:dyDescent="0.15">
      <c r="C6" s="57"/>
      <c r="D6" s="57" t="s">
        <v>70</v>
      </c>
      <c r="E6" s="62">
        <v>1.0005667965467292E-3</v>
      </c>
      <c r="G6" s="57"/>
      <c r="H6" s="57" t="s">
        <v>70</v>
      </c>
      <c r="I6" s="62">
        <v>6.5844828632144513E-4</v>
      </c>
      <c r="K6" s="57"/>
      <c r="L6" s="57" t="s">
        <v>70</v>
      </c>
      <c r="M6" s="62">
        <v>1.5030786305094985E-3</v>
      </c>
    </row>
    <row r="7" spans="2:14" x14ac:dyDescent="0.15">
      <c r="C7" s="57"/>
      <c r="D7" s="57"/>
      <c r="E7" s="57"/>
      <c r="G7" s="57"/>
      <c r="H7" s="57"/>
      <c r="I7" s="57"/>
      <c r="K7" s="57"/>
      <c r="L7" s="57"/>
      <c r="M7" s="57"/>
    </row>
    <row r="8" spans="2:14" x14ac:dyDescent="0.15">
      <c r="C8" s="57"/>
      <c r="D8" s="57" t="s">
        <v>71</v>
      </c>
      <c r="E8" s="58" t="s">
        <v>72</v>
      </c>
      <c r="G8" s="57"/>
      <c r="H8" s="57" t="s">
        <v>71</v>
      </c>
      <c r="I8" s="58" t="s">
        <v>82</v>
      </c>
      <c r="K8" s="57"/>
      <c r="L8" s="57" t="s">
        <v>71</v>
      </c>
      <c r="M8" s="58" t="s">
        <v>72</v>
      </c>
    </row>
    <row r="9" spans="2:14" x14ac:dyDescent="0.15">
      <c r="C9" s="57"/>
      <c r="D9" s="57" t="s">
        <v>73</v>
      </c>
      <c r="E9" s="57">
        <v>1.1662154645578553E-3</v>
      </c>
      <c r="G9" s="57"/>
      <c r="H9" s="57" t="s">
        <v>73</v>
      </c>
      <c r="I9" s="57">
        <v>7.1065011862617123E-4</v>
      </c>
      <c r="K9" s="57"/>
      <c r="L9" s="57" t="s">
        <v>73</v>
      </c>
      <c r="M9" s="57">
        <v>2.1559095472186095E-3</v>
      </c>
    </row>
    <row r="10" spans="2:14" x14ac:dyDescent="0.15">
      <c r="C10" s="57"/>
      <c r="D10" s="57" t="s">
        <v>74</v>
      </c>
      <c r="E10" s="57">
        <v>7.0858939692995384E-3</v>
      </c>
      <c r="G10" s="57"/>
      <c r="H10" s="57" t="s">
        <v>74</v>
      </c>
      <c r="I10" s="57">
        <v>6.6101083541873773E-3</v>
      </c>
      <c r="K10" s="57"/>
      <c r="L10" s="57" t="s">
        <v>74</v>
      </c>
      <c r="M10" s="57">
        <v>5.8226002276399423E-3</v>
      </c>
    </row>
    <row r="11" spans="2:14" x14ac:dyDescent="0.15">
      <c r="C11" s="57"/>
      <c r="D11" s="57"/>
      <c r="E11" s="57"/>
      <c r="G11" s="57"/>
      <c r="H11" s="57"/>
      <c r="I11" s="57"/>
      <c r="K11" s="57"/>
      <c r="L11" s="57"/>
      <c r="M11" s="57"/>
    </row>
    <row r="12" spans="2:14" x14ac:dyDescent="0.15">
      <c r="C12" s="57"/>
      <c r="D12" s="57"/>
      <c r="E12" s="57"/>
      <c r="G12" s="57"/>
      <c r="H12" s="57"/>
      <c r="I12" s="57"/>
      <c r="K12" s="57"/>
      <c r="L12" s="57"/>
      <c r="M12" s="57"/>
    </row>
    <row r="13" spans="2:14" x14ac:dyDescent="0.15">
      <c r="C13" s="57"/>
      <c r="D13" s="57" t="s">
        <v>75</v>
      </c>
      <c r="E13" s="57">
        <v>3.6662742240126889E-2</v>
      </c>
      <c r="G13" s="57"/>
      <c r="H13" s="57" t="s">
        <v>75</v>
      </c>
      <c r="I13" s="57">
        <v>3.9623138875220287E-2</v>
      </c>
      <c r="K13" s="57"/>
      <c r="L13" s="57" t="s">
        <v>75</v>
      </c>
      <c r="M13" s="57">
        <v>2.6056958923031504E-2</v>
      </c>
    </row>
    <row r="14" spans="2:14" x14ac:dyDescent="0.15">
      <c r="C14" s="57"/>
      <c r="D14" s="57" t="s">
        <v>76</v>
      </c>
      <c r="E14" s="59">
        <v>0.88144230278270352</v>
      </c>
      <c r="G14" s="57"/>
      <c r="H14" s="57" t="s">
        <v>76</v>
      </c>
      <c r="I14" s="59">
        <v>0.81628648812721161</v>
      </c>
      <c r="K14" s="57"/>
      <c r="L14" s="57" t="s">
        <v>76</v>
      </c>
      <c r="M14" s="59">
        <v>0.9950222207194731</v>
      </c>
    </row>
    <row r="15" spans="2:14" x14ac:dyDescent="0.15">
      <c r="C15" s="57"/>
      <c r="D15" s="57"/>
      <c r="E15" s="57"/>
      <c r="G15" s="57"/>
      <c r="H15" s="57"/>
      <c r="I15" s="57"/>
      <c r="K15" s="57"/>
      <c r="L15" s="57"/>
      <c r="M15" s="57"/>
    </row>
    <row r="16" spans="2:14" x14ac:dyDescent="0.15">
      <c r="C16" s="57"/>
      <c r="D16" s="57" t="s">
        <v>77</v>
      </c>
      <c r="E16" s="57" t="s">
        <v>78</v>
      </c>
      <c r="G16" s="57"/>
      <c r="H16" s="57" t="s">
        <v>77</v>
      </c>
      <c r="I16" s="57" t="s">
        <v>78</v>
      </c>
      <c r="K16" s="57"/>
      <c r="L16" s="57" t="s">
        <v>77</v>
      </c>
      <c r="M16" s="57" t="s">
        <v>78</v>
      </c>
    </row>
    <row r="17" spans="3:13" x14ac:dyDescent="0.15">
      <c r="C17" s="57" t="s">
        <v>24</v>
      </c>
      <c r="D17" s="57">
        <v>1.0005667965467292E-3</v>
      </c>
      <c r="E17" s="57">
        <v>1.1662154645578553E-3</v>
      </c>
      <c r="G17" s="57" t="s">
        <v>24</v>
      </c>
      <c r="H17" s="57">
        <v>6.5844828632144513E-4</v>
      </c>
      <c r="I17" s="57">
        <v>7.1065011862617123E-4</v>
      </c>
      <c r="K17" s="57" t="s">
        <v>24</v>
      </c>
      <c r="L17" s="57">
        <v>1.5030786305094985E-3</v>
      </c>
      <c r="M17" s="57">
        <v>2.1559095472186095E-3</v>
      </c>
    </row>
    <row r="18" spans="3:13" x14ac:dyDescent="0.15">
      <c r="C18" s="57" t="s">
        <v>79</v>
      </c>
      <c r="D18" s="57">
        <v>1.4317007168692672E-2</v>
      </c>
      <c r="E18" s="57">
        <v>1.285238997654658E-2</v>
      </c>
      <c r="G18" s="57" t="s">
        <v>79</v>
      </c>
      <c r="H18" s="57">
        <v>8.4145554622722402E-3</v>
      </c>
      <c r="I18" s="57">
        <v>9.3481048832474867E-3</v>
      </c>
      <c r="K18" s="57" t="s">
        <v>79</v>
      </c>
      <c r="L18" s="57">
        <v>1.1640822805611175E-2</v>
      </c>
      <c r="M18" s="57">
        <v>1.056102859108334E-2</v>
      </c>
    </row>
    <row r="19" spans="3:13" x14ac:dyDescent="0.15">
      <c r="C19" s="57" t="s">
        <v>80</v>
      </c>
      <c r="D19" s="57">
        <v>0.26385725923725983</v>
      </c>
      <c r="E19" s="57">
        <v>0</v>
      </c>
      <c r="G19" s="57" t="s">
        <v>80</v>
      </c>
      <c r="H19" s="57">
        <v>-0.51847268351091069</v>
      </c>
      <c r="I19" s="57">
        <v>0</v>
      </c>
      <c r="K19" s="57" t="s">
        <v>80</v>
      </c>
      <c r="L19" s="57">
        <v>-1.4361975453799578</v>
      </c>
      <c r="M19" s="57">
        <v>0</v>
      </c>
    </row>
    <row r="20" spans="3:13" x14ac:dyDescent="0.15">
      <c r="C20" s="57" t="s">
        <v>30</v>
      </c>
      <c r="D20" s="57">
        <v>3.1993752014185923</v>
      </c>
      <c r="E20" s="57">
        <v>1.2</v>
      </c>
      <c r="G20" s="57" t="s">
        <v>30</v>
      </c>
      <c r="H20" s="57">
        <v>5.0354702520574861</v>
      </c>
      <c r="I20" s="57">
        <v>3</v>
      </c>
      <c r="K20" s="57" t="s">
        <v>30</v>
      </c>
      <c r="L20" s="57">
        <v>5.9450521093574533</v>
      </c>
      <c r="M20" s="57">
        <v>1.2</v>
      </c>
    </row>
    <row r="21" spans="3:13" x14ac:dyDescent="0.15">
      <c r="C21" s="57"/>
      <c r="D21" s="57"/>
      <c r="E21" s="57"/>
      <c r="G21" s="57"/>
      <c r="H21" s="57"/>
      <c r="I21" s="57"/>
      <c r="K21" s="57"/>
      <c r="L21" s="57"/>
      <c r="M21" s="57"/>
    </row>
    <row r="22" spans="3:13" x14ac:dyDescent="0.15">
      <c r="C22" s="57"/>
      <c r="D22" s="57"/>
      <c r="E22" s="57"/>
      <c r="G22" s="57"/>
      <c r="H22" s="57"/>
      <c r="I22" s="57"/>
      <c r="K22" s="57"/>
      <c r="L22" s="57"/>
      <c r="M22" s="57"/>
    </row>
    <row r="23" spans="3:13" x14ac:dyDescent="0.15">
      <c r="C23" s="57"/>
      <c r="D23" s="57" t="s">
        <v>68</v>
      </c>
      <c r="E23" s="57" t="s">
        <v>84</v>
      </c>
      <c r="G23" s="57"/>
      <c r="H23" s="57" t="s">
        <v>68</v>
      </c>
      <c r="I23" s="57" t="s">
        <v>48</v>
      </c>
      <c r="K23" s="57"/>
      <c r="L23" s="57"/>
      <c r="M23" s="57"/>
    </row>
    <row r="24" spans="3:13" x14ac:dyDescent="0.15">
      <c r="C24" s="57"/>
      <c r="D24" s="57" t="s">
        <v>70</v>
      </c>
      <c r="E24" s="62">
        <v>1.5168662454873357E-3</v>
      </c>
      <c r="G24" s="57"/>
      <c r="H24" s="57" t="s">
        <v>70</v>
      </c>
      <c r="I24" s="62">
        <v>1.3728677412470826E-3</v>
      </c>
    </row>
    <row r="25" spans="3:13" x14ac:dyDescent="0.15">
      <c r="C25" s="57"/>
      <c r="D25" s="57"/>
      <c r="E25" s="57"/>
      <c r="G25" s="57"/>
      <c r="H25" s="57"/>
      <c r="I25" s="57"/>
    </row>
    <row r="26" spans="3:13" x14ac:dyDescent="0.15">
      <c r="C26" s="57"/>
      <c r="D26" s="57" t="s">
        <v>71</v>
      </c>
      <c r="E26" s="58" t="s">
        <v>72</v>
      </c>
      <c r="G26" s="57"/>
      <c r="H26" s="57" t="s">
        <v>71</v>
      </c>
      <c r="I26" s="58" t="s">
        <v>72</v>
      </c>
    </row>
    <row r="27" spans="3:13" x14ac:dyDescent="0.15">
      <c r="C27" s="57"/>
      <c r="D27" s="57" t="s">
        <v>73</v>
      </c>
      <c r="E27" s="57">
        <v>1.1863002968882119E-3</v>
      </c>
      <c r="G27" s="57"/>
      <c r="H27" s="57" t="s">
        <v>73</v>
      </c>
      <c r="I27" s="57">
        <v>1.6732413450912958E-3</v>
      </c>
    </row>
    <row r="28" spans="3:13" x14ac:dyDescent="0.15">
      <c r="C28" s="57"/>
      <c r="D28" s="57" t="s">
        <v>74</v>
      </c>
      <c r="E28" s="57">
        <v>7.0112116665481568E-3</v>
      </c>
      <c r="G28" s="57"/>
      <c r="H28" s="57" t="s">
        <v>74</v>
      </c>
      <c r="I28" s="57">
        <v>4.4005701105399682E-3</v>
      </c>
    </row>
    <row r="29" spans="3:13" x14ac:dyDescent="0.15">
      <c r="C29" s="57"/>
      <c r="D29" s="57"/>
      <c r="E29" s="57"/>
      <c r="G29" s="57"/>
      <c r="H29" s="57"/>
      <c r="I29" s="57"/>
    </row>
    <row r="30" spans="3:13" x14ac:dyDescent="0.15">
      <c r="C30" s="57"/>
      <c r="D30" s="57"/>
      <c r="E30" s="57"/>
      <c r="G30" s="57"/>
      <c r="H30" s="57"/>
      <c r="I30" s="57"/>
    </row>
    <row r="31" spans="3:13" x14ac:dyDescent="0.15">
      <c r="C31" s="57"/>
      <c r="D31" s="57" t="s">
        <v>75</v>
      </c>
      <c r="E31" s="57">
        <v>2.1326250907621566E-2</v>
      </c>
      <c r="G31" s="57"/>
      <c r="H31" s="57" t="s">
        <v>75</v>
      </c>
      <c r="I31" s="57">
        <v>2.91930757074359E-2</v>
      </c>
    </row>
    <row r="32" spans="3:13" x14ac:dyDescent="0.15">
      <c r="C32" s="57"/>
      <c r="D32" s="57" t="s">
        <v>76</v>
      </c>
      <c r="E32" s="59">
        <v>0.99981589259055625</v>
      </c>
      <c r="G32" s="57"/>
      <c r="H32" s="57" t="s">
        <v>76</v>
      </c>
      <c r="I32" s="59">
        <v>0.98119452573838195</v>
      </c>
    </row>
    <row r="33" spans="2:14" x14ac:dyDescent="0.15">
      <c r="C33" s="57"/>
      <c r="D33" s="57"/>
      <c r="E33" s="57"/>
      <c r="G33" s="57"/>
      <c r="H33" s="57"/>
      <c r="I33" s="57"/>
    </row>
    <row r="34" spans="2:14" x14ac:dyDescent="0.15">
      <c r="C34" s="57"/>
      <c r="D34" s="57" t="s">
        <v>77</v>
      </c>
      <c r="E34" s="57" t="s">
        <v>78</v>
      </c>
      <c r="G34" s="57"/>
      <c r="H34" s="57" t="s">
        <v>77</v>
      </c>
      <c r="I34" s="57" t="s">
        <v>78</v>
      </c>
    </row>
    <row r="35" spans="2:14" x14ac:dyDescent="0.15">
      <c r="C35" s="57" t="s">
        <v>24</v>
      </c>
      <c r="D35" s="57">
        <v>1.5168662454873357E-3</v>
      </c>
      <c r="E35" s="57">
        <v>1.1863002968882119E-3</v>
      </c>
      <c r="G35" s="57" t="s">
        <v>24</v>
      </c>
      <c r="H35" s="57">
        <v>1.3728677412470826E-3</v>
      </c>
      <c r="I35" s="57">
        <v>1.6732413450912958E-3</v>
      </c>
    </row>
    <row r="36" spans="2:14" x14ac:dyDescent="0.15">
      <c r="C36" s="57" t="s">
        <v>79</v>
      </c>
      <c r="D36" s="57">
        <v>1.3397541042164431E-2</v>
      </c>
      <c r="E36" s="57">
        <v>1.2716931263296578E-2</v>
      </c>
      <c r="G36" s="57" t="s">
        <v>79</v>
      </c>
      <c r="H36" s="57">
        <v>7.988127087273136E-3</v>
      </c>
      <c r="I36" s="57">
        <v>7.9817512687654964E-3</v>
      </c>
    </row>
    <row r="37" spans="2:14" x14ac:dyDescent="0.15">
      <c r="C37" s="57" t="s">
        <v>80</v>
      </c>
      <c r="D37" s="57">
        <v>0.55654665547677751</v>
      </c>
      <c r="E37" s="57">
        <v>0</v>
      </c>
      <c r="G37" s="57" t="s">
        <v>80</v>
      </c>
      <c r="H37" s="57">
        <v>-0.47644938206251092</v>
      </c>
      <c r="I37" s="57">
        <v>0</v>
      </c>
    </row>
    <row r="38" spans="2:14" x14ac:dyDescent="0.15">
      <c r="C38" s="57" t="s">
        <v>30</v>
      </c>
      <c r="D38" s="57">
        <v>2.3858239469937241</v>
      </c>
      <c r="E38" s="57">
        <v>1.2</v>
      </c>
      <c r="G38" s="57" t="s">
        <v>30</v>
      </c>
      <c r="H38" s="57">
        <v>1.1779333025636718</v>
      </c>
      <c r="I38" s="57">
        <v>1.2</v>
      </c>
    </row>
    <row r="39" spans="2:14" x14ac:dyDescent="0.15">
      <c r="C39" s="57"/>
      <c r="D39" s="57"/>
      <c r="E39" s="57"/>
      <c r="G39" s="57"/>
      <c r="H39" s="57"/>
      <c r="I39" s="57"/>
    </row>
    <row r="40" spans="2:14" ht="16" thickBot="1" x14ac:dyDescent="0.2">
      <c r="B40" s="111" t="s">
        <v>85</v>
      </c>
      <c r="C40" s="112"/>
      <c r="D40" s="112"/>
      <c r="E40" s="112"/>
      <c r="F40" s="112"/>
      <c r="G40" s="112"/>
      <c r="H40" s="112"/>
      <c r="I40" s="112"/>
      <c r="J40" s="112"/>
      <c r="K40" s="112"/>
      <c r="L40" s="112"/>
      <c r="M40" s="112"/>
      <c r="N40" s="112"/>
    </row>
    <row r="41" spans="2:14" ht="13" thickTop="1" x14ac:dyDescent="0.15">
      <c r="C41" s="57"/>
      <c r="D41" s="57"/>
      <c r="E41" s="57"/>
      <c r="G41" s="57"/>
      <c r="H41" s="57"/>
      <c r="I41" s="57"/>
    </row>
    <row r="42" spans="2:14" x14ac:dyDescent="0.15">
      <c r="B42" s="61"/>
      <c r="C42" s="61" t="s">
        <v>69</v>
      </c>
      <c r="D42" s="61" t="s">
        <v>81</v>
      </c>
      <c r="E42" s="61" t="s">
        <v>83</v>
      </c>
      <c r="F42" s="61" t="s">
        <v>84</v>
      </c>
      <c r="G42" s="61" t="s">
        <v>48</v>
      </c>
      <c r="H42" s="61"/>
    </row>
    <row r="43" spans="2:14" x14ac:dyDescent="0.15">
      <c r="B43" s="61" t="s">
        <v>69</v>
      </c>
      <c r="C43" s="56">
        <v>1</v>
      </c>
    </row>
    <row r="44" spans="2:14" x14ac:dyDescent="0.15">
      <c r="B44" s="61" t="s">
        <v>81</v>
      </c>
      <c r="C44" s="60">
        <v>9.2908387993421521E-2</v>
      </c>
      <c r="D44" s="56">
        <v>1</v>
      </c>
    </row>
    <row r="45" spans="2:14" x14ac:dyDescent="0.15">
      <c r="B45" s="61" t="s">
        <v>83</v>
      </c>
      <c r="C45" s="60">
        <v>4.7823404927254495E-2</v>
      </c>
      <c r="D45" s="60">
        <v>0.1862400165185655</v>
      </c>
      <c r="E45" s="56">
        <v>1</v>
      </c>
    </row>
    <row r="46" spans="2:14" x14ac:dyDescent="0.15">
      <c r="B46" s="61" t="s">
        <v>84</v>
      </c>
      <c r="C46" s="60">
        <v>-1.9839152826202959E-2</v>
      </c>
      <c r="D46" s="60">
        <v>0.34877913015927398</v>
      </c>
      <c r="E46" s="60">
        <v>0.1862107365173262</v>
      </c>
      <c r="F46" s="56">
        <v>1</v>
      </c>
    </row>
    <row r="47" spans="2:14" x14ac:dyDescent="0.15">
      <c r="B47" s="61" t="s">
        <v>48</v>
      </c>
      <c r="C47" s="60">
        <v>0.38100582279433781</v>
      </c>
      <c r="D47" s="60">
        <v>0.38349178138990364</v>
      </c>
      <c r="E47" s="60">
        <v>0.76336988632585101</v>
      </c>
      <c r="F47" s="60">
        <v>0.66719824165233477</v>
      </c>
      <c r="G47" s="56">
        <v>1</v>
      </c>
    </row>
  </sheetData>
  <mergeCells count="3">
    <mergeCell ref="B1:N1"/>
    <mergeCell ref="B3:N3"/>
    <mergeCell ref="B40:N40"/>
  </mergeCells>
  <pageMargins left="0.75" right="0.75" top="1" bottom="1" header="0.5" footer="0.5"/>
  <pageSetup scale="70" fitToHeight="10"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39517-EACE-4531-AD8C-F023A980B391}">
  <sheetPr>
    <tabColor theme="9" tint="0.79998168889431442"/>
  </sheetPr>
  <dimension ref="A1:R254"/>
  <sheetViews>
    <sheetView showGridLines="0" topLeftCell="D1" workbookViewId="0">
      <selection activeCell="N18" sqref="N18"/>
    </sheetView>
  </sheetViews>
  <sheetFormatPr baseColWidth="10" defaultRowHeight="15" x14ac:dyDescent="0.2"/>
  <cols>
    <col min="7" max="11" width="12.5" style="1" bestFit="1" customWidth="1"/>
    <col min="13" max="13" width="23.1640625" bestFit="1" customWidth="1"/>
    <col min="14" max="14" width="15" customWidth="1"/>
    <col min="15" max="18" width="12.5" bestFit="1" customWidth="1"/>
  </cols>
  <sheetData>
    <row r="1" spans="1:18" x14ac:dyDescent="0.2">
      <c r="A1" s="23" t="s">
        <v>4</v>
      </c>
      <c r="B1" s="24" t="s">
        <v>12</v>
      </c>
      <c r="C1" s="24" t="s">
        <v>13</v>
      </c>
      <c r="D1" s="24" t="s">
        <v>14</v>
      </c>
      <c r="E1" s="24" t="s">
        <v>15</v>
      </c>
      <c r="F1" s="24" t="s">
        <v>48</v>
      </c>
      <c r="G1" s="89" t="s">
        <v>8</v>
      </c>
      <c r="H1" s="89"/>
      <c r="I1" s="89"/>
      <c r="J1" s="89"/>
      <c r="K1" s="89"/>
    </row>
    <row r="2" spans="1:18" x14ac:dyDescent="0.2">
      <c r="A2" s="25">
        <v>45154</v>
      </c>
      <c r="B2" s="26">
        <v>175.67108200000001</v>
      </c>
      <c r="C2" s="26">
        <v>58.602820999999999</v>
      </c>
      <c r="D2" s="26">
        <v>146.505066</v>
      </c>
      <c r="E2" s="26">
        <v>13.196151</v>
      </c>
      <c r="F2" s="26">
        <f>SUMPRODUCT(Portafolio!B2:E2,Portafolio!$M$37:$P$37)</f>
        <v>105.76362101166683</v>
      </c>
      <c r="G2" s="2" t="str">
        <f>Portafolio!F2</f>
        <v>r_Apple</v>
      </c>
      <c r="H2" s="2" t="str">
        <f>Portafolio!G2</f>
        <v>r_Coca-Cola</v>
      </c>
      <c r="I2" s="2" t="str">
        <f>Portafolio!H2</f>
        <v>r_JPMorgan</v>
      </c>
      <c r="J2" s="2" t="str">
        <f>Portafolio!I2</f>
        <v>r_AT&amp;T</v>
      </c>
      <c r="K2" s="2" t="str">
        <f>Portafolio!J2</f>
        <v>Portafolio</v>
      </c>
      <c r="M2" s="90" t="s">
        <v>64</v>
      </c>
      <c r="N2" s="91"/>
      <c r="O2" s="91"/>
      <c r="P2" s="91"/>
      <c r="Q2" s="91"/>
      <c r="R2" s="92"/>
    </row>
    <row r="3" spans="1:18" x14ac:dyDescent="0.2">
      <c r="A3" s="25">
        <v>45155</v>
      </c>
      <c r="B3" s="26">
        <v>173.11415099999999</v>
      </c>
      <c r="C3" s="26">
        <v>58.728789999999996</v>
      </c>
      <c r="D3" s="26">
        <v>144.98335299999999</v>
      </c>
      <c r="E3" s="26">
        <v>13.111919</v>
      </c>
      <c r="F3" s="26">
        <f>SUMPRODUCT(Portafolio!B3:E3,Portafolio!$M$37:$P$37)</f>
        <v>104.56615193223956</v>
      </c>
      <c r="G3" s="41">
        <f>Portafolio!F3</f>
        <v>-1.4662185008184019E-2</v>
      </c>
      <c r="H3" s="41">
        <f>Portafolio!G3</f>
        <v>2.1472312077841786E-3</v>
      </c>
      <c r="I3" s="41">
        <f>Portafolio!H3</f>
        <v>-1.0441079130812173E-2</v>
      </c>
      <c r="J3" s="41">
        <f>Portafolio!I3</f>
        <v>-6.4035322871765967E-3</v>
      </c>
      <c r="K3" s="41">
        <f>Portafolio!J3</f>
        <v>-9.4670569504097211E-3</v>
      </c>
      <c r="M3" s="93"/>
      <c r="N3" s="94"/>
      <c r="O3" s="94"/>
      <c r="P3" s="94"/>
      <c r="Q3" s="94"/>
      <c r="R3" s="95"/>
    </row>
    <row r="4" spans="1:18" x14ac:dyDescent="0.2">
      <c r="A4" s="25">
        <v>45156</v>
      </c>
      <c r="B4" s="26">
        <v>173.601654</v>
      </c>
      <c r="C4" s="26">
        <v>59.058239</v>
      </c>
      <c r="D4" s="26">
        <v>145.31500199999999</v>
      </c>
      <c r="E4" s="26">
        <v>13.149357</v>
      </c>
      <c r="F4" s="26">
        <f>SUMPRODUCT(Portafolio!B4:E4,Portafolio!$M$37:$P$37)</f>
        <v>104.83395277362308</v>
      </c>
      <c r="G4" s="41">
        <f>Portafolio!F4</f>
        <v>2.8121205565770678E-3</v>
      </c>
      <c r="H4" s="41">
        <f>Portafolio!G4</f>
        <v>5.5939921723177225E-3</v>
      </c>
      <c r="I4" s="41">
        <f>Portafolio!H4</f>
        <v>2.2848847647558819E-3</v>
      </c>
      <c r="J4" s="41">
        <f>Portafolio!I4</f>
        <v>2.8511962146941443E-3</v>
      </c>
      <c r="K4" s="41">
        <f>Portafolio!J4</f>
        <v>2.7076334101259576E-3</v>
      </c>
    </row>
    <row r="5" spans="1:18" x14ac:dyDescent="0.2">
      <c r="A5" s="25">
        <v>45159</v>
      </c>
      <c r="B5" s="26">
        <v>174.94477800000001</v>
      </c>
      <c r="C5" s="26">
        <v>58.554378999999997</v>
      </c>
      <c r="D5" s="26">
        <v>145.8125</v>
      </c>
      <c r="E5" s="26">
        <v>13.196151</v>
      </c>
      <c r="F5" s="26">
        <f>SUMPRODUCT(Portafolio!B5:E5,Portafolio!$M$37:$P$37)</f>
        <v>105.31384724392646</v>
      </c>
      <c r="G5" s="41">
        <f>Portafolio!F5</f>
        <v>7.7070400094383651E-3</v>
      </c>
      <c r="H5" s="41">
        <f>Portafolio!G5</f>
        <v>-8.568180711971048E-3</v>
      </c>
      <c r="I5" s="41">
        <f>Portafolio!H5</f>
        <v>3.4177360836862881E-3</v>
      </c>
      <c r="J5" s="41">
        <f>Portafolio!I5</f>
        <v>3.5523360724823969E-3</v>
      </c>
      <c r="K5" s="41">
        <f>Portafolio!J5</f>
        <v>3.8265778229849188E-3</v>
      </c>
      <c r="M5" s="47" t="s">
        <v>58</v>
      </c>
      <c r="N5" s="45" t="str">
        <f>G2</f>
        <v>r_Apple</v>
      </c>
      <c r="O5" s="45" t="str">
        <f>H2</f>
        <v>r_Coca-Cola</v>
      </c>
      <c r="P5" s="45" t="str">
        <f>I2</f>
        <v>r_JPMorgan</v>
      </c>
      <c r="Q5" s="45" t="str">
        <f>J2</f>
        <v>r_AT&amp;T</v>
      </c>
      <c r="R5" s="45" t="str">
        <f>K2</f>
        <v>Portafolio</v>
      </c>
    </row>
    <row r="6" spans="1:18" x14ac:dyDescent="0.2">
      <c r="A6" s="25">
        <v>45160</v>
      </c>
      <c r="B6" s="26">
        <v>176.327698</v>
      </c>
      <c r="C6" s="26">
        <v>58.195861999999998</v>
      </c>
      <c r="D6" s="26">
        <v>142.78855899999999</v>
      </c>
      <c r="E6" s="26">
        <v>13.345895000000001</v>
      </c>
      <c r="F6" s="26">
        <f>SUMPRODUCT(Portafolio!B6:E6,Portafolio!$M$37:$P$37)</f>
        <v>104.30000650954011</v>
      </c>
      <c r="G6" s="41">
        <f>Portafolio!F6</f>
        <v>7.8738144273404372E-3</v>
      </c>
      <c r="H6" s="41">
        <f>Portafolio!G6</f>
        <v>-6.141625470814838E-3</v>
      </c>
      <c r="I6" s="41">
        <f>Portafolio!H6</f>
        <v>-2.0956622133486116E-2</v>
      </c>
      <c r="J6" s="41">
        <f>Portafolio!I6</f>
        <v>1.1283650762276005E-2</v>
      </c>
      <c r="K6" s="41">
        <f>Portafolio!J6</f>
        <v>-4.2141520459861928E-3</v>
      </c>
      <c r="M6" s="47" t="s">
        <v>87</v>
      </c>
      <c r="N6" s="43">
        <f>'GARCH-Apple'!D$270*SQRT(1/252)</f>
        <v>1.4318455691480554E-2</v>
      </c>
      <c r="O6" s="43">
        <f>'GARCH-CC'!$D$270*SQRT(1/252)</f>
        <v>8.2348976577767165E-3</v>
      </c>
      <c r="P6" s="43">
        <f>'GARCH-JPMorgan'!D270*SQRT(1/252)</f>
        <v>1.4116494630705176E-2</v>
      </c>
      <c r="Q6" s="43">
        <f>'GARCH-AT&amp;T'!$D$270*SQRT(1/252)</f>
        <v>1.443552514442265E-2</v>
      </c>
      <c r="R6" s="43">
        <f>'GARCH-Portafolio'!$D$270*SQRT(1/252)</f>
        <v>8.8504910926486269E-3</v>
      </c>
    </row>
    <row r="7" spans="1:18" x14ac:dyDescent="0.2">
      <c r="A7" s="25">
        <v>45161</v>
      </c>
      <c r="B7" s="26">
        <v>180.19790599999999</v>
      </c>
      <c r="C7" s="26">
        <v>58.399344999999997</v>
      </c>
      <c r="D7" s="26">
        <v>143.754257</v>
      </c>
      <c r="E7" s="26">
        <v>13.252305</v>
      </c>
      <c r="F7" s="26">
        <f>SUMPRODUCT(Portafolio!B7:E7,Portafolio!$M$37:$P$37)</f>
        <v>105.47210117810427</v>
      </c>
      <c r="G7" s="41">
        <f>Portafolio!F7</f>
        <v>2.1711540417555734E-2</v>
      </c>
      <c r="H7" s="41">
        <f>Portafolio!G7</f>
        <v>3.4904214645253497E-3</v>
      </c>
      <c r="I7" s="41">
        <f>Portafolio!H7</f>
        <v>6.740365503857486E-3</v>
      </c>
      <c r="J7" s="41">
        <f>Portafolio!I7</f>
        <v>-7.0373473579131004E-3</v>
      </c>
      <c r="K7" s="41">
        <f>Portafolio!J7</f>
        <v>5.1511974929285536E-3</v>
      </c>
      <c r="M7" s="48" t="s">
        <v>50</v>
      </c>
      <c r="N7" s="49">
        <v>1</v>
      </c>
      <c r="O7" s="46"/>
      <c r="P7" s="46"/>
      <c r="Q7" s="46"/>
    </row>
    <row r="8" spans="1:18" x14ac:dyDescent="0.2">
      <c r="A8" s="25">
        <v>45162</v>
      </c>
      <c r="B8" s="26">
        <v>175.48202499999999</v>
      </c>
      <c r="C8" s="26">
        <v>58.244312000000001</v>
      </c>
      <c r="D8" s="26">
        <v>143.61769100000001</v>
      </c>
      <c r="E8" s="26">
        <v>13.242945000000001</v>
      </c>
      <c r="F8" s="26">
        <f>SUMPRODUCT(Portafolio!B8:E8,Portafolio!$M$37:$P$37)</f>
        <v>104.46302583932699</v>
      </c>
      <c r="G8" s="41">
        <f>Portafolio!F8</f>
        <v>-2.6519108676923038E-2</v>
      </c>
      <c r="H8" s="41">
        <f>Portafolio!G8</f>
        <v>-2.6582344086022547E-3</v>
      </c>
      <c r="I8" s="41">
        <f>Portafolio!H8</f>
        <v>-9.5044774711671462E-4</v>
      </c>
      <c r="J8" s="41">
        <f>Portafolio!I8</f>
        <v>-7.0654176800563693E-4</v>
      </c>
      <c r="K8" s="41">
        <f>Portafolio!J8</f>
        <v>-6.037950088029845E-3</v>
      </c>
      <c r="M8" s="47" t="s">
        <v>51</v>
      </c>
      <c r="N8" s="50">
        <v>0.95</v>
      </c>
      <c r="O8" s="46"/>
      <c r="P8" s="46"/>
      <c r="Q8" s="46"/>
    </row>
    <row r="9" spans="1:18" x14ac:dyDescent="0.2">
      <c r="A9" s="25">
        <v>45163</v>
      </c>
      <c r="B9" s="26">
        <v>177.70069899999999</v>
      </c>
      <c r="C9" s="26">
        <v>58.515616999999999</v>
      </c>
      <c r="D9" s="26">
        <v>143.44210799999999</v>
      </c>
      <c r="E9" s="26">
        <v>13.205508999999999</v>
      </c>
      <c r="F9" s="26">
        <f>SUMPRODUCT(Portafolio!B9:E9,Portafolio!$M$37:$P$37)</f>
        <v>104.82744293780101</v>
      </c>
      <c r="G9" s="41">
        <f>Portafolio!F9</f>
        <v>1.2564052740774025E-2</v>
      </c>
      <c r="H9" s="41">
        <f>Portafolio!G9</f>
        <v>4.6472362667604817E-3</v>
      </c>
      <c r="I9" s="41">
        <f>Portafolio!H9</f>
        <v>-1.2233201758554283E-3</v>
      </c>
      <c r="J9" s="41">
        <f>Portafolio!I9</f>
        <v>-2.830866787178094E-3</v>
      </c>
      <c r="K9" s="41">
        <f>Portafolio!J9</f>
        <v>1.2464294268597353E-3</v>
      </c>
      <c r="M9" s="47" t="s">
        <v>52</v>
      </c>
      <c r="N9" s="51">
        <f>NORMSINV(N8)</f>
        <v>1.6448536269514715</v>
      </c>
      <c r="O9" s="46"/>
      <c r="P9" s="46"/>
      <c r="Q9" s="46"/>
    </row>
    <row r="10" spans="1:18" x14ac:dyDescent="0.2">
      <c r="A10" s="25">
        <v>45166</v>
      </c>
      <c r="B10" s="26">
        <v>179.272659</v>
      </c>
      <c r="C10" s="26">
        <v>58.680340000000001</v>
      </c>
      <c r="D10" s="26">
        <v>143.939606</v>
      </c>
      <c r="E10" s="26">
        <v>13.299099</v>
      </c>
      <c r="F10" s="26">
        <f>SUMPRODUCT(Portafolio!B10:E10,Portafolio!$M$37:$P$37)</f>
        <v>105.3953353695006</v>
      </c>
      <c r="G10" s="41">
        <f>Portafolio!F10</f>
        <v>8.8072127836774459E-3</v>
      </c>
      <c r="H10" s="41">
        <f>Portafolio!G10</f>
        <v>2.811071519673288E-3</v>
      </c>
      <c r="I10" s="41">
        <f>Portafolio!H10</f>
        <v>3.4622835952314748E-3</v>
      </c>
      <c r="J10" s="41">
        <f>Portafolio!I10</f>
        <v>7.0621975605345338E-3</v>
      </c>
      <c r="K10" s="41">
        <f>Portafolio!J10</f>
        <v>5.6612861296380778E-3</v>
      </c>
      <c r="N10" s="46"/>
      <c r="O10" s="46"/>
      <c r="P10" s="46"/>
      <c r="Q10" s="46"/>
    </row>
    <row r="11" spans="1:18" x14ac:dyDescent="0.2">
      <c r="A11" s="25">
        <v>45167</v>
      </c>
      <c r="B11" s="26">
        <v>183.18263200000001</v>
      </c>
      <c r="C11" s="26">
        <v>58.622204000000004</v>
      </c>
      <c r="D11" s="26">
        <v>145.110153</v>
      </c>
      <c r="E11" s="26">
        <v>13.823200999999999</v>
      </c>
      <c r="F11" s="26">
        <f>SUMPRODUCT(Portafolio!B11:E11,Portafolio!$M$37:$P$37)</f>
        <v>106.8533824642428</v>
      </c>
      <c r="G11" s="41">
        <f>Portafolio!F11</f>
        <v>2.1575762719950167E-2</v>
      </c>
      <c r="H11" s="41">
        <f>Portafolio!G11</f>
        <v>-9.9121473034572902E-4</v>
      </c>
      <c r="I11" s="41">
        <f>Portafolio!H11</f>
        <v>8.0993210507113115E-3</v>
      </c>
      <c r="J11" s="41">
        <f>Portafolio!I11</f>
        <v>3.8652123786868747E-2</v>
      </c>
      <c r="K11" s="41">
        <f>Portafolio!J11</f>
        <v>2.0261285327415675E-2</v>
      </c>
      <c r="M11" s="98" t="s">
        <v>57</v>
      </c>
      <c r="N11" s="99"/>
      <c r="O11" s="46"/>
      <c r="P11" s="46"/>
      <c r="Q11" s="46"/>
    </row>
    <row r="12" spans="1:18" x14ac:dyDescent="0.2">
      <c r="A12" s="25">
        <v>45168</v>
      </c>
      <c r="B12" s="26">
        <v>186.69465600000001</v>
      </c>
      <c r="C12" s="26">
        <v>58.593136000000001</v>
      </c>
      <c r="D12" s="26">
        <v>144.52487199999999</v>
      </c>
      <c r="E12" s="26">
        <v>13.785766000000001</v>
      </c>
      <c r="F12" s="26">
        <f>SUMPRODUCT(Portafolio!B12:E12,Portafolio!$M$37:$P$37)</f>
        <v>107.28406401950409</v>
      </c>
      <c r="G12" s="41">
        <f>Portafolio!F12</f>
        <v>1.899078242547661E-2</v>
      </c>
      <c r="H12" s="41">
        <f>Portafolio!G12</f>
        <v>-4.9597604879833524E-4</v>
      </c>
      <c r="I12" s="41">
        <f>Portafolio!H12</f>
        <v>-4.0415125667635282E-3</v>
      </c>
      <c r="J12" s="41">
        <f>Portafolio!I12</f>
        <v>-2.7118017809940271E-3</v>
      </c>
      <c r="K12" s="41">
        <f>Portafolio!J12</f>
        <v>1.1226617329080104E-3</v>
      </c>
      <c r="M12" s="42" t="s">
        <v>53</v>
      </c>
      <c r="N12" s="52">
        <f>+N6*SQRT($N$7)*$N$9</f>
        <v>2.3551763776475731E-2</v>
      </c>
      <c r="O12" s="52">
        <f>+O6*SQRT($N$7)*$N$9</f>
        <v>1.354520127996821E-2</v>
      </c>
      <c r="P12" s="52">
        <f>+P6*SQRT($N$7)*$N$9</f>
        <v>2.3219567393156382E-2</v>
      </c>
      <c r="Q12" s="52">
        <f>+Q6*SQRT($N$7)*$N$9</f>
        <v>2.374432589075276E-2</v>
      </c>
    </row>
    <row r="13" spans="1:18" x14ac:dyDescent="0.2">
      <c r="A13" s="25">
        <v>45169</v>
      </c>
      <c r="B13" s="26">
        <v>186.913544</v>
      </c>
      <c r="C13" s="26">
        <v>57.973002999999999</v>
      </c>
      <c r="D13" s="26">
        <v>142.739777</v>
      </c>
      <c r="E13" s="26">
        <v>13.841919000000001</v>
      </c>
      <c r="F13" s="26">
        <f>SUMPRODUCT(Portafolio!B13:E13,Portafolio!$M$37:$P$37)</f>
        <v>106.53940851685969</v>
      </c>
      <c r="G13" s="41">
        <f>Portafolio!F13</f>
        <v>1.1717517176788328E-3</v>
      </c>
      <c r="H13" s="41">
        <f>Portafolio!G13</f>
        <v>-1.0640119950070189E-2</v>
      </c>
      <c r="I13" s="41">
        <f>Portafolio!H13</f>
        <v>-1.2428386047596607E-2</v>
      </c>
      <c r="J13" s="41">
        <f>Portafolio!I13</f>
        <v>4.0649860690958528E-3</v>
      </c>
      <c r="K13" s="41">
        <f>Portafolio!J13</f>
        <v>-4.3288021916397315E-3</v>
      </c>
      <c r="M13" s="42" t="s">
        <v>54</v>
      </c>
      <c r="N13" s="53">
        <v>100000</v>
      </c>
      <c r="O13" s="46"/>
      <c r="P13" s="46"/>
      <c r="Q13" s="46"/>
    </row>
    <row r="14" spans="1:18" x14ac:dyDescent="0.2">
      <c r="A14" s="25">
        <v>45170</v>
      </c>
      <c r="B14" s="26">
        <v>188.49546799999999</v>
      </c>
      <c r="C14" s="26">
        <v>57.469138999999998</v>
      </c>
      <c r="D14" s="26">
        <v>143.217758</v>
      </c>
      <c r="E14" s="26">
        <v>13.710893</v>
      </c>
      <c r="F14" s="26">
        <f>SUMPRODUCT(Portafolio!B14:E14,Portafolio!$M$37:$P$37)</f>
        <v>107.00105029413467</v>
      </c>
      <c r="G14" s="41">
        <f>Portafolio!F14</f>
        <v>8.4277857631225358E-3</v>
      </c>
      <c r="H14" s="41">
        <f>Portafolio!G14</f>
        <v>-8.7293459886518768E-3</v>
      </c>
      <c r="I14" s="41">
        <f>Portafolio!H14</f>
        <v>3.3430239573994255E-3</v>
      </c>
      <c r="J14" s="41">
        <f>Portafolio!I14</f>
        <v>-9.5109702559868468E-3</v>
      </c>
      <c r="K14" s="41">
        <f>Portafolio!J14</f>
        <v>-2.7929641661798323E-4</v>
      </c>
      <c r="M14" s="42" t="s">
        <v>55</v>
      </c>
      <c r="N14" s="54">
        <f>SUM(N12:Q12)*N13</f>
        <v>8406.0858340353079</v>
      </c>
      <c r="O14" s="46"/>
      <c r="P14" s="46"/>
      <c r="Q14" s="46"/>
    </row>
    <row r="15" spans="1:18" x14ac:dyDescent="0.2">
      <c r="A15" s="25">
        <v>45174</v>
      </c>
      <c r="B15" s="26">
        <v>188.734238</v>
      </c>
      <c r="C15" s="26">
        <v>56.994346999999998</v>
      </c>
      <c r="D15" s="26">
        <v>141.63748200000001</v>
      </c>
      <c r="E15" s="26">
        <v>13.551791</v>
      </c>
      <c r="F15" s="26">
        <f>SUMPRODUCT(Portafolio!B15:E15,Portafolio!$M$37:$P$37)</f>
        <v>106.28653446067561</v>
      </c>
      <c r="G15" s="41">
        <f>Portafolio!F15</f>
        <v>1.2659131987154749E-3</v>
      </c>
      <c r="H15" s="41">
        <f>Portafolio!G15</f>
        <v>-8.2960032000802229E-3</v>
      </c>
      <c r="I15" s="41">
        <f>Portafolio!H15</f>
        <v>-1.1095405596341172E-2</v>
      </c>
      <c r="J15" s="41">
        <f>Portafolio!I15</f>
        <v>-1.1671910678181512E-2</v>
      </c>
      <c r="K15" s="41">
        <f>Portafolio!J15</f>
        <v>-8.7030184436974432E-3</v>
      </c>
      <c r="N15" s="46"/>
      <c r="O15" s="46"/>
      <c r="P15" s="46"/>
      <c r="Q15" s="46"/>
    </row>
    <row r="16" spans="1:18" x14ac:dyDescent="0.2">
      <c r="A16" s="25">
        <v>45175</v>
      </c>
      <c r="B16" s="26">
        <v>181.97880599999999</v>
      </c>
      <c r="C16" s="26">
        <v>56.955589000000003</v>
      </c>
      <c r="D16" s="26">
        <v>141.403412</v>
      </c>
      <c r="E16" s="26">
        <v>13.673458</v>
      </c>
      <c r="F16" s="26">
        <f>SUMPRODUCT(Portafolio!B16:E16,Portafolio!$M$37:$P$37)</f>
        <v>104.87524977567284</v>
      </c>
      <c r="G16" s="41">
        <f>Portafolio!F16</f>
        <v>-3.6449647610985361E-2</v>
      </c>
      <c r="H16" s="41">
        <f>Portafolio!G16</f>
        <v>-6.802636816685408E-4</v>
      </c>
      <c r="I16" s="41">
        <f>Portafolio!H16</f>
        <v>-1.65396632304482E-3</v>
      </c>
      <c r="J16" s="41">
        <f>Portafolio!I16</f>
        <v>8.9378657253624903E-3</v>
      </c>
      <c r="K16" s="41">
        <f>Portafolio!J16</f>
        <v>-5.1359948137462367E-3</v>
      </c>
      <c r="M16" s="96" t="s">
        <v>56</v>
      </c>
      <c r="N16" s="97"/>
      <c r="O16" s="46"/>
      <c r="P16" s="46"/>
      <c r="Q16" s="46"/>
    </row>
    <row r="17" spans="1:17" x14ac:dyDescent="0.2">
      <c r="A17" s="25">
        <v>45176</v>
      </c>
      <c r="B17" s="26">
        <v>176.656036</v>
      </c>
      <c r="C17" s="26">
        <v>56.519558000000004</v>
      </c>
      <c r="D17" s="26">
        <v>140.19380200000001</v>
      </c>
      <c r="E17" s="26">
        <v>13.673458</v>
      </c>
      <c r="F17" s="26">
        <f>SUMPRODUCT(Portafolio!B17:E17,Portafolio!$M$37:$P$37)</f>
        <v>103.26724627571562</v>
      </c>
      <c r="G17" s="41">
        <f>Portafolio!F17</f>
        <v>-2.9685687263803755E-2</v>
      </c>
      <c r="H17" s="41">
        <f>Portafolio!G17</f>
        <v>-7.685086250950387E-3</v>
      </c>
      <c r="I17" s="41">
        <f>Portafolio!H17</f>
        <v>-8.5911179492632866E-3</v>
      </c>
      <c r="J17" s="41">
        <f>Portafolio!I17</f>
        <v>0</v>
      </c>
      <c r="K17" s="41">
        <f>Portafolio!J17</f>
        <v>-9.9898156541735963E-3</v>
      </c>
      <c r="M17" s="42" t="s">
        <v>53</v>
      </c>
      <c r="N17" s="52">
        <f>+R6*SQRT($N$7)*N9</f>
        <v>1.4557762374044787E-2</v>
      </c>
      <c r="O17" s="46"/>
      <c r="P17" s="46"/>
      <c r="Q17" s="46"/>
    </row>
    <row r="18" spans="1:17" x14ac:dyDescent="0.2">
      <c r="A18" s="25">
        <v>45177</v>
      </c>
      <c r="B18" s="26">
        <v>177.27285800000001</v>
      </c>
      <c r="C18" s="26">
        <v>56.519558000000004</v>
      </c>
      <c r="D18" s="26">
        <v>140.301117</v>
      </c>
      <c r="E18" s="26">
        <v>13.47692</v>
      </c>
      <c r="F18" s="26">
        <f>SUMPRODUCT(Portafolio!B18:E18,Portafolio!$M$37:$P$37)</f>
        <v>103.37380322756844</v>
      </c>
      <c r="G18" s="41">
        <f>Portafolio!F18</f>
        <v>3.4855737123982338E-3</v>
      </c>
      <c r="H18" s="41">
        <f>Portafolio!G18</f>
        <v>0</v>
      </c>
      <c r="I18" s="41">
        <f>Portafolio!H18</f>
        <v>7.6518323838956222E-4</v>
      </c>
      <c r="J18" s="41">
        <f>Portafolio!I18</f>
        <v>-1.4477988707991517E-2</v>
      </c>
      <c r="K18" s="41">
        <f>Portafolio!J18</f>
        <v>-3.6366611801214475E-3</v>
      </c>
      <c r="M18" s="42" t="s">
        <v>54</v>
      </c>
      <c r="N18" s="53">
        <v>100000</v>
      </c>
      <c r="O18" s="46"/>
      <c r="P18" s="46"/>
      <c r="Q18" s="46"/>
    </row>
    <row r="19" spans="1:17" x14ac:dyDescent="0.2">
      <c r="A19" s="25">
        <v>45180</v>
      </c>
      <c r="B19" s="26">
        <v>178.446854</v>
      </c>
      <c r="C19" s="26">
        <v>57.052486000000002</v>
      </c>
      <c r="D19" s="26">
        <v>140.91566499999999</v>
      </c>
      <c r="E19" s="26">
        <v>13.589228</v>
      </c>
      <c r="F19" s="26">
        <f>SUMPRODUCT(Portafolio!B19:E19,Portafolio!$M$37:$P$37)</f>
        <v>103.93465730826856</v>
      </c>
      <c r="G19" s="41">
        <f>Portafolio!F19</f>
        <v>6.6007039975988667E-3</v>
      </c>
      <c r="H19" s="41">
        <f>Portafolio!G19</f>
        <v>9.3849136242531647E-3</v>
      </c>
      <c r="I19" s="41">
        <f>Portafolio!H19</f>
        <v>4.3706422775577902E-3</v>
      </c>
      <c r="J19" s="41">
        <f>Portafolio!I19</f>
        <v>8.2988273439278445E-3</v>
      </c>
      <c r="K19" s="41">
        <f>Portafolio!J19</f>
        <v>6.2859574110678022E-3</v>
      </c>
      <c r="M19" s="42" t="s">
        <v>55</v>
      </c>
      <c r="N19" s="54">
        <f>N17*N18</f>
        <v>1455.7762374044787</v>
      </c>
      <c r="O19" s="46"/>
      <c r="P19" s="46"/>
      <c r="Q19" s="46"/>
    </row>
    <row r="20" spans="1:17" x14ac:dyDescent="0.2">
      <c r="A20" s="25">
        <v>45181</v>
      </c>
      <c r="B20" s="26">
        <v>175.40245100000001</v>
      </c>
      <c r="C20" s="26">
        <v>56.490485999999997</v>
      </c>
      <c r="D20" s="26">
        <v>142.74954199999999</v>
      </c>
      <c r="E20" s="26">
        <v>13.533073</v>
      </c>
      <c r="F20" s="26">
        <f>SUMPRODUCT(Portafolio!B20:E20,Portafolio!$M$37:$P$37)</f>
        <v>104.08919559002324</v>
      </c>
      <c r="G20" s="41">
        <f>Portafolio!F20</f>
        <v>-1.7207766577965616E-2</v>
      </c>
      <c r="H20" s="41">
        <f>Portafolio!G20</f>
        <v>-9.8994165765982269E-3</v>
      </c>
      <c r="I20" s="41">
        <f>Portafolio!H20</f>
        <v>1.2930049259339658E-2</v>
      </c>
      <c r="J20" s="41">
        <f>Portafolio!I20</f>
        <v>-4.1408787728015178E-3</v>
      </c>
      <c r="K20" s="41">
        <f>Portafolio!J20</f>
        <v>4.887238112031005E-4</v>
      </c>
    </row>
    <row r="21" spans="1:17" x14ac:dyDescent="0.2">
      <c r="A21" s="25">
        <v>45182</v>
      </c>
      <c r="B21" s="26">
        <v>173.32309000000001</v>
      </c>
      <c r="C21" s="26">
        <v>56.626140999999997</v>
      </c>
      <c r="D21" s="26">
        <v>142.817825</v>
      </c>
      <c r="E21" s="26">
        <v>13.682817</v>
      </c>
      <c r="F21" s="26">
        <f>SUMPRODUCT(Portafolio!B21:E21,Portafolio!$M$37:$P$37)</f>
        <v>103.75841421585625</v>
      </c>
      <c r="G21" s="41">
        <f>Portafolio!F21</f>
        <v>-1.1925628607410014E-2</v>
      </c>
      <c r="H21" s="41">
        <f>Portafolio!G21</f>
        <v>2.3984991177818894E-3</v>
      </c>
      <c r="I21" s="41">
        <f>Portafolio!H21</f>
        <v>4.7822692080471709E-4</v>
      </c>
      <c r="J21" s="41">
        <f>Portafolio!I21</f>
        <v>1.1004270746853787E-2</v>
      </c>
      <c r="K21" s="41">
        <f>Portafolio!J21</f>
        <v>1.4768108627912393E-3</v>
      </c>
      <c r="M21" s="42" t="s">
        <v>61</v>
      </c>
      <c r="N21" s="44">
        <f>N14-N19</f>
        <v>6950.3095966308292</v>
      </c>
    </row>
    <row r="22" spans="1:17" x14ac:dyDescent="0.2">
      <c r="A22" s="25">
        <v>45183</v>
      </c>
      <c r="B22" s="26">
        <v>174.84530599999999</v>
      </c>
      <c r="C22" s="26">
        <v>57.094935999999997</v>
      </c>
      <c r="D22" s="26">
        <v>145.58813499999999</v>
      </c>
      <c r="E22" s="26">
        <v>14.094611</v>
      </c>
      <c r="F22" s="26">
        <f>SUMPRODUCT(Portafolio!B22:E22,Portafolio!$M$37:$P$37)</f>
        <v>105.42582019360279</v>
      </c>
      <c r="G22" s="41">
        <f>Portafolio!F22</f>
        <v>8.744192273870471E-3</v>
      </c>
      <c r="H22" s="41">
        <f>Portafolio!G22</f>
        <v>8.2446925036342867E-3</v>
      </c>
      <c r="I22" s="41">
        <f>Portafolio!H22</f>
        <v>1.9211775011975799E-2</v>
      </c>
      <c r="J22" s="41">
        <f>Portafolio!I22</f>
        <v>2.9651713697862989E-2</v>
      </c>
      <c r="K22" s="41">
        <f>Portafolio!J22</f>
        <v>2.0042246390674492E-2</v>
      </c>
      <c r="M22" s="42" t="s">
        <v>61</v>
      </c>
      <c r="N22" s="72">
        <f>1-(N17/N12)</f>
        <v>0.38188228651539236</v>
      </c>
    </row>
    <row r="23" spans="1:17" x14ac:dyDescent="0.2">
      <c r="A23" s="25">
        <v>45184</v>
      </c>
      <c r="B23" s="26">
        <v>174.11900299999999</v>
      </c>
      <c r="C23" s="26">
        <v>56.587074000000001</v>
      </c>
      <c r="D23" s="26">
        <v>145.15891999999999</v>
      </c>
      <c r="E23" s="26">
        <v>14.253714</v>
      </c>
      <c r="F23" s="26">
        <f>SUMPRODUCT(Portafolio!B23:E23,Portafolio!$M$37:$P$37)</f>
        <v>105.12379054511401</v>
      </c>
      <c r="G23" s="41">
        <f>Portafolio!F23</f>
        <v>-4.1626265495737849E-3</v>
      </c>
      <c r="H23" s="41">
        <f>Portafolio!G23</f>
        <v>-8.9348416448038568E-3</v>
      </c>
      <c r="I23" s="41">
        <f>Portafolio!H23</f>
        <v>-2.9524998063902006E-3</v>
      </c>
      <c r="J23" s="41">
        <f>Portafolio!I23</f>
        <v>1.1224978589028094E-2</v>
      </c>
      <c r="K23" s="41">
        <f>Portafolio!J23</f>
        <v>1.1313429911168696E-3</v>
      </c>
    </row>
    <row r="24" spans="1:17" x14ac:dyDescent="0.2">
      <c r="A24" s="25">
        <v>45187</v>
      </c>
      <c r="B24" s="26">
        <v>177.06393399999999</v>
      </c>
      <c r="C24" s="26">
        <v>56.938667000000002</v>
      </c>
      <c r="D24" s="26">
        <v>145.461319</v>
      </c>
      <c r="E24" s="26">
        <v>14.122688</v>
      </c>
      <c r="F24" s="26">
        <f>SUMPRODUCT(Portafolio!B24:E24,Portafolio!$M$37:$P$37)</f>
        <v>105.81521894963043</v>
      </c>
      <c r="G24" s="41">
        <f>Portafolio!F24</f>
        <v>1.6771885661529522E-2</v>
      </c>
      <c r="H24" s="41">
        <f>Portafolio!G24</f>
        <v>6.1940863988089057E-3</v>
      </c>
      <c r="I24" s="41">
        <f>Portafolio!H24</f>
        <v>2.081060219182381E-3</v>
      </c>
      <c r="J24" s="41">
        <f>Portafolio!I24</f>
        <v>-9.2349221157867391E-3</v>
      </c>
      <c r="K24" s="41">
        <f>Portafolio!J24</f>
        <v>1.5301136594923666E-3</v>
      </c>
    </row>
    <row r="25" spans="1:17" x14ac:dyDescent="0.2">
      <c r="A25" s="25">
        <v>45188</v>
      </c>
      <c r="B25" s="26">
        <v>178.15834000000001</v>
      </c>
      <c r="C25" s="26">
        <v>56.821472</v>
      </c>
      <c r="D25" s="26">
        <v>145.27597</v>
      </c>
      <c r="E25" s="26">
        <v>14.234997</v>
      </c>
      <c r="F25" s="26">
        <f>SUMPRODUCT(Portafolio!B25:E25,Portafolio!$M$37:$P$37)</f>
        <v>105.98366943330825</v>
      </c>
      <c r="G25" s="41">
        <f>Portafolio!F25</f>
        <v>6.1618290451625419E-3</v>
      </c>
      <c r="H25" s="41">
        <f>Portafolio!G25</f>
        <v>-2.0603885067279927E-3</v>
      </c>
      <c r="I25" s="41">
        <f>Portafolio!H25</f>
        <v>-1.2750275394505101E-3</v>
      </c>
      <c r="J25" s="41">
        <f>Portafolio!I25</f>
        <v>7.9209277625121085E-3</v>
      </c>
      <c r="K25" s="41">
        <f>Portafolio!J25</f>
        <v>3.1390478840161106E-3</v>
      </c>
    </row>
    <row r="26" spans="1:17" x14ac:dyDescent="0.2">
      <c r="A26" s="25">
        <v>45189</v>
      </c>
      <c r="B26" s="26">
        <v>174.59657300000001</v>
      </c>
      <c r="C26" s="26">
        <v>57.075400999999999</v>
      </c>
      <c r="D26" s="26">
        <v>144.66145299999999</v>
      </c>
      <c r="E26" s="26">
        <v>14.553202000000001</v>
      </c>
      <c r="F26" s="26">
        <f>SUMPRODUCT(Portafolio!B26:E26,Portafolio!$M$37:$P$37)</f>
        <v>105.11778328619845</v>
      </c>
      <c r="G26" s="41">
        <f>Portafolio!F26</f>
        <v>-2.0194689945887755E-2</v>
      </c>
      <c r="H26" s="41">
        <f>Portafolio!G26</f>
        <v>4.4589357728930948E-3</v>
      </c>
      <c r="I26" s="41">
        <f>Portafolio!H26</f>
        <v>-4.2389693184284203E-3</v>
      </c>
      <c r="J26" s="41">
        <f>Portafolio!I26</f>
        <v>2.2107528152630732E-2</v>
      </c>
      <c r="K26" s="41">
        <f>Portafolio!J26</f>
        <v>1.4273245220018617E-3</v>
      </c>
    </row>
    <row r="27" spans="1:17" x14ac:dyDescent="0.2">
      <c r="A27" s="25">
        <v>45190</v>
      </c>
      <c r="B27" s="26">
        <v>173.04452499999999</v>
      </c>
      <c r="C27" s="26">
        <v>56.196418999999999</v>
      </c>
      <c r="D27" s="26">
        <v>143.52990700000001</v>
      </c>
      <c r="E27" s="26">
        <v>14.328587000000001</v>
      </c>
      <c r="F27" s="26">
        <f>SUMPRODUCT(Portafolio!B27:E27,Portafolio!$M$37:$P$37)</f>
        <v>104.2050377849754</v>
      </c>
      <c r="G27" s="41">
        <f>Portafolio!F27</f>
        <v>-8.9290841663582452E-3</v>
      </c>
      <c r="H27" s="41">
        <f>Portafolio!G27</f>
        <v>-1.5520182226064388E-2</v>
      </c>
      <c r="I27" s="41">
        <f>Portafolio!H27</f>
        <v>-7.8527809774467452E-3</v>
      </c>
      <c r="J27" s="41">
        <f>Portafolio!I27</f>
        <v>-1.5554405482686634E-2</v>
      </c>
      <c r="K27" s="41">
        <f>Portafolio!J27</f>
        <v>-1.0862645480342735E-2</v>
      </c>
    </row>
    <row r="28" spans="1:17" x14ac:dyDescent="0.2">
      <c r="A28" s="25">
        <v>45191</v>
      </c>
      <c r="B28" s="26">
        <v>173.900116</v>
      </c>
      <c r="C28" s="26">
        <v>56.255015999999998</v>
      </c>
      <c r="D28" s="26">
        <v>142.15448000000001</v>
      </c>
      <c r="E28" s="26">
        <v>14.150764000000001</v>
      </c>
      <c r="F28" s="26">
        <f>SUMPRODUCT(Portafolio!B28:E28,Portafolio!$M$37:$P$37)</f>
        <v>103.71884677913644</v>
      </c>
      <c r="G28" s="41">
        <f>Portafolio!F28</f>
        <v>4.932157084030179E-3</v>
      </c>
      <c r="H28" s="41">
        <f>Portafolio!G28</f>
        <v>1.0421744338548341E-3</v>
      </c>
      <c r="I28" s="41">
        <f>Portafolio!H28</f>
        <v>-9.6290710303040105E-3</v>
      </c>
      <c r="J28" s="41">
        <f>Portafolio!I28</f>
        <v>-1.2488017087223817E-2</v>
      </c>
      <c r="K28" s="41">
        <f>Portafolio!J28</f>
        <v>-7.2123448333486972E-3</v>
      </c>
    </row>
    <row r="29" spans="1:17" x14ac:dyDescent="0.2">
      <c r="A29" s="25">
        <v>45194</v>
      </c>
      <c r="B29" s="26">
        <v>175.18356299999999</v>
      </c>
      <c r="C29" s="26">
        <v>55.669029000000002</v>
      </c>
      <c r="D29" s="26">
        <v>142.856842</v>
      </c>
      <c r="E29" s="26">
        <v>14.094611</v>
      </c>
      <c r="F29" s="26">
        <f>SUMPRODUCT(Portafolio!B29:E29,Portafolio!$M$37:$P$37)</f>
        <v>104.23994988673724</v>
      </c>
      <c r="G29" s="41">
        <f>Portafolio!F29</f>
        <v>7.3532671978666295E-3</v>
      </c>
      <c r="H29" s="41">
        <f>Portafolio!G29</f>
        <v>-1.0471250468192831E-2</v>
      </c>
      <c r="I29" s="41">
        <f>Portafolio!H29</f>
        <v>4.9286703199951359E-3</v>
      </c>
      <c r="J29" s="41">
        <f>Portafolio!I29</f>
        <v>-3.9760898184737319E-3</v>
      </c>
      <c r="K29" s="41">
        <f>Portafolio!J29</f>
        <v>1.9130567663173188E-3</v>
      </c>
    </row>
    <row r="30" spans="1:17" x14ac:dyDescent="0.2">
      <c r="A30" s="25">
        <v>45195</v>
      </c>
      <c r="B30" s="26">
        <v>171.08453399999999</v>
      </c>
      <c r="C30" s="26">
        <v>55.209999000000003</v>
      </c>
      <c r="D30" s="26">
        <v>141.37413000000001</v>
      </c>
      <c r="E30" s="26">
        <v>14.057176</v>
      </c>
      <c r="F30" s="26">
        <f>SUMPRODUCT(Portafolio!B30:E30,Portafolio!$M$37:$P$37)</f>
        <v>102.74336507865308</v>
      </c>
      <c r="G30" s="41">
        <f>Portafolio!F30</f>
        <v>-2.3676570379196956E-2</v>
      </c>
      <c r="H30" s="41">
        <f>Portafolio!G30</f>
        <v>-8.2798817906721903E-3</v>
      </c>
      <c r="I30" s="41">
        <f>Portafolio!H30</f>
        <v>-1.0433243353410393E-2</v>
      </c>
      <c r="J30" s="41">
        <f>Portafolio!I30</f>
        <v>-2.6595130223768674E-3</v>
      </c>
      <c r="K30" s="41">
        <f>Portafolio!J30</f>
        <v>-1.0479526555787275E-2</v>
      </c>
    </row>
    <row r="31" spans="1:17" x14ac:dyDescent="0.2">
      <c r="A31" s="25">
        <v>45196</v>
      </c>
      <c r="B31" s="26">
        <v>169.56231700000001</v>
      </c>
      <c r="C31" s="26">
        <v>54.643543000000001</v>
      </c>
      <c r="D31" s="26">
        <v>142.203262</v>
      </c>
      <c r="E31" s="26">
        <v>13.916791</v>
      </c>
      <c r="F31" s="26">
        <f>SUMPRODUCT(Portafolio!B31:E31,Portafolio!$M$37:$P$37)</f>
        <v>102.73435798922169</v>
      </c>
      <c r="G31" s="41">
        <f>Portafolio!F31</f>
        <v>-8.9372740582099996E-3</v>
      </c>
      <c r="H31" s="41">
        <f>Portafolio!G31</f>
        <v>-1.0313022416799286E-2</v>
      </c>
      <c r="I31" s="41">
        <f>Portafolio!H31</f>
        <v>5.8476760566381946E-3</v>
      </c>
      <c r="J31" s="41">
        <f>Portafolio!I31</f>
        <v>-1.0036916003110012E-2</v>
      </c>
      <c r="K31" s="41">
        <f>Portafolio!J31</f>
        <v>-2.8788070221865132E-3</v>
      </c>
    </row>
    <row r="32" spans="1:17" x14ac:dyDescent="0.2">
      <c r="A32" s="25">
        <v>45197</v>
      </c>
      <c r="B32" s="26">
        <v>169.82101399999999</v>
      </c>
      <c r="C32" s="26">
        <v>54.506816999999998</v>
      </c>
      <c r="D32" s="26">
        <v>143.968872</v>
      </c>
      <c r="E32" s="26">
        <v>14.047817</v>
      </c>
      <c r="F32" s="26">
        <f>SUMPRODUCT(Portafolio!B32:E32,Portafolio!$M$37:$P$37)</f>
        <v>103.59509881318283</v>
      </c>
      <c r="G32" s="41">
        <f>Portafolio!F32</f>
        <v>1.5245124110350558E-3</v>
      </c>
      <c r="H32" s="41">
        <f>Portafolio!G32</f>
        <v>-2.5052793506595878E-3</v>
      </c>
      <c r="I32" s="41">
        <f>Portafolio!H32</f>
        <v>1.2339652914118577E-2</v>
      </c>
      <c r="J32" s="41">
        <f>Portafolio!I32</f>
        <v>9.370913321953802E-3</v>
      </c>
      <c r="K32" s="41">
        <f>Portafolio!J32</f>
        <v>8.6209083606874817E-3</v>
      </c>
    </row>
    <row r="33" spans="1:11" x14ac:dyDescent="0.2">
      <c r="A33" s="25">
        <v>45198</v>
      </c>
      <c r="B33" s="26">
        <v>170.33836400000001</v>
      </c>
      <c r="C33" s="26">
        <v>54.672840000000001</v>
      </c>
      <c r="D33" s="26">
        <v>141.46191400000001</v>
      </c>
      <c r="E33" s="26">
        <v>14.057176</v>
      </c>
      <c r="F33" s="26">
        <f>SUMPRODUCT(Portafolio!B33:E33,Portafolio!$M$37:$P$37)</f>
        <v>102.6111103337289</v>
      </c>
      <c r="G33" s="41">
        <f>Portafolio!F33</f>
        <v>3.0418117645047292E-3</v>
      </c>
      <c r="H33" s="41">
        <f>Portafolio!G33</f>
        <v>3.0412831937692204E-3</v>
      </c>
      <c r="I33" s="41">
        <f>Portafolio!H33</f>
        <v>-1.7566587699048578E-2</v>
      </c>
      <c r="J33" s="41">
        <f>Portafolio!I33</f>
        <v>6.6600268115622394E-4</v>
      </c>
      <c r="K33" s="41">
        <f>Portafolio!J33</f>
        <v>-6.7410008614461787E-3</v>
      </c>
    </row>
    <row r="34" spans="1:11" x14ac:dyDescent="0.2">
      <c r="A34" s="25">
        <v>45201</v>
      </c>
      <c r="B34" s="26">
        <v>172.865433</v>
      </c>
      <c r="C34" s="26">
        <v>54.184517</v>
      </c>
      <c r="D34" s="26">
        <v>140.24259900000001</v>
      </c>
      <c r="E34" s="26">
        <v>13.729611</v>
      </c>
      <c r="F34" s="26">
        <f>SUMPRODUCT(Portafolio!B34:E34,Portafolio!$M$37:$P$37)</f>
        <v>102.45578888649976</v>
      </c>
      <c r="G34" s="41">
        <f>Portafolio!F34</f>
        <v>1.4726612543542477E-2</v>
      </c>
      <c r="H34" s="41">
        <f>Portafolio!G34</f>
        <v>-8.9718561804357604E-3</v>
      </c>
      <c r="I34" s="41">
        <f>Portafolio!H34</f>
        <v>-8.6567488859623613E-3</v>
      </c>
      <c r="J34" s="41">
        <f>Portafolio!I34</f>
        <v>-2.3578125464621125E-2</v>
      </c>
      <c r="K34" s="41">
        <f>Portafolio!J34</f>
        <v>-8.8179369067360458E-3</v>
      </c>
    </row>
    <row r="35" spans="1:11" x14ac:dyDescent="0.2">
      <c r="A35" s="25">
        <v>45202</v>
      </c>
      <c r="B35" s="26">
        <v>171.52229299999999</v>
      </c>
      <c r="C35" s="26">
        <v>53.598529999999997</v>
      </c>
      <c r="D35" s="26">
        <v>139.208618</v>
      </c>
      <c r="E35" s="26">
        <v>13.832561</v>
      </c>
      <c r="F35" s="26">
        <f>SUMPRODUCT(Portafolio!B35:E35,Portafolio!$M$37:$P$37)</f>
        <v>101.74491072456183</v>
      </c>
      <c r="G35" s="41">
        <f>Portafolio!F35</f>
        <v>-7.8002013931504684E-3</v>
      </c>
      <c r="H35" s="41">
        <f>Portafolio!G35</f>
        <v>-1.0873561101627389E-2</v>
      </c>
      <c r="I35" s="41">
        <f>Portafolio!H35</f>
        <v>-7.4001160534839551E-3</v>
      </c>
      <c r="J35" s="41">
        <f>Portafolio!I35</f>
        <v>7.470418425544037E-3</v>
      </c>
      <c r="K35" s="41">
        <f>Portafolio!J35</f>
        <v>-2.8289855790354316E-3</v>
      </c>
    </row>
    <row r="36" spans="1:11" x14ac:dyDescent="0.2">
      <c r="A36" s="25">
        <v>45203</v>
      </c>
      <c r="B36" s="26">
        <v>172.77589399999999</v>
      </c>
      <c r="C36" s="26">
        <v>53.754795000000001</v>
      </c>
      <c r="D36" s="26">
        <v>139.832886</v>
      </c>
      <c r="E36" s="26">
        <v>13.710893</v>
      </c>
      <c r="F36" s="26">
        <f>SUMPRODUCT(Portafolio!B36:E36,Portafolio!$M$37:$P$37)</f>
        <v>102.23509257688659</v>
      </c>
      <c r="G36" s="41">
        <f>Portafolio!F36</f>
        <v>7.2820978273525263E-3</v>
      </c>
      <c r="H36" s="41">
        <f>Portafolio!G36</f>
        <v>2.9112300036451422E-3</v>
      </c>
      <c r="I36" s="41">
        <f>Portafolio!H36</f>
        <v>4.4743812840926343E-3</v>
      </c>
      <c r="J36" s="41">
        <f>Portafolio!I36</f>
        <v>-8.8346792935787202E-3</v>
      </c>
      <c r="K36" s="41">
        <f>Portafolio!J36</f>
        <v>6.8071290908287667E-4</v>
      </c>
    </row>
    <row r="37" spans="1:11" x14ac:dyDescent="0.2">
      <c r="A37" s="25">
        <v>45204</v>
      </c>
      <c r="B37" s="26">
        <v>174.019531</v>
      </c>
      <c r="C37" s="26">
        <v>51.156905999999999</v>
      </c>
      <c r="D37" s="26">
        <v>140.42248499999999</v>
      </c>
      <c r="E37" s="26">
        <v>13.879355</v>
      </c>
      <c r="F37" s="26">
        <f>SUMPRODUCT(Portafolio!B37:E37,Portafolio!$M$37:$P$37)</f>
        <v>102.68915153336349</v>
      </c>
      <c r="G37" s="41">
        <f>Portafolio!F37</f>
        <v>7.1721957179410305E-3</v>
      </c>
      <c r="H37" s="41">
        <f>Portafolio!G37</f>
        <v>-4.9535374384451825E-2</v>
      </c>
      <c r="I37" s="41">
        <f>Portafolio!H37</f>
        <v>4.2075901542361687E-3</v>
      </c>
      <c r="J37" s="41">
        <f>Portafolio!I37</f>
        <v>1.2211857867236135E-2</v>
      </c>
      <c r="K37" s="41">
        <f>Portafolio!J37</f>
        <v>5.1834637731418276E-3</v>
      </c>
    </row>
    <row r="38" spans="1:11" x14ac:dyDescent="0.2">
      <c r="A38" s="25">
        <v>45205</v>
      </c>
      <c r="B38" s="26">
        <v>176.586411</v>
      </c>
      <c r="C38" s="26">
        <v>51.899158</v>
      </c>
      <c r="D38" s="26">
        <v>142.584351</v>
      </c>
      <c r="E38" s="26">
        <v>13.782069999999999</v>
      </c>
      <c r="F38" s="26">
        <f>SUMPRODUCT(Portafolio!B38:E38,Portafolio!$M$37:$P$37)</f>
        <v>104.14565309314298</v>
      </c>
      <c r="G38" s="41">
        <f>Portafolio!F38</f>
        <v>1.4642797262619538E-2</v>
      </c>
      <c r="H38" s="41">
        <f>Portafolio!G38</f>
        <v>1.4405068586763934E-2</v>
      </c>
      <c r="I38" s="41">
        <f>Portafolio!H38</f>
        <v>1.5278133083516892E-2</v>
      </c>
      <c r="J38" s="41">
        <f>Portafolio!I38</f>
        <v>-7.0340122474886078E-3</v>
      </c>
      <c r="K38" s="41">
        <f>Portafolio!J38</f>
        <v>7.9247087144746625E-3</v>
      </c>
    </row>
    <row r="39" spans="1:11" x14ac:dyDescent="0.2">
      <c r="A39" s="25">
        <v>45208</v>
      </c>
      <c r="B39" s="26">
        <v>178.07875100000001</v>
      </c>
      <c r="C39" s="26">
        <v>51.645232999999998</v>
      </c>
      <c r="D39" s="26">
        <v>142.260086</v>
      </c>
      <c r="E39" s="26">
        <v>14.049127</v>
      </c>
      <c r="F39" s="26">
        <f>SUMPRODUCT(Portafolio!B39:E39,Portafolio!$M$37:$P$37)</f>
        <v>104.37692926386772</v>
      </c>
      <c r="G39" s="41">
        <f>Portafolio!F39</f>
        <v>8.4155364965835446E-3</v>
      </c>
      <c r="H39" s="41">
        <f>Portafolio!G39</f>
        <v>-4.9046695157092994E-3</v>
      </c>
      <c r="I39" s="41">
        <f>Portafolio!H39</f>
        <v>-2.2767875931944174E-3</v>
      </c>
      <c r="J39" s="41">
        <f>Portafolio!I39</f>
        <v>1.919178660718069E-2</v>
      </c>
      <c r="K39" s="41">
        <f>Portafolio!J39</f>
        <v>6.6663510313033688E-3</v>
      </c>
    </row>
    <row r="40" spans="1:11" x14ac:dyDescent="0.2">
      <c r="A40" s="25">
        <v>45209</v>
      </c>
      <c r="B40" s="26">
        <v>177.48181199999999</v>
      </c>
      <c r="C40" s="26">
        <v>52.768374999999999</v>
      </c>
      <c r="D40" s="26">
        <v>143.12480199999999</v>
      </c>
      <c r="E40" s="26">
        <v>14.268497</v>
      </c>
      <c r="F40" s="26">
        <f>SUMPRODUCT(Portafolio!B40:E40,Portafolio!$M$37:$P$37)</f>
        <v>104.75286761322543</v>
      </c>
      <c r="G40" s="41">
        <f>Portafolio!F40</f>
        <v>-3.3577377412587176E-3</v>
      </c>
      <c r="H40" s="41">
        <f>Portafolio!G40</f>
        <v>2.1514155913894644E-2</v>
      </c>
      <c r="I40" s="41">
        <f>Portafolio!H40</f>
        <v>6.0600170693245765E-3</v>
      </c>
      <c r="J40" s="41">
        <f>Portafolio!I40</f>
        <v>1.5493841465178439E-2</v>
      </c>
      <c r="K40" s="41">
        <f>Portafolio!J40</f>
        <v>7.8544778962305432E-3</v>
      </c>
    </row>
    <row r="41" spans="1:11" x14ac:dyDescent="0.2">
      <c r="A41" s="25">
        <v>45210</v>
      </c>
      <c r="B41" s="26">
        <v>178.88462799999999</v>
      </c>
      <c r="C41" s="26">
        <v>52.455849000000001</v>
      </c>
      <c r="D41" s="26">
        <v>143.61615</v>
      </c>
      <c r="E41" s="26">
        <v>14.087278</v>
      </c>
      <c r="F41" s="26">
        <f>SUMPRODUCT(Portafolio!B41:E41,Portafolio!$M$37:$P$37)</f>
        <v>105.17629498645837</v>
      </c>
      <c r="G41" s="41">
        <f>Portafolio!F41</f>
        <v>7.8729256654077838E-3</v>
      </c>
      <c r="H41" s="41">
        <f>Portafolio!G41</f>
        <v>-5.9402085775266582E-3</v>
      </c>
      <c r="I41" s="41">
        <f>Portafolio!H41</f>
        <v>3.4271245700145075E-3</v>
      </c>
      <c r="J41" s="41">
        <f>Portafolio!I41</f>
        <v>-1.2781979492703863E-2</v>
      </c>
      <c r="K41" s="41">
        <f>Portafolio!J41</f>
        <v>-1.2934255786129127E-3</v>
      </c>
    </row>
    <row r="42" spans="1:11" x14ac:dyDescent="0.2">
      <c r="A42" s="25">
        <v>45211</v>
      </c>
      <c r="B42" s="26">
        <v>179.790009</v>
      </c>
      <c r="C42" s="26">
        <v>51.576866000000003</v>
      </c>
      <c r="D42" s="26">
        <v>143.282028</v>
      </c>
      <c r="E42" s="26">
        <v>13.782069999999999</v>
      </c>
      <c r="F42" s="26">
        <f>SUMPRODUCT(Portafolio!B42:E42,Portafolio!$M$37:$P$37)</f>
        <v>105.07629942147032</v>
      </c>
      <c r="G42" s="41">
        <f>Portafolio!F42</f>
        <v>5.0484914715231101E-3</v>
      </c>
      <c r="H42" s="41">
        <f>Portafolio!G42</f>
        <v>-1.6898605731409447E-2</v>
      </c>
      <c r="I42" s="41">
        <f>Portafolio!H42</f>
        <v>-2.3292037153074849E-3</v>
      </c>
      <c r="J42" s="41">
        <f>Portafolio!I42</f>
        <v>-2.1903648579655197E-2</v>
      </c>
      <c r="K42" s="41">
        <f>Portafolio!J42</f>
        <v>-7.7624496799989307E-3</v>
      </c>
    </row>
    <row r="43" spans="1:11" x14ac:dyDescent="0.2">
      <c r="A43" s="25">
        <v>45212</v>
      </c>
      <c r="B43" s="26">
        <v>177.93946800000001</v>
      </c>
      <c r="C43" s="26">
        <v>51.654995</v>
      </c>
      <c r="D43" s="26">
        <v>145.43408199999999</v>
      </c>
      <c r="E43" s="26">
        <v>13.696229000000001</v>
      </c>
      <c r="F43" s="26">
        <f>SUMPRODUCT(Portafolio!B43:E43,Portafolio!$M$37:$P$37)</f>
        <v>105.62458994561244</v>
      </c>
      <c r="G43" s="41">
        <f>Portafolio!F43</f>
        <v>-1.0346128156285038E-2</v>
      </c>
      <c r="H43" s="41">
        <f>Portafolio!G43</f>
        <v>1.5136608826072475E-3</v>
      </c>
      <c r="I43" s="41">
        <f>Portafolio!H43</f>
        <v>1.490802752612275E-2</v>
      </c>
      <c r="J43" s="41">
        <f>Portafolio!I43</f>
        <v>-6.2479325408984904E-3</v>
      </c>
      <c r="K43" s="41">
        <f>Portafolio!J43</f>
        <v>2.5088405008130716E-3</v>
      </c>
    </row>
    <row r="44" spans="1:11" x14ac:dyDescent="0.2">
      <c r="A44" s="25">
        <v>45215</v>
      </c>
      <c r="B44" s="26">
        <v>177.810135</v>
      </c>
      <c r="C44" s="26">
        <v>52.182383999999999</v>
      </c>
      <c r="D44" s="26">
        <v>145.28668200000001</v>
      </c>
      <c r="E44" s="26">
        <v>13.743919</v>
      </c>
      <c r="F44" s="26">
        <f>SUMPRODUCT(Portafolio!B44:E44,Portafolio!$M$37:$P$37)</f>
        <v>105.5712253684582</v>
      </c>
      <c r="G44" s="41">
        <f>Portafolio!F44</f>
        <v>-7.2710133536225421E-4</v>
      </c>
      <c r="H44" s="41">
        <f>Portafolio!G44</f>
        <v>1.0158067162630343E-2</v>
      </c>
      <c r="I44" s="41">
        <f>Portafolio!H44</f>
        <v>-1.0140315442376808E-3</v>
      </c>
      <c r="J44" s="41">
        <f>Portafolio!I44</f>
        <v>3.47593227385585E-3</v>
      </c>
      <c r="K44" s="41">
        <f>Portafolio!J44</f>
        <v>9.4651306234168689E-4</v>
      </c>
    </row>
    <row r="45" spans="1:11" x14ac:dyDescent="0.2">
      <c r="A45" s="25">
        <v>45216</v>
      </c>
      <c r="B45" s="26">
        <v>176.248108</v>
      </c>
      <c r="C45" s="26">
        <v>52.807445999999999</v>
      </c>
      <c r="D45" s="26">
        <v>144.97221400000001</v>
      </c>
      <c r="E45" s="26">
        <v>13.906060999999999</v>
      </c>
      <c r="F45" s="26">
        <f>SUMPRODUCT(Portafolio!B45:E45,Portafolio!$M$37:$P$37)</f>
        <v>105.20007170039821</v>
      </c>
      <c r="G45" s="41">
        <f>Portafolio!F45</f>
        <v>-8.8236168219693739E-3</v>
      </c>
      <c r="H45" s="41">
        <f>Portafolio!G45</f>
        <v>1.1907236828734701E-2</v>
      </c>
      <c r="I45" s="41">
        <f>Portafolio!H45</f>
        <v>-2.1668112665697982E-3</v>
      </c>
      <c r="J45" s="41">
        <f>Portafolio!I45</f>
        <v>1.1728316519177792E-2</v>
      </c>
      <c r="K45" s="41">
        <f>Portafolio!J45</f>
        <v>1.5594675909491673E-3</v>
      </c>
    </row>
    <row r="46" spans="1:11" x14ac:dyDescent="0.2">
      <c r="A46" s="25">
        <v>45217</v>
      </c>
      <c r="B46" s="26">
        <v>174.94477800000001</v>
      </c>
      <c r="C46" s="26">
        <v>52.787909999999997</v>
      </c>
      <c r="D46" s="26">
        <v>143.380325</v>
      </c>
      <c r="E46" s="26">
        <v>13.658078</v>
      </c>
      <c r="F46" s="26">
        <f>SUMPRODUCT(Portafolio!B46:E46,Portafolio!$M$37:$P$37)</f>
        <v>104.16304781290782</v>
      </c>
      <c r="G46" s="41">
        <f>Portafolio!F46</f>
        <v>-7.4223370429170512E-3</v>
      </c>
      <c r="H46" s="41">
        <f>Portafolio!G46</f>
        <v>-3.7001627652822851E-4</v>
      </c>
      <c r="I46" s="41">
        <f>Portafolio!H46</f>
        <v>-1.1041381345434621E-2</v>
      </c>
      <c r="J46" s="41">
        <f>Portafolio!I46</f>
        <v>-1.7993646801684915E-2</v>
      </c>
      <c r="K46" s="41">
        <f>Portafolio!J46</f>
        <v>-1.212492028973566E-2</v>
      </c>
    </row>
    <row r="47" spans="1:11" x14ac:dyDescent="0.2">
      <c r="A47" s="25">
        <v>45218</v>
      </c>
      <c r="B47" s="26">
        <v>174.566742</v>
      </c>
      <c r="C47" s="26">
        <v>53.080902000000002</v>
      </c>
      <c r="D47" s="26">
        <v>142.77105700000001</v>
      </c>
      <c r="E47" s="26">
        <v>14.554627999999999</v>
      </c>
      <c r="F47" s="26">
        <f>SUMPRODUCT(Portafolio!B47:E47,Portafolio!$M$37:$P$37)</f>
        <v>104.12203655817545</v>
      </c>
      <c r="G47" s="41">
        <f>Portafolio!F47</f>
        <v>-2.1632256780532658E-3</v>
      </c>
      <c r="H47" s="41">
        <f>Portafolio!G47</f>
        <v>5.5350153172178456E-3</v>
      </c>
      <c r="I47" s="41">
        <f>Portafolio!H47</f>
        <v>-4.2583678361532767E-3</v>
      </c>
      <c r="J47" s="41">
        <f>Portafolio!I47</f>
        <v>6.3577877182322051E-2</v>
      </c>
      <c r="K47" s="41">
        <f>Portafolio!J47</f>
        <v>1.8422592847118335E-2</v>
      </c>
    </row>
    <row r="48" spans="1:11" x14ac:dyDescent="0.2">
      <c r="A48" s="25">
        <v>45219</v>
      </c>
      <c r="B48" s="26">
        <v>171.999863</v>
      </c>
      <c r="C48" s="26">
        <v>53.295769</v>
      </c>
      <c r="D48" s="26">
        <v>140.47163399999999</v>
      </c>
      <c r="E48" s="26">
        <v>14.669083000000001</v>
      </c>
      <c r="F48" s="26">
        <f>SUMPRODUCT(Portafolio!B48:E48,Portafolio!$M$37:$P$37)</f>
        <v>102.64996918373301</v>
      </c>
      <c r="G48" s="41">
        <f>Portafolio!F48</f>
        <v>-1.48134638605088E-2</v>
      </c>
      <c r="H48" s="41">
        <f>Portafolio!G48</f>
        <v>4.0397446205238134E-3</v>
      </c>
      <c r="I48" s="41">
        <f>Portafolio!H48</f>
        <v>-1.623677213768495E-2</v>
      </c>
      <c r="J48" s="41">
        <f>Portafolio!I48</f>
        <v>7.8330630368045693E-3</v>
      </c>
      <c r="K48" s="41">
        <f>Portafolio!J48</f>
        <v>-7.36738173021061E-3</v>
      </c>
    </row>
    <row r="49" spans="1:11" x14ac:dyDescent="0.2">
      <c r="A49" s="25">
        <v>45222</v>
      </c>
      <c r="B49" s="26">
        <v>172.119247</v>
      </c>
      <c r="C49" s="26">
        <v>52.817211</v>
      </c>
      <c r="D49" s="26">
        <v>138.55543499999999</v>
      </c>
      <c r="E49" s="26">
        <v>14.258959000000001</v>
      </c>
      <c r="F49" s="26">
        <f>SUMPRODUCT(Portafolio!B49:E49,Portafolio!$M$37:$P$37)</f>
        <v>101.68361883646959</v>
      </c>
      <c r="G49" s="41">
        <f>Portafolio!F49</f>
        <v>6.9385280456884656E-4</v>
      </c>
      <c r="H49" s="41">
        <f>Portafolio!G49</f>
        <v>-9.01984365197008E-3</v>
      </c>
      <c r="I49" s="41">
        <f>Portafolio!H49</f>
        <v>-1.3735076896956099E-2</v>
      </c>
      <c r="J49" s="41">
        <f>Portafolio!I49</f>
        <v>-2.8356670761467306E-2</v>
      </c>
      <c r="K49" s="41">
        <f>Portafolio!J49</f>
        <v>-1.5379019650579921E-2</v>
      </c>
    </row>
    <row r="50" spans="1:11" x14ac:dyDescent="0.2">
      <c r="A50" s="25">
        <v>45223</v>
      </c>
      <c r="B50" s="26">
        <v>172.55702199999999</v>
      </c>
      <c r="C50" s="26">
        <v>54.340781999999997</v>
      </c>
      <c r="D50" s="26">
        <v>138.722488</v>
      </c>
      <c r="E50" s="26">
        <v>14.812148000000001</v>
      </c>
      <c r="F50" s="26">
        <f>SUMPRODUCT(Portafolio!B50:E50,Portafolio!$M$37:$P$37)</f>
        <v>102.08448102853249</v>
      </c>
      <c r="G50" s="41">
        <f>Portafolio!F50</f>
        <v>2.5402110604923374E-3</v>
      </c>
      <c r="H50" s="41">
        <f>Portafolio!G50</f>
        <v>2.8437891260977562E-2</v>
      </c>
      <c r="I50" s="41">
        <f>Portafolio!H50</f>
        <v>1.2049500256252955E-3</v>
      </c>
      <c r="J50" s="41">
        <f>Portafolio!I50</f>
        <v>3.8062243981015008E-2</v>
      </c>
      <c r="K50" s="41">
        <f>Portafolio!J50</f>
        <v>1.446223860658455E-2</v>
      </c>
    </row>
    <row r="51" spans="1:11" x14ac:dyDescent="0.2">
      <c r="A51" s="25">
        <v>45224</v>
      </c>
      <c r="B51" s="26">
        <v>170.228928</v>
      </c>
      <c r="C51" s="26">
        <v>54.809573999999998</v>
      </c>
      <c r="D51" s="26">
        <v>137.96582000000001</v>
      </c>
      <c r="E51" s="26">
        <v>14.487864</v>
      </c>
      <c r="F51" s="26">
        <f>SUMPRODUCT(Portafolio!B51:E51,Portafolio!$M$37:$P$37)</f>
        <v>101.20399695812138</v>
      </c>
      <c r="G51" s="41">
        <f>Portafolio!F51</f>
        <v>-1.3583577722310494E-2</v>
      </c>
      <c r="H51" s="41">
        <f>Portafolio!G51</f>
        <v>8.5898919565569297E-3</v>
      </c>
      <c r="I51" s="41">
        <f>Portafolio!H51</f>
        <v>-5.4694749611117069E-3</v>
      </c>
      <c r="J51" s="41">
        <f>Portafolio!I51</f>
        <v>-2.2136321441816844E-2</v>
      </c>
      <c r="K51" s="41">
        <f>Portafolio!J51</f>
        <v>-1.1884293252356418E-2</v>
      </c>
    </row>
    <row r="52" spans="1:11" x14ac:dyDescent="0.2">
      <c r="A52" s="25">
        <v>45225</v>
      </c>
      <c r="B52" s="26">
        <v>166.04037500000001</v>
      </c>
      <c r="C52" s="26">
        <v>54.477511999999997</v>
      </c>
      <c r="D52" s="26">
        <v>138.31959499999999</v>
      </c>
      <c r="E52" s="26">
        <v>14.421099999999999</v>
      </c>
      <c r="F52" s="26">
        <f>SUMPRODUCT(Portafolio!B52:E52,Portafolio!$M$37:$P$37)</f>
        <v>100.48884399880306</v>
      </c>
      <c r="G52" s="41">
        <f>Portafolio!F52</f>
        <v>-2.4913184770041188E-2</v>
      </c>
      <c r="H52" s="41">
        <f>Portafolio!G52</f>
        <v>-6.0768940601561034E-3</v>
      </c>
      <c r="I52" s="41">
        <f>Portafolio!H52</f>
        <v>2.5609400579485304E-3</v>
      </c>
      <c r="J52" s="41">
        <f>Portafolio!I52</f>
        <v>-4.6189215703234801E-3</v>
      </c>
      <c r="K52" s="41">
        <f>Portafolio!J52</f>
        <v>-5.5820310021594466E-3</v>
      </c>
    </row>
    <row r="53" spans="1:11" x14ac:dyDescent="0.2">
      <c r="A53" s="25">
        <v>45226</v>
      </c>
      <c r="B53" s="26">
        <v>167.363586</v>
      </c>
      <c r="C53" s="26">
        <v>53.950127000000002</v>
      </c>
      <c r="D53" s="26">
        <v>133.33750900000001</v>
      </c>
      <c r="E53" s="26">
        <v>14.134968000000001</v>
      </c>
      <c r="F53" s="26">
        <f>SUMPRODUCT(Portafolio!B53:E53,Portafolio!$M$37:$P$37)</f>
        <v>98.458950229047289</v>
      </c>
      <c r="G53" s="41">
        <f>Portafolio!F53</f>
        <v>7.9376258370334254E-3</v>
      </c>
      <c r="H53" s="41">
        <f>Portafolio!G53</f>
        <v>-9.7279469304567372E-3</v>
      </c>
      <c r="I53" s="41">
        <f>Portafolio!H53</f>
        <v>-3.6683337928199083E-2</v>
      </c>
      <c r="J53" s="41">
        <f>Portafolio!I53</f>
        <v>-2.0040684628752883E-2</v>
      </c>
      <c r="K53" s="41">
        <f>Portafolio!J53</f>
        <v>-2.1324752965601476E-2</v>
      </c>
    </row>
    <row r="54" spans="1:11" x14ac:dyDescent="0.2">
      <c r="A54" s="25">
        <v>45229</v>
      </c>
      <c r="B54" s="26">
        <v>169.423035</v>
      </c>
      <c r="C54" s="26">
        <v>54.838875000000002</v>
      </c>
      <c r="D54" s="26">
        <v>135.03750600000001</v>
      </c>
      <c r="E54" s="26">
        <v>14.554627999999999</v>
      </c>
      <c r="F54" s="26">
        <f>SUMPRODUCT(Portafolio!B54:E54,Portafolio!$M$37:$P$37)</f>
        <v>99.784814731305872</v>
      </c>
      <c r="G54" s="41">
        <f>Portafolio!F54</f>
        <v>1.2230145391432332E-2</v>
      </c>
      <c r="H54" s="41">
        <f>Portafolio!G54</f>
        <v>1.6339294527615768E-2</v>
      </c>
      <c r="I54" s="41">
        <f>Portafolio!H54</f>
        <v>1.26689866257148E-2</v>
      </c>
      <c r="J54" s="41">
        <f>Portafolio!I54</f>
        <v>2.9257291384540907E-2</v>
      </c>
      <c r="K54" s="41">
        <f>Portafolio!J54</f>
        <v>1.8077764652553646E-2</v>
      </c>
    </row>
    <row r="55" spans="1:11" x14ac:dyDescent="0.2">
      <c r="A55" s="25">
        <v>45230</v>
      </c>
      <c r="B55" s="26">
        <v>169.90060399999999</v>
      </c>
      <c r="C55" s="26">
        <v>55.170937000000002</v>
      </c>
      <c r="D55" s="26">
        <v>136.649078</v>
      </c>
      <c r="E55" s="26">
        <v>14.688157</v>
      </c>
      <c r="F55" s="26">
        <f>SUMPRODUCT(Portafolio!B55:E55,Portafolio!$M$37:$P$37)</f>
        <v>100.64173429602793</v>
      </c>
      <c r="G55" s="41">
        <f>Portafolio!F55</f>
        <v>2.8148308012558494E-3</v>
      </c>
      <c r="H55" s="41">
        <f>Portafolio!G55</f>
        <v>6.0369707476601144E-3</v>
      </c>
      <c r="I55" s="41">
        <f>Portafolio!H55</f>
        <v>1.1863603111821981E-2</v>
      </c>
      <c r="J55" s="41">
        <f>Portafolio!I55</f>
        <v>9.1325041752728462E-3</v>
      </c>
      <c r="K55" s="41">
        <f>Portafolio!J55</f>
        <v>8.9418177666675137E-3</v>
      </c>
    </row>
    <row r="56" spans="1:11" x14ac:dyDescent="0.2">
      <c r="A56" s="25">
        <v>45231</v>
      </c>
      <c r="B56" s="26">
        <v>173.08431999999999</v>
      </c>
      <c r="C56" s="26">
        <v>55.122101000000001</v>
      </c>
      <c r="D56" s="26">
        <v>136.531158</v>
      </c>
      <c r="E56" s="26">
        <v>14.859838</v>
      </c>
      <c r="F56" s="26">
        <f>SUMPRODUCT(Portafolio!B56:E56,Portafolio!$M$37:$P$37)</f>
        <v>101.27805818903997</v>
      </c>
      <c r="G56" s="41">
        <f>Portafolio!F56</f>
        <v>1.8565290897534802E-2</v>
      </c>
      <c r="H56" s="41">
        <f>Portafolio!G56</f>
        <v>-8.8556819319023528E-4</v>
      </c>
      <c r="I56" s="41">
        <f>Portafolio!H56</f>
        <v>-8.6331287395108823E-4</v>
      </c>
      <c r="J56" s="41">
        <f>Portafolio!I56</f>
        <v>1.1620614661695866E-2</v>
      </c>
      <c r="K56" s="41">
        <f>Portafolio!J56</f>
        <v>7.0318357863738013E-3</v>
      </c>
    </row>
    <row r="57" spans="1:11" x14ac:dyDescent="0.2">
      <c r="A57" s="25">
        <v>45232</v>
      </c>
      <c r="B57" s="26">
        <v>176.666</v>
      </c>
      <c r="C57" s="26">
        <v>55.756923999999998</v>
      </c>
      <c r="D57" s="26">
        <v>138.96814000000001</v>
      </c>
      <c r="E57" s="26">
        <v>15.002903999999999</v>
      </c>
      <c r="F57" s="26">
        <f>SUMPRODUCT(Portafolio!B57:E57,Portafolio!$M$37:$P$37)</f>
        <v>103.13028301110326</v>
      </c>
      <c r="G57" s="41">
        <f>Portafolio!F57</f>
        <v>2.0482069684558096E-2</v>
      </c>
      <c r="H57" s="41">
        <f>Portafolio!G57</f>
        <v>1.1450857122828546E-2</v>
      </c>
      <c r="I57" s="41">
        <f>Portafolio!H57</f>
        <v>1.7691845912209535E-2</v>
      </c>
      <c r="J57" s="41">
        <f>Portafolio!I57</f>
        <v>9.581644883623272E-3</v>
      </c>
      <c r="K57" s="41">
        <f>Portafolio!J57</f>
        <v>1.537923079575523E-2</v>
      </c>
    </row>
    <row r="58" spans="1:11" x14ac:dyDescent="0.2">
      <c r="A58" s="25">
        <v>45233</v>
      </c>
      <c r="B58" s="26">
        <v>175.75065599999999</v>
      </c>
      <c r="C58" s="26">
        <v>55.415095999999998</v>
      </c>
      <c r="D58" s="26">
        <v>140.52076700000001</v>
      </c>
      <c r="E58" s="26">
        <v>15.14597</v>
      </c>
      <c r="F58" s="26">
        <f>SUMPRODUCT(Portafolio!B58:E58,Portafolio!$M$37:$P$37)</f>
        <v>103.65932792387439</v>
      </c>
      <c r="G58" s="41">
        <f>Portafolio!F58</f>
        <v>-5.1946810275440517E-3</v>
      </c>
      <c r="H58" s="41">
        <f>Portafolio!G58</f>
        <v>-6.1495523287532295E-3</v>
      </c>
      <c r="I58" s="41">
        <f>Portafolio!H58</f>
        <v>1.1110587455196269E-2</v>
      </c>
      <c r="J58" s="41">
        <f>Portafolio!I58</f>
        <v>9.4907076045383631E-3</v>
      </c>
      <c r="K58" s="41">
        <f>Portafolio!J58</f>
        <v>6.6336452309906247E-3</v>
      </c>
    </row>
    <row r="59" spans="1:11" x14ac:dyDescent="0.2">
      <c r="A59" s="25">
        <v>45236</v>
      </c>
      <c r="B59" s="26">
        <v>178.31753499999999</v>
      </c>
      <c r="C59" s="26">
        <v>55.639729000000003</v>
      </c>
      <c r="D59" s="26">
        <v>141.58204699999999</v>
      </c>
      <c r="E59" s="26">
        <v>15.021978000000001</v>
      </c>
      <c r="F59" s="26">
        <f>SUMPRODUCT(Portafolio!B59:E59,Portafolio!$M$37:$P$37)</f>
        <v>104.60452842914259</v>
      </c>
      <c r="G59" s="41">
        <f>Portafolio!F59</f>
        <v>1.44996022601437E-2</v>
      </c>
      <c r="H59" s="41">
        <f>Portafolio!G59</f>
        <v>4.0454488376433064E-3</v>
      </c>
      <c r="I59" s="41">
        <f>Portafolio!H59</f>
        <v>7.5241008178584595E-3</v>
      </c>
      <c r="J59" s="41">
        <f>Portafolio!I59</f>
        <v>-8.2201612246451568E-3</v>
      </c>
      <c r="K59" s="41">
        <f>Portafolio!J59</f>
        <v>3.6980751488433833E-3</v>
      </c>
    </row>
    <row r="60" spans="1:11" x14ac:dyDescent="0.2">
      <c r="A60" s="25">
        <v>45237</v>
      </c>
      <c r="B60" s="26">
        <v>180.89434800000001</v>
      </c>
      <c r="C60" s="26">
        <v>55.844822000000001</v>
      </c>
      <c r="D60" s="26">
        <v>141.513229</v>
      </c>
      <c r="E60" s="26">
        <v>15.10782</v>
      </c>
      <c r="F60" s="26">
        <f>SUMPRODUCT(Portafolio!B60:E60,Portafolio!$M$37:$P$37)</f>
        <v>105.12407258254709</v>
      </c>
      <c r="G60" s="41">
        <f>Portafolio!F60</f>
        <v>1.4347282613426004E-2</v>
      </c>
      <c r="H60" s="41">
        <f>Portafolio!G60</f>
        <v>3.6793121473435051E-3</v>
      </c>
      <c r="I60" s="41">
        <f>Portafolio!H60</f>
        <v>-4.8618261899616047E-4</v>
      </c>
      <c r="J60" s="41">
        <f>Portafolio!I60</f>
        <v>5.6981618175608508E-3</v>
      </c>
      <c r="K60" s="41">
        <f>Portafolio!J60</f>
        <v>4.6337446990717575E-3</v>
      </c>
    </row>
    <row r="61" spans="1:11" x14ac:dyDescent="0.2">
      <c r="A61" s="25">
        <v>45238</v>
      </c>
      <c r="B61" s="26">
        <v>181.958878</v>
      </c>
      <c r="C61" s="26">
        <v>55.756923999999998</v>
      </c>
      <c r="D61" s="26">
        <v>142.21095299999999</v>
      </c>
      <c r="E61" s="26">
        <v>14.926601</v>
      </c>
      <c r="F61" s="26">
        <f>SUMPRODUCT(Portafolio!B61:E61,Portafolio!$M$37:$P$37)</f>
        <v>105.57954447861304</v>
      </c>
      <c r="G61" s="41">
        <f>Portafolio!F61</f>
        <v>5.8675683603629037E-3</v>
      </c>
      <c r="H61" s="41">
        <f>Portafolio!G61</f>
        <v>-1.5752086562333767E-3</v>
      </c>
      <c r="I61" s="41">
        <f>Portafolio!H61</f>
        <v>4.9183358399554396E-3</v>
      </c>
      <c r="J61" s="41">
        <f>Portafolio!I61</f>
        <v>-1.2067567354175589E-2</v>
      </c>
      <c r="K61" s="41">
        <f>Portafolio!J61</f>
        <v>-6.3215212262406235E-4</v>
      </c>
    </row>
    <row r="62" spans="1:11" x14ac:dyDescent="0.2">
      <c r="A62" s="25">
        <v>45239</v>
      </c>
      <c r="B62" s="26">
        <v>181.48133899999999</v>
      </c>
      <c r="C62" s="26">
        <v>55.336967000000001</v>
      </c>
      <c r="D62" s="26">
        <v>141.78839099999999</v>
      </c>
      <c r="E62" s="26">
        <v>14.907526000000001</v>
      </c>
      <c r="F62" s="26">
        <f>SUMPRODUCT(Portafolio!B62:E62,Portafolio!$M$37:$P$37)</f>
        <v>105.2761733826412</v>
      </c>
      <c r="G62" s="41">
        <f>Portafolio!F62</f>
        <v>-2.6278835003809412E-3</v>
      </c>
      <c r="H62" s="41">
        <f>Portafolio!G62</f>
        <v>-7.5604337307585206E-3</v>
      </c>
      <c r="I62" s="41">
        <f>Portafolio!H62</f>
        <v>-2.9757978020443572E-3</v>
      </c>
      <c r="J62" s="41">
        <f>Portafolio!I62</f>
        <v>-1.2787371052778911E-3</v>
      </c>
      <c r="K62" s="41">
        <f>Portafolio!J62</f>
        <v>-2.5467237633194639E-3</v>
      </c>
    </row>
    <row r="63" spans="1:11" x14ac:dyDescent="0.2">
      <c r="A63" s="25">
        <v>45240</v>
      </c>
      <c r="B63" s="26">
        <v>185.69534300000001</v>
      </c>
      <c r="C63" s="26">
        <v>55.395564999999998</v>
      </c>
      <c r="D63" s="26">
        <v>143.89128099999999</v>
      </c>
      <c r="E63" s="26">
        <v>14.917064999999999</v>
      </c>
      <c r="F63" s="26">
        <f>SUMPRODUCT(Portafolio!B63:E63,Portafolio!$M$37:$P$37)</f>
        <v>107.04168623466271</v>
      </c>
      <c r="G63" s="41">
        <f>Portafolio!F63</f>
        <v>2.2954556969230551E-2</v>
      </c>
      <c r="H63" s="41">
        <f>Portafolio!G63</f>
        <v>1.0583701900695479E-3</v>
      </c>
      <c r="I63" s="41">
        <f>Portafolio!H63</f>
        <v>1.4722279452399911E-2</v>
      </c>
      <c r="J63" s="41">
        <f>Portafolio!I63</f>
        <v>6.3967350467703291E-4</v>
      </c>
      <c r="K63" s="41">
        <f>Portafolio!J63</f>
        <v>1.126635096485344E-2</v>
      </c>
    </row>
    <row r="64" spans="1:11" x14ac:dyDescent="0.2">
      <c r="A64" s="25">
        <v>45243</v>
      </c>
      <c r="B64" s="26">
        <v>184.101395</v>
      </c>
      <c r="C64" s="26">
        <v>55.600662</v>
      </c>
      <c r="D64" s="26">
        <v>143.25254799999999</v>
      </c>
      <c r="E64" s="26">
        <v>14.859838</v>
      </c>
      <c r="F64" s="26">
        <f>SUMPRODUCT(Portafolio!B64:E64,Portafolio!$M$37:$P$37)</f>
        <v>106.43443724149833</v>
      </c>
      <c r="G64" s="41">
        <f>Portafolio!F64</f>
        <v>-8.6207243473615386E-3</v>
      </c>
      <c r="H64" s="41">
        <f>Portafolio!G64</f>
        <v>3.6955712633663846E-3</v>
      </c>
      <c r="I64" s="41">
        <f>Portafolio!H64</f>
        <v>-4.4488788474790633E-3</v>
      </c>
      <c r="J64" s="41">
        <f>Portafolio!I64</f>
        <v>-3.8437221263010121E-3</v>
      </c>
      <c r="K64" s="41">
        <f>Portafolio!J64</f>
        <v>-4.7527673251255564E-3</v>
      </c>
    </row>
    <row r="65" spans="1:11" x14ac:dyDescent="0.2">
      <c r="A65" s="25">
        <v>45244</v>
      </c>
      <c r="B65" s="26">
        <v>186.731415</v>
      </c>
      <c r="C65" s="26">
        <v>55.766689</v>
      </c>
      <c r="D65" s="26">
        <v>145.86644000000001</v>
      </c>
      <c r="E65" s="26">
        <v>14.907526000000001</v>
      </c>
      <c r="F65" s="26">
        <f>SUMPRODUCT(Portafolio!B65:E65,Portafolio!$M$37:$P$37)</f>
        <v>108.12449720017996</v>
      </c>
      <c r="G65" s="41">
        <f>Portafolio!F65</f>
        <v>1.4184635374476782E-2</v>
      </c>
      <c r="H65" s="41">
        <f>Portafolio!G65</f>
        <v>2.981612142296002E-3</v>
      </c>
      <c r="I65" s="41">
        <f>Portafolio!H65</f>
        <v>1.8082265985749042E-2</v>
      </c>
      <c r="J65" s="41">
        <f>Portafolio!I65</f>
        <v>3.2040486216239152E-3</v>
      </c>
      <c r="K65" s="41">
        <f>Portafolio!J65</f>
        <v>1.1893495481086142E-2</v>
      </c>
    </row>
    <row r="66" spans="1:11" x14ac:dyDescent="0.2">
      <c r="A66" s="25">
        <v>45245</v>
      </c>
      <c r="B66" s="26">
        <v>187.29925499999999</v>
      </c>
      <c r="C66" s="26">
        <v>55.874122999999997</v>
      </c>
      <c r="D66" s="26">
        <v>147.14392100000001</v>
      </c>
      <c r="E66" s="26">
        <v>15.031516999999999</v>
      </c>
      <c r="F66" s="26">
        <f>SUMPRODUCT(Portafolio!B66:E66,Portafolio!$M$37:$P$37)</f>
        <v>108.84098270437174</v>
      </c>
      <c r="G66" s="41">
        <f>Portafolio!F66</f>
        <v>3.0363308776654089E-3</v>
      </c>
      <c r="H66" s="41">
        <f>Portafolio!G66</f>
        <v>1.9246372583412658E-3</v>
      </c>
      <c r="I66" s="41">
        <f>Portafolio!H66</f>
        <v>8.7197537313942614E-3</v>
      </c>
      <c r="J66" s="41">
        <f>Portafolio!I66</f>
        <v>8.2829440398884853E-3</v>
      </c>
      <c r="K66" s="41">
        <f>Portafolio!J66</f>
        <v>7.1686436213717775E-3</v>
      </c>
    </row>
    <row r="67" spans="1:11" x14ac:dyDescent="0.2">
      <c r="A67" s="25">
        <v>45246</v>
      </c>
      <c r="B67" s="26">
        <v>188.99284399999999</v>
      </c>
      <c r="C67" s="26">
        <v>55.815520999999997</v>
      </c>
      <c r="D67" s="26">
        <v>148.824265</v>
      </c>
      <c r="E67" s="26">
        <v>15.14597</v>
      </c>
      <c r="F67" s="26">
        <f>SUMPRODUCT(Portafolio!B67:E67,Portafolio!$M$37:$P$37)</f>
        <v>109.94826896181482</v>
      </c>
      <c r="G67" s="41">
        <f>Portafolio!F67</f>
        <v>9.0015200429287429E-3</v>
      </c>
      <c r="H67" s="41">
        <f>Portafolio!G67</f>
        <v>-1.0493722296692307E-3</v>
      </c>
      <c r="I67" s="41">
        <f>Portafolio!H67</f>
        <v>1.1355018101563337E-2</v>
      </c>
      <c r="J67" s="41">
        <f>Portafolio!I67</f>
        <v>7.5853598266493183E-3</v>
      </c>
      <c r="K67" s="41">
        <f>Portafolio!J67</f>
        <v>9.1643905003113632E-3</v>
      </c>
    </row>
    <row r="68" spans="1:11" x14ac:dyDescent="0.2">
      <c r="A68" s="25">
        <v>45247</v>
      </c>
      <c r="B68" s="26">
        <v>188.972916</v>
      </c>
      <c r="C68" s="26">
        <v>55.922955000000002</v>
      </c>
      <c r="D68" s="26">
        <v>150.17051699999999</v>
      </c>
      <c r="E68" s="26">
        <v>15.165046</v>
      </c>
      <c r="F68" s="26">
        <f>SUMPRODUCT(Portafolio!B68:E68,Portafolio!$M$37:$P$37)</f>
        <v>110.54387655363432</v>
      </c>
      <c r="G68" s="41">
        <f>Portafolio!F68</f>
        <v>-1.0544870529251719E-4</v>
      </c>
      <c r="H68" s="41">
        <f>Portafolio!G68</f>
        <v>1.9229550455904989E-3</v>
      </c>
      <c r="I68" s="41">
        <f>Portafolio!H68</f>
        <v>9.0052481102475771E-3</v>
      </c>
      <c r="J68" s="41">
        <f>Portafolio!I68</f>
        <v>1.2586844676198644E-3</v>
      </c>
      <c r="K68" s="41">
        <f>Portafolio!J68</f>
        <v>4.4033721264817947E-3</v>
      </c>
    </row>
    <row r="69" spans="1:11" x14ac:dyDescent="0.2">
      <c r="A69" s="25">
        <v>45250</v>
      </c>
      <c r="B69" s="26">
        <v>190.726257</v>
      </c>
      <c r="C69" s="26">
        <v>56.059688999999999</v>
      </c>
      <c r="D69" s="26">
        <v>150.63235499999999</v>
      </c>
      <c r="E69" s="26">
        <v>15.355801</v>
      </c>
      <c r="F69" s="26">
        <f>SUMPRODUCT(Portafolio!B69:E69,Portafolio!$M$37:$P$37)</f>
        <v>111.16249214694568</v>
      </c>
      <c r="G69" s="41">
        <f>Portafolio!F69</f>
        <v>9.2354873918627962E-3</v>
      </c>
      <c r="H69" s="41">
        <f>Portafolio!G69</f>
        <v>2.4420582166783792E-3</v>
      </c>
      <c r="I69" s="41">
        <f>Portafolio!H69</f>
        <v>3.0707044771690309E-3</v>
      </c>
      <c r="J69" s="41">
        <f>Portafolio!I69</f>
        <v>1.250014351434138E-2</v>
      </c>
      <c r="K69" s="41">
        <f>Portafolio!J69</f>
        <v>7.3128800811792212E-3</v>
      </c>
    </row>
    <row r="70" spans="1:11" x14ac:dyDescent="0.2">
      <c r="A70" s="25">
        <v>45251</v>
      </c>
      <c r="B70" s="26">
        <v>189.91932700000001</v>
      </c>
      <c r="C70" s="26">
        <v>56.674973000000001</v>
      </c>
      <c r="D70" s="26">
        <v>150.31791699999999</v>
      </c>
      <c r="E70" s="26">
        <v>15.441642</v>
      </c>
      <c r="F70" s="26">
        <f>SUMPRODUCT(Portafolio!B70:E70,Portafolio!$M$37:$P$37)</f>
        <v>110.9168673411224</v>
      </c>
      <c r="G70" s="41">
        <f>Portafolio!F70</f>
        <v>-4.2398033377747738E-3</v>
      </c>
      <c r="H70" s="41">
        <f>Portafolio!G70</f>
        <v>1.0915721899237774E-2</v>
      </c>
      <c r="I70" s="41">
        <f>Portafolio!H70</f>
        <v>-2.089635023942204E-3</v>
      </c>
      <c r="J70" s="41">
        <f>Portafolio!I70</f>
        <v>5.5745681417839043E-3</v>
      </c>
      <c r="K70" s="41">
        <f>Portafolio!J70</f>
        <v>4.8305978432557442E-4</v>
      </c>
    </row>
    <row r="71" spans="1:11" x14ac:dyDescent="0.2">
      <c r="A71" s="25">
        <v>45252</v>
      </c>
      <c r="B71" s="26">
        <v>190.586792</v>
      </c>
      <c r="C71" s="26">
        <v>57.055866000000002</v>
      </c>
      <c r="D71" s="26">
        <v>150.671661</v>
      </c>
      <c r="E71" s="26">
        <v>15.422565000000001</v>
      </c>
      <c r="F71" s="26">
        <f>SUMPRODUCT(Portafolio!B71:E71,Portafolio!$M$37:$P$37)</f>
        <v>111.21409219347484</v>
      </c>
      <c r="G71" s="41">
        <f>Portafolio!F71</f>
        <v>3.5083046042034536E-3</v>
      </c>
      <c r="H71" s="41">
        <f>Portafolio!G71</f>
        <v>6.698173115196048E-3</v>
      </c>
      <c r="I71" s="41">
        <f>Portafolio!H71</f>
        <v>2.3505409404632072E-3</v>
      </c>
      <c r="J71" s="41">
        <f>Portafolio!I71</f>
        <v>-1.2361893781621346E-3</v>
      </c>
      <c r="K71" s="41">
        <f>Portafolio!J71</f>
        <v>1.6028665755635143E-3</v>
      </c>
    </row>
    <row r="72" spans="1:11" x14ac:dyDescent="0.2">
      <c r="A72" s="25">
        <v>45254</v>
      </c>
      <c r="B72" s="26">
        <v>189.25186199999999</v>
      </c>
      <c r="C72" s="26">
        <v>57.202365999999998</v>
      </c>
      <c r="D72" s="26">
        <v>150.878006</v>
      </c>
      <c r="E72" s="26">
        <v>15.460716</v>
      </c>
      <c r="F72" s="26">
        <f>SUMPRODUCT(Portafolio!B72:E72,Portafolio!$M$37:$P$37)</f>
        <v>111.05657646931948</v>
      </c>
      <c r="G72" s="41">
        <f>Portafolio!F72</f>
        <v>-7.0289607553052254E-3</v>
      </c>
      <c r="H72" s="41">
        <f>Portafolio!G72</f>
        <v>2.564368058518235E-3</v>
      </c>
      <c r="I72" s="41">
        <f>Portafolio!H72</f>
        <v>1.3685641523619864E-3</v>
      </c>
      <c r="J72" s="41">
        <f>Portafolio!I72</f>
        <v>2.4706584385659168E-3</v>
      </c>
      <c r="K72" s="41">
        <f>Portafolio!J72</f>
        <v>9.8798185841385343E-5</v>
      </c>
    </row>
    <row r="73" spans="1:11" x14ac:dyDescent="0.2">
      <c r="A73" s="25">
        <v>45257</v>
      </c>
      <c r="B73" s="26">
        <v>189.07252500000001</v>
      </c>
      <c r="C73" s="26">
        <v>57.094935999999997</v>
      </c>
      <c r="D73" s="26">
        <v>150.53410299999999</v>
      </c>
      <c r="E73" s="26">
        <v>15.460716</v>
      </c>
      <c r="F73" s="26">
        <f>SUMPRODUCT(Portafolio!B73:E73,Portafolio!$M$37:$P$37)</f>
        <v>110.86597097931669</v>
      </c>
      <c r="G73" s="41">
        <f>Portafolio!F73</f>
        <v>-9.4805949388913479E-4</v>
      </c>
      <c r="H73" s="41">
        <f>Portafolio!G73</f>
        <v>-1.8798349524674102E-3</v>
      </c>
      <c r="I73" s="41">
        <f>Portafolio!H73</f>
        <v>-2.2819464710573719E-3</v>
      </c>
      <c r="J73" s="41">
        <f>Portafolio!I73</f>
        <v>0</v>
      </c>
      <c r="K73" s="41">
        <f>Portafolio!J73</f>
        <v>-1.2641891060539848E-3</v>
      </c>
    </row>
    <row r="74" spans="1:11" x14ac:dyDescent="0.2">
      <c r="A74" s="25">
        <v>45258</v>
      </c>
      <c r="B74" s="26">
        <v>189.68022199999999</v>
      </c>
      <c r="C74" s="26">
        <v>57.212135000000004</v>
      </c>
      <c r="D74" s="26">
        <v>150.878006</v>
      </c>
      <c r="E74" s="26">
        <v>15.432103</v>
      </c>
      <c r="F74" s="26">
        <f>SUMPRODUCT(Portafolio!B74:E74,Portafolio!$M$37:$P$37)</f>
        <v>111.13313464958057</v>
      </c>
      <c r="G74" s="41">
        <f>Portafolio!F74</f>
        <v>3.2089405359202782E-3</v>
      </c>
      <c r="H74" s="41">
        <f>Portafolio!G74</f>
        <v>2.0506000205027385E-3</v>
      </c>
      <c r="I74" s="41">
        <f>Portafolio!H74</f>
        <v>2.2819464710573632E-3</v>
      </c>
      <c r="J74" s="41">
        <f>Portafolio!I74</f>
        <v>-1.8524051289652865E-3</v>
      </c>
      <c r="K74" s="41">
        <f>Portafolio!J74</f>
        <v>1.1247794634930003E-3</v>
      </c>
    </row>
    <row r="75" spans="1:11" x14ac:dyDescent="0.2">
      <c r="A75" s="25">
        <v>45259</v>
      </c>
      <c r="B75" s="26">
        <v>188.65412900000001</v>
      </c>
      <c r="C75" s="26">
        <v>56.870308000000001</v>
      </c>
      <c r="D75" s="26">
        <v>151.64450099999999</v>
      </c>
      <c r="E75" s="26">
        <v>15.546556000000001</v>
      </c>
      <c r="F75" s="26">
        <f>SUMPRODUCT(Portafolio!B75:E75,Portafolio!$M$37:$P$37)</f>
        <v>111.28691603034981</v>
      </c>
      <c r="G75" s="41">
        <f>Portafolio!F75</f>
        <v>-5.4242788854046205E-3</v>
      </c>
      <c r="H75" s="41">
        <f>Portafolio!G75</f>
        <v>-5.9926490699218782E-3</v>
      </c>
      <c r="I75" s="41">
        <f>Portafolio!H75</f>
        <v>5.0673693523613879E-3</v>
      </c>
      <c r="J75" s="41">
        <f>Portafolio!I75</f>
        <v>7.3891849715765874E-3</v>
      </c>
      <c r="K75" s="41">
        <f>Portafolio!J75</f>
        <v>3.2728031829884706E-3</v>
      </c>
    </row>
    <row r="76" spans="1:11" x14ac:dyDescent="0.2">
      <c r="A76" s="25">
        <v>45260</v>
      </c>
      <c r="B76" s="26">
        <v>189.23191800000001</v>
      </c>
      <c r="C76" s="26">
        <v>57.529868999999998</v>
      </c>
      <c r="D76" s="26">
        <v>153.37397799999999</v>
      </c>
      <c r="E76" s="26">
        <v>15.804074999999999</v>
      </c>
      <c r="F76" s="26">
        <f>SUMPRODUCT(Portafolio!B76:E76,Portafolio!$M$37:$P$37)</f>
        <v>112.26873629496293</v>
      </c>
      <c r="G76" s="41">
        <f>Portafolio!F76</f>
        <v>3.0580089148523034E-3</v>
      </c>
      <c r="H76" s="41">
        <f>Portafolio!G76</f>
        <v>1.1530896635000211E-2</v>
      </c>
      <c r="I76" s="41">
        <f>Portafolio!H76</f>
        <v>1.1340267252648781E-2</v>
      </c>
      <c r="J76" s="41">
        <f>Portafolio!I76</f>
        <v>1.6428683176453563E-2</v>
      </c>
      <c r="K76" s="41">
        <f>Portafolio!J76</f>
        <v>1.1337205332285261E-2</v>
      </c>
    </row>
    <row r="77" spans="1:11" x14ac:dyDescent="0.2">
      <c r="A77" s="25">
        <v>45261</v>
      </c>
      <c r="B77" s="26">
        <v>190.51705899999999</v>
      </c>
      <c r="C77" s="26">
        <v>57.726756999999999</v>
      </c>
      <c r="D77" s="26">
        <v>154.12081900000001</v>
      </c>
      <c r="E77" s="26">
        <v>15.985293</v>
      </c>
      <c r="F77" s="26">
        <f>SUMPRODUCT(Portafolio!B77:E77,Portafolio!$M$37:$P$37)</f>
        <v>112.91811395784649</v>
      </c>
      <c r="G77" s="41">
        <f>Portafolio!F77</f>
        <v>6.7683969358011721E-3</v>
      </c>
      <c r="H77" s="41">
        <f>Portafolio!G77</f>
        <v>3.4165183963682714E-3</v>
      </c>
      <c r="I77" s="41">
        <f>Portafolio!H77</f>
        <v>4.857594182652576E-3</v>
      </c>
      <c r="J77" s="41">
        <f>Portafolio!I77</f>
        <v>1.1401293855996619E-2</v>
      </c>
      <c r="K77" s="41">
        <f>Portafolio!J77</f>
        <v>7.2886194374990462E-3</v>
      </c>
    </row>
    <row r="78" spans="1:11" x14ac:dyDescent="0.2">
      <c r="A78" s="25">
        <v>45264</v>
      </c>
      <c r="B78" s="26">
        <v>188.71388200000001</v>
      </c>
      <c r="C78" s="26">
        <v>57.657845000000002</v>
      </c>
      <c r="D78" s="26">
        <v>155.25086999999999</v>
      </c>
      <c r="E78" s="26">
        <v>15.889915</v>
      </c>
      <c r="F78" s="26">
        <f>SUMPRODUCT(Portafolio!B78:E78,Portafolio!$M$37:$P$37)</f>
        <v>113.01959546214945</v>
      </c>
      <c r="G78" s="41">
        <f>Portafolio!F78</f>
        <v>-9.5097229376474839E-3</v>
      </c>
      <c r="H78" s="41">
        <f>Portafolio!G78</f>
        <v>-1.1944749472458554E-3</v>
      </c>
      <c r="I78" s="41">
        <f>Portafolio!H78</f>
        <v>7.3054908777762974E-3</v>
      </c>
      <c r="J78" s="41">
        <f>Portafolio!I78</f>
        <v>-5.9844807698541955E-3</v>
      </c>
      <c r="K78" s="41">
        <f>Portafolio!J78</f>
        <v>-6.7657508406678219E-4</v>
      </c>
    </row>
    <row r="79" spans="1:11" x14ac:dyDescent="0.2">
      <c r="A79" s="25">
        <v>45265</v>
      </c>
      <c r="B79" s="26">
        <v>192.68881200000001</v>
      </c>
      <c r="C79" s="26">
        <v>57.746445000000001</v>
      </c>
      <c r="D79" s="26">
        <v>155.23121599999999</v>
      </c>
      <c r="E79" s="26">
        <v>16.424029999999998</v>
      </c>
      <c r="F79" s="26">
        <f>SUMPRODUCT(Portafolio!B79:E79,Portafolio!$M$37:$P$37)</f>
        <v>113.97904454383935</v>
      </c>
      <c r="G79" s="41">
        <f>Portafolio!F79</f>
        <v>2.084449839920156E-2</v>
      </c>
      <c r="H79" s="41">
        <f>Portafolio!G79</f>
        <v>1.5354718166455639E-3</v>
      </c>
      <c r="I79" s="41">
        <f>Portafolio!H79</f>
        <v>-1.266031176191559E-4</v>
      </c>
      <c r="J79" s="41">
        <f>Portafolio!I79</f>
        <v>3.306087505214772E-2</v>
      </c>
      <c r="K79" s="41">
        <f>Portafolio!J79</f>
        <v>1.4817472181668085E-2</v>
      </c>
    </row>
    <row r="80" spans="1:11" x14ac:dyDescent="0.2">
      <c r="A80" s="25">
        <v>45266</v>
      </c>
      <c r="B80" s="26">
        <v>191.59298699999999</v>
      </c>
      <c r="C80" s="26">
        <v>57.687378000000002</v>
      </c>
      <c r="D80" s="26">
        <v>153.60000600000001</v>
      </c>
      <c r="E80" s="26">
        <v>16.156974999999999</v>
      </c>
      <c r="F80" s="26">
        <f>SUMPRODUCT(Portafolio!B80:E80,Portafolio!$M$37:$P$37)</f>
        <v>112.95841485367575</v>
      </c>
      <c r="G80" s="41">
        <f>Portafolio!F80</f>
        <v>-5.7032520050787593E-3</v>
      </c>
      <c r="H80" s="41">
        <f>Portafolio!G80</f>
        <v>-1.0233916476147672E-3</v>
      </c>
      <c r="I80" s="41">
        <f>Portafolio!H80</f>
        <v>-1.0563861768930536E-2</v>
      </c>
      <c r="J80" s="41">
        <f>Portafolio!I80</f>
        <v>-1.6393661333646715E-2</v>
      </c>
      <c r="K80" s="41">
        <f>Portafolio!J80</f>
        <v>-1.1084347639724431E-2</v>
      </c>
    </row>
    <row r="81" spans="1:11" x14ac:dyDescent="0.2">
      <c r="A81" s="25">
        <v>45267</v>
      </c>
      <c r="B81" s="26">
        <v>193.53559899999999</v>
      </c>
      <c r="C81" s="26">
        <v>57.825203000000002</v>
      </c>
      <c r="D81" s="26">
        <v>154.071686</v>
      </c>
      <c r="E81" s="26">
        <v>16.300039000000002</v>
      </c>
      <c r="F81" s="26">
        <f>SUMPRODUCT(Portafolio!B81:E81,Portafolio!$M$37:$P$37)</f>
        <v>113.60373631752812</v>
      </c>
      <c r="G81" s="41">
        <f>Portafolio!F81</f>
        <v>1.0088207138443817E-2</v>
      </c>
      <c r="H81" s="41">
        <f>Portafolio!G81</f>
        <v>2.3863212857141401E-3</v>
      </c>
      <c r="I81" s="41">
        <f>Portafolio!H81</f>
        <v>3.0661278355592595E-3</v>
      </c>
      <c r="J81" s="41">
        <f>Portafolio!I81</f>
        <v>8.8156554713472324E-3</v>
      </c>
      <c r="K81" s="41">
        <f>Portafolio!J81</f>
        <v>6.2910674085100739E-3</v>
      </c>
    </row>
    <row r="82" spans="1:11" x14ac:dyDescent="0.2">
      <c r="A82" s="25">
        <v>45268</v>
      </c>
      <c r="B82" s="26">
        <v>194.97015400000001</v>
      </c>
      <c r="C82" s="26">
        <v>57.697223999999999</v>
      </c>
      <c r="D82" s="26">
        <v>155.77169799999999</v>
      </c>
      <c r="E82" s="26">
        <v>16.137896999999999</v>
      </c>
      <c r="F82" s="26">
        <f>SUMPRODUCT(Portafolio!B82:E82,Portafolio!$M$37:$P$37)</f>
        <v>114.57601833934271</v>
      </c>
      <c r="G82" s="41">
        <f>Portafolio!F82</f>
        <v>7.3850207302899578E-3</v>
      </c>
      <c r="H82" s="41">
        <f>Portafolio!G82</f>
        <v>-2.2156572655028478E-3</v>
      </c>
      <c r="I82" s="41">
        <f>Portafolio!H82</f>
        <v>1.0973473354382132E-2</v>
      </c>
      <c r="J82" s="41">
        <f>Portafolio!I82</f>
        <v>-9.9971434933014119E-3</v>
      </c>
      <c r="K82" s="41">
        <f>Portafolio!J82</f>
        <v>2.9608312065530873E-3</v>
      </c>
    </row>
    <row r="83" spans="1:11" x14ac:dyDescent="0.2">
      <c r="A83" s="25">
        <v>45271</v>
      </c>
      <c r="B83" s="26">
        <v>192.44972200000001</v>
      </c>
      <c r="C83" s="26">
        <v>58.120525000000001</v>
      </c>
      <c r="D83" s="26">
        <v>156.341644</v>
      </c>
      <c r="E83" s="26">
        <v>15.851766</v>
      </c>
      <c r="F83" s="26">
        <f>SUMPRODUCT(Portafolio!B83:E83,Portafolio!$M$37:$P$37)</f>
        <v>114.24808768065974</v>
      </c>
      <c r="G83" s="41">
        <f>Portafolio!F83</f>
        <v>-1.301155524149791E-2</v>
      </c>
      <c r="H83" s="41">
        <f>Portafolio!G83</f>
        <v>7.3098102582420726E-3</v>
      </c>
      <c r="I83" s="41">
        <f>Portafolio!H83</f>
        <v>3.6521773139312004E-3</v>
      </c>
      <c r="J83" s="41">
        <f>Portafolio!I83</f>
        <v>-1.7889443279638567E-2</v>
      </c>
      <c r="K83" s="41">
        <f>Portafolio!J83</f>
        <v>-6.462677010402546E-3</v>
      </c>
    </row>
    <row r="84" spans="1:11" x14ac:dyDescent="0.2">
      <c r="A84" s="25">
        <v>45272</v>
      </c>
      <c r="B84" s="26">
        <v>193.97395299999999</v>
      </c>
      <c r="C84" s="26">
        <v>58.494605999999997</v>
      </c>
      <c r="D84" s="26">
        <v>157.73701500000001</v>
      </c>
      <c r="E84" s="26">
        <v>15.651472</v>
      </c>
      <c r="F84" s="26">
        <f>SUMPRODUCT(Portafolio!B84:E84,Portafolio!$M$37:$P$37)</f>
        <v>115.11315738672043</v>
      </c>
      <c r="G84" s="41">
        <f>Portafolio!F84</f>
        <v>7.8889519649972505E-3</v>
      </c>
      <c r="H84" s="41">
        <f>Portafolio!G84</f>
        <v>6.4156731620670822E-3</v>
      </c>
      <c r="I84" s="41">
        <f>Portafolio!H84</f>
        <v>8.8855459657744724E-3</v>
      </c>
      <c r="J84" s="41">
        <f>Portafolio!I84</f>
        <v>-1.2715943603931842E-2</v>
      </c>
      <c r="K84" s="41">
        <f>Portafolio!J84</f>
        <v>1.6239460641433211E-3</v>
      </c>
    </row>
    <row r="85" spans="1:11" x14ac:dyDescent="0.2">
      <c r="A85" s="25">
        <v>45273</v>
      </c>
      <c r="B85" s="26">
        <v>197.21165500000001</v>
      </c>
      <c r="C85" s="26">
        <v>58.996665999999998</v>
      </c>
      <c r="D85" s="26">
        <v>158.26765399999999</v>
      </c>
      <c r="E85" s="26">
        <v>15.689624</v>
      </c>
      <c r="F85" s="26">
        <f>SUMPRODUCT(Portafolio!B85:E85,Portafolio!$M$37:$P$37)</f>
        <v>116.02347653711468</v>
      </c>
      <c r="G85" s="41">
        <f>Portafolio!F85</f>
        <v>1.6553655693470191E-2</v>
      </c>
      <c r="H85" s="41">
        <f>Portafolio!G85</f>
        <v>8.5463889760277086E-3</v>
      </c>
      <c r="I85" s="41">
        <f>Portafolio!H85</f>
        <v>3.3584282184013106E-3</v>
      </c>
      <c r="J85" s="41">
        <f>Portafolio!I85</f>
        <v>2.4346320782964847E-3</v>
      </c>
      <c r="K85" s="41">
        <f>Portafolio!J85</f>
        <v>5.9026452512017154E-3</v>
      </c>
    </row>
    <row r="86" spans="1:11" x14ac:dyDescent="0.2">
      <c r="A86" s="25">
        <v>45274</v>
      </c>
      <c r="B86" s="26">
        <v>197.36108400000001</v>
      </c>
      <c r="C86" s="26">
        <v>58.120525000000001</v>
      </c>
      <c r="D86" s="26">
        <v>161.14686599999999</v>
      </c>
      <c r="E86" s="26">
        <v>15.880378</v>
      </c>
      <c r="F86" s="26">
        <f>SUMPRODUCT(Portafolio!B86:E86,Portafolio!$M$37:$P$37)</f>
        <v>117.3387410113065</v>
      </c>
      <c r="G86" s="41">
        <f>Portafolio!F86</f>
        <v>7.5742185089877612E-4</v>
      </c>
      <c r="H86" s="41">
        <f>Portafolio!G86</f>
        <v>-1.4962062138094838E-2</v>
      </c>
      <c r="I86" s="41">
        <f>Portafolio!H86</f>
        <v>1.8028547888701854E-2</v>
      </c>
      <c r="J86" s="41">
        <f>Portafolio!I86</f>
        <v>1.208465691282283E-2</v>
      </c>
      <c r="K86" s="41">
        <f>Portafolio!J86</f>
        <v>1.1323065403676197E-2</v>
      </c>
    </row>
    <row r="87" spans="1:11" x14ac:dyDescent="0.2">
      <c r="A87" s="25">
        <v>45275</v>
      </c>
      <c r="B87" s="26">
        <v>196.82311999999999</v>
      </c>
      <c r="C87" s="26">
        <v>57.687378000000002</v>
      </c>
      <c r="D87" s="26">
        <v>162.36535599999999</v>
      </c>
      <c r="E87" s="26">
        <v>15.756387999999999</v>
      </c>
      <c r="F87" s="26">
        <f>SUMPRODUCT(Portafolio!B87:E87,Portafolio!$M$37:$P$37)</f>
        <v>117.70700547330868</v>
      </c>
      <c r="G87" s="41">
        <f>Portafolio!F87</f>
        <v>-2.7295073142777661E-3</v>
      </c>
      <c r="H87" s="41">
        <f>Portafolio!G87</f>
        <v>-7.4804742784532674E-3</v>
      </c>
      <c r="I87" s="41">
        <f>Portafolio!H87</f>
        <v>7.5329194945627474E-3</v>
      </c>
      <c r="J87" s="41">
        <f>Portafolio!I87</f>
        <v>-7.8383887172057826E-3</v>
      </c>
      <c r="K87" s="41">
        <f>Portafolio!J87</f>
        <v>-7.9846073633341348E-5</v>
      </c>
    </row>
    <row r="88" spans="1:11" x14ac:dyDescent="0.2">
      <c r="A88" s="25">
        <v>45278</v>
      </c>
      <c r="B88" s="26">
        <v>195.149475</v>
      </c>
      <c r="C88" s="26">
        <v>58.100842</v>
      </c>
      <c r="D88" s="26">
        <v>163.348007</v>
      </c>
      <c r="E88" s="26">
        <v>15.699159999999999</v>
      </c>
      <c r="F88" s="26">
        <f>SUMPRODUCT(Portafolio!B88:E88,Portafolio!$M$37:$P$37)</f>
        <v>117.80180663235649</v>
      </c>
      <c r="G88" s="41">
        <f>Portafolio!F88</f>
        <v>-8.53965400802611E-3</v>
      </c>
      <c r="H88" s="41">
        <f>Portafolio!G88</f>
        <v>7.1417585896560408E-3</v>
      </c>
      <c r="I88" s="41">
        <f>Portafolio!H88</f>
        <v>6.0338573294274594E-3</v>
      </c>
      <c r="J88" s="41">
        <f>Portafolio!I88</f>
        <v>-3.6386626067303612E-3</v>
      </c>
      <c r="K88" s="41">
        <f>Portafolio!J88</f>
        <v>5.68741357202258E-5</v>
      </c>
    </row>
    <row r="89" spans="1:11" x14ac:dyDescent="0.2">
      <c r="A89" s="25">
        <v>45279</v>
      </c>
      <c r="B89" s="26">
        <v>196.19551100000001</v>
      </c>
      <c r="C89" s="26">
        <v>57.913798999999997</v>
      </c>
      <c r="D89" s="26">
        <v>165.52950999999999</v>
      </c>
      <c r="E89" s="26">
        <v>15.842228</v>
      </c>
      <c r="F89" s="26">
        <f>SUMPRODUCT(Portafolio!B89:E89,Portafolio!$M$37:$P$37)</f>
        <v>119.00327817382772</v>
      </c>
      <c r="G89" s="41">
        <f>Portafolio!F89</f>
        <v>5.3458637702141027E-3</v>
      </c>
      <c r="H89" s="41">
        <f>Portafolio!G89</f>
        <v>-3.2244751257021888E-3</v>
      </c>
      <c r="I89" s="41">
        <f>Portafolio!H89</f>
        <v>1.3266549902395489E-2</v>
      </c>
      <c r="J89" s="41">
        <f>Portafolio!I89</f>
        <v>9.0718253225267661E-3</v>
      </c>
      <c r="K89" s="41">
        <f>Portafolio!J89</f>
        <v>9.6623755257628438E-3</v>
      </c>
    </row>
    <row r="90" spans="1:11" x14ac:dyDescent="0.2">
      <c r="A90" s="25">
        <v>45280</v>
      </c>
      <c r="B90" s="26">
        <v>194.093491</v>
      </c>
      <c r="C90" s="26">
        <v>56.712798999999997</v>
      </c>
      <c r="D90" s="26">
        <v>163.66246000000001</v>
      </c>
      <c r="E90" s="26">
        <v>15.641933</v>
      </c>
      <c r="F90" s="26">
        <f>SUMPRODUCT(Portafolio!B90:E90,Portafolio!$M$37:$P$37)</f>
        <v>117.6537841229425</v>
      </c>
      <c r="G90" s="41">
        <f>Portafolio!F90</f>
        <v>-1.0771711802952852E-2</v>
      </c>
      <c r="H90" s="41">
        <f>Portafolio!G90</f>
        <v>-2.0955763699396959E-2</v>
      </c>
      <c r="I90" s="41">
        <f>Portafolio!H90</f>
        <v>-1.1343350930772851E-2</v>
      </c>
      <c r="J90" s="41">
        <f>Portafolio!I90</f>
        <v>-1.2723712230209391E-2</v>
      </c>
      <c r="K90" s="41">
        <f>Portafolio!J90</f>
        <v>-1.2066854335196407E-2</v>
      </c>
    </row>
    <row r="91" spans="1:11" x14ac:dyDescent="0.2">
      <c r="A91" s="25">
        <v>45281</v>
      </c>
      <c r="B91" s="26">
        <v>193.944031</v>
      </c>
      <c r="C91" s="26">
        <v>57.086883999999998</v>
      </c>
      <c r="D91" s="26">
        <v>164.59599299999999</v>
      </c>
      <c r="E91" s="26">
        <v>15.727774999999999</v>
      </c>
      <c r="F91" s="26">
        <f>SUMPRODUCT(Portafolio!B91:E91,Portafolio!$M$37:$P$37)</f>
        <v>118.07539879074955</v>
      </c>
      <c r="G91" s="41">
        <f>Portafolio!F91</f>
        <v>-7.7033791279105483E-4</v>
      </c>
      <c r="H91" s="41">
        <f>Portafolio!G91</f>
        <v>6.5744708171604086E-3</v>
      </c>
      <c r="I91" s="41">
        <f>Portafolio!H91</f>
        <v>5.6878079343058051E-3</v>
      </c>
      <c r="J91" s="41">
        <f>Portafolio!I91</f>
        <v>5.4729367751170889E-3</v>
      </c>
      <c r="K91" s="41">
        <f>Portafolio!J91</f>
        <v>4.3675221076814518E-3</v>
      </c>
    </row>
    <row r="92" spans="1:11" x14ac:dyDescent="0.2">
      <c r="A92" s="25">
        <v>45282</v>
      </c>
      <c r="B92" s="26">
        <v>192.868134</v>
      </c>
      <c r="C92" s="26">
        <v>57.411738999999997</v>
      </c>
      <c r="D92" s="26">
        <v>164.497726</v>
      </c>
      <c r="E92" s="26">
        <v>15.784998999999999</v>
      </c>
      <c r="F92" s="26">
        <f>SUMPRODUCT(Portafolio!B92:E92,Portafolio!$M$37:$P$37)</f>
        <v>117.84966362766102</v>
      </c>
      <c r="G92" s="41">
        <f>Portafolio!F92</f>
        <v>-5.5629055748559423E-3</v>
      </c>
      <c r="H92" s="41">
        <f>Portafolio!G92</f>
        <v>5.6744066112261139E-3</v>
      </c>
      <c r="I92" s="41">
        <f>Portafolio!H92</f>
        <v>-5.9719768106862266E-4</v>
      </c>
      <c r="J92" s="41">
        <f>Portafolio!I92</f>
        <v>3.6318010530331695E-3</v>
      </c>
      <c r="K92" s="41">
        <f>Portafolio!J92</f>
        <v>3.21489971757522E-5</v>
      </c>
    </row>
    <row r="93" spans="1:11" x14ac:dyDescent="0.2">
      <c r="A93" s="25">
        <v>45286</v>
      </c>
      <c r="B93" s="26">
        <v>192.320221</v>
      </c>
      <c r="C93" s="26">
        <v>57.648003000000003</v>
      </c>
      <c r="D93" s="26">
        <v>165.47056599999999</v>
      </c>
      <c r="E93" s="26">
        <v>15.804074999999999</v>
      </c>
      <c r="F93" s="26">
        <f>SUMPRODUCT(Portafolio!B93:E93,Portafolio!$M$37:$P$37)</f>
        <v>118.18190992812018</v>
      </c>
      <c r="G93" s="41">
        <f>Portafolio!F93</f>
        <v>-2.8449113917028523E-3</v>
      </c>
      <c r="H93" s="41">
        <f>Portafolio!G93</f>
        <v>4.1068114348282283E-3</v>
      </c>
      <c r="I93" s="41">
        <f>Portafolio!H93</f>
        <v>5.8965836558493075E-3</v>
      </c>
      <c r="J93" s="41">
        <f>Portafolio!I93</f>
        <v>1.2077595132303129E-3</v>
      </c>
      <c r="K93" s="41">
        <f>Portafolio!J93</f>
        <v>2.569935941325565E-3</v>
      </c>
    </row>
    <row r="94" spans="1:11" x14ac:dyDescent="0.2">
      <c r="A94" s="25">
        <v>45287</v>
      </c>
      <c r="B94" s="26">
        <v>192.41982999999999</v>
      </c>
      <c r="C94" s="26">
        <v>57.795662</v>
      </c>
      <c r="D94" s="26">
        <v>166.46305799999999</v>
      </c>
      <c r="E94" s="26">
        <v>15.813613</v>
      </c>
      <c r="F94" s="26">
        <f>SUMPRODUCT(Portafolio!B94:E94,Portafolio!$M$37:$P$37)</f>
        <v>118.64512694960061</v>
      </c>
      <c r="G94" s="41">
        <f>Portafolio!F94</f>
        <v>5.1779897604456546E-4</v>
      </c>
      <c r="H94" s="41">
        <f>Portafolio!G94</f>
        <v>2.5581149129798759E-3</v>
      </c>
      <c r="I94" s="41">
        <f>Portafolio!H94</f>
        <v>5.9800808714544585E-3</v>
      </c>
      <c r="J94" s="41">
        <f>Portafolio!I94</f>
        <v>6.0333319054379066E-4</v>
      </c>
      <c r="K94" s="41">
        <f>Portafolio!J94</f>
        <v>3.0186769285192503E-3</v>
      </c>
    </row>
    <row r="95" spans="1:11" x14ac:dyDescent="0.2">
      <c r="A95" s="25">
        <v>45288</v>
      </c>
      <c r="B95" s="26">
        <v>192.848206</v>
      </c>
      <c r="C95" s="26">
        <v>57.835045000000001</v>
      </c>
      <c r="D95" s="26">
        <v>167.34747300000001</v>
      </c>
      <c r="E95" s="26">
        <v>15.966218</v>
      </c>
      <c r="F95" s="26">
        <f>SUMPRODUCT(Portafolio!B95:E95,Portafolio!$M$37:$P$37)</f>
        <v>119.1682739088652</v>
      </c>
      <c r="G95" s="41">
        <f>Portafolio!F95</f>
        <v>2.2237825955231019E-3</v>
      </c>
      <c r="H95" s="41">
        <f>Portafolio!G95</f>
        <v>6.811858639393253E-4</v>
      </c>
      <c r="I95" s="41">
        <f>Portafolio!H95</f>
        <v>5.2989165247204857E-3</v>
      </c>
      <c r="J95" s="41">
        <f>Portafolio!I95</f>
        <v>9.6039637827291333E-3</v>
      </c>
      <c r="K95" s="41">
        <f>Portafolio!J95</f>
        <v>5.8848997414621615E-3</v>
      </c>
    </row>
    <row r="96" spans="1:11" x14ac:dyDescent="0.2">
      <c r="A96" s="25">
        <v>45289</v>
      </c>
      <c r="B96" s="26">
        <v>191.80216999999999</v>
      </c>
      <c r="C96" s="26">
        <v>58.012238000000004</v>
      </c>
      <c r="D96" s="26">
        <v>167.150925</v>
      </c>
      <c r="E96" s="26">
        <v>16.004370000000002</v>
      </c>
      <c r="F96" s="26">
        <f>SUMPRODUCT(Portafolio!B96:E96,Portafolio!$M$37:$P$37)</f>
        <v>118.89331128905168</v>
      </c>
      <c r="G96" s="41">
        <f>Portafolio!F96</f>
        <v>-5.4389057902563941E-3</v>
      </c>
      <c r="H96" s="41">
        <f>Portafolio!G96</f>
        <v>3.0590814664282501E-3</v>
      </c>
      <c r="I96" s="41">
        <f>Portafolio!H96</f>
        <v>-1.1751806513597941E-3</v>
      </c>
      <c r="J96" s="41">
        <f>Portafolio!I96</f>
        <v>2.3866948027653455E-3</v>
      </c>
      <c r="K96" s="41">
        <f>Portafolio!J96</f>
        <v>-7.041279430002762E-4</v>
      </c>
    </row>
    <row r="97" spans="1:11" x14ac:dyDescent="0.2">
      <c r="A97" s="25">
        <v>45293</v>
      </c>
      <c r="B97" s="26">
        <v>184.93821700000001</v>
      </c>
      <c r="C97" s="26">
        <v>58.888378000000003</v>
      </c>
      <c r="D97" s="26">
        <v>169.09660299999999</v>
      </c>
      <c r="E97" s="26">
        <v>16.452643999999999</v>
      </c>
      <c r="F97" s="26">
        <f>SUMPRODUCT(Portafolio!B97:E97,Portafolio!$M$37:$P$37)</f>
        <v>118.55675860352919</v>
      </c>
      <c r="G97" s="41">
        <f>Portafolio!F97</f>
        <v>-3.6442669115568614E-2</v>
      </c>
      <c r="H97" s="41">
        <f>Portafolio!G97</f>
        <v>1.4989765411567772E-2</v>
      </c>
      <c r="I97" s="41">
        <f>Portafolio!H97</f>
        <v>1.1573020195509662E-2</v>
      </c>
      <c r="J97" s="41">
        <f>Portafolio!I97</f>
        <v>2.7624383831125431E-2</v>
      </c>
      <c r="K97" s="41">
        <f>Portafolio!J97</f>
        <v>7.3153276728257968E-3</v>
      </c>
    </row>
    <row r="98" spans="1:11" x14ac:dyDescent="0.2">
      <c r="A98" s="25">
        <v>45294</v>
      </c>
      <c r="B98" s="26">
        <v>183.55346700000001</v>
      </c>
      <c r="C98" s="26">
        <v>59.026195999999999</v>
      </c>
      <c r="D98" s="26">
        <v>168.35960399999999</v>
      </c>
      <c r="E98" s="26">
        <v>16.433568999999999</v>
      </c>
      <c r="F98" s="26">
        <f>SUMPRODUCT(Portafolio!B98:E98,Portafolio!$M$37:$P$37)</f>
        <v>117.95776017133119</v>
      </c>
      <c r="G98" s="41">
        <f>Portafolio!F98</f>
        <v>-7.5158087877084971E-3</v>
      </c>
      <c r="H98" s="41">
        <f>Portafolio!G98</f>
        <v>2.3375916662677874E-3</v>
      </c>
      <c r="I98" s="41">
        <f>Portafolio!H98</f>
        <v>-4.3679752008790812E-3</v>
      </c>
      <c r="J98" s="41">
        <f>Portafolio!I98</f>
        <v>-1.1600607305661888E-3</v>
      </c>
      <c r="K98" s="41">
        <f>Portafolio!J98</f>
        <v>-3.6876579815411335E-3</v>
      </c>
    </row>
    <row r="99" spans="1:11" x14ac:dyDescent="0.2">
      <c r="A99" s="25">
        <v>45295</v>
      </c>
      <c r="B99" s="26">
        <v>181.22232099999999</v>
      </c>
      <c r="C99" s="26">
        <v>58.829310999999997</v>
      </c>
      <c r="D99" s="26">
        <v>169.47685200000001</v>
      </c>
      <c r="E99" s="26">
        <v>16.357265000000002</v>
      </c>
      <c r="F99" s="26">
        <f>SUMPRODUCT(Portafolio!B99:E99,Portafolio!$M$37:$P$37)</f>
        <v>117.94932579724009</v>
      </c>
      <c r="G99" s="41">
        <f>Portafolio!F99</f>
        <v>-1.2781428001649012E-2</v>
      </c>
      <c r="H99" s="41">
        <f>Portafolio!G99</f>
        <v>-3.3411282708156569E-3</v>
      </c>
      <c r="I99" s="41">
        <f>Portafolio!H99</f>
        <v>6.6141593258210608E-3</v>
      </c>
      <c r="J99" s="41">
        <f>Portafolio!I99</f>
        <v>-4.6539918884881352E-3</v>
      </c>
      <c r="K99" s="41">
        <f>Portafolio!J99</f>
        <v>-1.2900359350104709E-3</v>
      </c>
    </row>
    <row r="100" spans="1:11" x14ac:dyDescent="0.2">
      <c r="A100" s="25">
        <v>45296</v>
      </c>
      <c r="B100" s="26">
        <v>180.49508700000001</v>
      </c>
      <c r="C100" s="26">
        <v>58.740715000000002</v>
      </c>
      <c r="D100" s="26">
        <v>170.32714799999999</v>
      </c>
      <c r="E100" s="26">
        <v>16.662476000000002</v>
      </c>
      <c r="F100" s="26">
        <f>SUMPRODUCT(Portafolio!B100:E100,Portafolio!$M$37:$P$37)</f>
        <v>118.27116491376991</v>
      </c>
      <c r="G100" s="41">
        <f>Portafolio!F100</f>
        <v>-4.0210117830922973E-3</v>
      </c>
      <c r="H100" s="41">
        <f>Portafolio!G100</f>
        <v>-1.5071191150336566E-3</v>
      </c>
      <c r="I100" s="41">
        <f>Portafolio!H100</f>
        <v>5.0046366419241994E-3</v>
      </c>
      <c r="J100" s="41">
        <f>Portafolio!I100</f>
        <v>1.8487103983690103E-2</v>
      </c>
      <c r="K100" s="41">
        <f>Portafolio!J100</f>
        <v>7.2850621287888859E-3</v>
      </c>
    </row>
    <row r="101" spans="1:11" x14ac:dyDescent="0.2">
      <c r="A101" s="25">
        <v>45299</v>
      </c>
      <c r="B101" s="26">
        <v>184.858521</v>
      </c>
      <c r="C101" s="26">
        <v>59.173865999999997</v>
      </c>
      <c r="D101" s="26">
        <v>170.07998699999999</v>
      </c>
      <c r="E101" s="26">
        <v>16.519407000000001</v>
      </c>
      <c r="F101" s="26">
        <f>SUMPRODUCT(Portafolio!B101:E101,Portafolio!$M$37:$P$37)</f>
        <v>119.00432341257817</v>
      </c>
      <c r="G101" s="41">
        <f>Portafolio!F101</f>
        <v>2.3887222589555022E-2</v>
      </c>
      <c r="H101" s="41">
        <f>Portafolio!G101</f>
        <v>7.3468937372898847E-3</v>
      </c>
      <c r="I101" s="41">
        <f>Portafolio!H101</f>
        <v>-1.4521496056958624E-3</v>
      </c>
      <c r="J101" s="41">
        <f>Portafolio!I101</f>
        <v>-8.62337357891769E-3</v>
      </c>
      <c r="K101" s="41">
        <f>Portafolio!J101</f>
        <v>1.6465945910325904E-3</v>
      </c>
    </row>
    <row r="102" spans="1:11" x14ac:dyDescent="0.2">
      <c r="A102" s="25">
        <v>45300</v>
      </c>
      <c r="B102" s="26">
        <v>184.44010900000001</v>
      </c>
      <c r="C102" s="26">
        <v>59.065578000000002</v>
      </c>
      <c r="D102" s="26">
        <v>168.735321</v>
      </c>
      <c r="E102" s="26">
        <v>16.430229000000001</v>
      </c>
      <c r="F102" s="26">
        <f>SUMPRODUCT(Portafolio!B102:E102,Portafolio!$M$37:$P$37)</f>
        <v>118.2994109049712</v>
      </c>
      <c r="G102" s="41">
        <f>Portafolio!F102</f>
        <v>-2.2659828390601978E-3</v>
      </c>
      <c r="H102" s="41">
        <f>Portafolio!G102</f>
        <v>-1.8316735365529078E-3</v>
      </c>
      <c r="I102" s="41">
        <f>Portafolio!H102</f>
        <v>-7.9374988566027482E-3</v>
      </c>
      <c r="J102" s="41">
        <f>Portafolio!I102</f>
        <v>-5.4130016942953952E-3</v>
      </c>
      <c r="K102" s="41">
        <f>Portafolio!J102</f>
        <v>-5.7440565981258501E-3</v>
      </c>
    </row>
    <row r="103" spans="1:11" x14ac:dyDescent="0.2">
      <c r="A103" s="25">
        <v>45301</v>
      </c>
      <c r="B103" s="26">
        <v>185.48616000000001</v>
      </c>
      <c r="C103" s="26">
        <v>59.262462999999997</v>
      </c>
      <c r="D103" s="26">
        <v>169.091263</v>
      </c>
      <c r="E103" s="26">
        <v>16.352684</v>
      </c>
      <c r="F103" s="26">
        <f>SUMPRODUCT(Portafolio!B103:E103,Portafolio!$M$37:$P$37)</f>
        <v>118.64669891633964</v>
      </c>
      <c r="G103" s="41">
        <f>Portafolio!F103</f>
        <v>5.655471783241264E-3</v>
      </c>
      <c r="H103" s="41">
        <f>Portafolio!G103</f>
        <v>3.3277857054118689E-3</v>
      </c>
      <c r="I103" s="41">
        <f>Portafolio!H103</f>
        <v>2.1072476150256008E-3</v>
      </c>
      <c r="J103" s="41">
        <f>Portafolio!I103</f>
        <v>-4.7308269784354078E-3</v>
      </c>
      <c r="K103" s="41">
        <f>Portafolio!J103</f>
        <v>6.6043806687810023E-4</v>
      </c>
    </row>
    <row r="104" spans="1:11" x14ac:dyDescent="0.2">
      <c r="A104" s="25">
        <v>45302</v>
      </c>
      <c r="B104" s="26">
        <v>184.88841199999999</v>
      </c>
      <c r="C104" s="26">
        <v>58.878535999999997</v>
      </c>
      <c r="D104" s="26">
        <v>168.379379</v>
      </c>
      <c r="E104" s="26">
        <v>15.732308</v>
      </c>
      <c r="F104" s="26">
        <f>SUMPRODUCT(Portafolio!B104:E104,Portafolio!$M$37:$P$37)</f>
        <v>118.00045063464782</v>
      </c>
      <c r="G104" s="41">
        <f>Portafolio!F104</f>
        <v>-3.2278053849822972E-3</v>
      </c>
      <c r="H104" s="41">
        <f>Portafolio!G104</f>
        <v>-6.4994939061170766E-3</v>
      </c>
      <c r="I104" s="41">
        <f>Portafolio!H104</f>
        <v>-4.2189451011928857E-3</v>
      </c>
      <c r="J104" s="41">
        <f>Portafolio!I104</f>
        <v>-3.8675610583800438E-2</v>
      </c>
      <c r="K104" s="41">
        <f>Portafolio!J104</f>
        <v>-1.5219798972113684E-2</v>
      </c>
    </row>
    <row r="105" spans="1:11" x14ac:dyDescent="0.2">
      <c r="A105" s="25">
        <v>45303</v>
      </c>
      <c r="B105" s="26">
        <v>185.217163</v>
      </c>
      <c r="C105" s="26">
        <v>59.449500999999998</v>
      </c>
      <c r="D105" s="26">
        <v>167.143463</v>
      </c>
      <c r="E105" s="26">
        <v>15.974641999999999</v>
      </c>
      <c r="F105" s="26">
        <f>SUMPRODUCT(Portafolio!B105:E105,Portafolio!$M$37:$P$37)</f>
        <v>117.62663119319043</v>
      </c>
      <c r="G105" s="41">
        <f>Portafolio!F105</f>
        <v>1.776525989713901E-3</v>
      </c>
      <c r="H105" s="41">
        <f>Portafolio!G105</f>
        <v>9.6506195124218454E-3</v>
      </c>
      <c r="I105" s="41">
        <f>Portafolio!H105</f>
        <v>-7.3671383000021009E-3</v>
      </c>
      <c r="J105" s="41">
        <f>Portafolio!I105</f>
        <v>1.5286157688589852E-2</v>
      </c>
      <c r="K105" s="41">
        <f>Portafolio!J105</f>
        <v>2.4514514683125523E-3</v>
      </c>
    </row>
    <row r="106" spans="1:11" x14ac:dyDescent="0.2">
      <c r="A106" s="25">
        <v>45307</v>
      </c>
      <c r="B106" s="26">
        <v>182.935822</v>
      </c>
      <c r="C106" s="26">
        <v>59.055732999999996</v>
      </c>
      <c r="D106" s="26">
        <v>166.095428</v>
      </c>
      <c r="E106" s="26">
        <v>15.935869</v>
      </c>
      <c r="F106" s="26">
        <f>SUMPRODUCT(Portafolio!B106:E106,Portafolio!$M$37:$P$37)</f>
        <v>116.68477377746579</v>
      </c>
      <c r="G106" s="41">
        <f>Portafolio!F106</f>
        <v>-1.2393598825964395E-2</v>
      </c>
      <c r="H106" s="41">
        <f>Portafolio!G106</f>
        <v>-6.6456043485522889E-3</v>
      </c>
      <c r="I106" s="41">
        <f>Portafolio!H106</f>
        <v>-6.2900128628262742E-3</v>
      </c>
      <c r="J106" s="41">
        <f>Portafolio!I106</f>
        <v>-2.4301095699120847E-3</v>
      </c>
      <c r="K106" s="41">
        <f>Portafolio!J106</f>
        <v>-6.2770724136873785E-3</v>
      </c>
    </row>
    <row r="107" spans="1:11" x14ac:dyDescent="0.2">
      <c r="A107" s="25">
        <v>45308</v>
      </c>
      <c r="B107" s="26">
        <v>181.98940999999999</v>
      </c>
      <c r="C107" s="26">
        <v>59.055732999999996</v>
      </c>
      <c r="D107" s="26">
        <v>165.205566</v>
      </c>
      <c r="E107" s="26">
        <v>15.906789</v>
      </c>
      <c r="F107" s="26">
        <f>SUMPRODUCT(Portafolio!B107:E107,Portafolio!$M$37:$P$37)</f>
        <v>116.09740816885518</v>
      </c>
      <c r="G107" s="41">
        <f>Portafolio!F107</f>
        <v>-5.186893307744119E-3</v>
      </c>
      <c r="H107" s="41">
        <f>Portafolio!G107</f>
        <v>0</v>
      </c>
      <c r="I107" s="41">
        <f>Portafolio!H107</f>
        <v>-5.371937640172391E-3</v>
      </c>
      <c r="J107" s="41">
        <f>Portafolio!I107</f>
        <v>-1.8264811991713004E-3</v>
      </c>
      <c r="K107" s="41">
        <f>Portafolio!J107</f>
        <v>-3.9729829038269698E-3</v>
      </c>
    </row>
    <row r="108" spans="1:11" x14ac:dyDescent="0.2">
      <c r="A108" s="25">
        <v>45309</v>
      </c>
      <c r="B108" s="26">
        <v>187.91691599999999</v>
      </c>
      <c r="C108" s="26">
        <v>59.223083000000003</v>
      </c>
      <c r="D108" s="26">
        <v>165.53185999999999</v>
      </c>
      <c r="E108" s="26">
        <v>15.897095</v>
      </c>
      <c r="F108" s="26">
        <f>SUMPRODUCT(Portafolio!B108:E108,Portafolio!$M$37:$P$37)</f>
        <v>117.42536196854202</v>
      </c>
      <c r="G108" s="41">
        <f>Portafolio!F108</f>
        <v>3.205143040647615E-2</v>
      </c>
      <c r="H108" s="41">
        <f>Portafolio!G108</f>
        <v>2.8297562882526783E-3</v>
      </c>
      <c r="I108" s="41">
        <f>Portafolio!H108</f>
        <v>1.9731308295413211E-3</v>
      </c>
      <c r="J108" s="41">
        <f>Portafolio!I108</f>
        <v>-6.0961109656987951E-4</v>
      </c>
      <c r="K108" s="41">
        <f>Portafolio!J108</f>
        <v>7.1709388576390986E-3</v>
      </c>
    </row>
    <row r="109" spans="1:11" x14ac:dyDescent="0.2">
      <c r="A109" s="25">
        <v>45310</v>
      </c>
      <c r="B109" s="26">
        <v>190.83583100000001</v>
      </c>
      <c r="C109" s="26">
        <v>58.898228000000003</v>
      </c>
      <c r="D109" s="26">
        <v>168.389252</v>
      </c>
      <c r="E109" s="26">
        <v>16.158815000000001</v>
      </c>
      <c r="F109" s="26">
        <f>SUMPRODUCT(Portafolio!B109:E109,Portafolio!$M$37:$P$37)</f>
        <v>119.32848156447589</v>
      </c>
      <c r="G109" s="41">
        <f>Portafolio!F109</f>
        <v>1.5413605907075779E-2</v>
      </c>
      <c r="H109" s="41">
        <f>Portafolio!G109</f>
        <v>-5.5003761178523645E-3</v>
      </c>
      <c r="I109" s="41">
        <f>Portafolio!H109</f>
        <v>1.7114591700558776E-2</v>
      </c>
      <c r="J109" s="41">
        <f>Portafolio!I109</f>
        <v>1.6329333065123283E-2</v>
      </c>
      <c r="K109" s="41">
        <f>Portafolio!J109</f>
        <v>1.5598900890331174E-2</v>
      </c>
    </row>
    <row r="110" spans="1:11" x14ac:dyDescent="0.2">
      <c r="A110" s="25">
        <v>45313</v>
      </c>
      <c r="B110" s="26">
        <v>193.157028</v>
      </c>
      <c r="C110" s="26">
        <v>58.642273000000003</v>
      </c>
      <c r="D110" s="26">
        <v>168.19151299999999</v>
      </c>
      <c r="E110" s="26">
        <v>16.284828000000001</v>
      </c>
      <c r="F110" s="26">
        <f>SUMPRODUCT(Portafolio!B110:E110,Portafolio!$M$37:$P$37)</f>
        <v>119.73478598832979</v>
      </c>
      <c r="G110" s="41">
        <f>Portafolio!F110</f>
        <v>1.2089939794405298E-2</v>
      </c>
      <c r="H110" s="41">
        <f>Portafolio!G110</f>
        <v>-4.3551865509223759E-3</v>
      </c>
      <c r="I110" s="41">
        <f>Portafolio!H110</f>
        <v>-1.1749870658817193E-3</v>
      </c>
      <c r="J110" s="41">
        <f>Portafolio!I110</f>
        <v>7.7681556093607577E-3</v>
      </c>
      <c r="K110" s="41">
        <f>Portafolio!J110</f>
        <v>4.2214622377396375E-3</v>
      </c>
    </row>
    <row r="111" spans="1:11" x14ac:dyDescent="0.2">
      <c r="A111" s="25">
        <v>45314</v>
      </c>
      <c r="B111" s="26">
        <v>194.44215399999999</v>
      </c>
      <c r="C111" s="26">
        <v>58.917907999999997</v>
      </c>
      <c r="D111" s="26">
        <v>167.08415199999999</v>
      </c>
      <c r="E111" s="26">
        <v>16.662870000000002</v>
      </c>
      <c r="F111" s="26">
        <f>SUMPRODUCT(Portafolio!B111:E111,Portafolio!$M$37:$P$37)</f>
        <v>119.63951793104866</v>
      </c>
      <c r="G111" s="41">
        <f>Portafolio!F111</f>
        <v>6.6312354047433934E-3</v>
      </c>
      <c r="H111" s="41">
        <f>Portafolio!G111</f>
        <v>4.6892664291325829E-3</v>
      </c>
      <c r="I111" s="41">
        <f>Portafolio!H111</f>
        <v>-6.605698786174531E-3</v>
      </c>
      <c r="J111" s="41">
        <f>Portafolio!I111</f>
        <v>2.2949014004003898E-2</v>
      </c>
      <c r="K111" s="41">
        <f>Portafolio!J111</f>
        <v>6.019359605761769E-3</v>
      </c>
    </row>
    <row r="112" spans="1:11" x14ac:dyDescent="0.2">
      <c r="A112" s="25">
        <v>45315</v>
      </c>
      <c r="B112" s="26">
        <v>193.764725</v>
      </c>
      <c r="C112" s="26">
        <v>57.992553999999998</v>
      </c>
      <c r="D112" s="26">
        <v>168.57711800000001</v>
      </c>
      <c r="E112" s="26">
        <v>16.168510000000001</v>
      </c>
      <c r="F112" s="26">
        <f>SUMPRODUCT(Portafolio!B112:E112,Portafolio!$M$37:$P$37)</f>
        <v>119.96060924597738</v>
      </c>
      <c r="G112" s="41">
        <f>Portafolio!F112</f>
        <v>-3.4900447377881711E-3</v>
      </c>
      <c r="H112" s="41">
        <f>Portafolio!G112</f>
        <v>-1.5830462198802939E-2</v>
      </c>
      <c r="I112" s="41">
        <f>Portafolio!H112</f>
        <v>8.8957289910188905E-3</v>
      </c>
      <c r="J112" s="41">
        <f>Portafolio!I112</f>
        <v>-3.011736741564745E-2</v>
      </c>
      <c r="K112" s="41">
        <f>Portafolio!J112</f>
        <v>-7.1565942102710112E-3</v>
      </c>
    </row>
    <row r="113" spans="1:11" x14ac:dyDescent="0.2">
      <c r="A113" s="25">
        <v>45316</v>
      </c>
      <c r="B113" s="26">
        <v>193.43598900000001</v>
      </c>
      <c r="C113" s="26">
        <v>58.238658999999998</v>
      </c>
      <c r="D113" s="26">
        <v>170.98959400000001</v>
      </c>
      <c r="E113" s="26">
        <v>16.653176999999999</v>
      </c>
      <c r="F113" s="26">
        <f>SUMPRODUCT(Portafolio!B113:E113,Portafolio!$M$37:$P$37)</f>
        <v>121.11690616470584</v>
      </c>
      <c r="G113" s="41">
        <f>Portafolio!F113</f>
        <v>-1.6980138057580752E-3</v>
      </c>
      <c r="H113" s="41">
        <f>Portafolio!G113</f>
        <v>4.2347552165082781E-3</v>
      </c>
      <c r="I113" s="41">
        <f>Portafolio!H113</f>
        <v>1.4209382167514918E-2</v>
      </c>
      <c r="J113" s="41">
        <f>Portafolio!I113</f>
        <v>2.9535485641168389E-2</v>
      </c>
      <c r="K113" s="41">
        <f>Portafolio!J113</f>
        <v>1.5570910902553053E-2</v>
      </c>
    </row>
    <row r="114" spans="1:11" x14ac:dyDescent="0.2">
      <c r="A114" s="25">
        <v>45317</v>
      </c>
      <c r="B114" s="26">
        <v>191.69258099999999</v>
      </c>
      <c r="C114" s="26">
        <v>58.445385000000002</v>
      </c>
      <c r="D114" s="26">
        <v>170.337051</v>
      </c>
      <c r="E114" s="26">
        <v>16.759803999999999</v>
      </c>
      <c r="F114" s="26">
        <f>SUMPRODUCT(Portafolio!B114:E114,Portafolio!$M$37:$P$37)</f>
        <v>120.52670034148221</v>
      </c>
      <c r="G114" s="41">
        <f>Portafolio!F114</f>
        <v>-9.053703332614238E-3</v>
      </c>
      <c r="H114" s="41">
        <f>Portafolio!G114</f>
        <v>3.5433502166368901E-3</v>
      </c>
      <c r="I114" s="41">
        <f>Portafolio!H114</f>
        <v>-3.8235737207052796E-3</v>
      </c>
      <c r="J114" s="41">
        <f>Portafolio!I114</f>
        <v>6.382391439619532E-3</v>
      </c>
      <c r="K114" s="41">
        <f>Portafolio!J114</f>
        <v>-1.2758431602761227E-3</v>
      </c>
    </row>
    <row r="115" spans="1:11" x14ac:dyDescent="0.2">
      <c r="A115" s="25">
        <v>45320</v>
      </c>
      <c r="B115" s="26">
        <v>191.005188</v>
      </c>
      <c r="C115" s="26">
        <v>58.799782</v>
      </c>
      <c r="D115" s="26">
        <v>170.78196700000001</v>
      </c>
      <c r="E115" s="26">
        <v>16.721031</v>
      </c>
      <c r="F115" s="26">
        <f>SUMPRODUCT(Portafolio!B115:E115,Portafolio!$M$37:$P$37)</f>
        <v>120.58633537196525</v>
      </c>
      <c r="G115" s="41">
        <f>Portafolio!F115</f>
        <v>-3.5923582258243084E-3</v>
      </c>
      <c r="H115" s="41">
        <f>Portafolio!G115</f>
        <v>6.045418986824742E-3</v>
      </c>
      <c r="I115" s="41">
        <f>Portafolio!H115</f>
        <v>2.608569026138582E-3</v>
      </c>
      <c r="J115" s="41">
        <f>Portafolio!I115</f>
        <v>-2.3161320398991719E-3</v>
      </c>
      <c r="K115" s="41">
        <f>Portafolio!J115</f>
        <v>-7.4265126993620706E-5</v>
      </c>
    </row>
    <row r="116" spans="1:11" x14ac:dyDescent="0.2">
      <c r="A116" s="25">
        <v>45321</v>
      </c>
      <c r="B116" s="26">
        <v>187.32914700000001</v>
      </c>
      <c r="C116" s="26">
        <v>58.967132999999997</v>
      </c>
      <c r="D116" s="26">
        <v>174.282059</v>
      </c>
      <c r="E116" s="26">
        <v>16.992445</v>
      </c>
      <c r="F116" s="26">
        <f>SUMPRODUCT(Portafolio!B116:E116,Portafolio!$M$37:$P$37)</f>
        <v>121.47937694605049</v>
      </c>
      <c r="G116" s="41">
        <f>Portafolio!F116</f>
        <v>-1.9433375980611085E-2</v>
      </c>
      <c r="H116" s="41">
        <f>Portafolio!G116</f>
        <v>2.842073474480988E-3</v>
      </c>
      <c r="I116" s="41">
        <f>Portafolio!H116</f>
        <v>2.0287319345977977E-2</v>
      </c>
      <c r="J116" s="41">
        <f>Portafolio!I116</f>
        <v>1.610156507641821E-2</v>
      </c>
      <c r="K116" s="41">
        <f>Portafolio!J116</f>
        <v>1.0308660085380405E-2</v>
      </c>
    </row>
    <row r="117" spans="1:11" x14ac:dyDescent="0.2">
      <c r="A117" s="25">
        <v>45322</v>
      </c>
      <c r="B117" s="26">
        <v>183.702911</v>
      </c>
      <c r="C117" s="26">
        <v>58.563518999999999</v>
      </c>
      <c r="D117" s="26">
        <v>172.393585</v>
      </c>
      <c r="E117" s="26">
        <v>17.147537</v>
      </c>
      <c r="F117" s="26">
        <f>SUMPRODUCT(Portafolio!B117:E117,Portafolio!$M$37:$P$37)</f>
        <v>119.96380501982604</v>
      </c>
      <c r="G117" s="41">
        <f>Portafolio!F117</f>
        <v>-1.9547375416428876E-2</v>
      </c>
      <c r="H117" s="41">
        <f>Portafolio!G117</f>
        <v>-6.8682608284900979E-3</v>
      </c>
      <c r="I117" s="41">
        <f>Portafolio!H117</f>
        <v>-1.0894867940747696E-2</v>
      </c>
      <c r="J117" s="41">
        <f>Portafolio!I117</f>
        <v>9.08571462661973E-3</v>
      </c>
      <c r="K117" s="41">
        <f>Portafolio!J117</f>
        <v>-6.0153742372202074E-3</v>
      </c>
    </row>
    <row r="118" spans="1:11" x14ac:dyDescent="0.2">
      <c r="A118" s="25">
        <v>45323</v>
      </c>
      <c r="B118" s="26">
        <v>186.15362500000001</v>
      </c>
      <c r="C118" s="26">
        <v>60.030315000000002</v>
      </c>
      <c r="D118" s="26">
        <v>171.770691</v>
      </c>
      <c r="E118" s="26">
        <v>17.486806999999999</v>
      </c>
      <c r="F118" s="26">
        <f>SUMPRODUCT(Portafolio!B118:E118,Portafolio!$M$37:$P$37)</f>
        <v>120.34898770268443</v>
      </c>
      <c r="G118" s="41">
        <f>Portafolio!F118</f>
        <v>1.3252435087594459E-2</v>
      </c>
      <c r="H118" s="41">
        <f>Portafolio!G118</f>
        <v>2.4737724565590001E-2</v>
      </c>
      <c r="I118" s="41">
        <f>Portafolio!H118</f>
        <v>-3.6197520984293389E-3</v>
      </c>
      <c r="J118" s="41">
        <f>Portafolio!I118</f>
        <v>1.9592162762490182E-2</v>
      </c>
      <c r="K118" s="41">
        <f>Portafolio!J118</f>
        <v>8.3824326595088126E-3</v>
      </c>
    </row>
    <row r="119" spans="1:11" x14ac:dyDescent="0.2">
      <c r="A119" s="25">
        <v>45324</v>
      </c>
      <c r="B119" s="26">
        <v>185.14743000000001</v>
      </c>
      <c r="C119" s="26">
        <v>59.597168000000003</v>
      </c>
      <c r="D119" s="26">
        <v>172.75941499999999</v>
      </c>
      <c r="E119" s="26">
        <v>17.283245000000001</v>
      </c>
      <c r="F119" s="26">
        <f>SUMPRODUCT(Portafolio!B119:E119,Portafolio!$M$37:$P$37)</f>
        <v>120.49774546316618</v>
      </c>
      <c r="G119" s="41">
        <f>Portafolio!F119</f>
        <v>-5.4198470459970276E-3</v>
      </c>
      <c r="H119" s="41">
        <f>Portafolio!G119</f>
        <v>-7.2416284624734579E-3</v>
      </c>
      <c r="I119" s="41">
        <f>Portafolio!H119</f>
        <v>5.7395664242008678E-3</v>
      </c>
      <c r="J119" s="41">
        <f>Portafolio!I119</f>
        <v>-1.1709175802896356E-2</v>
      </c>
      <c r="K119" s="41">
        <f>Portafolio!J119</f>
        <v>-2.6385457235104919E-3</v>
      </c>
    </row>
    <row r="120" spans="1:11" x14ac:dyDescent="0.2">
      <c r="A120" s="25">
        <v>45327</v>
      </c>
      <c r="B120" s="26">
        <v>186.970505</v>
      </c>
      <c r="C120" s="26">
        <v>59.104953999999999</v>
      </c>
      <c r="D120" s="26">
        <v>172.53201300000001</v>
      </c>
      <c r="E120" s="26">
        <v>17.186309999999999</v>
      </c>
      <c r="F120" s="26">
        <f>SUMPRODUCT(Portafolio!B120:E120,Portafolio!$M$37:$P$37)</f>
        <v>120.71028098445213</v>
      </c>
      <c r="G120" s="41">
        <f>Portafolio!F120</f>
        <v>9.7984505156412712E-3</v>
      </c>
      <c r="H120" s="41">
        <f>Portafolio!G120</f>
        <v>-8.2933112377348989E-3</v>
      </c>
      <c r="I120" s="41">
        <f>Portafolio!H120</f>
        <v>-1.3171600244696804E-3</v>
      </c>
      <c r="J120" s="41">
        <f>Portafolio!I120</f>
        <v>-5.6243984313423317E-3</v>
      </c>
      <c r="K120" s="41">
        <f>Portafolio!J120</f>
        <v>-7.7469153796365289E-4</v>
      </c>
    </row>
    <row r="121" spans="1:11" x14ac:dyDescent="0.2">
      <c r="A121" s="25">
        <v>45328</v>
      </c>
      <c r="B121" s="26">
        <v>188.58438100000001</v>
      </c>
      <c r="C121" s="26">
        <v>59.006512000000001</v>
      </c>
      <c r="D121" s="26">
        <v>173.12524400000001</v>
      </c>
      <c r="E121" s="26">
        <v>17.069991999999999</v>
      </c>
      <c r="F121" s="26">
        <f>SUMPRODUCT(Portafolio!B121:E121,Portafolio!$M$37:$P$37)</f>
        <v>121.25001556126004</v>
      </c>
      <c r="G121" s="41">
        <f>Portafolio!F121</f>
        <v>8.5946741458582179E-3</v>
      </c>
      <c r="H121" s="41">
        <f>Portafolio!G121</f>
        <v>-1.6669342296507035E-3</v>
      </c>
      <c r="I121" s="41">
        <f>Portafolio!H121</f>
        <v>3.4324844651034197E-3</v>
      </c>
      <c r="J121" s="41">
        <f>Portafolio!I121</f>
        <v>-6.7910685184317367E-3</v>
      </c>
      <c r="K121" s="41">
        <f>Portafolio!J121</f>
        <v>9.5814517061633235E-4</v>
      </c>
    </row>
    <row r="122" spans="1:11" x14ac:dyDescent="0.2">
      <c r="A122" s="25">
        <v>45329</v>
      </c>
      <c r="B122" s="26">
        <v>188.69397000000001</v>
      </c>
      <c r="C122" s="26">
        <v>59.055732999999996</v>
      </c>
      <c r="D122" s="26">
        <v>173.45150799999999</v>
      </c>
      <c r="E122" s="26">
        <v>16.798576000000001</v>
      </c>
      <c r="F122" s="26">
        <f>SUMPRODUCT(Portafolio!B122:E122,Portafolio!$M$37:$P$37)</f>
        <v>121.32914729227977</v>
      </c>
      <c r="G122" s="41">
        <f>Portafolio!F122</f>
        <v>5.8094509155742779E-4</v>
      </c>
      <c r="H122" s="41">
        <f>Portafolio!G122</f>
        <v>8.3381444850086286E-4</v>
      </c>
      <c r="I122" s="41">
        <f>Portafolio!H122</f>
        <v>1.8827811992427708E-3</v>
      </c>
      <c r="J122" s="41">
        <f>Portafolio!I122</f>
        <v>-1.6027947235816124E-2</v>
      </c>
      <c r="K122" s="41">
        <f>Portafolio!J122</f>
        <v>-4.1921114467546611E-3</v>
      </c>
    </row>
    <row r="123" spans="1:11" x14ac:dyDescent="0.2">
      <c r="A123" s="25">
        <v>45330</v>
      </c>
      <c r="B123" s="26">
        <v>187.608093</v>
      </c>
      <c r="C123" s="26">
        <v>58.898228000000003</v>
      </c>
      <c r="D123" s="26">
        <v>172.82862900000001</v>
      </c>
      <c r="E123" s="26">
        <v>16.304216</v>
      </c>
      <c r="F123" s="26">
        <f>SUMPRODUCT(Portafolio!B123:E123,Portafolio!$M$37:$P$37)</f>
        <v>120.67440957118882</v>
      </c>
      <c r="G123" s="41">
        <f>Portafolio!F123</f>
        <v>-5.7713210785359176E-3</v>
      </c>
      <c r="H123" s="41">
        <f>Portafolio!G123</f>
        <v>-2.670619829599635E-3</v>
      </c>
      <c r="I123" s="41">
        <f>Portafolio!H123</f>
        <v>-3.5975477957779409E-3</v>
      </c>
      <c r="J123" s="41">
        <f>Portafolio!I123</f>
        <v>-2.9870396236716779E-2</v>
      </c>
      <c r="K123" s="41">
        <f>Portafolio!J123</f>
        <v>-1.2460627959492699E-2</v>
      </c>
    </row>
    <row r="124" spans="1:11" x14ac:dyDescent="0.2">
      <c r="A124" s="25">
        <v>45331</v>
      </c>
      <c r="B124" s="26">
        <v>188.37616</v>
      </c>
      <c r="C124" s="26">
        <v>58.632430999999997</v>
      </c>
      <c r="D124" s="26">
        <v>173.03625500000001</v>
      </c>
      <c r="E124" s="26">
        <v>16.323602999999999</v>
      </c>
      <c r="F124" s="26">
        <f>SUMPRODUCT(Portafolio!B124:E124,Portafolio!$M$37:$P$37)</f>
        <v>120.91374044357977</v>
      </c>
      <c r="G124" s="41">
        <f>Portafolio!F124</f>
        <v>4.0856395568765842E-3</v>
      </c>
      <c r="H124" s="41">
        <f>Portafolio!G124</f>
        <v>-4.5230317841640829E-3</v>
      </c>
      <c r="I124" s="41">
        <f>Portafolio!H124</f>
        <v>1.200619285424928E-3</v>
      </c>
      <c r="J124" s="41">
        <f>Portafolio!I124</f>
        <v>1.1883725529783697E-3</v>
      </c>
      <c r="K124" s="41">
        <f>Portafolio!J124</f>
        <v>1.5379715059817237E-3</v>
      </c>
    </row>
    <row r="125" spans="1:11" x14ac:dyDescent="0.2">
      <c r="A125" s="25">
        <v>45334</v>
      </c>
      <c r="B125" s="26">
        <v>186.68042</v>
      </c>
      <c r="C125" s="26">
        <v>58.770248000000002</v>
      </c>
      <c r="D125" s="26">
        <v>173.80744899999999</v>
      </c>
      <c r="E125" s="26">
        <v>16.498085</v>
      </c>
      <c r="F125" s="26">
        <f>SUMPRODUCT(Portafolio!B125:E125,Portafolio!$M$37:$P$37)</f>
        <v>120.97503830826061</v>
      </c>
      <c r="G125" s="41">
        <f>Portafolio!F125</f>
        <v>-9.0426439389799818E-3</v>
      </c>
      <c r="H125" s="41">
        <f>Portafolio!G125</f>
        <v>2.3477669245357624E-3</v>
      </c>
      <c r="I125" s="41">
        <f>Portafolio!H125</f>
        <v>4.4469325058092328E-3</v>
      </c>
      <c r="J125" s="41">
        <f>Portafolio!I125</f>
        <v>1.0632216336701443E-2</v>
      </c>
      <c r="K125" s="41">
        <f>Portafolio!J125</f>
        <v>3.6659483318481909E-3</v>
      </c>
    </row>
    <row r="126" spans="1:11" x14ac:dyDescent="0.2">
      <c r="A126" s="25">
        <v>45335</v>
      </c>
      <c r="B126" s="26">
        <v>184.575714</v>
      </c>
      <c r="C126" s="26">
        <v>58.425697</v>
      </c>
      <c r="D126" s="26">
        <v>172.29470800000001</v>
      </c>
      <c r="E126" s="26">
        <v>16.381762999999999</v>
      </c>
      <c r="F126" s="26">
        <f>SUMPRODUCT(Portafolio!B126:E126,Portafolio!$M$37:$P$37)</f>
        <v>119.84207491470126</v>
      </c>
      <c r="G126" s="41">
        <f>Portafolio!F126</f>
        <v>-1.133841763443315E-2</v>
      </c>
      <c r="H126" s="41">
        <f>Portafolio!G126</f>
        <v>-5.8799302773867674E-3</v>
      </c>
      <c r="I126" s="41">
        <f>Portafolio!H126</f>
        <v>-8.7416423305419957E-3</v>
      </c>
      <c r="J126" s="41">
        <f>Portafolio!I126</f>
        <v>-7.075609674194675E-3</v>
      </c>
      <c r="K126" s="41">
        <f>Portafolio!J126</f>
        <v>-8.605408745771443E-3</v>
      </c>
    </row>
    <row r="127" spans="1:11" x14ac:dyDescent="0.2">
      <c r="A127" s="25">
        <v>45336</v>
      </c>
      <c r="B127" s="26">
        <v>183.68794299999999</v>
      </c>
      <c r="C127" s="26">
        <v>58.366633999999998</v>
      </c>
      <c r="D127" s="26">
        <v>174.04473899999999</v>
      </c>
      <c r="E127" s="26">
        <v>16.391455000000001</v>
      </c>
      <c r="F127" s="26">
        <f>SUMPRODUCT(Portafolio!B127:E127,Portafolio!$M$37:$P$37)</f>
        <v>120.43155027122633</v>
      </c>
      <c r="G127" s="41">
        <f>Portafolio!F127</f>
        <v>-4.8213974030586366E-3</v>
      </c>
      <c r="H127" s="41">
        <f>Portafolio!G127</f>
        <v>-1.0114192349661964E-3</v>
      </c>
      <c r="I127" s="41">
        <f>Portafolio!H127</f>
        <v>1.0105957663276266E-2</v>
      </c>
      <c r="J127" s="41">
        <f>Portafolio!I127</f>
        <v>5.9145856733030231E-4</v>
      </c>
      <c r="K127" s="41">
        <f>Portafolio!J127</f>
        <v>3.6101130568427101E-3</v>
      </c>
    </row>
    <row r="128" spans="1:11" x14ac:dyDescent="0.2">
      <c r="A128" s="25">
        <v>45337</v>
      </c>
      <c r="B128" s="26">
        <v>183.39868200000001</v>
      </c>
      <c r="C128" s="26">
        <v>58.474921999999999</v>
      </c>
      <c r="D128" s="26">
        <v>177.84144599999999</v>
      </c>
      <c r="E128" s="26">
        <v>16.565937000000002</v>
      </c>
      <c r="F128" s="26">
        <f>SUMPRODUCT(Portafolio!B128:E128,Portafolio!$M$37:$P$37)</f>
        <v>122.09577703989973</v>
      </c>
      <c r="G128" s="41">
        <f>Portafolio!F128</f>
        <v>-1.5759825619922172E-3</v>
      </c>
      <c r="H128" s="41">
        <f>Portafolio!G128</f>
        <v>1.8535876226185115E-3</v>
      </c>
      <c r="I128" s="41">
        <f>Portafolio!H128</f>
        <v>2.1580013672744289E-2</v>
      </c>
      <c r="J128" s="41">
        <f>Portafolio!I128</f>
        <v>1.0588436740846002E-2</v>
      </c>
      <c r="K128" s="41">
        <f>Portafolio!J128</f>
        <v>1.2616390198828775E-2</v>
      </c>
    </row>
    <row r="129" spans="1:11" x14ac:dyDescent="0.2">
      <c r="A129" s="25">
        <v>45338</v>
      </c>
      <c r="B129" s="26">
        <v>181.852554</v>
      </c>
      <c r="C129" s="26">
        <v>58.465076000000003</v>
      </c>
      <c r="D129" s="26">
        <v>177.01091</v>
      </c>
      <c r="E129" s="26">
        <v>16.449615000000001</v>
      </c>
      <c r="F129" s="26">
        <f>SUMPRODUCT(Portafolio!B129:E129,Portafolio!$M$37:$P$37)</f>
        <v>121.38631328815191</v>
      </c>
      <c r="G129" s="41">
        <f>Portafolio!F129</f>
        <v>-8.4661574423176515E-3</v>
      </c>
      <c r="H129" s="41">
        <f>Portafolio!G129</f>
        <v>-1.6839405150777205E-4</v>
      </c>
      <c r="I129" s="41">
        <f>Portafolio!H129</f>
        <v>-4.6810314347300336E-3</v>
      </c>
      <c r="J129" s="41">
        <f>Portafolio!I129</f>
        <v>-7.0465265167247411E-3</v>
      </c>
      <c r="K129" s="41">
        <f>Portafolio!J129</f>
        <v>-6.0135882698069696E-3</v>
      </c>
    </row>
    <row r="130" spans="1:11" x14ac:dyDescent="0.2">
      <c r="A130" s="25">
        <v>45342</v>
      </c>
      <c r="B130" s="26">
        <v>181.104446</v>
      </c>
      <c r="C130" s="26">
        <v>59.754677000000001</v>
      </c>
      <c r="D130" s="26">
        <v>177.70301799999999</v>
      </c>
      <c r="E130" s="26">
        <v>16.391455000000001</v>
      </c>
      <c r="F130" s="26">
        <f>SUMPRODUCT(Portafolio!B130:E130,Portafolio!$M$37:$P$37)</f>
        <v>121.57394785243312</v>
      </c>
      <c r="G130" s="41">
        <f>Portafolio!F130</f>
        <v>-4.1223013161664603E-3</v>
      </c>
      <c r="H130" s="41">
        <f>Portafolio!G130</f>
        <v>2.181787938436186E-2</v>
      </c>
      <c r="I130" s="41">
        <f>Portafolio!H130</f>
        <v>3.9023496044056838E-3</v>
      </c>
      <c r="J130" s="41">
        <f>Portafolio!I130</f>
        <v>-3.5419102241213379E-3</v>
      </c>
      <c r="K130" s="41">
        <f>Portafolio!J130</f>
        <v>6.3525156539686939E-4</v>
      </c>
    </row>
    <row r="131" spans="1:11" x14ac:dyDescent="0.2">
      <c r="A131" s="25">
        <v>45343</v>
      </c>
      <c r="B131" s="26">
        <v>181.862549</v>
      </c>
      <c r="C131" s="26">
        <v>60.286265999999998</v>
      </c>
      <c r="D131" s="26">
        <v>178.85983300000001</v>
      </c>
      <c r="E131" s="26">
        <v>16.478697</v>
      </c>
      <c r="F131" s="26">
        <f>SUMPRODUCT(Portafolio!B131:E131,Portafolio!$M$37:$P$37)</f>
        <v>122.28103789109593</v>
      </c>
      <c r="G131" s="41">
        <f>Portafolio!F131</f>
        <v>4.1772619153831059E-3</v>
      </c>
      <c r="H131" s="41">
        <f>Portafolio!G131</f>
        <v>8.8568526987604264E-3</v>
      </c>
      <c r="I131" s="41">
        <f>Portafolio!H131</f>
        <v>6.4887245296995355E-3</v>
      </c>
      <c r="J131" s="41">
        <f>Portafolio!I131</f>
        <v>5.3082933634442889E-3</v>
      </c>
      <c r="K131" s="41">
        <f>Portafolio!J131</f>
        <v>5.7442633542833087E-3</v>
      </c>
    </row>
    <row r="132" spans="1:11" x14ac:dyDescent="0.2">
      <c r="A132" s="25">
        <v>45344</v>
      </c>
      <c r="B132" s="26">
        <v>183.90739400000001</v>
      </c>
      <c r="C132" s="26">
        <v>60.197665999999998</v>
      </c>
      <c r="D132" s="26">
        <v>181.00535600000001</v>
      </c>
      <c r="E132" s="26">
        <v>16.081268000000001</v>
      </c>
      <c r="F132" s="26">
        <f>SUMPRODUCT(Portafolio!B132:E132,Portafolio!$M$37:$P$37)</f>
        <v>123.49566992920995</v>
      </c>
      <c r="G132" s="41">
        <f>Portafolio!F132</f>
        <v>1.118116096025438E-2</v>
      </c>
      <c r="H132" s="41">
        <f>Portafolio!G132</f>
        <v>-1.4707357985398316E-3</v>
      </c>
      <c r="I132" s="41">
        <f>Portafolio!H132</f>
        <v>1.1924178761792791E-2</v>
      </c>
      <c r="J132" s="41">
        <f>Portafolio!I132</f>
        <v>-2.4413339458236528E-2</v>
      </c>
      <c r="K132" s="41">
        <f>Portafolio!J132</f>
        <v>-4.8241640002808991E-4</v>
      </c>
    </row>
    <row r="133" spans="1:11" x14ac:dyDescent="0.2">
      <c r="A133" s="25">
        <v>45345</v>
      </c>
      <c r="B133" s="26">
        <v>182.06204199999999</v>
      </c>
      <c r="C133" s="26">
        <v>60.246890999999998</v>
      </c>
      <c r="D133" s="26">
        <v>181.91499300000001</v>
      </c>
      <c r="E133" s="26">
        <v>16.284828000000001</v>
      </c>
      <c r="F133" s="26">
        <f>SUMPRODUCT(Portafolio!B133:E133,Portafolio!$M$37:$P$37)</f>
        <v>123.5934756339596</v>
      </c>
      <c r="G133" s="41">
        <f>Portafolio!F133</f>
        <v>-1.0084818339197638E-2</v>
      </c>
      <c r="H133" s="41">
        <f>Portafolio!G133</f>
        <v>8.1738858055153973E-4</v>
      </c>
      <c r="I133" s="41">
        <f>Portafolio!H133</f>
        <v>5.0128845481506338E-3</v>
      </c>
      <c r="J133" s="41">
        <f>Portafolio!I133</f>
        <v>1.2578760442407045E-2</v>
      </c>
      <c r="K133" s="41">
        <f>Portafolio!J133</f>
        <v>4.2707165151704609E-3</v>
      </c>
    </row>
    <row r="134" spans="1:11" x14ac:dyDescent="0.2">
      <c r="A134" s="25">
        <v>45348</v>
      </c>
      <c r="B134" s="26">
        <v>180.70545999999999</v>
      </c>
      <c r="C134" s="26">
        <v>59.764519</v>
      </c>
      <c r="D134" s="26">
        <v>181.29208399999999</v>
      </c>
      <c r="E134" s="26">
        <v>16.090962999999999</v>
      </c>
      <c r="F134" s="26">
        <f>SUMPRODUCT(Portafolio!B134:E134,Portafolio!$M$37:$P$37)</f>
        <v>122.96834911143702</v>
      </c>
      <c r="G134" s="41">
        <f>Portafolio!F134</f>
        <v>-7.479106127821062E-3</v>
      </c>
      <c r="H134" s="41">
        <f>Portafolio!G134</f>
        <v>-8.0388122707836501E-3</v>
      </c>
      <c r="I134" s="41">
        <f>Portafolio!H134</f>
        <v>-3.4300521667624483E-3</v>
      </c>
      <c r="J134" s="41">
        <f>Portafolio!I134</f>
        <v>-1.1976066753339242E-2</v>
      </c>
      <c r="K134" s="41">
        <f>Portafolio!J134</f>
        <v>-7.1796818815519281E-3</v>
      </c>
    </row>
    <row r="135" spans="1:11" x14ac:dyDescent="0.2">
      <c r="A135" s="25">
        <v>45349</v>
      </c>
      <c r="B135" s="26">
        <v>182.17176799999999</v>
      </c>
      <c r="C135" s="26">
        <v>59.400280000000002</v>
      </c>
      <c r="D135" s="26">
        <v>181.38107299999999</v>
      </c>
      <c r="E135" s="26">
        <v>16.31391</v>
      </c>
      <c r="F135" s="26">
        <f>SUMPRODUCT(Portafolio!B135:E135,Portafolio!$M$37:$P$37)</f>
        <v>123.35653166577907</v>
      </c>
      <c r="G135" s="41">
        <f>Portafolio!F135</f>
        <v>8.0816092470088127E-3</v>
      </c>
      <c r="H135" s="41">
        <f>Portafolio!G135</f>
        <v>-6.1132169466150627E-3</v>
      </c>
      <c r="I135" s="41">
        <f>Portafolio!H135</f>
        <v>4.9073938927271261E-4</v>
      </c>
      <c r="J135" s="41">
        <f>Portafolio!I135</f>
        <v>1.3760308076745754E-2</v>
      </c>
      <c r="K135" s="41">
        <f>Portafolio!J135</f>
        <v>6.0108026375325979E-3</v>
      </c>
    </row>
    <row r="136" spans="1:11" x14ac:dyDescent="0.2">
      <c r="A136" s="25">
        <v>45350</v>
      </c>
      <c r="B136" s="26">
        <v>180.964798</v>
      </c>
      <c r="C136" s="26">
        <v>59.459347000000001</v>
      </c>
      <c r="D136" s="26">
        <v>182.30058299999999</v>
      </c>
      <c r="E136" s="26">
        <v>16.439921999999999</v>
      </c>
      <c r="F136" s="26">
        <f>SUMPRODUCT(Portafolio!B136:E136,Portafolio!$M$37:$P$37)</f>
        <v>123.56130858262594</v>
      </c>
      <c r="G136" s="41">
        <f>Portafolio!F136</f>
        <v>-6.647496052951337E-3</v>
      </c>
      <c r="H136" s="41">
        <f>Portafolio!G136</f>
        <v>9.9389517455469021E-4</v>
      </c>
      <c r="I136" s="41">
        <f>Portafolio!H136</f>
        <v>5.0566859458387667E-3</v>
      </c>
      <c r="J136" s="41">
        <f>Portafolio!I136</f>
        <v>7.6945269621530249E-3</v>
      </c>
      <c r="K136" s="41">
        <f>Portafolio!J136</f>
        <v>3.4080470197937951E-3</v>
      </c>
    </row>
    <row r="137" spans="1:11" x14ac:dyDescent="0.2">
      <c r="A137" s="25">
        <v>45351</v>
      </c>
      <c r="B137" s="26">
        <v>180.29647800000001</v>
      </c>
      <c r="C137" s="26">
        <v>59.085262</v>
      </c>
      <c r="D137" s="26">
        <v>183.961624</v>
      </c>
      <c r="E137" s="26">
        <v>16.410843</v>
      </c>
      <c r="F137" s="26">
        <f>SUMPRODUCT(Portafolio!B137:E137,Portafolio!$M$37:$P$37)</f>
        <v>124.13022728918283</v>
      </c>
      <c r="G137" s="41">
        <f>Portafolio!F137</f>
        <v>-3.6999302544279294E-3</v>
      </c>
      <c r="H137" s="41">
        <f>Portafolio!G137</f>
        <v>-6.311315966027564E-3</v>
      </c>
      <c r="I137" s="41">
        <f>Portafolio!H137</f>
        <v>9.0702909341080495E-3</v>
      </c>
      <c r="J137" s="41">
        <f>Portafolio!I137</f>
        <v>-1.7703701935084114E-3</v>
      </c>
      <c r="K137" s="41">
        <f>Portafolio!J137</f>
        <v>2.4028454469607859E-3</v>
      </c>
    </row>
    <row r="138" spans="1:11" x14ac:dyDescent="0.2">
      <c r="A138" s="25">
        <v>45352</v>
      </c>
      <c r="B138" s="26">
        <v>179.20922899999999</v>
      </c>
      <c r="C138" s="26">
        <v>58.602893999999999</v>
      </c>
      <c r="D138" s="26">
        <v>183.20030199999999</v>
      </c>
      <c r="E138" s="26">
        <v>16.459311</v>
      </c>
      <c r="F138" s="26">
        <f>SUMPRODUCT(Portafolio!B138:E138,Portafolio!$M$37:$P$37)</f>
        <v>123.57632605542069</v>
      </c>
      <c r="G138" s="41">
        <f>Portafolio!F138</f>
        <v>-6.0485955778969338E-3</v>
      </c>
      <c r="H138" s="41">
        <f>Portafolio!G138</f>
        <v>-8.1974383416661724E-3</v>
      </c>
      <c r="I138" s="41">
        <f>Portafolio!H138</f>
        <v>-4.1470699285579005E-3</v>
      </c>
      <c r="J138" s="41">
        <f>Portafolio!I138</f>
        <v>2.9490604228386468E-3</v>
      </c>
      <c r="K138" s="41">
        <f>Portafolio!J138</f>
        <v>-2.4044345191337221E-3</v>
      </c>
    </row>
    <row r="139" spans="1:11" x14ac:dyDescent="0.2">
      <c r="A139" s="25">
        <v>45355</v>
      </c>
      <c r="B139" s="26">
        <v>174.66066000000001</v>
      </c>
      <c r="C139" s="26">
        <v>58.878535999999997</v>
      </c>
      <c r="D139" s="26">
        <v>184.57463100000001</v>
      </c>
      <c r="E139" s="26">
        <v>16.284828000000001</v>
      </c>
      <c r="F139" s="26">
        <f>SUMPRODUCT(Portafolio!B139:E139,Portafolio!$M$37:$P$37)</f>
        <v>123.22605160003371</v>
      </c>
      <c r="G139" s="41">
        <f>Portafolio!F139</f>
        <v>-2.5708994582135079E-2</v>
      </c>
      <c r="H139" s="41">
        <f>Portafolio!G139</f>
        <v>4.6925289520041878E-3</v>
      </c>
      <c r="I139" s="41">
        <f>Portafolio!H139</f>
        <v>7.4737850456217817E-3</v>
      </c>
      <c r="J139" s="41">
        <f>Portafolio!I139</f>
        <v>-1.0657458514889893E-2</v>
      </c>
      <c r="K139" s="41">
        <f>Portafolio!J139</f>
        <v>-5.0974620049998969E-3</v>
      </c>
    </row>
    <row r="140" spans="1:11" x14ac:dyDescent="0.2">
      <c r="A140" s="25">
        <v>45356</v>
      </c>
      <c r="B140" s="26">
        <v>169.693161</v>
      </c>
      <c r="C140" s="26">
        <v>58.593048000000003</v>
      </c>
      <c r="D140" s="26">
        <v>186.423553</v>
      </c>
      <c r="E140" s="26">
        <v>16.643484000000001</v>
      </c>
      <c r="F140" s="26">
        <f>SUMPRODUCT(Portafolio!B140:E140,Portafolio!$M$37:$P$37)</f>
        <v>123.14884409125541</v>
      </c>
      <c r="G140" s="41">
        <f>Portafolio!F140</f>
        <v>-2.8853134850884594E-2</v>
      </c>
      <c r="H140" s="41">
        <f>Portafolio!G140</f>
        <v>-4.8605552480539922E-3</v>
      </c>
      <c r="I140" s="41">
        <f>Portafolio!H140</f>
        <v>9.9673658093087422E-3</v>
      </c>
      <c r="J140" s="41">
        <f>Portafolio!I140</f>
        <v>2.1784911671504949E-2</v>
      </c>
      <c r="K140" s="41">
        <f>Portafolio!J140</f>
        <v>5.4328349983613598E-3</v>
      </c>
    </row>
    <row r="141" spans="1:11" x14ac:dyDescent="0.2">
      <c r="A141" s="25">
        <v>45357</v>
      </c>
      <c r="B141" s="26">
        <v>168.69564800000001</v>
      </c>
      <c r="C141" s="26">
        <v>58.622585000000001</v>
      </c>
      <c r="D141" s="26">
        <v>187.39250200000001</v>
      </c>
      <c r="E141" s="26">
        <v>16.653176999999999</v>
      </c>
      <c r="F141" s="26">
        <f>SUMPRODUCT(Portafolio!B141:E141,Portafolio!$M$37:$P$37)</f>
        <v>123.37830668369095</v>
      </c>
      <c r="G141" s="41">
        <f>Portafolio!F141</f>
        <v>-5.8956789518436912E-3</v>
      </c>
      <c r="H141" s="41">
        <f>Portafolio!G141</f>
        <v>5.0397715508103207E-4</v>
      </c>
      <c r="I141" s="41">
        <f>Portafolio!H141</f>
        <v>5.1841067662975826E-3</v>
      </c>
      <c r="J141" s="41">
        <f>Portafolio!I141</f>
        <v>5.8222055801986279E-4</v>
      </c>
      <c r="K141" s="41">
        <f>Portafolio!J141</f>
        <v>1.3013706418258935E-3</v>
      </c>
    </row>
    <row r="142" spans="1:11" x14ac:dyDescent="0.2">
      <c r="A142" s="25">
        <v>45358</v>
      </c>
      <c r="B142" s="26">
        <v>168.57595800000001</v>
      </c>
      <c r="C142" s="26">
        <v>58.514296999999999</v>
      </c>
      <c r="D142" s="26">
        <v>185.75122099999999</v>
      </c>
      <c r="E142" s="26">
        <v>16.527163000000002</v>
      </c>
      <c r="F142" s="26">
        <f>SUMPRODUCT(Portafolio!B142:E142,Portafolio!$M$37:$P$37)</f>
        <v>122.59128156914032</v>
      </c>
      <c r="G142" s="41">
        <f>Portafolio!F142</f>
        <v>-7.0975441095678829E-4</v>
      </c>
      <c r="H142" s="41">
        <f>Portafolio!G142</f>
        <v>-1.848914347035491E-3</v>
      </c>
      <c r="I142" s="41">
        <f>Portafolio!H142</f>
        <v>-8.7971014039722271E-3</v>
      </c>
      <c r="J142" s="41">
        <f>Portafolio!I142</f>
        <v>-7.5957392761439417E-3</v>
      </c>
      <c r="K142" s="41">
        <f>Portafolio!J142</f>
        <v>-6.5141749146078601E-3</v>
      </c>
    </row>
    <row r="143" spans="1:11" x14ac:dyDescent="0.2">
      <c r="A143" s="25">
        <v>45359</v>
      </c>
      <c r="B143" s="26">
        <v>170.301605</v>
      </c>
      <c r="C143" s="26">
        <v>58.593048000000003</v>
      </c>
      <c r="D143" s="26">
        <v>186.097275</v>
      </c>
      <c r="E143" s="26">
        <v>16.672564000000001</v>
      </c>
      <c r="F143" s="26">
        <f>SUMPRODUCT(Portafolio!B143:E143,Portafolio!$M$37:$P$37)</f>
        <v>123.13673121732938</v>
      </c>
      <c r="G143" s="41">
        <f>Portafolio!F143</f>
        <v>1.0184574634208254E-2</v>
      </c>
      <c r="H143" s="41">
        <f>Portafolio!G143</f>
        <v>1.3449371919544843E-3</v>
      </c>
      <c r="I143" s="41">
        <f>Portafolio!H143</f>
        <v>1.8612639482236896E-3</v>
      </c>
      <c r="J143" s="41">
        <f>Portafolio!I143</f>
        <v>8.7592244143747111E-3</v>
      </c>
      <c r="K143" s="41">
        <f>Portafolio!J143</f>
        <v>5.7223787045832183E-3</v>
      </c>
    </row>
    <row r="144" spans="1:11" x14ac:dyDescent="0.2">
      <c r="A144" s="25">
        <v>45362</v>
      </c>
      <c r="B144" s="26">
        <v>172.31655900000001</v>
      </c>
      <c r="C144" s="26">
        <v>59.301837999999996</v>
      </c>
      <c r="D144" s="26">
        <v>186.166473</v>
      </c>
      <c r="E144" s="26">
        <v>16.798576000000001</v>
      </c>
      <c r="F144" s="26">
        <f>SUMPRODUCT(Portafolio!B144:E144,Portafolio!$M$37:$P$37)</f>
        <v>123.63819006716798</v>
      </c>
      <c r="G144" s="41">
        <f>Portafolio!F144</f>
        <v>1.1762232376596935E-2</v>
      </c>
      <c r="H144" s="41">
        <f>Portafolio!G144</f>
        <v>1.2024245731310248E-2</v>
      </c>
      <c r="I144" s="41">
        <f>Portafolio!H144</f>
        <v>3.7176867835657829E-4</v>
      </c>
      <c r="J144" s="41">
        <f>Portafolio!I144</f>
        <v>7.5296267385311973E-3</v>
      </c>
      <c r="K144" s="41">
        <f>Portafolio!J144</f>
        <v>5.4249516032035304E-3</v>
      </c>
    </row>
    <row r="145" spans="1:11" x14ac:dyDescent="0.2">
      <c r="A145" s="25">
        <v>45363</v>
      </c>
      <c r="B145" s="26">
        <v>172.795334</v>
      </c>
      <c r="C145" s="26">
        <v>59.557789</v>
      </c>
      <c r="D145" s="26">
        <v>187.699005</v>
      </c>
      <c r="E145" s="26">
        <v>16.672564000000001</v>
      </c>
      <c r="F145" s="26">
        <f>SUMPRODUCT(Portafolio!B145:E145,Portafolio!$M$37:$P$37)</f>
        <v>124.37400905211739</v>
      </c>
      <c r="G145" s="41">
        <f>Portafolio!F145</f>
        <v>2.7746091448219968E-3</v>
      </c>
      <c r="H145" s="41">
        <f>Portafolio!G145</f>
        <v>4.3067844327523246E-3</v>
      </c>
      <c r="I145" s="41">
        <f>Portafolio!H145</f>
        <v>8.1983530120362299E-3</v>
      </c>
      <c r="J145" s="41">
        <f>Portafolio!I145</f>
        <v>-7.5296267385311115E-3</v>
      </c>
      <c r="K145" s="41">
        <f>Portafolio!J145</f>
        <v>1.8892832149732274E-3</v>
      </c>
    </row>
    <row r="146" spans="1:11" x14ac:dyDescent="0.2">
      <c r="A146" s="25">
        <v>45364</v>
      </c>
      <c r="B146" s="26">
        <v>170.70062300000001</v>
      </c>
      <c r="C146" s="26">
        <v>60.168132999999997</v>
      </c>
      <c r="D146" s="26">
        <v>189.22163399999999</v>
      </c>
      <c r="E146" s="26">
        <v>16.662870000000002</v>
      </c>
      <c r="F146" s="26">
        <f>SUMPRODUCT(Portafolio!B146:E146,Portafolio!$M$37:$P$37)</f>
        <v>124.64450727077232</v>
      </c>
      <c r="G146" s="41">
        <f>Portafolio!F146</f>
        <v>-1.2196574219039144E-2</v>
      </c>
      <c r="H146" s="41">
        <f>Portafolio!G146</f>
        <v>1.0195775101912073E-2</v>
      </c>
      <c r="I146" s="41">
        <f>Portafolio!H146</f>
        <v>8.079352123651724E-3</v>
      </c>
      <c r="J146" s="41">
        <f>Portafolio!I146</f>
        <v>-5.8160336375158385E-4</v>
      </c>
      <c r="K146" s="41">
        <f>Portafolio!J146</f>
        <v>1.3329689280354286E-3</v>
      </c>
    </row>
    <row r="147" spans="1:11" x14ac:dyDescent="0.2">
      <c r="A147" s="25">
        <v>45365</v>
      </c>
      <c r="B147" s="26">
        <v>172.565933</v>
      </c>
      <c r="C147" s="26">
        <v>60.034171999999998</v>
      </c>
      <c r="D147" s="26">
        <v>185.85008199999999</v>
      </c>
      <c r="E147" s="26">
        <v>16.488389999999999</v>
      </c>
      <c r="F147" s="26">
        <f>SUMPRODUCT(Portafolio!B147:E147,Portafolio!$M$37:$P$37)</f>
        <v>123.47939612096643</v>
      </c>
      <c r="G147" s="41">
        <f>Portafolio!F147</f>
        <v>1.0868104262170121E-2</v>
      </c>
      <c r="H147" s="41">
        <f>Portafolio!G147</f>
        <v>-2.2289265661106588E-3</v>
      </c>
      <c r="I147" s="41">
        <f>Portafolio!H147</f>
        <v>-1.7978656730612674E-2</v>
      </c>
      <c r="J147" s="41">
        <f>Portafolio!I147</f>
        <v>-1.0526393935028697E-2</v>
      </c>
      <c r="K147" s="41">
        <f>Portafolio!J147</f>
        <v>-9.1838570477960242E-3</v>
      </c>
    </row>
    <row r="148" spans="1:11" x14ac:dyDescent="0.2">
      <c r="A148" s="25">
        <v>45366</v>
      </c>
      <c r="B148" s="26">
        <v>172.18687399999999</v>
      </c>
      <c r="C148" s="26">
        <v>59.418948999999998</v>
      </c>
      <c r="D148" s="26">
        <v>188.15382399999999</v>
      </c>
      <c r="E148" s="26">
        <v>16.527163000000002</v>
      </c>
      <c r="F148" s="26">
        <f>SUMPRODUCT(Portafolio!B148:E148,Portafolio!$M$37:$P$37)</f>
        <v>124.39920112667266</v>
      </c>
      <c r="G148" s="41">
        <f>Portafolio!F148</f>
        <v>-2.1990199647653258E-3</v>
      </c>
      <c r="H148" s="41">
        <f>Portafolio!G148</f>
        <v>-1.0300751202101817E-2</v>
      </c>
      <c r="I148" s="41">
        <f>Portafolio!H148</f>
        <v>1.2319503083121451E-2</v>
      </c>
      <c r="J148" s="41">
        <f>Portafolio!I148</f>
        <v>2.3487728844055851E-3</v>
      </c>
      <c r="K148" s="41">
        <f>Portafolio!J148</f>
        <v>5.288344628770811E-3</v>
      </c>
    </row>
    <row r="149" spans="1:11" x14ac:dyDescent="0.2">
      <c r="A149" s="25">
        <v>45369</v>
      </c>
      <c r="B149" s="26">
        <v>173.284119</v>
      </c>
      <c r="C149" s="26">
        <v>59.667023</v>
      </c>
      <c r="D149" s="26">
        <v>190.487213</v>
      </c>
      <c r="E149" s="26">
        <v>16.769497000000001</v>
      </c>
      <c r="F149" s="26">
        <f>SUMPRODUCT(Portafolio!B149:E149,Portafolio!$M$37:$P$37)</f>
        <v>125.72709911835433</v>
      </c>
      <c r="G149" s="41">
        <f>Portafolio!F149</f>
        <v>6.3521899768463532E-3</v>
      </c>
      <c r="H149" s="41">
        <f>Portafolio!G149</f>
        <v>4.1663069910752798E-3</v>
      </c>
      <c r="I149" s="41">
        <f>Portafolio!H149</f>
        <v>1.2325227911982373E-2</v>
      </c>
      <c r="J149" s="41">
        <f>Portafolio!I149</f>
        <v>1.455631158926427E-2</v>
      </c>
      <c r="K149" s="41">
        <f>Portafolio!J149</f>
        <v>1.1520549274986875E-2</v>
      </c>
    </row>
    <row r="150" spans="1:11" x14ac:dyDescent="0.2">
      <c r="A150" s="25">
        <v>45370</v>
      </c>
      <c r="B150" s="26">
        <v>175.63819899999999</v>
      </c>
      <c r="C150" s="26">
        <v>59.766250999999997</v>
      </c>
      <c r="D150" s="26">
        <v>191.60446200000001</v>
      </c>
      <c r="E150" s="26">
        <v>16.643484000000001</v>
      </c>
      <c r="F150" s="26">
        <f>SUMPRODUCT(Portafolio!B150:E150,Portafolio!$M$37:$P$37)</f>
        <v>126.64860049525923</v>
      </c>
      <c r="G150" s="41">
        <f>Portafolio!F150</f>
        <v>1.3493637966671364E-2</v>
      </c>
      <c r="H150" s="41">
        <f>Portafolio!G150</f>
        <v>1.6616478726241028E-3</v>
      </c>
      <c r="I150" s="41">
        <f>Portafolio!H150</f>
        <v>5.8480844115032697E-3</v>
      </c>
      <c r="J150" s="41">
        <f>Portafolio!I150</f>
        <v>-7.5427928711403599E-3</v>
      </c>
      <c r="K150" s="41">
        <f>Portafolio!J150</f>
        <v>2.8851977273495972E-3</v>
      </c>
    </row>
    <row r="151" spans="1:11" x14ac:dyDescent="0.2">
      <c r="A151" s="25">
        <v>45371</v>
      </c>
      <c r="B151" s="26">
        <v>178.22171</v>
      </c>
      <c r="C151" s="26">
        <v>60.282249</v>
      </c>
      <c r="D151" s="26">
        <v>194.115814</v>
      </c>
      <c r="E151" s="26">
        <v>16.682257</v>
      </c>
      <c r="F151" s="26">
        <f>SUMPRODUCT(Portafolio!B151:E151,Portafolio!$M$37:$P$37)</f>
        <v>128.29594353692656</v>
      </c>
      <c r="G151" s="41">
        <f>Portafolio!F151</f>
        <v>1.4602145308817756E-2</v>
      </c>
      <c r="H151" s="41">
        <f>Portafolio!G151</f>
        <v>8.5965451914703454E-3</v>
      </c>
      <c r="I151" s="41">
        <f>Portafolio!H151</f>
        <v>1.3021806957661381E-2</v>
      </c>
      <c r="J151" s="41">
        <f>Portafolio!I151</f>
        <v>2.3269110502146303E-3</v>
      </c>
      <c r="K151" s="41">
        <f>Portafolio!J151</f>
        <v>9.7091490238554387E-3</v>
      </c>
    </row>
    <row r="152" spans="1:11" x14ac:dyDescent="0.2">
      <c r="A152" s="25">
        <v>45372</v>
      </c>
      <c r="B152" s="26">
        <v>170.94001800000001</v>
      </c>
      <c r="C152" s="26">
        <v>60.004406000000003</v>
      </c>
      <c r="D152" s="26">
        <v>196.81501800000001</v>
      </c>
      <c r="E152" s="26">
        <v>16.633789</v>
      </c>
      <c r="F152" s="26">
        <f>SUMPRODUCT(Portafolio!B152:E152,Portafolio!$M$37:$P$37)</f>
        <v>127.99860191767432</v>
      </c>
      <c r="G152" s="41">
        <f>Portafolio!F152</f>
        <v>-4.1715613983300662E-2</v>
      </c>
      <c r="H152" s="41">
        <f>Portafolio!G152</f>
        <v>-4.6196894266072042E-3</v>
      </c>
      <c r="I152" s="41">
        <f>Portafolio!H152</f>
        <v>1.3809332358761774E-2</v>
      </c>
      <c r="J152" s="41">
        <f>Portafolio!I152</f>
        <v>-2.9095910236789767E-3</v>
      </c>
      <c r="K152" s="41">
        <f>Portafolio!J152</f>
        <v>-3.399021503757634E-3</v>
      </c>
    </row>
    <row r="153" spans="1:11" x14ac:dyDescent="0.2">
      <c r="A153" s="25">
        <v>45373</v>
      </c>
      <c r="B153" s="26">
        <v>171.84773300000001</v>
      </c>
      <c r="C153" s="26">
        <v>60.024253999999999</v>
      </c>
      <c r="D153" s="26">
        <v>194.40254200000001</v>
      </c>
      <c r="E153" s="26">
        <v>16.459311</v>
      </c>
      <c r="F153" s="26">
        <f>SUMPRODUCT(Portafolio!B153:E153,Portafolio!$M$37:$P$37)</f>
        <v>127.06854169274847</v>
      </c>
      <c r="G153" s="41">
        <f>Portafolio!F153</f>
        <v>5.2960884338796171E-3</v>
      </c>
      <c r="H153" s="41">
        <f>Portafolio!G153</f>
        <v>3.3072101581254086E-4</v>
      </c>
      <c r="I153" s="41">
        <f>Portafolio!H153</f>
        <v>-1.2333324609694349E-2</v>
      </c>
      <c r="J153" s="41">
        <f>Portafolio!I153</f>
        <v>-1.0544773183150766E-2</v>
      </c>
      <c r="K153" s="41">
        <f>Portafolio!J153</f>
        <v>-7.7257881598648886E-3</v>
      </c>
    </row>
    <row r="154" spans="1:11" x14ac:dyDescent="0.2">
      <c r="A154" s="25">
        <v>45376</v>
      </c>
      <c r="B154" s="26">
        <v>170.42132599999999</v>
      </c>
      <c r="C154" s="26">
        <v>59.934944000000002</v>
      </c>
      <c r="D154" s="26">
        <v>192.622849</v>
      </c>
      <c r="E154" s="26">
        <v>16.595016000000001</v>
      </c>
      <c r="F154" s="26">
        <f>SUMPRODUCT(Portafolio!B154:E154,Portafolio!$M$37:$P$37)</f>
        <v>126.04562549026821</v>
      </c>
      <c r="G154" s="41">
        <f>Portafolio!F154</f>
        <v>-8.3350523254073824E-3</v>
      </c>
      <c r="H154" s="41">
        <f>Portafolio!G154</f>
        <v>-1.4890065620656438E-3</v>
      </c>
      <c r="I154" s="41">
        <f>Portafolio!H154</f>
        <v>-9.1968412694247506E-3</v>
      </c>
      <c r="J154" s="41">
        <f>Portafolio!I154</f>
        <v>8.2110739967389546E-3</v>
      </c>
      <c r="K154" s="41">
        <f>Portafolio!J154</f>
        <v>-3.0997758442341842E-3</v>
      </c>
    </row>
    <row r="155" spans="1:11" x14ac:dyDescent="0.2">
      <c r="A155" s="25">
        <v>45377</v>
      </c>
      <c r="B155" s="26">
        <v>169.28419500000001</v>
      </c>
      <c r="C155" s="26">
        <v>60.073867999999997</v>
      </c>
      <c r="D155" s="26">
        <v>193.52256800000001</v>
      </c>
      <c r="E155" s="26">
        <v>16.653176999999999</v>
      </c>
      <c r="F155" s="26">
        <f>SUMPRODUCT(Portafolio!B155:E155,Portafolio!$M$37:$P$37)</f>
        <v>126.23705643405701</v>
      </c>
      <c r="G155" s="41">
        <f>Portafolio!F155</f>
        <v>-6.6948293563426041E-3</v>
      </c>
      <c r="H155" s="41">
        <f>Portafolio!G155</f>
        <v>2.3152310191375206E-3</v>
      </c>
      <c r="I155" s="41">
        <f>Portafolio!H155</f>
        <v>4.6600093568763086E-3</v>
      </c>
      <c r="J155" s="41">
        <f>Portafolio!I155</f>
        <v>3.4985997178958793E-3</v>
      </c>
      <c r="K155" s="41">
        <f>Portafolio!J155</f>
        <v>1.9266764970238747E-3</v>
      </c>
    </row>
    <row r="156" spans="1:11" x14ac:dyDescent="0.2">
      <c r="A156" s="25">
        <v>45378</v>
      </c>
      <c r="B156" s="26">
        <v>172.875137</v>
      </c>
      <c r="C156" s="26">
        <v>60.560093000000002</v>
      </c>
      <c r="D156" s="26">
        <v>197.269836</v>
      </c>
      <c r="E156" s="26">
        <v>17.011831000000001</v>
      </c>
      <c r="F156" s="26">
        <f>SUMPRODUCT(Portafolio!B156:E156,Portafolio!$M$37:$P$37)</f>
        <v>128.72784955145138</v>
      </c>
      <c r="G156" s="41">
        <f>Portafolio!F156</f>
        <v>2.0990652674622658E-2</v>
      </c>
      <c r="H156" s="41">
        <f>Portafolio!G156</f>
        <v>8.0612064628980545E-3</v>
      </c>
      <c r="I156" s="41">
        <f>Portafolio!H156</f>
        <v>1.9178381247547345E-2</v>
      </c>
      <c r="J156" s="41">
        <f>Portafolio!I156</f>
        <v>2.130803414272742E-2</v>
      </c>
      <c r="K156" s="41">
        <f>Portafolio!J156</f>
        <v>1.9771976007712862E-2</v>
      </c>
    </row>
    <row r="157" spans="1:11" x14ac:dyDescent="0.2">
      <c r="A157" s="25">
        <v>45379</v>
      </c>
      <c r="B157" s="26">
        <v>171.049744</v>
      </c>
      <c r="C157" s="26">
        <v>60.708939000000001</v>
      </c>
      <c r="D157" s="26">
        <v>198.04104599999999</v>
      </c>
      <c r="E157" s="26">
        <v>17.060296999999998</v>
      </c>
      <c r="F157" s="26">
        <f>SUMPRODUCT(Portafolio!B157:E157,Portafolio!$M$37:$P$37)</f>
        <v>128.72314771150869</v>
      </c>
      <c r="G157" s="41">
        <f>Portafolio!F157</f>
        <v>-1.0615167680639992E-2</v>
      </c>
      <c r="H157" s="41">
        <f>Portafolio!G157</f>
        <v>2.4548076667502516E-3</v>
      </c>
      <c r="I157" s="41">
        <f>Portafolio!H157</f>
        <v>3.9017948330012063E-3</v>
      </c>
      <c r="J157" s="41">
        <f>Portafolio!I157</f>
        <v>2.8449078782690519E-3</v>
      </c>
      <c r="K157" s="41">
        <f>Portafolio!J157</f>
        <v>6.0853637361498478E-4</v>
      </c>
    </row>
    <row r="158" spans="1:11" x14ac:dyDescent="0.2">
      <c r="A158" s="25">
        <v>45383</v>
      </c>
      <c r="B158" s="26">
        <v>169.60337799999999</v>
      </c>
      <c r="C158" s="26">
        <v>60.212788000000003</v>
      </c>
      <c r="D158" s="26">
        <v>196.696381</v>
      </c>
      <c r="E158" s="26">
        <v>16.963363999999999</v>
      </c>
      <c r="F158" s="26">
        <f>SUMPRODUCT(Portafolio!B158:E158,Portafolio!$M$37:$P$37)</f>
        <v>127.79500373481559</v>
      </c>
      <c r="G158" s="41">
        <f>Portafolio!F158</f>
        <v>-8.4917741718009161E-3</v>
      </c>
      <c r="H158" s="41">
        <f>Portafolio!G158</f>
        <v>-8.2061974569752581E-3</v>
      </c>
      <c r="I158" s="41">
        <f>Portafolio!H158</f>
        <v>-6.8129855912890617E-3</v>
      </c>
      <c r="J158" s="41">
        <f>Portafolio!I158</f>
        <v>-5.697991304405129E-3</v>
      </c>
      <c r="K158" s="41">
        <f>Portafolio!J158</f>
        <v>-6.8451408794689668E-3</v>
      </c>
    </row>
    <row r="159" spans="1:11" x14ac:dyDescent="0.2">
      <c r="A159" s="25">
        <v>45384</v>
      </c>
      <c r="B159" s="26">
        <v>168.41635099999999</v>
      </c>
      <c r="C159" s="26">
        <v>59.686870999999996</v>
      </c>
      <c r="D159" s="26">
        <v>196.617279</v>
      </c>
      <c r="E159" s="26">
        <v>16.982749999999999</v>
      </c>
      <c r="F159" s="26">
        <f>SUMPRODUCT(Portafolio!B159:E159,Portafolio!$M$37:$P$37)</f>
        <v>127.5085642045423</v>
      </c>
      <c r="G159" s="41">
        <f>Portafolio!F159</f>
        <v>-7.0234473180625914E-3</v>
      </c>
      <c r="H159" s="41">
        <f>Portafolio!G159</f>
        <v>-8.7726750393700287E-3</v>
      </c>
      <c r="I159" s="41">
        <f>Portafolio!H159</f>
        <v>-4.0223368324664339E-4</v>
      </c>
      <c r="J159" s="41">
        <f>Portafolio!I159</f>
        <v>1.1421632595400733E-3</v>
      </c>
      <c r="K159" s="41">
        <f>Portafolio!J159</f>
        <v>-1.5660624475801071E-3</v>
      </c>
    </row>
    <row r="160" spans="1:11" x14ac:dyDescent="0.2">
      <c r="A160" s="25">
        <v>45385</v>
      </c>
      <c r="B160" s="26">
        <v>169.22431900000001</v>
      </c>
      <c r="C160" s="26">
        <v>59.369335</v>
      </c>
      <c r="D160" s="26">
        <v>196.06359900000001</v>
      </c>
      <c r="E160" s="26">
        <v>17.069991999999999</v>
      </c>
      <c r="F160" s="26">
        <f>SUMPRODUCT(Portafolio!B160:E160,Portafolio!$M$37:$P$37)</f>
        <v>127.44250004627163</v>
      </c>
      <c r="G160" s="41">
        <f>Portafolio!F160</f>
        <v>4.7859728642550272E-3</v>
      </c>
      <c r="H160" s="41">
        <f>Portafolio!G160</f>
        <v>-5.3342326889105063E-3</v>
      </c>
      <c r="I160" s="41">
        <f>Portafolio!H160</f>
        <v>-2.8200016753762752E-3</v>
      </c>
      <c r="J160" s="41">
        <f>Portafolio!I160</f>
        <v>5.12394513644681E-3</v>
      </c>
      <c r="K160" s="41">
        <f>Portafolio!J160</f>
        <v>1.1536595746890201E-3</v>
      </c>
    </row>
    <row r="161" spans="1:11" x14ac:dyDescent="0.2">
      <c r="A161" s="25">
        <v>45386</v>
      </c>
      <c r="B161" s="26">
        <v>168.396423</v>
      </c>
      <c r="C161" s="26">
        <v>58.843414000000003</v>
      </c>
      <c r="D161" s="26">
        <v>194.571854</v>
      </c>
      <c r="E161" s="26">
        <v>17.031217999999999</v>
      </c>
      <c r="F161" s="26">
        <f>SUMPRODUCT(Portafolio!B161:E161,Portafolio!$M$37:$P$37)</f>
        <v>126.59080484882361</v>
      </c>
      <c r="G161" s="41">
        <f>Portafolio!F161</f>
        <v>-4.9043056684808586E-3</v>
      </c>
      <c r="H161" s="41">
        <f>Portafolio!G161</f>
        <v>-8.8979314726668046E-3</v>
      </c>
      <c r="I161" s="41">
        <f>Portafolio!H161</f>
        <v>-7.637567148412871E-3</v>
      </c>
      <c r="J161" s="41">
        <f>Portafolio!I161</f>
        <v>-2.2740551851044106E-3</v>
      </c>
      <c r="K161" s="41">
        <f>Portafolio!J161</f>
        <v>-5.4155994439799007E-3</v>
      </c>
    </row>
    <row r="162" spans="1:11" x14ac:dyDescent="0.2">
      <c r="A162" s="25">
        <v>45387</v>
      </c>
      <c r="B162" s="26">
        <v>169.154495</v>
      </c>
      <c r="C162" s="26">
        <v>59.051796000000003</v>
      </c>
      <c r="D162" s="26">
        <v>196.36193800000001</v>
      </c>
      <c r="E162" s="26">
        <v>16.885818</v>
      </c>
      <c r="F162" s="26">
        <f>SUMPRODUCT(Portafolio!B162:E162,Portafolio!$M$37:$P$37)</f>
        <v>127.48679248210641</v>
      </c>
      <c r="G162" s="41">
        <f>Portafolio!F162</f>
        <v>4.4916084303433098E-3</v>
      </c>
      <c r="H162" s="41">
        <f>Portafolio!G162</f>
        <v>3.5350412795235415E-3</v>
      </c>
      <c r="I162" s="41">
        <f>Portafolio!H162</f>
        <v>9.1580546261534317E-3</v>
      </c>
      <c r="J162" s="41">
        <f>Portafolio!I162</f>
        <v>-8.5739149328683574E-3</v>
      </c>
      <c r="K162" s="41">
        <f>Portafolio!J162</f>
        <v>2.2833408245603111E-3</v>
      </c>
    </row>
    <row r="163" spans="1:11" x14ac:dyDescent="0.2">
      <c r="A163" s="25">
        <v>45390</v>
      </c>
      <c r="B163" s="26">
        <v>168.027344</v>
      </c>
      <c r="C163" s="26">
        <v>58.813643999999996</v>
      </c>
      <c r="D163" s="26">
        <v>197.38626099999999</v>
      </c>
      <c r="E163" s="26">
        <v>16.721031</v>
      </c>
      <c r="F163" s="26">
        <f>SUMPRODUCT(Portafolio!B163:E163,Portafolio!$M$37:$P$37)</f>
        <v>127.64747767192425</v>
      </c>
      <c r="G163" s="41">
        <f>Portafolio!F163</f>
        <v>-6.685740856598745E-3</v>
      </c>
      <c r="H163" s="41">
        <f>Portafolio!G163</f>
        <v>-4.0410882798711488E-3</v>
      </c>
      <c r="I163" s="41">
        <f>Portafolio!H163</f>
        <v>5.202946011474462E-3</v>
      </c>
      <c r="J163" s="41">
        <f>Portafolio!I163</f>
        <v>-9.8068295948848475E-3</v>
      </c>
      <c r="K163" s="41">
        <f>Portafolio!J163</f>
        <v>-2.3818341387223203E-3</v>
      </c>
    </row>
    <row r="164" spans="1:11" x14ac:dyDescent="0.2">
      <c r="A164" s="25">
        <v>45391</v>
      </c>
      <c r="B164" s="26">
        <v>169.24427800000001</v>
      </c>
      <c r="C164" s="26">
        <v>59.260181000000003</v>
      </c>
      <c r="D164" s="26">
        <v>196.06358299999999</v>
      </c>
      <c r="E164" s="26">
        <v>16.650095</v>
      </c>
      <c r="F164" s="26">
        <f>SUMPRODUCT(Portafolio!B164:E164,Portafolio!$M$37:$P$37)</f>
        <v>127.30668212435587</v>
      </c>
      <c r="G164" s="41">
        <f>Portafolio!F164</f>
        <v>7.2163751807764352E-3</v>
      </c>
      <c r="H164" s="41">
        <f>Portafolio!G164</f>
        <v>7.5637276739742845E-3</v>
      </c>
      <c r="I164" s="41">
        <f>Portafolio!H164</f>
        <v>-6.7235150953914692E-3</v>
      </c>
      <c r="J164" s="41">
        <f>Portafolio!I164</f>
        <v>-4.2513463190354973E-3</v>
      </c>
      <c r="K164" s="41">
        <f>Portafolio!J164</f>
        <v>-2.564760984689371E-3</v>
      </c>
    </row>
    <row r="165" spans="1:11" x14ac:dyDescent="0.2">
      <c r="A165" s="25">
        <v>45392</v>
      </c>
      <c r="B165" s="26">
        <v>167.35902400000001</v>
      </c>
      <c r="C165" s="26">
        <v>58.466338999999998</v>
      </c>
      <c r="D165" s="26">
        <v>194.392853</v>
      </c>
      <c r="E165" s="26">
        <v>16.482609</v>
      </c>
      <c r="F165" s="26">
        <f>SUMPRODUCT(Portafolio!B165:E165,Portafolio!$M$37:$P$37)</f>
        <v>126.11349462727412</v>
      </c>
      <c r="G165" s="41">
        <f>Portafolio!F165</f>
        <v>-1.120175412492392E-2</v>
      </c>
      <c r="H165" s="41">
        <f>Portafolio!G165</f>
        <v>-1.348640955626019E-2</v>
      </c>
      <c r="I165" s="41">
        <f>Portafolio!H165</f>
        <v>-8.557882737226321E-3</v>
      </c>
      <c r="J165" s="41">
        <f>Portafolio!I165</f>
        <v>-1.0110097057956752E-2</v>
      </c>
      <c r="K165" s="41">
        <f>Portafolio!J165</f>
        <v>-9.7864092446691246E-3</v>
      </c>
    </row>
    <row r="166" spans="1:11" x14ac:dyDescent="0.2">
      <c r="A166" s="25">
        <v>45393</v>
      </c>
      <c r="B166" s="26">
        <v>174.60079999999999</v>
      </c>
      <c r="C166" s="26">
        <v>58.595337000000001</v>
      </c>
      <c r="D166" s="26">
        <v>194.353058</v>
      </c>
      <c r="E166" s="26">
        <v>16.177192999999999</v>
      </c>
      <c r="F166" s="26">
        <f>SUMPRODUCT(Portafolio!B166:E166,Portafolio!$M$37:$P$37)</f>
        <v>127.4463534879695</v>
      </c>
      <c r="G166" s="41">
        <f>Portafolio!F166</f>
        <v>4.236087617690229E-2</v>
      </c>
      <c r="H166" s="41">
        <f>Portafolio!G166</f>
        <v>2.2039331166826617E-3</v>
      </c>
      <c r="I166" s="41">
        <f>Portafolio!H166</f>
        <v>-2.0473527315899678E-4</v>
      </c>
      <c r="J166" s="41">
        <f>Portafolio!I166</f>
        <v>-1.8703414262897906E-2</v>
      </c>
      <c r="K166" s="41">
        <f>Portafolio!J166</f>
        <v>2.4157821398819264E-3</v>
      </c>
    </row>
    <row r="167" spans="1:11" x14ac:dyDescent="0.2">
      <c r="A167" s="25">
        <v>45394</v>
      </c>
      <c r="B167" s="26">
        <v>176.10702499999999</v>
      </c>
      <c r="C167" s="26">
        <v>57.831263999999997</v>
      </c>
      <c r="D167" s="26">
        <v>181.782715</v>
      </c>
      <c r="E167" s="26">
        <v>16.068819000000001</v>
      </c>
      <c r="F167" s="26">
        <f>SUMPRODUCT(Portafolio!B167:E167,Portafolio!$M$37:$P$37)</f>
        <v>122.1803690685534</v>
      </c>
      <c r="G167" s="41">
        <f>Portafolio!F167</f>
        <v>8.5896815167550832E-3</v>
      </c>
      <c r="H167" s="41">
        <f>Portafolio!G167</f>
        <v>-1.3125590939175541E-2</v>
      </c>
      <c r="I167" s="41">
        <f>Portafolio!H167</f>
        <v>-6.6864291458487934E-2</v>
      </c>
      <c r="J167" s="41">
        <f>Portafolio!I167</f>
        <v>-6.7217247231749887E-3</v>
      </c>
      <c r="K167" s="41">
        <f>Portafolio!J167</f>
        <v>-3.0246366724337927E-2</v>
      </c>
    </row>
    <row r="168" spans="1:11" x14ac:dyDescent="0.2">
      <c r="A168" s="25">
        <v>45397</v>
      </c>
      <c r="B168" s="26">
        <v>172.256699</v>
      </c>
      <c r="C168" s="26">
        <v>57.692345000000003</v>
      </c>
      <c r="D168" s="26">
        <v>181.882172</v>
      </c>
      <c r="E168" s="26">
        <v>15.999855</v>
      </c>
      <c r="F168" s="26">
        <f>SUMPRODUCT(Portafolio!B168:E168,Portafolio!$M$37:$P$37)</f>
        <v>121.42853521336798</v>
      </c>
      <c r="G168" s="41">
        <f>Portafolio!F168</f>
        <v>-2.2106106529132866E-2</v>
      </c>
      <c r="H168" s="41">
        <f>Portafolio!G168</f>
        <v>-2.4050333635455131E-3</v>
      </c>
      <c r="I168" s="41">
        <f>Portafolio!H168</f>
        <v>5.4697060967347623E-4</v>
      </c>
      <c r="J168" s="41">
        <f>Portafolio!I168</f>
        <v>-4.3010263731349009E-3</v>
      </c>
      <c r="K168" s="41">
        <f>Portafolio!J168</f>
        <v>-5.6513111627722696E-3</v>
      </c>
    </row>
    <row r="169" spans="1:11" x14ac:dyDescent="0.2">
      <c r="A169" s="25">
        <v>45398</v>
      </c>
      <c r="B169" s="26">
        <v>168.955017</v>
      </c>
      <c r="C169" s="26">
        <v>57.612960999999999</v>
      </c>
      <c r="D169" s="26">
        <v>179.803696</v>
      </c>
      <c r="E169" s="26">
        <v>15.852073000000001</v>
      </c>
      <c r="F169" s="26">
        <f>SUMPRODUCT(Portafolio!B169:E169,Portafolio!$M$37:$P$37)</f>
        <v>119.81014525860188</v>
      </c>
      <c r="G169" s="41">
        <f>Portafolio!F169</f>
        <v>-1.9353292388622649E-2</v>
      </c>
      <c r="H169" s="41">
        <f>Portafolio!G169</f>
        <v>-1.3769359849297128E-3</v>
      </c>
      <c r="I169" s="41">
        <f>Portafolio!H169</f>
        <v>-1.1493392825475091E-2</v>
      </c>
      <c r="J169" s="41">
        <f>Portafolio!I169</f>
        <v>-9.2793792839827582E-3</v>
      </c>
      <c r="K169" s="41">
        <f>Portafolio!J169</f>
        <v>-1.1933324263826817E-2</v>
      </c>
    </row>
    <row r="170" spans="1:11" x14ac:dyDescent="0.2">
      <c r="A170" s="25">
        <v>45399</v>
      </c>
      <c r="B170" s="26">
        <v>167.57847599999999</v>
      </c>
      <c r="C170" s="26">
        <v>58.059494000000001</v>
      </c>
      <c r="D170" s="26">
        <v>179.08766199999999</v>
      </c>
      <c r="E170" s="26">
        <v>15.881629999999999</v>
      </c>
      <c r="F170" s="26">
        <f>SUMPRODUCT(Portafolio!B170:E170,Portafolio!$M$37:$P$37)</f>
        <v>119.25023756686156</v>
      </c>
      <c r="G170" s="41">
        <f>Portafolio!F170</f>
        <v>-8.1807529156866562E-3</v>
      </c>
      <c r="H170" s="41">
        <f>Portafolio!G170</f>
        <v>7.7206836858722564E-3</v>
      </c>
      <c r="I170" s="41">
        <f>Portafolio!H170</f>
        <v>-3.9902601949420831E-3</v>
      </c>
      <c r="J170" s="41">
        <f>Portafolio!I170</f>
        <v>1.8628149729069926E-3</v>
      </c>
      <c r="K170" s="41">
        <f>Portafolio!J170</f>
        <v>-2.4608274972705148E-3</v>
      </c>
    </row>
    <row r="171" spans="1:11" x14ac:dyDescent="0.2">
      <c r="A171" s="25">
        <v>45400</v>
      </c>
      <c r="B171" s="26">
        <v>166.62088</v>
      </c>
      <c r="C171" s="26">
        <v>58.456417000000002</v>
      </c>
      <c r="D171" s="26">
        <v>180.251205</v>
      </c>
      <c r="E171" s="26">
        <v>16.088524</v>
      </c>
      <c r="F171" s="26">
        <f>SUMPRODUCT(Portafolio!B171:E171,Portafolio!$M$37:$P$37)</f>
        <v>119.6513605995633</v>
      </c>
      <c r="G171" s="41">
        <f>Portafolio!F171</f>
        <v>-5.7307029681765223E-3</v>
      </c>
      <c r="H171" s="41">
        <f>Portafolio!G171</f>
        <v>6.8132245978021052E-3</v>
      </c>
      <c r="I171" s="41">
        <f>Portafolio!H171</f>
        <v>6.4760434973849422E-3</v>
      </c>
      <c r="J171" s="41">
        <f>Portafolio!I171</f>
        <v>1.2943127412559438E-2</v>
      </c>
      <c r="K171" s="41">
        <f>Portafolio!J171</f>
        <v>6.141074302354505E-3</v>
      </c>
    </row>
    <row r="172" spans="1:11" x14ac:dyDescent="0.2">
      <c r="A172" s="25">
        <v>45401</v>
      </c>
      <c r="B172" s="26">
        <v>164.58599899999999</v>
      </c>
      <c r="C172" s="26">
        <v>59.706710999999999</v>
      </c>
      <c r="D172" s="26">
        <v>184.776138</v>
      </c>
      <c r="E172" s="26">
        <v>16.265863</v>
      </c>
      <c r="F172" s="26">
        <f>SUMPRODUCT(Portafolio!B172:E172,Portafolio!$M$37:$P$37)</f>
        <v>121.33383815041374</v>
      </c>
      <c r="G172" s="41">
        <f>Portafolio!F172</f>
        <v>-1.2287828139873455E-2</v>
      </c>
      <c r="H172" s="41">
        <f>Portafolio!G172</f>
        <v>2.1162958107073866E-2</v>
      </c>
      <c r="I172" s="41">
        <f>Portafolio!H172</f>
        <v>2.4793566191605932E-2</v>
      </c>
      <c r="J172" s="41">
        <f>Portafolio!I172</f>
        <v>1.0962394432582713E-2</v>
      </c>
      <c r="K172" s="41">
        <f>Portafolio!J172</f>
        <v>1.2796456943029434E-2</v>
      </c>
    </row>
    <row r="173" spans="1:11" x14ac:dyDescent="0.2">
      <c r="A173" s="25">
        <v>45404</v>
      </c>
      <c r="B173" s="26">
        <v>165.42387400000001</v>
      </c>
      <c r="C173" s="26">
        <v>60.08379</v>
      </c>
      <c r="D173" s="26">
        <v>188.366241</v>
      </c>
      <c r="E173" s="26">
        <v>16.068819000000001</v>
      </c>
      <c r="F173" s="26">
        <f>SUMPRODUCT(Portafolio!B173:E173,Portafolio!$M$37:$P$37)</f>
        <v>123.02356379950346</v>
      </c>
      <c r="G173" s="41">
        <f>Portafolio!F173</f>
        <v>5.07788929321121E-3</v>
      </c>
      <c r="H173" s="41">
        <f>Portafolio!G173</f>
        <v>6.2956618817539729E-3</v>
      </c>
      <c r="I173" s="41">
        <f>Portafolio!H173</f>
        <v>1.9243130694284457E-2</v>
      </c>
      <c r="J173" s="41">
        <f>Portafolio!I173</f>
        <v>-1.2187931160931781E-2</v>
      </c>
      <c r="K173" s="41">
        <f>Portafolio!J173</f>
        <v>5.7608140379832506E-3</v>
      </c>
    </row>
    <row r="174" spans="1:11" x14ac:dyDescent="0.2">
      <c r="A174" s="25">
        <v>45405</v>
      </c>
      <c r="B174" s="26">
        <v>166.48121599999999</v>
      </c>
      <c r="C174" s="26">
        <v>60.173096000000001</v>
      </c>
      <c r="D174" s="26">
        <v>191.08119199999999</v>
      </c>
      <c r="E174" s="26">
        <v>16.25601</v>
      </c>
      <c r="F174" s="26">
        <f>SUMPRODUCT(Portafolio!B174:E174,Portafolio!$M$37:$P$37)</f>
        <v>124.4862020676201</v>
      </c>
      <c r="G174" s="41">
        <f>Portafolio!F174</f>
        <v>6.3713730744178647E-3</v>
      </c>
      <c r="H174" s="41">
        <f>Portafolio!G174</f>
        <v>1.4852540987510795E-3</v>
      </c>
      <c r="I174" s="41">
        <f>Portafolio!H174</f>
        <v>1.4310268539026554E-2</v>
      </c>
      <c r="J174" s="41">
        <f>Portafolio!I174</f>
        <v>1.1582000481511069E-2</v>
      </c>
      <c r="K174" s="41">
        <f>Portafolio!J174</f>
        <v>1.1324813505728726E-2</v>
      </c>
    </row>
    <row r="175" spans="1:11" x14ac:dyDescent="0.2">
      <c r="A175" s="25">
        <v>45406</v>
      </c>
      <c r="B175" s="26">
        <v>168.59591699999999</v>
      </c>
      <c r="C175" s="26">
        <v>61.076087999999999</v>
      </c>
      <c r="D175" s="26">
        <v>192.01602199999999</v>
      </c>
      <c r="E175" s="26">
        <v>16.561426000000001</v>
      </c>
      <c r="F175" s="26">
        <f>SUMPRODUCT(Portafolio!B175:E175,Portafolio!$M$37:$P$37)</f>
        <v>125.45204667559162</v>
      </c>
      <c r="G175" s="41">
        <f>Portafolio!F175</f>
        <v>1.2622341953280228E-2</v>
      </c>
      <c r="H175" s="41">
        <f>Portafolio!G175</f>
        <v>1.4895089026447495E-2</v>
      </c>
      <c r="I175" s="41">
        <f>Portafolio!H175</f>
        <v>4.8803897357337367E-3</v>
      </c>
      <c r="J175" s="41">
        <f>Portafolio!I175</f>
        <v>1.8613569807513386E-2</v>
      </c>
      <c r="K175" s="41">
        <f>Portafolio!J175</f>
        <v>1.1258669061240949E-2</v>
      </c>
    </row>
    <row r="176" spans="1:11" x14ac:dyDescent="0.2">
      <c r="A176" s="25">
        <v>45407</v>
      </c>
      <c r="B176" s="26">
        <v>169.46373</v>
      </c>
      <c r="C176" s="26">
        <v>61.264628999999999</v>
      </c>
      <c r="D176" s="26">
        <v>192.30441300000001</v>
      </c>
      <c r="E176" s="26">
        <v>16.334827000000001</v>
      </c>
      <c r="F176" s="26">
        <f>SUMPRODUCT(Portafolio!B176:E176,Portafolio!$M$37:$P$37)</f>
        <v>125.6858712208828</v>
      </c>
      <c r="G176" s="41">
        <f>Portafolio!F176</f>
        <v>5.1340934294748482E-3</v>
      </c>
      <c r="H176" s="41">
        <f>Portafolio!G176</f>
        <v>3.082230575187468E-3</v>
      </c>
      <c r="I176" s="41">
        <f>Portafolio!H176</f>
        <v>1.500784386497234E-3</v>
      </c>
      <c r="J176" s="41">
        <f>Portafolio!I176</f>
        <v>-1.377680211997016E-2</v>
      </c>
      <c r="K176" s="41">
        <f>Portafolio!J176</f>
        <v>-2.6343550378729137E-3</v>
      </c>
    </row>
    <row r="177" spans="1:11" x14ac:dyDescent="0.2">
      <c r="A177" s="25">
        <v>45408</v>
      </c>
      <c r="B177" s="26">
        <v>168.875214</v>
      </c>
      <c r="C177" s="26">
        <v>61.264628999999999</v>
      </c>
      <c r="D177" s="26">
        <v>192.423767</v>
      </c>
      <c r="E177" s="26">
        <v>16.502313999999998</v>
      </c>
      <c r="F177" s="26">
        <f>SUMPRODUCT(Portafolio!B177:E177,Portafolio!$M$37:$P$37)</f>
        <v>125.67477079346662</v>
      </c>
      <c r="G177" s="41">
        <f>Portafolio!F177</f>
        <v>-3.4788581331064421E-3</v>
      </c>
      <c r="H177" s="41">
        <f>Portafolio!G177</f>
        <v>0</v>
      </c>
      <c r="I177" s="41">
        <f>Portafolio!H177</f>
        <v>6.2045885918183598E-4</v>
      </c>
      <c r="J177" s="41">
        <f>Portafolio!I177</f>
        <v>1.020115925682203E-2</v>
      </c>
      <c r="K177" s="41">
        <f>Portafolio!J177</f>
        <v>2.8658700770441805E-3</v>
      </c>
    </row>
    <row r="178" spans="1:11" x14ac:dyDescent="0.2">
      <c r="A178" s="25">
        <v>45411</v>
      </c>
      <c r="B178" s="26">
        <v>173.06466699999999</v>
      </c>
      <c r="C178" s="26">
        <v>61.562317</v>
      </c>
      <c r="D178" s="26">
        <v>192.21492000000001</v>
      </c>
      <c r="E178" s="26">
        <v>16.768322000000001</v>
      </c>
      <c r="F178" s="26">
        <f>SUMPRODUCT(Portafolio!B178:E178,Portafolio!$M$37:$P$37)</f>
        <v>126.51632740216189</v>
      </c>
      <c r="G178" s="41">
        <f>Portafolio!F178</f>
        <v>2.4505258851654717E-2</v>
      </c>
      <c r="H178" s="41">
        <f>Portafolio!G178</f>
        <v>4.8472846158211921E-3</v>
      </c>
      <c r="I178" s="41">
        <f>Portafolio!H178</f>
        <v>-1.0859387138235847E-3</v>
      </c>
      <c r="J178" s="41">
        <f>Portafolio!I178</f>
        <v>1.5990897700798735E-2</v>
      </c>
      <c r="K178" s="41">
        <f>Portafolio!J178</f>
        <v>9.7610369015713565E-3</v>
      </c>
    </row>
    <row r="179" spans="1:11" x14ac:dyDescent="0.2">
      <c r="A179" s="25">
        <v>45412</v>
      </c>
      <c r="B179" s="26">
        <v>169.90263400000001</v>
      </c>
      <c r="C179" s="26">
        <v>61.294395000000002</v>
      </c>
      <c r="D179" s="26">
        <v>190.68341100000001</v>
      </c>
      <c r="E179" s="26">
        <v>16.640243999999999</v>
      </c>
      <c r="F179" s="26">
        <f>SUMPRODUCT(Portafolio!B179:E179,Portafolio!$M$37:$P$37)</f>
        <v>125.16374529642752</v>
      </c>
      <c r="G179" s="41">
        <f>Portafolio!F179</f>
        <v>-1.8439790545778333E-2</v>
      </c>
      <c r="H179" s="41">
        <f>Portafolio!G179</f>
        <v>-4.3615431401830369E-3</v>
      </c>
      <c r="I179" s="41">
        <f>Portafolio!H179</f>
        <v>-7.9996022089060346E-3</v>
      </c>
      <c r="J179" s="41">
        <f>Portafolio!I179</f>
        <v>-7.6674124514332052E-3</v>
      </c>
      <c r="K179" s="41">
        <f>Portafolio!J179</f>
        <v>-9.8249133735717059E-3</v>
      </c>
    </row>
    <row r="180" spans="1:11" x14ac:dyDescent="0.2">
      <c r="A180" s="25">
        <v>45413</v>
      </c>
      <c r="B180" s="26">
        <v>168.875214</v>
      </c>
      <c r="C180" s="26">
        <v>61.453163000000004</v>
      </c>
      <c r="D180" s="26">
        <v>190.80275</v>
      </c>
      <c r="E180" s="26">
        <v>16.669799999999999</v>
      </c>
      <c r="F180" s="26">
        <f>SUMPRODUCT(Portafolio!B180:E180,Portafolio!$M$37:$P$37)</f>
        <v>125.02718468656013</v>
      </c>
      <c r="G180" s="41">
        <f>Portafolio!F180</f>
        <v>-6.0654683058762593E-3</v>
      </c>
      <c r="H180" s="41">
        <f>Portafolio!G180</f>
        <v>2.5869042305606007E-3</v>
      </c>
      <c r="I180" s="41">
        <f>Portafolio!H180</f>
        <v>6.2565312240965142E-4</v>
      </c>
      <c r="J180" s="41">
        <f>Portafolio!I180</f>
        <v>1.7746003431574375E-3</v>
      </c>
      <c r="K180" s="41">
        <f>Portafolio!J180</f>
        <v>-2.5763063477360479E-4</v>
      </c>
    </row>
    <row r="181" spans="1:11" x14ac:dyDescent="0.2">
      <c r="A181" s="25">
        <v>45414</v>
      </c>
      <c r="B181" s="26">
        <v>172.59584000000001</v>
      </c>
      <c r="C181" s="26">
        <v>61.512703000000002</v>
      </c>
      <c r="D181" s="26">
        <v>190.60385099999999</v>
      </c>
      <c r="E181" s="26">
        <v>16.571278</v>
      </c>
      <c r="F181" s="26">
        <f>SUMPRODUCT(Portafolio!B181:E181,Portafolio!$M$37:$P$37)</f>
        <v>125.65243446688638</v>
      </c>
      <c r="G181" s="41">
        <f>Portafolio!F181</f>
        <v>2.1792612899963495E-2</v>
      </c>
      <c r="H181" s="41">
        <f>Portafolio!G181</f>
        <v>9.683988994642935E-4</v>
      </c>
      <c r="I181" s="41">
        <f>Portafolio!H181</f>
        <v>-1.0429762752333207E-3</v>
      </c>
      <c r="J181" s="41">
        <f>Portafolio!I181</f>
        <v>-5.9277432873759113E-3</v>
      </c>
      <c r="K181" s="41">
        <f>Portafolio!J181</f>
        <v>2.0164309576452869E-3</v>
      </c>
    </row>
    <row r="182" spans="1:11" x14ac:dyDescent="0.2">
      <c r="A182" s="25">
        <v>45415</v>
      </c>
      <c r="B182" s="26">
        <v>182.91987599999999</v>
      </c>
      <c r="C182" s="26">
        <v>61.691315000000003</v>
      </c>
      <c r="D182" s="26">
        <v>189.46017499999999</v>
      </c>
      <c r="E182" s="26">
        <v>16.600836000000001</v>
      </c>
      <c r="F182" s="26">
        <f>SUMPRODUCT(Portafolio!B182:E182,Portafolio!$M$37:$P$37)</f>
        <v>127.22664327017391</v>
      </c>
      <c r="G182" s="41">
        <f>Portafolio!F182</f>
        <v>5.8095544508652106E-2</v>
      </c>
      <c r="H182" s="41">
        <f>Portafolio!G182</f>
        <v>2.8994529241732746E-3</v>
      </c>
      <c r="I182" s="41">
        <f>Portafolio!H182</f>
        <v>-6.0183515082071516E-3</v>
      </c>
      <c r="J182" s="41">
        <f>Portafolio!I182</f>
        <v>1.7820997373106853E-3</v>
      </c>
      <c r="K182" s="41">
        <f>Portafolio!J182</f>
        <v>9.6391400005362733E-3</v>
      </c>
    </row>
    <row r="183" spans="1:11" x14ac:dyDescent="0.2">
      <c r="A183" s="25">
        <v>45418</v>
      </c>
      <c r="B183" s="26">
        <v>181.25408899999999</v>
      </c>
      <c r="C183" s="26">
        <v>61.869926</v>
      </c>
      <c r="D183" s="26">
        <v>190.941971</v>
      </c>
      <c r="E183" s="26">
        <v>16.738764</v>
      </c>
      <c r="F183" s="26">
        <f>SUMPRODUCT(Portafolio!B183:E183,Portafolio!$M$37:$P$37)</f>
        <v>127.59471554883844</v>
      </c>
      <c r="G183" s="41">
        <f>Portafolio!F183</f>
        <v>-9.1483674173388676E-3</v>
      </c>
      <c r="H183" s="41">
        <f>Portafolio!G183</f>
        <v>2.8910542328630683E-3</v>
      </c>
      <c r="I183" s="41">
        <f>Portafolio!H183</f>
        <v>7.7907210062601899E-3</v>
      </c>
      <c r="J183" s="41">
        <f>Portafolio!I183</f>
        <v>8.2741716697485573E-3</v>
      </c>
      <c r="K183" s="41">
        <f>Portafolio!J183</f>
        <v>4.3701257264089095E-3</v>
      </c>
    </row>
    <row r="184" spans="1:11" x14ac:dyDescent="0.2">
      <c r="A184" s="25">
        <v>45419</v>
      </c>
      <c r="B184" s="26">
        <v>181.94232199999999</v>
      </c>
      <c r="C184" s="26">
        <v>62.137847999999998</v>
      </c>
      <c r="D184" s="26">
        <v>190.693344</v>
      </c>
      <c r="E184" s="26">
        <v>16.827432999999999</v>
      </c>
      <c r="F184" s="26">
        <f>SUMPRODUCT(Portafolio!B184:E184,Portafolio!$M$37:$P$37)</f>
        <v>127.6626288883039</v>
      </c>
      <c r="G184" s="41">
        <f>Portafolio!F184</f>
        <v>3.7898712813242458E-3</v>
      </c>
      <c r="H184" s="41">
        <f>Portafolio!G184</f>
        <v>4.3210584019733201E-3</v>
      </c>
      <c r="I184" s="41">
        <f>Portafolio!H184</f>
        <v>-1.3029561227812455E-3</v>
      </c>
      <c r="J184" s="41">
        <f>Portafolio!I184</f>
        <v>5.283244107095986E-3</v>
      </c>
      <c r="K184" s="41">
        <f>Portafolio!J184</f>
        <v>2.0645390083400394E-3</v>
      </c>
    </row>
    <row r="185" spans="1:11" x14ac:dyDescent="0.2">
      <c r="A185" s="25">
        <v>45420</v>
      </c>
      <c r="B185" s="26">
        <v>182.28149400000001</v>
      </c>
      <c r="C185" s="26">
        <v>62.366076999999997</v>
      </c>
      <c r="D185" s="26">
        <v>194.571854</v>
      </c>
      <c r="E185" s="26">
        <v>16.856991000000001</v>
      </c>
      <c r="F185" s="26">
        <f>SUMPRODUCT(Portafolio!B185:E185,Portafolio!$M$37:$P$37)</f>
        <v>129.44609755433598</v>
      </c>
      <c r="G185" s="41">
        <f>Portafolio!F185</f>
        <v>1.8624377821563668E-3</v>
      </c>
      <c r="H185" s="41">
        <f>Portafolio!G185</f>
        <v>3.666217842342803E-3</v>
      </c>
      <c r="I185" s="41">
        <f>Portafolio!H185</f>
        <v>2.0134915133947339E-2</v>
      </c>
      <c r="J185" s="41">
        <f>Portafolio!I185</f>
        <v>1.7549955781686565E-3</v>
      </c>
      <c r="K185" s="41">
        <f>Portafolio!J185</f>
        <v>9.8964805338732417E-3</v>
      </c>
    </row>
    <row r="186" spans="1:11" x14ac:dyDescent="0.2">
      <c r="A186" s="25">
        <v>45421</v>
      </c>
      <c r="B186" s="26">
        <v>184.10690299999999</v>
      </c>
      <c r="C186" s="26">
        <v>62.395851</v>
      </c>
      <c r="D186" s="26">
        <v>196.41166699999999</v>
      </c>
      <c r="E186" s="26">
        <v>16.925954999999998</v>
      </c>
      <c r="F186" s="26">
        <f>SUMPRODUCT(Portafolio!B186:E186,Portafolio!$M$37:$P$37)</f>
        <v>130.63838113701846</v>
      </c>
      <c r="G186" s="41">
        <f>Portafolio!F186</f>
        <v>9.9644209184128335E-3</v>
      </c>
      <c r="H186" s="41">
        <f>Portafolio!G186</f>
        <v>4.7729304993157585E-4</v>
      </c>
      <c r="I186" s="41">
        <f>Portafolio!H186</f>
        <v>9.4112742907778765E-3</v>
      </c>
      <c r="J186" s="41">
        <f>Portafolio!I186</f>
        <v>4.0827757174903999E-3</v>
      </c>
      <c r="K186" s="41">
        <f>Portafolio!J186</f>
        <v>7.4393189277554839E-3</v>
      </c>
    </row>
    <row r="187" spans="1:11" x14ac:dyDescent="0.2">
      <c r="A187" s="25">
        <v>45422</v>
      </c>
      <c r="B187" s="26">
        <v>182.83836400000001</v>
      </c>
      <c r="C187" s="26">
        <v>62.772922999999999</v>
      </c>
      <c r="D187" s="26">
        <v>197.674667</v>
      </c>
      <c r="E187" s="26">
        <v>16.916103</v>
      </c>
      <c r="F187" s="26">
        <f>SUMPRODUCT(Portafolio!B187:E187,Portafolio!$M$37:$P$37)</f>
        <v>130.9503762720442</v>
      </c>
      <c r="G187" s="41">
        <f>Portafolio!F187</f>
        <v>-6.9140777525400921E-3</v>
      </c>
      <c r="H187" s="41">
        <f>Portafolio!G187</f>
        <v>6.0250352963449492E-3</v>
      </c>
      <c r="I187" s="41">
        <f>Portafolio!H187</f>
        <v>6.4097849393042125E-3</v>
      </c>
      <c r="J187" s="41">
        <f>Portafolio!I187</f>
        <v>-5.8223411107649701E-4</v>
      </c>
      <c r="K187" s="41">
        <f>Portafolio!J187</f>
        <v>1.4848421374378694E-3</v>
      </c>
    </row>
    <row r="188" spans="1:11" x14ac:dyDescent="0.2">
      <c r="A188" s="25">
        <v>45425</v>
      </c>
      <c r="B188" s="26">
        <v>186.06463600000001</v>
      </c>
      <c r="C188" s="26">
        <v>63.090462000000002</v>
      </c>
      <c r="D188" s="26">
        <v>197.63488799999999</v>
      </c>
      <c r="E188" s="26">
        <v>17.004771999999999</v>
      </c>
      <c r="F188" s="26">
        <f>SUMPRODUCT(Portafolio!B188:E188,Portafolio!$M$37:$P$37)</f>
        <v>131.61758028454648</v>
      </c>
      <c r="G188" s="41">
        <f>Portafolio!F188</f>
        <v>1.7491613013872163E-2</v>
      </c>
      <c r="H188" s="41">
        <f>Portafolio!G188</f>
        <v>5.0457831514656758E-3</v>
      </c>
      <c r="I188" s="41">
        <f>Portafolio!H188</f>
        <v>-2.0125493872400897E-4</v>
      </c>
      <c r="J188" s="41">
        <f>Portafolio!I188</f>
        <v>5.2280020464313707E-3</v>
      </c>
      <c r="K188" s="41">
        <f>Portafolio!J188</f>
        <v>5.2894175070424595E-3</v>
      </c>
    </row>
    <row r="189" spans="1:11" x14ac:dyDescent="0.2">
      <c r="A189" s="25">
        <v>45426</v>
      </c>
      <c r="B189" s="26">
        <v>187.213303</v>
      </c>
      <c r="C189" s="26">
        <v>62.614154999999997</v>
      </c>
      <c r="D189" s="26">
        <v>200.39956699999999</v>
      </c>
      <c r="E189" s="26">
        <v>17.044180000000001</v>
      </c>
      <c r="F189" s="26">
        <f>SUMPRODUCT(Portafolio!B189:E189,Portafolio!$M$37:$P$37)</f>
        <v>133.04945090219184</v>
      </c>
      <c r="G189" s="41">
        <f>Portafolio!F189</f>
        <v>6.1545058292852206E-3</v>
      </c>
      <c r="H189" s="41">
        <f>Portafolio!G189</f>
        <v>-7.578230471947678E-3</v>
      </c>
      <c r="I189" s="41">
        <f>Portafolio!H189</f>
        <v>1.3891880096165623E-2</v>
      </c>
      <c r="J189" s="41">
        <f>Portafolio!I189</f>
        <v>2.3147859350525577E-3</v>
      </c>
      <c r="K189" s="41">
        <f>Portafolio!J189</f>
        <v>7.741590600439551E-3</v>
      </c>
    </row>
    <row r="190" spans="1:11" x14ac:dyDescent="0.2">
      <c r="A190" s="25">
        <v>45427</v>
      </c>
      <c r="B190" s="26">
        <v>189.50065599999999</v>
      </c>
      <c r="C190" s="26">
        <v>62.643925000000003</v>
      </c>
      <c r="D190" s="26">
        <v>200.996262</v>
      </c>
      <c r="E190" s="26">
        <v>17.073736</v>
      </c>
      <c r="F190" s="26">
        <f>SUMPRODUCT(Portafolio!B190:E190,Portafolio!$M$37:$P$37)</f>
        <v>133.7771899046358</v>
      </c>
      <c r="G190" s="41">
        <f>Portafolio!F190</f>
        <v>1.2143861705092206E-2</v>
      </c>
      <c r="H190" s="41">
        <f>Portafolio!G190</f>
        <v>4.7533860586955039E-4</v>
      </c>
      <c r="I190" s="41">
        <f>Portafolio!H190</f>
        <v>2.9731023414911141E-3</v>
      </c>
      <c r="J190" s="41">
        <f>Portafolio!I190</f>
        <v>1.732579879352201E-3</v>
      </c>
      <c r="K190" s="41">
        <f>Portafolio!J190</f>
        <v>4.2992049997478965E-3</v>
      </c>
    </row>
    <row r="191" spans="1:11" x14ac:dyDescent="0.2">
      <c r="A191" s="25">
        <v>45428</v>
      </c>
      <c r="B191" s="26">
        <v>189.62051400000001</v>
      </c>
      <c r="C191" s="26">
        <v>62.832462</v>
      </c>
      <c r="D191" s="26">
        <v>201.35427899999999</v>
      </c>
      <c r="E191" s="26">
        <v>17.044180000000001</v>
      </c>
      <c r="F191" s="26">
        <f>SUMPRODUCT(Portafolio!B191:E191,Portafolio!$M$37:$P$37)</f>
        <v>133.95590196397526</v>
      </c>
      <c r="G191" s="41">
        <f>Portafolio!F191</f>
        <v>6.3229391275216771E-4</v>
      </c>
      <c r="H191" s="41">
        <f>Portafolio!G191</f>
        <v>3.0051413878821489E-3</v>
      </c>
      <c r="I191" s="41">
        <f>Portafolio!H191</f>
        <v>1.7796277524522572E-3</v>
      </c>
      <c r="J191" s="41">
        <f>Portafolio!I191</f>
        <v>-1.732579879352136E-3</v>
      </c>
      <c r="K191" s="41">
        <f>Portafolio!J191</f>
        <v>4.690148869109129E-4</v>
      </c>
    </row>
    <row r="192" spans="1:11" x14ac:dyDescent="0.2">
      <c r="A192" s="25">
        <v>45429</v>
      </c>
      <c r="B192" s="26">
        <v>189.65048200000001</v>
      </c>
      <c r="C192" s="26">
        <v>62.544693000000002</v>
      </c>
      <c r="D192" s="26">
        <v>203.661484</v>
      </c>
      <c r="E192" s="26">
        <v>17.142702</v>
      </c>
      <c r="F192" s="26">
        <f>SUMPRODUCT(Portafolio!B192:E192,Portafolio!$M$37:$P$37)</f>
        <v>134.99137947919095</v>
      </c>
      <c r="G192" s="41">
        <f>Portafolio!F192</f>
        <v>1.5802948487189222E-4</v>
      </c>
      <c r="H192" s="41">
        <f>Portafolio!G192</f>
        <v>-4.5904615610439566E-3</v>
      </c>
      <c r="I192" s="41">
        <f>Portafolio!H192</f>
        <v>1.1393284747523526E-2</v>
      </c>
      <c r="J192" s="41">
        <f>Portafolio!I192</f>
        <v>5.7637472026845571E-3</v>
      </c>
      <c r="K192" s="41">
        <f>Portafolio!J192</f>
        <v>6.6867282502597282E-3</v>
      </c>
    </row>
    <row r="193" spans="1:11" x14ac:dyDescent="0.2">
      <c r="A193" s="25">
        <v>45432</v>
      </c>
      <c r="B193" s="26">
        <v>190.81912199999999</v>
      </c>
      <c r="C193" s="26">
        <v>62.088234</v>
      </c>
      <c r="D193" s="26">
        <v>194.50224299999999</v>
      </c>
      <c r="E193" s="26">
        <v>17.260926999999999</v>
      </c>
      <c r="F193" s="26">
        <f>SUMPRODUCT(Portafolio!B193:E193,Portafolio!$M$37:$P$37)</f>
        <v>131.23620813576952</v>
      </c>
      <c r="G193" s="41">
        <f>Portafolio!F193</f>
        <v>6.1431644627328542E-3</v>
      </c>
      <c r="H193" s="41">
        <f>Portafolio!G193</f>
        <v>-7.3248867997968373E-3</v>
      </c>
      <c r="I193" s="41">
        <f>Portafolio!H193</f>
        <v>-4.6015528245516947E-2</v>
      </c>
      <c r="J193" s="41">
        <f>Portafolio!I193</f>
        <v>6.8728485226429662E-3</v>
      </c>
      <c r="K193" s="41">
        <f>Portafolio!J193</f>
        <v>-1.6993383491286342E-2</v>
      </c>
    </row>
    <row r="194" spans="1:11" x14ac:dyDescent="0.2">
      <c r="A194" s="25">
        <v>45433</v>
      </c>
      <c r="B194" s="26">
        <v>192.12762499999999</v>
      </c>
      <c r="C194" s="26">
        <v>62.425617000000003</v>
      </c>
      <c r="D194" s="26">
        <v>198.42053200000001</v>
      </c>
      <c r="E194" s="26">
        <v>17.014624000000001</v>
      </c>
      <c r="F194" s="26">
        <f>SUMPRODUCT(Portafolio!B194:E194,Portafolio!$M$37:$P$37)</f>
        <v>133.14583835793729</v>
      </c>
      <c r="G194" s="41">
        <f>Portafolio!F194</f>
        <v>6.8338906269820778E-3</v>
      </c>
      <c r="H194" s="41">
        <f>Portafolio!G194</f>
        <v>5.4192175886679812E-3</v>
      </c>
      <c r="I194" s="41">
        <f>Portafolio!H194</f>
        <v>1.9944982273812171E-2</v>
      </c>
      <c r="J194" s="41">
        <f>Portafolio!I194</f>
        <v>-1.4372182648414963E-2</v>
      </c>
      <c r="K194" s="41">
        <f>Portafolio!J194</f>
        <v>5.6781425033624287E-3</v>
      </c>
    </row>
    <row r="195" spans="1:11" x14ac:dyDescent="0.2">
      <c r="A195" s="25">
        <v>45434</v>
      </c>
      <c r="B195" s="26">
        <v>190.67929100000001</v>
      </c>
      <c r="C195" s="26">
        <v>62.514923000000003</v>
      </c>
      <c r="D195" s="26">
        <v>197.21719400000001</v>
      </c>
      <c r="E195" s="26">
        <v>17.241222</v>
      </c>
      <c r="F195" s="26">
        <f>SUMPRODUCT(Portafolio!B195:E195,Portafolio!$M$37:$P$37)</f>
        <v>132.407321087187</v>
      </c>
      <c r="G195" s="41">
        <f>Portafolio!F195</f>
        <v>-7.5669526869904195E-3</v>
      </c>
      <c r="H195" s="41">
        <f>Portafolio!G195</f>
        <v>1.4295762641888972E-3</v>
      </c>
      <c r="I195" s="41">
        <f>Portafolio!H195</f>
        <v>-6.0830483624738684E-3</v>
      </c>
      <c r="J195" s="41">
        <f>Portafolio!I195</f>
        <v>1.3229934834084765E-2</v>
      </c>
      <c r="K195" s="41">
        <f>Portafolio!J195</f>
        <v>1.524966103229634E-4</v>
      </c>
    </row>
    <row r="196" spans="1:11" x14ac:dyDescent="0.2">
      <c r="A196" s="25">
        <v>45435</v>
      </c>
      <c r="B196" s="26">
        <v>186.66394</v>
      </c>
      <c r="C196" s="26">
        <v>61.611930999999998</v>
      </c>
      <c r="D196" s="26">
        <v>195.83485400000001</v>
      </c>
      <c r="E196" s="26">
        <v>17.211666000000001</v>
      </c>
      <c r="F196" s="26">
        <f>SUMPRODUCT(Portafolio!B196:E196,Portafolio!$M$37:$P$37)</f>
        <v>130.95574080532674</v>
      </c>
      <c r="G196" s="41">
        <f>Portafolio!F196</f>
        <v>-2.128302424671985E-2</v>
      </c>
      <c r="H196" s="41">
        <f>Portafolio!G196</f>
        <v>-1.454975939193497E-2</v>
      </c>
      <c r="I196" s="41">
        <f>Portafolio!H196</f>
        <v>-7.0339066105817626E-3</v>
      </c>
      <c r="J196" s="41">
        <f>Portafolio!I196</f>
        <v>-1.7157346722541096E-3</v>
      </c>
      <c r="K196" s="41">
        <f>Portafolio!J196</f>
        <v>-8.466960280245097E-3</v>
      </c>
    </row>
    <row r="197" spans="1:11" x14ac:dyDescent="0.2">
      <c r="A197" s="25">
        <v>45436</v>
      </c>
      <c r="B197" s="26">
        <v>189.760345</v>
      </c>
      <c r="C197" s="26">
        <v>61.522624999999998</v>
      </c>
      <c r="D197" s="26">
        <v>199.603973</v>
      </c>
      <c r="E197" s="26">
        <v>17.241222</v>
      </c>
      <c r="F197" s="26">
        <f>SUMPRODUCT(Portafolio!B197:E197,Portafolio!$M$37:$P$37)</f>
        <v>133.2279520270049</v>
      </c>
      <c r="G197" s="41">
        <f>Portafolio!F197</f>
        <v>1.6452046082168593E-2</v>
      </c>
      <c r="H197" s="41">
        <f>Portafolio!G197</f>
        <v>-1.4505435120728959E-3</v>
      </c>
      <c r="I197" s="41">
        <f>Portafolio!H197</f>
        <v>1.9063546062445577E-2</v>
      </c>
      <c r="J197" s="41">
        <f>Portafolio!I197</f>
        <v>1.7157346722542091E-3</v>
      </c>
      <c r="K197" s="41">
        <f>Portafolio!J197</f>
        <v>1.2114109100863532E-2</v>
      </c>
    </row>
    <row r="198" spans="1:11" x14ac:dyDescent="0.2">
      <c r="A198" s="25">
        <v>45440</v>
      </c>
      <c r="B198" s="26">
        <v>189.770355</v>
      </c>
      <c r="C198" s="26">
        <v>61.344009</v>
      </c>
      <c r="D198" s="26">
        <v>198.40063499999999</v>
      </c>
      <c r="E198" s="26">
        <v>17.014624000000001</v>
      </c>
      <c r="F198" s="26">
        <f>SUMPRODUCT(Portafolio!B198:E198,Portafolio!$M$37:$P$37)</f>
        <v>132.62310803568829</v>
      </c>
      <c r="G198" s="41">
        <f>Portafolio!F198</f>
        <v>5.2749355993220789E-5</v>
      </c>
      <c r="H198" s="41">
        <f>Portafolio!G198</f>
        <v>-2.907479760967422E-3</v>
      </c>
      <c r="I198" s="41">
        <f>Portafolio!H198</f>
        <v>-6.0468730383955328E-3</v>
      </c>
      <c r="J198" s="41">
        <f>Portafolio!I198</f>
        <v>-1.3229934834084642E-2</v>
      </c>
      <c r="K198" s="41">
        <f>Portafolio!J198</f>
        <v>-7.0179605837380008E-3</v>
      </c>
    </row>
    <row r="199" spans="1:11" x14ac:dyDescent="0.2">
      <c r="A199" s="25">
        <v>45441</v>
      </c>
      <c r="B199" s="26">
        <v>190.06999200000001</v>
      </c>
      <c r="C199" s="26">
        <v>61.224933999999998</v>
      </c>
      <c r="D199" s="26">
        <v>197.01829499999999</v>
      </c>
      <c r="E199" s="26">
        <v>16.866841999999998</v>
      </c>
      <c r="F199" s="26">
        <f>SUMPRODUCT(Portafolio!B199:E199,Portafolio!$M$37:$P$37)</f>
        <v>132.02550528256791</v>
      </c>
      <c r="G199" s="41">
        <f>Portafolio!F199</f>
        <v>1.5777000232845243E-3</v>
      </c>
      <c r="H199" s="41">
        <f>Portafolio!G199</f>
        <v>-1.9429887302046369E-3</v>
      </c>
      <c r="I199" s="41">
        <f>Portafolio!H199</f>
        <v>-6.99180300416376E-3</v>
      </c>
      <c r="J199" s="41">
        <f>Portafolio!I199</f>
        <v>-8.7235267318123977E-3</v>
      </c>
      <c r="K199" s="41">
        <f>Portafolio!J199</f>
        <v>-5.6356646599645859E-3</v>
      </c>
    </row>
    <row r="200" spans="1:11" x14ac:dyDescent="0.2">
      <c r="A200" s="25">
        <v>45442</v>
      </c>
      <c r="B200" s="26">
        <v>191.06883199999999</v>
      </c>
      <c r="C200" s="26">
        <v>61.492854999999999</v>
      </c>
      <c r="D200" s="26">
        <v>198.231583</v>
      </c>
      <c r="E200" s="26">
        <v>17.359449000000001</v>
      </c>
      <c r="F200" s="26">
        <f>SUMPRODUCT(Portafolio!B200:E200,Portafolio!$M$37:$P$37)</f>
        <v>132.92516868763241</v>
      </c>
      <c r="G200" s="41">
        <f>Portafolio!F200</f>
        <v>5.2413568168104213E-3</v>
      </c>
      <c r="H200" s="41">
        <f>Portafolio!G200</f>
        <v>4.3664643547632167E-3</v>
      </c>
      <c r="I200" s="41">
        <f>Portafolio!H200</f>
        <v>6.1393658971166812E-3</v>
      </c>
      <c r="J200" s="41">
        <f>Portafolio!I200</f>
        <v>2.8787286268958209E-2</v>
      </c>
      <c r="K200" s="41">
        <f>Portafolio!J200</f>
        <v>1.3187324385848765E-2</v>
      </c>
    </row>
    <row r="201" spans="1:11" x14ac:dyDescent="0.2">
      <c r="A201" s="25">
        <v>45443</v>
      </c>
      <c r="B201" s="26">
        <v>192.027725</v>
      </c>
      <c r="C201" s="26">
        <v>62.445464999999999</v>
      </c>
      <c r="D201" s="26">
        <v>201.513397</v>
      </c>
      <c r="E201" s="26">
        <v>17.950575000000001</v>
      </c>
      <c r="F201" s="26">
        <f>SUMPRODUCT(Portafolio!B201:E201,Portafolio!$M$37:$P$37)</f>
        <v>134.78165439713797</v>
      </c>
      <c r="G201" s="41">
        <f>Portafolio!F201</f>
        <v>5.0060225548219234E-3</v>
      </c>
      <c r="H201" s="41">
        <f>Portafolio!G201</f>
        <v>1.537262663889283E-2</v>
      </c>
      <c r="I201" s="41">
        <f>Portafolio!H201</f>
        <v>1.6419907185533298E-2</v>
      </c>
      <c r="J201" s="41">
        <f>Portafolio!I201</f>
        <v>3.3485178750257492E-2</v>
      </c>
      <c r="K201" s="41">
        <f>Portafolio!J201</f>
        <v>1.9602194943886292E-2</v>
      </c>
    </row>
    <row r="202" spans="1:11" x14ac:dyDescent="0.2">
      <c r="A202" s="25">
        <v>45446</v>
      </c>
      <c r="B202" s="26">
        <v>193.80566400000001</v>
      </c>
      <c r="C202" s="26">
        <v>62.445464999999999</v>
      </c>
      <c r="D202" s="26">
        <v>200.70787000000001</v>
      </c>
      <c r="E202" s="26">
        <v>17.743680999999999</v>
      </c>
      <c r="F202" s="26">
        <f>SUMPRODUCT(Portafolio!B202:E202,Portafolio!$M$37:$P$37)</f>
        <v>134.71690028534346</v>
      </c>
      <c r="G202" s="41">
        <f>Portafolio!F202</f>
        <v>9.2161623911649945E-3</v>
      </c>
      <c r="H202" s="41">
        <f>Portafolio!G202</f>
        <v>0</v>
      </c>
      <c r="I202" s="41">
        <f>Portafolio!H202</f>
        <v>-4.0053977401266682E-3</v>
      </c>
      <c r="J202" s="41">
        <f>Portafolio!I202</f>
        <v>-1.1592695309031092E-2</v>
      </c>
      <c r="K202" s="41">
        <f>Portafolio!J202</f>
        <v>-3.6518516749706404E-3</v>
      </c>
    </row>
    <row r="203" spans="1:11" x14ac:dyDescent="0.2">
      <c r="A203" s="25">
        <v>45447</v>
      </c>
      <c r="B203" s="26">
        <v>194.125305</v>
      </c>
      <c r="C203" s="26">
        <v>63.447685</v>
      </c>
      <c r="D203" s="26">
        <v>198.06251499999999</v>
      </c>
      <c r="E203" s="26">
        <v>18.078652999999999</v>
      </c>
      <c r="F203" s="26">
        <f>SUMPRODUCT(Portafolio!B203:E203,Portafolio!$M$37:$P$37)</f>
        <v>133.77204264212668</v>
      </c>
      <c r="G203" s="41">
        <f>Portafolio!F203</f>
        <v>1.6479275844381797E-3</v>
      </c>
      <c r="H203" s="41">
        <f>Portafolio!G203</f>
        <v>1.5922092232906072E-2</v>
      </c>
      <c r="I203" s="41">
        <f>Portafolio!H203</f>
        <v>-1.3267754604042227E-2</v>
      </c>
      <c r="J203" s="41">
        <f>Portafolio!I203</f>
        <v>1.8702397437831947E-2</v>
      </c>
      <c r="K203" s="41">
        <f>Portafolio!J203</f>
        <v>1.2012027507080619E-3</v>
      </c>
    </row>
    <row r="204" spans="1:11" x14ac:dyDescent="0.2">
      <c r="A204" s="25">
        <v>45448</v>
      </c>
      <c r="B204" s="26">
        <v>195.643539</v>
      </c>
      <c r="C204" s="26">
        <v>63.427836999999997</v>
      </c>
      <c r="D204" s="26">
        <v>196.17297400000001</v>
      </c>
      <c r="E204" s="26">
        <v>18.029392000000001</v>
      </c>
      <c r="F204" s="26">
        <f>SUMPRODUCT(Portafolio!B204:E204,Portafolio!$M$37:$P$37)</f>
        <v>133.23121445371609</v>
      </c>
      <c r="G204" s="41">
        <f>Portafolio!F204</f>
        <v>7.7904722351031866E-3</v>
      </c>
      <c r="H204" s="41">
        <f>Portafolio!G204</f>
        <v>-3.1287359214828865E-4</v>
      </c>
      <c r="I204" s="41">
        <f>Portafolio!H204</f>
        <v>-9.5859227382981537E-3</v>
      </c>
      <c r="J204" s="41">
        <f>Portafolio!I204</f>
        <v>-2.7285349047250127E-3</v>
      </c>
      <c r="K204" s="41">
        <f>Portafolio!J204</f>
        <v>-3.5336314810909385E-3</v>
      </c>
    </row>
    <row r="205" spans="1:11" x14ac:dyDescent="0.2">
      <c r="A205" s="25">
        <v>45449</v>
      </c>
      <c r="B205" s="26">
        <v>194.25514200000001</v>
      </c>
      <c r="C205" s="26">
        <v>63.656070999999997</v>
      </c>
      <c r="D205" s="26">
        <v>195.82492099999999</v>
      </c>
      <c r="E205" s="26">
        <v>18.009689000000002</v>
      </c>
      <c r="F205" s="26">
        <f>SUMPRODUCT(Portafolio!B205:E205,Portafolio!$M$37:$P$37)</f>
        <v>132.80516002412026</v>
      </c>
      <c r="G205" s="41">
        <f>Portafolio!F205</f>
        <v>-7.121864915451831E-3</v>
      </c>
      <c r="H205" s="41">
        <f>Portafolio!G205</f>
        <v>3.5918669636785371E-3</v>
      </c>
      <c r="I205" s="41">
        <f>Portafolio!H205</f>
        <v>-1.7757906147097171E-3</v>
      </c>
      <c r="J205" s="41">
        <f>Portafolio!I205</f>
        <v>-1.0934242170624129E-3</v>
      </c>
      <c r="K205" s="41">
        <f>Portafolio!J205</f>
        <v>-2.4022431861128344E-3</v>
      </c>
    </row>
    <row r="206" spans="1:11" x14ac:dyDescent="0.2">
      <c r="A206" s="25">
        <v>45450</v>
      </c>
      <c r="B206" s="26">
        <v>196.66236900000001</v>
      </c>
      <c r="C206" s="26">
        <v>63.417918999999998</v>
      </c>
      <c r="D206" s="26">
        <v>198.84816000000001</v>
      </c>
      <c r="E206" s="26">
        <v>17.832352</v>
      </c>
      <c r="F206" s="26">
        <f>SUMPRODUCT(Portafolio!B206:E206,Portafolio!$M$37:$P$37)</f>
        <v>134.54088894809109</v>
      </c>
      <c r="G206" s="41">
        <f>Portafolio!F206</f>
        <v>1.2315935510636394E-2</v>
      </c>
      <c r="H206" s="41">
        <f>Portafolio!G206</f>
        <v>-3.748245865629597E-3</v>
      </c>
      <c r="I206" s="41">
        <f>Portafolio!H206</f>
        <v>1.5320518573155651E-2</v>
      </c>
      <c r="J206" s="41">
        <f>Portafolio!I206</f>
        <v>-9.8955551720559757E-3</v>
      </c>
      <c r="K206" s="41">
        <f>Portafolio!J206</f>
        <v>5.8158408020062904E-3</v>
      </c>
    </row>
    <row r="207" spans="1:11" x14ac:dyDescent="0.2">
      <c r="A207" s="25">
        <v>45453</v>
      </c>
      <c r="B207" s="26">
        <v>192.89671300000001</v>
      </c>
      <c r="C207" s="26">
        <v>63.100383999999998</v>
      </c>
      <c r="D207" s="26">
        <v>198.51004</v>
      </c>
      <c r="E207" s="26">
        <v>17.5959</v>
      </c>
      <c r="F207" s="26">
        <f>SUMPRODUCT(Portafolio!B207:E207,Portafolio!$M$37:$P$37)</f>
        <v>133.55319726598998</v>
      </c>
      <c r="G207" s="41">
        <f>Portafolio!F207</f>
        <v>-1.9333515601065478E-2</v>
      </c>
      <c r="H207" s="41">
        <f>Portafolio!G207</f>
        <v>-5.0196004719991047E-3</v>
      </c>
      <c r="I207" s="41">
        <f>Portafolio!H207</f>
        <v>-1.7018402117130581E-3</v>
      </c>
      <c r="J207" s="41">
        <f>Portafolio!I207</f>
        <v>-1.3348415321843266E-2</v>
      </c>
      <c r="K207" s="41">
        <f>Portafolio!J207</f>
        <v>-9.1053487940438455E-3</v>
      </c>
    </row>
    <row r="208" spans="1:11" x14ac:dyDescent="0.2">
      <c r="A208" s="25">
        <v>45454</v>
      </c>
      <c r="B208" s="26">
        <v>206.910492</v>
      </c>
      <c r="C208" s="26">
        <v>63.060687999999999</v>
      </c>
      <c r="D208" s="26">
        <v>193.288971</v>
      </c>
      <c r="E208" s="26">
        <v>17.5959</v>
      </c>
      <c r="F208" s="26">
        <f>SUMPRODUCT(Portafolio!B208:E208,Portafolio!$M$37:$P$37)</f>
        <v>134.06036959212005</v>
      </c>
      <c r="G208" s="41">
        <f>Portafolio!F208</f>
        <v>7.0131414104475584E-2</v>
      </c>
      <c r="H208" s="41">
        <f>Portafolio!G208</f>
        <v>-6.2929080548693986E-4</v>
      </c>
      <c r="I208" s="41">
        <f>Portafolio!H208</f>
        <v>-2.6653349995766375E-2</v>
      </c>
      <c r="J208" s="41">
        <f>Portafolio!I208</f>
        <v>0</v>
      </c>
      <c r="K208" s="41">
        <f>Portafolio!J208</f>
        <v>2.2909531779188013E-3</v>
      </c>
    </row>
    <row r="209" spans="1:11" x14ac:dyDescent="0.2">
      <c r="A209" s="25">
        <v>45455</v>
      </c>
      <c r="B209" s="26">
        <v>212.823669</v>
      </c>
      <c r="C209" s="26">
        <v>62.395851</v>
      </c>
      <c r="D209" s="26">
        <v>190.47456399999999</v>
      </c>
      <c r="E209" s="26">
        <v>17.349598</v>
      </c>
      <c r="F209" s="26">
        <f>SUMPRODUCT(Portafolio!B209:E209,Portafolio!$M$37:$P$37)</f>
        <v>133.90103008040325</v>
      </c>
      <c r="G209" s="41">
        <f>Portafolio!F209</f>
        <v>2.8177683832117249E-2</v>
      </c>
      <c r="H209" s="41">
        <f>Portafolio!G209</f>
        <v>-1.0598781521427382E-2</v>
      </c>
      <c r="I209" s="41">
        <f>Portafolio!H209</f>
        <v>-1.4667664855327797E-2</v>
      </c>
      <c r="J209" s="41">
        <f>Portafolio!I209</f>
        <v>-1.4096584264906203E-2</v>
      </c>
      <c r="K209" s="41">
        <f>Portafolio!J209</f>
        <v>-5.7774659162913196E-3</v>
      </c>
    </row>
    <row r="210" spans="1:11" x14ac:dyDescent="0.2">
      <c r="A210" s="25">
        <v>45456</v>
      </c>
      <c r="B210" s="26">
        <v>213.99231</v>
      </c>
      <c r="C210" s="26">
        <v>62.505004999999997</v>
      </c>
      <c r="D210" s="26">
        <v>192.59283400000001</v>
      </c>
      <c r="E210" s="26">
        <v>17.408709000000002</v>
      </c>
      <c r="F210" s="26">
        <f>SUMPRODUCT(Portafolio!B210:E210,Portafolio!$M$37:$P$37)</f>
        <v>135.08430934099752</v>
      </c>
      <c r="G210" s="41">
        <f>Portafolio!F210</f>
        <v>5.4761020107099078E-3</v>
      </c>
      <c r="H210" s="41">
        <f>Portafolio!G210</f>
        <v>1.7478507559406556E-3</v>
      </c>
      <c r="I210" s="41">
        <f>Portafolio!H210</f>
        <v>1.1059628683795456E-2</v>
      </c>
      <c r="J210" s="41">
        <f>Portafolio!I210</f>
        <v>3.4012621492683047E-3</v>
      </c>
      <c r="K210" s="41">
        <f>Portafolio!J210</f>
        <v>7.0981682186605326E-3</v>
      </c>
    </row>
    <row r="211" spans="1:11" x14ac:dyDescent="0.2">
      <c r="A211" s="25">
        <v>45457</v>
      </c>
      <c r="B211" s="26">
        <v>212.244339</v>
      </c>
      <c r="C211" s="26">
        <v>62.549999</v>
      </c>
      <c r="D211" s="26">
        <v>192.71215799999999</v>
      </c>
      <c r="E211" s="26">
        <v>17.379152000000001</v>
      </c>
      <c r="F211" s="26">
        <f>SUMPRODUCT(Portafolio!B211:E211,Portafolio!$M$37:$P$37)</f>
        <v>134.78042298403005</v>
      </c>
      <c r="G211" s="41">
        <f>Portafolio!F211</f>
        <v>-8.2019263390725322E-3</v>
      </c>
      <c r="H211" s="41">
        <f>Portafolio!G211</f>
        <v>7.1958738958610062E-4</v>
      </c>
      <c r="I211" s="41">
        <f>Portafolio!H211</f>
        <v>6.1937429460877716E-4</v>
      </c>
      <c r="J211" s="41">
        <f>Portafolio!I211</f>
        <v>-1.6992713126116508E-3</v>
      </c>
      <c r="K211" s="41">
        <f>Portafolio!J211</f>
        <v>-1.8820950362061547E-3</v>
      </c>
    </row>
    <row r="212" spans="1:11" x14ac:dyDescent="0.2">
      <c r="A212" s="25">
        <v>45460</v>
      </c>
      <c r="B212" s="26">
        <v>216.41949500000001</v>
      </c>
      <c r="C212" s="26">
        <v>62.619999</v>
      </c>
      <c r="D212" s="26">
        <v>193.90554800000001</v>
      </c>
      <c r="E212" s="26">
        <v>17.408709000000002</v>
      </c>
      <c r="F212" s="26">
        <f>SUMPRODUCT(Portafolio!B212:E212,Portafolio!$M$37:$P$37)</f>
        <v>136.14716400453253</v>
      </c>
      <c r="G212" s="41">
        <f>Portafolio!F212</f>
        <v>1.948047725735666E-2</v>
      </c>
      <c r="H212" s="41">
        <f>Portafolio!G212</f>
        <v>1.1184790032108326E-3</v>
      </c>
      <c r="I212" s="41">
        <f>Portafolio!H212</f>
        <v>6.1735082056717516E-3</v>
      </c>
      <c r="J212" s="41">
        <f>Portafolio!I212</f>
        <v>1.6992713126115697E-3</v>
      </c>
      <c r="K212" s="41">
        <f>Portafolio!J212</f>
        <v>7.177393023667638E-3</v>
      </c>
    </row>
    <row r="213" spans="1:11" x14ac:dyDescent="0.2">
      <c r="A213" s="25">
        <v>45461</v>
      </c>
      <c r="B213" s="26">
        <v>214.042236</v>
      </c>
      <c r="C213" s="26">
        <v>62.630001</v>
      </c>
      <c r="D213" s="26">
        <v>195.914413</v>
      </c>
      <c r="E213" s="26">
        <v>17.783089</v>
      </c>
      <c r="F213" s="26">
        <f>SUMPRODUCT(Portafolio!B213:E213,Portafolio!$M$37:$P$37)</f>
        <v>136.67336273665865</v>
      </c>
      <c r="G213" s="41">
        <f>Portafolio!F213</f>
        <v>-1.1045270681009117E-2</v>
      </c>
      <c r="H213" s="41">
        <f>Portafolio!G213</f>
        <v>1.5971257518978638E-4</v>
      </c>
      <c r="I213" s="41">
        <f>Portafolio!H213</f>
        <v>1.030672096955205E-2</v>
      </c>
      <c r="J213" s="41">
        <f>Portafolio!I213</f>
        <v>2.1277351283956945E-2</v>
      </c>
      <c r="K213" s="41">
        <f>Portafolio!J213</f>
        <v>9.1722328513741559E-3</v>
      </c>
    </row>
    <row r="214" spans="1:11" x14ac:dyDescent="0.2">
      <c r="A214" s="25">
        <v>45463</v>
      </c>
      <c r="B214" s="26">
        <v>209.43757600000001</v>
      </c>
      <c r="C214" s="26">
        <v>62.18</v>
      </c>
      <c r="D214" s="26">
        <v>197.575211</v>
      </c>
      <c r="E214" s="26">
        <v>17.842203000000001</v>
      </c>
      <c r="F214" s="26">
        <f>SUMPRODUCT(Portafolio!B214:E214,Portafolio!$M$37:$P$37)</f>
        <v>136.48290424772119</v>
      </c>
      <c r="G214" s="41">
        <f>Portafolio!F214</f>
        <v>-2.1747631659808291E-2</v>
      </c>
      <c r="H214" s="41">
        <f>Portafolio!G214</f>
        <v>-7.2110078735026766E-3</v>
      </c>
      <c r="I214" s="41">
        <f>Portafolio!H214</f>
        <v>8.4414315435738397E-3</v>
      </c>
      <c r="J214" s="41">
        <f>Portafolio!I214</f>
        <v>3.3186565462668526E-3</v>
      </c>
      <c r="K214" s="41">
        <f>Portafolio!J214</f>
        <v>1.3384272536615029E-4</v>
      </c>
    </row>
    <row r="215" spans="1:11" x14ac:dyDescent="0.2">
      <c r="A215" s="25">
        <v>45464</v>
      </c>
      <c r="B215" s="26">
        <v>207.250122</v>
      </c>
      <c r="C215" s="26">
        <v>62.77</v>
      </c>
      <c r="D215" s="26">
        <v>195.218277</v>
      </c>
      <c r="E215" s="26">
        <v>18.127914000000001</v>
      </c>
      <c r="F215" s="26">
        <f>SUMPRODUCT(Portafolio!B215:E215,Portafolio!$M$37:$P$37)</f>
        <v>135.13181579055777</v>
      </c>
      <c r="G215" s="41">
        <f>Portafolio!F215</f>
        <v>-1.0499345697948081E-2</v>
      </c>
      <c r="H215" s="41">
        <f>Portafolio!G215</f>
        <v>9.443847698832648E-3</v>
      </c>
      <c r="I215" s="41">
        <f>Portafolio!H215</f>
        <v>-1.2001025271443897E-2</v>
      </c>
      <c r="J215" s="41">
        <f>Portafolio!I215</f>
        <v>1.588635415691966E-2</v>
      </c>
      <c r="K215" s="41">
        <f>Portafolio!J215</f>
        <v>-1.8379174021991868E-3</v>
      </c>
    </row>
    <row r="216" spans="1:11" x14ac:dyDescent="0.2">
      <c r="A216" s="25">
        <v>45467</v>
      </c>
      <c r="B216" s="26">
        <v>207.89935299999999</v>
      </c>
      <c r="C216" s="26">
        <v>63.970001000000003</v>
      </c>
      <c r="D216" s="26">
        <v>197.78405799999999</v>
      </c>
      <c r="E216" s="26">
        <v>18.374217999999999</v>
      </c>
      <c r="F216" s="26">
        <f>SUMPRODUCT(Portafolio!B216:E216,Portafolio!$M$37:$P$37)</f>
        <v>136.51225170778608</v>
      </c>
      <c r="G216" s="41">
        <f>Portafolio!F216</f>
        <v>3.1277001097442104E-3</v>
      </c>
      <c r="H216" s="41">
        <f>Portafolio!G216</f>
        <v>1.8936986764933515E-2</v>
      </c>
      <c r="I216" s="41">
        <f>Portafolio!H216</f>
        <v>1.305751761044515E-2</v>
      </c>
      <c r="J216" s="41">
        <f>Portafolio!I216</f>
        <v>1.3495526138129172E-2</v>
      </c>
      <c r="K216" s="41">
        <f>Portafolio!J216</f>
        <v>1.1459575011257142E-2</v>
      </c>
    </row>
    <row r="217" spans="1:11" x14ac:dyDescent="0.2">
      <c r="A217" s="25">
        <v>45468</v>
      </c>
      <c r="B217" s="26">
        <v>208.828293</v>
      </c>
      <c r="C217" s="26">
        <v>63.84</v>
      </c>
      <c r="D217" s="26">
        <v>196.978531</v>
      </c>
      <c r="E217" s="26">
        <v>18.413627999999999</v>
      </c>
      <c r="F217" s="26">
        <f>SUMPRODUCT(Portafolio!B217:E217,Portafolio!$M$37:$P$37)</f>
        <v>136.35234828625124</v>
      </c>
      <c r="G217" s="41">
        <f>Portafolio!F217</f>
        <v>4.4582669163491413E-3</v>
      </c>
      <c r="H217" s="41">
        <f>Portafolio!G217</f>
        <v>-2.0342859528205111E-3</v>
      </c>
      <c r="I217" s="41">
        <f>Portafolio!H217</f>
        <v>-4.0810762745116238E-3</v>
      </c>
      <c r="J217" s="41">
        <f>Portafolio!I217</f>
        <v>2.1425562712271934E-3</v>
      </c>
      <c r="K217" s="41">
        <f>Portafolio!J217</f>
        <v>-2.8956150755267136E-4</v>
      </c>
    </row>
    <row r="218" spans="1:11" x14ac:dyDescent="0.2">
      <c r="A218" s="25">
        <v>45469</v>
      </c>
      <c r="B218" s="26">
        <v>213.00344799999999</v>
      </c>
      <c r="C218" s="26">
        <v>64.050003000000004</v>
      </c>
      <c r="D218" s="26">
        <v>196.34204099999999</v>
      </c>
      <c r="E218" s="26">
        <v>18.482592</v>
      </c>
      <c r="F218" s="26">
        <f>SUMPRODUCT(Portafolio!B218:E218,Portafolio!$M$37:$P$37)</f>
        <v>136.93685491888994</v>
      </c>
      <c r="G218" s="41">
        <f>Portafolio!F218</f>
        <v>1.9796003669469535E-2</v>
      </c>
      <c r="H218" s="41">
        <f>Portafolio!G218</f>
        <v>3.2841220395962312E-3</v>
      </c>
      <c r="I218" s="41">
        <f>Portafolio!H218</f>
        <v>-3.2364976607338002E-3</v>
      </c>
      <c r="J218" s="41">
        <f>Portafolio!I218</f>
        <v>3.738273476931629E-3</v>
      </c>
      <c r="K218" s="41">
        <f>Portafolio!J218</f>
        <v>3.8686009565867142E-3</v>
      </c>
    </row>
    <row r="219" spans="1:11" x14ac:dyDescent="0.2">
      <c r="A219" s="25">
        <v>45470</v>
      </c>
      <c r="B219" s="26">
        <v>213.85247799999999</v>
      </c>
      <c r="C219" s="26">
        <v>63.91</v>
      </c>
      <c r="D219" s="26">
        <v>198.072464</v>
      </c>
      <c r="E219" s="26">
        <v>18.472738</v>
      </c>
      <c r="F219" s="26">
        <f>SUMPRODUCT(Portafolio!B219:E219,Portafolio!$M$37:$P$37)</f>
        <v>137.85432660080986</v>
      </c>
      <c r="G219" s="41">
        <f>Portafolio!F219</f>
        <v>3.9780687953256729E-3</v>
      </c>
      <c r="H219" s="41">
        <f>Portafolio!G219</f>
        <v>-2.1882315189594016E-3</v>
      </c>
      <c r="I219" s="41">
        <f>Portafolio!H219</f>
        <v>8.7746980951394233E-3</v>
      </c>
      <c r="J219" s="41">
        <f>Portafolio!I219</f>
        <v>-5.3329250387106324E-4</v>
      </c>
      <c r="K219" s="41">
        <f>Portafolio!J219</f>
        <v>4.3709834778213018E-3</v>
      </c>
    </row>
    <row r="220" spans="1:11" x14ac:dyDescent="0.2">
      <c r="A220" s="25">
        <v>45471</v>
      </c>
      <c r="B220" s="26">
        <v>210.37647999999999</v>
      </c>
      <c r="C220" s="26">
        <v>63.650002000000001</v>
      </c>
      <c r="D220" s="26">
        <v>201.145432</v>
      </c>
      <c r="E220" s="26">
        <v>18.827414999999998</v>
      </c>
      <c r="F220" s="26">
        <f>SUMPRODUCT(Portafolio!B220:E220,Portafolio!$M$37:$P$37)</f>
        <v>138.60973860585224</v>
      </c>
      <c r="G220" s="41">
        <f>Portafolio!F220</f>
        <v>-1.6387734624486144E-2</v>
      </c>
      <c r="H220" s="41">
        <f>Portafolio!G220</f>
        <v>-4.0764872369371159E-3</v>
      </c>
      <c r="I220" s="41">
        <f>Portafolio!H220</f>
        <v>1.5395245178859948E-2</v>
      </c>
      <c r="J220" s="41">
        <f>Portafolio!I220</f>
        <v>1.901802869604308E-2</v>
      </c>
      <c r="K220" s="41">
        <f>Portafolio!J220</f>
        <v>9.432646958843896E-3</v>
      </c>
    </row>
    <row r="221" spans="1:11" x14ac:dyDescent="0.2">
      <c r="A221" s="25">
        <v>45474</v>
      </c>
      <c r="B221" s="26">
        <v>216.499405</v>
      </c>
      <c r="C221" s="26">
        <v>63.279998999999997</v>
      </c>
      <c r="D221" s="26">
        <v>204.31785600000001</v>
      </c>
      <c r="E221" s="26">
        <v>18.699337</v>
      </c>
      <c r="F221" s="26">
        <f>SUMPRODUCT(Portafolio!B221:E221,Portafolio!$M$37:$P$37)</f>
        <v>141.16185023619542</v>
      </c>
      <c r="G221" s="41">
        <f>Portafolio!F221</f>
        <v>2.8689111628198698E-2</v>
      </c>
      <c r="H221" s="41">
        <f>Portafolio!G221</f>
        <v>-5.8300487686362692E-3</v>
      </c>
      <c r="I221" s="41">
        <f>Portafolio!H221</f>
        <v>1.5648710168294964E-2</v>
      </c>
      <c r="J221" s="41">
        <f>Portafolio!I221</f>
        <v>-6.8259836239331134E-3</v>
      </c>
      <c r="K221" s="41">
        <f>Portafolio!J221</f>
        <v>1.0127250857668788E-2</v>
      </c>
    </row>
    <row r="222" spans="1:11" x14ac:dyDescent="0.2">
      <c r="A222" s="25">
        <v>45475</v>
      </c>
      <c r="B222" s="26">
        <v>220.01533499999999</v>
      </c>
      <c r="C222" s="26">
        <v>63.150002000000001</v>
      </c>
      <c r="D222" s="26">
        <v>207.67922999999999</v>
      </c>
      <c r="E222" s="26">
        <v>18.541703999999999</v>
      </c>
      <c r="F222" s="26">
        <f>SUMPRODUCT(Portafolio!B222:E222,Portafolio!$M$37:$P$37)</f>
        <v>143.2772831264578</v>
      </c>
      <c r="G222" s="41">
        <f>Portafolio!F222</f>
        <v>1.6109449297697549E-2</v>
      </c>
      <c r="H222" s="41">
        <f>Portafolio!G222</f>
        <v>-2.0564271894918324E-3</v>
      </c>
      <c r="I222" s="41">
        <f>Portafolio!H222</f>
        <v>1.6317826996333985E-2</v>
      </c>
      <c r="J222" s="41">
        <f>Portafolio!I222</f>
        <v>-8.4656033871456007E-3</v>
      </c>
      <c r="K222" s="41">
        <f>Portafolio!J222</f>
        <v>7.5382938199312632E-3</v>
      </c>
    </row>
    <row r="223" spans="1:11" x14ac:dyDescent="0.2">
      <c r="A223" s="25">
        <v>45476</v>
      </c>
      <c r="B223" s="26">
        <v>221.29385400000001</v>
      </c>
      <c r="C223" s="26">
        <v>63.330002</v>
      </c>
      <c r="D223" s="26">
        <v>207.540009</v>
      </c>
      <c r="E223" s="26">
        <v>18.403773999999999</v>
      </c>
      <c r="F223" s="26">
        <f>SUMPRODUCT(Portafolio!B223:E223,Portafolio!$M$37:$P$37)</f>
        <v>143.43409996987262</v>
      </c>
      <c r="G223" s="41">
        <f>Portafolio!F223</f>
        <v>5.7942259479230023E-3</v>
      </c>
      <c r="H223" s="41">
        <f>Portafolio!G223</f>
        <v>2.8463016418229037E-3</v>
      </c>
      <c r="I223" s="41">
        <f>Portafolio!H223</f>
        <v>-6.7059033946733737E-4</v>
      </c>
      <c r="J223" s="41">
        <f>Portafolio!I223</f>
        <v>-7.466713020734231E-3</v>
      </c>
      <c r="K223" s="41">
        <f>Portafolio!J223</f>
        <v>-1.4287613508683536E-3</v>
      </c>
    </row>
    <row r="224" spans="1:11" x14ac:dyDescent="0.2">
      <c r="A224" s="25">
        <v>45478</v>
      </c>
      <c r="B224" s="26">
        <v>226.07830799999999</v>
      </c>
      <c r="C224" s="26">
        <v>63.759998000000003</v>
      </c>
      <c r="D224" s="26">
        <v>204.78999300000001</v>
      </c>
      <c r="E224" s="26">
        <v>18.492443000000002</v>
      </c>
      <c r="F224" s="26">
        <f>SUMPRODUCT(Portafolio!B224:E224,Portafolio!$M$37:$P$37)</f>
        <v>143.23062771299237</v>
      </c>
      <c r="G224" s="41">
        <f>Portafolio!F224</f>
        <v>2.1389960415288217E-2</v>
      </c>
      <c r="H224" s="41">
        <f>Portafolio!G224</f>
        <v>6.7668210053826762E-3</v>
      </c>
      <c r="I224" s="41">
        <f>Portafolio!H224</f>
        <v>-1.3339105875401823E-2</v>
      </c>
      <c r="J224" s="41">
        <f>Portafolio!I224</f>
        <v>4.8064098657813409E-3</v>
      </c>
      <c r="K224" s="41">
        <f>Portafolio!J224</f>
        <v>2.524626795931211E-4</v>
      </c>
    </row>
    <row r="225" spans="1:11" x14ac:dyDescent="0.2">
      <c r="A225" s="25">
        <v>45481</v>
      </c>
      <c r="B225" s="26">
        <v>227.55661000000001</v>
      </c>
      <c r="C225" s="26">
        <v>62.959999000000003</v>
      </c>
      <c r="D225" s="26">
        <v>205.16999799999999</v>
      </c>
      <c r="E225" s="26">
        <v>18.531851</v>
      </c>
      <c r="F225" s="26">
        <f>SUMPRODUCT(Portafolio!B225:E225,Portafolio!$M$37:$P$37)</f>
        <v>143.67158329432425</v>
      </c>
      <c r="G225" s="41">
        <f>Portafolio!F225</f>
        <v>6.5176077697273217E-3</v>
      </c>
      <c r="H225" s="41">
        <f>Portafolio!G225</f>
        <v>-1.2626414888283227E-2</v>
      </c>
      <c r="I225" s="41">
        <f>Portafolio!H225</f>
        <v>1.8538643632364745E-3</v>
      </c>
      <c r="J225" s="41">
        <f>Portafolio!I225</f>
        <v>2.1287652308458159E-3</v>
      </c>
      <c r="K225" s="41">
        <f>Portafolio!J225</f>
        <v>2.2806921195845722E-3</v>
      </c>
    </row>
    <row r="226" spans="1:11" x14ac:dyDescent="0.2">
      <c r="A226" s="25">
        <v>45482</v>
      </c>
      <c r="B226" s="26">
        <v>228.415604</v>
      </c>
      <c r="C226" s="26">
        <v>62.689999</v>
      </c>
      <c r="D226" s="26">
        <v>207.63000500000001</v>
      </c>
      <c r="E226" s="26">
        <v>18.521999000000001</v>
      </c>
      <c r="F226" s="26">
        <f>SUMPRODUCT(Portafolio!B226:E226,Portafolio!$M$37:$P$37)</f>
        <v>144.90495764623452</v>
      </c>
      <c r="G226" s="41">
        <f>Portafolio!F226</f>
        <v>3.7677515857849927E-3</v>
      </c>
      <c r="H226" s="41">
        <f>Portafolio!G226</f>
        <v>-4.2976588916777241E-3</v>
      </c>
      <c r="I226" s="41">
        <f>Portafolio!H226</f>
        <v>1.1918779573079451E-2</v>
      </c>
      <c r="J226" s="41">
        <f>Portafolio!I226</f>
        <v>-5.3176661708070883E-4</v>
      </c>
      <c r="K226" s="41">
        <f>Portafolio!J226</f>
        <v>5.6190817336279212E-3</v>
      </c>
    </row>
    <row r="227" spans="1:11" x14ac:dyDescent="0.2">
      <c r="A227" s="25">
        <v>45483</v>
      </c>
      <c r="B227" s="26">
        <v>232.710632</v>
      </c>
      <c r="C227" s="26">
        <v>62.830002</v>
      </c>
      <c r="D227" s="26">
        <v>207.800003</v>
      </c>
      <c r="E227" s="26">
        <v>18.739999999999998</v>
      </c>
      <c r="F227" s="26">
        <f>SUMPRODUCT(Portafolio!B227:E227,Portafolio!$M$37:$P$37)</f>
        <v>145.91140667192147</v>
      </c>
      <c r="G227" s="41">
        <f>Portafolio!F227</f>
        <v>1.8628964806476703E-2</v>
      </c>
      <c r="H227" s="41">
        <f>Portafolio!G227</f>
        <v>2.2307689124128954E-3</v>
      </c>
      <c r="I227" s="41">
        <f>Portafolio!H227</f>
        <v>8.1841949890559102E-4</v>
      </c>
      <c r="J227" s="41">
        <f>Portafolio!I227</f>
        <v>1.1701116052050159E-2</v>
      </c>
      <c r="K227" s="41">
        <f>Portafolio!J227</f>
        <v>7.9335707443179103E-3</v>
      </c>
    </row>
    <row r="228" spans="1:11" x14ac:dyDescent="0.2">
      <c r="A228" s="25">
        <v>45484</v>
      </c>
      <c r="B228" s="26">
        <v>227.30690000000001</v>
      </c>
      <c r="C228" s="26">
        <v>63.099997999999999</v>
      </c>
      <c r="D228" s="26">
        <v>207.449997</v>
      </c>
      <c r="E228" s="26">
        <v>18.860001</v>
      </c>
      <c r="F228" s="26">
        <f>SUMPRODUCT(Portafolio!B228:E228,Portafolio!$M$37:$P$37)</f>
        <v>144.73088912218182</v>
      </c>
      <c r="G228" s="41">
        <f>Portafolio!F228</f>
        <v>-2.3494672238777499E-2</v>
      </c>
      <c r="H228" s="41">
        <f>Portafolio!G228</f>
        <v>4.2880396046633875E-3</v>
      </c>
      <c r="I228" s="41">
        <f>Portafolio!H228</f>
        <v>-1.6857607845247413E-3</v>
      </c>
      <c r="J228" s="41">
        <f>Portafolio!I228</f>
        <v>6.3830534173032645E-3</v>
      </c>
      <c r="K228" s="41">
        <f>Portafolio!J228</f>
        <v>-3.1882183674978876E-3</v>
      </c>
    </row>
    <row r="229" spans="1:11" x14ac:dyDescent="0.2">
      <c r="A229" s="25">
        <v>45485</v>
      </c>
      <c r="B229" s="26">
        <v>230.27345299999999</v>
      </c>
      <c r="C229" s="26">
        <v>63.700001</v>
      </c>
      <c r="D229" s="26">
        <v>204.94000199999999</v>
      </c>
      <c r="E229" s="26">
        <v>18.809999000000001</v>
      </c>
      <c r="F229" s="26">
        <f>SUMPRODUCT(Portafolio!B229:E229,Portafolio!$M$37:$P$37)</f>
        <v>144.23234045959924</v>
      </c>
      <c r="G229" s="41">
        <f>Portafolio!F229</f>
        <v>1.2966442042243119E-2</v>
      </c>
      <c r="H229" s="41">
        <f>Portafolio!G229</f>
        <v>9.4638404252588466E-3</v>
      </c>
      <c r="I229" s="41">
        <f>Portafolio!H229</f>
        <v>-1.2173069187035165E-2</v>
      </c>
      <c r="J229" s="41">
        <f>Portafolio!I229</f>
        <v>-2.6547400778527642E-3</v>
      </c>
      <c r="K229" s="41">
        <f>Portafolio!J229</f>
        <v>-3.2108914361595976E-3</v>
      </c>
    </row>
    <row r="230" spans="1:11" x14ac:dyDescent="0.2">
      <c r="A230" s="25">
        <v>45488</v>
      </c>
      <c r="B230" s="26">
        <v>234.128998</v>
      </c>
      <c r="C230" s="26">
        <v>63.41</v>
      </c>
      <c r="D230" s="26">
        <v>210.050003</v>
      </c>
      <c r="E230" s="26">
        <v>18.579999999999998</v>
      </c>
      <c r="F230" s="26">
        <f>SUMPRODUCT(Portafolio!B230:E230,Portafolio!$M$37:$P$37)</f>
        <v>147.15070878036138</v>
      </c>
      <c r="G230" s="41">
        <f>Portafolio!F230</f>
        <v>1.6604708169325119E-2</v>
      </c>
      <c r="H230" s="41">
        <f>Portafolio!G230</f>
        <v>-4.563000564764429E-3</v>
      </c>
      <c r="I230" s="41">
        <f>Portafolio!H230</f>
        <v>2.4628348767179134E-2</v>
      </c>
      <c r="J230" s="41">
        <f>Portafolio!I230</f>
        <v>-1.2302856764034255E-2</v>
      </c>
      <c r="K230" s="41">
        <f>Portafolio!J230</f>
        <v>9.9341262330881665E-3</v>
      </c>
    </row>
    <row r="231" spans="1:11" x14ac:dyDescent="0.2">
      <c r="A231" s="25">
        <v>45489</v>
      </c>
      <c r="B231" s="26">
        <v>234.54852299999999</v>
      </c>
      <c r="C231" s="26">
        <v>64.269997000000004</v>
      </c>
      <c r="D231" s="26">
        <v>213.61999499999999</v>
      </c>
      <c r="E231" s="26">
        <v>18.850000000000001</v>
      </c>
      <c r="F231" s="26">
        <f>SUMPRODUCT(Portafolio!B231:E231,Portafolio!$M$37:$P$37)</f>
        <v>148.91849755708535</v>
      </c>
      <c r="G231" s="41">
        <f>Portafolio!F231</f>
        <v>1.7902506232981147E-3</v>
      </c>
      <c r="H231" s="41">
        <f>Portafolio!G231</f>
        <v>1.3471334993176645E-2</v>
      </c>
      <c r="I231" s="41">
        <f>Portafolio!H231</f>
        <v>1.6853100357796223E-2</v>
      </c>
      <c r="J231" s="41">
        <f>Portafolio!I231</f>
        <v>1.4427180508327499E-2</v>
      </c>
      <c r="K231" s="41">
        <f>Portafolio!J231</f>
        <v>1.2930786652298042E-2</v>
      </c>
    </row>
    <row r="232" spans="1:11" x14ac:dyDescent="0.2">
      <c r="A232" s="25">
        <v>45490</v>
      </c>
      <c r="B232" s="26">
        <v>228.615387</v>
      </c>
      <c r="C232" s="26">
        <v>65.209998999999996</v>
      </c>
      <c r="D232" s="26">
        <v>216.86999499999999</v>
      </c>
      <c r="E232" s="26">
        <v>19.16</v>
      </c>
      <c r="F232" s="26">
        <f>SUMPRODUCT(Portafolio!B232:E232,Portafolio!$M$37:$P$37)</f>
        <v>149.2962167964069</v>
      </c>
      <c r="G232" s="41">
        <f>Portafolio!F232</f>
        <v>-2.5621428783056767E-2</v>
      </c>
      <c r="H232" s="41">
        <f>Portafolio!G232</f>
        <v>1.4519903364922418E-2</v>
      </c>
      <c r="I232" s="41">
        <f>Portafolio!H232</f>
        <v>1.5099360369527649E-2</v>
      </c>
      <c r="J232" s="41">
        <f>Portafolio!I232</f>
        <v>1.631185864869468E-2</v>
      </c>
      <c r="K232" s="41">
        <f>Portafolio!J232</f>
        <v>7.3499755161991831E-3</v>
      </c>
    </row>
    <row r="233" spans="1:11" x14ac:dyDescent="0.2">
      <c r="A233" s="25">
        <v>45491</v>
      </c>
      <c r="B233" s="26">
        <v>223.920807</v>
      </c>
      <c r="C233" s="26">
        <v>65.190002000000007</v>
      </c>
      <c r="D233" s="26">
        <v>209.979996</v>
      </c>
      <c r="E233" s="26">
        <v>19.149999999999999</v>
      </c>
      <c r="F233" s="26">
        <f>SUMPRODUCT(Portafolio!B233:E233,Portafolio!$M$37:$P$37)</f>
        <v>145.34177355866365</v>
      </c>
      <c r="G233" s="41">
        <f>Portafolio!F233</f>
        <v>-2.074860964039351E-2</v>
      </c>
      <c r="H233" s="41">
        <f>Portafolio!G233</f>
        <v>-3.067024540397419E-4</v>
      </c>
      <c r="I233" s="41">
        <f>Portafolio!H233</f>
        <v>-3.2285803587666854E-2</v>
      </c>
      <c r="J233" s="41">
        <f>Portafolio!I233</f>
        <v>-5.2205691605959625E-4</v>
      </c>
      <c r="K233" s="41">
        <f>Portafolio!J233</f>
        <v>-1.8442864318895778E-2</v>
      </c>
    </row>
    <row r="234" spans="1:11" x14ac:dyDescent="0.2">
      <c r="A234" s="25">
        <v>45492</v>
      </c>
      <c r="B234" s="26">
        <v>224.050659</v>
      </c>
      <c r="C234" s="26">
        <v>65.290001000000004</v>
      </c>
      <c r="D234" s="26">
        <v>209.779999</v>
      </c>
      <c r="E234" s="26">
        <v>19.120000999999998</v>
      </c>
      <c r="F234" s="26">
        <f>SUMPRODUCT(Portafolio!B234:E234,Portafolio!$M$37:$P$37)</f>
        <v>145.27456358248392</v>
      </c>
      <c r="G234" s="41">
        <f>Portafolio!F234</f>
        <v>5.7973336916425204E-4</v>
      </c>
      <c r="H234" s="41">
        <f>Portafolio!G234</f>
        <v>1.5327868988235308E-3</v>
      </c>
      <c r="I234" s="41">
        <f>Portafolio!H234</f>
        <v>-9.5291127080258486E-4</v>
      </c>
      <c r="J234" s="41">
        <f>Portafolio!I234</f>
        <v>-1.5677557021459298E-3</v>
      </c>
      <c r="K234" s="41">
        <f>Portafolio!J234</f>
        <v>-7.4407325693876371E-4</v>
      </c>
    </row>
    <row r="235" spans="1:11" x14ac:dyDescent="0.2">
      <c r="A235" s="25">
        <v>45495</v>
      </c>
      <c r="B235" s="26">
        <v>223.70107999999999</v>
      </c>
      <c r="C235" s="26">
        <v>64.769997000000004</v>
      </c>
      <c r="D235" s="26">
        <v>210.279999</v>
      </c>
      <c r="E235" s="26">
        <v>18.549999</v>
      </c>
      <c r="F235" s="26">
        <f>SUMPRODUCT(Portafolio!B235:E235,Portafolio!$M$37:$P$37)</f>
        <v>145.21871097271071</v>
      </c>
      <c r="G235" s="41">
        <f>Portafolio!F235</f>
        <v>-1.5614861566389346E-3</v>
      </c>
      <c r="H235" s="41">
        <f>Portafolio!G235</f>
        <v>-7.9964136377382936E-3</v>
      </c>
      <c r="I235" s="41">
        <f>Portafolio!H235</f>
        <v>2.3806134291241197E-3</v>
      </c>
      <c r="J235" s="41">
        <f>Portafolio!I235</f>
        <v>-3.0265224779422156E-2</v>
      </c>
      <c r="K235" s="41">
        <f>Portafolio!J235</f>
        <v>-9.3505627056765638E-3</v>
      </c>
    </row>
    <row r="236" spans="1:11" x14ac:dyDescent="0.2">
      <c r="A236" s="25">
        <v>45496</v>
      </c>
      <c r="B236" s="26">
        <v>224.74984699999999</v>
      </c>
      <c r="C236" s="26">
        <v>64.959998999999996</v>
      </c>
      <c r="D236" s="26">
        <v>210.33000200000001</v>
      </c>
      <c r="E236" s="26">
        <v>18.209999</v>
      </c>
      <c r="F236" s="26">
        <f>SUMPRODUCT(Portafolio!B236:E236,Portafolio!$M$37:$P$37)</f>
        <v>145.34780914954814</v>
      </c>
      <c r="G236" s="41">
        <f>Portafolio!F236</f>
        <v>4.6772962161707281E-3</v>
      </c>
      <c r="H236" s="41">
        <f>Portafolio!G236</f>
        <v>2.9291935822486634E-3</v>
      </c>
      <c r="I236" s="41">
        <f>Portafolio!H236</f>
        <v>2.3776420016967354E-4</v>
      </c>
      <c r="J236" s="41">
        <f>Portafolio!I236</f>
        <v>-1.8498896320453713E-2</v>
      </c>
      <c r="K236" s="41">
        <f>Portafolio!J236</f>
        <v>-4.8061966522968758E-3</v>
      </c>
    </row>
    <row r="237" spans="1:11" x14ac:dyDescent="0.2">
      <c r="A237" s="25">
        <v>45497</v>
      </c>
      <c r="B237" s="26">
        <v>218.28732299999999</v>
      </c>
      <c r="C237" s="26">
        <v>65.809997999999993</v>
      </c>
      <c r="D237" s="26">
        <v>208.58999600000001</v>
      </c>
      <c r="E237" s="26">
        <v>19.16</v>
      </c>
      <c r="F237" s="26">
        <f>SUMPRODUCT(Portafolio!B237:E237,Portafolio!$M$37:$P$37)</f>
        <v>143.63925932661883</v>
      </c>
      <c r="G237" s="41">
        <f>Portafolio!F237</f>
        <v>-2.9175802186708118E-2</v>
      </c>
      <c r="H237" s="41">
        <f>Portafolio!G237</f>
        <v>1.3000091618175304E-2</v>
      </c>
      <c r="I237" s="41">
        <f>Portafolio!H237</f>
        <v>-8.307151793191617E-3</v>
      </c>
      <c r="J237" s="41">
        <f>Portafolio!I237</f>
        <v>5.0853933718081321E-2</v>
      </c>
      <c r="K237" s="41">
        <f>Portafolio!J237</f>
        <v>7.4708774925135567E-3</v>
      </c>
    </row>
    <row r="238" spans="1:11" x14ac:dyDescent="0.2">
      <c r="A238" s="25">
        <v>45498</v>
      </c>
      <c r="B238" s="26">
        <v>217.23855599999999</v>
      </c>
      <c r="C238" s="26">
        <v>66.069999999999993</v>
      </c>
      <c r="D238" s="26">
        <v>208.66999799999999</v>
      </c>
      <c r="E238" s="26">
        <v>19.190000999999999</v>
      </c>
      <c r="F238" s="26">
        <f>SUMPRODUCT(Portafolio!B238:E238,Portafolio!$M$37:$P$37)</f>
        <v>143.48550982812546</v>
      </c>
      <c r="G238" s="41">
        <f>Portafolio!F238</f>
        <v>-4.8161042901711899E-3</v>
      </c>
      <c r="H238" s="41">
        <f>Portafolio!G238</f>
        <v>3.943013964285107E-3</v>
      </c>
      <c r="I238" s="41">
        <f>Portafolio!H238</f>
        <v>3.8346355812063522E-4</v>
      </c>
      <c r="J238" s="41">
        <f>Portafolio!I238</f>
        <v>1.564589587366755E-3</v>
      </c>
      <c r="K238" s="41">
        <f>Portafolio!J238</f>
        <v>-1.268790252661004E-4</v>
      </c>
    </row>
    <row r="239" spans="1:11" x14ac:dyDescent="0.2">
      <c r="A239" s="25">
        <v>45499</v>
      </c>
      <c r="B239" s="26">
        <v>217.70800800000001</v>
      </c>
      <c r="C239" s="26">
        <v>67.050003000000004</v>
      </c>
      <c r="D239" s="26">
        <v>212.240005</v>
      </c>
      <c r="E239" s="26">
        <v>19.010000000000002</v>
      </c>
      <c r="F239" s="26">
        <f>SUMPRODUCT(Portafolio!B239:E239,Portafolio!$M$37:$P$37)</f>
        <v>145.12312363291878</v>
      </c>
      <c r="G239" s="41">
        <f>Portafolio!F239</f>
        <v>2.1586660116600692E-3</v>
      </c>
      <c r="H239" s="41">
        <f>Portafolio!G239</f>
        <v>1.4723868428621712E-2</v>
      </c>
      <c r="I239" s="41">
        <f>Portafolio!H239</f>
        <v>1.6963686226937915E-2</v>
      </c>
      <c r="J239" s="41">
        <f>Portafolio!I239</f>
        <v>-9.4242056297434203E-3</v>
      </c>
      <c r="K239" s="41">
        <f>Portafolio!J239</f>
        <v>5.4165309214539853E-3</v>
      </c>
    </row>
    <row r="240" spans="1:11" x14ac:dyDescent="0.2">
      <c r="A240" s="25">
        <v>45502</v>
      </c>
      <c r="B240" s="26">
        <v>217.987686</v>
      </c>
      <c r="C240" s="26">
        <v>66.830001999999993</v>
      </c>
      <c r="D240" s="26">
        <v>210.85000600000001</v>
      </c>
      <c r="E240" s="26">
        <v>18.899999999999999</v>
      </c>
      <c r="F240" s="26">
        <f>SUMPRODUCT(Portafolio!B240:E240,Portafolio!$M$37:$P$37)</f>
        <v>144.52624683470262</v>
      </c>
      <c r="G240" s="41">
        <f>Portafolio!F240</f>
        <v>1.2838228252665619E-3</v>
      </c>
      <c r="H240" s="41">
        <f>Portafolio!G240</f>
        <v>-3.2865430207580882E-3</v>
      </c>
      <c r="I240" s="41">
        <f>Portafolio!H240</f>
        <v>-6.5707247389028478E-3</v>
      </c>
      <c r="J240" s="41">
        <f>Portafolio!I240</f>
        <v>-5.8032344347412621E-3</v>
      </c>
      <c r="K240" s="41">
        <f>Portafolio!J240</f>
        <v>-4.6236682109694312E-3</v>
      </c>
    </row>
    <row r="241" spans="1:11" x14ac:dyDescent="0.2">
      <c r="A241" s="25">
        <v>45503</v>
      </c>
      <c r="B241" s="26">
        <v>218.547043</v>
      </c>
      <c r="C241" s="26">
        <v>67.680000000000007</v>
      </c>
      <c r="D241" s="26">
        <v>215.19000199999999</v>
      </c>
      <c r="E241" s="26">
        <v>18.98</v>
      </c>
      <c r="F241" s="26">
        <f>SUMPRODUCT(Portafolio!B241:E241,Portafolio!$M$37:$P$37)</f>
        <v>146.59717270574603</v>
      </c>
      <c r="G241" s="41">
        <f>Portafolio!F241</f>
        <v>2.562716177992965E-3</v>
      </c>
      <c r="H241" s="41">
        <f>Portafolio!G241</f>
        <v>1.2638603848310002E-2</v>
      </c>
      <c r="I241" s="41">
        <f>Portafolio!H241</f>
        <v>2.0374359451747755E-2</v>
      </c>
      <c r="J241" s="41">
        <f>Portafolio!I241</f>
        <v>4.2238711161852434E-3</v>
      </c>
      <c r="K241" s="41">
        <f>Portafolio!J241</f>
        <v>1.1302957996588921E-2</v>
      </c>
    </row>
    <row r="242" spans="1:11" x14ac:dyDescent="0.2">
      <c r="A242" s="25">
        <v>45504</v>
      </c>
      <c r="B242" s="26">
        <v>221.82324199999999</v>
      </c>
      <c r="C242" s="26">
        <v>66.739998</v>
      </c>
      <c r="D242" s="26">
        <v>212.800003</v>
      </c>
      <c r="E242" s="26">
        <v>19.25</v>
      </c>
      <c r="F242" s="26">
        <f>SUMPRODUCT(Portafolio!B242:E242,Portafolio!$M$37:$P$37)</f>
        <v>146.25309053139918</v>
      </c>
      <c r="G242" s="41">
        <f>Portafolio!F242</f>
        <v>1.4879566390620118E-2</v>
      </c>
      <c r="H242" s="41">
        <f>Portafolio!G242</f>
        <v>-1.3986271941776691E-2</v>
      </c>
      <c r="I242" s="41">
        <f>Portafolio!H242</f>
        <v>-1.1168596535331227E-2</v>
      </c>
      <c r="J242" s="41">
        <f>Portafolio!I242</f>
        <v>1.4125267552011362E-2</v>
      </c>
      <c r="K242" s="41">
        <f>Portafolio!J242</f>
        <v>2.0604099270030768E-3</v>
      </c>
    </row>
    <row r="243" spans="1:11" x14ac:dyDescent="0.2">
      <c r="A243" s="25">
        <v>45505</v>
      </c>
      <c r="B243" s="26">
        <v>218.10754399999999</v>
      </c>
      <c r="C243" s="26">
        <v>67.959998999999996</v>
      </c>
      <c r="D243" s="26">
        <v>207.96000699999999</v>
      </c>
      <c r="E243" s="26">
        <v>19.469999000000001</v>
      </c>
      <c r="F243" s="26">
        <f>SUMPRODUCT(Portafolio!B243:E243,Portafolio!$M$37:$P$37)</f>
        <v>143.51549250721192</v>
      </c>
      <c r="G243" s="41">
        <f>Portafolio!F243</f>
        <v>-1.6892595276606047E-2</v>
      </c>
      <c r="H243" s="41">
        <f>Portafolio!G243</f>
        <v>1.8114838733001931E-2</v>
      </c>
      <c r="I243" s="41">
        <f>Portafolio!H243</f>
        <v>-2.300698438939985E-2</v>
      </c>
      <c r="J243" s="41">
        <f>Portafolio!I243</f>
        <v>1.1363707289245462E-2</v>
      </c>
      <c r="K243" s="41">
        <f>Portafolio!J243</f>
        <v>-9.0313379470935082E-3</v>
      </c>
    </row>
    <row r="244" spans="1:11" x14ac:dyDescent="0.2">
      <c r="A244" s="25">
        <v>45506</v>
      </c>
      <c r="B244" s="26">
        <v>219.60580400000001</v>
      </c>
      <c r="C244" s="26">
        <v>69.330001999999993</v>
      </c>
      <c r="D244" s="26">
        <v>199.13999899999999</v>
      </c>
      <c r="E244" s="26">
        <v>19.370000999999998</v>
      </c>
      <c r="F244" s="26">
        <f>SUMPRODUCT(Portafolio!B244:E244,Portafolio!$M$37:$P$37)</f>
        <v>139.97870805239705</v>
      </c>
      <c r="G244" s="41">
        <f>Portafolio!F244</f>
        <v>6.8458769114516189E-3</v>
      </c>
      <c r="H244" s="41">
        <f>Portafolio!G244</f>
        <v>1.9958459712746134E-2</v>
      </c>
      <c r="I244" s="41">
        <f>Portafolio!H244</f>
        <v>-4.3337697237488322E-2</v>
      </c>
      <c r="J244" s="41">
        <f>Portafolio!I244</f>
        <v>-5.1492389779095047E-3</v>
      </c>
      <c r="K244" s="41">
        <f>Portafolio!J244</f>
        <v>-1.8442118775569206E-2</v>
      </c>
    </row>
    <row r="245" spans="1:11" x14ac:dyDescent="0.2">
      <c r="A245" s="25">
        <v>45509</v>
      </c>
      <c r="B245" s="26">
        <v>209.02806100000001</v>
      </c>
      <c r="C245" s="26">
        <v>68.099997999999999</v>
      </c>
      <c r="D245" s="26">
        <v>194.89999399999999</v>
      </c>
      <c r="E245" s="26">
        <v>18.91</v>
      </c>
      <c r="F245" s="26">
        <f>SUMPRODUCT(Portafolio!B245:E245,Portafolio!$M$37:$P$37)</f>
        <v>135.81666671370783</v>
      </c>
      <c r="G245" s="41">
        <f>Portafolio!F245</f>
        <v>-4.936563304839342E-2</v>
      </c>
      <c r="H245" s="41">
        <f>Portafolio!G245</f>
        <v>-1.7900558015048668E-2</v>
      </c>
      <c r="I245" s="41">
        <f>Portafolio!H245</f>
        <v>-2.1521514209848672E-2</v>
      </c>
      <c r="J245" s="41">
        <f>Portafolio!I245</f>
        <v>-2.4034646374763047E-2</v>
      </c>
      <c r="K245" s="41">
        <f>Portafolio!J245</f>
        <v>-2.7733529487892108E-2</v>
      </c>
    </row>
    <row r="246" spans="1:11" x14ac:dyDescent="0.2">
      <c r="A246" s="25">
        <v>45510</v>
      </c>
      <c r="B246" s="26">
        <v>206.99040199999999</v>
      </c>
      <c r="C246" s="26">
        <v>68.050003000000004</v>
      </c>
      <c r="D246" s="26">
        <v>200.33999600000001</v>
      </c>
      <c r="E246" s="26">
        <v>19.190000999999999</v>
      </c>
      <c r="F246" s="26">
        <f>SUMPRODUCT(Portafolio!B246:E246,Portafolio!$M$37:$P$37)</f>
        <v>137.8789589510157</v>
      </c>
      <c r="G246" s="41">
        <f>Portafolio!F246</f>
        <v>-9.7960810695936606E-3</v>
      </c>
      <c r="H246" s="41">
        <f>Portafolio!G246</f>
        <v>-7.3441060418495512E-4</v>
      </c>
      <c r="I246" s="41">
        <f>Portafolio!H246</f>
        <v>2.7529327489063685E-2</v>
      </c>
      <c r="J246" s="41">
        <f>Portafolio!I246</f>
        <v>1.4698479459715275E-2</v>
      </c>
      <c r="K246" s="41">
        <f>Portafolio!J246</f>
        <v>1.4800001087777872E-2</v>
      </c>
    </row>
    <row r="247" spans="1:11" x14ac:dyDescent="0.2">
      <c r="A247" s="25">
        <v>45511</v>
      </c>
      <c r="B247" s="26">
        <v>209.57742300000001</v>
      </c>
      <c r="C247" s="26">
        <v>68.459998999999996</v>
      </c>
      <c r="D247" s="26">
        <v>200.39999399999999</v>
      </c>
      <c r="E247" s="26">
        <v>19.25</v>
      </c>
      <c r="F247" s="26">
        <f>SUMPRODUCT(Portafolio!B247:E247,Portafolio!$M$37:$P$37)</f>
        <v>138.45693922426568</v>
      </c>
      <c r="G247" s="41">
        <f>Portafolio!F247</f>
        <v>1.2420806909965328E-2</v>
      </c>
      <c r="H247" s="41">
        <f>Portafolio!G247</f>
        <v>6.0068453122636119E-3</v>
      </c>
      <c r="I247" s="41">
        <f>Portafolio!H247</f>
        <v>2.9943605302915484E-4</v>
      </c>
      <c r="J247" s="41">
        <f>Portafolio!I247</f>
        <v>3.1216986037119246E-3</v>
      </c>
      <c r="K247" s="41">
        <f>Portafolio!J247</f>
        <v>3.8581674049941042E-3</v>
      </c>
    </row>
    <row r="248" spans="1:11" x14ac:dyDescent="0.2">
      <c r="A248" s="25">
        <v>45512</v>
      </c>
      <c r="B248" s="26">
        <v>213.06338500000001</v>
      </c>
      <c r="C248" s="26">
        <v>68.730002999999996</v>
      </c>
      <c r="D248" s="26">
        <v>204.05999800000001</v>
      </c>
      <c r="E248" s="26">
        <v>19.399999999999999</v>
      </c>
      <c r="F248" s="26">
        <f>SUMPRODUCT(Portafolio!B248:E248,Portafolio!$M$37:$P$37)</f>
        <v>140.81254714244145</v>
      </c>
      <c r="G248" s="41">
        <f>Portafolio!F248</f>
        <v>1.6496471649674511E-2</v>
      </c>
      <c r="H248" s="41">
        <f>Portafolio!G248</f>
        <v>3.9362102876051566E-3</v>
      </c>
      <c r="I248" s="41">
        <f>Portafolio!H248</f>
        <v>1.8098719175530638E-2</v>
      </c>
      <c r="J248" s="41">
        <f>Portafolio!I248</f>
        <v>7.7620053354891094E-3</v>
      </c>
      <c r="K248" s="41">
        <f>Portafolio!J248</f>
        <v>1.3869491248963698E-2</v>
      </c>
    </row>
    <row r="249" spans="1:11" x14ac:dyDescent="0.2">
      <c r="A249" s="25">
        <v>45513</v>
      </c>
      <c r="B249" s="26">
        <v>215.990005</v>
      </c>
      <c r="C249" s="26">
        <v>68.680000000000007</v>
      </c>
      <c r="D249" s="26">
        <v>205.800003</v>
      </c>
      <c r="E249" s="26">
        <v>19.489999999999998</v>
      </c>
      <c r="F249" s="26">
        <f>SUMPRODUCT(Portafolio!B249:E249,Portafolio!$M$37:$P$37)</f>
        <v>142.18417661003872</v>
      </c>
      <c r="G249" s="41">
        <f>Portafolio!F249</f>
        <v>1.3642429865120695E-2</v>
      </c>
      <c r="H249" s="41">
        <f>Portafolio!G249</f>
        <v>-7.2779275329949461E-4</v>
      </c>
      <c r="I249" s="41">
        <f>Portafolio!H249</f>
        <v>8.4907795310884548E-3</v>
      </c>
      <c r="J249" s="41">
        <f>Portafolio!I249</f>
        <v>4.6284474501869788E-3</v>
      </c>
      <c r="K249" s="41">
        <f>Portafolio!J249</f>
        <v>7.8963206893990952E-3</v>
      </c>
    </row>
    <row r="250" spans="1:11" x14ac:dyDescent="0.2">
      <c r="A250" s="25">
        <v>45516</v>
      </c>
      <c r="B250" s="26">
        <v>217.529999</v>
      </c>
      <c r="C250" s="26">
        <v>68.169998000000007</v>
      </c>
      <c r="D250" s="26">
        <v>206.19000199999999</v>
      </c>
      <c r="E250" s="26">
        <v>19.43</v>
      </c>
      <c r="F250" s="26">
        <f>SUMPRODUCT(Portafolio!B250:E250,Portafolio!$M$37:$P$37)</f>
        <v>142.62160568024422</v>
      </c>
      <c r="G250" s="41">
        <f>Portafolio!F250</f>
        <v>7.1046339891622338E-3</v>
      </c>
      <c r="H250" s="41">
        <f>Portafolio!G250</f>
        <v>-7.4534799929999399E-3</v>
      </c>
      <c r="I250" s="41">
        <f>Portafolio!H250</f>
        <v>1.8932455242062468E-3</v>
      </c>
      <c r="J250" s="41">
        <f>Portafolio!I250</f>
        <v>-3.0832501301206196E-3</v>
      </c>
      <c r="K250" s="41">
        <f>Portafolio!J250</f>
        <v>9.4636874937287512E-4</v>
      </c>
    </row>
    <row r="251" spans="1:11" x14ac:dyDescent="0.2">
      <c r="A251" s="25">
        <v>45517</v>
      </c>
      <c r="B251" s="26">
        <v>221.270004</v>
      </c>
      <c r="C251" s="26">
        <v>68.459998999999996</v>
      </c>
      <c r="D251" s="26">
        <v>207.94000199999999</v>
      </c>
      <c r="E251" s="26">
        <v>19.52</v>
      </c>
      <c r="F251" s="26">
        <f>SUMPRODUCT(Portafolio!B251:E251,Portafolio!$M$37:$P$37)</f>
        <v>144.17361830992252</v>
      </c>
      <c r="G251" s="41">
        <f>Portafolio!F251</f>
        <v>1.7046925905757491E-2</v>
      </c>
      <c r="H251" s="41">
        <f>Portafolio!G251</f>
        <v>4.2450624586943594E-3</v>
      </c>
      <c r="I251" s="41">
        <f>Portafolio!H251</f>
        <v>8.4515026665683331E-3</v>
      </c>
      <c r="J251" s="41">
        <f>Portafolio!I251</f>
        <v>4.6213175955976916E-3</v>
      </c>
      <c r="K251" s="41">
        <f>Portafolio!J251</f>
        <v>8.7585088603336341E-3</v>
      </c>
    </row>
    <row r="252" spans="1:11" x14ac:dyDescent="0.2">
      <c r="A252" s="25">
        <v>45518</v>
      </c>
      <c r="B252" s="26">
        <v>221.720001</v>
      </c>
      <c r="C252" s="26">
        <v>68.580001999999993</v>
      </c>
      <c r="D252" s="26">
        <v>210.240005</v>
      </c>
      <c r="E252" s="26">
        <v>19.629999000000002</v>
      </c>
      <c r="F252" s="26">
        <f>SUMPRODUCT(Portafolio!B252:E252,Portafolio!$M$37:$P$37)</f>
        <v>145.31001701699267</v>
      </c>
      <c r="G252" s="41">
        <f>Portafolio!F252</f>
        <v>2.0316357014954671E-3</v>
      </c>
      <c r="H252" s="41">
        <f>Portafolio!G252</f>
        <v>1.751357702825767E-3</v>
      </c>
      <c r="I252" s="41">
        <f>Portafolio!H252</f>
        <v>1.1000172910606301E-2</v>
      </c>
      <c r="J252" s="41">
        <f>Portafolio!I252</f>
        <v>5.6193763609869146E-3</v>
      </c>
      <c r="K252" s="41">
        <f>Portafolio!J252</f>
        <v>7.100633959377595E-3</v>
      </c>
    </row>
    <row r="253" spans="1:11" x14ac:dyDescent="0.2">
      <c r="A253" s="25">
        <v>45519</v>
      </c>
      <c r="B253" s="26">
        <v>224.720001</v>
      </c>
      <c r="C253" s="26">
        <v>68.650002000000001</v>
      </c>
      <c r="D253" s="26">
        <v>211.550003</v>
      </c>
      <c r="E253" s="26">
        <v>19.09</v>
      </c>
      <c r="F253" s="26">
        <f>SUMPRODUCT(Portafolio!B253:E253,Portafolio!$M$37:$P$37)</f>
        <v>146.30997986136404</v>
      </c>
      <c r="G253" s="41">
        <f>Portafolio!F253</f>
        <v>1.3439858184173351E-2</v>
      </c>
      <c r="H253" s="41">
        <f>Portafolio!G253</f>
        <v>1.0201851494693278E-3</v>
      </c>
      <c r="I253" s="41">
        <f>Portafolio!H253</f>
        <v>6.2116322685317679E-3</v>
      </c>
      <c r="J253" s="41">
        <f>Portafolio!I253</f>
        <v>-2.7894319608277238E-2</v>
      </c>
      <c r="K253" s="41">
        <f>Portafolio!J253</f>
        <v>-3.5518828260112257E-3</v>
      </c>
    </row>
    <row r="254" spans="1:11" x14ac:dyDescent="0.2">
      <c r="A254" s="25">
        <v>45520</v>
      </c>
      <c r="B254" s="26">
        <v>226.050003</v>
      </c>
      <c r="C254" s="26">
        <v>69.180000000000007</v>
      </c>
      <c r="D254" s="26">
        <v>213.970001</v>
      </c>
      <c r="E254" s="26">
        <v>19.34</v>
      </c>
      <c r="F254" s="26">
        <f>SUMPRODUCT(Portafolio!B254:E254,Portafolio!$M$37:$P$37)</f>
        <v>147.73615050732121</v>
      </c>
      <c r="G254" s="41">
        <f>Portafolio!F254</f>
        <v>5.9010397660438866E-3</v>
      </c>
      <c r="H254" s="41">
        <f>Portafolio!G254</f>
        <v>7.6906421617582866E-3</v>
      </c>
      <c r="I254" s="41">
        <f>Portafolio!H254</f>
        <v>1.1374431605290789E-2</v>
      </c>
      <c r="J254" s="41">
        <f>Portafolio!I254</f>
        <v>1.3010852287492039E-2</v>
      </c>
      <c r="K254" s="41">
        <f>Portafolio!J254</f>
        <v>1.0660442740112026E-2</v>
      </c>
    </row>
  </sheetData>
  <mergeCells count="4">
    <mergeCell ref="G1:K1"/>
    <mergeCell ref="M2:R3"/>
    <mergeCell ref="M11:N11"/>
    <mergeCell ref="M16:N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591EB-4F63-45EF-8E26-7C2F533ED09B}">
  <sheetPr>
    <tabColor theme="9" tint="0.79998168889431442"/>
    <pageSetUpPr fitToPage="1"/>
  </sheetPr>
  <dimension ref="B1:O2863"/>
  <sheetViews>
    <sheetView topLeftCell="A243" workbookViewId="0">
      <selection activeCell="F26" sqref="F26"/>
    </sheetView>
  </sheetViews>
  <sheetFormatPr baseColWidth="10" defaultColWidth="9.1640625" defaultRowHeight="13" x14ac:dyDescent="0.15"/>
  <cols>
    <col min="1" max="1" width="6.83203125" style="63" customWidth="1"/>
    <col min="2" max="2" width="10" style="63" customWidth="1"/>
    <col min="3" max="3" width="11.33203125" style="63" customWidth="1"/>
    <col min="4" max="4" width="11.83203125" style="63" customWidth="1"/>
    <col min="5" max="9" width="9.1640625" style="63"/>
    <col min="10" max="10" width="10.6640625" style="63" customWidth="1"/>
    <col min="11" max="13" width="9.1640625" style="63"/>
    <col min="14" max="14" width="10.83203125" style="63" customWidth="1"/>
    <col min="15" max="15" width="19.5" style="63" customWidth="1"/>
    <col min="16" max="256" width="9.1640625" style="63"/>
    <col min="257" max="257" width="6.83203125" style="63" customWidth="1"/>
    <col min="258" max="258" width="10" style="63" customWidth="1"/>
    <col min="259" max="259" width="11.33203125" style="63" customWidth="1"/>
    <col min="260" max="260" width="11.83203125" style="63" customWidth="1"/>
    <col min="261" max="265" width="9.1640625" style="63"/>
    <col min="266" max="266" width="10.6640625" style="63" customWidth="1"/>
    <col min="267" max="269" width="9.1640625" style="63"/>
    <col min="270" max="270" width="10.83203125" style="63" customWidth="1"/>
    <col min="271" max="271" width="19.5" style="63" customWidth="1"/>
    <col min="272" max="512" width="9.1640625" style="63"/>
    <col min="513" max="513" width="6.83203125" style="63" customWidth="1"/>
    <col min="514" max="514" width="10" style="63" customWidth="1"/>
    <col min="515" max="515" width="11.33203125" style="63" customWidth="1"/>
    <col min="516" max="516" width="11.83203125" style="63" customWidth="1"/>
    <col min="517" max="521" width="9.1640625" style="63"/>
    <col min="522" max="522" width="10.6640625" style="63" customWidth="1"/>
    <col min="523" max="525" width="9.1640625" style="63"/>
    <col min="526" max="526" width="10.83203125" style="63" customWidth="1"/>
    <col min="527" max="527" width="19.5" style="63" customWidth="1"/>
    <col min="528" max="768" width="9.1640625" style="63"/>
    <col min="769" max="769" width="6.83203125" style="63" customWidth="1"/>
    <col min="770" max="770" width="10" style="63" customWidth="1"/>
    <col min="771" max="771" width="11.33203125" style="63" customWidth="1"/>
    <col min="772" max="772" width="11.83203125" style="63" customWidth="1"/>
    <col min="773" max="777" width="9.1640625" style="63"/>
    <col min="778" max="778" width="10.6640625" style="63" customWidth="1"/>
    <col min="779" max="781" width="9.1640625" style="63"/>
    <col min="782" max="782" width="10.83203125" style="63" customWidth="1"/>
    <col min="783" max="783" width="19.5" style="63" customWidth="1"/>
    <col min="784" max="1024" width="9.1640625" style="63"/>
    <col min="1025" max="1025" width="6.83203125" style="63" customWidth="1"/>
    <col min="1026" max="1026" width="10" style="63" customWidth="1"/>
    <col min="1027" max="1027" width="11.33203125" style="63" customWidth="1"/>
    <col min="1028" max="1028" width="11.83203125" style="63" customWidth="1"/>
    <col min="1029" max="1033" width="9.1640625" style="63"/>
    <col min="1034" max="1034" width="10.6640625" style="63" customWidth="1"/>
    <col min="1035" max="1037" width="9.1640625" style="63"/>
    <col min="1038" max="1038" width="10.83203125" style="63" customWidth="1"/>
    <col min="1039" max="1039" width="19.5" style="63" customWidth="1"/>
    <col min="1040" max="1280" width="9.1640625" style="63"/>
    <col min="1281" max="1281" width="6.83203125" style="63" customWidth="1"/>
    <col min="1282" max="1282" width="10" style="63" customWidth="1"/>
    <col min="1283" max="1283" width="11.33203125" style="63" customWidth="1"/>
    <col min="1284" max="1284" width="11.83203125" style="63" customWidth="1"/>
    <col min="1285" max="1289" width="9.1640625" style="63"/>
    <col min="1290" max="1290" width="10.6640625" style="63" customWidth="1"/>
    <col min="1291" max="1293" width="9.1640625" style="63"/>
    <col min="1294" max="1294" width="10.83203125" style="63" customWidth="1"/>
    <col min="1295" max="1295" width="19.5" style="63" customWidth="1"/>
    <col min="1296" max="1536" width="9.1640625" style="63"/>
    <col min="1537" max="1537" width="6.83203125" style="63" customWidth="1"/>
    <col min="1538" max="1538" width="10" style="63" customWidth="1"/>
    <col min="1539" max="1539" width="11.33203125" style="63" customWidth="1"/>
    <col min="1540" max="1540" width="11.83203125" style="63" customWidth="1"/>
    <col min="1541" max="1545" width="9.1640625" style="63"/>
    <col min="1546" max="1546" width="10.6640625" style="63" customWidth="1"/>
    <col min="1547" max="1549" width="9.1640625" style="63"/>
    <col min="1550" max="1550" width="10.83203125" style="63" customWidth="1"/>
    <col min="1551" max="1551" width="19.5" style="63" customWidth="1"/>
    <col min="1552" max="1792" width="9.1640625" style="63"/>
    <col min="1793" max="1793" width="6.83203125" style="63" customWidth="1"/>
    <col min="1794" max="1794" width="10" style="63" customWidth="1"/>
    <col min="1795" max="1795" width="11.33203125" style="63" customWidth="1"/>
    <col min="1796" max="1796" width="11.83203125" style="63" customWidth="1"/>
    <col min="1797" max="1801" width="9.1640625" style="63"/>
    <col min="1802" max="1802" width="10.6640625" style="63" customWidth="1"/>
    <col min="1803" max="1805" width="9.1640625" style="63"/>
    <col min="1806" max="1806" width="10.83203125" style="63" customWidth="1"/>
    <col min="1807" max="1807" width="19.5" style="63" customWidth="1"/>
    <col min="1808" max="2048" width="9.1640625" style="63"/>
    <col min="2049" max="2049" width="6.83203125" style="63" customWidth="1"/>
    <col min="2050" max="2050" width="10" style="63" customWidth="1"/>
    <col min="2051" max="2051" width="11.33203125" style="63" customWidth="1"/>
    <col min="2052" max="2052" width="11.83203125" style="63" customWidth="1"/>
    <col min="2053" max="2057" width="9.1640625" style="63"/>
    <col min="2058" max="2058" width="10.6640625" style="63" customWidth="1"/>
    <col min="2059" max="2061" width="9.1640625" style="63"/>
    <col min="2062" max="2062" width="10.83203125" style="63" customWidth="1"/>
    <col min="2063" max="2063" width="19.5" style="63" customWidth="1"/>
    <col min="2064" max="2304" width="9.1640625" style="63"/>
    <col min="2305" max="2305" width="6.83203125" style="63" customWidth="1"/>
    <col min="2306" max="2306" width="10" style="63" customWidth="1"/>
    <col min="2307" max="2307" width="11.33203125" style="63" customWidth="1"/>
    <col min="2308" max="2308" width="11.83203125" style="63" customWidth="1"/>
    <col min="2309" max="2313" width="9.1640625" style="63"/>
    <col min="2314" max="2314" width="10.6640625" style="63" customWidth="1"/>
    <col min="2315" max="2317" width="9.1640625" style="63"/>
    <col min="2318" max="2318" width="10.83203125" style="63" customWidth="1"/>
    <col min="2319" max="2319" width="19.5" style="63" customWidth="1"/>
    <col min="2320" max="2560" width="9.1640625" style="63"/>
    <col min="2561" max="2561" width="6.83203125" style="63" customWidth="1"/>
    <col min="2562" max="2562" width="10" style="63" customWidth="1"/>
    <col min="2563" max="2563" width="11.33203125" style="63" customWidth="1"/>
    <col min="2564" max="2564" width="11.83203125" style="63" customWidth="1"/>
    <col min="2565" max="2569" width="9.1640625" style="63"/>
    <col min="2570" max="2570" width="10.6640625" style="63" customWidth="1"/>
    <col min="2571" max="2573" width="9.1640625" style="63"/>
    <col min="2574" max="2574" width="10.83203125" style="63" customWidth="1"/>
    <col min="2575" max="2575" width="19.5" style="63" customWidth="1"/>
    <col min="2576" max="2816" width="9.1640625" style="63"/>
    <col min="2817" max="2817" width="6.83203125" style="63" customWidth="1"/>
    <col min="2818" max="2818" width="10" style="63" customWidth="1"/>
    <col min="2819" max="2819" width="11.33203125" style="63" customWidth="1"/>
    <col min="2820" max="2820" width="11.83203125" style="63" customWidth="1"/>
    <col min="2821" max="2825" width="9.1640625" style="63"/>
    <col min="2826" max="2826" width="10.6640625" style="63" customWidth="1"/>
    <col min="2827" max="2829" width="9.1640625" style="63"/>
    <col min="2830" max="2830" width="10.83203125" style="63" customWidth="1"/>
    <col min="2831" max="2831" width="19.5" style="63" customWidth="1"/>
    <col min="2832" max="3072" width="9.1640625" style="63"/>
    <col min="3073" max="3073" width="6.83203125" style="63" customWidth="1"/>
    <col min="3074" max="3074" width="10" style="63" customWidth="1"/>
    <col min="3075" max="3075" width="11.33203125" style="63" customWidth="1"/>
    <col min="3076" max="3076" width="11.83203125" style="63" customWidth="1"/>
    <col min="3077" max="3081" width="9.1640625" style="63"/>
    <col min="3082" max="3082" width="10.6640625" style="63" customWidth="1"/>
    <col min="3083" max="3085" width="9.1640625" style="63"/>
    <col min="3086" max="3086" width="10.83203125" style="63" customWidth="1"/>
    <col min="3087" max="3087" width="19.5" style="63" customWidth="1"/>
    <col min="3088" max="3328" width="9.1640625" style="63"/>
    <col min="3329" max="3329" width="6.83203125" style="63" customWidth="1"/>
    <col min="3330" max="3330" width="10" style="63" customWidth="1"/>
    <col min="3331" max="3331" width="11.33203125" style="63" customWidth="1"/>
    <col min="3332" max="3332" width="11.83203125" style="63" customWidth="1"/>
    <col min="3333" max="3337" width="9.1640625" style="63"/>
    <col min="3338" max="3338" width="10.6640625" style="63" customWidth="1"/>
    <col min="3339" max="3341" width="9.1640625" style="63"/>
    <col min="3342" max="3342" width="10.83203125" style="63" customWidth="1"/>
    <col min="3343" max="3343" width="19.5" style="63" customWidth="1"/>
    <col min="3344" max="3584" width="9.1640625" style="63"/>
    <col min="3585" max="3585" width="6.83203125" style="63" customWidth="1"/>
    <col min="3586" max="3586" width="10" style="63" customWidth="1"/>
    <col min="3587" max="3587" width="11.33203125" style="63" customWidth="1"/>
    <col min="3588" max="3588" width="11.83203125" style="63" customWidth="1"/>
    <col min="3589" max="3593" width="9.1640625" style="63"/>
    <col min="3594" max="3594" width="10.6640625" style="63" customWidth="1"/>
    <col min="3595" max="3597" width="9.1640625" style="63"/>
    <col min="3598" max="3598" width="10.83203125" style="63" customWidth="1"/>
    <col min="3599" max="3599" width="19.5" style="63" customWidth="1"/>
    <col min="3600" max="3840" width="9.1640625" style="63"/>
    <col min="3841" max="3841" width="6.83203125" style="63" customWidth="1"/>
    <col min="3842" max="3842" width="10" style="63" customWidth="1"/>
    <col min="3843" max="3843" width="11.33203125" style="63" customWidth="1"/>
    <col min="3844" max="3844" width="11.83203125" style="63" customWidth="1"/>
    <col min="3845" max="3849" width="9.1640625" style="63"/>
    <col min="3850" max="3850" width="10.6640625" style="63" customWidth="1"/>
    <col min="3851" max="3853" width="9.1640625" style="63"/>
    <col min="3854" max="3854" width="10.83203125" style="63" customWidth="1"/>
    <col min="3855" max="3855" width="19.5" style="63" customWidth="1"/>
    <col min="3856" max="4096" width="9.1640625" style="63"/>
    <col min="4097" max="4097" width="6.83203125" style="63" customWidth="1"/>
    <col min="4098" max="4098" width="10" style="63" customWidth="1"/>
    <col min="4099" max="4099" width="11.33203125" style="63" customWidth="1"/>
    <col min="4100" max="4100" width="11.83203125" style="63" customWidth="1"/>
    <col min="4101" max="4105" width="9.1640625" style="63"/>
    <col min="4106" max="4106" width="10.6640625" style="63" customWidth="1"/>
    <col min="4107" max="4109" width="9.1640625" style="63"/>
    <col min="4110" max="4110" width="10.83203125" style="63" customWidth="1"/>
    <col min="4111" max="4111" width="19.5" style="63" customWidth="1"/>
    <col min="4112" max="4352" width="9.1640625" style="63"/>
    <col min="4353" max="4353" width="6.83203125" style="63" customWidth="1"/>
    <col min="4354" max="4354" width="10" style="63" customWidth="1"/>
    <col min="4355" max="4355" width="11.33203125" style="63" customWidth="1"/>
    <col min="4356" max="4356" width="11.83203125" style="63" customWidth="1"/>
    <col min="4357" max="4361" width="9.1640625" style="63"/>
    <col min="4362" max="4362" width="10.6640625" style="63" customWidth="1"/>
    <col min="4363" max="4365" width="9.1640625" style="63"/>
    <col min="4366" max="4366" width="10.83203125" style="63" customWidth="1"/>
    <col min="4367" max="4367" width="19.5" style="63" customWidth="1"/>
    <col min="4368" max="4608" width="9.1640625" style="63"/>
    <col min="4609" max="4609" width="6.83203125" style="63" customWidth="1"/>
    <col min="4610" max="4610" width="10" style="63" customWidth="1"/>
    <col min="4611" max="4611" width="11.33203125" style="63" customWidth="1"/>
    <col min="4612" max="4612" width="11.83203125" style="63" customWidth="1"/>
    <col min="4613" max="4617" width="9.1640625" style="63"/>
    <col min="4618" max="4618" width="10.6640625" style="63" customWidth="1"/>
    <col min="4619" max="4621" width="9.1640625" style="63"/>
    <col min="4622" max="4622" width="10.83203125" style="63" customWidth="1"/>
    <col min="4623" max="4623" width="19.5" style="63" customWidth="1"/>
    <col min="4624" max="4864" width="9.1640625" style="63"/>
    <col min="4865" max="4865" width="6.83203125" style="63" customWidth="1"/>
    <col min="4866" max="4866" width="10" style="63" customWidth="1"/>
    <col min="4867" max="4867" width="11.33203125" style="63" customWidth="1"/>
    <col min="4868" max="4868" width="11.83203125" style="63" customWidth="1"/>
    <col min="4869" max="4873" width="9.1640625" style="63"/>
    <col min="4874" max="4874" width="10.6640625" style="63" customWidth="1"/>
    <col min="4875" max="4877" width="9.1640625" style="63"/>
    <col min="4878" max="4878" width="10.83203125" style="63" customWidth="1"/>
    <col min="4879" max="4879" width="19.5" style="63" customWidth="1"/>
    <col min="4880" max="5120" width="9.1640625" style="63"/>
    <col min="5121" max="5121" width="6.83203125" style="63" customWidth="1"/>
    <col min="5122" max="5122" width="10" style="63" customWidth="1"/>
    <col min="5123" max="5123" width="11.33203125" style="63" customWidth="1"/>
    <col min="5124" max="5124" width="11.83203125" style="63" customWidth="1"/>
    <col min="5125" max="5129" width="9.1640625" style="63"/>
    <col min="5130" max="5130" width="10.6640625" style="63" customWidth="1"/>
    <col min="5131" max="5133" width="9.1640625" style="63"/>
    <col min="5134" max="5134" width="10.83203125" style="63" customWidth="1"/>
    <col min="5135" max="5135" width="19.5" style="63" customWidth="1"/>
    <col min="5136" max="5376" width="9.1640625" style="63"/>
    <col min="5377" max="5377" width="6.83203125" style="63" customWidth="1"/>
    <col min="5378" max="5378" width="10" style="63" customWidth="1"/>
    <col min="5379" max="5379" width="11.33203125" style="63" customWidth="1"/>
    <col min="5380" max="5380" width="11.83203125" style="63" customWidth="1"/>
    <col min="5381" max="5385" width="9.1640625" style="63"/>
    <col min="5386" max="5386" width="10.6640625" style="63" customWidth="1"/>
    <col min="5387" max="5389" width="9.1640625" style="63"/>
    <col min="5390" max="5390" width="10.83203125" style="63" customWidth="1"/>
    <col min="5391" max="5391" width="19.5" style="63" customWidth="1"/>
    <col min="5392" max="5632" width="9.1640625" style="63"/>
    <col min="5633" max="5633" width="6.83203125" style="63" customWidth="1"/>
    <col min="5634" max="5634" width="10" style="63" customWidth="1"/>
    <col min="5635" max="5635" width="11.33203125" style="63" customWidth="1"/>
    <col min="5636" max="5636" width="11.83203125" style="63" customWidth="1"/>
    <col min="5637" max="5641" width="9.1640625" style="63"/>
    <col min="5642" max="5642" width="10.6640625" style="63" customWidth="1"/>
    <col min="5643" max="5645" width="9.1640625" style="63"/>
    <col min="5646" max="5646" width="10.83203125" style="63" customWidth="1"/>
    <col min="5647" max="5647" width="19.5" style="63" customWidth="1"/>
    <col min="5648" max="5888" width="9.1640625" style="63"/>
    <col min="5889" max="5889" width="6.83203125" style="63" customWidth="1"/>
    <col min="5890" max="5890" width="10" style="63" customWidth="1"/>
    <col min="5891" max="5891" width="11.33203125" style="63" customWidth="1"/>
    <col min="5892" max="5892" width="11.83203125" style="63" customWidth="1"/>
    <col min="5893" max="5897" width="9.1640625" style="63"/>
    <col min="5898" max="5898" width="10.6640625" style="63" customWidth="1"/>
    <col min="5899" max="5901" width="9.1640625" style="63"/>
    <col min="5902" max="5902" width="10.83203125" style="63" customWidth="1"/>
    <col min="5903" max="5903" width="19.5" style="63" customWidth="1"/>
    <col min="5904" max="6144" width="9.1640625" style="63"/>
    <col min="6145" max="6145" width="6.83203125" style="63" customWidth="1"/>
    <col min="6146" max="6146" width="10" style="63" customWidth="1"/>
    <col min="6147" max="6147" width="11.33203125" style="63" customWidth="1"/>
    <col min="6148" max="6148" width="11.83203125" style="63" customWidth="1"/>
    <col min="6149" max="6153" width="9.1640625" style="63"/>
    <col min="6154" max="6154" width="10.6640625" style="63" customWidth="1"/>
    <col min="6155" max="6157" width="9.1640625" style="63"/>
    <col min="6158" max="6158" width="10.83203125" style="63" customWidth="1"/>
    <col min="6159" max="6159" width="19.5" style="63" customWidth="1"/>
    <col min="6160" max="6400" width="9.1640625" style="63"/>
    <col min="6401" max="6401" width="6.83203125" style="63" customWidth="1"/>
    <col min="6402" max="6402" width="10" style="63" customWidth="1"/>
    <col min="6403" max="6403" width="11.33203125" style="63" customWidth="1"/>
    <col min="6404" max="6404" width="11.83203125" style="63" customWidth="1"/>
    <col min="6405" max="6409" width="9.1640625" style="63"/>
    <col min="6410" max="6410" width="10.6640625" style="63" customWidth="1"/>
    <col min="6411" max="6413" width="9.1640625" style="63"/>
    <col min="6414" max="6414" width="10.83203125" style="63" customWidth="1"/>
    <col min="6415" max="6415" width="19.5" style="63" customWidth="1"/>
    <col min="6416" max="6656" width="9.1640625" style="63"/>
    <col min="6657" max="6657" width="6.83203125" style="63" customWidth="1"/>
    <col min="6658" max="6658" width="10" style="63" customWidth="1"/>
    <col min="6659" max="6659" width="11.33203125" style="63" customWidth="1"/>
    <col min="6660" max="6660" width="11.83203125" style="63" customWidth="1"/>
    <col min="6661" max="6665" width="9.1640625" style="63"/>
    <col min="6666" max="6666" width="10.6640625" style="63" customWidth="1"/>
    <col min="6667" max="6669" width="9.1640625" style="63"/>
    <col min="6670" max="6670" width="10.83203125" style="63" customWidth="1"/>
    <col min="6671" max="6671" width="19.5" style="63" customWidth="1"/>
    <col min="6672" max="6912" width="9.1640625" style="63"/>
    <col min="6913" max="6913" width="6.83203125" style="63" customWidth="1"/>
    <col min="6914" max="6914" width="10" style="63" customWidth="1"/>
    <col min="6915" max="6915" width="11.33203125" style="63" customWidth="1"/>
    <col min="6916" max="6916" width="11.83203125" style="63" customWidth="1"/>
    <col min="6917" max="6921" width="9.1640625" style="63"/>
    <col min="6922" max="6922" width="10.6640625" style="63" customWidth="1"/>
    <col min="6923" max="6925" width="9.1640625" style="63"/>
    <col min="6926" max="6926" width="10.83203125" style="63" customWidth="1"/>
    <col min="6927" max="6927" width="19.5" style="63" customWidth="1"/>
    <col min="6928" max="7168" width="9.1640625" style="63"/>
    <col min="7169" max="7169" width="6.83203125" style="63" customWidth="1"/>
    <col min="7170" max="7170" width="10" style="63" customWidth="1"/>
    <col min="7171" max="7171" width="11.33203125" style="63" customWidth="1"/>
    <col min="7172" max="7172" width="11.83203125" style="63" customWidth="1"/>
    <col min="7173" max="7177" width="9.1640625" style="63"/>
    <col min="7178" max="7178" width="10.6640625" style="63" customWidth="1"/>
    <col min="7179" max="7181" width="9.1640625" style="63"/>
    <col min="7182" max="7182" width="10.83203125" style="63" customWidth="1"/>
    <col min="7183" max="7183" width="19.5" style="63" customWidth="1"/>
    <col min="7184" max="7424" width="9.1640625" style="63"/>
    <col min="7425" max="7425" width="6.83203125" style="63" customWidth="1"/>
    <col min="7426" max="7426" width="10" style="63" customWidth="1"/>
    <col min="7427" max="7427" width="11.33203125" style="63" customWidth="1"/>
    <col min="7428" max="7428" width="11.83203125" style="63" customWidth="1"/>
    <col min="7429" max="7433" width="9.1640625" style="63"/>
    <col min="7434" max="7434" width="10.6640625" style="63" customWidth="1"/>
    <col min="7435" max="7437" width="9.1640625" style="63"/>
    <col min="7438" max="7438" width="10.83203125" style="63" customWidth="1"/>
    <col min="7439" max="7439" width="19.5" style="63" customWidth="1"/>
    <col min="7440" max="7680" width="9.1640625" style="63"/>
    <col min="7681" max="7681" width="6.83203125" style="63" customWidth="1"/>
    <col min="7682" max="7682" width="10" style="63" customWidth="1"/>
    <col min="7683" max="7683" width="11.33203125" style="63" customWidth="1"/>
    <col min="7684" max="7684" width="11.83203125" style="63" customWidth="1"/>
    <col min="7685" max="7689" width="9.1640625" style="63"/>
    <col min="7690" max="7690" width="10.6640625" style="63" customWidth="1"/>
    <col min="7691" max="7693" width="9.1640625" style="63"/>
    <col min="7694" max="7694" width="10.83203125" style="63" customWidth="1"/>
    <col min="7695" max="7695" width="19.5" style="63" customWidth="1"/>
    <col min="7696" max="7936" width="9.1640625" style="63"/>
    <col min="7937" max="7937" width="6.83203125" style="63" customWidth="1"/>
    <col min="7938" max="7938" width="10" style="63" customWidth="1"/>
    <col min="7939" max="7939" width="11.33203125" style="63" customWidth="1"/>
    <col min="7940" max="7940" width="11.83203125" style="63" customWidth="1"/>
    <col min="7941" max="7945" width="9.1640625" style="63"/>
    <col min="7946" max="7946" width="10.6640625" style="63" customWidth="1"/>
    <col min="7947" max="7949" width="9.1640625" style="63"/>
    <col min="7950" max="7950" width="10.83203125" style="63" customWidth="1"/>
    <col min="7951" max="7951" width="19.5" style="63" customWidth="1"/>
    <col min="7952" max="8192" width="9.1640625" style="63"/>
    <col min="8193" max="8193" width="6.83203125" style="63" customWidth="1"/>
    <col min="8194" max="8194" width="10" style="63" customWidth="1"/>
    <col min="8195" max="8195" width="11.33203125" style="63" customWidth="1"/>
    <col min="8196" max="8196" width="11.83203125" style="63" customWidth="1"/>
    <col min="8197" max="8201" width="9.1640625" style="63"/>
    <col min="8202" max="8202" width="10.6640625" style="63" customWidth="1"/>
    <col min="8203" max="8205" width="9.1640625" style="63"/>
    <col min="8206" max="8206" width="10.83203125" style="63" customWidth="1"/>
    <col min="8207" max="8207" width="19.5" style="63" customWidth="1"/>
    <col min="8208" max="8448" width="9.1640625" style="63"/>
    <col min="8449" max="8449" width="6.83203125" style="63" customWidth="1"/>
    <col min="8450" max="8450" width="10" style="63" customWidth="1"/>
    <col min="8451" max="8451" width="11.33203125" style="63" customWidth="1"/>
    <col min="8452" max="8452" width="11.83203125" style="63" customWidth="1"/>
    <col min="8453" max="8457" width="9.1640625" style="63"/>
    <col min="8458" max="8458" width="10.6640625" style="63" customWidth="1"/>
    <col min="8459" max="8461" width="9.1640625" style="63"/>
    <col min="8462" max="8462" width="10.83203125" style="63" customWidth="1"/>
    <col min="8463" max="8463" width="19.5" style="63" customWidth="1"/>
    <col min="8464" max="8704" width="9.1640625" style="63"/>
    <col min="8705" max="8705" width="6.83203125" style="63" customWidth="1"/>
    <col min="8706" max="8706" width="10" style="63" customWidth="1"/>
    <col min="8707" max="8707" width="11.33203125" style="63" customWidth="1"/>
    <col min="8708" max="8708" width="11.83203125" style="63" customWidth="1"/>
    <col min="8709" max="8713" width="9.1640625" style="63"/>
    <col min="8714" max="8714" width="10.6640625" style="63" customWidth="1"/>
    <col min="8715" max="8717" width="9.1640625" style="63"/>
    <col min="8718" max="8718" width="10.83203125" style="63" customWidth="1"/>
    <col min="8719" max="8719" width="19.5" style="63" customWidth="1"/>
    <col min="8720" max="8960" width="9.1640625" style="63"/>
    <col min="8961" max="8961" width="6.83203125" style="63" customWidth="1"/>
    <col min="8962" max="8962" width="10" style="63" customWidth="1"/>
    <col min="8963" max="8963" width="11.33203125" style="63" customWidth="1"/>
    <col min="8964" max="8964" width="11.83203125" style="63" customWidth="1"/>
    <col min="8965" max="8969" width="9.1640625" style="63"/>
    <col min="8970" max="8970" width="10.6640625" style="63" customWidth="1"/>
    <col min="8971" max="8973" width="9.1640625" style="63"/>
    <col min="8974" max="8974" width="10.83203125" style="63" customWidth="1"/>
    <col min="8975" max="8975" width="19.5" style="63" customWidth="1"/>
    <col min="8976" max="9216" width="9.1640625" style="63"/>
    <col min="9217" max="9217" width="6.83203125" style="63" customWidth="1"/>
    <col min="9218" max="9218" width="10" style="63" customWidth="1"/>
    <col min="9219" max="9219" width="11.33203125" style="63" customWidth="1"/>
    <col min="9220" max="9220" width="11.83203125" style="63" customWidth="1"/>
    <col min="9221" max="9225" width="9.1640625" style="63"/>
    <col min="9226" max="9226" width="10.6640625" style="63" customWidth="1"/>
    <col min="9227" max="9229" width="9.1640625" style="63"/>
    <col min="9230" max="9230" width="10.83203125" style="63" customWidth="1"/>
    <col min="9231" max="9231" width="19.5" style="63" customWidth="1"/>
    <col min="9232" max="9472" width="9.1640625" style="63"/>
    <col min="9473" max="9473" width="6.83203125" style="63" customWidth="1"/>
    <col min="9474" max="9474" width="10" style="63" customWidth="1"/>
    <col min="9475" max="9475" width="11.33203125" style="63" customWidth="1"/>
    <col min="9476" max="9476" width="11.83203125" style="63" customWidth="1"/>
    <col min="9477" max="9481" width="9.1640625" style="63"/>
    <col min="9482" max="9482" width="10.6640625" style="63" customWidth="1"/>
    <col min="9483" max="9485" width="9.1640625" style="63"/>
    <col min="9486" max="9486" width="10.83203125" style="63" customWidth="1"/>
    <col min="9487" max="9487" width="19.5" style="63" customWidth="1"/>
    <col min="9488" max="9728" width="9.1640625" style="63"/>
    <col min="9729" max="9729" width="6.83203125" style="63" customWidth="1"/>
    <col min="9730" max="9730" width="10" style="63" customWidth="1"/>
    <col min="9731" max="9731" width="11.33203125" style="63" customWidth="1"/>
    <col min="9732" max="9732" width="11.83203125" style="63" customWidth="1"/>
    <col min="9733" max="9737" width="9.1640625" style="63"/>
    <col min="9738" max="9738" width="10.6640625" style="63" customWidth="1"/>
    <col min="9739" max="9741" width="9.1640625" style="63"/>
    <col min="9742" max="9742" width="10.83203125" style="63" customWidth="1"/>
    <col min="9743" max="9743" width="19.5" style="63" customWidth="1"/>
    <col min="9744" max="9984" width="9.1640625" style="63"/>
    <col min="9985" max="9985" width="6.83203125" style="63" customWidth="1"/>
    <col min="9986" max="9986" width="10" style="63" customWidth="1"/>
    <col min="9987" max="9987" width="11.33203125" style="63" customWidth="1"/>
    <col min="9988" max="9988" width="11.83203125" style="63" customWidth="1"/>
    <col min="9989" max="9993" width="9.1640625" style="63"/>
    <col min="9994" max="9994" width="10.6640625" style="63" customWidth="1"/>
    <col min="9995" max="9997" width="9.1640625" style="63"/>
    <col min="9998" max="9998" width="10.83203125" style="63" customWidth="1"/>
    <col min="9999" max="9999" width="19.5" style="63" customWidth="1"/>
    <col min="10000" max="10240" width="9.1640625" style="63"/>
    <col min="10241" max="10241" width="6.83203125" style="63" customWidth="1"/>
    <col min="10242" max="10242" width="10" style="63" customWidth="1"/>
    <col min="10243" max="10243" width="11.33203125" style="63" customWidth="1"/>
    <col min="10244" max="10244" width="11.83203125" style="63" customWidth="1"/>
    <col min="10245" max="10249" width="9.1640625" style="63"/>
    <col min="10250" max="10250" width="10.6640625" style="63" customWidth="1"/>
    <col min="10251" max="10253" width="9.1640625" style="63"/>
    <col min="10254" max="10254" width="10.83203125" style="63" customWidth="1"/>
    <col min="10255" max="10255" width="19.5" style="63" customWidth="1"/>
    <col min="10256" max="10496" width="9.1640625" style="63"/>
    <col min="10497" max="10497" width="6.83203125" style="63" customWidth="1"/>
    <col min="10498" max="10498" width="10" style="63" customWidth="1"/>
    <col min="10499" max="10499" width="11.33203125" style="63" customWidth="1"/>
    <col min="10500" max="10500" width="11.83203125" style="63" customWidth="1"/>
    <col min="10501" max="10505" width="9.1640625" style="63"/>
    <col min="10506" max="10506" width="10.6640625" style="63" customWidth="1"/>
    <col min="10507" max="10509" width="9.1640625" style="63"/>
    <col min="10510" max="10510" width="10.83203125" style="63" customWidth="1"/>
    <col min="10511" max="10511" width="19.5" style="63" customWidth="1"/>
    <col min="10512" max="10752" width="9.1640625" style="63"/>
    <col min="10753" max="10753" width="6.83203125" style="63" customWidth="1"/>
    <col min="10754" max="10754" width="10" style="63" customWidth="1"/>
    <col min="10755" max="10755" width="11.33203125" style="63" customWidth="1"/>
    <col min="10756" max="10756" width="11.83203125" style="63" customWidth="1"/>
    <col min="10757" max="10761" width="9.1640625" style="63"/>
    <col min="10762" max="10762" width="10.6640625" style="63" customWidth="1"/>
    <col min="10763" max="10765" width="9.1640625" style="63"/>
    <col min="10766" max="10766" width="10.83203125" style="63" customWidth="1"/>
    <col min="10767" max="10767" width="19.5" style="63" customWidth="1"/>
    <col min="10768" max="11008" width="9.1640625" style="63"/>
    <col min="11009" max="11009" width="6.83203125" style="63" customWidth="1"/>
    <col min="11010" max="11010" width="10" style="63" customWidth="1"/>
    <col min="11011" max="11011" width="11.33203125" style="63" customWidth="1"/>
    <col min="11012" max="11012" width="11.83203125" style="63" customWidth="1"/>
    <col min="11013" max="11017" width="9.1640625" style="63"/>
    <col min="11018" max="11018" width="10.6640625" style="63" customWidth="1"/>
    <col min="11019" max="11021" width="9.1640625" style="63"/>
    <col min="11022" max="11022" width="10.83203125" style="63" customWidth="1"/>
    <col min="11023" max="11023" width="19.5" style="63" customWidth="1"/>
    <col min="11024" max="11264" width="9.1640625" style="63"/>
    <col min="11265" max="11265" width="6.83203125" style="63" customWidth="1"/>
    <col min="11266" max="11266" width="10" style="63" customWidth="1"/>
    <col min="11267" max="11267" width="11.33203125" style="63" customWidth="1"/>
    <col min="11268" max="11268" width="11.83203125" style="63" customWidth="1"/>
    <col min="11269" max="11273" width="9.1640625" style="63"/>
    <col min="11274" max="11274" width="10.6640625" style="63" customWidth="1"/>
    <col min="11275" max="11277" width="9.1640625" style="63"/>
    <col min="11278" max="11278" width="10.83203125" style="63" customWidth="1"/>
    <col min="11279" max="11279" width="19.5" style="63" customWidth="1"/>
    <col min="11280" max="11520" width="9.1640625" style="63"/>
    <col min="11521" max="11521" width="6.83203125" style="63" customWidth="1"/>
    <col min="11522" max="11522" width="10" style="63" customWidth="1"/>
    <col min="11523" max="11523" width="11.33203125" style="63" customWidth="1"/>
    <col min="11524" max="11524" width="11.83203125" style="63" customWidth="1"/>
    <col min="11525" max="11529" width="9.1640625" style="63"/>
    <col min="11530" max="11530" width="10.6640625" style="63" customWidth="1"/>
    <col min="11531" max="11533" width="9.1640625" style="63"/>
    <col min="11534" max="11534" width="10.83203125" style="63" customWidth="1"/>
    <col min="11535" max="11535" width="19.5" style="63" customWidth="1"/>
    <col min="11536" max="11776" width="9.1640625" style="63"/>
    <col min="11777" max="11777" width="6.83203125" style="63" customWidth="1"/>
    <col min="11778" max="11778" width="10" style="63" customWidth="1"/>
    <col min="11779" max="11779" width="11.33203125" style="63" customWidth="1"/>
    <col min="11780" max="11780" width="11.83203125" style="63" customWidth="1"/>
    <col min="11781" max="11785" width="9.1640625" style="63"/>
    <col min="11786" max="11786" width="10.6640625" style="63" customWidth="1"/>
    <col min="11787" max="11789" width="9.1640625" style="63"/>
    <col min="11790" max="11790" width="10.83203125" style="63" customWidth="1"/>
    <col min="11791" max="11791" width="19.5" style="63" customWidth="1"/>
    <col min="11792" max="12032" width="9.1640625" style="63"/>
    <col min="12033" max="12033" width="6.83203125" style="63" customWidth="1"/>
    <col min="12034" max="12034" width="10" style="63" customWidth="1"/>
    <col min="12035" max="12035" width="11.33203125" style="63" customWidth="1"/>
    <col min="12036" max="12036" width="11.83203125" style="63" customWidth="1"/>
    <col min="12037" max="12041" width="9.1640625" style="63"/>
    <col min="12042" max="12042" width="10.6640625" style="63" customWidth="1"/>
    <col min="12043" max="12045" width="9.1640625" style="63"/>
    <col min="12046" max="12046" width="10.83203125" style="63" customWidth="1"/>
    <col min="12047" max="12047" width="19.5" style="63" customWidth="1"/>
    <col min="12048" max="12288" width="9.1640625" style="63"/>
    <col min="12289" max="12289" width="6.83203125" style="63" customWidth="1"/>
    <col min="12290" max="12290" width="10" style="63" customWidth="1"/>
    <col min="12291" max="12291" width="11.33203125" style="63" customWidth="1"/>
    <col min="12292" max="12292" width="11.83203125" style="63" customWidth="1"/>
    <col min="12293" max="12297" width="9.1640625" style="63"/>
    <col min="12298" max="12298" width="10.6640625" style="63" customWidth="1"/>
    <col min="12299" max="12301" width="9.1640625" style="63"/>
    <col min="12302" max="12302" width="10.83203125" style="63" customWidth="1"/>
    <col min="12303" max="12303" width="19.5" style="63" customWidth="1"/>
    <col min="12304" max="12544" width="9.1640625" style="63"/>
    <col min="12545" max="12545" width="6.83203125" style="63" customWidth="1"/>
    <col min="12546" max="12546" width="10" style="63" customWidth="1"/>
    <col min="12547" max="12547" width="11.33203125" style="63" customWidth="1"/>
    <col min="12548" max="12548" width="11.83203125" style="63" customWidth="1"/>
    <col min="12549" max="12553" width="9.1640625" style="63"/>
    <col min="12554" max="12554" width="10.6640625" style="63" customWidth="1"/>
    <col min="12555" max="12557" width="9.1640625" style="63"/>
    <col min="12558" max="12558" width="10.83203125" style="63" customWidth="1"/>
    <col min="12559" max="12559" width="19.5" style="63" customWidth="1"/>
    <col min="12560" max="12800" width="9.1640625" style="63"/>
    <col min="12801" max="12801" width="6.83203125" style="63" customWidth="1"/>
    <col min="12802" max="12802" width="10" style="63" customWidth="1"/>
    <col min="12803" max="12803" width="11.33203125" style="63" customWidth="1"/>
    <col min="12804" max="12804" width="11.83203125" style="63" customWidth="1"/>
    <col min="12805" max="12809" width="9.1640625" style="63"/>
    <col min="12810" max="12810" width="10.6640625" style="63" customWidth="1"/>
    <col min="12811" max="12813" width="9.1640625" style="63"/>
    <col min="12814" max="12814" width="10.83203125" style="63" customWidth="1"/>
    <col min="12815" max="12815" width="19.5" style="63" customWidth="1"/>
    <col min="12816" max="13056" width="9.1640625" style="63"/>
    <col min="13057" max="13057" width="6.83203125" style="63" customWidth="1"/>
    <col min="13058" max="13058" width="10" style="63" customWidth="1"/>
    <col min="13059" max="13059" width="11.33203125" style="63" customWidth="1"/>
    <col min="13060" max="13060" width="11.83203125" style="63" customWidth="1"/>
    <col min="13061" max="13065" width="9.1640625" style="63"/>
    <col min="13066" max="13066" width="10.6640625" style="63" customWidth="1"/>
    <col min="13067" max="13069" width="9.1640625" style="63"/>
    <col min="13070" max="13070" width="10.83203125" style="63" customWidth="1"/>
    <col min="13071" max="13071" width="19.5" style="63" customWidth="1"/>
    <col min="13072" max="13312" width="9.1640625" style="63"/>
    <col min="13313" max="13313" width="6.83203125" style="63" customWidth="1"/>
    <col min="13314" max="13314" width="10" style="63" customWidth="1"/>
    <col min="13315" max="13315" width="11.33203125" style="63" customWidth="1"/>
    <col min="13316" max="13316" width="11.83203125" style="63" customWidth="1"/>
    <col min="13317" max="13321" width="9.1640625" style="63"/>
    <col min="13322" max="13322" width="10.6640625" style="63" customWidth="1"/>
    <col min="13323" max="13325" width="9.1640625" style="63"/>
    <col min="13326" max="13326" width="10.83203125" style="63" customWidth="1"/>
    <col min="13327" max="13327" width="19.5" style="63" customWidth="1"/>
    <col min="13328" max="13568" width="9.1640625" style="63"/>
    <col min="13569" max="13569" width="6.83203125" style="63" customWidth="1"/>
    <col min="13570" max="13570" width="10" style="63" customWidth="1"/>
    <col min="13571" max="13571" width="11.33203125" style="63" customWidth="1"/>
    <col min="13572" max="13572" width="11.83203125" style="63" customWidth="1"/>
    <col min="13573" max="13577" width="9.1640625" style="63"/>
    <col min="13578" max="13578" width="10.6640625" style="63" customWidth="1"/>
    <col min="13579" max="13581" width="9.1640625" style="63"/>
    <col min="13582" max="13582" width="10.83203125" style="63" customWidth="1"/>
    <col min="13583" max="13583" width="19.5" style="63" customWidth="1"/>
    <col min="13584" max="13824" width="9.1640625" style="63"/>
    <col min="13825" max="13825" width="6.83203125" style="63" customWidth="1"/>
    <col min="13826" max="13826" width="10" style="63" customWidth="1"/>
    <col min="13827" max="13827" width="11.33203125" style="63" customWidth="1"/>
    <col min="13828" max="13828" width="11.83203125" style="63" customWidth="1"/>
    <col min="13829" max="13833" width="9.1640625" style="63"/>
    <col min="13834" max="13834" width="10.6640625" style="63" customWidth="1"/>
    <col min="13835" max="13837" width="9.1640625" style="63"/>
    <col min="13838" max="13838" width="10.83203125" style="63" customWidth="1"/>
    <col min="13839" max="13839" width="19.5" style="63" customWidth="1"/>
    <col min="13840" max="14080" width="9.1640625" style="63"/>
    <col min="14081" max="14081" width="6.83203125" style="63" customWidth="1"/>
    <col min="14082" max="14082" width="10" style="63" customWidth="1"/>
    <col min="14083" max="14083" width="11.33203125" style="63" customWidth="1"/>
    <col min="14084" max="14084" width="11.83203125" style="63" customWidth="1"/>
    <col min="14085" max="14089" width="9.1640625" style="63"/>
    <col min="14090" max="14090" width="10.6640625" style="63" customWidth="1"/>
    <col min="14091" max="14093" width="9.1640625" style="63"/>
    <col min="14094" max="14094" width="10.83203125" style="63" customWidth="1"/>
    <col min="14095" max="14095" width="19.5" style="63" customWidth="1"/>
    <col min="14096" max="14336" width="9.1640625" style="63"/>
    <col min="14337" max="14337" width="6.83203125" style="63" customWidth="1"/>
    <col min="14338" max="14338" width="10" style="63" customWidth="1"/>
    <col min="14339" max="14339" width="11.33203125" style="63" customWidth="1"/>
    <col min="14340" max="14340" width="11.83203125" style="63" customWidth="1"/>
    <col min="14341" max="14345" width="9.1640625" style="63"/>
    <col min="14346" max="14346" width="10.6640625" style="63" customWidth="1"/>
    <col min="14347" max="14349" width="9.1640625" style="63"/>
    <col min="14350" max="14350" width="10.83203125" style="63" customWidth="1"/>
    <col min="14351" max="14351" width="19.5" style="63" customWidth="1"/>
    <col min="14352" max="14592" width="9.1640625" style="63"/>
    <col min="14593" max="14593" width="6.83203125" style="63" customWidth="1"/>
    <col min="14594" max="14594" width="10" style="63" customWidth="1"/>
    <col min="14595" max="14595" width="11.33203125" style="63" customWidth="1"/>
    <col min="14596" max="14596" width="11.83203125" style="63" customWidth="1"/>
    <col min="14597" max="14601" width="9.1640625" style="63"/>
    <col min="14602" max="14602" width="10.6640625" style="63" customWidth="1"/>
    <col min="14603" max="14605" width="9.1640625" style="63"/>
    <col min="14606" max="14606" width="10.83203125" style="63" customWidth="1"/>
    <col min="14607" max="14607" width="19.5" style="63" customWidth="1"/>
    <col min="14608" max="14848" width="9.1640625" style="63"/>
    <col min="14849" max="14849" width="6.83203125" style="63" customWidth="1"/>
    <col min="14850" max="14850" width="10" style="63" customWidth="1"/>
    <col min="14851" max="14851" width="11.33203125" style="63" customWidth="1"/>
    <col min="14852" max="14852" width="11.83203125" style="63" customWidth="1"/>
    <col min="14853" max="14857" width="9.1640625" style="63"/>
    <col min="14858" max="14858" width="10.6640625" style="63" customWidth="1"/>
    <col min="14859" max="14861" width="9.1640625" style="63"/>
    <col min="14862" max="14862" width="10.83203125" style="63" customWidth="1"/>
    <col min="14863" max="14863" width="19.5" style="63" customWidth="1"/>
    <col min="14864" max="15104" width="9.1640625" style="63"/>
    <col min="15105" max="15105" width="6.83203125" style="63" customWidth="1"/>
    <col min="15106" max="15106" width="10" style="63" customWidth="1"/>
    <col min="15107" max="15107" width="11.33203125" style="63" customWidth="1"/>
    <col min="15108" max="15108" width="11.83203125" style="63" customWidth="1"/>
    <col min="15109" max="15113" width="9.1640625" style="63"/>
    <col min="15114" max="15114" width="10.6640625" style="63" customWidth="1"/>
    <col min="15115" max="15117" width="9.1640625" style="63"/>
    <col min="15118" max="15118" width="10.83203125" style="63" customWidth="1"/>
    <col min="15119" max="15119" width="19.5" style="63" customWidth="1"/>
    <col min="15120" max="15360" width="9.1640625" style="63"/>
    <col min="15361" max="15361" width="6.83203125" style="63" customWidth="1"/>
    <col min="15362" max="15362" width="10" style="63" customWidth="1"/>
    <col min="15363" max="15363" width="11.33203125" style="63" customWidth="1"/>
    <col min="15364" max="15364" width="11.83203125" style="63" customWidth="1"/>
    <col min="15365" max="15369" width="9.1640625" style="63"/>
    <col min="15370" max="15370" width="10.6640625" style="63" customWidth="1"/>
    <col min="15371" max="15373" width="9.1640625" style="63"/>
    <col min="15374" max="15374" width="10.83203125" style="63" customWidth="1"/>
    <col min="15375" max="15375" width="19.5" style="63" customWidth="1"/>
    <col min="15376" max="15616" width="9.1640625" style="63"/>
    <col min="15617" max="15617" width="6.83203125" style="63" customWidth="1"/>
    <col min="15618" max="15618" width="10" style="63" customWidth="1"/>
    <col min="15619" max="15619" width="11.33203125" style="63" customWidth="1"/>
    <col min="15620" max="15620" width="11.83203125" style="63" customWidth="1"/>
    <col min="15621" max="15625" width="9.1640625" style="63"/>
    <col min="15626" max="15626" width="10.6640625" style="63" customWidth="1"/>
    <col min="15627" max="15629" width="9.1640625" style="63"/>
    <col min="15630" max="15630" width="10.83203125" style="63" customWidth="1"/>
    <col min="15631" max="15631" width="19.5" style="63" customWidth="1"/>
    <col min="15632" max="15872" width="9.1640625" style="63"/>
    <col min="15873" max="15873" width="6.83203125" style="63" customWidth="1"/>
    <col min="15874" max="15874" width="10" style="63" customWidth="1"/>
    <col min="15875" max="15875" width="11.33203125" style="63" customWidth="1"/>
    <col min="15876" max="15876" width="11.83203125" style="63" customWidth="1"/>
    <col min="15877" max="15881" width="9.1640625" style="63"/>
    <col min="15882" max="15882" width="10.6640625" style="63" customWidth="1"/>
    <col min="15883" max="15885" width="9.1640625" style="63"/>
    <col min="15886" max="15886" width="10.83203125" style="63" customWidth="1"/>
    <col min="15887" max="15887" width="19.5" style="63" customWidth="1"/>
    <col min="15888" max="16128" width="9.1640625" style="63"/>
    <col min="16129" max="16129" width="6.83203125" style="63" customWidth="1"/>
    <col min="16130" max="16130" width="10" style="63" customWidth="1"/>
    <col min="16131" max="16131" width="11.33203125" style="63" customWidth="1"/>
    <col min="16132" max="16132" width="11.83203125" style="63" customWidth="1"/>
    <col min="16133" max="16137" width="9.1640625" style="63"/>
    <col min="16138" max="16138" width="10.6640625" style="63" customWidth="1"/>
    <col min="16139" max="16141" width="9.1640625" style="63"/>
    <col min="16142" max="16142" width="10.83203125" style="63" customWidth="1"/>
    <col min="16143" max="16143" width="19.5" style="63" customWidth="1"/>
    <col min="16144" max="16384" width="9.1640625" style="63"/>
  </cols>
  <sheetData>
    <row r="1" spans="2:15" ht="18" customHeight="1" x14ac:dyDescent="0.15">
      <c r="B1" s="113" t="s">
        <v>88</v>
      </c>
      <c r="C1" s="113"/>
      <c r="D1" s="113"/>
      <c r="E1" s="113"/>
      <c r="F1" s="113"/>
      <c r="G1" s="113"/>
      <c r="H1" s="113"/>
      <c r="I1" s="113"/>
      <c r="J1" s="113"/>
      <c r="K1" s="113"/>
      <c r="L1" s="113"/>
      <c r="M1" s="113"/>
      <c r="N1" s="113"/>
      <c r="O1" s="113"/>
    </row>
    <row r="2" spans="2:15" x14ac:dyDescent="0.15">
      <c r="B2" s="113"/>
      <c r="C2" s="113"/>
      <c r="D2" s="113"/>
      <c r="E2" s="113"/>
      <c r="F2" s="113"/>
      <c r="G2" s="113"/>
      <c r="H2" s="113"/>
      <c r="I2" s="113"/>
      <c r="J2" s="113"/>
      <c r="K2" s="113"/>
      <c r="L2" s="113"/>
      <c r="M2" s="113"/>
      <c r="N2" s="113"/>
      <c r="O2" s="113"/>
    </row>
    <row r="3" spans="2:15" x14ac:dyDescent="0.15">
      <c r="B3" s="113"/>
      <c r="C3" s="113"/>
      <c r="D3" s="113"/>
      <c r="E3" s="113"/>
      <c r="F3" s="113"/>
      <c r="G3" s="113"/>
      <c r="H3" s="113"/>
      <c r="I3" s="113"/>
      <c r="J3" s="113"/>
      <c r="K3" s="113"/>
      <c r="L3" s="113"/>
      <c r="M3" s="113"/>
      <c r="N3" s="113"/>
      <c r="O3" s="113"/>
    </row>
    <row r="4" spans="2:15" ht="21" customHeight="1" x14ac:dyDescent="0.15">
      <c r="B4" s="114" t="s">
        <v>89</v>
      </c>
      <c r="C4" s="114"/>
      <c r="D4" s="114"/>
      <c r="E4" s="114"/>
      <c r="F4" s="114"/>
      <c r="G4" s="114"/>
      <c r="H4" s="114"/>
      <c r="I4" s="114"/>
      <c r="J4" s="114"/>
      <c r="K4" s="114"/>
      <c r="L4" s="114"/>
      <c r="M4" s="114"/>
      <c r="N4" s="114"/>
      <c r="O4" s="114"/>
    </row>
    <row r="5" spans="2:15" ht="19.5" customHeight="1" x14ac:dyDescent="0.15">
      <c r="B5" s="114"/>
      <c r="C5" s="114"/>
      <c r="D5" s="114"/>
      <c r="E5" s="114"/>
      <c r="F5" s="114"/>
      <c r="G5" s="114"/>
      <c r="H5" s="114"/>
      <c r="I5" s="114"/>
      <c r="J5" s="114"/>
      <c r="K5" s="114"/>
      <c r="L5" s="114"/>
      <c r="M5" s="114"/>
      <c r="N5" s="114"/>
      <c r="O5" s="114"/>
    </row>
    <row r="6" spans="2:15" ht="18" customHeight="1" x14ac:dyDescent="0.15">
      <c r="B6" s="114"/>
      <c r="C6" s="114"/>
      <c r="D6" s="114"/>
      <c r="E6" s="114"/>
      <c r="F6" s="114"/>
      <c r="G6" s="114"/>
      <c r="H6" s="114"/>
      <c r="I6" s="114"/>
      <c r="J6" s="114"/>
      <c r="K6" s="114"/>
      <c r="L6" s="114"/>
      <c r="M6" s="114"/>
      <c r="N6" s="114"/>
      <c r="O6" s="114"/>
    </row>
    <row r="7" spans="2:15" ht="19.5" customHeight="1" x14ac:dyDescent="0.15">
      <c r="B7" s="114"/>
      <c r="C7" s="114"/>
      <c r="D7" s="114"/>
      <c r="E7" s="114"/>
      <c r="F7" s="114"/>
      <c r="G7" s="114"/>
      <c r="H7" s="114"/>
      <c r="I7" s="114"/>
      <c r="J7" s="114"/>
      <c r="K7" s="114"/>
      <c r="L7" s="114"/>
      <c r="M7" s="114"/>
      <c r="N7" s="114"/>
      <c r="O7" s="114"/>
    </row>
    <row r="8" spans="2:15" ht="20.25" customHeight="1" x14ac:dyDescent="0.15">
      <c r="B8" s="114"/>
      <c r="C8" s="114"/>
      <c r="D8" s="114"/>
      <c r="E8" s="114"/>
      <c r="F8" s="114"/>
      <c r="G8" s="114"/>
      <c r="H8" s="114"/>
      <c r="I8" s="114"/>
      <c r="J8" s="114"/>
      <c r="K8" s="114"/>
      <c r="L8" s="114"/>
      <c r="M8" s="114"/>
      <c r="N8" s="114"/>
      <c r="O8" s="114"/>
    </row>
    <row r="9" spans="2:15" ht="15" customHeight="1" x14ac:dyDescent="0.15">
      <c r="B9" s="114"/>
      <c r="C9" s="114"/>
      <c r="D9" s="114"/>
      <c r="E9" s="114"/>
      <c r="F9" s="114"/>
      <c r="G9" s="114"/>
      <c r="H9" s="114"/>
      <c r="I9" s="114"/>
      <c r="J9" s="114"/>
      <c r="K9" s="114"/>
      <c r="L9" s="114"/>
      <c r="M9" s="114"/>
      <c r="N9" s="114"/>
      <c r="O9" s="114"/>
    </row>
    <row r="11" spans="2:15" ht="14.25" customHeight="1" x14ac:dyDescent="0.15">
      <c r="B11" s="115" t="s">
        <v>90</v>
      </c>
      <c r="C11" s="115"/>
      <c r="D11" s="115"/>
      <c r="E11" s="64" t="s">
        <v>102</v>
      </c>
      <c r="G11" s="115" t="s">
        <v>91</v>
      </c>
      <c r="H11" s="115"/>
      <c r="I11" s="115"/>
      <c r="J11" s="64">
        <v>252</v>
      </c>
    </row>
    <row r="12" spans="2:15" ht="14.25" customHeight="1" x14ac:dyDescent="0.15">
      <c r="B12" s="115" t="s">
        <v>92</v>
      </c>
      <c r="C12" s="115"/>
      <c r="D12" s="115"/>
      <c r="E12" s="65">
        <v>0.22094584207387591</v>
      </c>
      <c r="G12" s="115" t="s">
        <v>93</v>
      </c>
      <c r="H12" s="115"/>
      <c r="I12" s="115"/>
      <c r="J12" s="64">
        <v>252</v>
      </c>
    </row>
    <row r="13" spans="2:15" ht="14.25" customHeight="1" x14ac:dyDescent="0.15">
      <c r="B13" s="115" t="s">
        <v>94</v>
      </c>
      <c r="C13" s="115"/>
      <c r="D13" s="115"/>
      <c r="E13" s="65">
        <v>0</v>
      </c>
      <c r="G13" s="115" t="s">
        <v>95</v>
      </c>
      <c r="H13" s="115"/>
      <c r="I13" s="115"/>
      <c r="J13" s="64">
        <v>1</v>
      </c>
    </row>
    <row r="14" spans="2:15" ht="14.25" customHeight="1" x14ac:dyDescent="0.15">
      <c r="B14" s="115" t="s">
        <v>96</v>
      </c>
      <c r="C14" s="115"/>
      <c r="D14" s="115"/>
      <c r="E14" s="65">
        <v>1.5968794594774688E-4</v>
      </c>
      <c r="G14" s="115" t="s">
        <v>97</v>
      </c>
      <c r="H14" s="115"/>
      <c r="I14" s="115"/>
      <c r="J14" s="66" t="b">
        <v>1</v>
      </c>
    </row>
    <row r="16" spans="2:15" ht="12.75" customHeight="1" x14ac:dyDescent="0.15">
      <c r="B16" s="67" t="s">
        <v>98</v>
      </c>
      <c r="C16" s="68" t="s">
        <v>99</v>
      </c>
      <c r="D16" s="67" t="s">
        <v>100</v>
      </c>
      <c r="F16" s="116" t="s">
        <v>101</v>
      </c>
      <c r="G16" s="116"/>
      <c r="H16" s="116"/>
      <c r="I16" s="116"/>
      <c r="J16" s="116"/>
      <c r="K16" s="116"/>
      <c r="L16" s="116"/>
      <c r="M16" s="116"/>
      <c r="N16" s="116"/>
      <c r="O16" s="116"/>
    </row>
    <row r="17" spans="2:15" ht="12.75" customHeight="1" x14ac:dyDescent="0.15">
      <c r="B17" s="69">
        <v>0</v>
      </c>
      <c r="C17" s="70">
        <v>175.67108200000001</v>
      </c>
      <c r="D17" s="69"/>
      <c r="F17" s="116"/>
      <c r="G17" s="116"/>
      <c r="H17" s="116"/>
      <c r="I17" s="116"/>
      <c r="J17" s="116"/>
      <c r="K17" s="116"/>
      <c r="L17" s="116"/>
      <c r="M17" s="116"/>
      <c r="N17" s="116"/>
      <c r="O17" s="116"/>
    </row>
    <row r="18" spans="2:15" ht="12.75" customHeight="1" x14ac:dyDescent="0.15">
      <c r="B18" s="69">
        <v>1</v>
      </c>
      <c r="C18" s="70">
        <v>173.11415099999999</v>
      </c>
      <c r="D18" s="69"/>
      <c r="F18" s="116"/>
      <c r="G18" s="116"/>
      <c r="H18" s="116"/>
      <c r="I18" s="116"/>
      <c r="J18" s="116"/>
      <c r="K18" s="116"/>
      <c r="L18" s="116"/>
      <c r="M18" s="116"/>
      <c r="N18" s="116"/>
      <c r="O18" s="116"/>
    </row>
    <row r="19" spans="2:15" ht="12.75" customHeight="1" x14ac:dyDescent="0.15">
      <c r="B19" s="69">
        <v>2</v>
      </c>
      <c r="C19" s="70">
        <v>173.601654</v>
      </c>
      <c r="D19" s="71">
        <v>0.22849743131541631</v>
      </c>
      <c r="F19" s="116"/>
      <c r="G19" s="116"/>
      <c r="H19" s="116"/>
      <c r="I19" s="116"/>
      <c r="J19" s="116"/>
      <c r="K19" s="116"/>
      <c r="L19" s="116"/>
      <c r="M19" s="116"/>
      <c r="N19" s="116"/>
      <c r="O19" s="116"/>
    </row>
    <row r="20" spans="2:15" ht="12.75" customHeight="1" x14ac:dyDescent="0.15">
      <c r="B20" s="69">
        <v>3</v>
      </c>
      <c r="C20" s="70">
        <v>174.94477800000001</v>
      </c>
      <c r="D20" s="71">
        <v>0.20169697076146387</v>
      </c>
      <c r="F20" s="116"/>
      <c r="G20" s="116"/>
      <c r="H20" s="116"/>
      <c r="I20" s="116"/>
      <c r="J20" s="116"/>
      <c r="K20" s="116"/>
      <c r="L20" s="116"/>
      <c r="M20" s="116"/>
      <c r="N20" s="116"/>
      <c r="O20" s="116"/>
    </row>
    <row r="21" spans="2:15" ht="12.75" customHeight="1" x14ac:dyDescent="0.15">
      <c r="B21" s="69">
        <v>4</v>
      </c>
      <c r="C21" s="70">
        <v>176.327698</v>
      </c>
      <c r="D21" s="71">
        <v>0.20868294389519781</v>
      </c>
      <c r="F21" s="116"/>
      <c r="G21" s="116"/>
      <c r="H21" s="116"/>
      <c r="I21" s="116"/>
      <c r="J21" s="116"/>
      <c r="K21" s="116"/>
      <c r="L21" s="116"/>
      <c r="M21" s="116"/>
      <c r="N21" s="116"/>
      <c r="O21" s="116"/>
    </row>
    <row r="22" spans="2:15" ht="12.75" customHeight="1" x14ac:dyDescent="0.15">
      <c r="B22" s="69">
        <v>5</v>
      </c>
      <c r="C22" s="70">
        <v>180.19790599999999</v>
      </c>
      <c r="D22" s="71">
        <v>0.20902930559822838</v>
      </c>
      <c r="F22" s="116"/>
      <c r="G22" s="116"/>
      <c r="H22" s="116"/>
      <c r="I22" s="116"/>
      <c r="J22" s="116"/>
      <c r="K22" s="116"/>
      <c r="L22" s="116"/>
      <c r="M22" s="116"/>
      <c r="N22" s="116"/>
      <c r="O22" s="116"/>
    </row>
    <row r="23" spans="2:15" ht="12.75" customHeight="1" x14ac:dyDescent="0.15">
      <c r="B23" s="69">
        <v>6</v>
      </c>
      <c r="C23" s="70">
        <v>175.48202499999999</v>
      </c>
      <c r="D23" s="71">
        <v>0.25785196488496376</v>
      </c>
      <c r="F23" s="116"/>
      <c r="G23" s="116"/>
      <c r="H23" s="116"/>
      <c r="I23" s="116"/>
      <c r="J23" s="116"/>
      <c r="K23" s="116"/>
      <c r="L23" s="116"/>
      <c r="M23" s="116"/>
      <c r="N23" s="116"/>
      <c r="O23" s="116"/>
    </row>
    <row r="24" spans="2:15" ht="12.75" customHeight="1" x14ac:dyDescent="0.15">
      <c r="B24" s="69">
        <v>7</v>
      </c>
      <c r="C24" s="70">
        <v>177.70069899999999</v>
      </c>
      <c r="D24" s="71">
        <v>0.28177631970185613</v>
      </c>
      <c r="F24" s="116"/>
      <c r="G24" s="116"/>
      <c r="H24" s="116"/>
      <c r="I24" s="116"/>
      <c r="J24" s="116"/>
      <c r="K24" s="116"/>
      <c r="L24" s="116"/>
      <c r="M24" s="116"/>
      <c r="N24" s="116"/>
      <c r="O24" s="116"/>
    </row>
    <row r="25" spans="2:15" ht="12.75" customHeight="1" x14ac:dyDescent="0.15">
      <c r="B25" s="69">
        <v>8</v>
      </c>
      <c r="C25" s="70">
        <v>179.272659</v>
      </c>
      <c r="D25" s="71">
        <v>0.22142830018215837</v>
      </c>
      <c r="F25" s="116"/>
      <c r="G25" s="116"/>
      <c r="H25" s="116"/>
      <c r="I25" s="116"/>
      <c r="J25" s="116"/>
      <c r="K25" s="116"/>
      <c r="L25" s="116"/>
      <c r="M25" s="116"/>
      <c r="N25" s="116"/>
      <c r="O25" s="116"/>
    </row>
    <row r="26" spans="2:15" x14ac:dyDescent="0.15">
      <c r="B26" s="69">
        <v>9</v>
      </c>
      <c r="C26" s="70">
        <v>183.18263200000001</v>
      </c>
      <c r="D26" s="71">
        <v>0.21109278755571559</v>
      </c>
    </row>
    <row r="27" spans="2:15" x14ac:dyDescent="0.15">
      <c r="B27" s="69">
        <v>10</v>
      </c>
      <c r="C27" s="70">
        <v>186.69465600000001</v>
      </c>
      <c r="D27" s="71">
        <v>0.25721661891115444</v>
      </c>
    </row>
    <row r="28" spans="2:15" x14ac:dyDescent="0.15">
      <c r="B28" s="69">
        <v>11</v>
      </c>
      <c r="C28" s="70">
        <v>186.913544</v>
      </c>
      <c r="D28" s="71">
        <v>0.24560486542189144</v>
      </c>
    </row>
    <row r="29" spans="2:15" x14ac:dyDescent="0.15">
      <c r="B29" s="69">
        <v>12</v>
      </c>
      <c r="C29" s="70">
        <v>188.49546799999999</v>
      </c>
      <c r="D29" s="71">
        <v>0.20079295025636809</v>
      </c>
    </row>
    <row r="30" spans="2:15" x14ac:dyDescent="0.15">
      <c r="B30" s="69">
        <v>13</v>
      </c>
      <c r="C30" s="70">
        <v>188.734238</v>
      </c>
      <c r="D30" s="71">
        <v>0.21022859129322655</v>
      </c>
    </row>
    <row r="31" spans="2:15" x14ac:dyDescent="0.15">
      <c r="B31" s="69">
        <v>14</v>
      </c>
      <c r="C31" s="70">
        <v>181.97880599999999</v>
      </c>
      <c r="D31" s="71">
        <v>0.20082477176702795</v>
      </c>
    </row>
    <row r="32" spans="2:15" x14ac:dyDescent="0.15">
      <c r="B32" s="69">
        <v>15</v>
      </c>
      <c r="C32" s="70">
        <v>176.656036</v>
      </c>
      <c r="D32" s="71">
        <v>0.33795610659961661</v>
      </c>
    </row>
    <row r="33" spans="2:4" x14ac:dyDescent="0.15">
      <c r="B33" s="69">
        <v>16</v>
      </c>
      <c r="C33" s="70">
        <v>177.27285800000001</v>
      </c>
      <c r="D33" s="71">
        <v>0.29884336206601597</v>
      </c>
    </row>
    <row r="34" spans="2:4" x14ac:dyDescent="0.15">
      <c r="B34" s="69">
        <v>17</v>
      </c>
      <c r="C34" s="70">
        <v>178.446854</v>
      </c>
      <c r="D34" s="71">
        <v>0.20228151462136751</v>
      </c>
    </row>
    <row r="35" spans="2:4" x14ac:dyDescent="0.15">
      <c r="B35" s="69">
        <v>18</v>
      </c>
      <c r="C35" s="70">
        <v>175.40245100000001</v>
      </c>
      <c r="D35" s="71">
        <v>0.20656047258466398</v>
      </c>
    </row>
    <row r="36" spans="2:4" x14ac:dyDescent="0.15">
      <c r="B36" s="69">
        <v>19</v>
      </c>
      <c r="C36" s="70">
        <v>173.32309000000001</v>
      </c>
      <c r="D36" s="71">
        <v>0.23817666773640514</v>
      </c>
    </row>
    <row r="37" spans="2:4" x14ac:dyDescent="0.15">
      <c r="B37" s="69">
        <v>20</v>
      </c>
      <c r="C37" s="70">
        <v>174.84530599999999</v>
      </c>
      <c r="D37" s="71">
        <v>0.21945380384171384</v>
      </c>
    </row>
    <row r="38" spans="2:4" x14ac:dyDescent="0.15">
      <c r="B38" s="69">
        <v>21</v>
      </c>
      <c r="C38" s="70">
        <v>174.11900299999999</v>
      </c>
      <c r="D38" s="71">
        <v>0.21094686349052888</v>
      </c>
    </row>
    <row r="39" spans="2:4" x14ac:dyDescent="0.15">
      <c r="B39" s="69">
        <v>22</v>
      </c>
      <c r="C39" s="70">
        <v>177.06393399999999</v>
      </c>
      <c r="D39" s="71">
        <v>0.20299292299945892</v>
      </c>
    </row>
    <row r="40" spans="2:4" x14ac:dyDescent="0.15">
      <c r="B40" s="69">
        <v>23</v>
      </c>
      <c r="C40" s="70">
        <v>178.15834000000001</v>
      </c>
      <c r="D40" s="71">
        <v>0.23643914315578154</v>
      </c>
    </row>
    <row r="41" spans="2:4" x14ac:dyDescent="0.15">
      <c r="B41" s="69">
        <v>24</v>
      </c>
      <c r="C41" s="70">
        <v>174.59657300000001</v>
      </c>
      <c r="D41" s="71">
        <v>0.20580419260383942</v>
      </c>
    </row>
    <row r="42" spans="2:4" x14ac:dyDescent="0.15">
      <c r="B42" s="69">
        <v>25</v>
      </c>
      <c r="C42" s="70">
        <v>173.04452499999999</v>
      </c>
      <c r="D42" s="71">
        <v>0.25089522577558948</v>
      </c>
    </row>
    <row r="43" spans="2:4" x14ac:dyDescent="0.15">
      <c r="B43" s="69">
        <v>26</v>
      </c>
      <c r="C43" s="70">
        <v>173.900116</v>
      </c>
      <c r="D43" s="71">
        <v>0.21137766281006354</v>
      </c>
    </row>
    <row r="44" spans="2:4" x14ac:dyDescent="0.15">
      <c r="B44" s="69">
        <v>27</v>
      </c>
      <c r="C44" s="70">
        <v>175.18356299999999</v>
      </c>
      <c r="D44" s="71">
        <v>0.20395049309769619</v>
      </c>
    </row>
    <row r="45" spans="2:4" x14ac:dyDescent="0.15">
      <c r="B45" s="69">
        <v>28</v>
      </c>
      <c r="C45" s="70">
        <v>171.08453399999999</v>
      </c>
      <c r="D45" s="71">
        <v>0.20797096158907896</v>
      </c>
    </row>
    <row r="46" spans="2:4" x14ac:dyDescent="0.15">
      <c r="B46" s="69">
        <v>29</v>
      </c>
      <c r="C46" s="70">
        <v>169.56231700000001</v>
      </c>
      <c r="D46" s="71">
        <v>0.26730793519273788</v>
      </c>
    </row>
    <row r="47" spans="2:4" x14ac:dyDescent="0.15">
      <c r="B47" s="69">
        <v>30</v>
      </c>
      <c r="C47" s="70">
        <v>169.82101399999999</v>
      </c>
      <c r="D47" s="71">
        <v>0.21139693325290249</v>
      </c>
    </row>
    <row r="48" spans="2:4" x14ac:dyDescent="0.15">
      <c r="B48" s="69">
        <v>31</v>
      </c>
      <c r="C48" s="70">
        <v>170.33836400000001</v>
      </c>
      <c r="D48" s="71">
        <v>0.200924778357605</v>
      </c>
    </row>
    <row r="49" spans="2:4" x14ac:dyDescent="0.15">
      <c r="B49" s="69">
        <v>32</v>
      </c>
      <c r="C49" s="70">
        <v>172.865433</v>
      </c>
      <c r="D49" s="71">
        <v>0.20188247310692867</v>
      </c>
    </row>
    <row r="50" spans="2:4" x14ac:dyDescent="0.15">
      <c r="B50" s="69">
        <v>33</v>
      </c>
      <c r="C50" s="70">
        <v>171.52229299999999</v>
      </c>
      <c r="D50" s="71">
        <v>0.2287280047804858</v>
      </c>
    </row>
    <row r="51" spans="2:4" x14ac:dyDescent="0.15">
      <c r="B51" s="69">
        <v>34</v>
      </c>
      <c r="C51" s="70">
        <v>172.77589399999999</v>
      </c>
      <c r="D51" s="71">
        <v>0.20887558080259738</v>
      </c>
    </row>
    <row r="52" spans="2:4" x14ac:dyDescent="0.15">
      <c r="B52" s="69">
        <v>35</v>
      </c>
      <c r="C52" s="70">
        <v>174.019531</v>
      </c>
      <c r="D52" s="71">
        <v>0.20783148670310553</v>
      </c>
    </row>
    <row r="53" spans="2:4" x14ac:dyDescent="0.15">
      <c r="B53" s="69">
        <v>36</v>
      </c>
      <c r="C53" s="70">
        <v>176.586411</v>
      </c>
      <c r="D53" s="71">
        <v>0.20761858926781548</v>
      </c>
    </row>
    <row r="54" spans="2:4" x14ac:dyDescent="0.15">
      <c r="B54" s="69">
        <v>37</v>
      </c>
      <c r="C54" s="70">
        <v>178.07875100000001</v>
      </c>
      <c r="D54" s="71">
        <v>0.22842819887685187</v>
      </c>
    </row>
    <row r="55" spans="2:4" x14ac:dyDescent="0.15">
      <c r="B55" s="69">
        <v>38</v>
      </c>
      <c r="C55" s="70">
        <v>177.48181199999999</v>
      </c>
      <c r="D55" s="71">
        <v>0.21020126814965859</v>
      </c>
    </row>
    <row r="56" spans="2:4" x14ac:dyDescent="0.15">
      <c r="B56" s="69">
        <v>39</v>
      </c>
      <c r="C56" s="70">
        <v>178.88462799999999</v>
      </c>
      <c r="D56" s="71">
        <v>0.20216108068916844</v>
      </c>
    </row>
    <row r="57" spans="2:4" x14ac:dyDescent="0.15">
      <c r="B57" s="69">
        <v>40</v>
      </c>
      <c r="C57" s="70">
        <v>179.790009</v>
      </c>
      <c r="D57" s="71">
        <v>0.20902744167834714</v>
      </c>
    </row>
    <row r="58" spans="2:4" x14ac:dyDescent="0.15">
      <c r="B58" s="69">
        <v>41</v>
      </c>
      <c r="C58" s="70">
        <v>177.93946800000001</v>
      </c>
      <c r="D58" s="71">
        <v>0.20410892033311018</v>
      </c>
    </row>
    <row r="59" spans="2:4" x14ac:dyDescent="0.15">
      <c r="B59" s="69">
        <v>42</v>
      </c>
      <c r="C59" s="70">
        <v>177.810135</v>
      </c>
      <c r="D59" s="71">
        <v>0.21494488836738021</v>
      </c>
    </row>
    <row r="60" spans="2:4" x14ac:dyDescent="0.15">
      <c r="B60" s="69">
        <v>43</v>
      </c>
      <c r="C60" s="70">
        <v>176.248108</v>
      </c>
      <c r="D60" s="71">
        <v>0.2006758535722564</v>
      </c>
    </row>
    <row r="61" spans="2:4" x14ac:dyDescent="0.15">
      <c r="B61" s="69">
        <v>44</v>
      </c>
      <c r="C61" s="70">
        <v>174.94477800000001</v>
      </c>
      <c r="D61" s="71">
        <v>0.2111309263777261</v>
      </c>
    </row>
    <row r="62" spans="2:4" x14ac:dyDescent="0.15">
      <c r="B62" s="69">
        <v>45</v>
      </c>
      <c r="C62" s="70">
        <v>174.566742</v>
      </c>
      <c r="D62" s="71">
        <v>0.20810752829724982</v>
      </c>
    </row>
    <row r="63" spans="2:4" x14ac:dyDescent="0.15">
      <c r="B63" s="69">
        <v>46</v>
      </c>
      <c r="C63" s="70">
        <v>171.999863</v>
      </c>
      <c r="D63" s="71">
        <v>0.20125086770520345</v>
      </c>
    </row>
    <row r="64" spans="2:4" x14ac:dyDescent="0.15">
      <c r="B64" s="69">
        <v>47</v>
      </c>
      <c r="C64" s="70">
        <v>172.119247</v>
      </c>
      <c r="D64" s="71">
        <v>0.22904005817151776</v>
      </c>
    </row>
    <row r="65" spans="2:4" x14ac:dyDescent="0.15">
      <c r="B65" s="69">
        <v>48</v>
      </c>
      <c r="C65" s="70">
        <v>172.55702199999999</v>
      </c>
      <c r="D65" s="71">
        <v>0.2006692993544068</v>
      </c>
    </row>
    <row r="66" spans="2:4" x14ac:dyDescent="0.15">
      <c r="B66" s="69">
        <v>49</v>
      </c>
      <c r="C66" s="70">
        <v>170.228928</v>
      </c>
      <c r="D66" s="71">
        <v>0.20149599632748308</v>
      </c>
    </row>
    <row r="67" spans="2:4" x14ac:dyDescent="0.15">
      <c r="B67" s="69">
        <v>50</v>
      </c>
      <c r="C67" s="70">
        <v>166.04037500000001</v>
      </c>
      <c r="D67" s="71">
        <v>0.22475492137073744</v>
      </c>
    </row>
    <row r="68" spans="2:4" x14ac:dyDescent="0.15">
      <c r="B68" s="69">
        <v>51</v>
      </c>
      <c r="C68" s="70">
        <v>167.363586</v>
      </c>
      <c r="D68" s="71">
        <v>0.27349417854727393</v>
      </c>
    </row>
    <row r="69" spans="2:4" x14ac:dyDescent="0.15">
      <c r="B69" s="69">
        <v>52</v>
      </c>
      <c r="C69" s="70">
        <v>169.423035</v>
      </c>
      <c r="D69" s="71">
        <v>0.20916363758698803</v>
      </c>
    </row>
    <row r="70" spans="2:4" x14ac:dyDescent="0.15">
      <c r="B70" s="69">
        <v>53</v>
      </c>
      <c r="C70" s="70">
        <v>169.90060399999999</v>
      </c>
      <c r="D70" s="71">
        <v>0.22038496544382619</v>
      </c>
    </row>
    <row r="71" spans="2:4" x14ac:dyDescent="0.15">
      <c r="B71" s="69">
        <v>54</v>
      </c>
      <c r="C71" s="70">
        <v>173.08431999999999</v>
      </c>
      <c r="D71" s="71">
        <v>0.20169907568535617</v>
      </c>
    </row>
    <row r="72" spans="2:4" x14ac:dyDescent="0.15">
      <c r="B72" s="69">
        <v>55</v>
      </c>
      <c r="C72" s="70">
        <v>176.666</v>
      </c>
      <c r="D72" s="71">
        <v>0.24378683616281424</v>
      </c>
    </row>
    <row r="73" spans="2:4" x14ac:dyDescent="0.15">
      <c r="B73" s="69">
        <v>56</v>
      </c>
      <c r="C73" s="70">
        <v>175.75065599999999</v>
      </c>
      <c r="D73" s="71">
        <v>0.25218896931708135</v>
      </c>
    </row>
    <row r="74" spans="2:4" x14ac:dyDescent="0.15">
      <c r="B74" s="69">
        <v>57</v>
      </c>
      <c r="C74" s="70">
        <v>178.31753499999999</v>
      </c>
      <c r="D74" s="71">
        <v>0.20431306032837696</v>
      </c>
    </row>
    <row r="75" spans="2:4" x14ac:dyDescent="0.15">
      <c r="B75" s="69">
        <v>58</v>
      </c>
      <c r="C75" s="70">
        <v>180.89434800000001</v>
      </c>
      <c r="D75" s="71">
        <v>0.2279190508025738</v>
      </c>
    </row>
    <row r="76" spans="2:4" x14ac:dyDescent="0.15">
      <c r="B76" s="69">
        <v>59</v>
      </c>
      <c r="C76" s="70">
        <v>181.958878</v>
      </c>
      <c r="D76" s="71">
        <v>0.22738171864224641</v>
      </c>
    </row>
    <row r="77" spans="2:4" x14ac:dyDescent="0.15">
      <c r="B77" s="69">
        <v>60</v>
      </c>
      <c r="C77" s="70">
        <v>181.48133899999999</v>
      </c>
      <c r="D77" s="71">
        <v>0.20532480767584488</v>
      </c>
    </row>
    <row r="78" spans="2:4" x14ac:dyDescent="0.15">
      <c r="B78" s="69">
        <v>61</v>
      </c>
      <c r="C78" s="70">
        <v>185.69534300000001</v>
      </c>
      <c r="D78" s="71">
        <v>0.20155858792744741</v>
      </c>
    </row>
    <row r="79" spans="2:4" x14ac:dyDescent="0.15">
      <c r="B79" s="69">
        <v>62</v>
      </c>
      <c r="C79" s="70">
        <v>184.101395</v>
      </c>
      <c r="D79" s="71">
        <v>0.26377819620342141</v>
      </c>
    </row>
    <row r="80" spans="2:4" x14ac:dyDescent="0.15">
      <c r="B80" s="69">
        <v>63</v>
      </c>
      <c r="C80" s="70">
        <v>186.731415</v>
      </c>
      <c r="D80" s="71">
        <v>0.21066372316730167</v>
      </c>
    </row>
    <row r="81" spans="2:4" x14ac:dyDescent="0.15">
      <c r="B81" s="69">
        <v>64</v>
      </c>
      <c r="C81" s="70">
        <v>187.29925499999999</v>
      </c>
      <c r="D81" s="71">
        <v>0.22681283674731009</v>
      </c>
    </row>
    <row r="82" spans="2:4" x14ac:dyDescent="0.15">
      <c r="B82" s="69">
        <v>65</v>
      </c>
      <c r="C82" s="70">
        <v>188.99284399999999</v>
      </c>
      <c r="D82" s="71">
        <v>0.2018778791763646</v>
      </c>
    </row>
    <row r="83" spans="2:4" x14ac:dyDescent="0.15">
      <c r="B83" s="69">
        <v>66</v>
      </c>
      <c r="C83" s="70">
        <v>188.972916</v>
      </c>
      <c r="D83" s="71">
        <v>0.21154865265141867</v>
      </c>
    </row>
    <row r="84" spans="2:4" x14ac:dyDescent="0.15">
      <c r="B84" s="69">
        <v>67</v>
      </c>
      <c r="C84" s="70">
        <v>190.726257</v>
      </c>
      <c r="D84" s="71">
        <v>0.20060404156033673</v>
      </c>
    </row>
    <row r="85" spans="2:4" x14ac:dyDescent="0.15">
      <c r="B85" s="69">
        <v>68</v>
      </c>
      <c r="C85" s="70">
        <v>189.91932700000001</v>
      </c>
      <c r="D85" s="71">
        <v>0.21210941612980092</v>
      </c>
    </row>
    <row r="86" spans="2:4" x14ac:dyDescent="0.15">
      <c r="B86" s="69">
        <v>69</v>
      </c>
      <c r="C86" s="70">
        <v>190.586792</v>
      </c>
      <c r="D86" s="71">
        <v>0.20308183737349955</v>
      </c>
    </row>
    <row r="87" spans="2:4" x14ac:dyDescent="0.15">
      <c r="B87" s="69">
        <v>70</v>
      </c>
      <c r="C87" s="70">
        <v>189.25186199999999</v>
      </c>
      <c r="D87" s="71">
        <v>0.20230339280396861</v>
      </c>
    </row>
    <row r="88" spans="2:4" x14ac:dyDescent="0.15">
      <c r="B88" s="69">
        <v>71</v>
      </c>
      <c r="C88" s="70">
        <v>189.07252500000001</v>
      </c>
      <c r="D88" s="71">
        <v>0.20734566104811764</v>
      </c>
    </row>
    <row r="89" spans="2:4" x14ac:dyDescent="0.15">
      <c r="B89" s="69">
        <v>72</v>
      </c>
      <c r="C89" s="70">
        <v>189.68022199999999</v>
      </c>
      <c r="D89" s="71">
        <v>0.20072719551024559</v>
      </c>
    </row>
    <row r="90" spans="2:4" x14ac:dyDescent="0.15">
      <c r="B90" s="69">
        <v>73</v>
      </c>
      <c r="C90" s="70">
        <v>188.65412900000001</v>
      </c>
      <c r="D90" s="71">
        <v>0.2020264810352968</v>
      </c>
    </row>
    <row r="91" spans="2:4" x14ac:dyDescent="0.15">
      <c r="B91" s="69">
        <v>74</v>
      </c>
      <c r="C91" s="70">
        <v>189.23191800000001</v>
      </c>
      <c r="D91" s="71">
        <v>0.20464499866708857</v>
      </c>
    </row>
    <row r="92" spans="2:4" x14ac:dyDescent="0.15">
      <c r="B92" s="69">
        <v>75</v>
      </c>
      <c r="C92" s="70">
        <v>190.51705899999999</v>
      </c>
      <c r="D92" s="71">
        <v>0.20189609692355989</v>
      </c>
    </row>
    <row r="93" spans="2:4" x14ac:dyDescent="0.15">
      <c r="B93" s="69">
        <v>76</v>
      </c>
      <c r="C93" s="70">
        <v>188.71388200000001</v>
      </c>
      <c r="D93" s="71">
        <v>0.2068624043771784</v>
      </c>
    </row>
    <row r="94" spans="2:4" x14ac:dyDescent="0.15">
      <c r="B94" s="69">
        <v>77</v>
      </c>
      <c r="C94" s="70">
        <v>192.68881200000001</v>
      </c>
      <c r="D94" s="71">
        <v>0.21278304611620022</v>
      </c>
    </row>
    <row r="95" spans="2:4" x14ac:dyDescent="0.15">
      <c r="B95" s="69">
        <v>78</v>
      </c>
      <c r="C95" s="70">
        <v>191.59298699999999</v>
      </c>
      <c r="D95" s="71">
        <v>0.25383700081488092</v>
      </c>
    </row>
    <row r="96" spans="2:4" x14ac:dyDescent="0.15">
      <c r="B96" s="69">
        <v>79</v>
      </c>
      <c r="C96" s="70">
        <v>193.53559899999999</v>
      </c>
      <c r="D96" s="71">
        <v>0.20506685930779481</v>
      </c>
    </row>
    <row r="97" spans="2:4" x14ac:dyDescent="0.15">
      <c r="B97" s="69">
        <v>80</v>
      </c>
      <c r="C97" s="70">
        <v>194.97015400000001</v>
      </c>
      <c r="D97" s="71">
        <v>0.21426118492833435</v>
      </c>
    </row>
    <row r="98" spans="2:4" x14ac:dyDescent="0.15">
      <c r="B98" s="69">
        <v>81</v>
      </c>
      <c r="C98" s="70">
        <v>192.44972200000001</v>
      </c>
      <c r="D98" s="71">
        <v>0.20803359807219832</v>
      </c>
    </row>
    <row r="99" spans="2:4" x14ac:dyDescent="0.15">
      <c r="B99" s="69">
        <v>82</v>
      </c>
      <c r="C99" s="70">
        <v>193.97395299999999</v>
      </c>
      <c r="D99" s="71">
        <v>0.22286260146646944</v>
      </c>
    </row>
    <row r="100" spans="2:4" x14ac:dyDescent="0.15">
      <c r="B100" s="69">
        <v>83</v>
      </c>
      <c r="C100" s="70">
        <v>197.21165500000001</v>
      </c>
      <c r="D100" s="71">
        <v>0.20906108193773931</v>
      </c>
    </row>
    <row r="101" spans="2:4" x14ac:dyDescent="0.15">
      <c r="B101" s="69">
        <v>84</v>
      </c>
      <c r="C101" s="70">
        <v>197.36108400000001</v>
      </c>
      <c r="D101" s="71">
        <v>0.23558128164186168</v>
      </c>
    </row>
    <row r="102" spans="2:4" x14ac:dyDescent="0.15">
      <c r="B102" s="69">
        <v>85</v>
      </c>
      <c r="C102" s="70">
        <v>196.82311999999999</v>
      </c>
      <c r="D102" s="71">
        <v>0.20068209779043036</v>
      </c>
    </row>
    <row r="103" spans="2:4" x14ac:dyDescent="0.15">
      <c r="B103" s="69">
        <v>86</v>
      </c>
      <c r="C103" s="70">
        <v>195.149475</v>
      </c>
      <c r="D103" s="71">
        <v>0.20163377148966183</v>
      </c>
    </row>
    <row r="104" spans="2:4" x14ac:dyDescent="0.15">
      <c r="B104" s="69">
        <v>87</v>
      </c>
      <c r="C104" s="70">
        <v>196.19551100000001</v>
      </c>
      <c r="D104" s="71">
        <v>0.21047979633063629</v>
      </c>
    </row>
    <row r="105" spans="2:4" x14ac:dyDescent="0.15">
      <c r="B105" s="69">
        <v>88</v>
      </c>
      <c r="C105" s="70">
        <v>194.093491</v>
      </c>
      <c r="D105" s="71">
        <v>0.20453007791962943</v>
      </c>
    </row>
    <row r="106" spans="2:4" x14ac:dyDescent="0.15">
      <c r="B106" s="69">
        <v>89</v>
      </c>
      <c r="C106" s="70">
        <v>193.944031</v>
      </c>
      <c r="D106" s="71">
        <v>0.21610578212187698</v>
      </c>
    </row>
    <row r="107" spans="2:4" x14ac:dyDescent="0.15">
      <c r="B107" s="69">
        <v>90</v>
      </c>
      <c r="C107" s="70">
        <v>192.868134</v>
      </c>
      <c r="D107" s="71">
        <v>0.2006848351381563</v>
      </c>
    </row>
    <row r="108" spans="2:4" x14ac:dyDescent="0.15">
      <c r="B108" s="69">
        <v>91</v>
      </c>
      <c r="C108" s="70">
        <v>192.320221</v>
      </c>
      <c r="D108" s="71">
        <v>0.20485209328849049</v>
      </c>
    </row>
    <row r="109" spans="2:4" x14ac:dyDescent="0.15">
      <c r="B109" s="69">
        <v>92</v>
      </c>
      <c r="C109" s="70">
        <v>192.41982999999999</v>
      </c>
      <c r="D109" s="71">
        <v>0.20172257256434423</v>
      </c>
    </row>
    <row r="110" spans="2:4" x14ac:dyDescent="0.15">
      <c r="B110" s="69">
        <v>93</v>
      </c>
      <c r="C110" s="70">
        <v>192.848206</v>
      </c>
      <c r="D110" s="71">
        <v>0.20063970350765439</v>
      </c>
    </row>
    <row r="111" spans="2:4" x14ac:dyDescent="0.15">
      <c r="B111" s="69">
        <v>94</v>
      </c>
      <c r="C111" s="70">
        <v>191.80216999999999</v>
      </c>
      <c r="D111" s="71">
        <v>0.20128761379935903</v>
      </c>
    </row>
    <row r="112" spans="2:4" x14ac:dyDescent="0.15">
      <c r="B112" s="69">
        <v>95</v>
      </c>
      <c r="C112" s="70">
        <v>184.93821700000001</v>
      </c>
      <c r="D112" s="71">
        <v>0.20466661300354796</v>
      </c>
    </row>
    <row r="113" spans="2:4" x14ac:dyDescent="0.15">
      <c r="B113" s="69">
        <v>96</v>
      </c>
      <c r="C113" s="70">
        <v>183.55346700000001</v>
      </c>
      <c r="D113" s="71">
        <v>0.33791420153088492</v>
      </c>
    </row>
    <row r="114" spans="2:4" x14ac:dyDescent="0.15">
      <c r="B114" s="69">
        <v>97</v>
      </c>
      <c r="C114" s="70">
        <v>181.22232099999999</v>
      </c>
      <c r="D114" s="71">
        <v>0.20829423111067649</v>
      </c>
    </row>
    <row r="115" spans="2:4" x14ac:dyDescent="0.15">
      <c r="B115" s="69">
        <v>98</v>
      </c>
      <c r="C115" s="70">
        <v>180.49508700000001</v>
      </c>
      <c r="D115" s="71">
        <v>0.22211990211740559</v>
      </c>
    </row>
    <row r="116" spans="2:4" x14ac:dyDescent="0.15">
      <c r="B116" s="69">
        <v>99</v>
      </c>
      <c r="C116" s="70">
        <v>184.858521</v>
      </c>
      <c r="D116" s="71">
        <v>0.20283392173762535</v>
      </c>
    </row>
    <row r="117" spans="2:4" x14ac:dyDescent="0.15">
      <c r="B117" s="69">
        <v>100</v>
      </c>
      <c r="C117" s="70">
        <v>184.44010900000001</v>
      </c>
      <c r="D117" s="71">
        <v>0.26834939334393942</v>
      </c>
    </row>
    <row r="118" spans="2:4" x14ac:dyDescent="0.15">
      <c r="B118" s="69">
        <v>101</v>
      </c>
      <c r="C118" s="70">
        <v>185.48616000000001</v>
      </c>
      <c r="D118" s="71">
        <v>0.20131381671807205</v>
      </c>
    </row>
    <row r="119" spans="2:4" x14ac:dyDescent="0.15">
      <c r="B119" s="69">
        <v>102</v>
      </c>
      <c r="C119" s="70">
        <v>184.88841199999999</v>
      </c>
      <c r="D119" s="71">
        <v>0.20499316793648201</v>
      </c>
    </row>
    <row r="120" spans="2:4" x14ac:dyDescent="0.15">
      <c r="B120" s="69">
        <v>103</v>
      </c>
      <c r="C120" s="70">
        <v>185.217163</v>
      </c>
      <c r="D120" s="71">
        <v>0.20204321311004986</v>
      </c>
    </row>
    <row r="121" spans="2:4" x14ac:dyDescent="0.15">
      <c r="B121" s="69">
        <v>104</v>
      </c>
      <c r="C121" s="70">
        <v>182.935822</v>
      </c>
      <c r="D121" s="71">
        <v>0.20104001029944249</v>
      </c>
    </row>
    <row r="122" spans="2:4" x14ac:dyDescent="0.15">
      <c r="B122" s="69">
        <v>105</v>
      </c>
      <c r="C122" s="70">
        <v>181.98940999999999</v>
      </c>
      <c r="D122" s="71">
        <v>0.2208928002577982</v>
      </c>
    </row>
    <row r="123" spans="2:4" x14ac:dyDescent="0.15">
      <c r="B123" s="69">
        <v>106</v>
      </c>
      <c r="C123" s="70">
        <v>187.91691599999999</v>
      </c>
      <c r="D123" s="71">
        <v>0.20430204378133512</v>
      </c>
    </row>
    <row r="124" spans="2:4" x14ac:dyDescent="0.15">
      <c r="B124" s="69">
        <v>107</v>
      </c>
      <c r="C124" s="70">
        <v>190.83583100000001</v>
      </c>
      <c r="D124" s="71">
        <v>0.31215286346062276</v>
      </c>
    </row>
    <row r="125" spans="2:4" x14ac:dyDescent="0.15">
      <c r="B125" s="69">
        <v>108</v>
      </c>
      <c r="C125" s="70">
        <v>193.157028</v>
      </c>
      <c r="D125" s="71">
        <v>0.23123447704136973</v>
      </c>
    </row>
    <row r="126" spans="2:4" x14ac:dyDescent="0.15">
      <c r="B126" s="69">
        <v>109</v>
      </c>
      <c r="C126" s="70">
        <v>194.44215399999999</v>
      </c>
      <c r="D126" s="71">
        <v>0.21995381396255734</v>
      </c>
    </row>
    <row r="127" spans="2:4" x14ac:dyDescent="0.15">
      <c r="B127" s="69">
        <v>110</v>
      </c>
      <c r="C127" s="70">
        <v>193.764725</v>
      </c>
      <c r="D127" s="71">
        <v>0.20661491310364943</v>
      </c>
    </row>
    <row r="128" spans="2:4" x14ac:dyDescent="0.15">
      <c r="B128" s="69">
        <v>111</v>
      </c>
      <c r="C128" s="70">
        <v>193.43598900000001</v>
      </c>
      <c r="D128" s="71">
        <v>0.20228580687550102</v>
      </c>
    </row>
    <row r="129" spans="2:4" x14ac:dyDescent="0.15">
      <c r="B129" s="69">
        <v>112</v>
      </c>
      <c r="C129" s="70">
        <v>191.69258099999999</v>
      </c>
      <c r="D129" s="71">
        <v>0.20100223142311235</v>
      </c>
    </row>
    <row r="130" spans="2:4" x14ac:dyDescent="0.15">
      <c r="B130" s="69">
        <v>113</v>
      </c>
      <c r="C130" s="70">
        <v>191.005188</v>
      </c>
      <c r="D130" s="71">
        <v>0.21167260456067596</v>
      </c>
    </row>
    <row r="131" spans="2:4" x14ac:dyDescent="0.15">
      <c r="B131" s="69">
        <v>114</v>
      </c>
      <c r="C131" s="70">
        <v>187.32914700000001</v>
      </c>
      <c r="D131" s="71">
        <v>0.20238550740795153</v>
      </c>
    </row>
    <row r="132" spans="2:4" x14ac:dyDescent="0.15">
      <c r="B132" s="69">
        <v>115</v>
      </c>
      <c r="C132" s="70">
        <v>183.702911</v>
      </c>
      <c r="D132" s="71">
        <v>0.24752501254957385</v>
      </c>
    </row>
    <row r="133" spans="2:4" x14ac:dyDescent="0.15">
      <c r="B133" s="69">
        <v>116</v>
      </c>
      <c r="C133" s="70">
        <v>186.15362500000001</v>
      </c>
      <c r="D133" s="71">
        <v>0.24802430201452244</v>
      </c>
    </row>
    <row r="134" spans="2:4" x14ac:dyDescent="0.15">
      <c r="B134" s="69">
        <v>117</v>
      </c>
      <c r="C134" s="70">
        <v>185.14743000000001</v>
      </c>
      <c r="D134" s="71">
        <v>0.22365148408108687</v>
      </c>
    </row>
    <row r="135" spans="2:4" x14ac:dyDescent="0.15">
      <c r="B135" s="69">
        <v>118</v>
      </c>
      <c r="C135" s="70">
        <v>186.970505</v>
      </c>
      <c r="D135" s="71">
        <v>0.20463846072984598</v>
      </c>
    </row>
    <row r="136" spans="2:4" x14ac:dyDescent="0.15">
      <c r="B136" s="69">
        <v>119</v>
      </c>
      <c r="C136" s="70">
        <v>188.58438100000001</v>
      </c>
      <c r="D136" s="71">
        <v>0.21351117186795393</v>
      </c>
    </row>
    <row r="137" spans="2:4" x14ac:dyDescent="0.15">
      <c r="B137" s="69">
        <v>120</v>
      </c>
      <c r="C137" s="70">
        <v>188.69397000000001</v>
      </c>
      <c r="D137" s="71">
        <v>0.21060445030619973</v>
      </c>
    </row>
    <row r="138" spans="2:4" x14ac:dyDescent="0.15">
      <c r="B138" s="69">
        <v>121</v>
      </c>
      <c r="C138" s="70">
        <v>187.608093</v>
      </c>
      <c r="D138" s="71">
        <v>0.20064933009299599</v>
      </c>
    </row>
    <row r="139" spans="2:4" x14ac:dyDescent="0.15">
      <c r="B139" s="69">
        <v>122</v>
      </c>
      <c r="C139" s="70">
        <v>188.37616</v>
      </c>
      <c r="D139" s="71">
        <v>0.20517286642790861</v>
      </c>
    </row>
    <row r="140" spans="2:4" x14ac:dyDescent="0.15">
      <c r="B140" s="69">
        <v>123</v>
      </c>
      <c r="C140" s="70">
        <v>186.68042</v>
      </c>
      <c r="D140" s="71">
        <v>0.20290581687530657</v>
      </c>
    </row>
    <row r="141" spans="2:4" x14ac:dyDescent="0.15">
      <c r="B141" s="69">
        <v>124</v>
      </c>
      <c r="C141" s="70">
        <v>184.575714</v>
      </c>
      <c r="D141" s="71">
        <v>0.21164628122224274</v>
      </c>
    </row>
    <row r="142" spans="2:4" x14ac:dyDescent="0.15">
      <c r="B142" s="69">
        <v>125</v>
      </c>
      <c r="C142" s="70">
        <v>183.68794299999999</v>
      </c>
      <c r="D142" s="71">
        <v>0.21771393028284713</v>
      </c>
    </row>
    <row r="143" spans="2:4" x14ac:dyDescent="0.15">
      <c r="B143" s="69">
        <v>126</v>
      </c>
      <c r="C143" s="70">
        <v>183.39868200000001</v>
      </c>
      <c r="D143" s="71">
        <v>0.20380297907152922</v>
      </c>
    </row>
    <row r="144" spans="2:4" x14ac:dyDescent="0.15">
      <c r="B144" s="69">
        <v>127</v>
      </c>
      <c r="C144" s="70">
        <v>181.852554</v>
      </c>
      <c r="D144" s="71">
        <v>0.2009468881904648</v>
      </c>
    </row>
    <row r="145" spans="2:4" x14ac:dyDescent="0.15">
      <c r="B145" s="69">
        <v>128</v>
      </c>
      <c r="C145" s="70">
        <v>181.104446</v>
      </c>
      <c r="D145" s="71">
        <v>0.21031441707963469</v>
      </c>
    </row>
    <row r="146" spans="2:4" x14ac:dyDescent="0.15">
      <c r="B146" s="69">
        <v>129</v>
      </c>
      <c r="C146" s="70">
        <v>181.862549</v>
      </c>
      <c r="D146" s="71">
        <v>0.20294709930252869</v>
      </c>
    </row>
    <row r="147" spans="2:4" x14ac:dyDescent="0.15">
      <c r="B147" s="69">
        <v>130</v>
      </c>
      <c r="C147" s="70">
        <v>183.90739400000001</v>
      </c>
      <c r="D147" s="71">
        <v>0.20300966168690651</v>
      </c>
    </row>
    <row r="148" spans="2:4" x14ac:dyDescent="0.15">
      <c r="B148" s="69">
        <v>131</v>
      </c>
      <c r="C148" s="70">
        <v>182.06204199999999</v>
      </c>
      <c r="D148" s="71">
        <v>0.21726062386461442</v>
      </c>
    </row>
    <row r="149" spans="2:4" x14ac:dyDescent="0.15">
      <c r="B149" s="69">
        <v>132</v>
      </c>
      <c r="C149" s="70">
        <v>180.70545999999999</v>
      </c>
      <c r="D149" s="71">
        <v>0.21425230235591428</v>
      </c>
    </row>
    <row r="150" spans="2:4" x14ac:dyDescent="0.15">
      <c r="B150" s="69">
        <v>133</v>
      </c>
      <c r="C150" s="70">
        <v>182.17176799999999</v>
      </c>
      <c r="D150" s="71">
        <v>0.20822066168183231</v>
      </c>
    </row>
    <row r="151" spans="2:4" x14ac:dyDescent="0.15">
      <c r="B151" s="69">
        <v>134</v>
      </c>
      <c r="C151" s="70">
        <v>180.964798</v>
      </c>
      <c r="D151" s="71">
        <v>0.20947040276813644</v>
      </c>
    </row>
    <row r="152" spans="2:4" x14ac:dyDescent="0.15">
      <c r="B152" s="69">
        <v>135</v>
      </c>
      <c r="C152" s="70">
        <v>180.29647800000001</v>
      </c>
      <c r="D152" s="71">
        <v>0.20664400409911338</v>
      </c>
    </row>
    <row r="153" spans="2:4" x14ac:dyDescent="0.15">
      <c r="B153" s="69">
        <v>136</v>
      </c>
      <c r="C153" s="70">
        <v>179.20922899999999</v>
      </c>
      <c r="D153" s="71">
        <v>0.20249338330967703</v>
      </c>
    </row>
    <row r="154" spans="2:4" x14ac:dyDescent="0.15">
      <c r="B154" s="69">
        <v>137</v>
      </c>
      <c r="C154" s="70">
        <v>174.66066000000001</v>
      </c>
      <c r="D154" s="71">
        <v>0.20561707906848536</v>
      </c>
    </row>
    <row r="155" spans="2:4" x14ac:dyDescent="0.15">
      <c r="B155" s="69">
        <v>138</v>
      </c>
      <c r="C155" s="70">
        <v>169.693161</v>
      </c>
      <c r="D155" s="71">
        <v>0.27756459253690002</v>
      </c>
    </row>
    <row r="156" spans="2:4" x14ac:dyDescent="0.15">
      <c r="B156" s="69">
        <v>139</v>
      </c>
      <c r="C156" s="70">
        <v>168.69564800000001</v>
      </c>
      <c r="D156" s="71">
        <v>0.29426820993338454</v>
      </c>
    </row>
    <row r="157" spans="2:4" x14ac:dyDescent="0.15">
      <c r="B157" s="69">
        <v>140</v>
      </c>
      <c r="C157" s="70">
        <v>168.57595800000001</v>
      </c>
      <c r="D157" s="71">
        <v>0.20536963726480095</v>
      </c>
    </row>
    <row r="158" spans="2:4" x14ac:dyDescent="0.15">
      <c r="B158" s="69">
        <v>141</v>
      </c>
      <c r="C158" s="70">
        <v>170.301605</v>
      </c>
      <c r="D158" s="71">
        <v>0.20067239576599799</v>
      </c>
    </row>
    <row r="159" spans="2:4" x14ac:dyDescent="0.15">
      <c r="B159" s="69">
        <v>142</v>
      </c>
      <c r="C159" s="70">
        <v>172.31655900000001</v>
      </c>
      <c r="D159" s="71">
        <v>0.21451487283551696</v>
      </c>
    </row>
    <row r="160" spans="2:4" x14ac:dyDescent="0.15">
      <c r="B160" s="69">
        <v>143</v>
      </c>
      <c r="C160" s="70">
        <v>172.795334</v>
      </c>
      <c r="D160" s="71">
        <v>0.21896225372759548</v>
      </c>
    </row>
    <row r="161" spans="2:4" x14ac:dyDescent="0.15">
      <c r="B161" s="69">
        <v>144</v>
      </c>
      <c r="C161" s="70">
        <v>170.70062300000001</v>
      </c>
      <c r="D161" s="71">
        <v>0.20166804337378866</v>
      </c>
    </row>
    <row r="162" spans="2:4" x14ac:dyDescent="0.15">
      <c r="B162" s="69">
        <v>145</v>
      </c>
      <c r="C162" s="70">
        <v>172.565933</v>
      </c>
      <c r="D162" s="71">
        <v>0.22028135389369682</v>
      </c>
    </row>
    <row r="163" spans="2:4" x14ac:dyDescent="0.15">
      <c r="B163" s="69">
        <v>146</v>
      </c>
      <c r="C163" s="70">
        <v>172.18687399999999</v>
      </c>
      <c r="D163" s="71">
        <v>0.21637432699240502</v>
      </c>
    </row>
    <row r="164" spans="2:4" x14ac:dyDescent="0.15">
      <c r="B164" s="69">
        <v>147</v>
      </c>
      <c r="C164" s="70">
        <v>173.284119</v>
      </c>
      <c r="D164" s="71">
        <v>0.20127246598400778</v>
      </c>
    </row>
    <row r="165" spans="2:4" x14ac:dyDescent="0.15">
      <c r="B165" s="69">
        <v>148</v>
      </c>
      <c r="C165" s="70">
        <v>175.63819899999999</v>
      </c>
      <c r="D165" s="71">
        <v>0.206126178755133</v>
      </c>
    </row>
    <row r="166" spans="2:4" x14ac:dyDescent="0.15">
      <c r="B166" s="69">
        <v>149</v>
      </c>
      <c r="C166" s="70">
        <v>178.22171</v>
      </c>
      <c r="D166" s="71">
        <v>0.22445306898768788</v>
      </c>
    </row>
    <row r="167" spans="2:4" x14ac:dyDescent="0.15">
      <c r="B167" s="69">
        <v>150</v>
      </c>
      <c r="C167" s="70">
        <v>170.94001800000001</v>
      </c>
      <c r="D167" s="71">
        <v>0.22828326274736713</v>
      </c>
    </row>
    <row r="168" spans="2:4" x14ac:dyDescent="0.15">
      <c r="B168" s="69">
        <v>151</v>
      </c>
      <c r="C168" s="70">
        <v>171.84773300000001</v>
      </c>
      <c r="D168" s="71">
        <v>0.3703139350746546</v>
      </c>
    </row>
    <row r="169" spans="2:4" x14ac:dyDescent="0.15">
      <c r="B169" s="69">
        <v>152</v>
      </c>
      <c r="C169" s="70">
        <v>170.42132599999999</v>
      </c>
      <c r="D169" s="71">
        <v>0.20445796530046748</v>
      </c>
    </row>
    <row r="170" spans="2:4" x14ac:dyDescent="0.15">
      <c r="B170" s="69">
        <v>153</v>
      </c>
      <c r="C170" s="70">
        <v>169.28419500000001</v>
      </c>
      <c r="D170" s="71">
        <v>0.21002264153439842</v>
      </c>
    </row>
    <row r="171" spans="2:4" x14ac:dyDescent="0.15">
      <c r="B171" s="69">
        <v>154</v>
      </c>
      <c r="C171" s="70">
        <v>172.875137</v>
      </c>
      <c r="D171" s="71">
        <v>0.20672906745953551</v>
      </c>
    </row>
    <row r="172" spans="2:4" x14ac:dyDescent="0.15">
      <c r="B172" s="69">
        <v>155</v>
      </c>
      <c r="C172" s="70">
        <v>171.049744</v>
      </c>
      <c r="D172" s="71">
        <v>0.25450670311528739</v>
      </c>
    </row>
    <row r="173" spans="2:4" x14ac:dyDescent="0.15">
      <c r="B173" s="69">
        <v>156</v>
      </c>
      <c r="C173" s="70">
        <v>169.60337799999999</v>
      </c>
      <c r="D173" s="71">
        <v>0.2156740561232425</v>
      </c>
    </row>
    <row r="174" spans="2:4" x14ac:dyDescent="0.15">
      <c r="B174" s="69">
        <v>157</v>
      </c>
      <c r="C174" s="70">
        <v>168.41635099999999</v>
      </c>
      <c r="D174" s="71">
        <v>0.21037191134605288</v>
      </c>
    </row>
    <row r="175" spans="2:4" x14ac:dyDescent="0.15">
      <c r="B175" s="69">
        <v>158</v>
      </c>
      <c r="C175" s="70">
        <v>169.22431900000001</v>
      </c>
      <c r="D175" s="71">
        <v>0.20733525836164157</v>
      </c>
    </row>
    <row r="176" spans="2:4" x14ac:dyDescent="0.15">
      <c r="B176" s="69">
        <v>159</v>
      </c>
      <c r="C176" s="70">
        <v>168.396423</v>
      </c>
      <c r="D176" s="71">
        <v>0.20375648429917692</v>
      </c>
    </row>
    <row r="177" spans="2:4" x14ac:dyDescent="0.15">
      <c r="B177" s="69">
        <v>160</v>
      </c>
      <c r="C177" s="70">
        <v>169.154495</v>
      </c>
      <c r="D177" s="71">
        <v>0.20391309429799265</v>
      </c>
    </row>
    <row r="178" spans="2:4" x14ac:dyDescent="0.15">
      <c r="B178" s="69">
        <v>161</v>
      </c>
      <c r="C178" s="70">
        <v>168.027344</v>
      </c>
      <c r="D178" s="71">
        <v>0.2033830078270554</v>
      </c>
    </row>
    <row r="179" spans="2:4" x14ac:dyDescent="0.15">
      <c r="B179" s="69">
        <v>162</v>
      </c>
      <c r="C179" s="70">
        <v>169.24427800000001</v>
      </c>
      <c r="D179" s="71">
        <v>0.20671269028957603</v>
      </c>
    </row>
    <row r="180" spans="2:4" x14ac:dyDescent="0.15">
      <c r="B180" s="69">
        <v>163</v>
      </c>
      <c r="C180" s="70">
        <v>167.35902400000001</v>
      </c>
      <c r="D180" s="71">
        <v>0.20770380879358918</v>
      </c>
    </row>
    <row r="181" spans="2:4" x14ac:dyDescent="0.15">
      <c r="B181" s="69">
        <v>164</v>
      </c>
      <c r="C181" s="70">
        <v>174.60079999999999</v>
      </c>
      <c r="D181" s="71">
        <v>0.2173196787832142</v>
      </c>
    </row>
    <row r="182" spans="2:4" x14ac:dyDescent="0.15">
      <c r="B182" s="69">
        <v>165</v>
      </c>
      <c r="C182" s="70">
        <v>176.10702499999999</v>
      </c>
      <c r="D182" s="71">
        <v>0.37437018842293451</v>
      </c>
    </row>
    <row r="183" spans="2:4" x14ac:dyDescent="0.15">
      <c r="B183" s="69">
        <v>166</v>
      </c>
      <c r="C183" s="70">
        <v>172.256699</v>
      </c>
      <c r="D183" s="71">
        <v>0.21059310899977443</v>
      </c>
    </row>
    <row r="184" spans="2:4" x14ac:dyDescent="0.15">
      <c r="B184" s="69">
        <v>167</v>
      </c>
      <c r="C184" s="70">
        <v>168.955017</v>
      </c>
      <c r="D184" s="71">
        <v>0.2597118721193703</v>
      </c>
    </row>
    <row r="185" spans="2:4" x14ac:dyDescent="0.15">
      <c r="B185" s="69">
        <v>168</v>
      </c>
      <c r="C185" s="70">
        <v>167.57847599999999</v>
      </c>
      <c r="D185" s="71">
        <v>0.24717541360678943</v>
      </c>
    </row>
    <row r="186" spans="2:4" x14ac:dyDescent="0.15">
      <c r="B186" s="69">
        <v>169</v>
      </c>
      <c r="C186" s="70">
        <v>166.62088</v>
      </c>
      <c r="D186" s="71">
        <v>0.209684573618547</v>
      </c>
    </row>
    <row r="187" spans="2:4" x14ac:dyDescent="0.15">
      <c r="B187" s="69">
        <v>170</v>
      </c>
      <c r="C187" s="70">
        <v>164.58599899999999</v>
      </c>
      <c r="D187" s="71">
        <v>0.20510946521805656</v>
      </c>
    </row>
    <row r="188" spans="2:4" x14ac:dyDescent="0.15">
      <c r="B188" s="69">
        <v>171</v>
      </c>
      <c r="C188" s="70">
        <v>165.42387400000001</v>
      </c>
      <c r="D188" s="71">
        <v>0.22056354387866442</v>
      </c>
    </row>
    <row r="189" spans="2:4" x14ac:dyDescent="0.15">
      <c r="B189" s="69">
        <v>172</v>
      </c>
      <c r="C189" s="70">
        <v>166.48121599999999</v>
      </c>
      <c r="D189" s="71">
        <v>0.20414951982578242</v>
      </c>
    </row>
    <row r="190" spans="2:4" x14ac:dyDescent="0.15">
      <c r="B190" s="69">
        <v>173</v>
      </c>
      <c r="C190" s="70">
        <v>168.59591699999999</v>
      </c>
      <c r="D190" s="71">
        <v>0.20615914093954907</v>
      </c>
    </row>
    <row r="191" spans="2:4" x14ac:dyDescent="0.15">
      <c r="B191" s="69">
        <v>174</v>
      </c>
      <c r="C191" s="70">
        <v>169.46373</v>
      </c>
      <c r="D191" s="71">
        <v>0.2216128002582558</v>
      </c>
    </row>
    <row r="192" spans="2:4" x14ac:dyDescent="0.15">
      <c r="B192" s="69">
        <v>175</v>
      </c>
      <c r="C192" s="70">
        <v>168.875214</v>
      </c>
      <c r="D192" s="71">
        <v>0.20422777321156679</v>
      </c>
    </row>
    <row r="193" spans="2:4" x14ac:dyDescent="0.15">
      <c r="B193" s="69">
        <v>176</v>
      </c>
      <c r="C193" s="70">
        <v>173.06466699999999</v>
      </c>
      <c r="D193" s="71">
        <v>0.20227507772873249</v>
      </c>
    </row>
    <row r="194" spans="2:4" x14ac:dyDescent="0.15">
      <c r="B194" s="69">
        <v>177</v>
      </c>
      <c r="C194" s="70">
        <v>169.90263400000001</v>
      </c>
      <c r="D194" s="71">
        <v>0.27143441608204871</v>
      </c>
    </row>
    <row r="195" spans="2:4" x14ac:dyDescent="0.15">
      <c r="B195" s="69">
        <v>178</v>
      </c>
      <c r="C195" s="70">
        <v>168.875214</v>
      </c>
      <c r="D195" s="71">
        <v>0.24325592043320815</v>
      </c>
    </row>
    <row r="196" spans="2:4" x14ac:dyDescent="0.15">
      <c r="B196" s="69">
        <v>179</v>
      </c>
      <c r="C196" s="70">
        <v>172.59584000000001</v>
      </c>
      <c r="D196" s="71">
        <v>0.2056447512332189</v>
      </c>
    </row>
    <row r="197" spans="2:4" x14ac:dyDescent="0.15">
      <c r="B197" s="69">
        <v>180</v>
      </c>
      <c r="C197" s="70">
        <v>182.91987599999999</v>
      </c>
      <c r="D197" s="71">
        <v>0.25823247814715072</v>
      </c>
    </row>
    <row r="198" spans="2:4" x14ac:dyDescent="0.15">
      <c r="B198" s="69">
        <v>181</v>
      </c>
      <c r="C198" s="70">
        <v>181.25408899999999</v>
      </c>
      <c r="D198" s="71">
        <v>0.47766195129568667</v>
      </c>
    </row>
    <row r="199" spans="2:4" x14ac:dyDescent="0.15">
      <c r="B199" s="69">
        <v>182</v>
      </c>
      <c r="C199" s="70">
        <v>181.94232199999999</v>
      </c>
      <c r="D199" s="71">
        <v>0.21189910313269314</v>
      </c>
    </row>
    <row r="200" spans="2:4" x14ac:dyDescent="0.15">
      <c r="B200" s="69">
        <v>183</v>
      </c>
      <c r="C200" s="70">
        <v>182.28149400000001</v>
      </c>
      <c r="D200" s="71">
        <v>0.20258597551151608</v>
      </c>
    </row>
    <row r="201" spans="2:4" x14ac:dyDescent="0.15">
      <c r="B201" s="69">
        <v>184</v>
      </c>
      <c r="C201" s="70">
        <v>184.10690299999999</v>
      </c>
      <c r="D201" s="71">
        <v>0.2010832973145619</v>
      </c>
    </row>
    <row r="202" spans="2:4" x14ac:dyDescent="0.15">
      <c r="B202" s="69">
        <v>185</v>
      </c>
      <c r="C202" s="70">
        <v>182.83836400000001</v>
      </c>
      <c r="D202" s="71">
        <v>0.21393842195359566</v>
      </c>
    </row>
    <row r="203" spans="2:4" x14ac:dyDescent="0.15">
      <c r="B203" s="69">
        <v>186</v>
      </c>
      <c r="C203" s="70">
        <v>186.06463600000001</v>
      </c>
      <c r="D203" s="71">
        <v>0.20713048197064915</v>
      </c>
    </row>
    <row r="204" spans="2:4" x14ac:dyDescent="0.15">
      <c r="B204" s="69">
        <v>187</v>
      </c>
      <c r="C204" s="70">
        <v>187.213303</v>
      </c>
      <c r="D204" s="71">
        <v>0.2393251294421887</v>
      </c>
    </row>
    <row r="205" spans="2:4" x14ac:dyDescent="0.15">
      <c r="B205" s="69">
        <v>188</v>
      </c>
      <c r="C205" s="70">
        <v>189.50065599999999</v>
      </c>
      <c r="D205" s="71">
        <v>0.20579199152146119</v>
      </c>
    </row>
    <row r="206" spans="2:4" x14ac:dyDescent="0.15">
      <c r="B206" s="69">
        <v>189</v>
      </c>
      <c r="C206" s="70">
        <v>189.62051400000001</v>
      </c>
      <c r="D206" s="71">
        <v>0.22011914276183708</v>
      </c>
    </row>
    <row r="207" spans="2:4" x14ac:dyDescent="0.15">
      <c r="B207" s="69">
        <v>190</v>
      </c>
      <c r="C207" s="70">
        <v>189.65048200000001</v>
      </c>
      <c r="D207" s="71">
        <v>0.20065797352365145</v>
      </c>
    </row>
    <row r="208" spans="2:4" x14ac:dyDescent="0.15">
      <c r="B208" s="69">
        <v>191</v>
      </c>
      <c r="C208" s="70">
        <v>190.81912199999999</v>
      </c>
      <c r="D208" s="71">
        <v>0.20060596414870727</v>
      </c>
    </row>
    <row r="209" spans="2:4" x14ac:dyDescent="0.15">
      <c r="B209" s="69">
        <v>192</v>
      </c>
      <c r="C209" s="70">
        <v>192.12762499999999</v>
      </c>
      <c r="D209" s="71">
        <v>0.20577312307905971</v>
      </c>
    </row>
    <row r="210" spans="2:4" x14ac:dyDescent="0.15">
      <c r="B210" s="69">
        <v>193</v>
      </c>
      <c r="C210" s="70">
        <v>190.67929100000001</v>
      </c>
      <c r="D210" s="71">
        <v>0.20698226055735464</v>
      </c>
    </row>
    <row r="211" spans="2:4" x14ac:dyDescent="0.15">
      <c r="B211" s="69">
        <v>194</v>
      </c>
      <c r="C211" s="70">
        <v>186.66394</v>
      </c>
      <c r="D211" s="71">
        <v>0.20839730446142279</v>
      </c>
    </row>
    <row r="212" spans="2:4" x14ac:dyDescent="0.15">
      <c r="B212" s="69">
        <v>195</v>
      </c>
      <c r="C212" s="70">
        <v>189.760345</v>
      </c>
      <c r="D212" s="71">
        <v>0.25585508649016486</v>
      </c>
    </row>
    <row r="213" spans="2:4" x14ac:dyDescent="0.15">
      <c r="B213" s="69">
        <v>196</v>
      </c>
      <c r="C213" s="70">
        <v>189.770355</v>
      </c>
      <c r="D213" s="71">
        <v>0.23518463377428939</v>
      </c>
    </row>
    <row r="214" spans="2:4" x14ac:dyDescent="0.15">
      <c r="B214" s="69">
        <v>197</v>
      </c>
      <c r="C214" s="70">
        <v>190.06999200000001</v>
      </c>
      <c r="D214" s="71">
        <v>0.2006028845843055</v>
      </c>
    </row>
    <row r="215" spans="2:4" x14ac:dyDescent="0.15">
      <c r="B215" s="69">
        <v>198</v>
      </c>
      <c r="C215" s="70">
        <v>191.06883199999999</v>
      </c>
      <c r="D215" s="71">
        <v>0.20094763856695677</v>
      </c>
    </row>
    <row r="216" spans="2:4" x14ac:dyDescent="0.15">
      <c r="B216" s="69">
        <v>199</v>
      </c>
      <c r="C216" s="70">
        <v>192.027725</v>
      </c>
      <c r="D216" s="71">
        <v>0.20437942195771577</v>
      </c>
    </row>
    <row r="217" spans="2:4" x14ac:dyDescent="0.15">
      <c r="B217" s="69">
        <v>200</v>
      </c>
      <c r="C217" s="70">
        <v>193.80566400000001</v>
      </c>
      <c r="D217" s="71">
        <v>0.20405067131156851</v>
      </c>
    </row>
    <row r="218" spans="2:4" x14ac:dyDescent="0.15">
      <c r="B218" s="69">
        <v>201</v>
      </c>
      <c r="C218" s="70">
        <v>194.125305</v>
      </c>
      <c r="D218" s="71">
        <v>0.21206261039462787</v>
      </c>
    </row>
    <row r="219" spans="2:4" x14ac:dyDescent="0.15">
      <c r="B219" s="69">
        <v>202</v>
      </c>
      <c r="C219" s="70">
        <v>195.643539</v>
      </c>
      <c r="D219" s="71">
        <v>0.2009790191765832</v>
      </c>
    </row>
    <row r="220" spans="2:4" x14ac:dyDescent="0.15">
      <c r="B220" s="69">
        <v>203</v>
      </c>
      <c r="C220" s="70">
        <v>194.25514200000001</v>
      </c>
      <c r="D220" s="71">
        <v>0.20885536319025086</v>
      </c>
    </row>
    <row r="221" spans="2:4" x14ac:dyDescent="0.15">
      <c r="B221" s="69">
        <v>204</v>
      </c>
      <c r="C221" s="70">
        <v>196.66236900000001</v>
      </c>
      <c r="D221" s="71">
        <v>0.20752209965868321</v>
      </c>
    </row>
    <row r="222" spans="2:4" x14ac:dyDescent="0.15">
      <c r="B222" s="69">
        <v>205</v>
      </c>
      <c r="C222" s="70">
        <v>192.89671300000001</v>
      </c>
      <c r="D222" s="71">
        <v>0.22065081257885433</v>
      </c>
    </row>
    <row r="223" spans="2:4" x14ac:dyDescent="0.15">
      <c r="B223" s="69">
        <v>206</v>
      </c>
      <c r="C223" s="70">
        <v>206.910492</v>
      </c>
      <c r="D223" s="71">
        <v>0.24708922586957913</v>
      </c>
    </row>
    <row r="224" spans="2:4" x14ac:dyDescent="0.15">
      <c r="B224" s="69">
        <v>207</v>
      </c>
      <c r="C224" s="70">
        <v>212.823669</v>
      </c>
      <c r="D224" s="71">
        <v>0.56043788115126669</v>
      </c>
    </row>
    <row r="225" spans="2:4" x14ac:dyDescent="0.15">
      <c r="B225" s="69">
        <v>208</v>
      </c>
      <c r="C225" s="70">
        <v>213.99231</v>
      </c>
      <c r="D225" s="71">
        <v>0.29060103985433328</v>
      </c>
    </row>
    <row r="226" spans="2:4" x14ac:dyDescent="0.15">
      <c r="B226" s="69">
        <v>209</v>
      </c>
      <c r="C226" s="70">
        <v>212.244339</v>
      </c>
      <c r="D226" s="71">
        <v>0.20472183011181511</v>
      </c>
    </row>
    <row r="227" spans="2:4" x14ac:dyDescent="0.15">
      <c r="B227" s="69">
        <v>210</v>
      </c>
      <c r="C227" s="70">
        <v>216.41949500000001</v>
      </c>
      <c r="D227" s="71">
        <v>0.20973062240852194</v>
      </c>
    </row>
    <row r="228" spans="2:4" x14ac:dyDescent="0.15">
      <c r="B228" s="69">
        <v>211</v>
      </c>
      <c r="C228" s="70">
        <v>214.042236</v>
      </c>
      <c r="D228" s="71">
        <v>0.24773107244245859</v>
      </c>
    </row>
    <row r="229" spans="2:4" x14ac:dyDescent="0.15">
      <c r="B229" s="69">
        <v>212</v>
      </c>
      <c r="C229" s="70">
        <v>209.43757600000001</v>
      </c>
      <c r="D229" s="71">
        <v>0.21687325846393546</v>
      </c>
    </row>
    <row r="230" spans="2:4" x14ac:dyDescent="0.15">
      <c r="B230" s="69">
        <v>213</v>
      </c>
      <c r="C230" s="70">
        <v>207.250122</v>
      </c>
      <c r="D230" s="71">
        <v>0.25802125307876017</v>
      </c>
    </row>
    <row r="231" spans="2:4" x14ac:dyDescent="0.15">
      <c r="B231" s="69">
        <v>214</v>
      </c>
      <c r="C231" s="70">
        <v>207.89935299999999</v>
      </c>
      <c r="D231" s="71">
        <v>0.21535815678386844</v>
      </c>
    </row>
    <row r="232" spans="2:4" x14ac:dyDescent="0.15">
      <c r="B232" s="69">
        <v>215</v>
      </c>
      <c r="C232" s="70">
        <v>208.828293</v>
      </c>
      <c r="D232" s="71">
        <v>0.20195553050949694</v>
      </c>
    </row>
    <row r="233" spans="2:4" x14ac:dyDescent="0.15">
      <c r="B233" s="69">
        <v>216</v>
      </c>
      <c r="C233" s="70">
        <v>213.00344799999999</v>
      </c>
      <c r="D233" s="71">
        <v>0.20334215824364185</v>
      </c>
    </row>
    <row r="234" spans="2:4" x14ac:dyDescent="0.15">
      <c r="B234" s="69">
        <v>217</v>
      </c>
      <c r="C234" s="70">
        <v>213.85247799999999</v>
      </c>
      <c r="D234" s="71">
        <v>0.24911983683611741</v>
      </c>
    </row>
    <row r="235" spans="2:4" x14ac:dyDescent="0.15">
      <c r="B235" s="69">
        <v>218</v>
      </c>
      <c r="C235" s="70">
        <v>210.37647999999999</v>
      </c>
      <c r="D235" s="71">
        <v>0.20278676990232208</v>
      </c>
    </row>
    <row r="236" spans="2:4" x14ac:dyDescent="0.15">
      <c r="B236" s="69">
        <v>219</v>
      </c>
      <c r="C236" s="70">
        <v>216.499405</v>
      </c>
      <c r="D236" s="71">
        <v>0.23493450304717159</v>
      </c>
    </row>
    <row r="237" spans="2:4" x14ac:dyDescent="0.15">
      <c r="B237" s="69">
        <v>220</v>
      </c>
      <c r="C237" s="70">
        <v>220.01533499999999</v>
      </c>
      <c r="D237" s="71">
        <v>0.29337394627130775</v>
      </c>
    </row>
    <row r="238" spans="2:4" x14ac:dyDescent="0.15">
      <c r="B238" s="69">
        <v>221</v>
      </c>
      <c r="C238" s="70">
        <v>221.29385400000001</v>
      </c>
      <c r="D238" s="71">
        <v>0.23386041591390208</v>
      </c>
    </row>
    <row r="239" spans="2:4" x14ac:dyDescent="0.15">
      <c r="B239" s="69">
        <v>222</v>
      </c>
      <c r="C239" s="70">
        <v>226.07830799999999</v>
      </c>
      <c r="D239" s="71">
        <v>0.20520880761469878</v>
      </c>
    </row>
    <row r="240" spans="2:4" x14ac:dyDescent="0.15">
      <c r="B240" s="69">
        <v>223</v>
      </c>
      <c r="C240" s="70">
        <v>227.55661000000001</v>
      </c>
      <c r="D240" s="71">
        <v>0.25635112931116433</v>
      </c>
    </row>
    <row r="241" spans="2:4" x14ac:dyDescent="0.15">
      <c r="B241" s="69">
        <v>224</v>
      </c>
      <c r="C241" s="70">
        <v>228.415604</v>
      </c>
      <c r="D241" s="71">
        <v>0.20641350453012317</v>
      </c>
    </row>
    <row r="242" spans="2:4" x14ac:dyDescent="0.15">
      <c r="B242" s="69">
        <v>225</v>
      </c>
      <c r="C242" s="70">
        <v>232.710632</v>
      </c>
      <c r="D242" s="71">
        <v>0.20256300154474932</v>
      </c>
    </row>
    <row r="243" spans="2:4" x14ac:dyDescent="0.15">
      <c r="B243" s="69">
        <v>226</v>
      </c>
      <c r="C243" s="70">
        <v>227.30690000000001</v>
      </c>
      <c r="D243" s="71">
        <v>0.24405713415319394</v>
      </c>
    </row>
    <row r="244" spans="2:4" x14ac:dyDescent="0.15">
      <c r="B244" s="69">
        <v>227</v>
      </c>
      <c r="C244" s="70">
        <v>230.27345299999999</v>
      </c>
      <c r="D244" s="71">
        <v>0.26641282220975593</v>
      </c>
    </row>
    <row r="245" spans="2:4" x14ac:dyDescent="0.15">
      <c r="B245" s="69">
        <v>228</v>
      </c>
      <c r="C245" s="70">
        <v>234.128998</v>
      </c>
      <c r="D245" s="71">
        <v>0.22271615759959992</v>
      </c>
    </row>
    <row r="246" spans="2:4" x14ac:dyDescent="0.15">
      <c r="B246" s="69">
        <v>229</v>
      </c>
      <c r="C246" s="70">
        <v>234.54852299999999</v>
      </c>
      <c r="D246" s="71">
        <v>0.23578124076619955</v>
      </c>
    </row>
    <row r="247" spans="2:4" x14ac:dyDescent="0.15">
      <c r="B247" s="69">
        <v>230</v>
      </c>
      <c r="C247" s="70">
        <v>228.615387</v>
      </c>
      <c r="D247" s="71">
        <v>0.2010467889497074</v>
      </c>
    </row>
    <row r="248" spans="2:4" x14ac:dyDescent="0.15">
      <c r="B248" s="69">
        <v>231</v>
      </c>
      <c r="C248" s="70">
        <v>223.920807</v>
      </c>
      <c r="D248" s="71">
        <v>0.2771134073897295</v>
      </c>
    </row>
    <row r="249" spans="2:4" x14ac:dyDescent="0.15">
      <c r="B249" s="69">
        <v>232</v>
      </c>
      <c r="C249" s="70">
        <v>224.050659</v>
      </c>
      <c r="D249" s="71">
        <v>0.25339921146292282</v>
      </c>
    </row>
    <row r="250" spans="2:4" x14ac:dyDescent="0.15">
      <c r="B250" s="69">
        <v>233</v>
      </c>
      <c r="C250" s="70">
        <v>223.70107999999999</v>
      </c>
      <c r="D250" s="71">
        <v>0.20064913495855244</v>
      </c>
    </row>
    <row r="251" spans="2:4" x14ac:dyDescent="0.15">
      <c r="B251" s="69">
        <v>234</v>
      </c>
      <c r="C251" s="70">
        <v>224.74984699999999</v>
      </c>
      <c r="D251" s="71">
        <v>0.20094058701416145</v>
      </c>
    </row>
    <row r="252" spans="2:4" x14ac:dyDescent="0.15">
      <c r="B252" s="69">
        <v>235</v>
      </c>
      <c r="C252" s="70">
        <v>218.28732299999999</v>
      </c>
      <c r="D252" s="71">
        <v>0.2036159209194883</v>
      </c>
    </row>
    <row r="253" spans="2:4" x14ac:dyDescent="0.15">
      <c r="B253" s="69">
        <v>236</v>
      </c>
      <c r="C253" s="70">
        <v>217.23855599999999</v>
      </c>
      <c r="D253" s="71">
        <v>0.29603429397821912</v>
      </c>
    </row>
    <row r="254" spans="2:4" x14ac:dyDescent="0.15">
      <c r="B254" s="69">
        <v>237</v>
      </c>
      <c r="C254" s="70">
        <v>217.70800800000001</v>
      </c>
      <c r="D254" s="71">
        <v>0.20379601073849313</v>
      </c>
    </row>
    <row r="255" spans="2:4" x14ac:dyDescent="0.15">
      <c r="B255" s="69">
        <v>238</v>
      </c>
      <c r="C255" s="70">
        <v>217.987686</v>
      </c>
      <c r="D255" s="71">
        <v>0.20124814168854335</v>
      </c>
    </row>
    <row r="256" spans="2:4" x14ac:dyDescent="0.15">
      <c r="B256" s="69">
        <v>239</v>
      </c>
      <c r="C256" s="70">
        <v>218.547043</v>
      </c>
      <c r="D256" s="71">
        <v>0.2008311019170331</v>
      </c>
    </row>
    <row r="257" spans="2:4" x14ac:dyDescent="0.15">
      <c r="B257" s="69">
        <v>240</v>
      </c>
      <c r="C257" s="70">
        <v>221.82324199999999</v>
      </c>
      <c r="D257" s="71">
        <v>0.20151186254921483</v>
      </c>
    </row>
    <row r="258" spans="2:4" x14ac:dyDescent="0.15">
      <c r="B258" s="69">
        <v>241</v>
      </c>
      <c r="C258" s="70">
        <v>218.10754399999999</v>
      </c>
      <c r="D258" s="71">
        <v>0.22927850498857497</v>
      </c>
    </row>
    <row r="259" spans="2:4" x14ac:dyDescent="0.15">
      <c r="B259" s="69">
        <v>242</v>
      </c>
      <c r="C259" s="70">
        <v>219.60580400000001</v>
      </c>
      <c r="D259" s="71">
        <v>0.23691712569107359</v>
      </c>
    </row>
    <row r="260" spans="2:4" x14ac:dyDescent="0.15">
      <c r="B260" s="69">
        <v>243</v>
      </c>
      <c r="C260" s="70">
        <v>209.02806100000001</v>
      </c>
      <c r="D260" s="71">
        <v>0.20700431334092417</v>
      </c>
    </row>
    <row r="261" spans="2:4" x14ac:dyDescent="0.15">
      <c r="B261" s="69">
        <v>244</v>
      </c>
      <c r="C261" s="70">
        <v>206.99040199999999</v>
      </c>
      <c r="D261" s="71">
        <v>0.41943724011074984</v>
      </c>
    </row>
    <row r="262" spans="2:4" x14ac:dyDescent="0.15">
      <c r="B262" s="69">
        <v>245</v>
      </c>
      <c r="C262" s="70">
        <v>209.57742300000001</v>
      </c>
      <c r="D262" s="71">
        <v>0.21350511812967637</v>
      </c>
    </row>
    <row r="263" spans="2:4" x14ac:dyDescent="0.15">
      <c r="B263" s="69">
        <v>246</v>
      </c>
      <c r="C263" s="70">
        <v>213.06338500000001</v>
      </c>
      <c r="D263" s="71">
        <v>0.22097787350962697</v>
      </c>
    </row>
    <row r="264" spans="2:4" x14ac:dyDescent="0.15">
      <c r="B264" s="69">
        <v>247</v>
      </c>
      <c r="C264" s="70">
        <v>215.990005</v>
      </c>
      <c r="D264" s="71">
        <v>0.23535783717350231</v>
      </c>
    </row>
    <row r="265" spans="2:4" x14ac:dyDescent="0.15">
      <c r="B265" s="69">
        <v>248</v>
      </c>
      <c r="C265" s="70">
        <v>217.529999</v>
      </c>
      <c r="D265" s="71">
        <v>0.22495330315178019</v>
      </c>
    </row>
    <row r="266" spans="2:4" x14ac:dyDescent="0.15">
      <c r="B266" s="69">
        <v>249</v>
      </c>
      <c r="C266" s="70">
        <v>221.270004</v>
      </c>
      <c r="D266" s="71">
        <v>0.20748921198920353</v>
      </c>
    </row>
    <row r="267" spans="2:4" x14ac:dyDescent="0.15">
      <c r="B267" s="69">
        <v>250</v>
      </c>
      <c r="C267" s="70">
        <v>221.720001</v>
      </c>
      <c r="D267" s="71">
        <v>0.2375318136862109</v>
      </c>
    </row>
    <row r="268" spans="2:4" x14ac:dyDescent="0.15">
      <c r="B268" s="69">
        <v>251</v>
      </c>
      <c r="C268" s="70">
        <v>224.720001</v>
      </c>
      <c r="D268" s="71">
        <v>0.20117449442322</v>
      </c>
    </row>
    <row r="269" spans="2:4" x14ac:dyDescent="0.15">
      <c r="B269" s="69">
        <v>252</v>
      </c>
      <c r="C269" s="70">
        <v>226.050003</v>
      </c>
      <c r="D269" s="71">
        <v>0.22427334066708748</v>
      </c>
    </row>
    <row r="270" spans="2:4" x14ac:dyDescent="0.15">
      <c r="B270" s="69"/>
      <c r="C270" s="70"/>
      <c r="D270" s="71">
        <v>0.22729843750892953</v>
      </c>
    </row>
    <row r="271" spans="2:4" x14ac:dyDescent="0.15">
      <c r="B271" s="69"/>
      <c r="C271" s="70"/>
      <c r="D271" s="71"/>
    </row>
    <row r="272" spans="2:4" x14ac:dyDescent="0.15">
      <c r="B272" s="69"/>
      <c r="C272" s="70"/>
      <c r="D272" s="71"/>
    </row>
    <row r="273" spans="2:4" x14ac:dyDescent="0.15">
      <c r="B273" s="69"/>
      <c r="C273" s="70"/>
      <c r="D273" s="71"/>
    </row>
    <row r="274" spans="2:4" x14ac:dyDescent="0.15">
      <c r="B274" s="69"/>
      <c r="C274" s="70"/>
      <c r="D274" s="71"/>
    </row>
    <row r="275" spans="2:4" x14ac:dyDescent="0.15">
      <c r="B275" s="69"/>
      <c r="C275" s="70"/>
      <c r="D275" s="71"/>
    </row>
    <row r="276" spans="2:4" x14ac:dyDescent="0.15">
      <c r="B276" s="69"/>
      <c r="C276" s="70"/>
      <c r="D276" s="71"/>
    </row>
    <row r="277" spans="2:4" x14ac:dyDescent="0.15">
      <c r="B277" s="69"/>
      <c r="C277" s="70"/>
      <c r="D277" s="71"/>
    </row>
    <row r="278" spans="2:4" x14ac:dyDescent="0.15">
      <c r="B278" s="69"/>
      <c r="C278" s="70"/>
      <c r="D278" s="71"/>
    </row>
    <row r="279" spans="2:4" x14ac:dyDescent="0.15">
      <c r="B279" s="69"/>
      <c r="C279" s="70"/>
      <c r="D279" s="71"/>
    </row>
    <row r="280" spans="2:4" x14ac:dyDescent="0.15">
      <c r="B280" s="69"/>
      <c r="C280" s="70"/>
      <c r="D280" s="71"/>
    </row>
    <row r="281" spans="2:4" x14ac:dyDescent="0.15">
      <c r="B281" s="69"/>
      <c r="C281" s="70"/>
      <c r="D281" s="71"/>
    </row>
    <row r="282" spans="2:4" x14ac:dyDescent="0.15">
      <c r="B282" s="69"/>
      <c r="C282" s="70"/>
      <c r="D282" s="71"/>
    </row>
    <row r="283" spans="2:4" x14ac:dyDescent="0.15">
      <c r="B283" s="69"/>
      <c r="C283" s="70"/>
      <c r="D283" s="71"/>
    </row>
    <row r="284" spans="2:4" x14ac:dyDescent="0.15">
      <c r="B284" s="69"/>
      <c r="C284" s="70"/>
      <c r="D284" s="71"/>
    </row>
    <row r="285" spans="2:4" x14ac:dyDescent="0.15">
      <c r="B285" s="69"/>
      <c r="C285" s="70"/>
      <c r="D285" s="71"/>
    </row>
    <row r="286" spans="2:4" x14ac:dyDescent="0.15">
      <c r="B286" s="69"/>
      <c r="C286" s="70"/>
      <c r="D286" s="71"/>
    </row>
    <row r="287" spans="2:4" x14ac:dyDescent="0.15">
      <c r="B287" s="69"/>
      <c r="C287" s="70"/>
      <c r="D287" s="71"/>
    </row>
    <row r="288" spans="2:4" x14ac:dyDescent="0.15">
      <c r="B288" s="69"/>
      <c r="C288" s="70"/>
      <c r="D288" s="71"/>
    </row>
    <row r="289" spans="2:4" x14ac:dyDescent="0.15">
      <c r="B289" s="69"/>
      <c r="C289" s="70"/>
      <c r="D289" s="71"/>
    </row>
    <row r="290" spans="2:4" x14ac:dyDescent="0.15">
      <c r="B290" s="69"/>
      <c r="C290" s="70"/>
      <c r="D290" s="71"/>
    </row>
    <row r="291" spans="2:4" x14ac:dyDescent="0.15">
      <c r="B291" s="69"/>
      <c r="C291" s="70"/>
      <c r="D291" s="71"/>
    </row>
    <row r="292" spans="2:4" x14ac:dyDescent="0.15">
      <c r="B292" s="69"/>
      <c r="C292" s="70"/>
      <c r="D292" s="71"/>
    </row>
    <row r="293" spans="2:4" x14ac:dyDescent="0.15">
      <c r="B293" s="69"/>
      <c r="C293" s="70"/>
      <c r="D293" s="71"/>
    </row>
    <row r="294" spans="2:4" x14ac:dyDescent="0.15">
      <c r="B294" s="69"/>
      <c r="C294" s="70"/>
      <c r="D294" s="71"/>
    </row>
    <row r="295" spans="2:4" x14ac:dyDescent="0.15">
      <c r="B295" s="69"/>
      <c r="C295" s="70"/>
      <c r="D295" s="71"/>
    </row>
    <row r="296" spans="2:4" x14ac:dyDescent="0.15">
      <c r="B296" s="69"/>
      <c r="C296" s="70"/>
      <c r="D296" s="71"/>
    </row>
    <row r="297" spans="2:4" x14ac:dyDescent="0.15">
      <c r="B297" s="69"/>
      <c r="C297" s="70"/>
      <c r="D297" s="71"/>
    </row>
    <row r="298" spans="2:4" x14ac:dyDescent="0.15">
      <c r="B298" s="69"/>
      <c r="C298" s="70"/>
      <c r="D298" s="71"/>
    </row>
    <row r="299" spans="2:4" x14ac:dyDescent="0.15">
      <c r="B299" s="69"/>
      <c r="C299" s="70"/>
      <c r="D299" s="71"/>
    </row>
    <row r="300" spans="2:4" x14ac:dyDescent="0.15">
      <c r="B300" s="69"/>
      <c r="C300" s="70"/>
      <c r="D300" s="71"/>
    </row>
    <row r="301" spans="2:4" x14ac:dyDescent="0.15">
      <c r="B301" s="69"/>
      <c r="C301" s="70"/>
      <c r="D301" s="71"/>
    </row>
    <row r="302" spans="2:4" x14ac:dyDescent="0.15">
      <c r="B302" s="69"/>
      <c r="C302" s="70"/>
      <c r="D302" s="71"/>
    </row>
    <row r="303" spans="2:4" x14ac:dyDescent="0.15">
      <c r="B303" s="69"/>
      <c r="C303" s="70"/>
      <c r="D303" s="71"/>
    </row>
    <row r="304" spans="2:4" x14ac:dyDescent="0.15">
      <c r="B304" s="69"/>
      <c r="C304" s="70"/>
      <c r="D304" s="71"/>
    </row>
    <row r="305" spans="2:4" x14ac:dyDescent="0.15">
      <c r="B305" s="69"/>
      <c r="C305" s="70"/>
      <c r="D305" s="71"/>
    </row>
    <row r="306" spans="2:4" x14ac:dyDescent="0.15">
      <c r="B306" s="69"/>
      <c r="C306" s="70"/>
      <c r="D306" s="71"/>
    </row>
    <row r="307" spans="2:4" x14ac:dyDescent="0.15">
      <c r="B307" s="69"/>
      <c r="C307" s="70"/>
      <c r="D307" s="71"/>
    </row>
    <row r="308" spans="2:4" x14ac:dyDescent="0.15">
      <c r="B308" s="69"/>
      <c r="C308" s="70"/>
      <c r="D308" s="71"/>
    </row>
    <row r="309" spans="2:4" x14ac:dyDescent="0.15">
      <c r="B309" s="69"/>
      <c r="C309" s="70"/>
      <c r="D309" s="71"/>
    </row>
    <row r="310" spans="2:4" x14ac:dyDescent="0.15">
      <c r="B310" s="69"/>
      <c r="C310" s="70"/>
      <c r="D310" s="71"/>
    </row>
    <row r="311" spans="2:4" x14ac:dyDescent="0.15">
      <c r="B311" s="69"/>
      <c r="C311" s="70"/>
      <c r="D311" s="71"/>
    </row>
    <row r="312" spans="2:4" x14ac:dyDescent="0.15">
      <c r="B312" s="69"/>
      <c r="C312" s="70"/>
      <c r="D312" s="71"/>
    </row>
    <row r="313" spans="2:4" x14ac:dyDescent="0.15">
      <c r="B313" s="69"/>
      <c r="C313" s="70"/>
      <c r="D313" s="71"/>
    </row>
    <row r="314" spans="2:4" x14ac:dyDescent="0.15">
      <c r="B314" s="69"/>
      <c r="C314" s="70"/>
      <c r="D314" s="71"/>
    </row>
    <row r="315" spans="2:4" x14ac:dyDescent="0.15">
      <c r="B315" s="69"/>
      <c r="C315" s="70"/>
      <c r="D315" s="71"/>
    </row>
    <row r="316" spans="2:4" x14ac:dyDescent="0.15">
      <c r="B316" s="69"/>
      <c r="C316" s="70"/>
      <c r="D316" s="71"/>
    </row>
    <row r="317" spans="2:4" x14ac:dyDescent="0.15">
      <c r="B317" s="69"/>
      <c r="C317" s="70"/>
      <c r="D317" s="71"/>
    </row>
    <row r="318" spans="2:4" x14ac:dyDescent="0.15">
      <c r="B318" s="69"/>
      <c r="C318" s="70"/>
      <c r="D318" s="71"/>
    </row>
    <row r="319" spans="2:4" x14ac:dyDescent="0.15">
      <c r="B319" s="69"/>
      <c r="C319" s="70"/>
      <c r="D319" s="71"/>
    </row>
    <row r="320" spans="2:4" x14ac:dyDescent="0.15">
      <c r="B320" s="69"/>
      <c r="C320" s="70"/>
      <c r="D320" s="71"/>
    </row>
    <row r="321" spans="2:4" x14ac:dyDescent="0.15">
      <c r="B321" s="69"/>
      <c r="C321" s="70"/>
      <c r="D321" s="71"/>
    </row>
    <row r="322" spans="2:4" x14ac:dyDescent="0.15">
      <c r="B322" s="69"/>
      <c r="C322" s="70"/>
      <c r="D322" s="71"/>
    </row>
    <row r="323" spans="2:4" x14ac:dyDescent="0.15">
      <c r="B323" s="69"/>
      <c r="C323" s="70"/>
      <c r="D323" s="71"/>
    </row>
    <row r="324" spans="2:4" x14ac:dyDescent="0.15">
      <c r="B324" s="69"/>
      <c r="C324" s="70"/>
      <c r="D324" s="71"/>
    </row>
    <row r="325" spans="2:4" x14ac:dyDescent="0.15">
      <c r="B325" s="69"/>
      <c r="C325" s="70"/>
      <c r="D325" s="71"/>
    </row>
    <row r="326" spans="2:4" x14ac:dyDescent="0.15">
      <c r="B326" s="69"/>
      <c r="C326" s="70"/>
      <c r="D326" s="71"/>
    </row>
    <row r="327" spans="2:4" x14ac:dyDescent="0.15">
      <c r="B327" s="69"/>
      <c r="C327" s="70"/>
      <c r="D327" s="71"/>
    </row>
    <row r="328" spans="2:4" x14ac:dyDescent="0.15">
      <c r="B328" s="69"/>
      <c r="C328" s="70"/>
      <c r="D328" s="71"/>
    </row>
    <row r="329" spans="2:4" x14ac:dyDescent="0.15">
      <c r="B329" s="69"/>
      <c r="C329" s="70"/>
      <c r="D329" s="71"/>
    </row>
    <row r="330" spans="2:4" x14ac:dyDescent="0.15">
      <c r="B330" s="69"/>
      <c r="C330" s="70"/>
      <c r="D330" s="71"/>
    </row>
    <row r="331" spans="2:4" x14ac:dyDescent="0.15">
      <c r="B331" s="69"/>
      <c r="C331" s="70"/>
      <c r="D331" s="71"/>
    </row>
    <row r="332" spans="2:4" x14ac:dyDescent="0.15">
      <c r="B332" s="69"/>
      <c r="C332" s="70"/>
      <c r="D332" s="71"/>
    </row>
    <row r="333" spans="2:4" x14ac:dyDescent="0.15">
      <c r="B333" s="69"/>
      <c r="C333" s="70"/>
      <c r="D333" s="71"/>
    </row>
    <row r="334" spans="2:4" x14ac:dyDescent="0.15">
      <c r="B334" s="69"/>
      <c r="C334" s="70"/>
      <c r="D334" s="71"/>
    </row>
    <row r="335" spans="2:4" x14ac:dyDescent="0.15">
      <c r="B335" s="69"/>
      <c r="C335" s="70"/>
      <c r="D335" s="71"/>
    </row>
    <row r="336" spans="2:4" x14ac:dyDescent="0.15">
      <c r="B336" s="69"/>
      <c r="C336" s="70"/>
      <c r="D336" s="71"/>
    </row>
    <row r="337" spans="2:4" x14ac:dyDescent="0.15">
      <c r="B337" s="69"/>
      <c r="C337" s="70"/>
      <c r="D337" s="71"/>
    </row>
    <row r="338" spans="2:4" x14ac:dyDescent="0.15">
      <c r="B338" s="69"/>
      <c r="C338" s="70"/>
      <c r="D338" s="71"/>
    </row>
    <row r="339" spans="2:4" x14ac:dyDescent="0.15">
      <c r="B339" s="69"/>
      <c r="C339" s="70"/>
      <c r="D339" s="71"/>
    </row>
    <row r="340" spans="2:4" x14ac:dyDescent="0.15">
      <c r="B340" s="69"/>
      <c r="C340" s="70"/>
      <c r="D340" s="71"/>
    </row>
    <row r="341" spans="2:4" x14ac:dyDescent="0.15">
      <c r="B341" s="69"/>
      <c r="C341" s="70"/>
      <c r="D341" s="71"/>
    </row>
    <row r="342" spans="2:4" x14ac:dyDescent="0.15">
      <c r="B342" s="69"/>
      <c r="C342" s="70"/>
      <c r="D342" s="71"/>
    </row>
    <row r="343" spans="2:4" x14ac:dyDescent="0.15">
      <c r="B343" s="69"/>
      <c r="C343" s="70"/>
      <c r="D343" s="71"/>
    </row>
    <row r="344" spans="2:4" x14ac:dyDescent="0.15">
      <c r="B344" s="69"/>
      <c r="C344" s="70"/>
      <c r="D344" s="71"/>
    </row>
    <row r="345" spans="2:4" x14ac:dyDescent="0.15">
      <c r="B345" s="69"/>
      <c r="C345" s="70"/>
      <c r="D345" s="71"/>
    </row>
    <row r="346" spans="2:4" x14ac:dyDescent="0.15">
      <c r="B346" s="69"/>
      <c r="C346" s="70"/>
      <c r="D346" s="71"/>
    </row>
    <row r="347" spans="2:4" x14ac:dyDescent="0.15">
      <c r="B347" s="69"/>
      <c r="C347" s="70"/>
      <c r="D347" s="71"/>
    </row>
    <row r="348" spans="2:4" x14ac:dyDescent="0.15">
      <c r="B348" s="69"/>
      <c r="C348" s="70"/>
      <c r="D348" s="71"/>
    </row>
    <row r="349" spans="2:4" x14ac:dyDescent="0.15">
      <c r="B349" s="69"/>
      <c r="C349" s="70"/>
      <c r="D349" s="71"/>
    </row>
    <row r="350" spans="2:4" x14ac:dyDescent="0.15">
      <c r="B350" s="69"/>
      <c r="C350" s="70"/>
      <c r="D350" s="71"/>
    </row>
    <row r="351" spans="2:4" x14ac:dyDescent="0.15">
      <c r="B351" s="69"/>
      <c r="C351" s="70"/>
      <c r="D351" s="71"/>
    </row>
    <row r="352" spans="2:4" x14ac:dyDescent="0.15">
      <c r="B352" s="69"/>
      <c r="C352" s="70"/>
      <c r="D352" s="71"/>
    </row>
    <row r="353" spans="2:4" x14ac:dyDescent="0.15">
      <c r="B353" s="69"/>
      <c r="C353" s="70"/>
      <c r="D353" s="71"/>
    </row>
    <row r="354" spans="2:4" x14ac:dyDescent="0.15">
      <c r="B354" s="69"/>
      <c r="C354" s="70"/>
      <c r="D354" s="71"/>
    </row>
    <row r="355" spans="2:4" x14ac:dyDescent="0.15">
      <c r="B355" s="69"/>
      <c r="C355" s="70"/>
      <c r="D355" s="71"/>
    </row>
    <row r="356" spans="2:4" x14ac:dyDescent="0.15">
      <c r="B356" s="69"/>
      <c r="C356" s="70"/>
      <c r="D356" s="71"/>
    </row>
    <row r="357" spans="2:4" x14ac:dyDescent="0.15">
      <c r="B357" s="69"/>
      <c r="C357" s="70"/>
      <c r="D357" s="71"/>
    </row>
    <row r="358" spans="2:4" x14ac:dyDescent="0.15">
      <c r="B358" s="69"/>
      <c r="C358" s="70"/>
      <c r="D358" s="71"/>
    </row>
    <row r="359" spans="2:4" x14ac:dyDescent="0.15">
      <c r="B359" s="69"/>
      <c r="C359" s="70"/>
      <c r="D359" s="71"/>
    </row>
    <row r="360" spans="2:4" x14ac:dyDescent="0.15">
      <c r="B360" s="69"/>
      <c r="C360" s="70"/>
      <c r="D360" s="71"/>
    </row>
    <row r="361" spans="2:4" x14ac:dyDescent="0.15">
      <c r="B361" s="69"/>
      <c r="C361" s="70"/>
      <c r="D361" s="71"/>
    </row>
    <row r="362" spans="2:4" x14ac:dyDescent="0.15">
      <c r="B362" s="69"/>
      <c r="C362" s="70"/>
      <c r="D362" s="71"/>
    </row>
    <row r="363" spans="2:4" x14ac:dyDescent="0.15">
      <c r="B363" s="69"/>
      <c r="C363" s="70"/>
      <c r="D363" s="71"/>
    </row>
    <row r="364" spans="2:4" x14ac:dyDescent="0.15">
      <c r="B364" s="69"/>
      <c r="C364" s="70"/>
      <c r="D364" s="71"/>
    </row>
    <row r="365" spans="2:4" x14ac:dyDescent="0.15">
      <c r="B365" s="69"/>
      <c r="C365" s="70"/>
      <c r="D365" s="71"/>
    </row>
    <row r="366" spans="2:4" x14ac:dyDescent="0.15">
      <c r="B366" s="69"/>
      <c r="C366" s="70"/>
      <c r="D366" s="71"/>
    </row>
    <row r="367" spans="2:4" x14ac:dyDescent="0.15">
      <c r="B367" s="69"/>
      <c r="C367" s="70"/>
      <c r="D367" s="71"/>
    </row>
    <row r="368" spans="2:4" x14ac:dyDescent="0.15">
      <c r="B368" s="69"/>
      <c r="C368" s="70"/>
      <c r="D368" s="71"/>
    </row>
    <row r="369" spans="2:4" x14ac:dyDescent="0.15">
      <c r="B369" s="69"/>
      <c r="C369" s="70"/>
      <c r="D369" s="71"/>
    </row>
    <row r="370" spans="2:4" x14ac:dyDescent="0.15">
      <c r="B370" s="69"/>
      <c r="C370" s="70"/>
      <c r="D370" s="71"/>
    </row>
    <row r="371" spans="2:4" x14ac:dyDescent="0.15">
      <c r="B371" s="69"/>
      <c r="C371" s="70"/>
      <c r="D371" s="71"/>
    </row>
    <row r="372" spans="2:4" x14ac:dyDescent="0.15">
      <c r="B372" s="69"/>
      <c r="C372" s="70"/>
      <c r="D372" s="71"/>
    </row>
    <row r="373" spans="2:4" x14ac:dyDescent="0.15">
      <c r="B373" s="69"/>
      <c r="C373" s="70"/>
      <c r="D373" s="71"/>
    </row>
    <row r="374" spans="2:4" x14ac:dyDescent="0.15">
      <c r="B374" s="69"/>
      <c r="C374" s="70"/>
      <c r="D374" s="71"/>
    </row>
    <row r="375" spans="2:4" x14ac:dyDescent="0.15">
      <c r="B375" s="69"/>
      <c r="C375" s="70"/>
      <c r="D375" s="71"/>
    </row>
    <row r="376" spans="2:4" x14ac:dyDescent="0.15">
      <c r="B376" s="69"/>
      <c r="C376" s="70"/>
      <c r="D376" s="71"/>
    </row>
    <row r="377" spans="2:4" x14ac:dyDescent="0.15">
      <c r="B377" s="69"/>
      <c r="C377" s="70"/>
      <c r="D377" s="71"/>
    </row>
    <row r="378" spans="2:4" x14ac:dyDescent="0.15">
      <c r="B378" s="69"/>
      <c r="C378" s="70"/>
      <c r="D378" s="71"/>
    </row>
    <row r="379" spans="2:4" x14ac:dyDescent="0.15">
      <c r="B379" s="69"/>
      <c r="C379" s="70"/>
      <c r="D379" s="71"/>
    </row>
    <row r="380" spans="2:4" x14ac:dyDescent="0.15">
      <c r="B380" s="69"/>
      <c r="C380" s="70"/>
      <c r="D380" s="71"/>
    </row>
    <row r="381" spans="2:4" x14ac:dyDescent="0.15">
      <c r="B381" s="69"/>
      <c r="C381" s="70"/>
      <c r="D381" s="71"/>
    </row>
    <row r="382" spans="2:4" x14ac:dyDescent="0.15">
      <c r="B382" s="69"/>
      <c r="C382" s="70"/>
      <c r="D382" s="71"/>
    </row>
    <row r="383" spans="2:4" x14ac:dyDescent="0.15">
      <c r="B383" s="69"/>
      <c r="C383" s="70"/>
      <c r="D383" s="71"/>
    </row>
    <row r="384" spans="2:4" x14ac:dyDescent="0.15">
      <c r="B384" s="69"/>
      <c r="C384" s="70"/>
      <c r="D384" s="71"/>
    </row>
    <row r="385" spans="2:4" x14ac:dyDescent="0.15">
      <c r="B385" s="69"/>
      <c r="C385" s="70"/>
      <c r="D385" s="71"/>
    </row>
    <row r="386" spans="2:4" x14ac:dyDescent="0.15">
      <c r="B386" s="69"/>
      <c r="C386" s="70"/>
      <c r="D386" s="71"/>
    </row>
    <row r="387" spans="2:4" x14ac:dyDescent="0.15">
      <c r="B387" s="69"/>
      <c r="C387" s="70"/>
      <c r="D387" s="71"/>
    </row>
    <row r="388" spans="2:4" x14ac:dyDescent="0.15">
      <c r="B388" s="69"/>
      <c r="C388" s="70"/>
      <c r="D388" s="71"/>
    </row>
    <row r="389" spans="2:4" x14ac:dyDescent="0.15">
      <c r="B389" s="69"/>
      <c r="C389" s="70"/>
      <c r="D389" s="71"/>
    </row>
    <row r="390" spans="2:4" x14ac:dyDescent="0.15">
      <c r="B390" s="69"/>
      <c r="C390" s="70"/>
      <c r="D390" s="71"/>
    </row>
    <row r="391" spans="2:4" x14ac:dyDescent="0.15">
      <c r="B391" s="69"/>
      <c r="C391" s="70"/>
      <c r="D391" s="71"/>
    </row>
    <row r="392" spans="2:4" x14ac:dyDescent="0.15">
      <c r="B392" s="69"/>
      <c r="C392" s="70"/>
      <c r="D392" s="71"/>
    </row>
    <row r="393" spans="2:4" x14ac:dyDescent="0.15">
      <c r="B393" s="69"/>
      <c r="C393" s="70"/>
      <c r="D393" s="71"/>
    </row>
    <row r="394" spans="2:4" x14ac:dyDescent="0.15">
      <c r="B394" s="69"/>
      <c r="C394" s="70"/>
      <c r="D394" s="71"/>
    </row>
    <row r="395" spans="2:4" x14ac:dyDescent="0.15">
      <c r="B395" s="69"/>
      <c r="C395" s="70"/>
      <c r="D395" s="71"/>
    </row>
    <row r="396" spans="2:4" x14ac:dyDescent="0.15">
      <c r="B396" s="69"/>
      <c r="C396" s="70"/>
      <c r="D396" s="71"/>
    </row>
    <row r="397" spans="2:4" x14ac:dyDescent="0.15">
      <c r="B397" s="69"/>
      <c r="C397" s="70"/>
      <c r="D397" s="71"/>
    </row>
    <row r="398" spans="2:4" x14ac:dyDescent="0.15">
      <c r="B398" s="69"/>
      <c r="C398" s="70"/>
      <c r="D398" s="71"/>
    </row>
    <row r="399" spans="2:4" x14ac:dyDescent="0.15">
      <c r="B399" s="69"/>
      <c r="C399" s="70"/>
      <c r="D399" s="71"/>
    </row>
    <row r="400" spans="2:4" x14ac:dyDescent="0.15">
      <c r="B400" s="69"/>
      <c r="C400" s="70"/>
      <c r="D400" s="71"/>
    </row>
    <row r="401" spans="2:4" x14ac:dyDescent="0.15">
      <c r="B401" s="69"/>
      <c r="C401" s="70"/>
      <c r="D401" s="71"/>
    </row>
    <row r="402" spans="2:4" x14ac:dyDescent="0.15">
      <c r="B402" s="69"/>
      <c r="C402" s="70"/>
      <c r="D402" s="71"/>
    </row>
    <row r="403" spans="2:4" x14ac:dyDescent="0.15">
      <c r="B403" s="69"/>
      <c r="C403" s="70"/>
      <c r="D403" s="71"/>
    </row>
    <row r="404" spans="2:4" x14ac:dyDescent="0.15">
      <c r="B404" s="69"/>
      <c r="C404" s="70"/>
      <c r="D404" s="71"/>
    </row>
    <row r="405" spans="2:4" x14ac:dyDescent="0.15">
      <c r="B405" s="69"/>
      <c r="C405" s="70"/>
      <c r="D405" s="71"/>
    </row>
    <row r="406" spans="2:4" x14ac:dyDescent="0.15">
      <c r="B406" s="69"/>
      <c r="C406" s="70"/>
      <c r="D406" s="71"/>
    </row>
    <row r="407" spans="2:4" x14ac:dyDescent="0.15">
      <c r="B407" s="69"/>
      <c r="C407" s="70"/>
      <c r="D407" s="71"/>
    </row>
    <row r="408" spans="2:4" x14ac:dyDescent="0.15">
      <c r="B408" s="69"/>
      <c r="C408" s="70"/>
      <c r="D408" s="71"/>
    </row>
    <row r="409" spans="2:4" x14ac:dyDescent="0.15">
      <c r="B409" s="69"/>
      <c r="C409" s="70"/>
      <c r="D409" s="71"/>
    </row>
    <row r="410" spans="2:4" x14ac:dyDescent="0.15">
      <c r="B410" s="69"/>
      <c r="C410" s="70"/>
      <c r="D410" s="71"/>
    </row>
    <row r="411" spans="2:4" x14ac:dyDescent="0.15">
      <c r="B411" s="69"/>
      <c r="C411" s="70"/>
      <c r="D411" s="71"/>
    </row>
    <row r="412" spans="2:4" x14ac:dyDescent="0.15">
      <c r="B412" s="69"/>
      <c r="C412" s="70"/>
      <c r="D412" s="71"/>
    </row>
    <row r="413" spans="2:4" x14ac:dyDescent="0.15">
      <c r="B413" s="69"/>
      <c r="C413" s="70"/>
      <c r="D413" s="71"/>
    </row>
    <row r="414" spans="2:4" x14ac:dyDescent="0.15">
      <c r="B414" s="69"/>
      <c r="C414" s="70"/>
      <c r="D414" s="71"/>
    </row>
    <row r="415" spans="2:4" x14ac:dyDescent="0.15">
      <c r="B415" s="69"/>
      <c r="C415" s="70"/>
      <c r="D415" s="71"/>
    </row>
    <row r="416" spans="2:4" x14ac:dyDescent="0.15">
      <c r="B416" s="69"/>
      <c r="C416" s="70"/>
      <c r="D416" s="71"/>
    </row>
    <row r="417" spans="2:4" x14ac:dyDescent="0.15">
      <c r="B417" s="69"/>
      <c r="C417" s="70"/>
      <c r="D417" s="71"/>
    </row>
    <row r="418" spans="2:4" x14ac:dyDescent="0.15">
      <c r="B418" s="69"/>
      <c r="C418" s="70"/>
      <c r="D418" s="71"/>
    </row>
    <row r="419" spans="2:4" x14ac:dyDescent="0.15">
      <c r="B419" s="69"/>
      <c r="C419" s="70"/>
      <c r="D419" s="71"/>
    </row>
    <row r="420" spans="2:4" x14ac:dyDescent="0.15">
      <c r="B420" s="69"/>
      <c r="C420" s="70"/>
      <c r="D420" s="71"/>
    </row>
    <row r="421" spans="2:4" x14ac:dyDescent="0.15">
      <c r="B421" s="69"/>
      <c r="C421" s="70"/>
      <c r="D421" s="71"/>
    </row>
    <row r="422" spans="2:4" x14ac:dyDescent="0.15">
      <c r="B422" s="69"/>
      <c r="C422" s="70"/>
      <c r="D422" s="71"/>
    </row>
    <row r="423" spans="2:4" x14ac:dyDescent="0.15">
      <c r="B423" s="69"/>
      <c r="C423" s="70"/>
      <c r="D423" s="71"/>
    </row>
    <row r="424" spans="2:4" x14ac:dyDescent="0.15">
      <c r="B424" s="69"/>
      <c r="C424" s="70"/>
      <c r="D424" s="71"/>
    </row>
    <row r="425" spans="2:4" x14ac:dyDescent="0.15">
      <c r="B425" s="69"/>
      <c r="C425" s="70"/>
      <c r="D425" s="71"/>
    </row>
    <row r="426" spans="2:4" x14ac:dyDescent="0.15">
      <c r="B426" s="69"/>
      <c r="C426" s="70"/>
      <c r="D426" s="71"/>
    </row>
    <row r="427" spans="2:4" x14ac:dyDescent="0.15">
      <c r="B427" s="69"/>
      <c r="C427" s="70"/>
      <c r="D427" s="71"/>
    </row>
    <row r="428" spans="2:4" x14ac:dyDescent="0.15">
      <c r="B428" s="69"/>
      <c r="C428" s="70"/>
      <c r="D428" s="71"/>
    </row>
    <row r="429" spans="2:4" x14ac:dyDescent="0.15">
      <c r="B429" s="69"/>
      <c r="C429" s="70"/>
      <c r="D429" s="71"/>
    </row>
    <row r="430" spans="2:4" x14ac:dyDescent="0.15">
      <c r="B430" s="69"/>
      <c r="C430" s="70"/>
      <c r="D430" s="71"/>
    </row>
    <row r="431" spans="2:4" x14ac:dyDescent="0.15">
      <c r="B431" s="69"/>
      <c r="C431" s="70"/>
      <c r="D431" s="71"/>
    </row>
    <row r="432" spans="2:4" x14ac:dyDescent="0.15">
      <c r="B432" s="69"/>
      <c r="C432" s="70"/>
      <c r="D432" s="71"/>
    </row>
    <row r="433" spans="2:4" x14ac:dyDescent="0.15">
      <c r="B433" s="69"/>
      <c r="C433" s="70"/>
      <c r="D433" s="71"/>
    </row>
    <row r="434" spans="2:4" x14ac:dyDescent="0.15">
      <c r="B434" s="69"/>
      <c r="C434" s="70"/>
      <c r="D434" s="71"/>
    </row>
    <row r="435" spans="2:4" x14ac:dyDescent="0.15">
      <c r="B435" s="69"/>
      <c r="C435" s="70"/>
      <c r="D435" s="71"/>
    </row>
    <row r="436" spans="2:4" x14ac:dyDescent="0.15">
      <c r="B436" s="69"/>
      <c r="C436" s="70"/>
      <c r="D436" s="71"/>
    </row>
    <row r="437" spans="2:4" x14ac:dyDescent="0.15">
      <c r="B437" s="69"/>
      <c r="C437" s="70"/>
      <c r="D437" s="71"/>
    </row>
    <row r="438" spans="2:4" x14ac:dyDescent="0.15">
      <c r="B438" s="69"/>
      <c r="C438" s="70"/>
      <c r="D438" s="71"/>
    </row>
    <row r="439" spans="2:4" x14ac:dyDescent="0.15">
      <c r="B439" s="69"/>
      <c r="C439" s="70"/>
      <c r="D439" s="71"/>
    </row>
    <row r="440" spans="2:4" x14ac:dyDescent="0.15">
      <c r="B440" s="69"/>
      <c r="C440" s="70"/>
      <c r="D440" s="71"/>
    </row>
    <row r="441" spans="2:4" x14ac:dyDescent="0.15">
      <c r="B441" s="69"/>
      <c r="C441" s="70"/>
      <c r="D441" s="71"/>
    </row>
    <row r="442" spans="2:4" x14ac:dyDescent="0.15">
      <c r="B442" s="69"/>
      <c r="C442" s="70"/>
      <c r="D442" s="71"/>
    </row>
    <row r="443" spans="2:4" x14ac:dyDescent="0.15">
      <c r="B443" s="69"/>
      <c r="C443" s="70"/>
      <c r="D443" s="71"/>
    </row>
    <row r="444" spans="2:4" x14ac:dyDescent="0.15">
      <c r="B444" s="69"/>
      <c r="C444" s="70"/>
      <c r="D444" s="71"/>
    </row>
    <row r="445" spans="2:4" x14ac:dyDescent="0.15">
      <c r="B445" s="69"/>
      <c r="C445" s="70"/>
      <c r="D445" s="71"/>
    </row>
    <row r="446" spans="2:4" x14ac:dyDescent="0.15">
      <c r="B446" s="69"/>
      <c r="C446" s="70"/>
      <c r="D446" s="71"/>
    </row>
    <row r="447" spans="2:4" x14ac:dyDescent="0.15">
      <c r="B447" s="69"/>
      <c r="C447" s="70"/>
      <c r="D447" s="71"/>
    </row>
    <row r="448" spans="2:4" x14ac:dyDescent="0.15">
      <c r="B448" s="69"/>
      <c r="C448" s="70"/>
      <c r="D448" s="71"/>
    </row>
    <row r="449" spans="2:4" x14ac:dyDescent="0.15">
      <c r="B449" s="69"/>
      <c r="C449" s="70"/>
      <c r="D449" s="71"/>
    </row>
    <row r="450" spans="2:4" x14ac:dyDescent="0.15">
      <c r="B450" s="69"/>
      <c r="C450" s="70"/>
      <c r="D450" s="71"/>
    </row>
    <row r="451" spans="2:4" x14ac:dyDescent="0.15">
      <c r="B451" s="69"/>
      <c r="C451" s="70"/>
      <c r="D451" s="71"/>
    </row>
    <row r="452" spans="2:4" x14ac:dyDescent="0.15">
      <c r="B452" s="69"/>
      <c r="C452" s="70"/>
      <c r="D452" s="71"/>
    </row>
    <row r="453" spans="2:4" x14ac:dyDescent="0.15">
      <c r="B453" s="69"/>
      <c r="C453" s="70"/>
      <c r="D453" s="71"/>
    </row>
    <row r="454" spans="2:4" x14ac:dyDescent="0.15">
      <c r="B454" s="69"/>
      <c r="C454" s="70"/>
      <c r="D454" s="71"/>
    </row>
    <row r="455" spans="2:4" x14ac:dyDescent="0.15">
      <c r="B455" s="69"/>
      <c r="C455" s="70"/>
      <c r="D455" s="71"/>
    </row>
    <row r="456" spans="2:4" x14ac:dyDescent="0.15">
      <c r="B456" s="69"/>
      <c r="C456" s="70"/>
      <c r="D456" s="71"/>
    </row>
    <row r="457" spans="2:4" x14ac:dyDescent="0.15">
      <c r="B457" s="69"/>
      <c r="C457" s="70"/>
      <c r="D457" s="71"/>
    </row>
    <row r="458" spans="2:4" x14ac:dyDescent="0.15">
      <c r="B458" s="69"/>
      <c r="C458" s="70"/>
      <c r="D458" s="71"/>
    </row>
    <row r="459" spans="2:4" x14ac:dyDescent="0.15">
      <c r="B459" s="69"/>
      <c r="C459" s="70"/>
      <c r="D459" s="71"/>
    </row>
    <row r="460" spans="2:4" x14ac:dyDescent="0.15">
      <c r="B460" s="69"/>
      <c r="C460" s="70"/>
      <c r="D460" s="71"/>
    </row>
    <row r="461" spans="2:4" x14ac:dyDescent="0.15">
      <c r="B461" s="69"/>
      <c r="C461" s="70"/>
      <c r="D461" s="71"/>
    </row>
    <row r="462" spans="2:4" x14ac:dyDescent="0.15">
      <c r="B462" s="69"/>
      <c r="C462" s="70"/>
      <c r="D462" s="71"/>
    </row>
    <row r="463" spans="2:4" x14ac:dyDescent="0.15">
      <c r="B463" s="69"/>
      <c r="C463" s="70"/>
      <c r="D463" s="71"/>
    </row>
    <row r="464" spans="2:4" x14ac:dyDescent="0.15">
      <c r="B464" s="69"/>
      <c r="C464" s="70"/>
      <c r="D464" s="71"/>
    </row>
    <row r="465" spans="2:4" x14ac:dyDescent="0.15">
      <c r="B465" s="69"/>
      <c r="C465" s="70"/>
      <c r="D465" s="71"/>
    </row>
    <row r="466" spans="2:4" x14ac:dyDescent="0.15">
      <c r="B466" s="69"/>
      <c r="C466" s="70"/>
      <c r="D466" s="71"/>
    </row>
    <row r="467" spans="2:4" x14ac:dyDescent="0.15">
      <c r="B467" s="69"/>
      <c r="C467" s="70"/>
      <c r="D467" s="71"/>
    </row>
    <row r="468" spans="2:4" x14ac:dyDescent="0.15">
      <c r="B468" s="69"/>
      <c r="C468" s="70"/>
      <c r="D468" s="71"/>
    </row>
    <row r="469" spans="2:4" x14ac:dyDescent="0.15">
      <c r="B469" s="69"/>
      <c r="C469" s="70"/>
      <c r="D469" s="71"/>
    </row>
    <row r="470" spans="2:4" x14ac:dyDescent="0.15">
      <c r="B470" s="69"/>
      <c r="C470" s="70"/>
      <c r="D470" s="71"/>
    </row>
    <row r="471" spans="2:4" x14ac:dyDescent="0.15">
      <c r="B471" s="69"/>
      <c r="C471" s="70"/>
      <c r="D471" s="71"/>
    </row>
    <row r="472" spans="2:4" x14ac:dyDescent="0.15">
      <c r="B472" s="69"/>
      <c r="C472" s="70"/>
      <c r="D472" s="71"/>
    </row>
    <row r="473" spans="2:4" x14ac:dyDescent="0.15">
      <c r="B473" s="69"/>
      <c r="C473" s="70"/>
      <c r="D473" s="71"/>
    </row>
    <row r="474" spans="2:4" x14ac:dyDescent="0.15">
      <c r="B474" s="69"/>
      <c r="C474" s="70"/>
      <c r="D474" s="71"/>
    </row>
    <row r="475" spans="2:4" x14ac:dyDescent="0.15">
      <c r="B475" s="69"/>
      <c r="C475" s="70"/>
      <c r="D475" s="71"/>
    </row>
    <row r="476" spans="2:4" x14ac:dyDescent="0.15">
      <c r="B476" s="69"/>
      <c r="C476" s="70"/>
      <c r="D476" s="71"/>
    </row>
    <row r="477" spans="2:4" x14ac:dyDescent="0.15">
      <c r="B477" s="69"/>
      <c r="C477" s="70"/>
      <c r="D477" s="71"/>
    </row>
    <row r="478" spans="2:4" x14ac:dyDescent="0.15">
      <c r="B478" s="69"/>
      <c r="C478" s="70"/>
      <c r="D478" s="71"/>
    </row>
    <row r="479" spans="2:4" x14ac:dyDescent="0.15">
      <c r="B479" s="69"/>
      <c r="C479" s="70"/>
      <c r="D479" s="71"/>
    </row>
    <row r="480" spans="2:4" x14ac:dyDescent="0.15">
      <c r="B480" s="69"/>
      <c r="C480" s="70"/>
      <c r="D480" s="71"/>
    </row>
    <row r="481" spans="2:4" x14ac:dyDescent="0.15">
      <c r="B481" s="69"/>
      <c r="C481" s="70"/>
      <c r="D481" s="71"/>
    </row>
    <row r="482" spans="2:4" x14ac:dyDescent="0.15">
      <c r="B482" s="69"/>
      <c r="C482" s="70"/>
      <c r="D482" s="71"/>
    </row>
    <row r="483" spans="2:4" x14ac:dyDescent="0.15">
      <c r="B483" s="69"/>
      <c r="C483" s="70"/>
      <c r="D483" s="71"/>
    </row>
    <row r="484" spans="2:4" x14ac:dyDescent="0.15">
      <c r="B484" s="69"/>
      <c r="C484" s="70"/>
      <c r="D484" s="71"/>
    </row>
    <row r="485" spans="2:4" x14ac:dyDescent="0.15">
      <c r="B485" s="69"/>
      <c r="C485" s="70"/>
      <c r="D485" s="71"/>
    </row>
    <row r="486" spans="2:4" x14ac:dyDescent="0.15">
      <c r="B486" s="69"/>
      <c r="C486" s="70"/>
      <c r="D486" s="71"/>
    </row>
    <row r="487" spans="2:4" x14ac:dyDescent="0.15">
      <c r="B487" s="69"/>
      <c r="C487" s="70"/>
      <c r="D487" s="71"/>
    </row>
    <row r="488" spans="2:4" x14ac:dyDescent="0.15">
      <c r="B488" s="69"/>
      <c r="C488" s="70"/>
      <c r="D488" s="71"/>
    </row>
    <row r="489" spans="2:4" x14ac:dyDescent="0.15">
      <c r="B489" s="69"/>
      <c r="C489" s="70"/>
      <c r="D489" s="71"/>
    </row>
    <row r="490" spans="2:4" x14ac:dyDescent="0.15">
      <c r="B490" s="69"/>
      <c r="C490" s="70"/>
      <c r="D490" s="71"/>
    </row>
    <row r="491" spans="2:4" x14ac:dyDescent="0.15">
      <c r="B491" s="69"/>
      <c r="C491" s="70"/>
      <c r="D491" s="71"/>
    </row>
    <row r="492" spans="2:4" x14ac:dyDescent="0.15">
      <c r="B492" s="69"/>
      <c r="C492" s="70"/>
      <c r="D492" s="71"/>
    </row>
    <row r="493" spans="2:4" x14ac:dyDescent="0.15">
      <c r="B493" s="69"/>
      <c r="C493" s="70"/>
      <c r="D493" s="71"/>
    </row>
    <row r="494" spans="2:4" x14ac:dyDescent="0.15">
      <c r="B494" s="69"/>
      <c r="C494" s="70"/>
      <c r="D494" s="71"/>
    </row>
    <row r="495" spans="2:4" x14ac:dyDescent="0.15">
      <c r="B495" s="69"/>
      <c r="C495" s="70"/>
      <c r="D495" s="71"/>
    </row>
    <row r="496" spans="2:4" x14ac:dyDescent="0.15">
      <c r="B496" s="69"/>
      <c r="C496" s="70"/>
      <c r="D496" s="71"/>
    </row>
    <row r="497" spans="2:4" x14ac:dyDescent="0.15">
      <c r="B497" s="69"/>
      <c r="C497" s="70"/>
      <c r="D497" s="71"/>
    </row>
    <row r="498" spans="2:4" x14ac:dyDescent="0.15">
      <c r="B498" s="69"/>
      <c r="C498" s="70"/>
      <c r="D498" s="71"/>
    </row>
    <row r="499" spans="2:4" x14ac:dyDescent="0.15">
      <c r="B499" s="69"/>
      <c r="C499" s="70"/>
      <c r="D499" s="71"/>
    </row>
    <row r="500" spans="2:4" x14ac:dyDescent="0.15">
      <c r="B500" s="69"/>
      <c r="C500" s="70"/>
      <c r="D500" s="71"/>
    </row>
    <row r="501" spans="2:4" x14ac:dyDescent="0.15">
      <c r="B501" s="69"/>
      <c r="C501" s="70"/>
      <c r="D501" s="71"/>
    </row>
    <row r="502" spans="2:4" x14ac:dyDescent="0.15">
      <c r="B502" s="69"/>
      <c r="C502" s="70"/>
      <c r="D502" s="71"/>
    </row>
    <row r="503" spans="2:4" x14ac:dyDescent="0.15">
      <c r="B503" s="69"/>
      <c r="C503" s="70"/>
      <c r="D503" s="71"/>
    </row>
    <row r="504" spans="2:4" x14ac:dyDescent="0.15">
      <c r="B504" s="69"/>
      <c r="C504" s="70"/>
      <c r="D504" s="71"/>
    </row>
    <row r="505" spans="2:4" x14ac:dyDescent="0.15">
      <c r="B505" s="69"/>
      <c r="C505" s="70"/>
      <c r="D505" s="71"/>
    </row>
    <row r="506" spans="2:4" x14ac:dyDescent="0.15">
      <c r="B506" s="69"/>
      <c r="C506" s="70"/>
      <c r="D506" s="71"/>
    </row>
    <row r="507" spans="2:4" x14ac:dyDescent="0.15">
      <c r="B507" s="69"/>
      <c r="C507" s="70"/>
      <c r="D507" s="71"/>
    </row>
    <row r="508" spans="2:4" x14ac:dyDescent="0.15">
      <c r="B508" s="69"/>
      <c r="C508" s="70"/>
      <c r="D508" s="71"/>
    </row>
    <row r="509" spans="2:4" x14ac:dyDescent="0.15">
      <c r="B509" s="69"/>
      <c r="C509" s="70"/>
      <c r="D509" s="71"/>
    </row>
    <row r="510" spans="2:4" x14ac:dyDescent="0.15">
      <c r="B510" s="69"/>
      <c r="C510" s="70"/>
      <c r="D510" s="71"/>
    </row>
    <row r="511" spans="2:4" x14ac:dyDescent="0.15">
      <c r="B511" s="69"/>
      <c r="C511" s="70"/>
      <c r="D511" s="71"/>
    </row>
    <row r="512" spans="2:4" x14ac:dyDescent="0.15">
      <c r="B512" s="69"/>
      <c r="C512" s="70"/>
      <c r="D512" s="71"/>
    </row>
    <row r="513" spans="2:4" x14ac:dyDescent="0.15">
      <c r="B513" s="69"/>
      <c r="C513" s="70"/>
      <c r="D513" s="71"/>
    </row>
    <row r="514" spans="2:4" x14ac:dyDescent="0.15">
      <c r="B514" s="69"/>
      <c r="C514" s="70"/>
      <c r="D514" s="71"/>
    </row>
    <row r="515" spans="2:4" x14ac:dyDescent="0.15">
      <c r="B515" s="69"/>
      <c r="C515" s="70"/>
      <c r="D515" s="71"/>
    </row>
    <row r="516" spans="2:4" x14ac:dyDescent="0.15">
      <c r="B516" s="69"/>
      <c r="C516" s="70"/>
      <c r="D516" s="71"/>
    </row>
    <row r="517" spans="2:4" x14ac:dyDescent="0.15">
      <c r="B517" s="69"/>
      <c r="C517" s="70"/>
      <c r="D517" s="71"/>
    </row>
    <row r="518" spans="2:4" x14ac:dyDescent="0.15">
      <c r="B518" s="69"/>
      <c r="C518" s="70"/>
      <c r="D518" s="71"/>
    </row>
    <row r="519" spans="2:4" x14ac:dyDescent="0.15">
      <c r="B519" s="69"/>
      <c r="C519" s="70"/>
      <c r="D519" s="71"/>
    </row>
    <row r="520" spans="2:4" x14ac:dyDescent="0.15">
      <c r="B520" s="69"/>
      <c r="C520" s="70"/>
      <c r="D520" s="71"/>
    </row>
    <row r="521" spans="2:4" x14ac:dyDescent="0.15">
      <c r="B521" s="69"/>
      <c r="C521" s="70"/>
      <c r="D521" s="71"/>
    </row>
    <row r="522" spans="2:4" x14ac:dyDescent="0.15">
      <c r="B522" s="69"/>
      <c r="C522" s="70"/>
      <c r="D522" s="71"/>
    </row>
    <row r="523" spans="2:4" x14ac:dyDescent="0.15">
      <c r="B523" s="69"/>
      <c r="C523" s="70"/>
      <c r="D523" s="71"/>
    </row>
    <row r="524" spans="2:4" x14ac:dyDescent="0.15">
      <c r="B524" s="69"/>
      <c r="C524" s="70"/>
      <c r="D524" s="71"/>
    </row>
    <row r="525" spans="2:4" x14ac:dyDescent="0.15">
      <c r="B525" s="69"/>
      <c r="C525" s="70"/>
      <c r="D525" s="71"/>
    </row>
    <row r="526" spans="2:4" x14ac:dyDescent="0.15">
      <c r="B526" s="69"/>
      <c r="C526" s="70"/>
      <c r="D526" s="71"/>
    </row>
    <row r="527" spans="2:4" x14ac:dyDescent="0.15">
      <c r="B527" s="69"/>
      <c r="C527" s="70"/>
      <c r="D527" s="71"/>
    </row>
    <row r="528" spans="2:4" x14ac:dyDescent="0.15">
      <c r="B528" s="69"/>
      <c r="C528" s="70"/>
      <c r="D528" s="71"/>
    </row>
    <row r="529" spans="2:4" x14ac:dyDescent="0.15">
      <c r="B529" s="69"/>
      <c r="C529" s="70"/>
      <c r="D529" s="71"/>
    </row>
    <row r="530" spans="2:4" x14ac:dyDescent="0.15">
      <c r="B530" s="69"/>
      <c r="C530" s="70"/>
      <c r="D530" s="71"/>
    </row>
    <row r="531" spans="2:4" x14ac:dyDescent="0.15">
      <c r="B531" s="69"/>
      <c r="C531" s="70"/>
      <c r="D531" s="71"/>
    </row>
    <row r="532" spans="2:4" x14ac:dyDescent="0.15">
      <c r="B532" s="69"/>
      <c r="C532" s="70"/>
      <c r="D532" s="71"/>
    </row>
    <row r="533" spans="2:4" x14ac:dyDescent="0.15">
      <c r="B533" s="69"/>
      <c r="C533" s="70"/>
      <c r="D533" s="71"/>
    </row>
    <row r="534" spans="2:4" x14ac:dyDescent="0.15">
      <c r="B534" s="69"/>
      <c r="C534" s="70"/>
      <c r="D534" s="71"/>
    </row>
    <row r="535" spans="2:4" x14ac:dyDescent="0.15">
      <c r="B535" s="69"/>
      <c r="C535" s="70"/>
      <c r="D535" s="71"/>
    </row>
    <row r="536" spans="2:4" x14ac:dyDescent="0.15">
      <c r="B536" s="69"/>
      <c r="C536" s="70"/>
      <c r="D536" s="71"/>
    </row>
    <row r="537" spans="2:4" x14ac:dyDescent="0.15">
      <c r="B537" s="69"/>
      <c r="C537" s="70"/>
      <c r="D537" s="71"/>
    </row>
    <row r="538" spans="2:4" x14ac:dyDescent="0.15">
      <c r="B538" s="69"/>
      <c r="C538" s="70"/>
      <c r="D538" s="71"/>
    </row>
    <row r="539" spans="2:4" x14ac:dyDescent="0.15">
      <c r="B539" s="69"/>
      <c r="C539" s="70"/>
      <c r="D539" s="71"/>
    </row>
    <row r="540" spans="2:4" x14ac:dyDescent="0.15">
      <c r="B540" s="69"/>
      <c r="C540" s="70"/>
      <c r="D540" s="71"/>
    </row>
    <row r="541" spans="2:4" x14ac:dyDescent="0.15">
      <c r="B541" s="69"/>
      <c r="C541" s="70"/>
      <c r="D541" s="71"/>
    </row>
    <row r="542" spans="2:4" x14ac:dyDescent="0.15">
      <c r="B542" s="69"/>
      <c r="C542" s="70"/>
      <c r="D542" s="71"/>
    </row>
    <row r="543" spans="2:4" x14ac:dyDescent="0.15">
      <c r="B543" s="69"/>
      <c r="C543" s="70"/>
      <c r="D543" s="71"/>
    </row>
    <row r="544" spans="2:4" x14ac:dyDescent="0.15">
      <c r="B544" s="69"/>
      <c r="C544" s="70"/>
      <c r="D544" s="71"/>
    </row>
    <row r="545" spans="2:4" x14ac:dyDescent="0.15">
      <c r="B545" s="69"/>
      <c r="C545" s="70"/>
      <c r="D545" s="71"/>
    </row>
    <row r="546" spans="2:4" x14ac:dyDescent="0.15">
      <c r="B546" s="69"/>
      <c r="C546" s="70"/>
      <c r="D546" s="71"/>
    </row>
    <row r="547" spans="2:4" x14ac:dyDescent="0.15">
      <c r="B547" s="69"/>
      <c r="C547" s="70"/>
      <c r="D547" s="71"/>
    </row>
    <row r="548" spans="2:4" x14ac:dyDescent="0.15">
      <c r="B548" s="69"/>
      <c r="C548" s="70"/>
      <c r="D548" s="71"/>
    </row>
    <row r="549" spans="2:4" x14ac:dyDescent="0.15">
      <c r="B549" s="69"/>
      <c r="C549" s="70"/>
      <c r="D549" s="71"/>
    </row>
    <row r="550" spans="2:4" x14ac:dyDescent="0.15">
      <c r="B550" s="69"/>
      <c r="C550" s="70"/>
      <c r="D550" s="71"/>
    </row>
    <row r="551" spans="2:4" x14ac:dyDescent="0.15">
      <c r="B551" s="69"/>
      <c r="C551" s="70"/>
      <c r="D551" s="71"/>
    </row>
    <row r="552" spans="2:4" x14ac:dyDescent="0.15">
      <c r="B552" s="69"/>
      <c r="C552" s="70"/>
      <c r="D552" s="71"/>
    </row>
    <row r="553" spans="2:4" x14ac:dyDescent="0.15">
      <c r="B553" s="69"/>
      <c r="C553" s="70"/>
      <c r="D553" s="71"/>
    </row>
    <row r="554" spans="2:4" x14ac:dyDescent="0.15">
      <c r="B554" s="69"/>
      <c r="C554" s="70"/>
      <c r="D554" s="71"/>
    </row>
    <row r="555" spans="2:4" x14ac:dyDescent="0.15">
      <c r="B555" s="69"/>
      <c r="C555" s="70"/>
      <c r="D555" s="71"/>
    </row>
    <row r="556" spans="2:4" x14ac:dyDescent="0.15">
      <c r="B556" s="69"/>
      <c r="C556" s="70"/>
      <c r="D556" s="71"/>
    </row>
    <row r="557" spans="2:4" x14ac:dyDescent="0.15">
      <c r="B557" s="69"/>
      <c r="C557" s="70"/>
      <c r="D557" s="71"/>
    </row>
    <row r="558" spans="2:4" x14ac:dyDescent="0.15">
      <c r="B558" s="69"/>
      <c r="C558" s="70"/>
      <c r="D558" s="71"/>
    </row>
    <row r="559" spans="2:4" x14ac:dyDescent="0.15">
      <c r="B559" s="69"/>
      <c r="C559" s="70"/>
      <c r="D559" s="71"/>
    </row>
    <row r="560" spans="2:4" x14ac:dyDescent="0.15">
      <c r="B560" s="69"/>
      <c r="C560" s="70"/>
      <c r="D560" s="71"/>
    </row>
    <row r="561" spans="2:4" x14ac:dyDescent="0.15">
      <c r="B561" s="69"/>
      <c r="C561" s="70"/>
      <c r="D561" s="71"/>
    </row>
    <row r="562" spans="2:4" x14ac:dyDescent="0.15">
      <c r="B562" s="69"/>
      <c r="C562" s="70"/>
      <c r="D562" s="71"/>
    </row>
    <row r="563" spans="2:4" x14ac:dyDescent="0.15">
      <c r="B563" s="69"/>
      <c r="C563" s="70"/>
      <c r="D563" s="71"/>
    </row>
    <row r="564" spans="2:4" x14ac:dyDescent="0.15">
      <c r="B564" s="69"/>
      <c r="C564" s="70"/>
      <c r="D564" s="71"/>
    </row>
    <row r="565" spans="2:4" x14ac:dyDescent="0.15">
      <c r="B565" s="69"/>
      <c r="C565" s="70"/>
      <c r="D565" s="71"/>
    </row>
    <row r="566" spans="2:4" x14ac:dyDescent="0.15">
      <c r="B566" s="69"/>
      <c r="C566" s="70"/>
      <c r="D566" s="71"/>
    </row>
    <row r="567" spans="2:4" x14ac:dyDescent="0.15">
      <c r="B567" s="69"/>
      <c r="C567" s="70"/>
      <c r="D567" s="71"/>
    </row>
    <row r="568" spans="2:4" x14ac:dyDescent="0.15">
      <c r="B568" s="69"/>
      <c r="C568" s="70"/>
      <c r="D568" s="71"/>
    </row>
    <row r="569" spans="2:4" x14ac:dyDescent="0.15">
      <c r="B569" s="69"/>
      <c r="C569" s="70"/>
      <c r="D569" s="71"/>
    </row>
    <row r="570" spans="2:4" x14ac:dyDescent="0.15">
      <c r="B570" s="69"/>
      <c r="C570" s="70"/>
      <c r="D570" s="71"/>
    </row>
    <row r="571" spans="2:4" x14ac:dyDescent="0.15">
      <c r="B571" s="69"/>
      <c r="C571" s="70"/>
      <c r="D571" s="71"/>
    </row>
    <row r="572" spans="2:4" x14ac:dyDescent="0.15">
      <c r="B572" s="69"/>
      <c r="C572" s="70"/>
      <c r="D572" s="71"/>
    </row>
    <row r="573" spans="2:4" x14ac:dyDescent="0.15">
      <c r="B573" s="69"/>
      <c r="C573" s="70"/>
      <c r="D573" s="71"/>
    </row>
    <row r="574" spans="2:4" x14ac:dyDescent="0.15">
      <c r="B574" s="69"/>
      <c r="C574" s="70"/>
      <c r="D574" s="71"/>
    </row>
    <row r="575" spans="2:4" x14ac:dyDescent="0.15">
      <c r="B575" s="69"/>
      <c r="C575" s="70"/>
      <c r="D575" s="71"/>
    </row>
    <row r="576" spans="2:4" x14ac:dyDescent="0.15">
      <c r="B576" s="69"/>
      <c r="C576" s="70"/>
      <c r="D576" s="71"/>
    </row>
    <row r="577" spans="2:4" x14ac:dyDescent="0.15">
      <c r="B577" s="69"/>
      <c r="C577" s="70"/>
      <c r="D577" s="71"/>
    </row>
    <row r="578" spans="2:4" x14ac:dyDescent="0.15">
      <c r="B578" s="69"/>
      <c r="C578" s="70"/>
      <c r="D578" s="71"/>
    </row>
    <row r="579" spans="2:4" x14ac:dyDescent="0.15">
      <c r="B579" s="69"/>
      <c r="C579" s="70"/>
      <c r="D579" s="71"/>
    </row>
    <row r="580" spans="2:4" x14ac:dyDescent="0.15">
      <c r="B580" s="69"/>
      <c r="C580" s="70"/>
      <c r="D580" s="71"/>
    </row>
    <row r="581" spans="2:4" x14ac:dyDescent="0.15">
      <c r="B581" s="69"/>
      <c r="C581" s="70"/>
      <c r="D581" s="71"/>
    </row>
    <row r="582" spans="2:4" x14ac:dyDescent="0.15">
      <c r="B582" s="69"/>
      <c r="C582" s="70"/>
      <c r="D582" s="71"/>
    </row>
    <row r="583" spans="2:4" x14ac:dyDescent="0.15">
      <c r="B583" s="69"/>
      <c r="C583" s="70"/>
      <c r="D583" s="71"/>
    </row>
    <row r="584" spans="2:4" x14ac:dyDescent="0.15">
      <c r="B584" s="69"/>
      <c r="C584" s="70"/>
      <c r="D584" s="71"/>
    </row>
    <row r="585" spans="2:4" x14ac:dyDescent="0.15">
      <c r="B585" s="69"/>
      <c r="C585" s="70"/>
      <c r="D585" s="71"/>
    </row>
    <row r="586" spans="2:4" x14ac:dyDescent="0.15">
      <c r="B586" s="69"/>
      <c r="C586" s="70"/>
      <c r="D586" s="71"/>
    </row>
    <row r="587" spans="2:4" x14ac:dyDescent="0.15">
      <c r="B587" s="69"/>
      <c r="C587" s="70"/>
      <c r="D587" s="71"/>
    </row>
    <row r="588" spans="2:4" x14ac:dyDescent="0.15">
      <c r="B588" s="69"/>
      <c r="C588" s="70"/>
      <c r="D588" s="71"/>
    </row>
    <row r="589" spans="2:4" x14ac:dyDescent="0.15">
      <c r="B589" s="69"/>
      <c r="C589" s="70"/>
      <c r="D589" s="71"/>
    </row>
    <row r="590" spans="2:4" x14ac:dyDescent="0.15">
      <c r="B590" s="69"/>
      <c r="C590" s="70"/>
      <c r="D590" s="71"/>
    </row>
    <row r="591" spans="2:4" x14ac:dyDescent="0.15">
      <c r="B591" s="69"/>
      <c r="C591" s="70"/>
      <c r="D591" s="71"/>
    </row>
    <row r="592" spans="2:4" x14ac:dyDescent="0.15">
      <c r="B592" s="69"/>
      <c r="C592" s="70"/>
      <c r="D592" s="71"/>
    </row>
    <row r="593" spans="2:4" x14ac:dyDescent="0.15">
      <c r="B593" s="69"/>
      <c r="C593" s="70"/>
      <c r="D593" s="71"/>
    </row>
    <row r="594" spans="2:4" x14ac:dyDescent="0.15">
      <c r="B594" s="69"/>
      <c r="C594" s="70"/>
      <c r="D594" s="71"/>
    </row>
    <row r="595" spans="2:4" x14ac:dyDescent="0.15">
      <c r="B595" s="69"/>
      <c r="C595" s="70"/>
      <c r="D595" s="71"/>
    </row>
    <row r="596" spans="2:4" x14ac:dyDescent="0.15">
      <c r="B596" s="69"/>
      <c r="C596" s="70"/>
      <c r="D596" s="71"/>
    </row>
    <row r="597" spans="2:4" x14ac:dyDescent="0.15">
      <c r="B597" s="69"/>
      <c r="C597" s="70"/>
      <c r="D597" s="71"/>
    </row>
    <row r="598" spans="2:4" x14ac:dyDescent="0.15">
      <c r="B598" s="69"/>
      <c r="C598" s="70"/>
      <c r="D598" s="71"/>
    </row>
    <row r="599" spans="2:4" x14ac:dyDescent="0.15">
      <c r="B599" s="69"/>
      <c r="C599" s="70"/>
      <c r="D599" s="71"/>
    </row>
    <row r="600" spans="2:4" x14ac:dyDescent="0.15">
      <c r="B600" s="69"/>
      <c r="C600" s="70"/>
      <c r="D600" s="71"/>
    </row>
    <row r="601" spans="2:4" x14ac:dyDescent="0.15">
      <c r="B601" s="69"/>
      <c r="C601" s="70"/>
      <c r="D601" s="71"/>
    </row>
    <row r="602" spans="2:4" x14ac:dyDescent="0.15">
      <c r="B602" s="69"/>
      <c r="C602" s="70"/>
      <c r="D602" s="71"/>
    </row>
    <row r="603" spans="2:4" x14ac:dyDescent="0.15">
      <c r="B603" s="69"/>
      <c r="C603" s="70"/>
      <c r="D603" s="71"/>
    </row>
    <row r="604" spans="2:4" x14ac:dyDescent="0.15">
      <c r="B604" s="69"/>
      <c r="C604" s="70"/>
      <c r="D604" s="71"/>
    </row>
    <row r="605" spans="2:4" x14ac:dyDescent="0.15">
      <c r="B605" s="69"/>
      <c r="C605" s="70"/>
      <c r="D605" s="71"/>
    </row>
    <row r="606" spans="2:4" x14ac:dyDescent="0.15">
      <c r="B606" s="69"/>
      <c r="C606" s="70"/>
      <c r="D606" s="71"/>
    </row>
    <row r="607" spans="2:4" x14ac:dyDescent="0.15">
      <c r="B607" s="69"/>
      <c r="C607" s="70"/>
      <c r="D607" s="71"/>
    </row>
    <row r="608" spans="2:4" x14ac:dyDescent="0.15">
      <c r="B608" s="69"/>
      <c r="C608" s="70"/>
      <c r="D608" s="71"/>
    </row>
    <row r="609" spans="2:4" x14ac:dyDescent="0.15">
      <c r="B609" s="69"/>
      <c r="C609" s="70"/>
      <c r="D609" s="71"/>
    </row>
    <row r="610" spans="2:4" x14ac:dyDescent="0.15">
      <c r="B610" s="69"/>
      <c r="C610" s="70"/>
      <c r="D610" s="71"/>
    </row>
    <row r="611" spans="2:4" x14ac:dyDescent="0.15">
      <c r="B611" s="69"/>
      <c r="C611" s="70"/>
      <c r="D611" s="71"/>
    </row>
    <row r="612" spans="2:4" x14ac:dyDescent="0.15">
      <c r="B612" s="69"/>
      <c r="C612" s="70"/>
      <c r="D612" s="71"/>
    </row>
    <row r="613" spans="2:4" x14ac:dyDescent="0.15">
      <c r="B613" s="69"/>
      <c r="C613" s="70"/>
      <c r="D613" s="71"/>
    </row>
    <row r="614" spans="2:4" x14ac:dyDescent="0.15">
      <c r="B614" s="69"/>
      <c r="C614" s="70"/>
      <c r="D614" s="71"/>
    </row>
    <row r="615" spans="2:4" x14ac:dyDescent="0.15">
      <c r="B615" s="69"/>
      <c r="C615" s="70"/>
      <c r="D615" s="71"/>
    </row>
    <row r="616" spans="2:4" x14ac:dyDescent="0.15">
      <c r="B616" s="69"/>
      <c r="C616" s="70"/>
      <c r="D616" s="71"/>
    </row>
    <row r="617" spans="2:4" x14ac:dyDescent="0.15">
      <c r="B617" s="69"/>
      <c r="C617" s="70"/>
      <c r="D617" s="71"/>
    </row>
    <row r="618" spans="2:4" x14ac:dyDescent="0.15">
      <c r="B618" s="69"/>
      <c r="C618" s="70"/>
      <c r="D618" s="71"/>
    </row>
    <row r="619" spans="2:4" x14ac:dyDescent="0.15">
      <c r="B619" s="69"/>
      <c r="C619" s="70"/>
      <c r="D619" s="71"/>
    </row>
    <row r="620" spans="2:4" x14ac:dyDescent="0.15">
      <c r="B620" s="69"/>
      <c r="C620" s="70"/>
      <c r="D620" s="71"/>
    </row>
    <row r="621" spans="2:4" x14ac:dyDescent="0.15">
      <c r="B621" s="69"/>
      <c r="C621" s="70"/>
      <c r="D621" s="71"/>
    </row>
    <row r="622" spans="2:4" x14ac:dyDescent="0.15">
      <c r="B622" s="69"/>
      <c r="C622" s="70"/>
      <c r="D622" s="71"/>
    </row>
    <row r="623" spans="2:4" x14ac:dyDescent="0.15">
      <c r="B623" s="69"/>
      <c r="C623" s="70"/>
      <c r="D623" s="71"/>
    </row>
    <row r="624" spans="2:4" x14ac:dyDescent="0.15">
      <c r="B624" s="69"/>
      <c r="C624" s="70"/>
      <c r="D624" s="71"/>
    </row>
    <row r="625" spans="2:4" x14ac:dyDescent="0.15">
      <c r="B625" s="69"/>
      <c r="C625" s="70"/>
      <c r="D625" s="71"/>
    </row>
    <row r="626" spans="2:4" x14ac:dyDescent="0.15">
      <c r="B626" s="69"/>
      <c r="C626" s="70"/>
      <c r="D626" s="71"/>
    </row>
    <row r="627" spans="2:4" x14ac:dyDescent="0.15">
      <c r="B627" s="69"/>
      <c r="C627" s="70"/>
      <c r="D627" s="71"/>
    </row>
    <row r="628" spans="2:4" x14ac:dyDescent="0.15">
      <c r="B628" s="69"/>
      <c r="C628" s="70"/>
      <c r="D628" s="71"/>
    </row>
    <row r="629" spans="2:4" x14ac:dyDescent="0.15">
      <c r="B629" s="69"/>
      <c r="C629" s="70"/>
      <c r="D629" s="71"/>
    </row>
    <row r="630" spans="2:4" x14ac:dyDescent="0.15">
      <c r="B630" s="69"/>
      <c r="C630" s="70"/>
      <c r="D630" s="71"/>
    </row>
    <row r="631" spans="2:4" x14ac:dyDescent="0.15">
      <c r="B631" s="69"/>
      <c r="C631" s="70"/>
      <c r="D631" s="71"/>
    </row>
    <row r="632" spans="2:4" x14ac:dyDescent="0.15">
      <c r="B632" s="69"/>
      <c r="C632" s="70"/>
      <c r="D632" s="71"/>
    </row>
    <row r="633" spans="2:4" x14ac:dyDescent="0.15">
      <c r="B633" s="69"/>
      <c r="C633" s="70"/>
      <c r="D633" s="71"/>
    </row>
    <row r="634" spans="2:4" x14ac:dyDescent="0.15">
      <c r="B634" s="69"/>
      <c r="C634" s="70"/>
      <c r="D634" s="71"/>
    </row>
    <row r="635" spans="2:4" x14ac:dyDescent="0.15">
      <c r="B635" s="69"/>
      <c r="C635" s="70"/>
      <c r="D635" s="71"/>
    </row>
    <row r="636" spans="2:4" x14ac:dyDescent="0.15">
      <c r="B636" s="69"/>
      <c r="C636" s="70"/>
      <c r="D636" s="71"/>
    </row>
    <row r="637" spans="2:4" x14ac:dyDescent="0.15">
      <c r="B637" s="69"/>
      <c r="C637" s="70"/>
      <c r="D637" s="71"/>
    </row>
    <row r="638" spans="2:4" x14ac:dyDescent="0.15">
      <c r="B638" s="69"/>
      <c r="C638" s="70"/>
      <c r="D638" s="71"/>
    </row>
    <row r="639" spans="2:4" x14ac:dyDescent="0.15">
      <c r="B639" s="69"/>
      <c r="C639" s="70"/>
      <c r="D639" s="71"/>
    </row>
    <row r="640" spans="2:4" x14ac:dyDescent="0.15">
      <c r="B640" s="69"/>
      <c r="C640" s="70"/>
      <c r="D640" s="71"/>
    </row>
    <row r="641" spans="2:4" x14ac:dyDescent="0.15">
      <c r="B641" s="69"/>
      <c r="C641" s="70"/>
      <c r="D641" s="71"/>
    </row>
    <row r="642" spans="2:4" x14ac:dyDescent="0.15">
      <c r="B642" s="69"/>
      <c r="C642" s="70"/>
      <c r="D642" s="71"/>
    </row>
    <row r="643" spans="2:4" x14ac:dyDescent="0.15">
      <c r="B643" s="69"/>
      <c r="C643" s="70"/>
      <c r="D643" s="71"/>
    </row>
    <row r="644" spans="2:4" x14ac:dyDescent="0.15">
      <c r="B644" s="69"/>
      <c r="C644" s="70"/>
      <c r="D644" s="71"/>
    </row>
    <row r="645" spans="2:4" x14ac:dyDescent="0.15">
      <c r="B645" s="69"/>
      <c r="C645" s="70"/>
      <c r="D645" s="71"/>
    </row>
    <row r="646" spans="2:4" x14ac:dyDescent="0.15">
      <c r="B646" s="69"/>
      <c r="C646" s="70"/>
      <c r="D646" s="71"/>
    </row>
    <row r="647" spans="2:4" x14ac:dyDescent="0.15">
      <c r="B647" s="69"/>
      <c r="C647" s="70"/>
      <c r="D647" s="71"/>
    </row>
    <row r="648" spans="2:4" x14ac:dyDescent="0.15">
      <c r="B648" s="69"/>
      <c r="C648" s="70"/>
      <c r="D648" s="71"/>
    </row>
    <row r="649" spans="2:4" x14ac:dyDescent="0.15">
      <c r="B649" s="69"/>
      <c r="C649" s="70"/>
      <c r="D649" s="71"/>
    </row>
    <row r="650" spans="2:4" x14ac:dyDescent="0.15">
      <c r="B650" s="69"/>
      <c r="C650" s="70"/>
      <c r="D650" s="71"/>
    </row>
    <row r="651" spans="2:4" x14ac:dyDescent="0.15">
      <c r="B651" s="69"/>
      <c r="C651" s="70"/>
      <c r="D651" s="71"/>
    </row>
    <row r="652" spans="2:4" x14ac:dyDescent="0.15">
      <c r="B652" s="69"/>
      <c r="C652" s="70"/>
      <c r="D652" s="71"/>
    </row>
    <row r="653" spans="2:4" x14ac:dyDescent="0.15">
      <c r="B653" s="69"/>
      <c r="C653" s="70"/>
      <c r="D653" s="71"/>
    </row>
    <row r="654" spans="2:4" x14ac:dyDescent="0.15">
      <c r="B654" s="69"/>
      <c r="C654" s="70"/>
      <c r="D654" s="71"/>
    </row>
    <row r="655" spans="2:4" x14ac:dyDescent="0.15">
      <c r="B655" s="69"/>
      <c r="C655" s="70"/>
      <c r="D655" s="71"/>
    </row>
    <row r="656" spans="2:4" x14ac:dyDescent="0.15">
      <c r="B656" s="69"/>
      <c r="C656" s="70"/>
      <c r="D656" s="71"/>
    </row>
    <row r="657" spans="2:4" x14ac:dyDescent="0.15">
      <c r="B657" s="69"/>
      <c r="C657" s="70"/>
      <c r="D657" s="71"/>
    </row>
    <row r="658" spans="2:4" x14ac:dyDescent="0.15">
      <c r="B658" s="69"/>
      <c r="C658" s="70"/>
      <c r="D658" s="71"/>
    </row>
    <row r="659" spans="2:4" x14ac:dyDescent="0.15">
      <c r="B659" s="69"/>
      <c r="C659" s="70"/>
      <c r="D659" s="71"/>
    </row>
    <row r="660" spans="2:4" x14ac:dyDescent="0.15">
      <c r="B660" s="69"/>
      <c r="C660" s="70"/>
      <c r="D660" s="71"/>
    </row>
    <row r="661" spans="2:4" x14ac:dyDescent="0.15">
      <c r="B661" s="69"/>
      <c r="C661" s="70"/>
      <c r="D661" s="71"/>
    </row>
    <row r="662" spans="2:4" x14ac:dyDescent="0.15">
      <c r="B662" s="69"/>
      <c r="C662" s="70"/>
      <c r="D662" s="71"/>
    </row>
    <row r="663" spans="2:4" x14ac:dyDescent="0.15">
      <c r="B663" s="69"/>
      <c r="C663" s="70"/>
      <c r="D663" s="71"/>
    </row>
    <row r="664" spans="2:4" x14ac:dyDescent="0.15">
      <c r="B664" s="69"/>
      <c r="C664" s="70"/>
      <c r="D664" s="71"/>
    </row>
    <row r="665" spans="2:4" x14ac:dyDescent="0.15">
      <c r="B665" s="69"/>
      <c r="C665" s="70"/>
      <c r="D665" s="71"/>
    </row>
    <row r="666" spans="2:4" x14ac:dyDescent="0.15">
      <c r="B666" s="69"/>
      <c r="C666" s="70"/>
      <c r="D666" s="71"/>
    </row>
    <row r="667" spans="2:4" x14ac:dyDescent="0.15">
      <c r="B667" s="69"/>
      <c r="C667" s="70"/>
      <c r="D667" s="71"/>
    </row>
    <row r="668" spans="2:4" x14ac:dyDescent="0.15">
      <c r="B668" s="69"/>
      <c r="C668" s="70"/>
      <c r="D668" s="71"/>
    </row>
    <row r="669" spans="2:4" x14ac:dyDescent="0.15">
      <c r="B669" s="69"/>
      <c r="C669" s="70"/>
      <c r="D669" s="71"/>
    </row>
    <row r="670" spans="2:4" x14ac:dyDescent="0.15">
      <c r="B670" s="69"/>
      <c r="C670" s="70"/>
      <c r="D670" s="71"/>
    </row>
    <row r="671" spans="2:4" x14ac:dyDescent="0.15">
      <c r="B671" s="69"/>
      <c r="C671" s="70"/>
      <c r="D671" s="71"/>
    </row>
    <row r="672" spans="2:4" x14ac:dyDescent="0.15">
      <c r="B672" s="69"/>
      <c r="C672" s="70"/>
      <c r="D672" s="71"/>
    </row>
    <row r="673" spans="2:4" x14ac:dyDescent="0.15">
      <c r="B673" s="69"/>
      <c r="C673" s="70"/>
      <c r="D673" s="71"/>
    </row>
    <row r="674" spans="2:4" x14ac:dyDescent="0.15">
      <c r="B674" s="69"/>
      <c r="C674" s="70"/>
      <c r="D674" s="71"/>
    </row>
    <row r="675" spans="2:4" x14ac:dyDescent="0.15">
      <c r="B675" s="69"/>
      <c r="C675" s="70"/>
      <c r="D675" s="71"/>
    </row>
    <row r="676" spans="2:4" x14ac:dyDescent="0.15">
      <c r="B676" s="69"/>
      <c r="C676" s="70"/>
      <c r="D676" s="71"/>
    </row>
    <row r="677" spans="2:4" x14ac:dyDescent="0.15">
      <c r="B677" s="69"/>
      <c r="C677" s="70"/>
      <c r="D677" s="71"/>
    </row>
    <row r="678" spans="2:4" x14ac:dyDescent="0.15">
      <c r="B678" s="69"/>
      <c r="C678" s="70"/>
      <c r="D678" s="71"/>
    </row>
    <row r="679" spans="2:4" x14ac:dyDescent="0.15">
      <c r="B679" s="69"/>
      <c r="C679" s="70"/>
      <c r="D679" s="71"/>
    </row>
    <row r="680" spans="2:4" x14ac:dyDescent="0.15">
      <c r="B680" s="69"/>
      <c r="C680" s="70"/>
      <c r="D680" s="71"/>
    </row>
    <row r="681" spans="2:4" x14ac:dyDescent="0.15">
      <c r="B681" s="69"/>
      <c r="C681" s="70"/>
      <c r="D681" s="71"/>
    </row>
    <row r="682" spans="2:4" x14ac:dyDescent="0.15">
      <c r="B682" s="69"/>
      <c r="C682" s="70"/>
      <c r="D682" s="71"/>
    </row>
    <row r="683" spans="2:4" x14ac:dyDescent="0.15">
      <c r="B683" s="69"/>
      <c r="C683" s="70"/>
      <c r="D683" s="71"/>
    </row>
    <row r="684" spans="2:4" x14ac:dyDescent="0.15">
      <c r="B684" s="69"/>
      <c r="C684" s="70"/>
      <c r="D684" s="71"/>
    </row>
    <row r="685" spans="2:4" x14ac:dyDescent="0.15">
      <c r="B685" s="69"/>
      <c r="C685" s="70"/>
      <c r="D685" s="71"/>
    </row>
    <row r="686" spans="2:4" x14ac:dyDescent="0.15">
      <c r="B686" s="69"/>
      <c r="C686" s="70"/>
      <c r="D686" s="71"/>
    </row>
    <row r="687" spans="2:4" x14ac:dyDescent="0.15">
      <c r="B687" s="69"/>
      <c r="C687" s="70"/>
      <c r="D687" s="71"/>
    </row>
    <row r="688" spans="2:4" x14ac:dyDescent="0.15">
      <c r="B688" s="69"/>
      <c r="C688" s="70"/>
      <c r="D688" s="71"/>
    </row>
    <row r="689" spans="2:4" x14ac:dyDescent="0.15">
      <c r="B689" s="69"/>
      <c r="C689" s="70"/>
      <c r="D689" s="71"/>
    </row>
    <row r="690" spans="2:4" x14ac:dyDescent="0.15">
      <c r="B690" s="69"/>
      <c r="C690" s="70"/>
      <c r="D690" s="71"/>
    </row>
    <row r="691" spans="2:4" x14ac:dyDescent="0.15">
      <c r="B691" s="69"/>
      <c r="C691" s="70"/>
      <c r="D691" s="71"/>
    </row>
    <row r="692" spans="2:4" x14ac:dyDescent="0.15">
      <c r="B692" s="69"/>
      <c r="C692" s="70"/>
      <c r="D692" s="71"/>
    </row>
    <row r="693" spans="2:4" x14ac:dyDescent="0.15">
      <c r="B693" s="69"/>
      <c r="C693" s="70"/>
      <c r="D693" s="71"/>
    </row>
    <row r="694" spans="2:4" x14ac:dyDescent="0.15">
      <c r="B694" s="69"/>
      <c r="C694" s="70"/>
      <c r="D694" s="71"/>
    </row>
    <row r="695" spans="2:4" x14ac:dyDescent="0.15">
      <c r="B695" s="69"/>
      <c r="C695" s="70"/>
      <c r="D695" s="71"/>
    </row>
    <row r="696" spans="2:4" x14ac:dyDescent="0.15">
      <c r="B696" s="69"/>
      <c r="C696" s="70"/>
      <c r="D696" s="71"/>
    </row>
    <row r="697" spans="2:4" x14ac:dyDescent="0.15">
      <c r="B697" s="69"/>
      <c r="C697" s="70"/>
      <c r="D697" s="71"/>
    </row>
    <row r="698" spans="2:4" x14ac:dyDescent="0.15">
      <c r="B698" s="69"/>
      <c r="C698" s="70"/>
      <c r="D698" s="71"/>
    </row>
    <row r="699" spans="2:4" x14ac:dyDescent="0.15">
      <c r="B699" s="69"/>
      <c r="C699" s="70"/>
      <c r="D699" s="71"/>
    </row>
    <row r="700" spans="2:4" x14ac:dyDescent="0.15">
      <c r="B700" s="69"/>
      <c r="C700" s="70"/>
      <c r="D700" s="71"/>
    </row>
    <row r="701" spans="2:4" x14ac:dyDescent="0.15">
      <c r="B701" s="69"/>
      <c r="C701" s="70"/>
      <c r="D701" s="71"/>
    </row>
    <row r="702" spans="2:4" x14ac:dyDescent="0.15">
      <c r="B702" s="69"/>
      <c r="C702" s="70"/>
      <c r="D702" s="71"/>
    </row>
    <row r="703" spans="2:4" x14ac:dyDescent="0.15">
      <c r="B703" s="69"/>
      <c r="C703" s="70"/>
      <c r="D703" s="71"/>
    </row>
    <row r="704" spans="2:4" x14ac:dyDescent="0.15">
      <c r="B704" s="69"/>
      <c r="C704" s="70"/>
      <c r="D704" s="71"/>
    </row>
    <row r="705" spans="2:4" x14ac:dyDescent="0.15">
      <c r="B705" s="69"/>
      <c r="C705" s="70"/>
      <c r="D705" s="71"/>
    </row>
    <row r="706" spans="2:4" x14ac:dyDescent="0.15">
      <c r="B706" s="69"/>
      <c r="C706" s="70"/>
      <c r="D706" s="71"/>
    </row>
    <row r="707" spans="2:4" x14ac:dyDescent="0.15">
      <c r="B707" s="69"/>
      <c r="C707" s="70"/>
      <c r="D707" s="71"/>
    </row>
    <row r="708" spans="2:4" x14ac:dyDescent="0.15">
      <c r="B708" s="69"/>
      <c r="C708" s="70"/>
      <c r="D708" s="71"/>
    </row>
    <row r="709" spans="2:4" x14ac:dyDescent="0.15">
      <c r="B709" s="69"/>
      <c r="C709" s="70"/>
      <c r="D709" s="71"/>
    </row>
    <row r="710" spans="2:4" x14ac:dyDescent="0.15">
      <c r="B710" s="69"/>
      <c r="C710" s="70"/>
      <c r="D710" s="71"/>
    </row>
    <row r="711" spans="2:4" x14ac:dyDescent="0.15">
      <c r="B711" s="69"/>
      <c r="C711" s="70"/>
      <c r="D711" s="71"/>
    </row>
    <row r="712" spans="2:4" x14ac:dyDescent="0.15">
      <c r="B712" s="69"/>
      <c r="C712" s="70"/>
      <c r="D712" s="71"/>
    </row>
    <row r="713" spans="2:4" x14ac:dyDescent="0.15">
      <c r="B713" s="69"/>
      <c r="C713" s="70"/>
      <c r="D713" s="71"/>
    </row>
    <row r="714" spans="2:4" x14ac:dyDescent="0.15">
      <c r="B714" s="69"/>
      <c r="C714" s="70"/>
      <c r="D714" s="71"/>
    </row>
    <row r="715" spans="2:4" x14ac:dyDescent="0.15">
      <c r="B715" s="69"/>
      <c r="C715" s="70"/>
      <c r="D715" s="71"/>
    </row>
    <row r="716" spans="2:4" x14ac:dyDescent="0.15">
      <c r="B716" s="69"/>
      <c r="C716" s="70"/>
      <c r="D716" s="71"/>
    </row>
    <row r="717" spans="2:4" x14ac:dyDescent="0.15">
      <c r="B717" s="69"/>
      <c r="C717" s="70"/>
      <c r="D717" s="71"/>
    </row>
    <row r="718" spans="2:4" x14ac:dyDescent="0.15">
      <c r="B718" s="69"/>
      <c r="C718" s="70"/>
      <c r="D718" s="71"/>
    </row>
    <row r="719" spans="2:4" x14ac:dyDescent="0.15">
      <c r="B719" s="69"/>
      <c r="C719" s="70"/>
      <c r="D719" s="71"/>
    </row>
    <row r="720" spans="2:4" x14ac:dyDescent="0.15">
      <c r="B720" s="69"/>
      <c r="C720" s="70"/>
      <c r="D720" s="71"/>
    </row>
    <row r="721" spans="2:4" x14ac:dyDescent="0.15">
      <c r="B721" s="69"/>
      <c r="C721" s="70"/>
      <c r="D721" s="71"/>
    </row>
    <row r="722" spans="2:4" x14ac:dyDescent="0.15">
      <c r="B722" s="69"/>
      <c r="C722" s="70"/>
      <c r="D722" s="71"/>
    </row>
    <row r="723" spans="2:4" x14ac:dyDescent="0.15">
      <c r="B723" s="69"/>
      <c r="C723" s="70"/>
      <c r="D723" s="71"/>
    </row>
    <row r="724" spans="2:4" x14ac:dyDescent="0.15">
      <c r="B724" s="69"/>
      <c r="C724" s="70"/>
      <c r="D724" s="71"/>
    </row>
    <row r="725" spans="2:4" x14ac:dyDescent="0.15">
      <c r="B725" s="69"/>
      <c r="C725" s="70"/>
      <c r="D725" s="71"/>
    </row>
    <row r="726" spans="2:4" x14ac:dyDescent="0.15">
      <c r="B726" s="69"/>
      <c r="C726" s="70"/>
      <c r="D726" s="71"/>
    </row>
    <row r="727" spans="2:4" x14ac:dyDescent="0.15">
      <c r="B727" s="69"/>
      <c r="C727" s="70"/>
      <c r="D727" s="71"/>
    </row>
    <row r="728" spans="2:4" x14ac:dyDescent="0.15">
      <c r="B728" s="69"/>
      <c r="C728" s="70"/>
      <c r="D728" s="71"/>
    </row>
    <row r="729" spans="2:4" x14ac:dyDescent="0.15">
      <c r="B729" s="69"/>
      <c r="C729" s="70"/>
      <c r="D729" s="71"/>
    </row>
    <row r="730" spans="2:4" x14ac:dyDescent="0.15">
      <c r="B730" s="69"/>
      <c r="C730" s="70"/>
      <c r="D730" s="71"/>
    </row>
    <row r="731" spans="2:4" x14ac:dyDescent="0.15">
      <c r="B731" s="69"/>
      <c r="C731" s="70"/>
      <c r="D731" s="71"/>
    </row>
    <row r="732" spans="2:4" x14ac:dyDescent="0.15">
      <c r="B732" s="69"/>
      <c r="C732" s="70"/>
      <c r="D732" s="71"/>
    </row>
    <row r="733" spans="2:4" x14ac:dyDescent="0.15">
      <c r="B733" s="69"/>
      <c r="C733" s="70"/>
      <c r="D733" s="71"/>
    </row>
    <row r="734" spans="2:4" x14ac:dyDescent="0.15">
      <c r="B734" s="69"/>
      <c r="C734" s="70"/>
      <c r="D734" s="71"/>
    </row>
    <row r="735" spans="2:4" x14ac:dyDescent="0.15">
      <c r="B735" s="69"/>
      <c r="C735" s="70"/>
      <c r="D735" s="71"/>
    </row>
    <row r="736" spans="2:4" x14ac:dyDescent="0.15">
      <c r="B736" s="69"/>
      <c r="C736" s="70"/>
      <c r="D736" s="71"/>
    </row>
    <row r="737" spans="2:4" x14ac:dyDescent="0.15">
      <c r="B737" s="69"/>
      <c r="C737" s="70"/>
      <c r="D737" s="71"/>
    </row>
    <row r="738" spans="2:4" x14ac:dyDescent="0.15">
      <c r="B738" s="69"/>
      <c r="C738" s="70"/>
      <c r="D738" s="71"/>
    </row>
    <row r="739" spans="2:4" x14ac:dyDescent="0.15">
      <c r="B739" s="69"/>
      <c r="C739" s="70"/>
      <c r="D739" s="71"/>
    </row>
    <row r="740" spans="2:4" x14ac:dyDescent="0.15">
      <c r="B740" s="69"/>
      <c r="C740" s="70"/>
      <c r="D740" s="71"/>
    </row>
    <row r="741" spans="2:4" x14ac:dyDescent="0.15">
      <c r="B741" s="69"/>
      <c r="C741" s="70"/>
      <c r="D741" s="71"/>
    </row>
    <row r="742" spans="2:4" x14ac:dyDescent="0.15">
      <c r="B742" s="69"/>
      <c r="C742" s="70"/>
      <c r="D742" s="71"/>
    </row>
    <row r="743" spans="2:4" x14ac:dyDescent="0.15">
      <c r="B743" s="69"/>
      <c r="C743" s="70"/>
      <c r="D743" s="71"/>
    </row>
    <row r="744" spans="2:4" x14ac:dyDescent="0.15">
      <c r="B744" s="69"/>
      <c r="C744" s="70"/>
      <c r="D744" s="71"/>
    </row>
    <row r="745" spans="2:4" x14ac:dyDescent="0.15">
      <c r="B745" s="69"/>
      <c r="C745" s="70"/>
      <c r="D745" s="71"/>
    </row>
    <row r="746" spans="2:4" x14ac:dyDescent="0.15">
      <c r="B746" s="69"/>
      <c r="C746" s="70"/>
      <c r="D746" s="71"/>
    </row>
    <row r="747" spans="2:4" x14ac:dyDescent="0.15">
      <c r="B747" s="69"/>
      <c r="C747" s="70"/>
      <c r="D747" s="71"/>
    </row>
    <row r="748" spans="2:4" x14ac:dyDescent="0.15">
      <c r="B748" s="69"/>
      <c r="C748" s="70"/>
      <c r="D748" s="71"/>
    </row>
    <row r="749" spans="2:4" x14ac:dyDescent="0.15">
      <c r="B749" s="69"/>
      <c r="C749" s="70"/>
      <c r="D749" s="71"/>
    </row>
    <row r="750" spans="2:4" x14ac:dyDescent="0.15">
      <c r="B750" s="69"/>
      <c r="C750" s="70"/>
      <c r="D750" s="71"/>
    </row>
    <row r="751" spans="2:4" x14ac:dyDescent="0.15">
      <c r="B751" s="69"/>
      <c r="C751" s="70"/>
      <c r="D751" s="71"/>
    </row>
    <row r="752" spans="2:4" x14ac:dyDescent="0.15">
      <c r="B752" s="69"/>
      <c r="C752" s="70"/>
      <c r="D752" s="71"/>
    </row>
    <row r="753" spans="2:4" x14ac:dyDescent="0.15">
      <c r="B753" s="69"/>
      <c r="C753" s="70"/>
      <c r="D753" s="71"/>
    </row>
    <row r="754" spans="2:4" x14ac:dyDescent="0.15">
      <c r="B754" s="69"/>
      <c r="C754" s="70"/>
      <c r="D754" s="71"/>
    </row>
    <row r="755" spans="2:4" x14ac:dyDescent="0.15">
      <c r="B755" s="69"/>
      <c r="C755" s="70"/>
      <c r="D755" s="71"/>
    </row>
    <row r="756" spans="2:4" x14ac:dyDescent="0.15">
      <c r="B756" s="69"/>
      <c r="C756" s="70"/>
      <c r="D756" s="71"/>
    </row>
    <row r="757" spans="2:4" x14ac:dyDescent="0.15">
      <c r="B757" s="69"/>
      <c r="C757" s="70"/>
      <c r="D757" s="71"/>
    </row>
    <row r="758" spans="2:4" x14ac:dyDescent="0.15">
      <c r="B758" s="69"/>
      <c r="C758" s="70"/>
      <c r="D758" s="71"/>
    </row>
    <row r="759" spans="2:4" x14ac:dyDescent="0.15">
      <c r="B759" s="69"/>
      <c r="C759" s="70"/>
      <c r="D759" s="71"/>
    </row>
    <row r="760" spans="2:4" x14ac:dyDescent="0.15">
      <c r="B760" s="69"/>
      <c r="C760" s="70"/>
      <c r="D760" s="71"/>
    </row>
    <row r="761" spans="2:4" x14ac:dyDescent="0.15">
      <c r="B761" s="69"/>
      <c r="C761" s="70"/>
      <c r="D761" s="71"/>
    </row>
    <row r="762" spans="2:4" x14ac:dyDescent="0.15">
      <c r="B762" s="69"/>
      <c r="C762" s="70"/>
      <c r="D762" s="71"/>
    </row>
    <row r="763" spans="2:4" x14ac:dyDescent="0.15">
      <c r="B763" s="69"/>
      <c r="C763" s="70"/>
      <c r="D763" s="71"/>
    </row>
    <row r="764" spans="2:4" x14ac:dyDescent="0.15">
      <c r="B764" s="69"/>
      <c r="C764" s="70"/>
      <c r="D764" s="71"/>
    </row>
    <row r="765" spans="2:4" x14ac:dyDescent="0.15">
      <c r="B765" s="69"/>
      <c r="C765" s="70"/>
      <c r="D765" s="71"/>
    </row>
    <row r="766" spans="2:4" x14ac:dyDescent="0.15">
      <c r="B766" s="69"/>
      <c r="C766" s="70"/>
      <c r="D766" s="71"/>
    </row>
    <row r="767" spans="2:4" x14ac:dyDescent="0.15">
      <c r="B767" s="69"/>
      <c r="C767" s="70"/>
      <c r="D767" s="71"/>
    </row>
    <row r="768" spans="2:4" x14ac:dyDescent="0.15">
      <c r="B768" s="69"/>
      <c r="C768" s="70"/>
      <c r="D768" s="71"/>
    </row>
    <row r="769" spans="2:4" x14ac:dyDescent="0.15">
      <c r="B769" s="69"/>
      <c r="C769" s="70"/>
      <c r="D769" s="71"/>
    </row>
    <row r="770" spans="2:4" x14ac:dyDescent="0.15">
      <c r="B770" s="69"/>
      <c r="C770" s="70"/>
      <c r="D770" s="71"/>
    </row>
    <row r="771" spans="2:4" x14ac:dyDescent="0.15">
      <c r="B771" s="69"/>
      <c r="C771" s="70"/>
      <c r="D771" s="71"/>
    </row>
    <row r="772" spans="2:4" x14ac:dyDescent="0.15">
      <c r="B772" s="69"/>
      <c r="C772" s="70"/>
      <c r="D772" s="71"/>
    </row>
    <row r="773" spans="2:4" x14ac:dyDescent="0.15">
      <c r="B773" s="69"/>
      <c r="C773" s="70"/>
      <c r="D773" s="71"/>
    </row>
    <row r="774" spans="2:4" x14ac:dyDescent="0.15">
      <c r="B774" s="69"/>
      <c r="C774" s="70"/>
      <c r="D774" s="71"/>
    </row>
    <row r="775" spans="2:4" x14ac:dyDescent="0.15">
      <c r="B775" s="69"/>
      <c r="C775" s="70"/>
      <c r="D775" s="71"/>
    </row>
    <row r="776" spans="2:4" x14ac:dyDescent="0.15">
      <c r="B776" s="69"/>
      <c r="C776" s="70"/>
      <c r="D776" s="71"/>
    </row>
    <row r="777" spans="2:4" x14ac:dyDescent="0.15">
      <c r="B777" s="69"/>
      <c r="C777" s="70"/>
      <c r="D777" s="71"/>
    </row>
    <row r="778" spans="2:4" x14ac:dyDescent="0.15">
      <c r="B778" s="69"/>
      <c r="C778" s="70"/>
      <c r="D778" s="71"/>
    </row>
    <row r="779" spans="2:4" x14ac:dyDescent="0.15">
      <c r="B779" s="69"/>
      <c r="C779" s="70"/>
      <c r="D779" s="71"/>
    </row>
    <row r="780" spans="2:4" x14ac:dyDescent="0.15">
      <c r="B780" s="69"/>
      <c r="C780" s="70"/>
      <c r="D780" s="71"/>
    </row>
    <row r="781" spans="2:4" x14ac:dyDescent="0.15">
      <c r="B781" s="69"/>
      <c r="C781" s="70"/>
      <c r="D781" s="71"/>
    </row>
    <row r="782" spans="2:4" x14ac:dyDescent="0.15">
      <c r="B782" s="69"/>
      <c r="C782" s="70"/>
      <c r="D782" s="71"/>
    </row>
    <row r="783" spans="2:4" x14ac:dyDescent="0.15">
      <c r="B783" s="69"/>
      <c r="C783" s="70"/>
      <c r="D783" s="71"/>
    </row>
    <row r="784" spans="2:4" x14ac:dyDescent="0.15">
      <c r="B784" s="69"/>
      <c r="C784" s="70"/>
      <c r="D784" s="71"/>
    </row>
    <row r="785" spans="2:4" x14ac:dyDescent="0.15">
      <c r="B785" s="69"/>
      <c r="C785" s="70"/>
      <c r="D785" s="71"/>
    </row>
    <row r="786" spans="2:4" x14ac:dyDescent="0.15">
      <c r="B786" s="69"/>
      <c r="C786" s="70"/>
      <c r="D786" s="71"/>
    </row>
    <row r="787" spans="2:4" x14ac:dyDescent="0.15">
      <c r="B787" s="69"/>
      <c r="C787" s="70"/>
      <c r="D787" s="71"/>
    </row>
    <row r="788" spans="2:4" x14ac:dyDescent="0.15">
      <c r="B788" s="69"/>
      <c r="C788" s="70"/>
      <c r="D788" s="71"/>
    </row>
    <row r="789" spans="2:4" x14ac:dyDescent="0.15">
      <c r="B789" s="69"/>
      <c r="C789" s="70"/>
      <c r="D789" s="71"/>
    </row>
    <row r="790" spans="2:4" x14ac:dyDescent="0.15">
      <c r="B790" s="69"/>
      <c r="C790" s="70"/>
      <c r="D790" s="71"/>
    </row>
    <row r="791" spans="2:4" x14ac:dyDescent="0.15">
      <c r="B791" s="69"/>
      <c r="C791" s="70"/>
      <c r="D791" s="71"/>
    </row>
    <row r="792" spans="2:4" x14ac:dyDescent="0.15">
      <c r="B792" s="69"/>
      <c r="C792" s="70"/>
      <c r="D792" s="71"/>
    </row>
    <row r="793" spans="2:4" x14ac:dyDescent="0.15">
      <c r="B793" s="69"/>
      <c r="C793" s="70"/>
      <c r="D793" s="71"/>
    </row>
    <row r="794" spans="2:4" x14ac:dyDescent="0.15">
      <c r="B794" s="69"/>
      <c r="C794" s="70"/>
      <c r="D794" s="71"/>
    </row>
    <row r="795" spans="2:4" x14ac:dyDescent="0.15">
      <c r="B795" s="69"/>
      <c r="C795" s="70"/>
      <c r="D795" s="71"/>
    </row>
    <row r="796" spans="2:4" x14ac:dyDescent="0.15">
      <c r="B796" s="69"/>
      <c r="C796" s="70"/>
      <c r="D796" s="71"/>
    </row>
    <row r="797" spans="2:4" x14ac:dyDescent="0.15">
      <c r="B797" s="69"/>
      <c r="C797" s="70"/>
      <c r="D797" s="71"/>
    </row>
    <row r="798" spans="2:4" x14ac:dyDescent="0.15">
      <c r="B798" s="69"/>
      <c r="C798" s="70"/>
      <c r="D798" s="71"/>
    </row>
    <row r="799" spans="2:4" x14ac:dyDescent="0.15">
      <c r="B799" s="69"/>
      <c r="C799" s="70"/>
      <c r="D799" s="71"/>
    </row>
    <row r="800" spans="2:4" x14ac:dyDescent="0.15">
      <c r="B800" s="69"/>
      <c r="C800" s="70"/>
      <c r="D800" s="71"/>
    </row>
    <row r="801" spans="2:4" x14ac:dyDescent="0.15">
      <c r="B801" s="69"/>
      <c r="C801" s="70"/>
      <c r="D801" s="71"/>
    </row>
    <row r="802" spans="2:4" x14ac:dyDescent="0.15">
      <c r="B802" s="69"/>
      <c r="C802" s="70"/>
      <c r="D802" s="71"/>
    </row>
    <row r="803" spans="2:4" x14ac:dyDescent="0.15">
      <c r="B803" s="69"/>
      <c r="C803" s="70"/>
      <c r="D803" s="71"/>
    </row>
    <row r="804" spans="2:4" x14ac:dyDescent="0.15">
      <c r="B804" s="69"/>
      <c r="C804" s="70"/>
      <c r="D804" s="71"/>
    </row>
    <row r="805" spans="2:4" x14ac:dyDescent="0.15">
      <c r="B805" s="69"/>
      <c r="C805" s="70"/>
      <c r="D805" s="71"/>
    </row>
    <row r="806" spans="2:4" x14ac:dyDescent="0.15">
      <c r="B806" s="69"/>
      <c r="C806" s="70"/>
      <c r="D806" s="71"/>
    </row>
    <row r="807" spans="2:4" x14ac:dyDescent="0.15">
      <c r="B807" s="69"/>
      <c r="C807" s="70"/>
      <c r="D807" s="71"/>
    </row>
    <row r="808" spans="2:4" x14ac:dyDescent="0.15">
      <c r="B808" s="69"/>
      <c r="C808" s="70"/>
      <c r="D808" s="71"/>
    </row>
    <row r="809" spans="2:4" x14ac:dyDescent="0.15">
      <c r="B809" s="69"/>
      <c r="C809" s="70"/>
      <c r="D809" s="71"/>
    </row>
    <row r="810" spans="2:4" x14ac:dyDescent="0.15">
      <c r="B810" s="69"/>
      <c r="C810" s="70"/>
      <c r="D810" s="71"/>
    </row>
    <row r="811" spans="2:4" x14ac:dyDescent="0.15">
      <c r="B811" s="69"/>
      <c r="C811" s="70"/>
      <c r="D811" s="71"/>
    </row>
    <row r="812" spans="2:4" x14ac:dyDescent="0.15">
      <c r="B812" s="69"/>
      <c r="C812" s="70"/>
      <c r="D812" s="71"/>
    </row>
    <row r="813" spans="2:4" x14ac:dyDescent="0.15">
      <c r="B813" s="69"/>
      <c r="C813" s="70"/>
      <c r="D813" s="71"/>
    </row>
    <row r="814" spans="2:4" x14ac:dyDescent="0.15">
      <c r="B814" s="69"/>
      <c r="C814" s="70"/>
      <c r="D814" s="71"/>
    </row>
    <row r="815" spans="2:4" x14ac:dyDescent="0.15">
      <c r="B815" s="69"/>
      <c r="C815" s="70"/>
      <c r="D815" s="71"/>
    </row>
    <row r="816" spans="2:4" x14ac:dyDescent="0.15">
      <c r="B816" s="69"/>
      <c r="C816" s="70"/>
      <c r="D816" s="71"/>
    </row>
    <row r="817" spans="2:4" x14ac:dyDescent="0.15">
      <c r="B817" s="69"/>
      <c r="C817" s="70"/>
      <c r="D817" s="71"/>
    </row>
    <row r="818" spans="2:4" x14ac:dyDescent="0.15">
      <c r="B818" s="69"/>
      <c r="C818" s="70"/>
      <c r="D818" s="71"/>
    </row>
    <row r="819" spans="2:4" x14ac:dyDescent="0.15">
      <c r="B819" s="69"/>
      <c r="C819" s="70"/>
      <c r="D819" s="71"/>
    </row>
    <row r="820" spans="2:4" x14ac:dyDescent="0.15">
      <c r="B820" s="69"/>
      <c r="C820" s="70"/>
      <c r="D820" s="71"/>
    </row>
    <row r="821" spans="2:4" x14ac:dyDescent="0.15">
      <c r="B821" s="69"/>
      <c r="C821" s="70"/>
      <c r="D821" s="71"/>
    </row>
    <row r="822" spans="2:4" x14ac:dyDescent="0.15">
      <c r="B822" s="69"/>
      <c r="C822" s="70"/>
      <c r="D822" s="71"/>
    </row>
    <row r="823" spans="2:4" x14ac:dyDescent="0.15">
      <c r="B823" s="69"/>
      <c r="C823" s="70"/>
      <c r="D823" s="71"/>
    </row>
    <row r="824" spans="2:4" x14ac:dyDescent="0.15">
      <c r="B824" s="69"/>
      <c r="C824" s="70"/>
      <c r="D824" s="71"/>
    </row>
    <row r="825" spans="2:4" x14ac:dyDescent="0.15">
      <c r="B825" s="69"/>
      <c r="C825" s="70"/>
      <c r="D825" s="71"/>
    </row>
    <row r="826" spans="2:4" x14ac:dyDescent="0.15">
      <c r="B826" s="69"/>
      <c r="C826" s="70"/>
      <c r="D826" s="71"/>
    </row>
    <row r="827" spans="2:4" x14ac:dyDescent="0.15">
      <c r="B827" s="69"/>
      <c r="C827" s="70"/>
      <c r="D827" s="71"/>
    </row>
    <row r="828" spans="2:4" x14ac:dyDescent="0.15">
      <c r="B828" s="69"/>
      <c r="C828" s="70"/>
      <c r="D828" s="71"/>
    </row>
    <row r="829" spans="2:4" x14ac:dyDescent="0.15">
      <c r="B829" s="69"/>
      <c r="C829" s="70"/>
      <c r="D829" s="71"/>
    </row>
    <row r="830" spans="2:4" x14ac:dyDescent="0.15">
      <c r="B830" s="69"/>
      <c r="C830" s="70"/>
      <c r="D830" s="71"/>
    </row>
    <row r="831" spans="2:4" x14ac:dyDescent="0.15">
      <c r="B831" s="69"/>
      <c r="C831" s="70"/>
      <c r="D831" s="71"/>
    </row>
    <row r="832" spans="2:4" x14ac:dyDescent="0.15">
      <c r="B832" s="69"/>
      <c r="C832" s="70"/>
      <c r="D832" s="71"/>
    </row>
    <row r="833" spans="2:4" x14ac:dyDescent="0.15">
      <c r="B833" s="69"/>
      <c r="C833" s="70"/>
      <c r="D833" s="71"/>
    </row>
    <row r="834" spans="2:4" x14ac:dyDescent="0.15">
      <c r="B834" s="69"/>
      <c r="C834" s="70"/>
      <c r="D834" s="71"/>
    </row>
    <row r="835" spans="2:4" x14ac:dyDescent="0.15">
      <c r="B835" s="69"/>
      <c r="C835" s="70"/>
      <c r="D835" s="71"/>
    </row>
    <row r="836" spans="2:4" x14ac:dyDescent="0.15">
      <c r="B836" s="69"/>
      <c r="C836" s="70"/>
      <c r="D836" s="71"/>
    </row>
    <row r="837" spans="2:4" x14ac:dyDescent="0.15">
      <c r="B837" s="69"/>
      <c r="C837" s="70"/>
      <c r="D837" s="71"/>
    </row>
    <row r="838" spans="2:4" x14ac:dyDescent="0.15">
      <c r="B838" s="69"/>
      <c r="C838" s="70"/>
      <c r="D838" s="71"/>
    </row>
    <row r="839" spans="2:4" x14ac:dyDescent="0.15">
      <c r="B839" s="69"/>
      <c r="C839" s="70"/>
      <c r="D839" s="71"/>
    </row>
    <row r="840" spans="2:4" x14ac:dyDescent="0.15">
      <c r="B840" s="69"/>
      <c r="C840" s="70"/>
      <c r="D840" s="71"/>
    </row>
    <row r="841" spans="2:4" x14ac:dyDescent="0.15">
      <c r="B841" s="69"/>
      <c r="C841" s="70"/>
      <c r="D841" s="71"/>
    </row>
    <row r="842" spans="2:4" x14ac:dyDescent="0.15">
      <c r="B842" s="69"/>
      <c r="C842" s="70"/>
      <c r="D842" s="71"/>
    </row>
    <row r="843" spans="2:4" x14ac:dyDescent="0.15">
      <c r="B843" s="69"/>
      <c r="C843" s="70"/>
      <c r="D843" s="71"/>
    </row>
    <row r="844" spans="2:4" x14ac:dyDescent="0.15">
      <c r="B844" s="69"/>
      <c r="C844" s="70"/>
      <c r="D844" s="71"/>
    </row>
    <row r="845" spans="2:4" x14ac:dyDescent="0.15">
      <c r="B845" s="69"/>
      <c r="C845" s="70"/>
      <c r="D845" s="71"/>
    </row>
    <row r="846" spans="2:4" x14ac:dyDescent="0.15">
      <c r="B846" s="69"/>
      <c r="C846" s="70"/>
      <c r="D846" s="71"/>
    </row>
    <row r="847" spans="2:4" x14ac:dyDescent="0.15">
      <c r="B847" s="69"/>
      <c r="C847" s="70"/>
      <c r="D847" s="71"/>
    </row>
    <row r="848" spans="2:4" x14ac:dyDescent="0.15">
      <c r="B848" s="69"/>
      <c r="C848" s="70"/>
      <c r="D848" s="71"/>
    </row>
    <row r="849" spans="2:4" x14ac:dyDescent="0.15">
      <c r="B849" s="69"/>
      <c r="C849" s="70"/>
      <c r="D849" s="71"/>
    </row>
    <row r="850" spans="2:4" x14ac:dyDescent="0.15">
      <c r="B850" s="69"/>
      <c r="C850" s="70"/>
      <c r="D850" s="71"/>
    </row>
    <row r="851" spans="2:4" x14ac:dyDescent="0.15">
      <c r="B851" s="69"/>
      <c r="C851" s="70"/>
      <c r="D851" s="71"/>
    </row>
    <row r="852" spans="2:4" x14ac:dyDescent="0.15">
      <c r="B852" s="69"/>
      <c r="C852" s="70"/>
      <c r="D852" s="71"/>
    </row>
    <row r="853" spans="2:4" x14ac:dyDescent="0.15">
      <c r="B853" s="69"/>
      <c r="C853" s="70"/>
      <c r="D853" s="71"/>
    </row>
    <row r="854" spans="2:4" x14ac:dyDescent="0.15">
      <c r="B854" s="69"/>
      <c r="C854" s="70"/>
      <c r="D854" s="71"/>
    </row>
    <row r="855" spans="2:4" x14ac:dyDescent="0.15">
      <c r="B855" s="69"/>
      <c r="C855" s="70"/>
      <c r="D855" s="71"/>
    </row>
    <row r="856" spans="2:4" x14ac:dyDescent="0.15">
      <c r="B856" s="69"/>
      <c r="C856" s="70"/>
      <c r="D856" s="71"/>
    </row>
    <row r="857" spans="2:4" x14ac:dyDescent="0.15">
      <c r="B857" s="69"/>
      <c r="C857" s="70"/>
      <c r="D857" s="71"/>
    </row>
    <row r="858" spans="2:4" x14ac:dyDescent="0.15">
      <c r="B858" s="69"/>
      <c r="C858" s="70"/>
      <c r="D858" s="71"/>
    </row>
    <row r="859" spans="2:4" x14ac:dyDescent="0.15">
      <c r="B859" s="69"/>
      <c r="C859" s="70"/>
      <c r="D859" s="71"/>
    </row>
    <row r="860" spans="2:4" x14ac:dyDescent="0.15">
      <c r="B860" s="69"/>
      <c r="C860" s="70"/>
      <c r="D860" s="71"/>
    </row>
    <row r="861" spans="2:4" x14ac:dyDescent="0.15">
      <c r="B861" s="69"/>
      <c r="C861" s="70"/>
      <c r="D861" s="71"/>
    </row>
    <row r="862" spans="2:4" x14ac:dyDescent="0.15">
      <c r="B862" s="69"/>
      <c r="C862" s="70"/>
      <c r="D862" s="71"/>
    </row>
    <row r="863" spans="2:4" x14ac:dyDescent="0.15">
      <c r="B863" s="69"/>
      <c r="C863" s="70"/>
      <c r="D863" s="71"/>
    </row>
    <row r="864" spans="2:4" x14ac:dyDescent="0.15">
      <c r="B864" s="69"/>
      <c r="C864" s="70"/>
      <c r="D864" s="71"/>
    </row>
    <row r="865" spans="2:4" x14ac:dyDescent="0.15">
      <c r="B865" s="69"/>
      <c r="C865" s="70"/>
      <c r="D865" s="71"/>
    </row>
    <row r="866" spans="2:4" x14ac:dyDescent="0.15">
      <c r="B866" s="69"/>
      <c r="C866" s="70"/>
      <c r="D866" s="71"/>
    </row>
    <row r="867" spans="2:4" x14ac:dyDescent="0.15">
      <c r="B867" s="69"/>
      <c r="C867" s="70"/>
      <c r="D867" s="71"/>
    </row>
    <row r="868" spans="2:4" x14ac:dyDescent="0.15">
      <c r="B868" s="69"/>
      <c r="C868" s="70"/>
      <c r="D868" s="71"/>
    </row>
    <row r="869" spans="2:4" x14ac:dyDescent="0.15">
      <c r="B869" s="69"/>
      <c r="C869" s="70"/>
      <c r="D869" s="71"/>
    </row>
    <row r="870" spans="2:4" x14ac:dyDescent="0.15">
      <c r="B870" s="69"/>
      <c r="C870" s="70"/>
      <c r="D870" s="71"/>
    </row>
    <row r="871" spans="2:4" x14ac:dyDescent="0.15">
      <c r="B871" s="69"/>
      <c r="C871" s="70"/>
      <c r="D871" s="71"/>
    </row>
    <row r="872" spans="2:4" x14ac:dyDescent="0.15">
      <c r="B872" s="69"/>
      <c r="C872" s="70"/>
      <c r="D872" s="71"/>
    </row>
    <row r="873" spans="2:4" x14ac:dyDescent="0.15">
      <c r="B873" s="69"/>
      <c r="C873" s="70"/>
      <c r="D873" s="71"/>
    </row>
    <row r="874" spans="2:4" x14ac:dyDescent="0.15">
      <c r="B874" s="69"/>
      <c r="C874" s="70"/>
      <c r="D874" s="71"/>
    </row>
    <row r="875" spans="2:4" x14ac:dyDescent="0.15">
      <c r="B875" s="69"/>
      <c r="C875" s="70"/>
      <c r="D875" s="71"/>
    </row>
    <row r="876" spans="2:4" x14ac:dyDescent="0.15">
      <c r="B876" s="69"/>
      <c r="C876" s="70"/>
      <c r="D876" s="71"/>
    </row>
    <row r="877" spans="2:4" x14ac:dyDescent="0.15">
      <c r="B877" s="69"/>
      <c r="C877" s="70"/>
      <c r="D877" s="71"/>
    </row>
    <row r="878" spans="2:4" x14ac:dyDescent="0.15">
      <c r="B878" s="69"/>
      <c r="C878" s="70"/>
      <c r="D878" s="71"/>
    </row>
    <row r="879" spans="2:4" x14ac:dyDescent="0.15">
      <c r="B879" s="69"/>
      <c r="C879" s="70"/>
      <c r="D879" s="71"/>
    </row>
    <row r="880" spans="2:4" x14ac:dyDescent="0.15">
      <c r="B880" s="69"/>
      <c r="C880" s="70"/>
      <c r="D880" s="71"/>
    </row>
    <row r="881" spans="2:4" x14ac:dyDescent="0.15">
      <c r="B881" s="69"/>
      <c r="C881" s="70"/>
      <c r="D881" s="71"/>
    </row>
    <row r="882" spans="2:4" x14ac:dyDescent="0.15">
      <c r="B882" s="69"/>
      <c r="C882" s="70"/>
      <c r="D882" s="71"/>
    </row>
    <row r="883" spans="2:4" x14ac:dyDescent="0.15">
      <c r="B883" s="69"/>
      <c r="C883" s="70"/>
      <c r="D883" s="71"/>
    </row>
    <row r="884" spans="2:4" x14ac:dyDescent="0.15">
      <c r="B884" s="69"/>
      <c r="C884" s="70"/>
      <c r="D884" s="71"/>
    </row>
    <row r="885" spans="2:4" x14ac:dyDescent="0.15">
      <c r="B885" s="69"/>
      <c r="C885" s="70"/>
      <c r="D885" s="71"/>
    </row>
    <row r="886" spans="2:4" x14ac:dyDescent="0.15">
      <c r="B886" s="69"/>
      <c r="C886" s="70"/>
      <c r="D886" s="71"/>
    </row>
    <row r="887" spans="2:4" x14ac:dyDescent="0.15">
      <c r="B887" s="69"/>
      <c r="C887" s="70"/>
      <c r="D887" s="71"/>
    </row>
    <row r="888" spans="2:4" x14ac:dyDescent="0.15">
      <c r="B888" s="69"/>
      <c r="C888" s="70"/>
      <c r="D888" s="71"/>
    </row>
    <row r="889" spans="2:4" x14ac:dyDescent="0.15">
      <c r="B889" s="69"/>
      <c r="C889" s="70"/>
      <c r="D889" s="71"/>
    </row>
    <row r="890" spans="2:4" x14ac:dyDescent="0.15">
      <c r="B890" s="69"/>
      <c r="C890" s="70"/>
      <c r="D890" s="71"/>
    </row>
    <row r="891" spans="2:4" x14ac:dyDescent="0.15">
      <c r="B891" s="69"/>
      <c r="C891" s="70"/>
      <c r="D891" s="71"/>
    </row>
    <row r="892" spans="2:4" x14ac:dyDescent="0.15">
      <c r="B892" s="69"/>
      <c r="C892" s="70"/>
      <c r="D892" s="71"/>
    </row>
    <row r="893" spans="2:4" x14ac:dyDescent="0.15">
      <c r="B893" s="69"/>
      <c r="C893" s="70"/>
      <c r="D893" s="71"/>
    </row>
    <row r="894" spans="2:4" x14ac:dyDescent="0.15">
      <c r="B894" s="69"/>
      <c r="C894" s="70"/>
      <c r="D894" s="71"/>
    </row>
    <row r="895" spans="2:4" x14ac:dyDescent="0.15">
      <c r="B895" s="69"/>
      <c r="C895" s="70"/>
      <c r="D895" s="71"/>
    </row>
    <row r="896" spans="2:4" x14ac:dyDescent="0.15">
      <c r="B896" s="69"/>
      <c r="C896" s="70"/>
      <c r="D896" s="71"/>
    </row>
    <row r="897" spans="2:4" x14ac:dyDescent="0.15">
      <c r="B897" s="69"/>
      <c r="C897" s="70"/>
      <c r="D897" s="71"/>
    </row>
    <row r="898" spans="2:4" x14ac:dyDescent="0.15">
      <c r="B898" s="69"/>
      <c r="C898" s="70"/>
      <c r="D898" s="71"/>
    </row>
    <row r="899" spans="2:4" x14ac:dyDescent="0.15">
      <c r="B899" s="69"/>
      <c r="C899" s="70"/>
      <c r="D899" s="71"/>
    </row>
    <row r="900" spans="2:4" x14ac:dyDescent="0.15">
      <c r="B900" s="69"/>
      <c r="C900" s="70"/>
      <c r="D900" s="71"/>
    </row>
    <row r="901" spans="2:4" x14ac:dyDescent="0.15">
      <c r="B901" s="69"/>
      <c r="C901" s="70"/>
      <c r="D901" s="71"/>
    </row>
    <row r="902" spans="2:4" x14ac:dyDescent="0.15">
      <c r="B902" s="69"/>
      <c r="C902" s="70"/>
      <c r="D902" s="71"/>
    </row>
    <row r="903" spans="2:4" x14ac:dyDescent="0.15">
      <c r="B903" s="69"/>
      <c r="C903" s="70"/>
      <c r="D903" s="71"/>
    </row>
    <row r="904" spans="2:4" x14ac:dyDescent="0.15">
      <c r="B904" s="69"/>
      <c r="C904" s="70"/>
      <c r="D904" s="71"/>
    </row>
    <row r="905" spans="2:4" x14ac:dyDescent="0.15">
      <c r="B905" s="69"/>
      <c r="C905" s="70"/>
      <c r="D905" s="71"/>
    </row>
    <row r="906" spans="2:4" x14ac:dyDescent="0.15">
      <c r="B906" s="69"/>
      <c r="C906" s="70"/>
      <c r="D906" s="71"/>
    </row>
    <row r="907" spans="2:4" x14ac:dyDescent="0.15">
      <c r="B907" s="69"/>
      <c r="C907" s="70"/>
      <c r="D907" s="71"/>
    </row>
    <row r="908" spans="2:4" x14ac:dyDescent="0.15">
      <c r="B908" s="69"/>
      <c r="C908" s="70"/>
      <c r="D908" s="71"/>
    </row>
    <row r="909" spans="2:4" x14ac:dyDescent="0.15">
      <c r="B909" s="69"/>
      <c r="C909" s="70"/>
      <c r="D909" s="71"/>
    </row>
    <row r="910" spans="2:4" x14ac:dyDescent="0.15">
      <c r="B910" s="69"/>
      <c r="C910" s="70"/>
      <c r="D910" s="71"/>
    </row>
    <row r="911" spans="2:4" x14ac:dyDescent="0.15">
      <c r="B911" s="69"/>
      <c r="C911" s="70"/>
      <c r="D911" s="71"/>
    </row>
    <row r="912" spans="2:4" x14ac:dyDescent="0.15">
      <c r="B912" s="69"/>
      <c r="C912" s="70"/>
      <c r="D912" s="71"/>
    </row>
    <row r="913" spans="2:4" x14ac:dyDescent="0.15">
      <c r="B913" s="69"/>
      <c r="C913" s="70"/>
      <c r="D913" s="71"/>
    </row>
    <row r="914" spans="2:4" x14ac:dyDescent="0.15">
      <c r="B914" s="69"/>
      <c r="C914" s="70"/>
      <c r="D914" s="71"/>
    </row>
    <row r="915" spans="2:4" x14ac:dyDescent="0.15">
      <c r="B915" s="69"/>
      <c r="C915" s="70"/>
      <c r="D915" s="71"/>
    </row>
    <row r="916" spans="2:4" x14ac:dyDescent="0.15">
      <c r="B916" s="69"/>
      <c r="C916" s="70"/>
      <c r="D916" s="71"/>
    </row>
    <row r="917" spans="2:4" x14ac:dyDescent="0.15">
      <c r="B917" s="69"/>
      <c r="C917" s="70"/>
      <c r="D917" s="71"/>
    </row>
    <row r="918" spans="2:4" x14ac:dyDescent="0.15">
      <c r="B918" s="69"/>
      <c r="C918" s="70"/>
      <c r="D918" s="71"/>
    </row>
    <row r="919" spans="2:4" x14ac:dyDescent="0.15">
      <c r="B919" s="69"/>
      <c r="C919" s="70"/>
      <c r="D919" s="71"/>
    </row>
    <row r="920" spans="2:4" x14ac:dyDescent="0.15">
      <c r="B920" s="69"/>
      <c r="C920" s="70"/>
      <c r="D920" s="71"/>
    </row>
    <row r="921" spans="2:4" x14ac:dyDescent="0.15">
      <c r="B921" s="69"/>
      <c r="C921" s="70"/>
      <c r="D921" s="71"/>
    </row>
    <row r="922" spans="2:4" x14ac:dyDescent="0.15">
      <c r="B922" s="69"/>
      <c r="C922" s="70"/>
      <c r="D922" s="71"/>
    </row>
    <row r="923" spans="2:4" x14ac:dyDescent="0.15">
      <c r="B923" s="69"/>
      <c r="C923" s="70"/>
      <c r="D923" s="71"/>
    </row>
    <row r="924" spans="2:4" x14ac:dyDescent="0.15">
      <c r="B924" s="69"/>
      <c r="C924" s="70"/>
      <c r="D924" s="71"/>
    </row>
    <row r="925" spans="2:4" x14ac:dyDescent="0.15">
      <c r="B925" s="69"/>
      <c r="C925" s="70"/>
      <c r="D925" s="71"/>
    </row>
    <row r="926" spans="2:4" x14ac:dyDescent="0.15">
      <c r="B926" s="69"/>
      <c r="C926" s="70"/>
      <c r="D926" s="71"/>
    </row>
    <row r="927" spans="2:4" x14ac:dyDescent="0.15">
      <c r="B927" s="69"/>
      <c r="C927" s="70"/>
      <c r="D927" s="71"/>
    </row>
    <row r="928" spans="2:4" x14ac:dyDescent="0.15">
      <c r="B928" s="69"/>
      <c r="C928" s="70"/>
      <c r="D928" s="71"/>
    </row>
    <row r="929" spans="2:4" x14ac:dyDescent="0.15">
      <c r="B929" s="69"/>
      <c r="C929" s="70"/>
      <c r="D929" s="71"/>
    </row>
    <row r="930" spans="2:4" x14ac:dyDescent="0.15">
      <c r="B930" s="69"/>
      <c r="C930" s="70"/>
      <c r="D930" s="71"/>
    </row>
    <row r="931" spans="2:4" x14ac:dyDescent="0.15">
      <c r="B931" s="69"/>
      <c r="C931" s="70"/>
      <c r="D931" s="71"/>
    </row>
    <row r="932" spans="2:4" x14ac:dyDescent="0.15">
      <c r="B932" s="69"/>
      <c r="C932" s="70"/>
      <c r="D932" s="71"/>
    </row>
    <row r="933" spans="2:4" x14ac:dyDescent="0.15">
      <c r="B933" s="69"/>
      <c r="C933" s="70"/>
      <c r="D933" s="71"/>
    </row>
    <row r="934" spans="2:4" x14ac:dyDescent="0.15">
      <c r="B934" s="69"/>
      <c r="C934" s="70"/>
      <c r="D934" s="71"/>
    </row>
    <row r="935" spans="2:4" x14ac:dyDescent="0.15">
      <c r="B935" s="69"/>
      <c r="C935" s="70"/>
      <c r="D935" s="71"/>
    </row>
    <row r="936" spans="2:4" x14ac:dyDescent="0.15">
      <c r="B936" s="69"/>
      <c r="C936" s="70"/>
      <c r="D936" s="71"/>
    </row>
    <row r="937" spans="2:4" x14ac:dyDescent="0.15">
      <c r="B937" s="69"/>
      <c r="C937" s="70"/>
      <c r="D937" s="71"/>
    </row>
    <row r="938" spans="2:4" x14ac:dyDescent="0.15">
      <c r="B938" s="69"/>
      <c r="C938" s="70"/>
      <c r="D938" s="71"/>
    </row>
    <row r="939" spans="2:4" x14ac:dyDescent="0.15">
      <c r="B939" s="69"/>
      <c r="C939" s="70"/>
      <c r="D939" s="71"/>
    </row>
    <row r="940" spans="2:4" x14ac:dyDescent="0.15">
      <c r="B940" s="69"/>
      <c r="C940" s="70"/>
      <c r="D940" s="71"/>
    </row>
    <row r="941" spans="2:4" x14ac:dyDescent="0.15">
      <c r="B941" s="69"/>
      <c r="C941" s="70"/>
      <c r="D941" s="71"/>
    </row>
    <row r="942" spans="2:4" x14ac:dyDescent="0.15">
      <c r="B942" s="69"/>
      <c r="C942" s="70"/>
      <c r="D942" s="71"/>
    </row>
    <row r="943" spans="2:4" x14ac:dyDescent="0.15">
      <c r="B943" s="69"/>
      <c r="C943" s="70"/>
      <c r="D943" s="71"/>
    </row>
    <row r="944" spans="2:4" x14ac:dyDescent="0.15">
      <c r="B944" s="69"/>
      <c r="C944" s="70"/>
      <c r="D944" s="71"/>
    </row>
    <row r="945" spans="2:4" x14ac:dyDescent="0.15">
      <c r="B945" s="69"/>
      <c r="C945" s="70"/>
      <c r="D945" s="71"/>
    </row>
    <row r="946" spans="2:4" x14ac:dyDescent="0.15">
      <c r="B946" s="69"/>
      <c r="C946" s="70"/>
      <c r="D946" s="71"/>
    </row>
    <row r="947" spans="2:4" x14ac:dyDescent="0.15">
      <c r="B947" s="69"/>
      <c r="C947" s="70"/>
      <c r="D947" s="71"/>
    </row>
    <row r="948" spans="2:4" x14ac:dyDescent="0.15">
      <c r="B948" s="69"/>
      <c r="C948" s="70"/>
      <c r="D948" s="71"/>
    </row>
    <row r="949" spans="2:4" x14ac:dyDescent="0.15">
      <c r="B949" s="69"/>
      <c r="C949" s="70"/>
      <c r="D949" s="71"/>
    </row>
    <row r="950" spans="2:4" x14ac:dyDescent="0.15">
      <c r="B950" s="69"/>
      <c r="C950" s="70"/>
      <c r="D950" s="71"/>
    </row>
    <row r="951" spans="2:4" x14ac:dyDescent="0.15">
      <c r="B951" s="69"/>
      <c r="C951" s="70"/>
      <c r="D951" s="71"/>
    </row>
    <row r="952" spans="2:4" x14ac:dyDescent="0.15">
      <c r="B952" s="69"/>
      <c r="C952" s="70"/>
      <c r="D952" s="71"/>
    </row>
    <row r="953" spans="2:4" x14ac:dyDescent="0.15">
      <c r="B953" s="69"/>
      <c r="C953" s="70"/>
      <c r="D953" s="71"/>
    </row>
    <row r="954" spans="2:4" x14ac:dyDescent="0.15">
      <c r="B954" s="69"/>
      <c r="C954" s="70"/>
      <c r="D954" s="71"/>
    </row>
    <row r="955" spans="2:4" x14ac:dyDescent="0.15">
      <c r="B955" s="69"/>
      <c r="C955" s="70"/>
      <c r="D955" s="71"/>
    </row>
    <row r="956" spans="2:4" x14ac:dyDescent="0.15">
      <c r="B956" s="69"/>
      <c r="C956" s="70"/>
      <c r="D956" s="71"/>
    </row>
    <row r="957" spans="2:4" x14ac:dyDescent="0.15">
      <c r="B957" s="69"/>
      <c r="C957" s="70"/>
      <c r="D957" s="71"/>
    </row>
    <row r="958" spans="2:4" x14ac:dyDescent="0.15">
      <c r="B958" s="69"/>
      <c r="C958" s="70"/>
      <c r="D958" s="71"/>
    </row>
    <row r="959" spans="2:4" x14ac:dyDescent="0.15">
      <c r="B959" s="69"/>
      <c r="C959" s="70"/>
      <c r="D959" s="71"/>
    </row>
    <row r="960" spans="2:4" x14ac:dyDescent="0.15">
      <c r="B960" s="69"/>
      <c r="C960" s="70"/>
      <c r="D960" s="71"/>
    </row>
    <row r="961" spans="2:4" x14ac:dyDescent="0.15">
      <c r="B961" s="69"/>
      <c r="C961" s="70"/>
      <c r="D961" s="71"/>
    </row>
    <row r="962" spans="2:4" x14ac:dyDescent="0.15">
      <c r="B962" s="69"/>
      <c r="C962" s="70"/>
      <c r="D962" s="71"/>
    </row>
    <row r="963" spans="2:4" x14ac:dyDescent="0.15">
      <c r="B963" s="69"/>
      <c r="C963" s="70"/>
      <c r="D963" s="71"/>
    </row>
    <row r="964" spans="2:4" x14ac:dyDescent="0.15">
      <c r="B964" s="69"/>
      <c r="C964" s="70"/>
      <c r="D964" s="71"/>
    </row>
    <row r="965" spans="2:4" x14ac:dyDescent="0.15">
      <c r="B965" s="69"/>
      <c r="C965" s="70"/>
      <c r="D965" s="71"/>
    </row>
    <row r="966" spans="2:4" x14ac:dyDescent="0.15">
      <c r="B966" s="69"/>
      <c r="C966" s="70"/>
      <c r="D966" s="71"/>
    </row>
    <row r="967" spans="2:4" x14ac:dyDescent="0.15">
      <c r="B967" s="69"/>
      <c r="C967" s="70"/>
      <c r="D967" s="71"/>
    </row>
    <row r="968" spans="2:4" x14ac:dyDescent="0.15">
      <c r="B968" s="69"/>
      <c r="C968" s="70"/>
      <c r="D968" s="71"/>
    </row>
    <row r="969" spans="2:4" x14ac:dyDescent="0.15">
      <c r="B969" s="69"/>
      <c r="C969" s="70"/>
      <c r="D969" s="71"/>
    </row>
    <row r="970" spans="2:4" x14ac:dyDescent="0.15">
      <c r="B970" s="69"/>
      <c r="C970" s="70"/>
      <c r="D970" s="71"/>
    </row>
    <row r="971" spans="2:4" x14ac:dyDescent="0.15">
      <c r="B971" s="69"/>
      <c r="C971" s="70"/>
      <c r="D971" s="71"/>
    </row>
    <row r="972" spans="2:4" x14ac:dyDescent="0.15">
      <c r="B972" s="69"/>
      <c r="C972" s="70"/>
      <c r="D972" s="71"/>
    </row>
    <row r="973" spans="2:4" x14ac:dyDescent="0.15">
      <c r="B973" s="69"/>
      <c r="C973" s="70"/>
      <c r="D973" s="71"/>
    </row>
    <row r="974" spans="2:4" x14ac:dyDescent="0.15">
      <c r="B974" s="69"/>
      <c r="C974" s="70"/>
      <c r="D974" s="71"/>
    </row>
    <row r="975" spans="2:4" x14ac:dyDescent="0.15">
      <c r="B975" s="69"/>
      <c r="C975" s="70"/>
      <c r="D975" s="71"/>
    </row>
    <row r="976" spans="2:4" x14ac:dyDescent="0.15">
      <c r="B976" s="69"/>
      <c r="C976" s="70"/>
      <c r="D976" s="71"/>
    </row>
    <row r="977" spans="2:4" x14ac:dyDescent="0.15">
      <c r="B977" s="69"/>
      <c r="C977" s="70"/>
      <c r="D977" s="71"/>
    </row>
    <row r="978" spans="2:4" x14ac:dyDescent="0.15">
      <c r="B978" s="69"/>
      <c r="C978" s="70"/>
      <c r="D978" s="71"/>
    </row>
    <row r="979" spans="2:4" x14ac:dyDescent="0.15">
      <c r="B979" s="69"/>
      <c r="C979" s="70"/>
      <c r="D979" s="71"/>
    </row>
    <row r="980" spans="2:4" x14ac:dyDescent="0.15">
      <c r="B980" s="69"/>
      <c r="C980" s="70"/>
      <c r="D980" s="71"/>
    </row>
    <row r="981" spans="2:4" x14ac:dyDescent="0.15">
      <c r="B981" s="69"/>
      <c r="C981" s="70"/>
      <c r="D981" s="71"/>
    </row>
    <row r="982" spans="2:4" x14ac:dyDescent="0.15">
      <c r="B982" s="69"/>
      <c r="C982" s="70"/>
      <c r="D982" s="71"/>
    </row>
    <row r="983" spans="2:4" x14ac:dyDescent="0.15">
      <c r="B983" s="69"/>
      <c r="C983" s="70"/>
      <c r="D983" s="71"/>
    </row>
    <row r="984" spans="2:4" x14ac:dyDescent="0.15">
      <c r="B984" s="69"/>
      <c r="C984" s="70"/>
      <c r="D984" s="71"/>
    </row>
    <row r="985" spans="2:4" x14ac:dyDescent="0.15">
      <c r="B985" s="69"/>
      <c r="C985" s="70"/>
      <c r="D985" s="71"/>
    </row>
    <row r="986" spans="2:4" x14ac:dyDescent="0.15">
      <c r="B986" s="69"/>
      <c r="C986" s="70"/>
      <c r="D986" s="71"/>
    </row>
    <row r="987" spans="2:4" x14ac:dyDescent="0.15">
      <c r="B987" s="69"/>
      <c r="C987" s="70"/>
      <c r="D987" s="71"/>
    </row>
    <row r="988" spans="2:4" x14ac:dyDescent="0.15">
      <c r="B988" s="69"/>
      <c r="C988" s="70"/>
      <c r="D988" s="71"/>
    </row>
    <row r="989" spans="2:4" x14ac:dyDescent="0.15">
      <c r="B989" s="69"/>
      <c r="C989" s="70"/>
      <c r="D989" s="71"/>
    </row>
    <row r="990" spans="2:4" x14ac:dyDescent="0.15">
      <c r="B990" s="69"/>
      <c r="C990" s="70"/>
      <c r="D990" s="71"/>
    </row>
    <row r="991" spans="2:4" x14ac:dyDescent="0.15">
      <c r="B991" s="69"/>
      <c r="C991" s="70"/>
      <c r="D991" s="71"/>
    </row>
    <row r="992" spans="2:4" x14ac:dyDescent="0.15">
      <c r="B992" s="69"/>
      <c r="C992" s="70"/>
      <c r="D992" s="71"/>
    </row>
    <row r="993" spans="2:4" x14ac:dyDescent="0.15">
      <c r="B993" s="69"/>
      <c r="C993" s="70"/>
      <c r="D993" s="71"/>
    </row>
    <row r="994" spans="2:4" x14ac:dyDescent="0.15">
      <c r="B994" s="69"/>
      <c r="C994" s="70"/>
      <c r="D994" s="71"/>
    </row>
    <row r="995" spans="2:4" x14ac:dyDescent="0.15">
      <c r="B995" s="69"/>
      <c r="C995" s="70"/>
      <c r="D995" s="71"/>
    </row>
    <row r="996" spans="2:4" x14ac:dyDescent="0.15">
      <c r="B996" s="69"/>
      <c r="C996" s="70"/>
      <c r="D996" s="71"/>
    </row>
    <row r="997" spans="2:4" x14ac:dyDescent="0.15">
      <c r="B997" s="69"/>
      <c r="C997" s="70"/>
      <c r="D997" s="71"/>
    </row>
    <row r="998" spans="2:4" x14ac:dyDescent="0.15">
      <c r="B998" s="69"/>
      <c r="C998" s="70"/>
      <c r="D998" s="71"/>
    </row>
    <row r="999" spans="2:4" x14ac:dyDescent="0.15">
      <c r="B999" s="69"/>
      <c r="C999" s="70"/>
      <c r="D999" s="71"/>
    </row>
    <row r="1000" spans="2:4" x14ac:dyDescent="0.15">
      <c r="B1000" s="69"/>
      <c r="C1000" s="70"/>
      <c r="D1000" s="71"/>
    </row>
    <row r="1001" spans="2:4" x14ac:dyDescent="0.15">
      <c r="B1001" s="69"/>
      <c r="C1001" s="70"/>
      <c r="D1001" s="71"/>
    </row>
    <row r="1002" spans="2:4" x14ac:dyDescent="0.15">
      <c r="B1002" s="69"/>
      <c r="C1002" s="70"/>
      <c r="D1002" s="71"/>
    </row>
    <row r="1003" spans="2:4" x14ac:dyDescent="0.15">
      <c r="B1003" s="69"/>
      <c r="C1003" s="70"/>
      <c r="D1003" s="71"/>
    </row>
    <row r="1004" spans="2:4" x14ac:dyDescent="0.15">
      <c r="B1004" s="69"/>
      <c r="C1004" s="70"/>
      <c r="D1004" s="71"/>
    </row>
    <row r="1005" spans="2:4" x14ac:dyDescent="0.15">
      <c r="B1005" s="69"/>
      <c r="C1005" s="70"/>
      <c r="D1005" s="71"/>
    </row>
    <row r="1006" spans="2:4" x14ac:dyDescent="0.15">
      <c r="B1006" s="69"/>
      <c r="C1006" s="70"/>
      <c r="D1006" s="71"/>
    </row>
    <row r="1007" spans="2:4" x14ac:dyDescent="0.15">
      <c r="B1007" s="69"/>
      <c r="C1007" s="70"/>
      <c r="D1007" s="71"/>
    </row>
    <row r="1008" spans="2:4" x14ac:dyDescent="0.15">
      <c r="B1008" s="69"/>
      <c r="C1008" s="70"/>
      <c r="D1008" s="71"/>
    </row>
    <row r="1009" spans="2:4" x14ac:dyDescent="0.15">
      <c r="B1009" s="69"/>
      <c r="C1009" s="70"/>
      <c r="D1009" s="71"/>
    </row>
    <row r="1010" spans="2:4" x14ac:dyDescent="0.15">
      <c r="B1010" s="69"/>
      <c r="C1010" s="70"/>
      <c r="D1010" s="71"/>
    </row>
    <row r="1011" spans="2:4" x14ac:dyDescent="0.15">
      <c r="B1011" s="69"/>
      <c r="C1011" s="70"/>
      <c r="D1011" s="71"/>
    </row>
    <row r="1012" spans="2:4" x14ac:dyDescent="0.15">
      <c r="B1012" s="69"/>
      <c r="C1012" s="70"/>
      <c r="D1012" s="71"/>
    </row>
    <row r="1013" spans="2:4" x14ac:dyDescent="0.15">
      <c r="B1013" s="69"/>
      <c r="C1013" s="70"/>
      <c r="D1013" s="71"/>
    </row>
    <row r="1014" spans="2:4" x14ac:dyDescent="0.15">
      <c r="B1014" s="69"/>
      <c r="C1014" s="70"/>
      <c r="D1014" s="71"/>
    </row>
    <row r="1015" spans="2:4" x14ac:dyDescent="0.15">
      <c r="B1015" s="69"/>
      <c r="C1015" s="70"/>
      <c r="D1015" s="71"/>
    </row>
    <row r="1016" spans="2:4" x14ac:dyDescent="0.15">
      <c r="B1016" s="69"/>
      <c r="C1016" s="70"/>
      <c r="D1016" s="71"/>
    </row>
    <row r="1017" spans="2:4" x14ac:dyDescent="0.15">
      <c r="B1017" s="69"/>
      <c r="C1017" s="70"/>
      <c r="D1017" s="71"/>
    </row>
    <row r="1018" spans="2:4" x14ac:dyDescent="0.15">
      <c r="B1018" s="69"/>
      <c r="C1018" s="70"/>
      <c r="D1018" s="71"/>
    </row>
    <row r="1019" spans="2:4" x14ac:dyDescent="0.15">
      <c r="B1019" s="69"/>
      <c r="C1019" s="70"/>
      <c r="D1019" s="71"/>
    </row>
    <row r="1020" spans="2:4" x14ac:dyDescent="0.15">
      <c r="B1020" s="69"/>
      <c r="C1020" s="70"/>
      <c r="D1020" s="71"/>
    </row>
    <row r="1021" spans="2:4" x14ac:dyDescent="0.15">
      <c r="B1021" s="69"/>
      <c r="C1021" s="70"/>
      <c r="D1021" s="71"/>
    </row>
    <row r="1022" spans="2:4" x14ac:dyDescent="0.15">
      <c r="B1022" s="69"/>
      <c r="C1022" s="70"/>
      <c r="D1022" s="71"/>
    </row>
    <row r="1023" spans="2:4" x14ac:dyDescent="0.15">
      <c r="B1023" s="69"/>
      <c r="C1023" s="70"/>
      <c r="D1023" s="71"/>
    </row>
    <row r="1024" spans="2:4" x14ac:dyDescent="0.15">
      <c r="B1024" s="69"/>
      <c r="C1024" s="70"/>
      <c r="D1024" s="71"/>
    </row>
    <row r="1025" spans="2:4" x14ac:dyDescent="0.15">
      <c r="B1025" s="69"/>
      <c r="C1025" s="70"/>
      <c r="D1025" s="71"/>
    </row>
    <row r="1026" spans="2:4" x14ac:dyDescent="0.15">
      <c r="B1026" s="69"/>
      <c r="C1026" s="70"/>
      <c r="D1026" s="71"/>
    </row>
    <row r="1027" spans="2:4" x14ac:dyDescent="0.15">
      <c r="B1027" s="69"/>
      <c r="C1027" s="70"/>
      <c r="D1027" s="71"/>
    </row>
    <row r="1028" spans="2:4" x14ac:dyDescent="0.15">
      <c r="B1028" s="69"/>
      <c r="C1028" s="70"/>
      <c r="D1028" s="71"/>
    </row>
    <row r="1029" spans="2:4" x14ac:dyDescent="0.15">
      <c r="B1029" s="69"/>
      <c r="C1029" s="70"/>
      <c r="D1029" s="71"/>
    </row>
    <row r="1030" spans="2:4" x14ac:dyDescent="0.15">
      <c r="B1030" s="69"/>
      <c r="C1030" s="70"/>
      <c r="D1030" s="71"/>
    </row>
    <row r="1031" spans="2:4" x14ac:dyDescent="0.15">
      <c r="B1031" s="69"/>
      <c r="C1031" s="70"/>
      <c r="D1031" s="71"/>
    </row>
    <row r="1032" spans="2:4" x14ac:dyDescent="0.15">
      <c r="B1032" s="69"/>
      <c r="C1032" s="70"/>
      <c r="D1032" s="71"/>
    </row>
    <row r="1033" spans="2:4" x14ac:dyDescent="0.15">
      <c r="B1033" s="69"/>
      <c r="C1033" s="70"/>
      <c r="D1033" s="71"/>
    </row>
    <row r="1034" spans="2:4" x14ac:dyDescent="0.15">
      <c r="B1034" s="69"/>
      <c r="C1034" s="70"/>
      <c r="D1034" s="71"/>
    </row>
    <row r="1035" spans="2:4" x14ac:dyDescent="0.15">
      <c r="B1035" s="69"/>
      <c r="C1035" s="70"/>
      <c r="D1035" s="71"/>
    </row>
    <row r="1036" spans="2:4" x14ac:dyDescent="0.15">
      <c r="B1036" s="69"/>
      <c r="C1036" s="70"/>
      <c r="D1036" s="71"/>
    </row>
    <row r="1037" spans="2:4" x14ac:dyDescent="0.15">
      <c r="B1037" s="69"/>
      <c r="C1037" s="70"/>
      <c r="D1037" s="71"/>
    </row>
    <row r="1038" spans="2:4" x14ac:dyDescent="0.15">
      <c r="B1038" s="69"/>
      <c r="C1038" s="70"/>
      <c r="D1038" s="71"/>
    </row>
    <row r="1039" spans="2:4" x14ac:dyDescent="0.15">
      <c r="B1039" s="69"/>
      <c r="C1039" s="70"/>
      <c r="D1039" s="71"/>
    </row>
    <row r="1040" spans="2:4" x14ac:dyDescent="0.15">
      <c r="B1040" s="69"/>
      <c r="C1040" s="70"/>
      <c r="D1040" s="71"/>
    </row>
    <row r="1041" spans="2:4" x14ac:dyDescent="0.15">
      <c r="B1041" s="69"/>
      <c r="C1041" s="70"/>
      <c r="D1041" s="71"/>
    </row>
    <row r="1042" spans="2:4" x14ac:dyDescent="0.15">
      <c r="B1042" s="69"/>
      <c r="C1042" s="70"/>
      <c r="D1042" s="71"/>
    </row>
    <row r="1043" spans="2:4" x14ac:dyDescent="0.15">
      <c r="B1043" s="69"/>
      <c r="C1043" s="70"/>
      <c r="D1043" s="71"/>
    </row>
    <row r="1044" spans="2:4" x14ac:dyDescent="0.15">
      <c r="B1044" s="69"/>
      <c r="C1044" s="70"/>
      <c r="D1044" s="71"/>
    </row>
    <row r="1045" spans="2:4" x14ac:dyDescent="0.15">
      <c r="B1045" s="69"/>
      <c r="C1045" s="70"/>
      <c r="D1045" s="71"/>
    </row>
    <row r="1046" spans="2:4" x14ac:dyDescent="0.15">
      <c r="B1046" s="69"/>
      <c r="C1046" s="70"/>
      <c r="D1046" s="71"/>
    </row>
    <row r="1047" spans="2:4" x14ac:dyDescent="0.15">
      <c r="B1047" s="69"/>
      <c r="C1047" s="70"/>
      <c r="D1047" s="71"/>
    </row>
    <row r="1048" spans="2:4" x14ac:dyDescent="0.15">
      <c r="B1048" s="69"/>
      <c r="C1048" s="70"/>
      <c r="D1048" s="71"/>
    </row>
    <row r="1049" spans="2:4" x14ac:dyDescent="0.15">
      <c r="B1049" s="69"/>
      <c r="C1049" s="70"/>
      <c r="D1049" s="71"/>
    </row>
    <row r="1050" spans="2:4" x14ac:dyDescent="0.15">
      <c r="B1050" s="69"/>
      <c r="C1050" s="70"/>
      <c r="D1050" s="71"/>
    </row>
    <row r="1051" spans="2:4" x14ac:dyDescent="0.15">
      <c r="B1051" s="69"/>
      <c r="C1051" s="70"/>
      <c r="D1051" s="71"/>
    </row>
    <row r="1052" spans="2:4" x14ac:dyDescent="0.15">
      <c r="B1052" s="69"/>
      <c r="C1052" s="70"/>
      <c r="D1052" s="71"/>
    </row>
    <row r="1053" spans="2:4" x14ac:dyDescent="0.15">
      <c r="B1053" s="69"/>
      <c r="C1053" s="70"/>
      <c r="D1053" s="71"/>
    </row>
    <row r="1054" spans="2:4" x14ac:dyDescent="0.15">
      <c r="B1054" s="69"/>
      <c r="C1054" s="70"/>
      <c r="D1054" s="71"/>
    </row>
    <row r="1055" spans="2:4" x14ac:dyDescent="0.15">
      <c r="B1055" s="69"/>
      <c r="C1055" s="70"/>
      <c r="D1055" s="71"/>
    </row>
    <row r="1056" spans="2:4" x14ac:dyDescent="0.15">
      <c r="B1056" s="69"/>
      <c r="C1056" s="70"/>
      <c r="D1056" s="71"/>
    </row>
    <row r="1057" spans="2:4" x14ac:dyDescent="0.15">
      <c r="B1057" s="69"/>
      <c r="C1057" s="70"/>
      <c r="D1057" s="71"/>
    </row>
    <row r="1058" spans="2:4" x14ac:dyDescent="0.15">
      <c r="B1058" s="69"/>
      <c r="C1058" s="70"/>
      <c r="D1058" s="71"/>
    </row>
    <row r="1059" spans="2:4" x14ac:dyDescent="0.15">
      <c r="B1059" s="69"/>
      <c r="C1059" s="70"/>
      <c r="D1059" s="71"/>
    </row>
    <row r="1060" spans="2:4" x14ac:dyDescent="0.15">
      <c r="B1060" s="69"/>
      <c r="C1060" s="70"/>
      <c r="D1060" s="71"/>
    </row>
    <row r="1061" spans="2:4" x14ac:dyDescent="0.15">
      <c r="B1061" s="69"/>
      <c r="C1061" s="70"/>
      <c r="D1061" s="71"/>
    </row>
    <row r="1062" spans="2:4" x14ac:dyDescent="0.15">
      <c r="B1062" s="69"/>
      <c r="C1062" s="70"/>
      <c r="D1062" s="71"/>
    </row>
    <row r="1063" spans="2:4" x14ac:dyDescent="0.15">
      <c r="B1063" s="69"/>
      <c r="C1063" s="70"/>
      <c r="D1063" s="71"/>
    </row>
    <row r="1064" spans="2:4" x14ac:dyDescent="0.15">
      <c r="B1064" s="69"/>
      <c r="C1064" s="70"/>
      <c r="D1064" s="71"/>
    </row>
    <row r="1065" spans="2:4" x14ac:dyDescent="0.15">
      <c r="B1065" s="69"/>
      <c r="C1065" s="70"/>
      <c r="D1065" s="71"/>
    </row>
    <row r="1066" spans="2:4" x14ac:dyDescent="0.15">
      <c r="B1066" s="69"/>
      <c r="C1066" s="70"/>
      <c r="D1066" s="71"/>
    </row>
    <row r="1067" spans="2:4" x14ac:dyDescent="0.15">
      <c r="B1067" s="69"/>
      <c r="C1067" s="70"/>
      <c r="D1067" s="71"/>
    </row>
    <row r="1068" spans="2:4" x14ac:dyDescent="0.15">
      <c r="B1068" s="69"/>
      <c r="C1068" s="70"/>
      <c r="D1068" s="71"/>
    </row>
    <row r="1069" spans="2:4" x14ac:dyDescent="0.15">
      <c r="B1069" s="69"/>
      <c r="C1069" s="70"/>
      <c r="D1069" s="71"/>
    </row>
    <row r="1070" spans="2:4" x14ac:dyDescent="0.15">
      <c r="B1070" s="69"/>
      <c r="C1070" s="70"/>
      <c r="D1070" s="71"/>
    </row>
    <row r="1071" spans="2:4" x14ac:dyDescent="0.15">
      <c r="B1071" s="69"/>
      <c r="C1071" s="70"/>
      <c r="D1071" s="71"/>
    </row>
    <row r="1072" spans="2:4" x14ac:dyDescent="0.15">
      <c r="B1072" s="69"/>
      <c r="C1072" s="70"/>
      <c r="D1072" s="71"/>
    </row>
    <row r="1073" spans="2:4" x14ac:dyDescent="0.15">
      <c r="B1073" s="69"/>
      <c r="C1073" s="70"/>
      <c r="D1073" s="71"/>
    </row>
    <row r="1074" spans="2:4" x14ac:dyDescent="0.15">
      <c r="B1074" s="69"/>
      <c r="C1074" s="70"/>
      <c r="D1074" s="71"/>
    </row>
    <row r="1075" spans="2:4" x14ac:dyDescent="0.15">
      <c r="B1075" s="69"/>
      <c r="C1075" s="70"/>
      <c r="D1075" s="71"/>
    </row>
    <row r="1076" spans="2:4" x14ac:dyDescent="0.15">
      <c r="B1076" s="69"/>
      <c r="C1076" s="70"/>
      <c r="D1076" s="71"/>
    </row>
    <row r="1077" spans="2:4" x14ac:dyDescent="0.15">
      <c r="B1077" s="69"/>
      <c r="C1077" s="70"/>
      <c r="D1077" s="71"/>
    </row>
    <row r="1078" spans="2:4" x14ac:dyDescent="0.15">
      <c r="B1078" s="69"/>
      <c r="C1078" s="70"/>
      <c r="D1078" s="71"/>
    </row>
    <row r="1079" spans="2:4" x14ac:dyDescent="0.15">
      <c r="B1079" s="69"/>
      <c r="C1079" s="70"/>
      <c r="D1079" s="71"/>
    </row>
    <row r="1080" spans="2:4" x14ac:dyDescent="0.15">
      <c r="B1080" s="69"/>
      <c r="C1080" s="70"/>
      <c r="D1080" s="71"/>
    </row>
    <row r="1081" spans="2:4" x14ac:dyDescent="0.15">
      <c r="B1081" s="69"/>
      <c r="C1081" s="70"/>
      <c r="D1081" s="71"/>
    </row>
    <row r="1082" spans="2:4" x14ac:dyDescent="0.15">
      <c r="B1082" s="69"/>
      <c r="C1082" s="70"/>
      <c r="D1082" s="71"/>
    </row>
    <row r="1083" spans="2:4" x14ac:dyDescent="0.15">
      <c r="B1083" s="69"/>
      <c r="C1083" s="70"/>
      <c r="D1083" s="71"/>
    </row>
    <row r="1084" spans="2:4" x14ac:dyDescent="0.15">
      <c r="B1084" s="69"/>
      <c r="C1084" s="70"/>
      <c r="D1084" s="71"/>
    </row>
    <row r="1085" spans="2:4" x14ac:dyDescent="0.15">
      <c r="B1085" s="69"/>
      <c r="C1085" s="70"/>
      <c r="D1085" s="71"/>
    </row>
    <row r="1086" spans="2:4" x14ac:dyDescent="0.15">
      <c r="B1086" s="69"/>
      <c r="C1086" s="70"/>
      <c r="D1086" s="71"/>
    </row>
    <row r="1087" spans="2:4" x14ac:dyDescent="0.15">
      <c r="B1087" s="69"/>
      <c r="C1087" s="70"/>
      <c r="D1087" s="71"/>
    </row>
    <row r="1088" spans="2:4" x14ac:dyDescent="0.15">
      <c r="B1088" s="69"/>
      <c r="C1088" s="70"/>
      <c r="D1088" s="71"/>
    </row>
    <row r="1089" spans="2:4" x14ac:dyDescent="0.15">
      <c r="B1089" s="69"/>
      <c r="C1089" s="70"/>
      <c r="D1089" s="71"/>
    </row>
    <row r="1090" spans="2:4" x14ac:dyDescent="0.15">
      <c r="B1090" s="69"/>
      <c r="C1090" s="70"/>
      <c r="D1090" s="71"/>
    </row>
    <row r="1091" spans="2:4" x14ac:dyDescent="0.15">
      <c r="B1091" s="69"/>
      <c r="C1091" s="70"/>
      <c r="D1091" s="71"/>
    </row>
    <row r="1092" spans="2:4" x14ac:dyDescent="0.15">
      <c r="B1092" s="69"/>
      <c r="C1092" s="70"/>
      <c r="D1092" s="71"/>
    </row>
    <row r="1093" spans="2:4" x14ac:dyDescent="0.15">
      <c r="B1093" s="69"/>
      <c r="C1093" s="70"/>
      <c r="D1093" s="71"/>
    </row>
    <row r="1094" spans="2:4" x14ac:dyDescent="0.15">
      <c r="B1094" s="69"/>
      <c r="C1094" s="70"/>
      <c r="D1094" s="71"/>
    </row>
    <row r="1095" spans="2:4" x14ac:dyDescent="0.15">
      <c r="B1095" s="69"/>
      <c r="C1095" s="70"/>
      <c r="D1095" s="71"/>
    </row>
    <row r="1096" spans="2:4" x14ac:dyDescent="0.15">
      <c r="B1096" s="69"/>
      <c r="C1096" s="70"/>
      <c r="D1096" s="71"/>
    </row>
    <row r="1097" spans="2:4" x14ac:dyDescent="0.15">
      <c r="B1097" s="69"/>
      <c r="C1097" s="70"/>
      <c r="D1097" s="71"/>
    </row>
    <row r="1098" spans="2:4" x14ac:dyDescent="0.15">
      <c r="B1098" s="69"/>
      <c r="C1098" s="70"/>
      <c r="D1098" s="71"/>
    </row>
    <row r="1099" spans="2:4" x14ac:dyDescent="0.15">
      <c r="B1099" s="69"/>
      <c r="C1099" s="70"/>
      <c r="D1099" s="71"/>
    </row>
    <row r="1100" spans="2:4" x14ac:dyDescent="0.15">
      <c r="B1100" s="69"/>
      <c r="C1100" s="70"/>
      <c r="D1100" s="71"/>
    </row>
    <row r="1101" spans="2:4" x14ac:dyDescent="0.15">
      <c r="B1101" s="69"/>
      <c r="C1101" s="70"/>
      <c r="D1101" s="71"/>
    </row>
    <row r="1102" spans="2:4" x14ac:dyDescent="0.15">
      <c r="B1102" s="69"/>
      <c r="C1102" s="70"/>
      <c r="D1102" s="71"/>
    </row>
    <row r="1103" spans="2:4" x14ac:dyDescent="0.15">
      <c r="B1103" s="69"/>
      <c r="C1103" s="70"/>
      <c r="D1103" s="71"/>
    </row>
    <row r="1104" spans="2:4" x14ac:dyDescent="0.15">
      <c r="B1104" s="69"/>
      <c r="C1104" s="70"/>
      <c r="D1104" s="71"/>
    </row>
    <row r="1105" spans="2:4" x14ac:dyDescent="0.15">
      <c r="B1105" s="69"/>
      <c r="C1105" s="70"/>
      <c r="D1105" s="71"/>
    </row>
    <row r="1106" spans="2:4" x14ac:dyDescent="0.15">
      <c r="B1106" s="69"/>
      <c r="C1106" s="70"/>
      <c r="D1106" s="71"/>
    </row>
    <row r="1107" spans="2:4" x14ac:dyDescent="0.15">
      <c r="B1107" s="69"/>
      <c r="C1107" s="70"/>
      <c r="D1107" s="71"/>
    </row>
    <row r="1108" spans="2:4" x14ac:dyDescent="0.15">
      <c r="B1108" s="69"/>
      <c r="C1108" s="70"/>
      <c r="D1108" s="71"/>
    </row>
    <row r="1109" spans="2:4" x14ac:dyDescent="0.15">
      <c r="B1109" s="69"/>
      <c r="C1109" s="70"/>
      <c r="D1109" s="71"/>
    </row>
    <row r="1110" spans="2:4" x14ac:dyDescent="0.15">
      <c r="B1110" s="69"/>
      <c r="C1110" s="70"/>
      <c r="D1110" s="71"/>
    </row>
    <row r="1111" spans="2:4" x14ac:dyDescent="0.15">
      <c r="B1111" s="69"/>
      <c r="C1111" s="70"/>
      <c r="D1111" s="71"/>
    </row>
    <row r="1112" spans="2:4" x14ac:dyDescent="0.15">
      <c r="B1112" s="69"/>
      <c r="C1112" s="70"/>
      <c r="D1112" s="71"/>
    </row>
    <row r="1113" spans="2:4" x14ac:dyDescent="0.15">
      <c r="B1113" s="69"/>
      <c r="C1113" s="70"/>
      <c r="D1113" s="71"/>
    </row>
    <row r="1114" spans="2:4" x14ac:dyDescent="0.15">
      <c r="B1114" s="69"/>
      <c r="C1114" s="70"/>
      <c r="D1114" s="71"/>
    </row>
    <row r="1115" spans="2:4" x14ac:dyDescent="0.15">
      <c r="B1115" s="69"/>
      <c r="C1115" s="70"/>
      <c r="D1115" s="71"/>
    </row>
    <row r="1116" spans="2:4" x14ac:dyDescent="0.15">
      <c r="B1116" s="69"/>
      <c r="C1116" s="70"/>
      <c r="D1116" s="71"/>
    </row>
    <row r="1117" spans="2:4" x14ac:dyDescent="0.15">
      <c r="B1117" s="69"/>
      <c r="C1117" s="70"/>
      <c r="D1117" s="71"/>
    </row>
    <row r="1118" spans="2:4" x14ac:dyDescent="0.15">
      <c r="B1118" s="69"/>
      <c r="C1118" s="70"/>
      <c r="D1118" s="71"/>
    </row>
    <row r="1119" spans="2:4" x14ac:dyDescent="0.15">
      <c r="B1119" s="69"/>
      <c r="C1119" s="70"/>
      <c r="D1119" s="71"/>
    </row>
    <row r="1120" spans="2:4" x14ac:dyDescent="0.15">
      <c r="B1120" s="69"/>
      <c r="C1120" s="70"/>
      <c r="D1120" s="71"/>
    </row>
    <row r="1121" spans="2:4" x14ac:dyDescent="0.15">
      <c r="B1121" s="69"/>
      <c r="C1121" s="70"/>
      <c r="D1121" s="71"/>
    </row>
    <row r="1122" spans="2:4" x14ac:dyDescent="0.15">
      <c r="B1122" s="69"/>
      <c r="C1122" s="70"/>
      <c r="D1122" s="71"/>
    </row>
    <row r="1123" spans="2:4" x14ac:dyDescent="0.15">
      <c r="B1123" s="69"/>
      <c r="C1123" s="70"/>
      <c r="D1123" s="71"/>
    </row>
    <row r="1124" spans="2:4" x14ac:dyDescent="0.15">
      <c r="B1124" s="69"/>
      <c r="C1124" s="70"/>
      <c r="D1124" s="71"/>
    </row>
    <row r="1125" spans="2:4" x14ac:dyDescent="0.15">
      <c r="B1125" s="69"/>
      <c r="C1125" s="70"/>
      <c r="D1125" s="71"/>
    </row>
    <row r="1126" spans="2:4" x14ac:dyDescent="0.15">
      <c r="B1126" s="69"/>
      <c r="C1126" s="70"/>
      <c r="D1126" s="71"/>
    </row>
    <row r="1127" spans="2:4" x14ac:dyDescent="0.15">
      <c r="B1127" s="69"/>
      <c r="C1127" s="70"/>
      <c r="D1127" s="71"/>
    </row>
    <row r="1128" spans="2:4" x14ac:dyDescent="0.15">
      <c r="B1128" s="69"/>
      <c r="C1128" s="70"/>
      <c r="D1128" s="71"/>
    </row>
    <row r="1129" spans="2:4" x14ac:dyDescent="0.15">
      <c r="B1129" s="69"/>
      <c r="C1129" s="70"/>
      <c r="D1129" s="71"/>
    </row>
    <row r="1130" spans="2:4" x14ac:dyDescent="0.15">
      <c r="B1130" s="69"/>
      <c r="C1130" s="70"/>
      <c r="D1130" s="71"/>
    </row>
    <row r="1131" spans="2:4" x14ac:dyDescent="0.15">
      <c r="B1131" s="69"/>
      <c r="C1131" s="70"/>
      <c r="D1131" s="71"/>
    </row>
    <row r="1132" spans="2:4" x14ac:dyDescent="0.15">
      <c r="B1132" s="69"/>
      <c r="C1132" s="70"/>
      <c r="D1132" s="71"/>
    </row>
    <row r="1133" spans="2:4" x14ac:dyDescent="0.15">
      <c r="B1133" s="69"/>
      <c r="C1133" s="70"/>
      <c r="D1133" s="71"/>
    </row>
    <row r="1134" spans="2:4" x14ac:dyDescent="0.15">
      <c r="B1134" s="69"/>
      <c r="C1134" s="70"/>
      <c r="D1134" s="71"/>
    </row>
    <row r="1135" spans="2:4" x14ac:dyDescent="0.15">
      <c r="B1135" s="69"/>
      <c r="C1135" s="70"/>
      <c r="D1135" s="71"/>
    </row>
    <row r="1136" spans="2:4" x14ac:dyDescent="0.15">
      <c r="B1136" s="69"/>
      <c r="C1136" s="70"/>
      <c r="D1136" s="71"/>
    </row>
    <row r="1137" spans="2:4" x14ac:dyDescent="0.15">
      <c r="B1137" s="69"/>
      <c r="C1137" s="70"/>
      <c r="D1137" s="71"/>
    </row>
    <row r="1138" spans="2:4" x14ac:dyDescent="0.15">
      <c r="B1138" s="69"/>
      <c r="C1138" s="70"/>
      <c r="D1138" s="71"/>
    </row>
    <row r="1139" spans="2:4" x14ac:dyDescent="0.15">
      <c r="B1139" s="69"/>
      <c r="C1139" s="70"/>
      <c r="D1139" s="71"/>
    </row>
    <row r="1140" spans="2:4" x14ac:dyDescent="0.15">
      <c r="B1140" s="69"/>
      <c r="C1140" s="70"/>
      <c r="D1140" s="71"/>
    </row>
    <row r="1141" spans="2:4" x14ac:dyDescent="0.15">
      <c r="B1141" s="69"/>
      <c r="C1141" s="70"/>
      <c r="D1141" s="71"/>
    </row>
    <row r="1142" spans="2:4" x14ac:dyDescent="0.15">
      <c r="B1142" s="69"/>
      <c r="C1142" s="70"/>
      <c r="D1142" s="71"/>
    </row>
    <row r="1143" spans="2:4" x14ac:dyDescent="0.15">
      <c r="B1143" s="69"/>
      <c r="C1143" s="70"/>
      <c r="D1143" s="71"/>
    </row>
    <row r="1144" spans="2:4" x14ac:dyDescent="0.15">
      <c r="B1144" s="69"/>
      <c r="C1144" s="70"/>
      <c r="D1144" s="71"/>
    </row>
    <row r="1145" spans="2:4" x14ac:dyDescent="0.15">
      <c r="B1145" s="69"/>
      <c r="C1145" s="70"/>
      <c r="D1145" s="71"/>
    </row>
    <row r="1146" spans="2:4" x14ac:dyDescent="0.15">
      <c r="B1146" s="69"/>
      <c r="C1146" s="70"/>
      <c r="D1146" s="71"/>
    </row>
    <row r="1147" spans="2:4" x14ac:dyDescent="0.15">
      <c r="B1147" s="69"/>
      <c r="C1147" s="70"/>
      <c r="D1147" s="71"/>
    </row>
    <row r="1148" spans="2:4" x14ac:dyDescent="0.15">
      <c r="B1148" s="69"/>
      <c r="C1148" s="70"/>
      <c r="D1148" s="71"/>
    </row>
    <row r="1149" spans="2:4" x14ac:dyDescent="0.15">
      <c r="B1149" s="69"/>
      <c r="C1149" s="70"/>
      <c r="D1149" s="71"/>
    </row>
    <row r="1150" spans="2:4" x14ac:dyDescent="0.15">
      <c r="B1150" s="69"/>
      <c r="C1150" s="70"/>
      <c r="D1150" s="71"/>
    </row>
    <row r="1151" spans="2:4" x14ac:dyDescent="0.15">
      <c r="B1151" s="69"/>
      <c r="C1151" s="70"/>
      <c r="D1151" s="71"/>
    </row>
    <row r="1152" spans="2:4" x14ac:dyDescent="0.15">
      <c r="B1152" s="69"/>
      <c r="C1152" s="70"/>
      <c r="D1152" s="71"/>
    </row>
    <row r="1153" spans="2:4" x14ac:dyDescent="0.15">
      <c r="B1153" s="69"/>
      <c r="C1153" s="70"/>
      <c r="D1153" s="71"/>
    </row>
    <row r="1154" spans="2:4" x14ac:dyDescent="0.15">
      <c r="B1154" s="69"/>
      <c r="C1154" s="70"/>
      <c r="D1154" s="71"/>
    </row>
    <row r="1155" spans="2:4" x14ac:dyDescent="0.15">
      <c r="B1155" s="69"/>
      <c r="C1155" s="70"/>
      <c r="D1155" s="71"/>
    </row>
    <row r="1156" spans="2:4" x14ac:dyDescent="0.15">
      <c r="B1156" s="69"/>
      <c r="C1156" s="70"/>
      <c r="D1156" s="71"/>
    </row>
    <row r="1157" spans="2:4" x14ac:dyDescent="0.15">
      <c r="B1157" s="69"/>
      <c r="C1157" s="70"/>
      <c r="D1157" s="71"/>
    </row>
    <row r="1158" spans="2:4" x14ac:dyDescent="0.15">
      <c r="B1158" s="69"/>
      <c r="C1158" s="70"/>
      <c r="D1158" s="71"/>
    </row>
    <row r="1159" spans="2:4" x14ac:dyDescent="0.15">
      <c r="B1159" s="69"/>
      <c r="C1159" s="70"/>
      <c r="D1159" s="71"/>
    </row>
    <row r="1160" spans="2:4" x14ac:dyDescent="0.15">
      <c r="B1160" s="69"/>
      <c r="C1160" s="70"/>
      <c r="D1160" s="71"/>
    </row>
    <row r="1161" spans="2:4" x14ac:dyDescent="0.15">
      <c r="B1161" s="69"/>
      <c r="C1161" s="70"/>
      <c r="D1161" s="71"/>
    </row>
    <row r="1162" spans="2:4" x14ac:dyDescent="0.15">
      <c r="B1162" s="69"/>
      <c r="C1162" s="70"/>
      <c r="D1162" s="71"/>
    </row>
    <row r="1163" spans="2:4" x14ac:dyDescent="0.15">
      <c r="B1163" s="69"/>
      <c r="C1163" s="70"/>
      <c r="D1163" s="71"/>
    </row>
    <row r="1164" spans="2:4" x14ac:dyDescent="0.15">
      <c r="B1164" s="69"/>
      <c r="C1164" s="70"/>
      <c r="D1164" s="71"/>
    </row>
    <row r="1165" spans="2:4" x14ac:dyDescent="0.15">
      <c r="B1165" s="69"/>
      <c r="C1165" s="70"/>
      <c r="D1165" s="71"/>
    </row>
    <row r="1166" spans="2:4" x14ac:dyDescent="0.15">
      <c r="B1166" s="69"/>
      <c r="C1166" s="70"/>
      <c r="D1166" s="71"/>
    </row>
    <row r="1167" spans="2:4" x14ac:dyDescent="0.15">
      <c r="B1167" s="69"/>
      <c r="C1167" s="70"/>
      <c r="D1167" s="71"/>
    </row>
    <row r="1168" spans="2:4" x14ac:dyDescent="0.15">
      <c r="B1168" s="69"/>
      <c r="C1168" s="70"/>
      <c r="D1168" s="71"/>
    </row>
    <row r="1169" spans="2:4" x14ac:dyDescent="0.15">
      <c r="B1169" s="69"/>
      <c r="C1169" s="70"/>
      <c r="D1169" s="71"/>
    </row>
    <row r="1170" spans="2:4" x14ac:dyDescent="0.15">
      <c r="B1170" s="69"/>
      <c r="C1170" s="70"/>
      <c r="D1170" s="71"/>
    </row>
    <row r="1171" spans="2:4" x14ac:dyDescent="0.15">
      <c r="B1171" s="69"/>
      <c r="C1171" s="70"/>
      <c r="D1171" s="71"/>
    </row>
    <row r="1172" spans="2:4" x14ac:dyDescent="0.15">
      <c r="B1172" s="69"/>
      <c r="C1172" s="70"/>
      <c r="D1172" s="71"/>
    </row>
    <row r="1173" spans="2:4" x14ac:dyDescent="0.15">
      <c r="B1173" s="69"/>
      <c r="C1173" s="70"/>
      <c r="D1173" s="71"/>
    </row>
    <row r="1174" spans="2:4" x14ac:dyDescent="0.15">
      <c r="B1174" s="69"/>
      <c r="C1174" s="70"/>
      <c r="D1174" s="71"/>
    </row>
    <row r="1175" spans="2:4" x14ac:dyDescent="0.15">
      <c r="B1175" s="69"/>
      <c r="C1175" s="70"/>
      <c r="D1175" s="71"/>
    </row>
    <row r="1176" spans="2:4" x14ac:dyDescent="0.15">
      <c r="B1176" s="69"/>
      <c r="C1176" s="70"/>
      <c r="D1176" s="71"/>
    </row>
    <row r="1177" spans="2:4" x14ac:dyDescent="0.15">
      <c r="B1177" s="69"/>
      <c r="C1177" s="70"/>
      <c r="D1177" s="71"/>
    </row>
    <row r="1178" spans="2:4" x14ac:dyDescent="0.15">
      <c r="B1178" s="69"/>
      <c r="C1178" s="70"/>
      <c r="D1178" s="71"/>
    </row>
    <row r="1179" spans="2:4" x14ac:dyDescent="0.15">
      <c r="B1179" s="69"/>
      <c r="C1179" s="70"/>
      <c r="D1179" s="71"/>
    </row>
    <row r="1180" spans="2:4" x14ac:dyDescent="0.15">
      <c r="B1180" s="69"/>
      <c r="C1180" s="70"/>
      <c r="D1180" s="71"/>
    </row>
    <row r="1181" spans="2:4" x14ac:dyDescent="0.15">
      <c r="B1181" s="69"/>
      <c r="C1181" s="70"/>
      <c r="D1181" s="71"/>
    </row>
    <row r="1182" spans="2:4" x14ac:dyDescent="0.15">
      <c r="B1182" s="69"/>
      <c r="C1182" s="70"/>
      <c r="D1182" s="71"/>
    </row>
    <row r="1183" spans="2:4" x14ac:dyDescent="0.15">
      <c r="B1183" s="69"/>
      <c r="C1183" s="70"/>
      <c r="D1183" s="71"/>
    </row>
    <row r="1184" spans="2:4" x14ac:dyDescent="0.15">
      <c r="B1184" s="69"/>
      <c r="C1184" s="70"/>
      <c r="D1184" s="71"/>
    </row>
    <row r="1185" spans="2:4" x14ac:dyDescent="0.15">
      <c r="B1185" s="69"/>
      <c r="C1185" s="70"/>
      <c r="D1185" s="71"/>
    </row>
    <row r="1186" spans="2:4" x14ac:dyDescent="0.15">
      <c r="B1186" s="69"/>
      <c r="C1186" s="70"/>
      <c r="D1186" s="71"/>
    </row>
    <row r="1187" spans="2:4" x14ac:dyDescent="0.15">
      <c r="B1187" s="69"/>
      <c r="C1187" s="70"/>
      <c r="D1187" s="71"/>
    </row>
    <row r="1188" spans="2:4" x14ac:dyDescent="0.15">
      <c r="B1188" s="69"/>
      <c r="C1188" s="70"/>
      <c r="D1188" s="71"/>
    </row>
    <row r="1189" spans="2:4" x14ac:dyDescent="0.15">
      <c r="B1189" s="69"/>
      <c r="C1189" s="70"/>
      <c r="D1189" s="71"/>
    </row>
    <row r="1190" spans="2:4" x14ac:dyDescent="0.15">
      <c r="B1190" s="69"/>
      <c r="C1190" s="70"/>
      <c r="D1190" s="71"/>
    </row>
    <row r="1191" spans="2:4" x14ac:dyDescent="0.15">
      <c r="B1191" s="69"/>
      <c r="C1191" s="70"/>
      <c r="D1191" s="71"/>
    </row>
    <row r="1192" spans="2:4" x14ac:dyDescent="0.15">
      <c r="B1192" s="69"/>
      <c r="C1192" s="70"/>
      <c r="D1192" s="71"/>
    </row>
    <row r="1193" spans="2:4" x14ac:dyDescent="0.15">
      <c r="B1193" s="69"/>
      <c r="C1193" s="70"/>
      <c r="D1193" s="71"/>
    </row>
    <row r="1194" spans="2:4" x14ac:dyDescent="0.15">
      <c r="B1194" s="69"/>
      <c r="C1194" s="70"/>
      <c r="D1194" s="71"/>
    </row>
    <row r="1195" spans="2:4" x14ac:dyDescent="0.15">
      <c r="B1195" s="69"/>
      <c r="C1195" s="70"/>
      <c r="D1195" s="71"/>
    </row>
    <row r="1196" spans="2:4" x14ac:dyDescent="0.15">
      <c r="B1196" s="69"/>
      <c r="C1196" s="70"/>
      <c r="D1196" s="71"/>
    </row>
    <row r="1197" spans="2:4" x14ac:dyDescent="0.15">
      <c r="B1197" s="69"/>
      <c r="C1197" s="70"/>
      <c r="D1197" s="71"/>
    </row>
    <row r="1198" spans="2:4" x14ac:dyDescent="0.15">
      <c r="B1198" s="69"/>
      <c r="C1198" s="70"/>
      <c r="D1198" s="71"/>
    </row>
    <row r="1199" spans="2:4" x14ac:dyDescent="0.15">
      <c r="B1199" s="69"/>
      <c r="C1199" s="70"/>
      <c r="D1199" s="71"/>
    </row>
    <row r="1200" spans="2:4" x14ac:dyDescent="0.15">
      <c r="B1200" s="69"/>
      <c r="C1200" s="70"/>
      <c r="D1200" s="71"/>
    </row>
    <row r="1201" spans="2:4" x14ac:dyDescent="0.15">
      <c r="B1201" s="69"/>
      <c r="C1201" s="70"/>
      <c r="D1201" s="71"/>
    </row>
    <row r="1202" spans="2:4" x14ac:dyDescent="0.15">
      <c r="B1202" s="69"/>
      <c r="C1202" s="70"/>
      <c r="D1202" s="71"/>
    </row>
    <row r="1203" spans="2:4" x14ac:dyDescent="0.15">
      <c r="B1203" s="69"/>
      <c r="C1203" s="70"/>
      <c r="D1203" s="71"/>
    </row>
    <row r="1204" spans="2:4" x14ac:dyDescent="0.15">
      <c r="B1204" s="69"/>
      <c r="C1204" s="70"/>
      <c r="D1204" s="71"/>
    </row>
    <row r="1205" spans="2:4" x14ac:dyDescent="0.15">
      <c r="B1205" s="69"/>
      <c r="C1205" s="70"/>
      <c r="D1205" s="71"/>
    </row>
    <row r="1206" spans="2:4" x14ac:dyDescent="0.15">
      <c r="B1206" s="69"/>
      <c r="C1206" s="70"/>
      <c r="D1206" s="71"/>
    </row>
    <row r="1207" spans="2:4" x14ac:dyDescent="0.15">
      <c r="B1207" s="69"/>
      <c r="C1207" s="70"/>
      <c r="D1207" s="71"/>
    </row>
    <row r="1208" spans="2:4" x14ac:dyDescent="0.15">
      <c r="B1208" s="69"/>
      <c r="C1208" s="70"/>
      <c r="D1208" s="71"/>
    </row>
    <row r="1209" spans="2:4" x14ac:dyDescent="0.15">
      <c r="B1209" s="69"/>
      <c r="C1209" s="70"/>
      <c r="D1209" s="71"/>
    </row>
    <row r="1210" spans="2:4" x14ac:dyDescent="0.15">
      <c r="B1210" s="69"/>
      <c r="C1210" s="70"/>
      <c r="D1210" s="71"/>
    </row>
    <row r="1211" spans="2:4" x14ac:dyDescent="0.15">
      <c r="B1211" s="69"/>
      <c r="C1211" s="70"/>
      <c r="D1211" s="71"/>
    </row>
    <row r="1212" spans="2:4" x14ac:dyDescent="0.15">
      <c r="B1212" s="69"/>
      <c r="C1212" s="70"/>
      <c r="D1212" s="71"/>
    </row>
    <row r="1213" spans="2:4" x14ac:dyDescent="0.15">
      <c r="B1213" s="69"/>
      <c r="C1213" s="70"/>
      <c r="D1213" s="71"/>
    </row>
    <row r="1214" spans="2:4" x14ac:dyDescent="0.15">
      <c r="B1214" s="69"/>
      <c r="C1214" s="70"/>
      <c r="D1214" s="71"/>
    </row>
    <row r="1215" spans="2:4" x14ac:dyDescent="0.15">
      <c r="B1215" s="69"/>
      <c r="C1215" s="70"/>
      <c r="D1215" s="71"/>
    </row>
    <row r="1216" spans="2:4" x14ac:dyDescent="0.15">
      <c r="B1216" s="69"/>
      <c r="C1216" s="70"/>
      <c r="D1216" s="71"/>
    </row>
    <row r="1217" spans="2:4" x14ac:dyDescent="0.15">
      <c r="B1217" s="69"/>
      <c r="C1217" s="70"/>
      <c r="D1217" s="71"/>
    </row>
    <row r="1218" spans="2:4" x14ac:dyDescent="0.15">
      <c r="B1218" s="69"/>
      <c r="C1218" s="70"/>
      <c r="D1218" s="71"/>
    </row>
    <row r="1219" spans="2:4" x14ac:dyDescent="0.15">
      <c r="B1219" s="69"/>
      <c r="C1219" s="70"/>
      <c r="D1219" s="71"/>
    </row>
    <row r="1220" spans="2:4" x14ac:dyDescent="0.15">
      <c r="B1220" s="69"/>
      <c r="C1220" s="70"/>
      <c r="D1220" s="71"/>
    </row>
    <row r="1221" spans="2:4" x14ac:dyDescent="0.15">
      <c r="B1221" s="69"/>
      <c r="C1221" s="70"/>
      <c r="D1221" s="71"/>
    </row>
    <row r="1222" spans="2:4" x14ac:dyDescent="0.15">
      <c r="B1222" s="69"/>
      <c r="C1222" s="70"/>
      <c r="D1222" s="71"/>
    </row>
    <row r="1223" spans="2:4" x14ac:dyDescent="0.15">
      <c r="B1223" s="69"/>
      <c r="C1223" s="70"/>
      <c r="D1223" s="71"/>
    </row>
    <row r="1224" spans="2:4" x14ac:dyDescent="0.15">
      <c r="B1224" s="69"/>
      <c r="C1224" s="70"/>
      <c r="D1224" s="71"/>
    </row>
    <row r="1225" spans="2:4" x14ac:dyDescent="0.15">
      <c r="B1225" s="69"/>
      <c r="C1225" s="70"/>
      <c r="D1225" s="71"/>
    </row>
    <row r="1226" spans="2:4" x14ac:dyDescent="0.15">
      <c r="B1226" s="69"/>
      <c r="C1226" s="70"/>
      <c r="D1226" s="71"/>
    </row>
    <row r="1227" spans="2:4" x14ac:dyDescent="0.15">
      <c r="B1227" s="69"/>
      <c r="C1227" s="70"/>
      <c r="D1227" s="71"/>
    </row>
    <row r="1228" spans="2:4" x14ac:dyDescent="0.15">
      <c r="B1228" s="69"/>
      <c r="C1228" s="70"/>
      <c r="D1228" s="71"/>
    </row>
    <row r="1229" spans="2:4" x14ac:dyDescent="0.15">
      <c r="B1229" s="69"/>
      <c r="C1229" s="70"/>
      <c r="D1229" s="71"/>
    </row>
    <row r="1230" spans="2:4" x14ac:dyDescent="0.15">
      <c r="B1230" s="69"/>
      <c r="C1230" s="70"/>
      <c r="D1230" s="71"/>
    </row>
    <row r="1231" spans="2:4" x14ac:dyDescent="0.15">
      <c r="B1231" s="69"/>
      <c r="C1231" s="70"/>
      <c r="D1231" s="71"/>
    </row>
    <row r="1232" spans="2:4" x14ac:dyDescent="0.15">
      <c r="B1232" s="69"/>
      <c r="C1232" s="70"/>
      <c r="D1232" s="71"/>
    </row>
    <row r="1233" spans="2:4" x14ac:dyDescent="0.15">
      <c r="B1233" s="69"/>
      <c r="C1233" s="70"/>
      <c r="D1233" s="71"/>
    </row>
    <row r="1234" spans="2:4" x14ac:dyDescent="0.15">
      <c r="B1234" s="69"/>
      <c r="C1234" s="70"/>
      <c r="D1234" s="71"/>
    </row>
    <row r="1235" spans="2:4" x14ac:dyDescent="0.15">
      <c r="B1235" s="69"/>
      <c r="C1235" s="70"/>
      <c r="D1235" s="71"/>
    </row>
    <row r="1236" spans="2:4" x14ac:dyDescent="0.15">
      <c r="B1236" s="69"/>
      <c r="C1236" s="70"/>
      <c r="D1236" s="71"/>
    </row>
    <row r="1237" spans="2:4" x14ac:dyDescent="0.15">
      <c r="B1237" s="69"/>
      <c r="C1237" s="70"/>
      <c r="D1237" s="71"/>
    </row>
    <row r="1238" spans="2:4" x14ac:dyDescent="0.15">
      <c r="B1238" s="69"/>
      <c r="C1238" s="70"/>
      <c r="D1238" s="71"/>
    </row>
    <row r="1239" spans="2:4" x14ac:dyDescent="0.15">
      <c r="B1239" s="69"/>
      <c r="C1239" s="70"/>
      <c r="D1239" s="71"/>
    </row>
    <row r="1240" spans="2:4" x14ac:dyDescent="0.15">
      <c r="B1240" s="69"/>
      <c r="C1240" s="70"/>
      <c r="D1240" s="71"/>
    </row>
    <row r="1241" spans="2:4" x14ac:dyDescent="0.15">
      <c r="B1241" s="69"/>
      <c r="C1241" s="70"/>
      <c r="D1241" s="71"/>
    </row>
    <row r="1242" spans="2:4" x14ac:dyDescent="0.15">
      <c r="B1242" s="69"/>
      <c r="C1242" s="70"/>
      <c r="D1242" s="71"/>
    </row>
    <row r="1243" spans="2:4" x14ac:dyDescent="0.15">
      <c r="B1243" s="69"/>
      <c r="C1243" s="70"/>
      <c r="D1243" s="71"/>
    </row>
    <row r="1244" spans="2:4" x14ac:dyDescent="0.15">
      <c r="B1244" s="69"/>
      <c r="C1244" s="70"/>
      <c r="D1244" s="71"/>
    </row>
    <row r="1245" spans="2:4" x14ac:dyDescent="0.15">
      <c r="B1245" s="69"/>
      <c r="C1245" s="70"/>
      <c r="D1245" s="71"/>
    </row>
    <row r="1246" spans="2:4" x14ac:dyDescent="0.15">
      <c r="B1246" s="69"/>
      <c r="C1246" s="70"/>
      <c r="D1246" s="71"/>
    </row>
    <row r="1247" spans="2:4" x14ac:dyDescent="0.15">
      <c r="B1247" s="69"/>
      <c r="C1247" s="70"/>
      <c r="D1247" s="71"/>
    </row>
    <row r="1248" spans="2:4" x14ac:dyDescent="0.15">
      <c r="B1248" s="69"/>
      <c r="C1248" s="70"/>
      <c r="D1248" s="71"/>
    </row>
    <row r="1249" spans="2:4" x14ac:dyDescent="0.15">
      <c r="B1249" s="69"/>
      <c r="C1249" s="70"/>
      <c r="D1249" s="71"/>
    </row>
    <row r="1250" spans="2:4" x14ac:dyDescent="0.15">
      <c r="B1250" s="69"/>
      <c r="C1250" s="70"/>
      <c r="D1250" s="71"/>
    </row>
    <row r="1251" spans="2:4" x14ac:dyDescent="0.15">
      <c r="B1251" s="69"/>
      <c r="C1251" s="70"/>
      <c r="D1251" s="71"/>
    </row>
    <row r="1252" spans="2:4" x14ac:dyDescent="0.15">
      <c r="B1252" s="69"/>
      <c r="C1252" s="70"/>
      <c r="D1252" s="71"/>
    </row>
    <row r="1253" spans="2:4" x14ac:dyDescent="0.15">
      <c r="B1253" s="69"/>
      <c r="C1253" s="70"/>
      <c r="D1253" s="71"/>
    </row>
    <row r="1254" spans="2:4" x14ac:dyDescent="0.15">
      <c r="B1254" s="69"/>
      <c r="C1254" s="70"/>
      <c r="D1254" s="71"/>
    </row>
    <row r="1255" spans="2:4" x14ac:dyDescent="0.15">
      <c r="B1255" s="69"/>
      <c r="C1255" s="70"/>
      <c r="D1255" s="71"/>
    </row>
    <row r="1256" spans="2:4" x14ac:dyDescent="0.15">
      <c r="B1256" s="69"/>
      <c r="C1256" s="70"/>
      <c r="D1256" s="71"/>
    </row>
    <row r="1257" spans="2:4" x14ac:dyDescent="0.15">
      <c r="B1257" s="69"/>
      <c r="C1257" s="70"/>
      <c r="D1257" s="71"/>
    </row>
    <row r="1258" spans="2:4" x14ac:dyDescent="0.15">
      <c r="B1258" s="69"/>
      <c r="C1258" s="70"/>
      <c r="D1258" s="71"/>
    </row>
    <row r="1259" spans="2:4" x14ac:dyDescent="0.15">
      <c r="B1259" s="69"/>
      <c r="C1259" s="70"/>
      <c r="D1259" s="71"/>
    </row>
    <row r="1260" spans="2:4" x14ac:dyDescent="0.15">
      <c r="B1260" s="69"/>
      <c r="C1260" s="70"/>
      <c r="D1260" s="71"/>
    </row>
    <row r="1261" spans="2:4" x14ac:dyDescent="0.15">
      <c r="B1261" s="69"/>
      <c r="C1261" s="70"/>
      <c r="D1261" s="71"/>
    </row>
    <row r="1262" spans="2:4" x14ac:dyDescent="0.15">
      <c r="B1262" s="69"/>
      <c r="C1262" s="70"/>
      <c r="D1262" s="71"/>
    </row>
    <row r="1263" spans="2:4" x14ac:dyDescent="0.15">
      <c r="B1263" s="69"/>
      <c r="C1263" s="70"/>
      <c r="D1263" s="71"/>
    </row>
    <row r="1264" spans="2:4" x14ac:dyDescent="0.15">
      <c r="B1264" s="69"/>
      <c r="C1264" s="70"/>
      <c r="D1264" s="71"/>
    </row>
    <row r="1265" spans="2:4" x14ac:dyDescent="0.15">
      <c r="B1265" s="69"/>
      <c r="C1265" s="70"/>
      <c r="D1265" s="71"/>
    </row>
    <row r="1266" spans="2:4" x14ac:dyDescent="0.15">
      <c r="B1266" s="69"/>
      <c r="C1266" s="70"/>
      <c r="D1266" s="71"/>
    </row>
    <row r="1267" spans="2:4" x14ac:dyDescent="0.15">
      <c r="B1267" s="69"/>
      <c r="C1267" s="70"/>
      <c r="D1267" s="71"/>
    </row>
    <row r="1268" spans="2:4" x14ac:dyDescent="0.15">
      <c r="B1268" s="69"/>
      <c r="C1268" s="70"/>
      <c r="D1268" s="71"/>
    </row>
    <row r="1269" spans="2:4" x14ac:dyDescent="0.15">
      <c r="B1269" s="69"/>
      <c r="C1269" s="70"/>
      <c r="D1269" s="71"/>
    </row>
    <row r="1270" spans="2:4" x14ac:dyDescent="0.15">
      <c r="B1270" s="69"/>
      <c r="C1270" s="70"/>
      <c r="D1270" s="71"/>
    </row>
    <row r="1271" spans="2:4" x14ac:dyDescent="0.15">
      <c r="B1271" s="69"/>
      <c r="C1271" s="70"/>
      <c r="D1271" s="71"/>
    </row>
    <row r="1272" spans="2:4" x14ac:dyDescent="0.15">
      <c r="B1272" s="69"/>
      <c r="C1272" s="70"/>
      <c r="D1272" s="71"/>
    </row>
    <row r="1273" spans="2:4" x14ac:dyDescent="0.15">
      <c r="B1273" s="69"/>
      <c r="C1273" s="70"/>
      <c r="D1273" s="71"/>
    </row>
    <row r="1274" spans="2:4" x14ac:dyDescent="0.15">
      <c r="B1274" s="69"/>
      <c r="C1274" s="70"/>
      <c r="D1274" s="71"/>
    </row>
    <row r="1275" spans="2:4" x14ac:dyDescent="0.15">
      <c r="B1275" s="69"/>
      <c r="C1275" s="70"/>
      <c r="D1275" s="71"/>
    </row>
    <row r="1276" spans="2:4" x14ac:dyDescent="0.15">
      <c r="B1276" s="69"/>
      <c r="C1276" s="70"/>
      <c r="D1276" s="71"/>
    </row>
    <row r="1277" spans="2:4" x14ac:dyDescent="0.15">
      <c r="B1277" s="69"/>
      <c r="C1277" s="70"/>
      <c r="D1277" s="71"/>
    </row>
    <row r="1278" spans="2:4" x14ac:dyDescent="0.15">
      <c r="B1278" s="69"/>
      <c r="C1278" s="70"/>
      <c r="D1278" s="71"/>
    </row>
    <row r="1279" spans="2:4" x14ac:dyDescent="0.15">
      <c r="B1279" s="69"/>
      <c r="C1279" s="70"/>
      <c r="D1279" s="71"/>
    </row>
    <row r="1280" spans="2:4" x14ac:dyDescent="0.15">
      <c r="B1280" s="69"/>
      <c r="C1280" s="70"/>
      <c r="D1280" s="71"/>
    </row>
    <row r="1281" spans="2:4" x14ac:dyDescent="0.15">
      <c r="B1281" s="69"/>
      <c r="C1281" s="70"/>
      <c r="D1281" s="71"/>
    </row>
    <row r="1282" spans="2:4" x14ac:dyDescent="0.15">
      <c r="B1282" s="69"/>
      <c r="C1282" s="70"/>
      <c r="D1282" s="71"/>
    </row>
    <row r="1283" spans="2:4" x14ac:dyDescent="0.15">
      <c r="B1283" s="69"/>
      <c r="C1283" s="70"/>
      <c r="D1283" s="71"/>
    </row>
    <row r="1284" spans="2:4" x14ac:dyDescent="0.15">
      <c r="B1284" s="69"/>
      <c r="C1284" s="70"/>
      <c r="D1284" s="71"/>
    </row>
    <row r="1285" spans="2:4" x14ac:dyDescent="0.15">
      <c r="B1285" s="69"/>
      <c r="C1285" s="70"/>
      <c r="D1285" s="71"/>
    </row>
    <row r="1286" spans="2:4" x14ac:dyDescent="0.15">
      <c r="B1286" s="69"/>
      <c r="C1286" s="70"/>
      <c r="D1286" s="71"/>
    </row>
    <row r="1287" spans="2:4" x14ac:dyDescent="0.15">
      <c r="B1287" s="69"/>
      <c r="C1287" s="70"/>
      <c r="D1287" s="71"/>
    </row>
    <row r="1288" spans="2:4" x14ac:dyDescent="0.15">
      <c r="B1288" s="69"/>
      <c r="C1288" s="70"/>
      <c r="D1288" s="71"/>
    </row>
    <row r="1289" spans="2:4" x14ac:dyDescent="0.15">
      <c r="B1289" s="69"/>
      <c r="C1289" s="70"/>
      <c r="D1289" s="71"/>
    </row>
    <row r="1290" spans="2:4" x14ac:dyDescent="0.15">
      <c r="B1290" s="69"/>
      <c r="C1290" s="70"/>
      <c r="D1290" s="71"/>
    </row>
    <row r="1291" spans="2:4" x14ac:dyDescent="0.15">
      <c r="B1291" s="69"/>
      <c r="C1291" s="70"/>
      <c r="D1291" s="71"/>
    </row>
    <row r="1292" spans="2:4" x14ac:dyDescent="0.15">
      <c r="B1292" s="69"/>
      <c r="C1292" s="70"/>
      <c r="D1292" s="71"/>
    </row>
    <row r="1293" spans="2:4" x14ac:dyDescent="0.15">
      <c r="B1293" s="69"/>
      <c r="C1293" s="70"/>
      <c r="D1293" s="71"/>
    </row>
    <row r="1294" spans="2:4" x14ac:dyDescent="0.15">
      <c r="B1294" s="69"/>
      <c r="C1294" s="70"/>
      <c r="D1294" s="71"/>
    </row>
    <row r="1295" spans="2:4" x14ac:dyDescent="0.15">
      <c r="B1295" s="69"/>
      <c r="C1295" s="70"/>
      <c r="D1295" s="71"/>
    </row>
    <row r="1296" spans="2:4" x14ac:dyDescent="0.15">
      <c r="B1296" s="69"/>
      <c r="C1296" s="70"/>
      <c r="D1296" s="71"/>
    </row>
    <row r="1297" spans="2:4" x14ac:dyDescent="0.15">
      <c r="B1297" s="69"/>
      <c r="C1297" s="70"/>
      <c r="D1297" s="71"/>
    </row>
    <row r="1298" spans="2:4" x14ac:dyDescent="0.15">
      <c r="B1298" s="69"/>
      <c r="C1298" s="70"/>
      <c r="D1298" s="71"/>
    </row>
    <row r="1299" spans="2:4" x14ac:dyDescent="0.15">
      <c r="B1299" s="69"/>
      <c r="C1299" s="70"/>
      <c r="D1299" s="71"/>
    </row>
    <row r="1300" spans="2:4" x14ac:dyDescent="0.15">
      <c r="B1300" s="69"/>
      <c r="C1300" s="70"/>
      <c r="D1300" s="71"/>
    </row>
    <row r="1301" spans="2:4" x14ac:dyDescent="0.15">
      <c r="B1301" s="69"/>
      <c r="C1301" s="70"/>
      <c r="D1301" s="71"/>
    </row>
    <row r="1302" spans="2:4" x14ac:dyDescent="0.15">
      <c r="B1302" s="69"/>
      <c r="C1302" s="70"/>
      <c r="D1302" s="71"/>
    </row>
    <row r="1303" spans="2:4" x14ac:dyDescent="0.15">
      <c r="B1303" s="69"/>
      <c r="C1303" s="70"/>
      <c r="D1303" s="71"/>
    </row>
    <row r="1304" spans="2:4" x14ac:dyDescent="0.15">
      <c r="B1304" s="69"/>
      <c r="C1304" s="70"/>
      <c r="D1304" s="71"/>
    </row>
    <row r="1305" spans="2:4" x14ac:dyDescent="0.15">
      <c r="B1305" s="69"/>
      <c r="C1305" s="70"/>
      <c r="D1305" s="71"/>
    </row>
    <row r="1306" spans="2:4" x14ac:dyDescent="0.15">
      <c r="B1306" s="69"/>
      <c r="C1306" s="70"/>
      <c r="D1306" s="71"/>
    </row>
    <row r="1307" spans="2:4" x14ac:dyDescent="0.15">
      <c r="B1307" s="69"/>
      <c r="C1307" s="70"/>
      <c r="D1307" s="71"/>
    </row>
    <row r="1308" spans="2:4" x14ac:dyDescent="0.15">
      <c r="B1308" s="69"/>
      <c r="C1308" s="70"/>
      <c r="D1308" s="71"/>
    </row>
    <row r="1309" spans="2:4" x14ac:dyDescent="0.15">
      <c r="B1309" s="69"/>
      <c r="C1309" s="70"/>
      <c r="D1309" s="71"/>
    </row>
    <row r="1310" spans="2:4" x14ac:dyDescent="0.15">
      <c r="B1310" s="69"/>
      <c r="C1310" s="70"/>
      <c r="D1310" s="71"/>
    </row>
    <row r="1311" spans="2:4" x14ac:dyDescent="0.15">
      <c r="B1311" s="69"/>
      <c r="C1311" s="70"/>
      <c r="D1311" s="71"/>
    </row>
    <row r="1312" spans="2:4" x14ac:dyDescent="0.15">
      <c r="B1312" s="69"/>
      <c r="C1312" s="70"/>
      <c r="D1312" s="71"/>
    </row>
    <row r="1313" spans="2:4" x14ac:dyDescent="0.15">
      <c r="B1313" s="69"/>
      <c r="C1313" s="70"/>
      <c r="D1313" s="71"/>
    </row>
    <row r="1314" spans="2:4" x14ac:dyDescent="0.15">
      <c r="B1314" s="69"/>
      <c r="C1314" s="70"/>
      <c r="D1314" s="71"/>
    </row>
    <row r="1315" spans="2:4" x14ac:dyDescent="0.15">
      <c r="B1315" s="69"/>
      <c r="C1315" s="70"/>
      <c r="D1315" s="71"/>
    </row>
    <row r="1316" spans="2:4" x14ac:dyDescent="0.15">
      <c r="B1316" s="69"/>
      <c r="C1316" s="70"/>
      <c r="D1316" s="71"/>
    </row>
    <row r="1317" spans="2:4" x14ac:dyDescent="0.15">
      <c r="B1317" s="69"/>
      <c r="C1317" s="70"/>
      <c r="D1317" s="71"/>
    </row>
    <row r="1318" spans="2:4" x14ac:dyDescent="0.15">
      <c r="B1318" s="69"/>
      <c r="C1318" s="70"/>
      <c r="D1318" s="71"/>
    </row>
    <row r="1319" spans="2:4" x14ac:dyDescent="0.15">
      <c r="B1319" s="69"/>
      <c r="C1319" s="70"/>
      <c r="D1319" s="71"/>
    </row>
    <row r="1320" spans="2:4" x14ac:dyDescent="0.15">
      <c r="B1320" s="69"/>
      <c r="C1320" s="70"/>
      <c r="D1320" s="71"/>
    </row>
    <row r="1321" spans="2:4" x14ac:dyDescent="0.15">
      <c r="B1321" s="69"/>
      <c r="C1321" s="70"/>
      <c r="D1321" s="71"/>
    </row>
    <row r="1322" spans="2:4" x14ac:dyDescent="0.15">
      <c r="B1322" s="69"/>
      <c r="C1322" s="70"/>
      <c r="D1322" s="71"/>
    </row>
    <row r="1323" spans="2:4" x14ac:dyDescent="0.15">
      <c r="B1323" s="69"/>
      <c r="C1323" s="70"/>
      <c r="D1323" s="71"/>
    </row>
    <row r="1324" spans="2:4" x14ac:dyDescent="0.15">
      <c r="B1324" s="69"/>
      <c r="C1324" s="70"/>
      <c r="D1324" s="71"/>
    </row>
    <row r="1325" spans="2:4" x14ac:dyDescent="0.15">
      <c r="B1325" s="69"/>
      <c r="C1325" s="70"/>
      <c r="D1325" s="71"/>
    </row>
    <row r="1326" spans="2:4" x14ac:dyDescent="0.15">
      <c r="B1326" s="69"/>
      <c r="C1326" s="70"/>
      <c r="D1326" s="71"/>
    </row>
    <row r="1327" spans="2:4" x14ac:dyDescent="0.15">
      <c r="B1327" s="69"/>
      <c r="C1327" s="70"/>
      <c r="D1327" s="71"/>
    </row>
    <row r="1328" spans="2:4" x14ac:dyDescent="0.15">
      <c r="B1328" s="69"/>
      <c r="C1328" s="70"/>
      <c r="D1328" s="71"/>
    </row>
    <row r="1329" spans="2:4" x14ac:dyDescent="0.15">
      <c r="B1329" s="69"/>
      <c r="C1329" s="70"/>
      <c r="D1329" s="71"/>
    </row>
    <row r="1330" spans="2:4" x14ac:dyDescent="0.15">
      <c r="B1330" s="69"/>
      <c r="C1330" s="70"/>
      <c r="D1330" s="71"/>
    </row>
    <row r="1331" spans="2:4" x14ac:dyDescent="0.15">
      <c r="B1331" s="69"/>
      <c r="C1331" s="70"/>
      <c r="D1331" s="71"/>
    </row>
    <row r="1332" spans="2:4" x14ac:dyDescent="0.15">
      <c r="B1332" s="69"/>
      <c r="C1332" s="70"/>
      <c r="D1332" s="71"/>
    </row>
    <row r="1333" spans="2:4" x14ac:dyDescent="0.15">
      <c r="B1333" s="69"/>
      <c r="C1333" s="70"/>
      <c r="D1333" s="71"/>
    </row>
    <row r="1334" spans="2:4" x14ac:dyDescent="0.15">
      <c r="B1334" s="69"/>
      <c r="C1334" s="70"/>
      <c r="D1334" s="71"/>
    </row>
    <row r="1335" spans="2:4" x14ac:dyDescent="0.15">
      <c r="B1335" s="69"/>
      <c r="C1335" s="70"/>
      <c r="D1335" s="71"/>
    </row>
    <row r="1336" spans="2:4" x14ac:dyDescent="0.15">
      <c r="B1336" s="69"/>
      <c r="C1336" s="70"/>
      <c r="D1336" s="71"/>
    </row>
    <row r="1337" spans="2:4" x14ac:dyDescent="0.15">
      <c r="B1337" s="69"/>
      <c r="C1337" s="70"/>
      <c r="D1337" s="71"/>
    </row>
    <row r="1338" spans="2:4" x14ac:dyDescent="0.15">
      <c r="B1338" s="69"/>
      <c r="C1338" s="70"/>
      <c r="D1338" s="71"/>
    </row>
    <row r="1339" spans="2:4" x14ac:dyDescent="0.15">
      <c r="B1339" s="69"/>
      <c r="C1339" s="70"/>
      <c r="D1339" s="71"/>
    </row>
    <row r="1340" spans="2:4" x14ac:dyDescent="0.15">
      <c r="B1340" s="69"/>
      <c r="C1340" s="70"/>
      <c r="D1340" s="71"/>
    </row>
    <row r="1341" spans="2:4" x14ac:dyDescent="0.15">
      <c r="B1341" s="69"/>
      <c r="C1341" s="70"/>
      <c r="D1341" s="71"/>
    </row>
    <row r="1342" spans="2:4" x14ac:dyDescent="0.15">
      <c r="B1342" s="69"/>
      <c r="C1342" s="70"/>
      <c r="D1342" s="71"/>
    </row>
    <row r="1343" spans="2:4" x14ac:dyDescent="0.15">
      <c r="B1343" s="69"/>
      <c r="C1343" s="70"/>
      <c r="D1343" s="71"/>
    </row>
    <row r="1344" spans="2:4" x14ac:dyDescent="0.15">
      <c r="B1344" s="69"/>
      <c r="C1344" s="70"/>
      <c r="D1344" s="71"/>
    </row>
    <row r="1345" spans="2:4" x14ac:dyDescent="0.15">
      <c r="B1345" s="69"/>
      <c r="C1345" s="70"/>
      <c r="D1345" s="71"/>
    </row>
    <row r="1346" spans="2:4" x14ac:dyDescent="0.15">
      <c r="B1346" s="69"/>
      <c r="C1346" s="70"/>
      <c r="D1346" s="71"/>
    </row>
    <row r="1347" spans="2:4" x14ac:dyDescent="0.15">
      <c r="B1347" s="69"/>
      <c r="C1347" s="70"/>
      <c r="D1347" s="71"/>
    </row>
    <row r="1348" spans="2:4" x14ac:dyDescent="0.15">
      <c r="B1348" s="69"/>
      <c r="C1348" s="70"/>
      <c r="D1348" s="71"/>
    </row>
    <row r="1349" spans="2:4" x14ac:dyDescent="0.15">
      <c r="B1349" s="69"/>
      <c r="C1349" s="70"/>
      <c r="D1349" s="71"/>
    </row>
    <row r="1350" spans="2:4" x14ac:dyDescent="0.15">
      <c r="B1350" s="69"/>
      <c r="C1350" s="70"/>
      <c r="D1350" s="71"/>
    </row>
    <row r="1351" spans="2:4" x14ac:dyDescent="0.15">
      <c r="B1351" s="69"/>
      <c r="C1351" s="70"/>
      <c r="D1351" s="71"/>
    </row>
    <row r="1352" spans="2:4" x14ac:dyDescent="0.15">
      <c r="B1352" s="69"/>
      <c r="C1352" s="70"/>
      <c r="D1352" s="71"/>
    </row>
    <row r="1353" spans="2:4" x14ac:dyDescent="0.15">
      <c r="B1353" s="69"/>
      <c r="C1353" s="70"/>
      <c r="D1353" s="71"/>
    </row>
    <row r="1354" spans="2:4" x14ac:dyDescent="0.15">
      <c r="B1354" s="69"/>
      <c r="C1354" s="70"/>
      <c r="D1354" s="71"/>
    </row>
    <row r="1355" spans="2:4" x14ac:dyDescent="0.15">
      <c r="B1355" s="69"/>
      <c r="C1355" s="70"/>
      <c r="D1355" s="71"/>
    </row>
    <row r="1356" spans="2:4" x14ac:dyDescent="0.15">
      <c r="B1356" s="69"/>
      <c r="C1356" s="70"/>
      <c r="D1356" s="71"/>
    </row>
    <row r="1357" spans="2:4" x14ac:dyDescent="0.15">
      <c r="B1357" s="69"/>
      <c r="C1357" s="70"/>
      <c r="D1357" s="71"/>
    </row>
    <row r="1358" spans="2:4" x14ac:dyDescent="0.15">
      <c r="B1358" s="69"/>
      <c r="C1358" s="70"/>
      <c r="D1358" s="71"/>
    </row>
    <row r="1359" spans="2:4" x14ac:dyDescent="0.15">
      <c r="B1359" s="69"/>
      <c r="C1359" s="70"/>
      <c r="D1359" s="71"/>
    </row>
    <row r="1360" spans="2:4" x14ac:dyDescent="0.15">
      <c r="B1360" s="69"/>
      <c r="C1360" s="70"/>
      <c r="D1360" s="71"/>
    </row>
    <row r="1361" spans="2:4" x14ac:dyDescent="0.15">
      <c r="B1361" s="69"/>
      <c r="C1361" s="70"/>
      <c r="D1361" s="71"/>
    </row>
    <row r="1362" spans="2:4" x14ac:dyDescent="0.15">
      <c r="B1362" s="69"/>
      <c r="C1362" s="70"/>
      <c r="D1362" s="71"/>
    </row>
    <row r="1363" spans="2:4" x14ac:dyDescent="0.15">
      <c r="B1363" s="69"/>
      <c r="C1363" s="70"/>
      <c r="D1363" s="71"/>
    </row>
    <row r="1364" spans="2:4" x14ac:dyDescent="0.15">
      <c r="B1364" s="69"/>
      <c r="C1364" s="70"/>
      <c r="D1364" s="71"/>
    </row>
    <row r="1365" spans="2:4" x14ac:dyDescent="0.15">
      <c r="B1365" s="69"/>
      <c r="C1365" s="70"/>
      <c r="D1365" s="71"/>
    </row>
    <row r="1366" spans="2:4" x14ac:dyDescent="0.15">
      <c r="B1366" s="69"/>
      <c r="C1366" s="70"/>
      <c r="D1366" s="71"/>
    </row>
    <row r="1367" spans="2:4" x14ac:dyDescent="0.15">
      <c r="B1367" s="69"/>
      <c r="C1367" s="70"/>
      <c r="D1367" s="71"/>
    </row>
    <row r="1368" spans="2:4" x14ac:dyDescent="0.15">
      <c r="B1368" s="69"/>
      <c r="C1368" s="70"/>
      <c r="D1368" s="71"/>
    </row>
    <row r="1369" spans="2:4" x14ac:dyDescent="0.15">
      <c r="B1369" s="69"/>
      <c r="C1369" s="70"/>
      <c r="D1369" s="71"/>
    </row>
    <row r="1370" spans="2:4" x14ac:dyDescent="0.15">
      <c r="B1370" s="69"/>
      <c r="C1370" s="70"/>
      <c r="D1370" s="71"/>
    </row>
    <row r="1371" spans="2:4" x14ac:dyDescent="0.15">
      <c r="B1371" s="69"/>
      <c r="C1371" s="70"/>
      <c r="D1371" s="71"/>
    </row>
    <row r="1372" spans="2:4" x14ac:dyDescent="0.15">
      <c r="B1372" s="69"/>
      <c r="C1372" s="70"/>
      <c r="D1372" s="71"/>
    </row>
    <row r="1373" spans="2:4" x14ac:dyDescent="0.15">
      <c r="B1373" s="69"/>
      <c r="C1373" s="70"/>
      <c r="D1373" s="71"/>
    </row>
    <row r="1374" spans="2:4" x14ac:dyDescent="0.15">
      <c r="B1374" s="69"/>
      <c r="C1374" s="70"/>
      <c r="D1374" s="71"/>
    </row>
    <row r="1375" spans="2:4" x14ac:dyDescent="0.15">
      <c r="B1375" s="69"/>
      <c r="C1375" s="70"/>
      <c r="D1375" s="71"/>
    </row>
    <row r="1376" spans="2:4" x14ac:dyDescent="0.15">
      <c r="B1376" s="69"/>
      <c r="C1376" s="70"/>
      <c r="D1376" s="71"/>
    </row>
    <row r="1377" spans="2:4" x14ac:dyDescent="0.15">
      <c r="B1377" s="69"/>
      <c r="C1377" s="70"/>
      <c r="D1377" s="71"/>
    </row>
    <row r="1378" spans="2:4" x14ac:dyDescent="0.15">
      <c r="B1378" s="69"/>
      <c r="C1378" s="70"/>
      <c r="D1378" s="71"/>
    </row>
    <row r="1379" spans="2:4" x14ac:dyDescent="0.15">
      <c r="B1379" s="69"/>
      <c r="C1379" s="70"/>
      <c r="D1379" s="71"/>
    </row>
    <row r="1380" spans="2:4" x14ac:dyDescent="0.15">
      <c r="B1380" s="69"/>
      <c r="C1380" s="70"/>
      <c r="D1380" s="71"/>
    </row>
    <row r="1381" spans="2:4" x14ac:dyDescent="0.15">
      <c r="B1381" s="69"/>
      <c r="C1381" s="70"/>
      <c r="D1381" s="71"/>
    </row>
    <row r="1382" spans="2:4" x14ac:dyDescent="0.15">
      <c r="B1382" s="69"/>
      <c r="C1382" s="70"/>
      <c r="D1382" s="71"/>
    </row>
    <row r="1383" spans="2:4" x14ac:dyDescent="0.15">
      <c r="B1383" s="69"/>
      <c r="C1383" s="70"/>
      <c r="D1383" s="71"/>
    </row>
    <row r="1384" spans="2:4" x14ac:dyDescent="0.15">
      <c r="B1384" s="69"/>
      <c r="C1384" s="70"/>
      <c r="D1384" s="71"/>
    </row>
    <row r="1385" spans="2:4" x14ac:dyDescent="0.15">
      <c r="B1385" s="69"/>
      <c r="C1385" s="70"/>
      <c r="D1385" s="71"/>
    </row>
    <row r="1386" spans="2:4" x14ac:dyDescent="0.15">
      <c r="B1386" s="69"/>
      <c r="C1386" s="70"/>
      <c r="D1386" s="71"/>
    </row>
    <row r="1387" spans="2:4" x14ac:dyDescent="0.15">
      <c r="B1387" s="69"/>
      <c r="C1387" s="70"/>
      <c r="D1387" s="71"/>
    </row>
    <row r="1388" spans="2:4" x14ac:dyDescent="0.15">
      <c r="B1388" s="69"/>
      <c r="C1388" s="70"/>
      <c r="D1388" s="71"/>
    </row>
    <row r="1389" spans="2:4" x14ac:dyDescent="0.15">
      <c r="B1389" s="69"/>
      <c r="C1389" s="70"/>
      <c r="D1389" s="71"/>
    </row>
    <row r="1390" spans="2:4" x14ac:dyDescent="0.15">
      <c r="B1390" s="69"/>
      <c r="C1390" s="70"/>
      <c r="D1390" s="71"/>
    </row>
    <row r="1391" spans="2:4" x14ac:dyDescent="0.15">
      <c r="B1391" s="69"/>
      <c r="C1391" s="70"/>
      <c r="D1391" s="71"/>
    </row>
    <row r="1392" spans="2:4" x14ac:dyDescent="0.15">
      <c r="B1392" s="69"/>
      <c r="C1392" s="70"/>
      <c r="D1392" s="71"/>
    </row>
    <row r="1393" spans="2:4" x14ac:dyDescent="0.15">
      <c r="B1393" s="69"/>
      <c r="C1393" s="70"/>
      <c r="D1393" s="71"/>
    </row>
    <row r="1394" spans="2:4" x14ac:dyDescent="0.15">
      <c r="B1394" s="69"/>
      <c r="C1394" s="70"/>
      <c r="D1394" s="71"/>
    </row>
    <row r="1395" spans="2:4" x14ac:dyDescent="0.15">
      <c r="B1395" s="69"/>
      <c r="C1395" s="70"/>
      <c r="D1395" s="71"/>
    </row>
    <row r="1396" spans="2:4" x14ac:dyDescent="0.15">
      <c r="B1396" s="69"/>
      <c r="C1396" s="70"/>
      <c r="D1396" s="71"/>
    </row>
    <row r="1397" spans="2:4" x14ac:dyDescent="0.15">
      <c r="B1397" s="69"/>
      <c r="C1397" s="70"/>
      <c r="D1397" s="71"/>
    </row>
    <row r="1398" spans="2:4" x14ac:dyDescent="0.15">
      <c r="B1398" s="69"/>
      <c r="C1398" s="70"/>
      <c r="D1398" s="71"/>
    </row>
    <row r="1399" spans="2:4" x14ac:dyDescent="0.15">
      <c r="B1399" s="69"/>
      <c r="C1399" s="70"/>
      <c r="D1399" s="71"/>
    </row>
    <row r="1400" spans="2:4" x14ac:dyDescent="0.15">
      <c r="B1400" s="69"/>
      <c r="C1400" s="70"/>
      <c r="D1400" s="71"/>
    </row>
    <row r="1401" spans="2:4" x14ac:dyDescent="0.15">
      <c r="B1401" s="69"/>
      <c r="C1401" s="70"/>
      <c r="D1401" s="71"/>
    </row>
    <row r="1402" spans="2:4" x14ac:dyDescent="0.15">
      <c r="B1402" s="69"/>
      <c r="C1402" s="70"/>
      <c r="D1402" s="71"/>
    </row>
    <row r="1403" spans="2:4" x14ac:dyDescent="0.15">
      <c r="B1403" s="69"/>
      <c r="C1403" s="70"/>
      <c r="D1403" s="71"/>
    </row>
    <row r="1404" spans="2:4" x14ac:dyDescent="0.15">
      <c r="B1404" s="69"/>
      <c r="C1404" s="70"/>
      <c r="D1404" s="71"/>
    </row>
    <row r="1405" spans="2:4" x14ac:dyDescent="0.15">
      <c r="B1405" s="69"/>
      <c r="C1405" s="70"/>
      <c r="D1405" s="71"/>
    </row>
    <row r="1406" spans="2:4" x14ac:dyDescent="0.15">
      <c r="B1406" s="69"/>
      <c r="C1406" s="70"/>
      <c r="D1406" s="71"/>
    </row>
    <row r="1407" spans="2:4" x14ac:dyDescent="0.15">
      <c r="B1407" s="69"/>
      <c r="C1407" s="70"/>
      <c r="D1407" s="71"/>
    </row>
    <row r="1408" spans="2:4" x14ac:dyDescent="0.15">
      <c r="B1408" s="69"/>
      <c r="C1408" s="70"/>
      <c r="D1408" s="71"/>
    </row>
    <row r="1409" spans="2:4" x14ac:dyDescent="0.15">
      <c r="B1409" s="69"/>
      <c r="C1409" s="70"/>
      <c r="D1409" s="71"/>
    </row>
    <row r="1410" spans="2:4" x14ac:dyDescent="0.15">
      <c r="B1410" s="69"/>
      <c r="C1410" s="70"/>
      <c r="D1410" s="71"/>
    </row>
    <row r="1411" spans="2:4" x14ac:dyDescent="0.15">
      <c r="B1411" s="69"/>
      <c r="C1411" s="70"/>
      <c r="D1411" s="71"/>
    </row>
    <row r="1412" spans="2:4" x14ac:dyDescent="0.15">
      <c r="B1412" s="69"/>
      <c r="C1412" s="70"/>
      <c r="D1412" s="71"/>
    </row>
    <row r="1413" spans="2:4" x14ac:dyDescent="0.15">
      <c r="B1413" s="69"/>
      <c r="C1413" s="70"/>
      <c r="D1413" s="71"/>
    </row>
    <row r="1414" spans="2:4" x14ac:dyDescent="0.15">
      <c r="B1414" s="69"/>
      <c r="C1414" s="70"/>
      <c r="D1414" s="71"/>
    </row>
    <row r="1415" spans="2:4" x14ac:dyDescent="0.15">
      <c r="B1415" s="69"/>
      <c r="C1415" s="70"/>
      <c r="D1415" s="71"/>
    </row>
    <row r="1416" spans="2:4" x14ac:dyDescent="0.15">
      <c r="B1416" s="69"/>
      <c r="C1416" s="70"/>
      <c r="D1416" s="71"/>
    </row>
    <row r="1417" spans="2:4" x14ac:dyDescent="0.15">
      <c r="B1417" s="69"/>
      <c r="C1417" s="70"/>
      <c r="D1417" s="71"/>
    </row>
    <row r="1418" spans="2:4" x14ac:dyDescent="0.15">
      <c r="B1418" s="69"/>
      <c r="C1418" s="70"/>
      <c r="D1418" s="71"/>
    </row>
    <row r="1419" spans="2:4" x14ac:dyDescent="0.15">
      <c r="B1419" s="69"/>
      <c r="C1419" s="70"/>
      <c r="D1419" s="71"/>
    </row>
    <row r="1420" spans="2:4" x14ac:dyDescent="0.15">
      <c r="B1420" s="69"/>
      <c r="C1420" s="70"/>
      <c r="D1420" s="71"/>
    </row>
    <row r="1421" spans="2:4" x14ac:dyDescent="0.15">
      <c r="B1421" s="69"/>
      <c r="C1421" s="70"/>
      <c r="D1421" s="71"/>
    </row>
    <row r="1422" spans="2:4" x14ac:dyDescent="0.15">
      <c r="B1422" s="69"/>
      <c r="C1422" s="70"/>
      <c r="D1422" s="71"/>
    </row>
    <row r="1423" spans="2:4" x14ac:dyDescent="0.15">
      <c r="B1423" s="69"/>
      <c r="C1423" s="70"/>
      <c r="D1423" s="71"/>
    </row>
    <row r="1424" spans="2:4" x14ac:dyDescent="0.15">
      <c r="B1424" s="69"/>
      <c r="C1424" s="70"/>
      <c r="D1424" s="71"/>
    </row>
    <row r="1425" spans="2:4" x14ac:dyDescent="0.15">
      <c r="B1425" s="69"/>
      <c r="C1425" s="70"/>
      <c r="D1425" s="71"/>
    </row>
    <row r="1426" spans="2:4" x14ac:dyDescent="0.15">
      <c r="B1426" s="69"/>
      <c r="C1426" s="70"/>
      <c r="D1426" s="71"/>
    </row>
    <row r="1427" spans="2:4" x14ac:dyDescent="0.15">
      <c r="B1427" s="69"/>
      <c r="C1427" s="70"/>
      <c r="D1427" s="71"/>
    </row>
    <row r="1428" spans="2:4" x14ac:dyDescent="0.15">
      <c r="B1428" s="69"/>
      <c r="C1428" s="70"/>
      <c r="D1428" s="71"/>
    </row>
    <row r="1429" spans="2:4" x14ac:dyDescent="0.15">
      <c r="B1429" s="69"/>
      <c r="C1429" s="70"/>
      <c r="D1429" s="71"/>
    </row>
    <row r="1430" spans="2:4" x14ac:dyDescent="0.15">
      <c r="B1430" s="69"/>
      <c r="C1430" s="70"/>
      <c r="D1430" s="71"/>
    </row>
    <row r="1431" spans="2:4" x14ac:dyDescent="0.15">
      <c r="B1431" s="69"/>
      <c r="C1431" s="70"/>
      <c r="D1431" s="71"/>
    </row>
    <row r="1432" spans="2:4" x14ac:dyDescent="0.15">
      <c r="B1432" s="69"/>
      <c r="C1432" s="70"/>
      <c r="D1432" s="71"/>
    </row>
    <row r="1433" spans="2:4" x14ac:dyDescent="0.15">
      <c r="B1433" s="69"/>
      <c r="C1433" s="70"/>
      <c r="D1433" s="71"/>
    </row>
    <row r="1434" spans="2:4" x14ac:dyDescent="0.15">
      <c r="B1434" s="69"/>
      <c r="C1434" s="70"/>
      <c r="D1434" s="71"/>
    </row>
    <row r="1435" spans="2:4" x14ac:dyDescent="0.15">
      <c r="B1435" s="69"/>
      <c r="C1435" s="70"/>
      <c r="D1435" s="71"/>
    </row>
    <row r="1436" spans="2:4" x14ac:dyDescent="0.15">
      <c r="B1436" s="69"/>
      <c r="C1436" s="70"/>
      <c r="D1436" s="71"/>
    </row>
    <row r="1437" spans="2:4" x14ac:dyDescent="0.15">
      <c r="B1437" s="69"/>
      <c r="C1437" s="70"/>
      <c r="D1437" s="71"/>
    </row>
    <row r="1438" spans="2:4" x14ac:dyDescent="0.15">
      <c r="B1438" s="69"/>
      <c r="C1438" s="70"/>
      <c r="D1438" s="71"/>
    </row>
    <row r="1439" spans="2:4" x14ac:dyDescent="0.15">
      <c r="B1439" s="69"/>
      <c r="C1439" s="70"/>
      <c r="D1439" s="71"/>
    </row>
    <row r="1440" spans="2:4" x14ac:dyDescent="0.15">
      <c r="B1440" s="69"/>
      <c r="C1440" s="70"/>
      <c r="D1440" s="71"/>
    </row>
    <row r="1441" spans="2:4" x14ac:dyDescent="0.15">
      <c r="B1441" s="69"/>
      <c r="C1441" s="70"/>
      <c r="D1441" s="71"/>
    </row>
    <row r="1442" spans="2:4" x14ac:dyDescent="0.15">
      <c r="B1442" s="69"/>
      <c r="C1442" s="70"/>
      <c r="D1442" s="71"/>
    </row>
    <row r="1443" spans="2:4" x14ac:dyDescent="0.15">
      <c r="B1443" s="69"/>
      <c r="C1443" s="70"/>
      <c r="D1443" s="71"/>
    </row>
    <row r="1444" spans="2:4" x14ac:dyDescent="0.15">
      <c r="B1444" s="69"/>
      <c r="C1444" s="70"/>
      <c r="D1444" s="71"/>
    </row>
    <row r="1445" spans="2:4" x14ac:dyDescent="0.15">
      <c r="B1445" s="69"/>
      <c r="C1445" s="70"/>
      <c r="D1445" s="71"/>
    </row>
    <row r="1446" spans="2:4" x14ac:dyDescent="0.15">
      <c r="B1446" s="69"/>
      <c r="C1446" s="70"/>
      <c r="D1446" s="71"/>
    </row>
    <row r="1447" spans="2:4" x14ac:dyDescent="0.15">
      <c r="B1447" s="69"/>
      <c r="C1447" s="70"/>
      <c r="D1447" s="71"/>
    </row>
    <row r="1448" spans="2:4" x14ac:dyDescent="0.15">
      <c r="B1448" s="69"/>
      <c r="C1448" s="70"/>
      <c r="D1448" s="71"/>
    </row>
    <row r="1449" spans="2:4" x14ac:dyDescent="0.15">
      <c r="B1449" s="69"/>
      <c r="C1449" s="70"/>
      <c r="D1449" s="71"/>
    </row>
    <row r="1450" spans="2:4" x14ac:dyDescent="0.15">
      <c r="B1450" s="69"/>
      <c r="C1450" s="70"/>
      <c r="D1450" s="71"/>
    </row>
    <row r="1451" spans="2:4" x14ac:dyDescent="0.15">
      <c r="B1451" s="69"/>
      <c r="C1451" s="70"/>
      <c r="D1451" s="71"/>
    </row>
    <row r="1452" spans="2:4" x14ac:dyDescent="0.15">
      <c r="B1452" s="69"/>
      <c r="C1452" s="70"/>
      <c r="D1452" s="71"/>
    </row>
    <row r="1453" spans="2:4" x14ac:dyDescent="0.15">
      <c r="B1453" s="69"/>
      <c r="C1453" s="70"/>
      <c r="D1453" s="71"/>
    </row>
    <row r="1454" spans="2:4" x14ac:dyDescent="0.15">
      <c r="B1454" s="69"/>
      <c r="C1454" s="70"/>
      <c r="D1454" s="71"/>
    </row>
    <row r="1455" spans="2:4" x14ac:dyDescent="0.15">
      <c r="B1455" s="69"/>
      <c r="C1455" s="70"/>
      <c r="D1455" s="71"/>
    </row>
    <row r="1456" spans="2:4" x14ac:dyDescent="0.15">
      <c r="B1456" s="69"/>
      <c r="C1456" s="70"/>
      <c r="D1456" s="71"/>
    </row>
    <row r="1457" spans="2:4" x14ac:dyDescent="0.15">
      <c r="B1457" s="69"/>
      <c r="C1457" s="70"/>
      <c r="D1457" s="71"/>
    </row>
    <row r="1458" spans="2:4" x14ac:dyDescent="0.15">
      <c r="B1458" s="69"/>
      <c r="C1458" s="70"/>
      <c r="D1458" s="71"/>
    </row>
    <row r="1459" spans="2:4" x14ac:dyDescent="0.15">
      <c r="B1459" s="69"/>
      <c r="C1459" s="70"/>
      <c r="D1459" s="71"/>
    </row>
    <row r="1460" spans="2:4" x14ac:dyDescent="0.15">
      <c r="B1460" s="69"/>
      <c r="C1460" s="70"/>
      <c r="D1460" s="71"/>
    </row>
    <row r="1461" spans="2:4" x14ac:dyDescent="0.15">
      <c r="B1461" s="69"/>
      <c r="C1461" s="70"/>
      <c r="D1461" s="71"/>
    </row>
    <row r="1462" spans="2:4" x14ac:dyDescent="0.15">
      <c r="B1462" s="69"/>
      <c r="C1462" s="70"/>
      <c r="D1462" s="71"/>
    </row>
    <row r="1463" spans="2:4" x14ac:dyDescent="0.15">
      <c r="B1463" s="69"/>
      <c r="C1463" s="70"/>
      <c r="D1463" s="71"/>
    </row>
    <row r="1464" spans="2:4" x14ac:dyDescent="0.15">
      <c r="B1464" s="69"/>
      <c r="C1464" s="70"/>
      <c r="D1464" s="71"/>
    </row>
    <row r="1465" spans="2:4" x14ac:dyDescent="0.15">
      <c r="B1465" s="69"/>
      <c r="C1465" s="70"/>
      <c r="D1465" s="71"/>
    </row>
    <row r="1466" spans="2:4" x14ac:dyDescent="0.15">
      <c r="B1466" s="69"/>
      <c r="C1466" s="70"/>
      <c r="D1466" s="71"/>
    </row>
    <row r="1467" spans="2:4" x14ac:dyDescent="0.15">
      <c r="B1467" s="69"/>
      <c r="C1467" s="70"/>
      <c r="D1467" s="71"/>
    </row>
    <row r="1468" spans="2:4" x14ac:dyDescent="0.15">
      <c r="B1468" s="69"/>
      <c r="C1468" s="70"/>
      <c r="D1468" s="71"/>
    </row>
    <row r="1469" spans="2:4" x14ac:dyDescent="0.15">
      <c r="B1469" s="69"/>
      <c r="C1469" s="70"/>
      <c r="D1469" s="71"/>
    </row>
    <row r="1470" spans="2:4" x14ac:dyDescent="0.15">
      <c r="B1470" s="69"/>
      <c r="C1470" s="70"/>
      <c r="D1470" s="71"/>
    </row>
    <row r="1471" spans="2:4" x14ac:dyDescent="0.15">
      <c r="B1471" s="69"/>
      <c r="C1471" s="70"/>
      <c r="D1471" s="71"/>
    </row>
    <row r="1472" spans="2:4" x14ac:dyDescent="0.15">
      <c r="B1472" s="69"/>
      <c r="C1472" s="70"/>
      <c r="D1472" s="71"/>
    </row>
    <row r="1473" spans="2:4" x14ac:dyDescent="0.15">
      <c r="B1473" s="69"/>
      <c r="C1473" s="70"/>
      <c r="D1473" s="71"/>
    </row>
    <row r="1474" spans="2:4" x14ac:dyDescent="0.15">
      <c r="B1474" s="69"/>
      <c r="C1474" s="70"/>
      <c r="D1474" s="71"/>
    </row>
    <row r="1475" spans="2:4" x14ac:dyDescent="0.15">
      <c r="B1475" s="69"/>
      <c r="C1475" s="70"/>
      <c r="D1475" s="71"/>
    </row>
    <row r="1476" spans="2:4" x14ac:dyDescent="0.15">
      <c r="B1476" s="69"/>
      <c r="C1476" s="70"/>
      <c r="D1476" s="71"/>
    </row>
    <row r="1477" spans="2:4" x14ac:dyDescent="0.15">
      <c r="B1477" s="69"/>
      <c r="C1477" s="70"/>
      <c r="D1477" s="71"/>
    </row>
    <row r="1478" spans="2:4" x14ac:dyDescent="0.15">
      <c r="B1478" s="69"/>
      <c r="C1478" s="70"/>
      <c r="D1478" s="71"/>
    </row>
    <row r="1479" spans="2:4" x14ac:dyDescent="0.15">
      <c r="B1479" s="69"/>
      <c r="C1479" s="70"/>
      <c r="D1479" s="71"/>
    </row>
    <row r="1480" spans="2:4" x14ac:dyDescent="0.15">
      <c r="B1480" s="69"/>
      <c r="C1480" s="70"/>
      <c r="D1480" s="71"/>
    </row>
    <row r="1481" spans="2:4" x14ac:dyDescent="0.15">
      <c r="B1481" s="69"/>
      <c r="C1481" s="70"/>
      <c r="D1481" s="71"/>
    </row>
    <row r="1482" spans="2:4" x14ac:dyDescent="0.15">
      <c r="B1482" s="69"/>
      <c r="C1482" s="70"/>
      <c r="D1482" s="71"/>
    </row>
    <row r="1483" spans="2:4" x14ac:dyDescent="0.15">
      <c r="B1483" s="69"/>
      <c r="C1483" s="70"/>
      <c r="D1483" s="71"/>
    </row>
    <row r="1484" spans="2:4" x14ac:dyDescent="0.15">
      <c r="B1484" s="69"/>
      <c r="C1484" s="70"/>
      <c r="D1484" s="71"/>
    </row>
    <row r="1485" spans="2:4" x14ac:dyDescent="0.15">
      <c r="B1485" s="69"/>
      <c r="C1485" s="70"/>
      <c r="D1485" s="71"/>
    </row>
    <row r="1486" spans="2:4" x14ac:dyDescent="0.15">
      <c r="B1486" s="69"/>
      <c r="C1486" s="70"/>
      <c r="D1486" s="71"/>
    </row>
    <row r="1487" spans="2:4" x14ac:dyDescent="0.15">
      <c r="B1487" s="69"/>
      <c r="C1487" s="70"/>
      <c r="D1487" s="71"/>
    </row>
    <row r="1488" spans="2:4" x14ac:dyDescent="0.15">
      <c r="B1488" s="69"/>
      <c r="C1488" s="70"/>
      <c r="D1488" s="71"/>
    </row>
    <row r="1489" spans="2:4" x14ac:dyDescent="0.15">
      <c r="B1489" s="69"/>
      <c r="C1489" s="70"/>
      <c r="D1489" s="71"/>
    </row>
    <row r="1490" spans="2:4" x14ac:dyDescent="0.15">
      <c r="B1490" s="69"/>
      <c r="C1490" s="70"/>
      <c r="D1490" s="71"/>
    </row>
    <row r="1491" spans="2:4" x14ac:dyDescent="0.15">
      <c r="B1491" s="69"/>
      <c r="C1491" s="70"/>
      <c r="D1491" s="71"/>
    </row>
    <row r="1492" spans="2:4" x14ac:dyDescent="0.15">
      <c r="B1492" s="69"/>
      <c r="C1492" s="70"/>
      <c r="D1492" s="71"/>
    </row>
    <row r="1493" spans="2:4" x14ac:dyDescent="0.15">
      <c r="B1493" s="69"/>
      <c r="C1493" s="70"/>
      <c r="D1493" s="71"/>
    </row>
    <row r="1494" spans="2:4" x14ac:dyDescent="0.15">
      <c r="B1494" s="69"/>
      <c r="C1494" s="70"/>
      <c r="D1494" s="71"/>
    </row>
    <row r="1495" spans="2:4" x14ac:dyDescent="0.15">
      <c r="B1495" s="69"/>
      <c r="C1495" s="70"/>
      <c r="D1495" s="71"/>
    </row>
    <row r="1496" spans="2:4" x14ac:dyDescent="0.15">
      <c r="B1496" s="69"/>
      <c r="C1496" s="70"/>
      <c r="D1496" s="71"/>
    </row>
    <row r="1497" spans="2:4" x14ac:dyDescent="0.15">
      <c r="B1497" s="69"/>
      <c r="C1497" s="70"/>
      <c r="D1497" s="71"/>
    </row>
    <row r="1498" spans="2:4" x14ac:dyDescent="0.15">
      <c r="B1498" s="69"/>
      <c r="C1498" s="70"/>
      <c r="D1498" s="71"/>
    </row>
    <row r="1499" spans="2:4" x14ac:dyDescent="0.15">
      <c r="B1499" s="69"/>
      <c r="C1499" s="70"/>
      <c r="D1499" s="71"/>
    </row>
    <row r="1500" spans="2:4" x14ac:dyDescent="0.15">
      <c r="B1500" s="69"/>
      <c r="C1500" s="70"/>
      <c r="D1500" s="71"/>
    </row>
    <row r="1501" spans="2:4" x14ac:dyDescent="0.15">
      <c r="B1501" s="69"/>
      <c r="C1501" s="70"/>
      <c r="D1501" s="71"/>
    </row>
    <row r="1502" spans="2:4" x14ac:dyDescent="0.15">
      <c r="B1502" s="69"/>
      <c r="C1502" s="70"/>
      <c r="D1502" s="71"/>
    </row>
    <row r="1503" spans="2:4" x14ac:dyDescent="0.15">
      <c r="B1503" s="69"/>
      <c r="C1503" s="70"/>
      <c r="D1503" s="71"/>
    </row>
    <row r="1504" spans="2:4" x14ac:dyDescent="0.15">
      <c r="B1504" s="69"/>
      <c r="C1504" s="70"/>
      <c r="D1504" s="71"/>
    </row>
    <row r="1505" spans="2:4" x14ac:dyDescent="0.15">
      <c r="B1505" s="69"/>
      <c r="C1505" s="70"/>
      <c r="D1505" s="71"/>
    </row>
    <row r="1506" spans="2:4" x14ac:dyDescent="0.15">
      <c r="B1506" s="69"/>
      <c r="C1506" s="70"/>
      <c r="D1506" s="71"/>
    </row>
    <row r="1507" spans="2:4" x14ac:dyDescent="0.15">
      <c r="B1507" s="69"/>
      <c r="C1507" s="70"/>
      <c r="D1507" s="71"/>
    </row>
    <row r="1508" spans="2:4" x14ac:dyDescent="0.15">
      <c r="B1508" s="69"/>
      <c r="C1508" s="70"/>
      <c r="D1508" s="71"/>
    </row>
    <row r="1509" spans="2:4" x14ac:dyDescent="0.15">
      <c r="B1509" s="69"/>
      <c r="C1509" s="70"/>
      <c r="D1509" s="71"/>
    </row>
    <row r="1510" spans="2:4" x14ac:dyDescent="0.15">
      <c r="B1510" s="69"/>
      <c r="C1510" s="70"/>
      <c r="D1510" s="71"/>
    </row>
    <row r="1511" spans="2:4" x14ac:dyDescent="0.15">
      <c r="B1511" s="69"/>
      <c r="C1511" s="70"/>
      <c r="D1511" s="71"/>
    </row>
    <row r="1512" spans="2:4" x14ac:dyDescent="0.15">
      <c r="B1512" s="69"/>
      <c r="C1512" s="70"/>
      <c r="D1512" s="71"/>
    </row>
    <row r="1513" spans="2:4" x14ac:dyDescent="0.15">
      <c r="B1513" s="69"/>
      <c r="C1513" s="70"/>
      <c r="D1513" s="71"/>
    </row>
    <row r="1514" spans="2:4" x14ac:dyDescent="0.15">
      <c r="B1514" s="69"/>
      <c r="C1514" s="70"/>
      <c r="D1514" s="71"/>
    </row>
    <row r="1515" spans="2:4" x14ac:dyDescent="0.15">
      <c r="B1515" s="69"/>
      <c r="C1515" s="70"/>
      <c r="D1515" s="71"/>
    </row>
    <row r="1516" spans="2:4" x14ac:dyDescent="0.15">
      <c r="B1516" s="69"/>
      <c r="C1516" s="70"/>
      <c r="D1516" s="71"/>
    </row>
    <row r="1517" spans="2:4" x14ac:dyDescent="0.15">
      <c r="B1517" s="69"/>
      <c r="C1517" s="70"/>
      <c r="D1517" s="71"/>
    </row>
    <row r="1518" spans="2:4" x14ac:dyDescent="0.15">
      <c r="B1518" s="69"/>
      <c r="C1518" s="70"/>
      <c r="D1518" s="71"/>
    </row>
    <row r="1519" spans="2:4" x14ac:dyDescent="0.15">
      <c r="B1519" s="69"/>
      <c r="C1519" s="70"/>
      <c r="D1519" s="71"/>
    </row>
    <row r="1520" spans="2:4" x14ac:dyDescent="0.15">
      <c r="B1520" s="69"/>
      <c r="C1520" s="70"/>
      <c r="D1520" s="71"/>
    </row>
    <row r="1521" spans="2:4" x14ac:dyDescent="0.15">
      <c r="B1521" s="69"/>
      <c r="C1521" s="70"/>
      <c r="D1521" s="71"/>
    </row>
    <row r="1522" spans="2:4" x14ac:dyDescent="0.15">
      <c r="B1522" s="69"/>
      <c r="C1522" s="70"/>
      <c r="D1522" s="71"/>
    </row>
    <row r="1523" spans="2:4" x14ac:dyDescent="0.15">
      <c r="B1523" s="69"/>
      <c r="C1523" s="70"/>
      <c r="D1523" s="71"/>
    </row>
    <row r="1524" spans="2:4" x14ac:dyDescent="0.15">
      <c r="B1524" s="69"/>
      <c r="C1524" s="70"/>
      <c r="D1524" s="71"/>
    </row>
    <row r="1525" spans="2:4" x14ac:dyDescent="0.15">
      <c r="B1525" s="69"/>
      <c r="C1525" s="70"/>
      <c r="D1525" s="71"/>
    </row>
    <row r="1526" spans="2:4" x14ac:dyDescent="0.15">
      <c r="B1526" s="69"/>
      <c r="C1526" s="70"/>
      <c r="D1526" s="71"/>
    </row>
    <row r="1527" spans="2:4" x14ac:dyDescent="0.15">
      <c r="B1527" s="69"/>
      <c r="C1527" s="70"/>
      <c r="D1527" s="71"/>
    </row>
    <row r="1528" spans="2:4" x14ac:dyDescent="0.15">
      <c r="B1528" s="69"/>
      <c r="C1528" s="70"/>
      <c r="D1528" s="71"/>
    </row>
    <row r="1529" spans="2:4" x14ac:dyDescent="0.15">
      <c r="B1529" s="69"/>
      <c r="C1529" s="70"/>
      <c r="D1529" s="71"/>
    </row>
    <row r="1530" spans="2:4" x14ac:dyDescent="0.15">
      <c r="B1530" s="69"/>
      <c r="C1530" s="70"/>
      <c r="D1530" s="71"/>
    </row>
    <row r="1531" spans="2:4" x14ac:dyDescent="0.15">
      <c r="B1531" s="69"/>
      <c r="C1531" s="70"/>
      <c r="D1531" s="71"/>
    </row>
    <row r="1532" spans="2:4" x14ac:dyDescent="0.15">
      <c r="B1532" s="69"/>
      <c r="C1532" s="70"/>
      <c r="D1532" s="71"/>
    </row>
    <row r="1533" spans="2:4" x14ac:dyDescent="0.15">
      <c r="B1533" s="69"/>
      <c r="C1533" s="70"/>
      <c r="D1533" s="71"/>
    </row>
    <row r="1534" spans="2:4" x14ac:dyDescent="0.15">
      <c r="B1534" s="69"/>
      <c r="C1534" s="70"/>
      <c r="D1534" s="71"/>
    </row>
    <row r="1535" spans="2:4" x14ac:dyDescent="0.15">
      <c r="B1535" s="69"/>
      <c r="C1535" s="70"/>
      <c r="D1535" s="71"/>
    </row>
    <row r="1536" spans="2:4" x14ac:dyDescent="0.15">
      <c r="B1536" s="69"/>
      <c r="C1536" s="70"/>
      <c r="D1536" s="71"/>
    </row>
    <row r="1537" spans="2:4" x14ac:dyDescent="0.15">
      <c r="B1537" s="69"/>
      <c r="C1537" s="70"/>
      <c r="D1537" s="71"/>
    </row>
    <row r="1538" spans="2:4" x14ac:dyDescent="0.15">
      <c r="B1538" s="69"/>
      <c r="C1538" s="70"/>
      <c r="D1538" s="71"/>
    </row>
    <row r="1539" spans="2:4" x14ac:dyDescent="0.15">
      <c r="B1539" s="69"/>
      <c r="C1539" s="70"/>
      <c r="D1539" s="71"/>
    </row>
    <row r="1540" spans="2:4" x14ac:dyDescent="0.15">
      <c r="B1540" s="69"/>
      <c r="C1540" s="70"/>
      <c r="D1540" s="71"/>
    </row>
    <row r="1541" spans="2:4" x14ac:dyDescent="0.15">
      <c r="B1541" s="69"/>
      <c r="C1541" s="70"/>
      <c r="D1541" s="71"/>
    </row>
    <row r="1542" spans="2:4" x14ac:dyDescent="0.15">
      <c r="B1542" s="69"/>
      <c r="C1542" s="70"/>
      <c r="D1542" s="71"/>
    </row>
    <row r="1543" spans="2:4" x14ac:dyDescent="0.15">
      <c r="B1543" s="69"/>
      <c r="C1543" s="70"/>
      <c r="D1543" s="71"/>
    </row>
    <row r="1544" spans="2:4" x14ac:dyDescent="0.15">
      <c r="B1544" s="69"/>
      <c r="C1544" s="70"/>
      <c r="D1544" s="71"/>
    </row>
    <row r="1545" spans="2:4" x14ac:dyDescent="0.15">
      <c r="B1545" s="69"/>
      <c r="C1545" s="70"/>
      <c r="D1545" s="71"/>
    </row>
    <row r="1546" spans="2:4" x14ac:dyDescent="0.15">
      <c r="B1546" s="69"/>
      <c r="C1546" s="70"/>
      <c r="D1546" s="71"/>
    </row>
    <row r="1547" spans="2:4" x14ac:dyDescent="0.15">
      <c r="B1547" s="69"/>
      <c r="C1547" s="70"/>
      <c r="D1547" s="71"/>
    </row>
    <row r="1548" spans="2:4" x14ac:dyDescent="0.15">
      <c r="B1548" s="69"/>
      <c r="C1548" s="70"/>
      <c r="D1548" s="71"/>
    </row>
    <row r="1549" spans="2:4" x14ac:dyDescent="0.15">
      <c r="B1549" s="69"/>
      <c r="C1549" s="70"/>
      <c r="D1549" s="71"/>
    </row>
    <row r="1550" spans="2:4" x14ac:dyDescent="0.15">
      <c r="B1550" s="69"/>
      <c r="C1550" s="70"/>
      <c r="D1550" s="71"/>
    </row>
    <row r="1551" spans="2:4" x14ac:dyDescent="0.15">
      <c r="B1551" s="69"/>
      <c r="C1551" s="70"/>
      <c r="D1551" s="71"/>
    </row>
    <row r="1552" spans="2:4" x14ac:dyDescent="0.15">
      <c r="B1552" s="69"/>
      <c r="C1552" s="70"/>
      <c r="D1552" s="71"/>
    </row>
    <row r="1553" spans="2:4" x14ac:dyDescent="0.15">
      <c r="B1553" s="69"/>
      <c r="C1553" s="70"/>
      <c r="D1553" s="71"/>
    </row>
    <row r="1554" spans="2:4" x14ac:dyDescent="0.15">
      <c r="B1554" s="69"/>
      <c r="C1554" s="70"/>
      <c r="D1554" s="71"/>
    </row>
    <row r="1555" spans="2:4" x14ac:dyDescent="0.15">
      <c r="B1555" s="69"/>
      <c r="C1555" s="70"/>
      <c r="D1555" s="71"/>
    </row>
    <row r="1556" spans="2:4" x14ac:dyDescent="0.15">
      <c r="B1556" s="69"/>
      <c r="C1556" s="70"/>
      <c r="D1556" s="71"/>
    </row>
    <row r="1557" spans="2:4" x14ac:dyDescent="0.15">
      <c r="B1557" s="69"/>
      <c r="C1557" s="70"/>
      <c r="D1557" s="71"/>
    </row>
    <row r="1558" spans="2:4" x14ac:dyDescent="0.15">
      <c r="B1558" s="69"/>
      <c r="C1558" s="70"/>
      <c r="D1558" s="71"/>
    </row>
    <row r="1559" spans="2:4" x14ac:dyDescent="0.15">
      <c r="B1559" s="69"/>
      <c r="C1559" s="70"/>
      <c r="D1559" s="71"/>
    </row>
    <row r="1560" spans="2:4" x14ac:dyDescent="0.15">
      <c r="B1560" s="69"/>
      <c r="C1560" s="70"/>
      <c r="D1560" s="71"/>
    </row>
    <row r="1561" spans="2:4" x14ac:dyDescent="0.15">
      <c r="B1561" s="69"/>
      <c r="C1561" s="70"/>
      <c r="D1561" s="71"/>
    </row>
    <row r="1562" spans="2:4" x14ac:dyDescent="0.15">
      <c r="B1562" s="69"/>
      <c r="C1562" s="70"/>
      <c r="D1562" s="71"/>
    </row>
    <row r="1563" spans="2:4" x14ac:dyDescent="0.15">
      <c r="B1563" s="69"/>
      <c r="C1563" s="70"/>
      <c r="D1563" s="71"/>
    </row>
    <row r="1564" spans="2:4" x14ac:dyDescent="0.15">
      <c r="B1564" s="69"/>
      <c r="C1564" s="70"/>
      <c r="D1564" s="71"/>
    </row>
    <row r="1565" spans="2:4" x14ac:dyDescent="0.15">
      <c r="B1565" s="69"/>
      <c r="C1565" s="70"/>
      <c r="D1565" s="71"/>
    </row>
    <row r="1566" spans="2:4" x14ac:dyDescent="0.15">
      <c r="B1566" s="69"/>
      <c r="C1566" s="70"/>
      <c r="D1566" s="71"/>
    </row>
    <row r="1567" spans="2:4" x14ac:dyDescent="0.15">
      <c r="B1567" s="69"/>
      <c r="C1567" s="70"/>
      <c r="D1567" s="71"/>
    </row>
    <row r="1568" spans="2:4" x14ac:dyDescent="0.15">
      <c r="B1568" s="69"/>
      <c r="C1568" s="70"/>
      <c r="D1568" s="71"/>
    </row>
    <row r="1569" spans="2:4" x14ac:dyDescent="0.15">
      <c r="B1569" s="69"/>
      <c r="C1569" s="70"/>
      <c r="D1569" s="71"/>
    </row>
    <row r="1570" spans="2:4" x14ac:dyDescent="0.15">
      <c r="B1570" s="69"/>
      <c r="C1570" s="70"/>
      <c r="D1570" s="71"/>
    </row>
    <row r="1571" spans="2:4" x14ac:dyDescent="0.15">
      <c r="B1571" s="69"/>
      <c r="C1571" s="70"/>
      <c r="D1571" s="71"/>
    </row>
    <row r="1572" spans="2:4" x14ac:dyDescent="0.15">
      <c r="B1572" s="69"/>
      <c r="C1572" s="70"/>
      <c r="D1572" s="71"/>
    </row>
    <row r="1573" spans="2:4" x14ac:dyDescent="0.15">
      <c r="B1573" s="69"/>
      <c r="C1573" s="70"/>
      <c r="D1573" s="71"/>
    </row>
    <row r="1574" spans="2:4" x14ac:dyDescent="0.15">
      <c r="B1574" s="69"/>
      <c r="C1574" s="70"/>
      <c r="D1574" s="71"/>
    </row>
    <row r="1575" spans="2:4" x14ac:dyDescent="0.15">
      <c r="B1575" s="69"/>
      <c r="C1575" s="70"/>
      <c r="D1575" s="71"/>
    </row>
    <row r="1576" spans="2:4" x14ac:dyDescent="0.15">
      <c r="B1576" s="69"/>
      <c r="C1576" s="70"/>
      <c r="D1576" s="71"/>
    </row>
    <row r="1577" spans="2:4" x14ac:dyDescent="0.15">
      <c r="B1577" s="69"/>
      <c r="C1577" s="70"/>
      <c r="D1577" s="71"/>
    </row>
    <row r="1578" spans="2:4" x14ac:dyDescent="0.15">
      <c r="B1578" s="69"/>
      <c r="C1578" s="70"/>
      <c r="D1578" s="71"/>
    </row>
    <row r="1579" spans="2:4" x14ac:dyDescent="0.15">
      <c r="B1579" s="69"/>
      <c r="C1579" s="70"/>
      <c r="D1579" s="71"/>
    </row>
    <row r="1580" spans="2:4" x14ac:dyDescent="0.15">
      <c r="B1580" s="69"/>
      <c r="C1580" s="70"/>
      <c r="D1580" s="71"/>
    </row>
    <row r="1581" spans="2:4" x14ac:dyDescent="0.15">
      <c r="B1581" s="69"/>
      <c r="C1581" s="70"/>
      <c r="D1581" s="71"/>
    </row>
    <row r="1582" spans="2:4" x14ac:dyDescent="0.15">
      <c r="B1582" s="69"/>
      <c r="C1582" s="70"/>
      <c r="D1582" s="71"/>
    </row>
    <row r="1583" spans="2:4" x14ac:dyDescent="0.15">
      <c r="B1583" s="69"/>
      <c r="C1583" s="70"/>
      <c r="D1583" s="71"/>
    </row>
    <row r="1584" spans="2:4" x14ac:dyDescent="0.15">
      <c r="B1584" s="69"/>
      <c r="C1584" s="70"/>
      <c r="D1584" s="71"/>
    </row>
    <row r="1585" spans="2:4" x14ac:dyDescent="0.15">
      <c r="B1585" s="69"/>
      <c r="C1585" s="70"/>
      <c r="D1585" s="71"/>
    </row>
    <row r="1586" spans="2:4" x14ac:dyDescent="0.15">
      <c r="B1586" s="69"/>
      <c r="C1586" s="70"/>
      <c r="D1586" s="71"/>
    </row>
    <row r="1587" spans="2:4" x14ac:dyDescent="0.15">
      <c r="B1587" s="69"/>
      <c r="C1587" s="70"/>
      <c r="D1587" s="71"/>
    </row>
    <row r="1588" spans="2:4" x14ac:dyDescent="0.15">
      <c r="B1588" s="69"/>
      <c r="C1588" s="70"/>
      <c r="D1588" s="71"/>
    </row>
    <row r="1589" spans="2:4" x14ac:dyDescent="0.15">
      <c r="B1589" s="69"/>
      <c r="C1589" s="70"/>
      <c r="D1589" s="71"/>
    </row>
    <row r="1590" spans="2:4" x14ac:dyDescent="0.15">
      <c r="B1590" s="69"/>
      <c r="C1590" s="70"/>
      <c r="D1590" s="71"/>
    </row>
    <row r="1591" spans="2:4" x14ac:dyDescent="0.15">
      <c r="B1591" s="69"/>
      <c r="C1591" s="70"/>
      <c r="D1591" s="71"/>
    </row>
    <row r="1592" spans="2:4" x14ac:dyDescent="0.15">
      <c r="B1592" s="69"/>
      <c r="C1592" s="70"/>
      <c r="D1592" s="71"/>
    </row>
    <row r="1593" spans="2:4" x14ac:dyDescent="0.15">
      <c r="B1593" s="69"/>
      <c r="C1593" s="70"/>
      <c r="D1593" s="71"/>
    </row>
    <row r="1594" spans="2:4" x14ac:dyDescent="0.15">
      <c r="B1594" s="69"/>
      <c r="C1594" s="70"/>
      <c r="D1594" s="71"/>
    </row>
    <row r="1595" spans="2:4" x14ac:dyDescent="0.15">
      <c r="B1595" s="69"/>
      <c r="C1595" s="70"/>
      <c r="D1595" s="71"/>
    </row>
    <row r="1596" spans="2:4" x14ac:dyDescent="0.15">
      <c r="B1596" s="69"/>
      <c r="C1596" s="70"/>
      <c r="D1596" s="71"/>
    </row>
    <row r="1597" spans="2:4" x14ac:dyDescent="0.15">
      <c r="B1597" s="69"/>
      <c r="C1597" s="70"/>
      <c r="D1597" s="71"/>
    </row>
    <row r="1598" spans="2:4" x14ac:dyDescent="0.15">
      <c r="B1598" s="69"/>
      <c r="C1598" s="70"/>
      <c r="D1598" s="71"/>
    </row>
    <row r="1599" spans="2:4" x14ac:dyDescent="0.15">
      <c r="B1599" s="69"/>
      <c r="C1599" s="70"/>
      <c r="D1599" s="71"/>
    </row>
    <row r="1600" spans="2:4" x14ac:dyDescent="0.15">
      <c r="B1600" s="69"/>
      <c r="C1600" s="70"/>
      <c r="D1600" s="71"/>
    </row>
    <row r="1601" spans="2:4" x14ac:dyDescent="0.15">
      <c r="B1601" s="69"/>
      <c r="C1601" s="70"/>
      <c r="D1601" s="71"/>
    </row>
    <row r="1602" spans="2:4" x14ac:dyDescent="0.15">
      <c r="B1602" s="69"/>
      <c r="C1602" s="70"/>
      <c r="D1602" s="71"/>
    </row>
    <row r="1603" spans="2:4" x14ac:dyDescent="0.15">
      <c r="B1603" s="69"/>
      <c r="C1603" s="70"/>
      <c r="D1603" s="71"/>
    </row>
    <row r="1604" spans="2:4" x14ac:dyDescent="0.15">
      <c r="B1604" s="69"/>
      <c r="C1604" s="70"/>
      <c r="D1604" s="71"/>
    </row>
    <row r="1605" spans="2:4" x14ac:dyDescent="0.15">
      <c r="B1605" s="69"/>
      <c r="C1605" s="70"/>
      <c r="D1605" s="71"/>
    </row>
    <row r="1606" spans="2:4" x14ac:dyDescent="0.15">
      <c r="B1606" s="69"/>
      <c r="C1606" s="70"/>
      <c r="D1606" s="71"/>
    </row>
    <row r="1607" spans="2:4" x14ac:dyDescent="0.15">
      <c r="B1607" s="69"/>
      <c r="C1607" s="70"/>
      <c r="D1607" s="71"/>
    </row>
    <row r="1608" spans="2:4" x14ac:dyDescent="0.15">
      <c r="B1608" s="69"/>
      <c r="C1608" s="70"/>
      <c r="D1608" s="71"/>
    </row>
    <row r="1609" spans="2:4" x14ac:dyDescent="0.15">
      <c r="B1609" s="69"/>
      <c r="C1609" s="70"/>
      <c r="D1609" s="71"/>
    </row>
    <row r="1610" spans="2:4" x14ac:dyDescent="0.15">
      <c r="B1610" s="69"/>
      <c r="C1610" s="70"/>
      <c r="D1610" s="71"/>
    </row>
    <row r="1611" spans="2:4" x14ac:dyDescent="0.15">
      <c r="B1611" s="69"/>
      <c r="C1611" s="70"/>
      <c r="D1611" s="71"/>
    </row>
    <row r="1612" spans="2:4" x14ac:dyDescent="0.15">
      <c r="B1612" s="69"/>
      <c r="C1612" s="70"/>
      <c r="D1612" s="71"/>
    </row>
    <row r="1613" spans="2:4" x14ac:dyDescent="0.15">
      <c r="B1613" s="69"/>
      <c r="C1613" s="70"/>
      <c r="D1613" s="71"/>
    </row>
    <row r="1614" spans="2:4" x14ac:dyDescent="0.15">
      <c r="B1614" s="69"/>
      <c r="C1614" s="70"/>
      <c r="D1614" s="71"/>
    </row>
    <row r="1615" spans="2:4" x14ac:dyDescent="0.15">
      <c r="B1615" s="69"/>
      <c r="C1615" s="70"/>
      <c r="D1615" s="71"/>
    </row>
    <row r="1616" spans="2:4" x14ac:dyDescent="0.15">
      <c r="B1616" s="69"/>
      <c r="C1616" s="70"/>
      <c r="D1616" s="71"/>
    </row>
    <row r="1617" spans="2:4" x14ac:dyDescent="0.15">
      <c r="B1617" s="69"/>
      <c r="C1617" s="70"/>
      <c r="D1617" s="71"/>
    </row>
    <row r="1618" spans="2:4" x14ac:dyDescent="0.15">
      <c r="B1618" s="69"/>
      <c r="C1618" s="70"/>
      <c r="D1618" s="71"/>
    </row>
    <row r="1619" spans="2:4" x14ac:dyDescent="0.15">
      <c r="B1619" s="69"/>
      <c r="C1619" s="70"/>
      <c r="D1619" s="71"/>
    </row>
    <row r="1620" spans="2:4" x14ac:dyDescent="0.15">
      <c r="B1620" s="69"/>
      <c r="C1620" s="70"/>
      <c r="D1620" s="71"/>
    </row>
    <row r="1621" spans="2:4" x14ac:dyDescent="0.15">
      <c r="B1621" s="69"/>
      <c r="C1621" s="70"/>
      <c r="D1621" s="71"/>
    </row>
    <row r="1622" spans="2:4" x14ac:dyDescent="0.15">
      <c r="B1622" s="69"/>
      <c r="C1622" s="70"/>
      <c r="D1622" s="71"/>
    </row>
    <row r="1623" spans="2:4" x14ac:dyDescent="0.15">
      <c r="B1623" s="69"/>
      <c r="C1623" s="70"/>
      <c r="D1623" s="71"/>
    </row>
    <row r="1624" spans="2:4" x14ac:dyDescent="0.15">
      <c r="B1624" s="69"/>
      <c r="C1624" s="70"/>
      <c r="D1624" s="71"/>
    </row>
    <row r="1625" spans="2:4" x14ac:dyDescent="0.15">
      <c r="B1625" s="69"/>
      <c r="C1625" s="70"/>
      <c r="D1625" s="71"/>
    </row>
    <row r="1626" spans="2:4" x14ac:dyDescent="0.15">
      <c r="B1626" s="69"/>
      <c r="C1626" s="70"/>
      <c r="D1626" s="71"/>
    </row>
    <row r="1627" spans="2:4" x14ac:dyDescent="0.15">
      <c r="B1627" s="69"/>
      <c r="C1627" s="70"/>
      <c r="D1627" s="71"/>
    </row>
    <row r="1628" spans="2:4" x14ac:dyDescent="0.15">
      <c r="B1628" s="69"/>
      <c r="C1628" s="70"/>
      <c r="D1628" s="71"/>
    </row>
    <row r="1629" spans="2:4" x14ac:dyDescent="0.15">
      <c r="B1629" s="69"/>
      <c r="C1629" s="70"/>
      <c r="D1629" s="71"/>
    </row>
    <row r="1630" spans="2:4" x14ac:dyDescent="0.15">
      <c r="B1630" s="69"/>
      <c r="C1630" s="70"/>
      <c r="D1630" s="71"/>
    </row>
    <row r="1631" spans="2:4" x14ac:dyDescent="0.15">
      <c r="B1631" s="69"/>
      <c r="C1631" s="70"/>
      <c r="D1631" s="71"/>
    </row>
    <row r="1632" spans="2:4" x14ac:dyDescent="0.15">
      <c r="B1632" s="69"/>
      <c r="C1632" s="70"/>
      <c r="D1632" s="71"/>
    </row>
    <row r="1633" spans="2:4" x14ac:dyDescent="0.15">
      <c r="B1633" s="69"/>
      <c r="C1633" s="70"/>
      <c r="D1633" s="71"/>
    </row>
    <row r="1634" spans="2:4" x14ac:dyDescent="0.15">
      <c r="B1634" s="69"/>
      <c r="C1634" s="70"/>
      <c r="D1634" s="71"/>
    </row>
    <row r="1635" spans="2:4" x14ac:dyDescent="0.15">
      <c r="B1635" s="69"/>
      <c r="C1635" s="70"/>
      <c r="D1635" s="71"/>
    </row>
    <row r="1636" spans="2:4" x14ac:dyDescent="0.15">
      <c r="B1636" s="69"/>
      <c r="C1636" s="70"/>
      <c r="D1636" s="71"/>
    </row>
    <row r="1637" spans="2:4" x14ac:dyDescent="0.15">
      <c r="B1637" s="69"/>
      <c r="C1637" s="70"/>
      <c r="D1637" s="71"/>
    </row>
    <row r="1638" spans="2:4" x14ac:dyDescent="0.15">
      <c r="B1638" s="69"/>
      <c r="C1638" s="70"/>
      <c r="D1638" s="71"/>
    </row>
    <row r="1639" spans="2:4" x14ac:dyDescent="0.15">
      <c r="B1639" s="69"/>
      <c r="C1639" s="70"/>
      <c r="D1639" s="71"/>
    </row>
    <row r="1640" spans="2:4" x14ac:dyDescent="0.15">
      <c r="B1640" s="69"/>
      <c r="C1640" s="70"/>
      <c r="D1640" s="71"/>
    </row>
    <row r="1641" spans="2:4" x14ac:dyDescent="0.15">
      <c r="B1641" s="69"/>
      <c r="C1641" s="70"/>
      <c r="D1641" s="71"/>
    </row>
    <row r="1642" spans="2:4" x14ac:dyDescent="0.15">
      <c r="B1642" s="69"/>
      <c r="C1642" s="70"/>
      <c r="D1642" s="71"/>
    </row>
    <row r="1643" spans="2:4" x14ac:dyDescent="0.15">
      <c r="B1643" s="69"/>
      <c r="C1643" s="70"/>
      <c r="D1643" s="71"/>
    </row>
    <row r="1644" spans="2:4" x14ac:dyDescent="0.15">
      <c r="B1644" s="69"/>
      <c r="C1644" s="70"/>
      <c r="D1644" s="71"/>
    </row>
    <row r="1645" spans="2:4" x14ac:dyDescent="0.15">
      <c r="B1645" s="69"/>
      <c r="C1645" s="70"/>
      <c r="D1645" s="71"/>
    </row>
    <row r="1646" spans="2:4" x14ac:dyDescent="0.15">
      <c r="B1646" s="69"/>
      <c r="C1646" s="70"/>
      <c r="D1646" s="71"/>
    </row>
    <row r="1647" spans="2:4" x14ac:dyDescent="0.15">
      <c r="B1647" s="69"/>
      <c r="C1647" s="70"/>
      <c r="D1647" s="71"/>
    </row>
    <row r="1648" spans="2:4" x14ac:dyDescent="0.15">
      <c r="B1648" s="69"/>
      <c r="C1648" s="70"/>
      <c r="D1648" s="71"/>
    </row>
    <row r="1649" spans="2:4" x14ac:dyDescent="0.15">
      <c r="B1649" s="69"/>
      <c r="C1649" s="70"/>
      <c r="D1649" s="71"/>
    </row>
    <row r="1650" spans="2:4" x14ac:dyDescent="0.15">
      <c r="B1650" s="69"/>
      <c r="C1650" s="70"/>
      <c r="D1650" s="71"/>
    </row>
    <row r="1651" spans="2:4" x14ac:dyDescent="0.15">
      <c r="B1651" s="69"/>
      <c r="C1651" s="70"/>
      <c r="D1651" s="71"/>
    </row>
    <row r="1652" spans="2:4" x14ac:dyDescent="0.15">
      <c r="B1652" s="69"/>
      <c r="C1652" s="70"/>
      <c r="D1652" s="71"/>
    </row>
    <row r="1653" spans="2:4" x14ac:dyDescent="0.15">
      <c r="B1653" s="69"/>
      <c r="C1653" s="70"/>
      <c r="D1653" s="71"/>
    </row>
    <row r="1654" spans="2:4" x14ac:dyDescent="0.15">
      <c r="B1654" s="69"/>
      <c r="C1654" s="70"/>
      <c r="D1654" s="71"/>
    </row>
    <row r="1655" spans="2:4" x14ac:dyDescent="0.15">
      <c r="B1655" s="69"/>
      <c r="C1655" s="70"/>
      <c r="D1655" s="71"/>
    </row>
    <row r="1656" spans="2:4" x14ac:dyDescent="0.15">
      <c r="B1656" s="69"/>
      <c r="C1656" s="70"/>
      <c r="D1656" s="71"/>
    </row>
    <row r="1657" spans="2:4" x14ac:dyDescent="0.15">
      <c r="B1657" s="69"/>
      <c r="C1657" s="70"/>
      <c r="D1657" s="71"/>
    </row>
    <row r="1658" spans="2:4" x14ac:dyDescent="0.15">
      <c r="B1658" s="69"/>
      <c r="C1658" s="70"/>
      <c r="D1658" s="71"/>
    </row>
    <row r="1659" spans="2:4" x14ac:dyDescent="0.15">
      <c r="B1659" s="69"/>
      <c r="C1659" s="70"/>
      <c r="D1659" s="71"/>
    </row>
    <row r="1660" spans="2:4" x14ac:dyDescent="0.15">
      <c r="B1660" s="69"/>
      <c r="C1660" s="70"/>
      <c r="D1660" s="71"/>
    </row>
    <row r="1661" spans="2:4" x14ac:dyDescent="0.15">
      <c r="B1661" s="69"/>
      <c r="C1661" s="70"/>
      <c r="D1661" s="71"/>
    </row>
    <row r="1662" spans="2:4" x14ac:dyDescent="0.15">
      <c r="B1662" s="69"/>
      <c r="C1662" s="70"/>
      <c r="D1662" s="71"/>
    </row>
    <row r="1663" spans="2:4" x14ac:dyDescent="0.15">
      <c r="B1663" s="69"/>
      <c r="C1663" s="70"/>
      <c r="D1663" s="71"/>
    </row>
    <row r="1664" spans="2:4" x14ac:dyDescent="0.15">
      <c r="B1664" s="69"/>
      <c r="C1664" s="70"/>
      <c r="D1664" s="71"/>
    </row>
    <row r="1665" spans="2:4" x14ac:dyDescent="0.15">
      <c r="B1665" s="69"/>
      <c r="C1665" s="70"/>
      <c r="D1665" s="71"/>
    </row>
    <row r="1666" spans="2:4" x14ac:dyDescent="0.15">
      <c r="B1666" s="69"/>
      <c r="C1666" s="70"/>
      <c r="D1666" s="71"/>
    </row>
    <row r="1667" spans="2:4" x14ac:dyDescent="0.15">
      <c r="B1667" s="69"/>
      <c r="C1667" s="70"/>
      <c r="D1667" s="71"/>
    </row>
    <row r="1668" spans="2:4" x14ac:dyDescent="0.15">
      <c r="B1668" s="69"/>
      <c r="C1668" s="70"/>
      <c r="D1668" s="71"/>
    </row>
    <row r="1669" spans="2:4" x14ac:dyDescent="0.15">
      <c r="B1669" s="69"/>
      <c r="C1669" s="70"/>
      <c r="D1669" s="71"/>
    </row>
    <row r="1670" spans="2:4" x14ac:dyDescent="0.15">
      <c r="B1670" s="69"/>
      <c r="C1670" s="70"/>
      <c r="D1670" s="71"/>
    </row>
    <row r="1671" spans="2:4" x14ac:dyDescent="0.15">
      <c r="B1671" s="69"/>
      <c r="C1671" s="70"/>
      <c r="D1671" s="71"/>
    </row>
    <row r="1672" spans="2:4" x14ac:dyDescent="0.15">
      <c r="B1672" s="69"/>
      <c r="C1672" s="70"/>
      <c r="D1672" s="71"/>
    </row>
    <row r="1673" spans="2:4" x14ac:dyDescent="0.15">
      <c r="B1673" s="69"/>
      <c r="C1673" s="70"/>
      <c r="D1673" s="71"/>
    </row>
    <row r="1674" spans="2:4" x14ac:dyDescent="0.15">
      <c r="B1674" s="69"/>
      <c r="C1674" s="70"/>
      <c r="D1674" s="71"/>
    </row>
    <row r="1675" spans="2:4" x14ac:dyDescent="0.15">
      <c r="B1675" s="69"/>
      <c r="C1675" s="70"/>
      <c r="D1675" s="71"/>
    </row>
    <row r="1676" spans="2:4" x14ac:dyDescent="0.15">
      <c r="B1676" s="69"/>
      <c r="C1676" s="70"/>
      <c r="D1676" s="71"/>
    </row>
    <row r="1677" spans="2:4" x14ac:dyDescent="0.15">
      <c r="B1677" s="69"/>
      <c r="C1677" s="70"/>
      <c r="D1677" s="71"/>
    </row>
    <row r="1678" spans="2:4" x14ac:dyDescent="0.15">
      <c r="B1678" s="69"/>
      <c r="C1678" s="70"/>
      <c r="D1678" s="71"/>
    </row>
    <row r="1679" spans="2:4" x14ac:dyDescent="0.15">
      <c r="B1679" s="69"/>
      <c r="C1679" s="70"/>
      <c r="D1679" s="71"/>
    </row>
    <row r="1680" spans="2:4" x14ac:dyDescent="0.15">
      <c r="B1680" s="69"/>
      <c r="C1680" s="70"/>
      <c r="D1680" s="71"/>
    </row>
    <row r="1681" spans="2:4" x14ac:dyDescent="0.15">
      <c r="B1681" s="69"/>
      <c r="C1681" s="70"/>
      <c r="D1681" s="71"/>
    </row>
    <row r="1682" spans="2:4" x14ac:dyDescent="0.15">
      <c r="B1682" s="69"/>
      <c r="C1682" s="70"/>
      <c r="D1682" s="71"/>
    </row>
    <row r="1683" spans="2:4" x14ac:dyDescent="0.15">
      <c r="B1683" s="69"/>
      <c r="C1683" s="70"/>
      <c r="D1683" s="71"/>
    </row>
    <row r="1684" spans="2:4" x14ac:dyDescent="0.15">
      <c r="B1684" s="69"/>
      <c r="C1684" s="70"/>
      <c r="D1684" s="71"/>
    </row>
    <row r="1685" spans="2:4" x14ac:dyDescent="0.15">
      <c r="B1685" s="69"/>
      <c r="C1685" s="70"/>
      <c r="D1685" s="71"/>
    </row>
    <row r="1686" spans="2:4" x14ac:dyDescent="0.15">
      <c r="B1686" s="69"/>
      <c r="C1686" s="70"/>
      <c r="D1686" s="71"/>
    </row>
    <row r="1687" spans="2:4" x14ac:dyDescent="0.15">
      <c r="B1687" s="69"/>
      <c r="C1687" s="70"/>
      <c r="D1687" s="71"/>
    </row>
    <row r="1688" spans="2:4" x14ac:dyDescent="0.15">
      <c r="B1688" s="69"/>
      <c r="C1688" s="70"/>
      <c r="D1688" s="71"/>
    </row>
    <row r="1689" spans="2:4" x14ac:dyDescent="0.15">
      <c r="B1689" s="69"/>
      <c r="C1689" s="70"/>
      <c r="D1689" s="71"/>
    </row>
    <row r="1690" spans="2:4" x14ac:dyDescent="0.15">
      <c r="B1690" s="69"/>
      <c r="C1690" s="70"/>
      <c r="D1690" s="71"/>
    </row>
    <row r="1691" spans="2:4" x14ac:dyDescent="0.15">
      <c r="B1691" s="69"/>
      <c r="C1691" s="70"/>
      <c r="D1691" s="71"/>
    </row>
    <row r="1692" spans="2:4" x14ac:dyDescent="0.15">
      <c r="B1692" s="69"/>
      <c r="C1692" s="70"/>
      <c r="D1692" s="71"/>
    </row>
    <row r="1693" spans="2:4" x14ac:dyDescent="0.15">
      <c r="B1693" s="69"/>
      <c r="C1693" s="70"/>
      <c r="D1693" s="71"/>
    </row>
    <row r="1694" spans="2:4" x14ac:dyDescent="0.15">
      <c r="B1694" s="69"/>
      <c r="C1694" s="70"/>
      <c r="D1694" s="71"/>
    </row>
    <row r="1695" spans="2:4" x14ac:dyDescent="0.15">
      <c r="B1695" s="69"/>
      <c r="C1695" s="70"/>
      <c r="D1695" s="71"/>
    </row>
    <row r="1696" spans="2:4" x14ac:dyDescent="0.15">
      <c r="B1696" s="69"/>
      <c r="C1696" s="70"/>
      <c r="D1696" s="71"/>
    </row>
    <row r="1697" spans="2:4" x14ac:dyDescent="0.15">
      <c r="B1697" s="69"/>
      <c r="C1697" s="70"/>
      <c r="D1697" s="71"/>
    </row>
    <row r="1698" spans="2:4" x14ac:dyDescent="0.15">
      <c r="B1698" s="69"/>
      <c r="C1698" s="70"/>
      <c r="D1698" s="71"/>
    </row>
    <row r="1699" spans="2:4" x14ac:dyDescent="0.15">
      <c r="B1699" s="69"/>
      <c r="C1699" s="70"/>
      <c r="D1699" s="71"/>
    </row>
    <row r="1700" spans="2:4" x14ac:dyDescent="0.15">
      <c r="B1700" s="69"/>
      <c r="C1700" s="70"/>
      <c r="D1700" s="71"/>
    </row>
    <row r="1701" spans="2:4" x14ac:dyDescent="0.15">
      <c r="B1701" s="69"/>
      <c r="C1701" s="70"/>
      <c r="D1701" s="71"/>
    </row>
    <row r="1702" spans="2:4" x14ac:dyDescent="0.15">
      <c r="B1702" s="69"/>
      <c r="C1702" s="70"/>
      <c r="D1702" s="71"/>
    </row>
    <row r="1703" spans="2:4" x14ac:dyDescent="0.15">
      <c r="B1703" s="69"/>
      <c r="C1703" s="70"/>
      <c r="D1703" s="71"/>
    </row>
    <row r="1704" spans="2:4" x14ac:dyDescent="0.15">
      <c r="B1704" s="69"/>
      <c r="C1704" s="70"/>
      <c r="D1704" s="71"/>
    </row>
    <row r="1705" spans="2:4" x14ac:dyDescent="0.15">
      <c r="B1705" s="69"/>
      <c r="C1705" s="70"/>
      <c r="D1705" s="71"/>
    </row>
    <row r="1706" spans="2:4" x14ac:dyDescent="0.15">
      <c r="B1706" s="69"/>
      <c r="C1706" s="70"/>
      <c r="D1706" s="71"/>
    </row>
    <row r="1707" spans="2:4" x14ac:dyDescent="0.15">
      <c r="B1707" s="69"/>
      <c r="C1707" s="70"/>
      <c r="D1707" s="71"/>
    </row>
    <row r="1708" spans="2:4" x14ac:dyDescent="0.15">
      <c r="B1708" s="69"/>
      <c r="C1708" s="70"/>
      <c r="D1708" s="71"/>
    </row>
    <row r="1709" spans="2:4" x14ac:dyDescent="0.15">
      <c r="B1709" s="69"/>
      <c r="C1709" s="70"/>
      <c r="D1709" s="71"/>
    </row>
    <row r="1710" spans="2:4" x14ac:dyDescent="0.15">
      <c r="B1710" s="69"/>
      <c r="C1710" s="70"/>
      <c r="D1710" s="71"/>
    </row>
    <row r="1711" spans="2:4" x14ac:dyDescent="0.15">
      <c r="B1711" s="69"/>
      <c r="C1711" s="70"/>
      <c r="D1711" s="71"/>
    </row>
    <row r="1712" spans="2:4" x14ac:dyDescent="0.15">
      <c r="B1712" s="69"/>
      <c r="C1712" s="70"/>
      <c r="D1712" s="71"/>
    </row>
    <row r="1713" spans="2:4" x14ac:dyDescent="0.15">
      <c r="B1713" s="69"/>
      <c r="C1713" s="70"/>
      <c r="D1713" s="71"/>
    </row>
    <row r="1714" spans="2:4" x14ac:dyDescent="0.15">
      <c r="B1714" s="69"/>
      <c r="C1714" s="70"/>
      <c r="D1714" s="71"/>
    </row>
    <row r="1715" spans="2:4" x14ac:dyDescent="0.15">
      <c r="B1715" s="69"/>
      <c r="C1715" s="70"/>
      <c r="D1715" s="71"/>
    </row>
    <row r="1716" spans="2:4" x14ac:dyDescent="0.15">
      <c r="B1716" s="69"/>
      <c r="C1716" s="70"/>
      <c r="D1716" s="71"/>
    </row>
    <row r="1717" spans="2:4" x14ac:dyDescent="0.15">
      <c r="B1717" s="69"/>
      <c r="C1717" s="70"/>
      <c r="D1717" s="71"/>
    </row>
    <row r="1718" spans="2:4" x14ac:dyDescent="0.15">
      <c r="B1718" s="69"/>
      <c r="C1718" s="70"/>
      <c r="D1718" s="71"/>
    </row>
    <row r="1719" spans="2:4" x14ac:dyDescent="0.15">
      <c r="B1719" s="69"/>
      <c r="C1719" s="70"/>
      <c r="D1719" s="71"/>
    </row>
    <row r="1720" spans="2:4" x14ac:dyDescent="0.15">
      <c r="B1720" s="69"/>
      <c r="C1720" s="70"/>
      <c r="D1720" s="71"/>
    </row>
    <row r="1721" spans="2:4" x14ac:dyDescent="0.15">
      <c r="B1721" s="69"/>
      <c r="C1721" s="70"/>
      <c r="D1721" s="71"/>
    </row>
    <row r="1722" spans="2:4" x14ac:dyDescent="0.15">
      <c r="B1722" s="69"/>
      <c r="C1722" s="70"/>
      <c r="D1722" s="71"/>
    </row>
    <row r="1723" spans="2:4" x14ac:dyDescent="0.15">
      <c r="B1723" s="69"/>
      <c r="C1723" s="70"/>
      <c r="D1723" s="71"/>
    </row>
    <row r="1724" spans="2:4" x14ac:dyDescent="0.15">
      <c r="B1724" s="69"/>
      <c r="C1724" s="70"/>
      <c r="D1724" s="71"/>
    </row>
    <row r="1725" spans="2:4" x14ac:dyDescent="0.15">
      <c r="B1725" s="69"/>
      <c r="C1725" s="70"/>
      <c r="D1725" s="71"/>
    </row>
    <row r="1726" spans="2:4" x14ac:dyDescent="0.15">
      <c r="B1726" s="69"/>
      <c r="C1726" s="70"/>
      <c r="D1726" s="71"/>
    </row>
    <row r="1727" spans="2:4" x14ac:dyDescent="0.15">
      <c r="B1727" s="69"/>
      <c r="C1727" s="70"/>
      <c r="D1727" s="71"/>
    </row>
    <row r="1728" spans="2:4" x14ac:dyDescent="0.15">
      <c r="B1728" s="69"/>
      <c r="C1728" s="70"/>
      <c r="D1728" s="71"/>
    </row>
    <row r="1729" spans="2:4" x14ac:dyDescent="0.15">
      <c r="B1729" s="69"/>
      <c r="C1729" s="70"/>
      <c r="D1729" s="71"/>
    </row>
    <row r="1730" spans="2:4" x14ac:dyDescent="0.15">
      <c r="B1730" s="69"/>
      <c r="C1730" s="70"/>
      <c r="D1730" s="71"/>
    </row>
    <row r="1731" spans="2:4" x14ac:dyDescent="0.15">
      <c r="B1731" s="69"/>
      <c r="C1731" s="70"/>
      <c r="D1731" s="71"/>
    </row>
    <row r="1732" spans="2:4" x14ac:dyDescent="0.15">
      <c r="B1732" s="69"/>
      <c r="C1732" s="70"/>
      <c r="D1732" s="71"/>
    </row>
    <row r="1733" spans="2:4" x14ac:dyDescent="0.15">
      <c r="B1733" s="69"/>
      <c r="C1733" s="70"/>
      <c r="D1733" s="71"/>
    </row>
    <row r="1734" spans="2:4" x14ac:dyDescent="0.15">
      <c r="B1734" s="69"/>
      <c r="C1734" s="70"/>
      <c r="D1734" s="71"/>
    </row>
    <row r="1735" spans="2:4" x14ac:dyDescent="0.15">
      <c r="B1735" s="69"/>
      <c r="C1735" s="70"/>
      <c r="D1735" s="71"/>
    </row>
    <row r="1736" spans="2:4" x14ac:dyDescent="0.15">
      <c r="B1736" s="69"/>
      <c r="C1736" s="70"/>
      <c r="D1736" s="71"/>
    </row>
    <row r="1737" spans="2:4" x14ac:dyDescent="0.15">
      <c r="B1737" s="69"/>
      <c r="C1737" s="70"/>
      <c r="D1737" s="71"/>
    </row>
    <row r="1738" spans="2:4" x14ac:dyDescent="0.15">
      <c r="B1738" s="69"/>
      <c r="C1738" s="70"/>
      <c r="D1738" s="71"/>
    </row>
    <row r="1739" spans="2:4" x14ac:dyDescent="0.15">
      <c r="B1739" s="69"/>
      <c r="C1739" s="70"/>
      <c r="D1739" s="71"/>
    </row>
    <row r="1740" spans="2:4" x14ac:dyDescent="0.15">
      <c r="B1740" s="69"/>
      <c r="C1740" s="70"/>
      <c r="D1740" s="71"/>
    </row>
    <row r="1741" spans="2:4" x14ac:dyDescent="0.15">
      <c r="B1741" s="69"/>
      <c r="C1741" s="70"/>
      <c r="D1741" s="71"/>
    </row>
    <row r="1742" spans="2:4" x14ac:dyDescent="0.15">
      <c r="B1742" s="69"/>
      <c r="C1742" s="70"/>
      <c r="D1742" s="71"/>
    </row>
    <row r="1743" spans="2:4" x14ac:dyDescent="0.15">
      <c r="B1743" s="69"/>
      <c r="C1743" s="70"/>
      <c r="D1743" s="71"/>
    </row>
    <row r="1744" spans="2:4" x14ac:dyDescent="0.15">
      <c r="B1744" s="69"/>
      <c r="C1744" s="70"/>
      <c r="D1744" s="71"/>
    </row>
    <row r="1745" spans="2:4" x14ac:dyDescent="0.15">
      <c r="B1745" s="69"/>
      <c r="C1745" s="70"/>
      <c r="D1745" s="71"/>
    </row>
    <row r="1746" spans="2:4" x14ac:dyDescent="0.15">
      <c r="B1746" s="69"/>
      <c r="C1746" s="70"/>
      <c r="D1746" s="71"/>
    </row>
    <row r="1747" spans="2:4" x14ac:dyDescent="0.15">
      <c r="B1747" s="69"/>
      <c r="C1747" s="70"/>
      <c r="D1747" s="71"/>
    </row>
    <row r="1748" spans="2:4" x14ac:dyDescent="0.15">
      <c r="B1748" s="69"/>
      <c r="C1748" s="70"/>
      <c r="D1748" s="71"/>
    </row>
    <row r="1749" spans="2:4" x14ac:dyDescent="0.15">
      <c r="B1749" s="69"/>
      <c r="C1749" s="70"/>
      <c r="D1749" s="71"/>
    </row>
    <row r="1750" spans="2:4" x14ac:dyDescent="0.15">
      <c r="B1750" s="69"/>
      <c r="C1750" s="70"/>
      <c r="D1750" s="71"/>
    </row>
    <row r="1751" spans="2:4" x14ac:dyDescent="0.15">
      <c r="B1751" s="69"/>
      <c r="C1751" s="70"/>
      <c r="D1751" s="71"/>
    </row>
    <row r="1752" spans="2:4" x14ac:dyDescent="0.15">
      <c r="B1752" s="69"/>
      <c r="C1752" s="70"/>
      <c r="D1752" s="71"/>
    </row>
    <row r="1753" spans="2:4" x14ac:dyDescent="0.15">
      <c r="B1753" s="69"/>
      <c r="C1753" s="70"/>
      <c r="D1753" s="71"/>
    </row>
    <row r="1754" spans="2:4" x14ac:dyDescent="0.15">
      <c r="B1754" s="69"/>
      <c r="C1754" s="70"/>
      <c r="D1754" s="71"/>
    </row>
    <row r="1755" spans="2:4" x14ac:dyDescent="0.15">
      <c r="B1755" s="69"/>
      <c r="C1755" s="70"/>
      <c r="D1755" s="71"/>
    </row>
    <row r="1756" spans="2:4" x14ac:dyDescent="0.15">
      <c r="B1756" s="69"/>
      <c r="C1756" s="70"/>
      <c r="D1756" s="71"/>
    </row>
    <row r="1757" spans="2:4" x14ac:dyDescent="0.15">
      <c r="B1757" s="69"/>
      <c r="C1757" s="70"/>
      <c r="D1757" s="71"/>
    </row>
    <row r="1758" spans="2:4" x14ac:dyDescent="0.15">
      <c r="B1758" s="69"/>
      <c r="C1758" s="70"/>
      <c r="D1758" s="71"/>
    </row>
    <row r="1759" spans="2:4" x14ac:dyDescent="0.15">
      <c r="B1759" s="69"/>
      <c r="C1759" s="70"/>
      <c r="D1759" s="71"/>
    </row>
    <row r="1760" spans="2:4" x14ac:dyDescent="0.15">
      <c r="B1760" s="69"/>
      <c r="C1760" s="70"/>
      <c r="D1760" s="71"/>
    </row>
    <row r="1761" spans="2:4" x14ac:dyDescent="0.15">
      <c r="B1761" s="69"/>
      <c r="C1761" s="70"/>
      <c r="D1761" s="71"/>
    </row>
    <row r="1762" spans="2:4" x14ac:dyDescent="0.15">
      <c r="B1762" s="69"/>
      <c r="C1762" s="70"/>
      <c r="D1762" s="71"/>
    </row>
    <row r="1763" spans="2:4" x14ac:dyDescent="0.15">
      <c r="B1763" s="69"/>
      <c r="C1763" s="70"/>
      <c r="D1763" s="71"/>
    </row>
    <row r="1764" spans="2:4" x14ac:dyDescent="0.15">
      <c r="B1764" s="69"/>
      <c r="C1764" s="70"/>
      <c r="D1764" s="71"/>
    </row>
    <row r="1765" spans="2:4" x14ac:dyDescent="0.15">
      <c r="B1765" s="69"/>
      <c r="C1765" s="70"/>
      <c r="D1765" s="71"/>
    </row>
    <row r="1766" spans="2:4" x14ac:dyDescent="0.15">
      <c r="B1766" s="69"/>
      <c r="C1766" s="70"/>
      <c r="D1766" s="71"/>
    </row>
    <row r="1767" spans="2:4" x14ac:dyDescent="0.15">
      <c r="B1767" s="69"/>
      <c r="C1767" s="70"/>
      <c r="D1767" s="71"/>
    </row>
    <row r="1768" spans="2:4" x14ac:dyDescent="0.15">
      <c r="B1768" s="69"/>
      <c r="C1768" s="70"/>
      <c r="D1768" s="71"/>
    </row>
    <row r="1769" spans="2:4" x14ac:dyDescent="0.15">
      <c r="B1769" s="69"/>
      <c r="C1769" s="70"/>
      <c r="D1769" s="71"/>
    </row>
    <row r="1770" spans="2:4" x14ac:dyDescent="0.15">
      <c r="B1770" s="69"/>
      <c r="C1770" s="70"/>
      <c r="D1770" s="71"/>
    </row>
    <row r="1771" spans="2:4" x14ac:dyDescent="0.15">
      <c r="B1771" s="69"/>
      <c r="C1771" s="70"/>
      <c r="D1771" s="71"/>
    </row>
    <row r="1772" spans="2:4" x14ac:dyDescent="0.15">
      <c r="B1772" s="69"/>
      <c r="C1772" s="70"/>
      <c r="D1772" s="71"/>
    </row>
    <row r="1773" spans="2:4" x14ac:dyDescent="0.15">
      <c r="B1773" s="69"/>
      <c r="C1773" s="70"/>
      <c r="D1773" s="71"/>
    </row>
    <row r="1774" spans="2:4" x14ac:dyDescent="0.15">
      <c r="B1774" s="69"/>
      <c r="C1774" s="70"/>
      <c r="D1774" s="71"/>
    </row>
    <row r="1775" spans="2:4" x14ac:dyDescent="0.15">
      <c r="B1775" s="69"/>
      <c r="C1775" s="70"/>
      <c r="D1775" s="71"/>
    </row>
    <row r="1776" spans="2:4" x14ac:dyDescent="0.15">
      <c r="B1776" s="69"/>
      <c r="C1776" s="70"/>
      <c r="D1776" s="71"/>
    </row>
    <row r="1777" spans="2:4" x14ac:dyDescent="0.15">
      <c r="B1777" s="69"/>
      <c r="C1777" s="70"/>
      <c r="D1777" s="71"/>
    </row>
    <row r="1778" spans="2:4" x14ac:dyDescent="0.15">
      <c r="B1778" s="69"/>
      <c r="C1778" s="70"/>
      <c r="D1778" s="71"/>
    </row>
    <row r="1779" spans="2:4" x14ac:dyDescent="0.15">
      <c r="B1779" s="69"/>
      <c r="C1779" s="70"/>
      <c r="D1779" s="71"/>
    </row>
    <row r="1780" spans="2:4" x14ac:dyDescent="0.15">
      <c r="B1780" s="69"/>
      <c r="C1780" s="70"/>
      <c r="D1780" s="71"/>
    </row>
    <row r="1781" spans="2:4" x14ac:dyDescent="0.15">
      <c r="B1781" s="69"/>
      <c r="C1781" s="70"/>
      <c r="D1781" s="71"/>
    </row>
    <row r="1782" spans="2:4" x14ac:dyDescent="0.15">
      <c r="B1782" s="69"/>
      <c r="C1782" s="70"/>
      <c r="D1782" s="71"/>
    </row>
    <row r="1783" spans="2:4" x14ac:dyDescent="0.15">
      <c r="B1783" s="69"/>
      <c r="C1783" s="70"/>
      <c r="D1783" s="71"/>
    </row>
    <row r="1784" spans="2:4" x14ac:dyDescent="0.15">
      <c r="B1784" s="69"/>
      <c r="C1784" s="70"/>
      <c r="D1784" s="71"/>
    </row>
    <row r="1785" spans="2:4" x14ac:dyDescent="0.15">
      <c r="B1785" s="69"/>
      <c r="C1785" s="70"/>
      <c r="D1785" s="71"/>
    </row>
    <row r="1786" spans="2:4" x14ac:dyDescent="0.15">
      <c r="B1786" s="69"/>
      <c r="C1786" s="70"/>
      <c r="D1786" s="71"/>
    </row>
    <row r="1787" spans="2:4" x14ac:dyDescent="0.15">
      <c r="B1787" s="69"/>
      <c r="C1787" s="70"/>
      <c r="D1787" s="71"/>
    </row>
    <row r="1788" spans="2:4" x14ac:dyDescent="0.15">
      <c r="B1788" s="69"/>
      <c r="C1788" s="70"/>
      <c r="D1788" s="71"/>
    </row>
    <row r="1789" spans="2:4" x14ac:dyDescent="0.15">
      <c r="B1789" s="69"/>
      <c r="C1789" s="70"/>
      <c r="D1789" s="71"/>
    </row>
    <row r="1790" spans="2:4" x14ac:dyDescent="0.15">
      <c r="B1790" s="69"/>
      <c r="C1790" s="70"/>
      <c r="D1790" s="71"/>
    </row>
    <row r="1791" spans="2:4" x14ac:dyDescent="0.15">
      <c r="B1791" s="69"/>
      <c r="C1791" s="70"/>
      <c r="D1791" s="71"/>
    </row>
    <row r="1792" spans="2:4" x14ac:dyDescent="0.15">
      <c r="B1792" s="69"/>
      <c r="C1792" s="70"/>
      <c r="D1792" s="71"/>
    </row>
    <row r="1793" spans="2:4" x14ac:dyDescent="0.15">
      <c r="B1793" s="69"/>
      <c r="C1793" s="70"/>
      <c r="D1793" s="71"/>
    </row>
    <row r="1794" spans="2:4" x14ac:dyDescent="0.15">
      <c r="B1794" s="69"/>
      <c r="C1794" s="70"/>
      <c r="D1794" s="71"/>
    </row>
    <row r="1795" spans="2:4" x14ac:dyDescent="0.15">
      <c r="B1795" s="69"/>
      <c r="C1795" s="70"/>
      <c r="D1795" s="71"/>
    </row>
    <row r="1796" spans="2:4" x14ac:dyDescent="0.15">
      <c r="B1796" s="69"/>
      <c r="C1796" s="70"/>
      <c r="D1796" s="71"/>
    </row>
    <row r="1797" spans="2:4" x14ac:dyDescent="0.15">
      <c r="B1797" s="69"/>
      <c r="C1797" s="70"/>
      <c r="D1797" s="71"/>
    </row>
    <row r="1798" spans="2:4" x14ac:dyDescent="0.15">
      <c r="B1798" s="69"/>
      <c r="C1798" s="70"/>
      <c r="D1798" s="71"/>
    </row>
    <row r="1799" spans="2:4" x14ac:dyDescent="0.15">
      <c r="B1799" s="69"/>
      <c r="C1799" s="70"/>
      <c r="D1799" s="71"/>
    </row>
    <row r="1800" spans="2:4" x14ac:dyDescent="0.15">
      <c r="B1800" s="69"/>
      <c r="C1800" s="70"/>
      <c r="D1800" s="71"/>
    </row>
    <row r="1801" spans="2:4" x14ac:dyDescent="0.15">
      <c r="B1801" s="69"/>
      <c r="C1801" s="70"/>
      <c r="D1801" s="71"/>
    </row>
    <row r="1802" spans="2:4" x14ac:dyDescent="0.15">
      <c r="B1802" s="69"/>
      <c r="C1802" s="70"/>
      <c r="D1802" s="71"/>
    </row>
    <row r="1803" spans="2:4" x14ac:dyDescent="0.15">
      <c r="B1803" s="69"/>
      <c r="C1803" s="70"/>
      <c r="D1803" s="71"/>
    </row>
    <row r="1804" spans="2:4" x14ac:dyDescent="0.15">
      <c r="B1804" s="69"/>
      <c r="C1804" s="70"/>
      <c r="D1804" s="71"/>
    </row>
    <row r="1805" spans="2:4" x14ac:dyDescent="0.15">
      <c r="B1805" s="69"/>
      <c r="C1805" s="70"/>
      <c r="D1805" s="71"/>
    </row>
    <row r="1806" spans="2:4" x14ac:dyDescent="0.15">
      <c r="B1806" s="69"/>
      <c r="C1806" s="70"/>
      <c r="D1806" s="71"/>
    </row>
    <row r="1807" spans="2:4" x14ac:dyDescent="0.15">
      <c r="B1807" s="69"/>
      <c r="C1807" s="70"/>
      <c r="D1807" s="71"/>
    </row>
    <row r="1808" spans="2:4" x14ac:dyDescent="0.15">
      <c r="B1808" s="69"/>
      <c r="C1808" s="70"/>
      <c r="D1808" s="71"/>
    </row>
    <row r="1809" spans="2:4" x14ac:dyDescent="0.15">
      <c r="B1809" s="69"/>
      <c r="C1809" s="70"/>
      <c r="D1809" s="71"/>
    </row>
    <row r="1810" spans="2:4" x14ac:dyDescent="0.15">
      <c r="B1810" s="69"/>
      <c r="C1810" s="70"/>
      <c r="D1810" s="71"/>
    </row>
    <row r="1811" spans="2:4" x14ac:dyDescent="0.15">
      <c r="B1811" s="69"/>
      <c r="C1811" s="70"/>
      <c r="D1811" s="71"/>
    </row>
    <row r="1812" spans="2:4" x14ac:dyDescent="0.15">
      <c r="B1812" s="69"/>
      <c r="C1812" s="70"/>
      <c r="D1812" s="71"/>
    </row>
    <row r="1813" spans="2:4" x14ac:dyDescent="0.15">
      <c r="B1813" s="69"/>
      <c r="C1813" s="70"/>
      <c r="D1813" s="71"/>
    </row>
    <row r="1814" spans="2:4" x14ac:dyDescent="0.15">
      <c r="B1814" s="69"/>
      <c r="C1814" s="70"/>
      <c r="D1814" s="71"/>
    </row>
    <row r="1815" spans="2:4" x14ac:dyDescent="0.15">
      <c r="B1815" s="69"/>
      <c r="C1815" s="70"/>
      <c r="D1815" s="71"/>
    </row>
    <row r="1816" spans="2:4" x14ac:dyDescent="0.15">
      <c r="B1816" s="69"/>
      <c r="C1816" s="70"/>
      <c r="D1816" s="71"/>
    </row>
    <row r="1817" spans="2:4" x14ac:dyDescent="0.15">
      <c r="B1817" s="69"/>
      <c r="C1817" s="70"/>
      <c r="D1817" s="71"/>
    </row>
    <row r="1818" spans="2:4" x14ac:dyDescent="0.15">
      <c r="B1818" s="69"/>
      <c r="C1818" s="70"/>
      <c r="D1818" s="71"/>
    </row>
    <row r="1819" spans="2:4" x14ac:dyDescent="0.15">
      <c r="B1819" s="69"/>
      <c r="C1819" s="70"/>
      <c r="D1819" s="71"/>
    </row>
    <row r="1820" spans="2:4" x14ac:dyDescent="0.15">
      <c r="B1820" s="69"/>
      <c r="C1820" s="70"/>
      <c r="D1820" s="71"/>
    </row>
    <row r="1821" spans="2:4" x14ac:dyDescent="0.15">
      <c r="B1821" s="69"/>
      <c r="C1821" s="70"/>
      <c r="D1821" s="71"/>
    </row>
    <row r="1822" spans="2:4" x14ac:dyDescent="0.15">
      <c r="B1822" s="69"/>
      <c r="C1822" s="70"/>
      <c r="D1822" s="71"/>
    </row>
    <row r="1823" spans="2:4" x14ac:dyDescent="0.15">
      <c r="B1823" s="69"/>
      <c r="C1823" s="70"/>
      <c r="D1823" s="71"/>
    </row>
    <row r="1824" spans="2:4" x14ac:dyDescent="0.15">
      <c r="B1824" s="69"/>
      <c r="C1824" s="70"/>
      <c r="D1824" s="71"/>
    </row>
    <row r="1825" spans="2:4" x14ac:dyDescent="0.15">
      <c r="B1825" s="69"/>
      <c r="C1825" s="70"/>
      <c r="D1825" s="71"/>
    </row>
    <row r="1826" spans="2:4" x14ac:dyDescent="0.15">
      <c r="B1826" s="69"/>
      <c r="C1826" s="70"/>
      <c r="D1826" s="71"/>
    </row>
    <row r="1827" spans="2:4" x14ac:dyDescent="0.15">
      <c r="B1827" s="69"/>
      <c r="C1827" s="70"/>
      <c r="D1827" s="71"/>
    </row>
    <row r="1828" spans="2:4" x14ac:dyDescent="0.15">
      <c r="B1828" s="69"/>
      <c r="C1828" s="70"/>
      <c r="D1828" s="71"/>
    </row>
    <row r="1829" spans="2:4" x14ac:dyDescent="0.15">
      <c r="B1829" s="69"/>
      <c r="C1829" s="70"/>
      <c r="D1829" s="71"/>
    </row>
    <row r="1830" spans="2:4" x14ac:dyDescent="0.15">
      <c r="B1830" s="69"/>
      <c r="C1830" s="70"/>
      <c r="D1830" s="71"/>
    </row>
    <row r="1831" spans="2:4" x14ac:dyDescent="0.15">
      <c r="B1831" s="69"/>
      <c r="C1831" s="70"/>
      <c r="D1831" s="71"/>
    </row>
    <row r="1832" spans="2:4" x14ac:dyDescent="0.15">
      <c r="B1832" s="69"/>
      <c r="C1832" s="70"/>
      <c r="D1832" s="71"/>
    </row>
    <row r="1833" spans="2:4" x14ac:dyDescent="0.15">
      <c r="B1833" s="69"/>
      <c r="C1833" s="70"/>
      <c r="D1833" s="71"/>
    </row>
    <row r="1834" spans="2:4" x14ac:dyDescent="0.15">
      <c r="B1834" s="69"/>
      <c r="C1834" s="70"/>
      <c r="D1834" s="71"/>
    </row>
    <row r="1835" spans="2:4" x14ac:dyDescent="0.15">
      <c r="B1835" s="69"/>
      <c r="C1835" s="70"/>
      <c r="D1835" s="71"/>
    </row>
    <row r="1836" spans="2:4" x14ac:dyDescent="0.15">
      <c r="B1836" s="69"/>
      <c r="C1836" s="70"/>
      <c r="D1836" s="71"/>
    </row>
    <row r="1837" spans="2:4" x14ac:dyDescent="0.15">
      <c r="B1837" s="69"/>
      <c r="C1837" s="70"/>
      <c r="D1837" s="71"/>
    </row>
    <row r="1838" spans="2:4" x14ac:dyDescent="0.15">
      <c r="B1838" s="69"/>
      <c r="C1838" s="70"/>
      <c r="D1838" s="71"/>
    </row>
    <row r="1839" spans="2:4" x14ac:dyDescent="0.15">
      <c r="B1839" s="69"/>
      <c r="C1839" s="70"/>
      <c r="D1839" s="71"/>
    </row>
    <row r="1840" spans="2:4" x14ac:dyDescent="0.15">
      <c r="B1840" s="69"/>
      <c r="C1840" s="70"/>
      <c r="D1840" s="71"/>
    </row>
    <row r="1841" spans="2:4" x14ac:dyDescent="0.15">
      <c r="B1841" s="69"/>
      <c r="C1841" s="70"/>
      <c r="D1841" s="71"/>
    </row>
    <row r="1842" spans="2:4" x14ac:dyDescent="0.15">
      <c r="B1842" s="69"/>
      <c r="C1842" s="70"/>
      <c r="D1842" s="71"/>
    </row>
    <row r="1843" spans="2:4" x14ac:dyDescent="0.15">
      <c r="B1843" s="69"/>
      <c r="C1843" s="70"/>
      <c r="D1843" s="71"/>
    </row>
    <row r="1844" spans="2:4" x14ac:dyDescent="0.15">
      <c r="B1844" s="69"/>
      <c r="C1844" s="70"/>
      <c r="D1844" s="71"/>
    </row>
    <row r="1845" spans="2:4" x14ac:dyDescent="0.15">
      <c r="B1845" s="69"/>
      <c r="C1845" s="70"/>
      <c r="D1845" s="71"/>
    </row>
    <row r="1846" spans="2:4" x14ac:dyDescent="0.15">
      <c r="B1846" s="69"/>
      <c r="C1846" s="70"/>
      <c r="D1846" s="71"/>
    </row>
    <row r="1847" spans="2:4" x14ac:dyDescent="0.15">
      <c r="B1847" s="69"/>
      <c r="C1847" s="70"/>
      <c r="D1847" s="71"/>
    </row>
    <row r="1848" spans="2:4" x14ac:dyDescent="0.15">
      <c r="B1848" s="69"/>
      <c r="C1848" s="70"/>
      <c r="D1848" s="71"/>
    </row>
    <row r="1849" spans="2:4" x14ac:dyDescent="0.15">
      <c r="B1849" s="69"/>
      <c r="C1849" s="70"/>
      <c r="D1849" s="71"/>
    </row>
    <row r="1850" spans="2:4" x14ac:dyDescent="0.15">
      <c r="B1850" s="69"/>
      <c r="C1850" s="70"/>
      <c r="D1850" s="71"/>
    </row>
    <row r="1851" spans="2:4" x14ac:dyDescent="0.15">
      <c r="B1851" s="69"/>
      <c r="C1851" s="70"/>
      <c r="D1851" s="71"/>
    </row>
    <row r="1852" spans="2:4" x14ac:dyDescent="0.15">
      <c r="B1852" s="69"/>
      <c r="C1852" s="70"/>
      <c r="D1852" s="71"/>
    </row>
    <row r="1853" spans="2:4" x14ac:dyDescent="0.15">
      <c r="B1853" s="69"/>
      <c r="C1853" s="70"/>
      <c r="D1853" s="71"/>
    </row>
    <row r="1854" spans="2:4" x14ac:dyDescent="0.15">
      <c r="B1854" s="69"/>
      <c r="C1854" s="70"/>
      <c r="D1854" s="71"/>
    </row>
    <row r="1855" spans="2:4" x14ac:dyDescent="0.15">
      <c r="B1855" s="69"/>
      <c r="C1855" s="70"/>
      <c r="D1855" s="71"/>
    </row>
    <row r="1856" spans="2:4" x14ac:dyDescent="0.15">
      <c r="B1856" s="69"/>
      <c r="C1856" s="70"/>
      <c r="D1856" s="71"/>
    </row>
    <row r="1857" spans="2:4" x14ac:dyDescent="0.15">
      <c r="B1857" s="69"/>
      <c r="C1857" s="70"/>
      <c r="D1857" s="71"/>
    </row>
    <row r="1858" spans="2:4" x14ac:dyDescent="0.15">
      <c r="B1858" s="69"/>
      <c r="C1858" s="70"/>
      <c r="D1858" s="71"/>
    </row>
    <row r="1859" spans="2:4" x14ac:dyDescent="0.15">
      <c r="B1859" s="69"/>
      <c r="C1859" s="70"/>
      <c r="D1859" s="71"/>
    </row>
    <row r="1860" spans="2:4" x14ac:dyDescent="0.15">
      <c r="B1860" s="69"/>
      <c r="C1860" s="70"/>
      <c r="D1860" s="71"/>
    </row>
    <row r="1861" spans="2:4" x14ac:dyDescent="0.15">
      <c r="B1861" s="69"/>
      <c r="C1861" s="70"/>
      <c r="D1861" s="71"/>
    </row>
    <row r="1862" spans="2:4" x14ac:dyDescent="0.15">
      <c r="B1862" s="69"/>
      <c r="C1862" s="70"/>
      <c r="D1862" s="71"/>
    </row>
    <row r="1863" spans="2:4" x14ac:dyDescent="0.15">
      <c r="B1863" s="69"/>
      <c r="C1863" s="70"/>
      <c r="D1863" s="71"/>
    </row>
    <row r="1864" spans="2:4" x14ac:dyDescent="0.15">
      <c r="B1864" s="69"/>
      <c r="C1864" s="70"/>
      <c r="D1864" s="71"/>
    </row>
    <row r="1865" spans="2:4" x14ac:dyDescent="0.15">
      <c r="B1865" s="69"/>
      <c r="C1865" s="70"/>
      <c r="D1865" s="71"/>
    </row>
    <row r="1866" spans="2:4" x14ac:dyDescent="0.15">
      <c r="B1866" s="69"/>
      <c r="C1866" s="70"/>
      <c r="D1866" s="71"/>
    </row>
    <row r="1867" spans="2:4" x14ac:dyDescent="0.15">
      <c r="B1867" s="69"/>
      <c r="C1867" s="70"/>
      <c r="D1867" s="71"/>
    </row>
    <row r="1868" spans="2:4" x14ac:dyDescent="0.15">
      <c r="B1868" s="69"/>
      <c r="C1868" s="70"/>
      <c r="D1868" s="71"/>
    </row>
    <row r="1869" spans="2:4" x14ac:dyDescent="0.15">
      <c r="B1869" s="69"/>
      <c r="C1869" s="70"/>
      <c r="D1869" s="71"/>
    </row>
    <row r="1870" spans="2:4" x14ac:dyDescent="0.15">
      <c r="B1870" s="69"/>
      <c r="C1870" s="70"/>
      <c r="D1870" s="71"/>
    </row>
    <row r="1871" spans="2:4" x14ac:dyDescent="0.15">
      <c r="B1871" s="69"/>
      <c r="C1871" s="70"/>
      <c r="D1871" s="71"/>
    </row>
    <row r="1872" spans="2:4" x14ac:dyDescent="0.15">
      <c r="B1872" s="69"/>
      <c r="C1872" s="70"/>
      <c r="D1872" s="71"/>
    </row>
    <row r="1873" spans="2:4" x14ac:dyDescent="0.15">
      <c r="B1873" s="69"/>
      <c r="C1873" s="70"/>
      <c r="D1873" s="71"/>
    </row>
    <row r="1874" spans="2:4" x14ac:dyDescent="0.15">
      <c r="B1874" s="69"/>
      <c r="C1874" s="70"/>
      <c r="D1874" s="71"/>
    </row>
    <row r="1875" spans="2:4" x14ac:dyDescent="0.15">
      <c r="B1875" s="69"/>
      <c r="C1875" s="70"/>
      <c r="D1875" s="71"/>
    </row>
    <row r="1876" spans="2:4" x14ac:dyDescent="0.15">
      <c r="B1876" s="69"/>
      <c r="C1876" s="70"/>
      <c r="D1876" s="71"/>
    </row>
    <row r="1877" spans="2:4" x14ac:dyDescent="0.15">
      <c r="B1877" s="69"/>
      <c r="C1877" s="70"/>
      <c r="D1877" s="71"/>
    </row>
    <row r="1878" spans="2:4" x14ac:dyDescent="0.15">
      <c r="B1878" s="69"/>
      <c r="C1878" s="70"/>
      <c r="D1878" s="71"/>
    </row>
    <row r="1879" spans="2:4" x14ac:dyDescent="0.15">
      <c r="B1879" s="69"/>
      <c r="C1879" s="70"/>
      <c r="D1879" s="71"/>
    </row>
    <row r="1880" spans="2:4" x14ac:dyDescent="0.15">
      <c r="B1880" s="69"/>
      <c r="C1880" s="70"/>
      <c r="D1880" s="71"/>
    </row>
    <row r="1881" spans="2:4" x14ac:dyDescent="0.15">
      <c r="B1881" s="69"/>
      <c r="C1881" s="70"/>
      <c r="D1881" s="71"/>
    </row>
    <row r="1882" spans="2:4" x14ac:dyDescent="0.15">
      <c r="B1882" s="69"/>
      <c r="C1882" s="70"/>
      <c r="D1882" s="71"/>
    </row>
    <row r="1883" spans="2:4" x14ac:dyDescent="0.15">
      <c r="B1883" s="69"/>
      <c r="C1883" s="70"/>
      <c r="D1883" s="71"/>
    </row>
    <row r="1884" spans="2:4" x14ac:dyDescent="0.15">
      <c r="B1884" s="69"/>
      <c r="C1884" s="70"/>
      <c r="D1884" s="71"/>
    </row>
    <row r="1885" spans="2:4" x14ac:dyDescent="0.15">
      <c r="B1885" s="69"/>
      <c r="C1885" s="70"/>
      <c r="D1885" s="71"/>
    </row>
    <row r="1886" spans="2:4" x14ac:dyDescent="0.15">
      <c r="B1886" s="69"/>
      <c r="C1886" s="70"/>
      <c r="D1886" s="71"/>
    </row>
    <row r="1887" spans="2:4" x14ac:dyDescent="0.15">
      <c r="B1887" s="69"/>
      <c r="C1887" s="70"/>
      <c r="D1887" s="71"/>
    </row>
    <row r="1888" spans="2:4" x14ac:dyDescent="0.15">
      <c r="B1888" s="69"/>
      <c r="C1888" s="70"/>
      <c r="D1888" s="71"/>
    </row>
    <row r="1889" spans="2:4" x14ac:dyDescent="0.15">
      <c r="B1889" s="69"/>
      <c r="C1889" s="70"/>
      <c r="D1889" s="71"/>
    </row>
    <row r="1890" spans="2:4" x14ac:dyDescent="0.15">
      <c r="B1890" s="69"/>
      <c r="C1890" s="70"/>
      <c r="D1890" s="71"/>
    </row>
    <row r="1891" spans="2:4" x14ac:dyDescent="0.15">
      <c r="B1891" s="69"/>
      <c r="C1891" s="70"/>
      <c r="D1891" s="71"/>
    </row>
    <row r="1892" spans="2:4" x14ac:dyDescent="0.15">
      <c r="B1892" s="69"/>
      <c r="C1892" s="70"/>
      <c r="D1892" s="71"/>
    </row>
    <row r="1893" spans="2:4" x14ac:dyDescent="0.15">
      <c r="B1893" s="69"/>
      <c r="C1893" s="70"/>
      <c r="D1893" s="71"/>
    </row>
    <row r="1894" spans="2:4" x14ac:dyDescent="0.15">
      <c r="B1894" s="69"/>
      <c r="C1894" s="70"/>
      <c r="D1894" s="71"/>
    </row>
    <row r="1895" spans="2:4" x14ac:dyDescent="0.15">
      <c r="B1895" s="69"/>
      <c r="C1895" s="70"/>
      <c r="D1895" s="71"/>
    </row>
    <row r="1896" spans="2:4" x14ac:dyDescent="0.15">
      <c r="B1896" s="69"/>
      <c r="C1896" s="70"/>
      <c r="D1896" s="71"/>
    </row>
    <row r="1897" spans="2:4" x14ac:dyDescent="0.15">
      <c r="B1897" s="69"/>
      <c r="C1897" s="70"/>
      <c r="D1897" s="71"/>
    </row>
    <row r="1898" spans="2:4" x14ac:dyDescent="0.15">
      <c r="B1898" s="69"/>
      <c r="C1898" s="70"/>
      <c r="D1898" s="71"/>
    </row>
    <row r="1899" spans="2:4" x14ac:dyDescent="0.15">
      <c r="B1899" s="69"/>
      <c r="C1899" s="70"/>
      <c r="D1899" s="71"/>
    </row>
    <row r="1900" spans="2:4" x14ac:dyDescent="0.15">
      <c r="B1900" s="69"/>
      <c r="C1900" s="70"/>
      <c r="D1900" s="71"/>
    </row>
    <row r="1901" spans="2:4" x14ac:dyDescent="0.15">
      <c r="B1901" s="69"/>
      <c r="C1901" s="70"/>
      <c r="D1901" s="71"/>
    </row>
    <row r="1902" spans="2:4" x14ac:dyDescent="0.15">
      <c r="B1902" s="69"/>
      <c r="C1902" s="70"/>
      <c r="D1902" s="71"/>
    </row>
    <row r="1903" spans="2:4" x14ac:dyDescent="0.15">
      <c r="B1903" s="69"/>
      <c r="C1903" s="70"/>
      <c r="D1903" s="71"/>
    </row>
    <row r="1904" spans="2:4" x14ac:dyDescent="0.15">
      <c r="B1904" s="69"/>
      <c r="C1904" s="70"/>
      <c r="D1904" s="71"/>
    </row>
    <row r="1905" spans="2:4" x14ac:dyDescent="0.15">
      <c r="B1905" s="69"/>
      <c r="C1905" s="70"/>
      <c r="D1905" s="71"/>
    </row>
    <row r="1906" spans="2:4" x14ac:dyDescent="0.15">
      <c r="B1906" s="69"/>
      <c r="C1906" s="70"/>
      <c r="D1906" s="71"/>
    </row>
    <row r="1907" spans="2:4" x14ac:dyDescent="0.15">
      <c r="B1907" s="69"/>
      <c r="C1907" s="70"/>
      <c r="D1907" s="71"/>
    </row>
    <row r="1908" spans="2:4" x14ac:dyDescent="0.15">
      <c r="B1908" s="69"/>
      <c r="C1908" s="70"/>
      <c r="D1908" s="71"/>
    </row>
    <row r="1909" spans="2:4" x14ac:dyDescent="0.15">
      <c r="B1909" s="69"/>
      <c r="C1909" s="70"/>
      <c r="D1909" s="71"/>
    </row>
    <row r="1910" spans="2:4" x14ac:dyDescent="0.15">
      <c r="B1910" s="69"/>
      <c r="C1910" s="70"/>
      <c r="D1910" s="71"/>
    </row>
    <row r="1911" spans="2:4" x14ac:dyDescent="0.15">
      <c r="B1911" s="69"/>
      <c r="C1911" s="70"/>
      <c r="D1911" s="71"/>
    </row>
    <row r="1912" spans="2:4" x14ac:dyDescent="0.15">
      <c r="B1912" s="69"/>
      <c r="C1912" s="70"/>
      <c r="D1912" s="71"/>
    </row>
    <row r="1913" spans="2:4" x14ac:dyDescent="0.15">
      <c r="B1913" s="69"/>
      <c r="C1913" s="70"/>
      <c r="D1913" s="71"/>
    </row>
    <row r="1914" spans="2:4" x14ac:dyDescent="0.15">
      <c r="B1914" s="69"/>
      <c r="C1914" s="70"/>
      <c r="D1914" s="71"/>
    </row>
    <row r="1915" spans="2:4" x14ac:dyDescent="0.15">
      <c r="B1915" s="69"/>
      <c r="C1915" s="70"/>
      <c r="D1915" s="71"/>
    </row>
    <row r="1916" spans="2:4" x14ac:dyDescent="0.15">
      <c r="B1916" s="69"/>
      <c r="C1916" s="70"/>
      <c r="D1916" s="71"/>
    </row>
    <row r="1917" spans="2:4" x14ac:dyDescent="0.15">
      <c r="B1917" s="69"/>
      <c r="C1917" s="70"/>
      <c r="D1917" s="71"/>
    </row>
    <row r="1918" spans="2:4" x14ac:dyDescent="0.15">
      <c r="B1918" s="69"/>
      <c r="C1918" s="70"/>
      <c r="D1918" s="71"/>
    </row>
    <row r="1919" spans="2:4" x14ac:dyDescent="0.15">
      <c r="B1919" s="69"/>
      <c r="C1919" s="70"/>
      <c r="D1919" s="71"/>
    </row>
    <row r="1920" spans="2:4" x14ac:dyDescent="0.15">
      <c r="B1920" s="69"/>
      <c r="C1920" s="70"/>
      <c r="D1920" s="71"/>
    </row>
    <row r="1921" spans="2:4" x14ac:dyDescent="0.15">
      <c r="B1921" s="69"/>
      <c r="C1921" s="70"/>
      <c r="D1921" s="71"/>
    </row>
    <row r="1922" spans="2:4" x14ac:dyDescent="0.15">
      <c r="B1922" s="69"/>
      <c r="C1922" s="70"/>
      <c r="D1922" s="71"/>
    </row>
    <row r="1923" spans="2:4" x14ac:dyDescent="0.15">
      <c r="B1923" s="69"/>
      <c r="C1923" s="70"/>
      <c r="D1923" s="71"/>
    </row>
    <row r="1924" spans="2:4" x14ac:dyDescent="0.15">
      <c r="B1924" s="69"/>
      <c r="C1924" s="70"/>
      <c r="D1924" s="71"/>
    </row>
    <row r="1925" spans="2:4" x14ac:dyDescent="0.15">
      <c r="B1925" s="69"/>
      <c r="C1925" s="70"/>
      <c r="D1925" s="71"/>
    </row>
    <row r="1926" spans="2:4" x14ac:dyDescent="0.15">
      <c r="B1926" s="69"/>
      <c r="C1926" s="70"/>
      <c r="D1926" s="71"/>
    </row>
    <row r="1927" spans="2:4" x14ac:dyDescent="0.15">
      <c r="B1927" s="69"/>
      <c r="C1927" s="70"/>
      <c r="D1927" s="71"/>
    </row>
    <row r="1928" spans="2:4" x14ac:dyDescent="0.15">
      <c r="B1928" s="69"/>
      <c r="C1928" s="70"/>
      <c r="D1928" s="71"/>
    </row>
    <row r="1929" spans="2:4" x14ac:dyDescent="0.15">
      <c r="B1929" s="69"/>
      <c r="C1929" s="70"/>
      <c r="D1929" s="71"/>
    </row>
    <row r="1930" spans="2:4" x14ac:dyDescent="0.15">
      <c r="B1930" s="69"/>
      <c r="C1930" s="70"/>
      <c r="D1930" s="71"/>
    </row>
    <row r="1931" spans="2:4" x14ac:dyDescent="0.15">
      <c r="B1931" s="69"/>
      <c r="C1931" s="70"/>
      <c r="D1931" s="71"/>
    </row>
    <row r="1932" spans="2:4" x14ac:dyDescent="0.15">
      <c r="B1932" s="69"/>
      <c r="C1932" s="70"/>
      <c r="D1932" s="71"/>
    </row>
    <row r="1933" spans="2:4" x14ac:dyDescent="0.15">
      <c r="B1933" s="69"/>
      <c r="C1933" s="70"/>
      <c r="D1933" s="71"/>
    </row>
    <row r="1934" spans="2:4" x14ac:dyDescent="0.15">
      <c r="B1934" s="69"/>
      <c r="C1934" s="70"/>
      <c r="D1934" s="71"/>
    </row>
    <row r="1935" spans="2:4" x14ac:dyDescent="0.15">
      <c r="B1935" s="69"/>
      <c r="C1935" s="70"/>
      <c r="D1935" s="71"/>
    </row>
    <row r="1936" spans="2:4" x14ac:dyDescent="0.15">
      <c r="B1936" s="69"/>
      <c r="C1936" s="70"/>
      <c r="D1936" s="71"/>
    </row>
    <row r="1937" spans="2:4" x14ac:dyDescent="0.15">
      <c r="B1937" s="69"/>
      <c r="C1937" s="70"/>
      <c r="D1937" s="71"/>
    </row>
    <row r="1938" spans="2:4" x14ac:dyDescent="0.15">
      <c r="B1938" s="69"/>
      <c r="C1938" s="70"/>
      <c r="D1938" s="71"/>
    </row>
    <row r="1939" spans="2:4" x14ac:dyDescent="0.15">
      <c r="B1939" s="69"/>
      <c r="C1939" s="70"/>
      <c r="D1939" s="71"/>
    </row>
    <row r="1940" spans="2:4" x14ac:dyDescent="0.15">
      <c r="B1940" s="69"/>
      <c r="C1940" s="70"/>
      <c r="D1940" s="71"/>
    </row>
    <row r="1941" spans="2:4" x14ac:dyDescent="0.15">
      <c r="B1941" s="69"/>
      <c r="C1941" s="70"/>
      <c r="D1941" s="71"/>
    </row>
    <row r="1942" spans="2:4" x14ac:dyDescent="0.15">
      <c r="B1942" s="69"/>
      <c r="C1942" s="70"/>
      <c r="D1942" s="71"/>
    </row>
    <row r="1943" spans="2:4" x14ac:dyDescent="0.15">
      <c r="B1943" s="69"/>
      <c r="C1943" s="70"/>
      <c r="D1943" s="71"/>
    </row>
    <row r="1944" spans="2:4" x14ac:dyDescent="0.15">
      <c r="B1944" s="69"/>
      <c r="C1944" s="70"/>
      <c r="D1944" s="71"/>
    </row>
    <row r="1945" spans="2:4" x14ac:dyDescent="0.15">
      <c r="B1945" s="69"/>
      <c r="C1945" s="70"/>
      <c r="D1945" s="71"/>
    </row>
    <row r="1946" spans="2:4" x14ac:dyDescent="0.15">
      <c r="B1946" s="69"/>
      <c r="C1946" s="70"/>
      <c r="D1946" s="71"/>
    </row>
    <row r="1947" spans="2:4" x14ac:dyDescent="0.15">
      <c r="B1947" s="69"/>
      <c r="C1947" s="70"/>
      <c r="D1947" s="71"/>
    </row>
    <row r="1948" spans="2:4" x14ac:dyDescent="0.15">
      <c r="B1948" s="69"/>
      <c r="C1948" s="70"/>
      <c r="D1948" s="71"/>
    </row>
    <row r="1949" spans="2:4" x14ac:dyDescent="0.15">
      <c r="B1949" s="69"/>
      <c r="C1949" s="70"/>
      <c r="D1949" s="71"/>
    </row>
    <row r="1950" spans="2:4" x14ac:dyDescent="0.15">
      <c r="B1950" s="69"/>
      <c r="C1950" s="70"/>
      <c r="D1950" s="71"/>
    </row>
    <row r="1951" spans="2:4" x14ac:dyDescent="0.15">
      <c r="B1951" s="69"/>
      <c r="C1951" s="70"/>
      <c r="D1951" s="71"/>
    </row>
    <row r="1952" spans="2:4" x14ac:dyDescent="0.15">
      <c r="B1952" s="69"/>
      <c r="C1952" s="70"/>
      <c r="D1952" s="71"/>
    </row>
    <row r="1953" spans="2:4" x14ac:dyDescent="0.15">
      <c r="B1953" s="69"/>
      <c r="C1953" s="70"/>
      <c r="D1953" s="71"/>
    </row>
    <row r="1954" spans="2:4" x14ac:dyDescent="0.15">
      <c r="B1954" s="69"/>
      <c r="C1954" s="70"/>
      <c r="D1954" s="71"/>
    </row>
    <row r="1955" spans="2:4" x14ac:dyDescent="0.15">
      <c r="B1955" s="69"/>
      <c r="C1955" s="70"/>
      <c r="D1955" s="71"/>
    </row>
    <row r="1956" spans="2:4" x14ac:dyDescent="0.15">
      <c r="B1956" s="69"/>
      <c r="C1956" s="70"/>
      <c r="D1956" s="71"/>
    </row>
    <row r="1957" spans="2:4" x14ac:dyDescent="0.15">
      <c r="B1957" s="69"/>
      <c r="C1957" s="70"/>
      <c r="D1957" s="71"/>
    </row>
    <row r="1958" spans="2:4" x14ac:dyDescent="0.15">
      <c r="B1958" s="69"/>
      <c r="C1958" s="70"/>
      <c r="D1958" s="71"/>
    </row>
    <row r="1959" spans="2:4" x14ac:dyDescent="0.15">
      <c r="B1959" s="69"/>
      <c r="C1959" s="70"/>
      <c r="D1959" s="71"/>
    </row>
    <row r="1960" spans="2:4" x14ac:dyDescent="0.15">
      <c r="B1960" s="69"/>
      <c r="C1960" s="70"/>
      <c r="D1960" s="71"/>
    </row>
    <row r="1961" spans="2:4" x14ac:dyDescent="0.15">
      <c r="B1961" s="69"/>
      <c r="C1961" s="70"/>
      <c r="D1961" s="71"/>
    </row>
    <row r="1962" spans="2:4" x14ac:dyDescent="0.15">
      <c r="B1962" s="69"/>
      <c r="C1962" s="70"/>
      <c r="D1962" s="71"/>
    </row>
    <row r="1963" spans="2:4" x14ac:dyDescent="0.15">
      <c r="B1963" s="69"/>
      <c r="C1963" s="70"/>
      <c r="D1963" s="71"/>
    </row>
    <row r="1964" spans="2:4" x14ac:dyDescent="0.15">
      <c r="B1964" s="69"/>
      <c r="C1964" s="70"/>
      <c r="D1964" s="71"/>
    </row>
    <row r="1965" spans="2:4" x14ac:dyDescent="0.15">
      <c r="B1965" s="69"/>
      <c r="C1965" s="70"/>
      <c r="D1965" s="71"/>
    </row>
    <row r="1966" spans="2:4" x14ac:dyDescent="0.15">
      <c r="B1966" s="69"/>
      <c r="C1966" s="70"/>
      <c r="D1966" s="71"/>
    </row>
    <row r="1967" spans="2:4" x14ac:dyDescent="0.15">
      <c r="B1967" s="69"/>
      <c r="C1967" s="70"/>
      <c r="D1967" s="71"/>
    </row>
    <row r="1968" spans="2:4" x14ac:dyDescent="0.15">
      <c r="B1968" s="69"/>
      <c r="C1968" s="70"/>
      <c r="D1968" s="71"/>
    </row>
    <row r="1969" spans="2:4" x14ac:dyDescent="0.15">
      <c r="B1969" s="69"/>
      <c r="C1969" s="70"/>
      <c r="D1969" s="71"/>
    </row>
    <row r="1970" spans="2:4" x14ac:dyDescent="0.15">
      <c r="B1970" s="69"/>
      <c r="C1970" s="70"/>
      <c r="D1970" s="71"/>
    </row>
    <row r="1971" spans="2:4" x14ac:dyDescent="0.15">
      <c r="B1971" s="69"/>
      <c r="C1971" s="70"/>
      <c r="D1971" s="71"/>
    </row>
    <row r="1972" spans="2:4" x14ac:dyDescent="0.15">
      <c r="B1972" s="69"/>
      <c r="C1972" s="70"/>
      <c r="D1972" s="71"/>
    </row>
    <row r="1973" spans="2:4" x14ac:dyDescent="0.15">
      <c r="B1973" s="69"/>
      <c r="C1973" s="70"/>
      <c r="D1973" s="71"/>
    </row>
    <row r="1974" spans="2:4" x14ac:dyDescent="0.15">
      <c r="B1974" s="69"/>
      <c r="C1974" s="70"/>
      <c r="D1974" s="71"/>
    </row>
    <row r="1975" spans="2:4" x14ac:dyDescent="0.15">
      <c r="B1975" s="69"/>
      <c r="C1975" s="70"/>
      <c r="D1975" s="71"/>
    </row>
    <row r="1976" spans="2:4" x14ac:dyDescent="0.15">
      <c r="B1976" s="69"/>
      <c r="C1976" s="70"/>
      <c r="D1976" s="71"/>
    </row>
    <row r="1977" spans="2:4" x14ac:dyDescent="0.15">
      <c r="B1977" s="69"/>
      <c r="C1977" s="70"/>
      <c r="D1977" s="71"/>
    </row>
    <row r="1978" spans="2:4" x14ac:dyDescent="0.15">
      <c r="B1978" s="69"/>
      <c r="C1978" s="70"/>
      <c r="D1978" s="71"/>
    </row>
    <row r="1979" spans="2:4" x14ac:dyDescent="0.15">
      <c r="B1979" s="69"/>
      <c r="C1979" s="70"/>
      <c r="D1979" s="71"/>
    </row>
    <row r="1980" spans="2:4" x14ac:dyDescent="0.15">
      <c r="B1980" s="69"/>
      <c r="C1980" s="70"/>
      <c r="D1980" s="71"/>
    </row>
    <row r="1981" spans="2:4" x14ac:dyDescent="0.15">
      <c r="B1981" s="69"/>
      <c r="C1981" s="70"/>
      <c r="D1981" s="71"/>
    </row>
    <row r="1982" spans="2:4" x14ac:dyDescent="0.15">
      <c r="B1982" s="69"/>
      <c r="C1982" s="70"/>
      <c r="D1982" s="71"/>
    </row>
    <row r="1983" spans="2:4" x14ac:dyDescent="0.15">
      <c r="B1983" s="69"/>
      <c r="C1983" s="70"/>
      <c r="D1983" s="71"/>
    </row>
    <row r="1984" spans="2:4" x14ac:dyDescent="0.15">
      <c r="B1984" s="69"/>
      <c r="C1984" s="70"/>
      <c r="D1984" s="71"/>
    </row>
    <row r="1985" spans="2:4" x14ac:dyDescent="0.15">
      <c r="B1985" s="69"/>
      <c r="C1985" s="70"/>
      <c r="D1985" s="71"/>
    </row>
    <row r="1986" spans="2:4" x14ac:dyDescent="0.15">
      <c r="B1986" s="69"/>
      <c r="C1986" s="70"/>
      <c r="D1986" s="71"/>
    </row>
    <row r="1987" spans="2:4" x14ac:dyDescent="0.15">
      <c r="B1987" s="69"/>
      <c r="C1987" s="70"/>
      <c r="D1987" s="71"/>
    </row>
    <row r="1988" spans="2:4" x14ac:dyDescent="0.15">
      <c r="B1988" s="69"/>
      <c r="C1988" s="70"/>
      <c r="D1988" s="71"/>
    </row>
    <row r="1989" spans="2:4" x14ac:dyDescent="0.15">
      <c r="B1989" s="69"/>
      <c r="C1989" s="70"/>
      <c r="D1989" s="71"/>
    </row>
    <row r="1990" spans="2:4" x14ac:dyDescent="0.15">
      <c r="B1990" s="69"/>
      <c r="C1990" s="70"/>
      <c r="D1990" s="71"/>
    </row>
    <row r="1991" spans="2:4" x14ac:dyDescent="0.15">
      <c r="B1991" s="69"/>
      <c r="C1991" s="70"/>
      <c r="D1991" s="71"/>
    </row>
    <row r="1992" spans="2:4" x14ac:dyDescent="0.15">
      <c r="B1992" s="69"/>
      <c r="C1992" s="70"/>
      <c r="D1992" s="71"/>
    </row>
    <row r="1993" spans="2:4" x14ac:dyDescent="0.15">
      <c r="B1993" s="69"/>
      <c r="C1993" s="70"/>
      <c r="D1993" s="71"/>
    </row>
    <row r="1994" spans="2:4" x14ac:dyDescent="0.15">
      <c r="B1994" s="69"/>
      <c r="C1994" s="70"/>
      <c r="D1994" s="71"/>
    </row>
    <row r="1995" spans="2:4" x14ac:dyDescent="0.15">
      <c r="B1995" s="69"/>
      <c r="C1995" s="70"/>
      <c r="D1995" s="71"/>
    </row>
    <row r="1996" spans="2:4" x14ac:dyDescent="0.15">
      <c r="B1996" s="69"/>
      <c r="C1996" s="70"/>
      <c r="D1996" s="71"/>
    </row>
    <row r="1997" spans="2:4" x14ac:dyDescent="0.15">
      <c r="B1997" s="69"/>
      <c r="C1997" s="70"/>
      <c r="D1997" s="71"/>
    </row>
    <row r="1998" spans="2:4" x14ac:dyDescent="0.15">
      <c r="B1998" s="69"/>
      <c r="C1998" s="70"/>
      <c r="D1998" s="71"/>
    </row>
    <row r="1999" spans="2:4" x14ac:dyDescent="0.15">
      <c r="B1999" s="69"/>
      <c r="C1999" s="70"/>
      <c r="D1999" s="71"/>
    </row>
    <row r="2000" spans="2:4" x14ac:dyDescent="0.15">
      <c r="B2000" s="69"/>
      <c r="C2000" s="70"/>
      <c r="D2000" s="71"/>
    </row>
    <row r="2001" spans="2:4" x14ac:dyDescent="0.15">
      <c r="B2001" s="69"/>
      <c r="C2001" s="70"/>
      <c r="D2001" s="71"/>
    </row>
    <row r="2002" spans="2:4" x14ac:dyDescent="0.15">
      <c r="B2002" s="69"/>
      <c r="C2002" s="70"/>
      <c r="D2002" s="71"/>
    </row>
    <row r="2003" spans="2:4" x14ac:dyDescent="0.15">
      <c r="B2003" s="69"/>
      <c r="C2003" s="70"/>
      <c r="D2003" s="71"/>
    </row>
    <row r="2004" spans="2:4" x14ac:dyDescent="0.15">
      <c r="B2004" s="69"/>
      <c r="C2004" s="70"/>
      <c r="D2004" s="71"/>
    </row>
    <row r="2005" spans="2:4" x14ac:dyDescent="0.15">
      <c r="B2005" s="69"/>
      <c r="C2005" s="70"/>
      <c r="D2005" s="71"/>
    </row>
    <row r="2006" spans="2:4" x14ac:dyDescent="0.15">
      <c r="B2006" s="69"/>
      <c r="C2006" s="70"/>
      <c r="D2006" s="71"/>
    </row>
    <row r="2007" spans="2:4" x14ac:dyDescent="0.15">
      <c r="B2007" s="69"/>
      <c r="C2007" s="70"/>
      <c r="D2007" s="71"/>
    </row>
    <row r="2008" spans="2:4" x14ac:dyDescent="0.15">
      <c r="B2008" s="69"/>
      <c r="C2008" s="70"/>
      <c r="D2008" s="71"/>
    </row>
    <row r="2009" spans="2:4" x14ac:dyDescent="0.15">
      <c r="B2009" s="69"/>
      <c r="C2009" s="70"/>
      <c r="D2009" s="71"/>
    </row>
    <row r="2010" spans="2:4" x14ac:dyDescent="0.15">
      <c r="B2010" s="69"/>
      <c r="C2010" s="70"/>
      <c r="D2010" s="71"/>
    </row>
    <row r="2011" spans="2:4" x14ac:dyDescent="0.15">
      <c r="B2011" s="69"/>
      <c r="C2011" s="70"/>
      <c r="D2011" s="71"/>
    </row>
    <row r="2012" spans="2:4" x14ac:dyDescent="0.15">
      <c r="B2012" s="69"/>
      <c r="C2012" s="70"/>
      <c r="D2012" s="71"/>
    </row>
    <row r="2013" spans="2:4" x14ac:dyDescent="0.15">
      <c r="B2013" s="69"/>
      <c r="C2013" s="70"/>
      <c r="D2013" s="71"/>
    </row>
    <row r="2014" spans="2:4" x14ac:dyDescent="0.15">
      <c r="B2014" s="69"/>
      <c r="C2014" s="70"/>
      <c r="D2014" s="71"/>
    </row>
    <row r="2015" spans="2:4" x14ac:dyDescent="0.15">
      <c r="B2015" s="69"/>
      <c r="C2015" s="70"/>
      <c r="D2015" s="71"/>
    </row>
    <row r="2016" spans="2:4" x14ac:dyDescent="0.15">
      <c r="B2016" s="69"/>
      <c r="C2016" s="70"/>
      <c r="D2016" s="71"/>
    </row>
    <row r="2017" spans="2:4" x14ac:dyDescent="0.15">
      <c r="B2017" s="69"/>
      <c r="C2017" s="70"/>
      <c r="D2017" s="71"/>
    </row>
    <row r="2018" spans="2:4" x14ac:dyDescent="0.15">
      <c r="B2018" s="69"/>
      <c r="C2018" s="70"/>
      <c r="D2018" s="71"/>
    </row>
    <row r="2019" spans="2:4" x14ac:dyDescent="0.15">
      <c r="B2019" s="69"/>
      <c r="C2019" s="70"/>
      <c r="D2019" s="71"/>
    </row>
    <row r="2020" spans="2:4" x14ac:dyDescent="0.15">
      <c r="B2020" s="69"/>
      <c r="C2020" s="70"/>
      <c r="D2020" s="71"/>
    </row>
    <row r="2021" spans="2:4" x14ac:dyDescent="0.15">
      <c r="B2021" s="69"/>
      <c r="C2021" s="70"/>
      <c r="D2021" s="71"/>
    </row>
    <row r="2022" spans="2:4" x14ac:dyDescent="0.15">
      <c r="B2022" s="69"/>
      <c r="C2022" s="70"/>
      <c r="D2022" s="71"/>
    </row>
    <row r="2023" spans="2:4" x14ac:dyDescent="0.15">
      <c r="B2023" s="69"/>
      <c r="C2023" s="70"/>
      <c r="D2023" s="71"/>
    </row>
    <row r="2024" spans="2:4" x14ac:dyDescent="0.15">
      <c r="B2024" s="69"/>
      <c r="C2024" s="70"/>
      <c r="D2024" s="71"/>
    </row>
    <row r="2025" spans="2:4" x14ac:dyDescent="0.15">
      <c r="B2025" s="69"/>
      <c r="C2025" s="70"/>
      <c r="D2025" s="71"/>
    </row>
    <row r="2026" spans="2:4" x14ac:dyDescent="0.15">
      <c r="B2026" s="69"/>
      <c r="C2026" s="70"/>
      <c r="D2026" s="71"/>
    </row>
    <row r="2027" spans="2:4" x14ac:dyDescent="0.15">
      <c r="B2027" s="69"/>
      <c r="C2027" s="70"/>
      <c r="D2027" s="71"/>
    </row>
    <row r="2028" spans="2:4" x14ac:dyDescent="0.15">
      <c r="B2028" s="69"/>
      <c r="C2028" s="70"/>
      <c r="D2028" s="71"/>
    </row>
    <row r="2029" spans="2:4" x14ac:dyDescent="0.15">
      <c r="B2029" s="69"/>
      <c r="C2029" s="70"/>
      <c r="D2029" s="71"/>
    </row>
    <row r="2030" spans="2:4" x14ac:dyDescent="0.15">
      <c r="B2030" s="69"/>
      <c r="C2030" s="70"/>
      <c r="D2030" s="71"/>
    </row>
    <row r="2031" spans="2:4" x14ac:dyDescent="0.15">
      <c r="B2031" s="69"/>
      <c r="C2031" s="70"/>
      <c r="D2031" s="71"/>
    </row>
    <row r="2032" spans="2:4" x14ac:dyDescent="0.15">
      <c r="B2032" s="69"/>
      <c r="C2032" s="70"/>
      <c r="D2032" s="71"/>
    </row>
    <row r="2033" spans="2:4" x14ac:dyDescent="0.15">
      <c r="B2033" s="69"/>
      <c r="C2033" s="70"/>
      <c r="D2033" s="71"/>
    </row>
    <row r="2034" spans="2:4" x14ac:dyDescent="0.15">
      <c r="B2034" s="69"/>
      <c r="C2034" s="70"/>
      <c r="D2034" s="71"/>
    </row>
    <row r="2035" spans="2:4" x14ac:dyDescent="0.15">
      <c r="B2035" s="69"/>
      <c r="C2035" s="70"/>
      <c r="D2035" s="71"/>
    </row>
    <row r="2036" spans="2:4" x14ac:dyDescent="0.15">
      <c r="B2036" s="69"/>
      <c r="C2036" s="70"/>
      <c r="D2036" s="71"/>
    </row>
    <row r="2037" spans="2:4" x14ac:dyDescent="0.15">
      <c r="B2037" s="69"/>
      <c r="C2037" s="70"/>
      <c r="D2037" s="71"/>
    </row>
    <row r="2038" spans="2:4" x14ac:dyDescent="0.15">
      <c r="B2038" s="69"/>
      <c r="C2038" s="70"/>
      <c r="D2038" s="71"/>
    </row>
    <row r="2039" spans="2:4" x14ac:dyDescent="0.15">
      <c r="B2039" s="69"/>
      <c r="C2039" s="70"/>
      <c r="D2039" s="71"/>
    </row>
    <row r="2040" spans="2:4" x14ac:dyDescent="0.15">
      <c r="B2040" s="69"/>
      <c r="C2040" s="70"/>
      <c r="D2040" s="71"/>
    </row>
    <row r="2041" spans="2:4" x14ac:dyDescent="0.15">
      <c r="B2041" s="69"/>
      <c r="C2041" s="70"/>
      <c r="D2041" s="71"/>
    </row>
    <row r="2042" spans="2:4" x14ac:dyDescent="0.15">
      <c r="B2042" s="69"/>
      <c r="C2042" s="70"/>
      <c r="D2042" s="71"/>
    </row>
    <row r="2043" spans="2:4" x14ac:dyDescent="0.15">
      <c r="B2043" s="69"/>
      <c r="C2043" s="70"/>
      <c r="D2043" s="71"/>
    </row>
    <row r="2044" spans="2:4" x14ac:dyDescent="0.15">
      <c r="B2044" s="69"/>
      <c r="C2044" s="70"/>
      <c r="D2044" s="71"/>
    </row>
    <row r="2045" spans="2:4" x14ac:dyDescent="0.15">
      <c r="B2045" s="69"/>
      <c r="C2045" s="70"/>
      <c r="D2045" s="71"/>
    </row>
    <row r="2046" spans="2:4" x14ac:dyDescent="0.15">
      <c r="B2046" s="69"/>
      <c r="C2046" s="70"/>
      <c r="D2046" s="71"/>
    </row>
    <row r="2047" spans="2:4" x14ac:dyDescent="0.15">
      <c r="B2047" s="69"/>
      <c r="C2047" s="70"/>
      <c r="D2047" s="71"/>
    </row>
    <row r="2048" spans="2:4" x14ac:dyDescent="0.15">
      <c r="B2048" s="69"/>
      <c r="C2048" s="70"/>
      <c r="D2048" s="71"/>
    </row>
    <row r="2049" spans="2:4" x14ac:dyDescent="0.15">
      <c r="B2049" s="69"/>
      <c r="C2049" s="70"/>
      <c r="D2049" s="71"/>
    </row>
    <row r="2050" spans="2:4" x14ac:dyDescent="0.15">
      <c r="B2050" s="69"/>
      <c r="C2050" s="70"/>
      <c r="D2050" s="71"/>
    </row>
    <row r="2051" spans="2:4" x14ac:dyDescent="0.15">
      <c r="B2051" s="69"/>
      <c r="C2051" s="70"/>
      <c r="D2051" s="71"/>
    </row>
    <row r="2052" spans="2:4" x14ac:dyDescent="0.15">
      <c r="B2052" s="69"/>
      <c r="C2052" s="70"/>
      <c r="D2052" s="71"/>
    </row>
    <row r="2053" spans="2:4" x14ac:dyDescent="0.15">
      <c r="B2053" s="69"/>
      <c r="C2053" s="70"/>
      <c r="D2053" s="71"/>
    </row>
    <row r="2054" spans="2:4" x14ac:dyDescent="0.15">
      <c r="B2054" s="69"/>
      <c r="C2054" s="70"/>
      <c r="D2054" s="71"/>
    </row>
    <row r="2055" spans="2:4" x14ac:dyDescent="0.15">
      <c r="B2055" s="69"/>
      <c r="C2055" s="70"/>
      <c r="D2055" s="71"/>
    </row>
    <row r="2056" spans="2:4" x14ac:dyDescent="0.15">
      <c r="B2056" s="69"/>
      <c r="C2056" s="70"/>
      <c r="D2056" s="71"/>
    </row>
    <row r="2057" spans="2:4" x14ac:dyDescent="0.15">
      <c r="B2057" s="69"/>
      <c r="C2057" s="70"/>
      <c r="D2057" s="71"/>
    </row>
    <row r="2058" spans="2:4" x14ac:dyDescent="0.15">
      <c r="B2058" s="69"/>
      <c r="C2058" s="70"/>
      <c r="D2058" s="71"/>
    </row>
    <row r="2059" spans="2:4" x14ac:dyDescent="0.15">
      <c r="B2059" s="69"/>
      <c r="C2059" s="70"/>
      <c r="D2059" s="71"/>
    </row>
    <row r="2060" spans="2:4" x14ac:dyDescent="0.15">
      <c r="B2060" s="69"/>
      <c r="C2060" s="70"/>
      <c r="D2060" s="71"/>
    </row>
    <row r="2061" spans="2:4" x14ac:dyDescent="0.15">
      <c r="B2061" s="69"/>
      <c r="C2061" s="70"/>
      <c r="D2061" s="71"/>
    </row>
    <row r="2062" spans="2:4" x14ac:dyDescent="0.15">
      <c r="B2062" s="69"/>
      <c r="C2062" s="70"/>
      <c r="D2062" s="71"/>
    </row>
    <row r="2063" spans="2:4" x14ac:dyDescent="0.15">
      <c r="B2063" s="69"/>
      <c r="C2063" s="70"/>
      <c r="D2063" s="71"/>
    </row>
    <row r="2064" spans="2:4" x14ac:dyDescent="0.15">
      <c r="B2064" s="69"/>
      <c r="C2064" s="70"/>
      <c r="D2064" s="71"/>
    </row>
    <row r="2065" spans="2:4" x14ac:dyDescent="0.15">
      <c r="B2065" s="69"/>
      <c r="C2065" s="70"/>
      <c r="D2065" s="71"/>
    </row>
    <row r="2066" spans="2:4" x14ac:dyDescent="0.15">
      <c r="B2066" s="69"/>
      <c r="C2066" s="70"/>
      <c r="D2066" s="71"/>
    </row>
    <row r="2067" spans="2:4" x14ac:dyDescent="0.15">
      <c r="B2067" s="69"/>
      <c r="C2067" s="70"/>
      <c r="D2067" s="71"/>
    </row>
    <row r="2068" spans="2:4" x14ac:dyDescent="0.15">
      <c r="B2068" s="69"/>
      <c r="C2068" s="70"/>
      <c r="D2068" s="71"/>
    </row>
    <row r="2069" spans="2:4" x14ac:dyDescent="0.15">
      <c r="B2069" s="69"/>
      <c r="C2069" s="70"/>
      <c r="D2069" s="71"/>
    </row>
    <row r="2070" spans="2:4" x14ac:dyDescent="0.15">
      <c r="B2070" s="69"/>
      <c r="C2070" s="70"/>
      <c r="D2070" s="71"/>
    </row>
    <row r="2071" spans="2:4" x14ac:dyDescent="0.15">
      <c r="B2071" s="69"/>
      <c r="C2071" s="70"/>
      <c r="D2071" s="71"/>
    </row>
    <row r="2072" spans="2:4" x14ac:dyDescent="0.15">
      <c r="B2072" s="69"/>
      <c r="C2072" s="70"/>
      <c r="D2072" s="71"/>
    </row>
    <row r="2073" spans="2:4" x14ac:dyDescent="0.15">
      <c r="B2073" s="69"/>
      <c r="C2073" s="70"/>
      <c r="D2073" s="71"/>
    </row>
    <row r="2074" spans="2:4" x14ac:dyDescent="0.15">
      <c r="B2074" s="69"/>
      <c r="C2074" s="70"/>
      <c r="D2074" s="71"/>
    </row>
    <row r="2075" spans="2:4" x14ac:dyDescent="0.15">
      <c r="B2075" s="69"/>
      <c r="C2075" s="70"/>
      <c r="D2075" s="71"/>
    </row>
    <row r="2076" spans="2:4" x14ac:dyDescent="0.15">
      <c r="B2076" s="69"/>
      <c r="C2076" s="70"/>
      <c r="D2076" s="71"/>
    </row>
    <row r="2077" spans="2:4" x14ac:dyDescent="0.15">
      <c r="B2077" s="69"/>
      <c r="C2077" s="70"/>
      <c r="D2077" s="71"/>
    </row>
    <row r="2078" spans="2:4" x14ac:dyDescent="0.15">
      <c r="B2078" s="69"/>
      <c r="C2078" s="70"/>
      <c r="D2078" s="71"/>
    </row>
    <row r="2079" spans="2:4" x14ac:dyDescent="0.15">
      <c r="B2079" s="69"/>
      <c r="C2079" s="70"/>
      <c r="D2079" s="71"/>
    </row>
    <row r="2080" spans="2:4" x14ac:dyDescent="0.15">
      <c r="B2080" s="69"/>
      <c r="C2080" s="70"/>
      <c r="D2080" s="71"/>
    </row>
    <row r="2081" spans="2:4" x14ac:dyDescent="0.15">
      <c r="B2081" s="69"/>
      <c r="C2081" s="70"/>
      <c r="D2081" s="71"/>
    </row>
    <row r="2082" spans="2:4" x14ac:dyDescent="0.15">
      <c r="B2082" s="69"/>
      <c r="C2082" s="70"/>
      <c r="D2082" s="71"/>
    </row>
    <row r="2083" spans="2:4" x14ac:dyDescent="0.15">
      <c r="B2083" s="69"/>
      <c r="C2083" s="70"/>
      <c r="D2083" s="71"/>
    </row>
    <row r="2084" spans="2:4" x14ac:dyDescent="0.15">
      <c r="B2084" s="69"/>
      <c r="C2084" s="70"/>
      <c r="D2084" s="71"/>
    </row>
    <row r="2085" spans="2:4" x14ac:dyDescent="0.15">
      <c r="B2085" s="69"/>
      <c r="C2085" s="70"/>
      <c r="D2085" s="71"/>
    </row>
    <row r="2086" spans="2:4" x14ac:dyDescent="0.15">
      <c r="B2086" s="69"/>
      <c r="C2086" s="70"/>
      <c r="D2086" s="71"/>
    </row>
    <row r="2087" spans="2:4" x14ac:dyDescent="0.15">
      <c r="B2087" s="69"/>
      <c r="C2087" s="70"/>
      <c r="D2087" s="71"/>
    </row>
    <row r="2088" spans="2:4" x14ac:dyDescent="0.15">
      <c r="B2088" s="69"/>
      <c r="C2088" s="70"/>
      <c r="D2088" s="71"/>
    </row>
    <row r="2089" spans="2:4" x14ac:dyDescent="0.15">
      <c r="B2089" s="69"/>
      <c r="C2089" s="70"/>
      <c r="D2089" s="71"/>
    </row>
    <row r="2090" spans="2:4" x14ac:dyDescent="0.15">
      <c r="B2090" s="69"/>
      <c r="C2090" s="70"/>
      <c r="D2090" s="71"/>
    </row>
    <row r="2091" spans="2:4" x14ac:dyDescent="0.15">
      <c r="B2091" s="69"/>
      <c r="C2091" s="70"/>
      <c r="D2091" s="71"/>
    </row>
    <row r="2092" spans="2:4" x14ac:dyDescent="0.15">
      <c r="B2092" s="69"/>
      <c r="C2092" s="70"/>
      <c r="D2092" s="71"/>
    </row>
    <row r="2093" spans="2:4" x14ac:dyDescent="0.15">
      <c r="B2093" s="69"/>
      <c r="C2093" s="70"/>
      <c r="D2093" s="71"/>
    </row>
    <row r="2094" spans="2:4" x14ac:dyDescent="0.15">
      <c r="B2094" s="69"/>
      <c r="C2094" s="70"/>
      <c r="D2094" s="71"/>
    </row>
    <row r="2095" spans="2:4" x14ac:dyDescent="0.15">
      <c r="B2095" s="69"/>
      <c r="C2095" s="70"/>
      <c r="D2095" s="71"/>
    </row>
    <row r="2096" spans="2:4" x14ac:dyDescent="0.15">
      <c r="B2096" s="69"/>
      <c r="C2096" s="70"/>
      <c r="D2096" s="71"/>
    </row>
    <row r="2097" spans="2:4" x14ac:dyDescent="0.15">
      <c r="B2097" s="69"/>
      <c r="C2097" s="70"/>
      <c r="D2097" s="71"/>
    </row>
    <row r="2098" spans="2:4" x14ac:dyDescent="0.15">
      <c r="B2098" s="69"/>
      <c r="C2098" s="70"/>
      <c r="D2098" s="71"/>
    </row>
    <row r="2099" spans="2:4" x14ac:dyDescent="0.15">
      <c r="B2099" s="69"/>
      <c r="C2099" s="70"/>
      <c r="D2099" s="71"/>
    </row>
    <row r="2100" spans="2:4" x14ac:dyDescent="0.15">
      <c r="B2100" s="69"/>
      <c r="C2100" s="70"/>
      <c r="D2100" s="71"/>
    </row>
    <row r="2101" spans="2:4" x14ac:dyDescent="0.15">
      <c r="B2101" s="69"/>
      <c r="C2101" s="70"/>
      <c r="D2101" s="71"/>
    </row>
    <row r="2102" spans="2:4" x14ac:dyDescent="0.15">
      <c r="B2102" s="69"/>
      <c r="C2102" s="70"/>
      <c r="D2102" s="71"/>
    </row>
    <row r="2103" spans="2:4" x14ac:dyDescent="0.15">
      <c r="B2103" s="69"/>
      <c r="C2103" s="70"/>
      <c r="D2103" s="71"/>
    </row>
    <row r="2104" spans="2:4" x14ac:dyDescent="0.15">
      <c r="B2104" s="69"/>
      <c r="C2104" s="70"/>
      <c r="D2104" s="71"/>
    </row>
    <row r="2105" spans="2:4" x14ac:dyDescent="0.15">
      <c r="B2105" s="69"/>
      <c r="C2105" s="70"/>
      <c r="D2105" s="71"/>
    </row>
    <row r="2106" spans="2:4" x14ac:dyDescent="0.15">
      <c r="B2106" s="69"/>
      <c r="C2106" s="70"/>
      <c r="D2106" s="71"/>
    </row>
    <row r="2107" spans="2:4" x14ac:dyDescent="0.15">
      <c r="B2107" s="69"/>
      <c r="C2107" s="70"/>
      <c r="D2107" s="71"/>
    </row>
    <row r="2108" spans="2:4" x14ac:dyDescent="0.15">
      <c r="B2108" s="69"/>
      <c r="C2108" s="70"/>
      <c r="D2108" s="71"/>
    </row>
    <row r="2109" spans="2:4" x14ac:dyDescent="0.15">
      <c r="B2109" s="69"/>
      <c r="C2109" s="70"/>
      <c r="D2109" s="71"/>
    </row>
    <row r="2110" spans="2:4" x14ac:dyDescent="0.15">
      <c r="B2110" s="69"/>
      <c r="C2110" s="70"/>
      <c r="D2110" s="71"/>
    </row>
    <row r="2111" spans="2:4" x14ac:dyDescent="0.15">
      <c r="B2111" s="69"/>
      <c r="C2111" s="70"/>
      <c r="D2111" s="71"/>
    </row>
    <row r="2112" spans="2:4" x14ac:dyDescent="0.15">
      <c r="B2112" s="69"/>
      <c r="C2112" s="70"/>
      <c r="D2112" s="71"/>
    </row>
    <row r="2113" spans="2:4" x14ac:dyDescent="0.15">
      <c r="B2113" s="69"/>
      <c r="C2113" s="70"/>
      <c r="D2113" s="71"/>
    </row>
    <row r="2114" spans="2:4" x14ac:dyDescent="0.15">
      <c r="B2114" s="69"/>
      <c r="C2114" s="70"/>
      <c r="D2114" s="71"/>
    </row>
    <row r="2115" spans="2:4" x14ac:dyDescent="0.15">
      <c r="B2115" s="69"/>
      <c r="C2115" s="70"/>
      <c r="D2115" s="71"/>
    </row>
    <row r="2116" spans="2:4" x14ac:dyDescent="0.15">
      <c r="B2116" s="69"/>
      <c r="C2116" s="70"/>
      <c r="D2116" s="71"/>
    </row>
    <row r="2117" spans="2:4" x14ac:dyDescent="0.15">
      <c r="B2117" s="69"/>
      <c r="C2117" s="70"/>
      <c r="D2117" s="71"/>
    </row>
    <row r="2118" spans="2:4" x14ac:dyDescent="0.15">
      <c r="B2118" s="69"/>
      <c r="C2118" s="70"/>
      <c r="D2118" s="71"/>
    </row>
    <row r="2119" spans="2:4" x14ac:dyDescent="0.15">
      <c r="B2119" s="69"/>
      <c r="C2119" s="70"/>
      <c r="D2119" s="71"/>
    </row>
    <row r="2120" spans="2:4" x14ac:dyDescent="0.15">
      <c r="B2120" s="69"/>
      <c r="C2120" s="70"/>
      <c r="D2120" s="71"/>
    </row>
    <row r="2121" spans="2:4" x14ac:dyDescent="0.15">
      <c r="B2121" s="69"/>
      <c r="C2121" s="70"/>
      <c r="D2121" s="71"/>
    </row>
    <row r="2122" spans="2:4" x14ac:dyDescent="0.15">
      <c r="B2122" s="69"/>
      <c r="C2122" s="70"/>
      <c r="D2122" s="71"/>
    </row>
    <row r="2123" spans="2:4" x14ac:dyDescent="0.15">
      <c r="B2123" s="69"/>
      <c r="C2123" s="70"/>
      <c r="D2123" s="71"/>
    </row>
    <row r="2124" spans="2:4" x14ac:dyDescent="0.15">
      <c r="B2124" s="69"/>
      <c r="C2124" s="70"/>
      <c r="D2124" s="71"/>
    </row>
    <row r="2125" spans="2:4" x14ac:dyDescent="0.15">
      <c r="B2125" s="69"/>
      <c r="C2125" s="70"/>
      <c r="D2125" s="71"/>
    </row>
    <row r="2126" spans="2:4" x14ac:dyDescent="0.15">
      <c r="B2126" s="69"/>
      <c r="C2126" s="70"/>
      <c r="D2126" s="71"/>
    </row>
    <row r="2127" spans="2:4" x14ac:dyDescent="0.15">
      <c r="B2127" s="69"/>
      <c r="C2127" s="70"/>
      <c r="D2127" s="71"/>
    </row>
    <row r="2128" spans="2:4" x14ac:dyDescent="0.15">
      <c r="B2128" s="69"/>
      <c r="C2128" s="70"/>
      <c r="D2128" s="71"/>
    </row>
    <row r="2129" spans="2:4" x14ac:dyDescent="0.15">
      <c r="B2129" s="69"/>
      <c r="C2129" s="70"/>
      <c r="D2129" s="71"/>
    </row>
    <row r="2130" spans="2:4" x14ac:dyDescent="0.15">
      <c r="B2130" s="69"/>
      <c r="C2130" s="70"/>
      <c r="D2130" s="71"/>
    </row>
    <row r="2131" spans="2:4" x14ac:dyDescent="0.15">
      <c r="B2131" s="69"/>
      <c r="C2131" s="70"/>
      <c r="D2131" s="71"/>
    </row>
    <row r="2132" spans="2:4" x14ac:dyDescent="0.15">
      <c r="B2132" s="69"/>
      <c r="C2132" s="70"/>
      <c r="D2132" s="71"/>
    </row>
    <row r="2133" spans="2:4" x14ac:dyDescent="0.15">
      <c r="B2133" s="69"/>
      <c r="C2133" s="70"/>
      <c r="D2133" s="71"/>
    </row>
    <row r="2134" spans="2:4" x14ac:dyDescent="0.15">
      <c r="B2134" s="69"/>
      <c r="C2134" s="70"/>
      <c r="D2134" s="71"/>
    </row>
    <row r="2135" spans="2:4" x14ac:dyDescent="0.15">
      <c r="B2135" s="69"/>
      <c r="C2135" s="70"/>
      <c r="D2135" s="71"/>
    </row>
    <row r="2136" spans="2:4" x14ac:dyDescent="0.15">
      <c r="B2136" s="69"/>
      <c r="C2136" s="70"/>
      <c r="D2136" s="71"/>
    </row>
    <row r="2137" spans="2:4" x14ac:dyDescent="0.15">
      <c r="B2137" s="69"/>
      <c r="C2137" s="70"/>
      <c r="D2137" s="71"/>
    </row>
    <row r="2138" spans="2:4" x14ac:dyDescent="0.15">
      <c r="B2138" s="69"/>
      <c r="C2138" s="70"/>
      <c r="D2138" s="71"/>
    </row>
    <row r="2139" spans="2:4" x14ac:dyDescent="0.15">
      <c r="B2139" s="69"/>
      <c r="C2139" s="70"/>
      <c r="D2139" s="71"/>
    </row>
    <row r="2140" spans="2:4" x14ac:dyDescent="0.15">
      <c r="B2140" s="69"/>
      <c r="C2140" s="70"/>
      <c r="D2140" s="71"/>
    </row>
    <row r="2141" spans="2:4" x14ac:dyDescent="0.15">
      <c r="B2141" s="69"/>
      <c r="C2141" s="70"/>
      <c r="D2141" s="71"/>
    </row>
    <row r="2142" spans="2:4" x14ac:dyDescent="0.15">
      <c r="B2142" s="69"/>
      <c r="C2142" s="70"/>
      <c r="D2142" s="71"/>
    </row>
    <row r="2143" spans="2:4" x14ac:dyDescent="0.15">
      <c r="B2143" s="69"/>
      <c r="C2143" s="70"/>
      <c r="D2143" s="71"/>
    </row>
    <row r="2144" spans="2:4" x14ac:dyDescent="0.15">
      <c r="B2144" s="69"/>
      <c r="C2144" s="70"/>
      <c r="D2144" s="71"/>
    </row>
    <row r="2145" spans="2:4" x14ac:dyDescent="0.15">
      <c r="B2145" s="69"/>
      <c r="C2145" s="70"/>
      <c r="D2145" s="71"/>
    </row>
    <row r="2146" spans="2:4" x14ac:dyDescent="0.15">
      <c r="B2146" s="69"/>
      <c r="C2146" s="70"/>
      <c r="D2146" s="71"/>
    </row>
    <row r="2147" spans="2:4" x14ac:dyDescent="0.15">
      <c r="B2147" s="69"/>
      <c r="C2147" s="70"/>
      <c r="D2147" s="71"/>
    </row>
    <row r="2148" spans="2:4" x14ac:dyDescent="0.15">
      <c r="B2148" s="69"/>
      <c r="C2148" s="70"/>
      <c r="D2148" s="71"/>
    </row>
    <row r="2149" spans="2:4" x14ac:dyDescent="0.15">
      <c r="B2149" s="69"/>
      <c r="C2149" s="70"/>
      <c r="D2149" s="71"/>
    </row>
    <row r="2150" spans="2:4" x14ac:dyDescent="0.15">
      <c r="B2150" s="69"/>
      <c r="C2150" s="70"/>
      <c r="D2150" s="71"/>
    </row>
    <row r="2151" spans="2:4" x14ac:dyDescent="0.15">
      <c r="B2151" s="69"/>
      <c r="C2151" s="70"/>
      <c r="D2151" s="71"/>
    </row>
    <row r="2152" spans="2:4" x14ac:dyDescent="0.15">
      <c r="B2152" s="69"/>
      <c r="C2152" s="70"/>
      <c r="D2152" s="71"/>
    </row>
    <row r="2153" spans="2:4" x14ac:dyDescent="0.15">
      <c r="B2153" s="69"/>
      <c r="C2153" s="70"/>
      <c r="D2153" s="71"/>
    </row>
    <row r="2154" spans="2:4" x14ac:dyDescent="0.15">
      <c r="B2154" s="69"/>
      <c r="C2154" s="70"/>
      <c r="D2154" s="71"/>
    </row>
    <row r="2155" spans="2:4" x14ac:dyDescent="0.15">
      <c r="B2155" s="69"/>
      <c r="C2155" s="70"/>
      <c r="D2155" s="71"/>
    </row>
    <row r="2156" spans="2:4" x14ac:dyDescent="0.15">
      <c r="B2156" s="69"/>
      <c r="C2156" s="70"/>
      <c r="D2156" s="71"/>
    </row>
    <row r="2157" spans="2:4" x14ac:dyDescent="0.15">
      <c r="B2157" s="69"/>
      <c r="C2157" s="70"/>
      <c r="D2157" s="71"/>
    </row>
    <row r="2158" spans="2:4" x14ac:dyDescent="0.15">
      <c r="B2158" s="69"/>
      <c r="C2158" s="70"/>
      <c r="D2158" s="71"/>
    </row>
    <row r="2159" spans="2:4" x14ac:dyDescent="0.15">
      <c r="B2159" s="69"/>
      <c r="C2159" s="70"/>
      <c r="D2159" s="71"/>
    </row>
    <row r="2160" spans="2:4" x14ac:dyDescent="0.15">
      <c r="B2160" s="69"/>
      <c r="C2160" s="70"/>
      <c r="D2160" s="71"/>
    </row>
    <row r="2161" spans="2:4" x14ac:dyDescent="0.15">
      <c r="B2161" s="69"/>
      <c r="C2161" s="70"/>
      <c r="D2161" s="71"/>
    </row>
    <row r="2162" spans="2:4" x14ac:dyDescent="0.15">
      <c r="B2162" s="69"/>
      <c r="C2162" s="70"/>
      <c r="D2162" s="71"/>
    </row>
    <row r="2163" spans="2:4" x14ac:dyDescent="0.15">
      <c r="B2163" s="69"/>
      <c r="C2163" s="70"/>
      <c r="D2163" s="71"/>
    </row>
    <row r="2164" spans="2:4" x14ac:dyDescent="0.15">
      <c r="B2164" s="69"/>
      <c r="C2164" s="70"/>
      <c r="D2164" s="71"/>
    </row>
    <row r="2165" spans="2:4" x14ac:dyDescent="0.15">
      <c r="B2165" s="69"/>
      <c r="C2165" s="70"/>
      <c r="D2165" s="71"/>
    </row>
    <row r="2166" spans="2:4" x14ac:dyDescent="0.15">
      <c r="B2166" s="69"/>
      <c r="C2166" s="70"/>
      <c r="D2166" s="71"/>
    </row>
    <row r="2167" spans="2:4" x14ac:dyDescent="0.15">
      <c r="B2167" s="69"/>
      <c r="C2167" s="70"/>
      <c r="D2167" s="71"/>
    </row>
    <row r="2168" spans="2:4" x14ac:dyDescent="0.15">
      <c r="B2168" s="69"/>
      <c r="C2168" s="70"/>
      <c r="D2168" s="71"/>
    </row>
    <row r="2169" spans="2:4" x14ac:dyDescent="0.15">
      <c r="B2169" s="69"/>
      <c r="C2169" s="70"/>
      <c r="D2169" s="71"/>
    </row>
    <row r="2170" spans="2:4" x14ac:dyDescent="0.15">
      <c r="B2170" s="69"/>
      <c r="C2170" s="70"/>
      <c r="D2170" s="71"/>
    </row>
    <row r="2171" spans="2:4" x14ac:dyDescent="0.15">
      <c r="B2171" s="69"/>
      <c r="C2171" s="70"/>
      <c r="D2171" s="71"/>
    </row>
    <row r="2172" spans="2:4" x14ac:dyDescent="0.15">
      <c r="B2172" s="69"/>
      <c r="C2172" s="70"/>
      <c r="D2172" s="71"/>
    </row>
    <row r="2173" spans="2:4" x14ac:dyDescent="0.15">
      <c r="B2173" s="69"/>
      <c r="C2173" s="70"/>
      <c r="D2173" s="71"/>
    </row>
    <row r="2174" spans="2:4" x14ac:dyDescent="0.15">
      <c r="B2174" s="69"/>
      <c r="C2174" s="70"/>
      <c r="D2174" s="71"/>
    </row>
    <row r="2175" spans="2:4" x14ac:dyDescent="0.15">
      <c r="B2175" s="69"/>
      <c r="C2175" s="70"/>
      <c r="D2175" s="71"/>
    </row>
    <row r="2176" spans="2:4" x14ac:dyDescent="0.15">
      <c r="B2176" s="69"/>
      <c r="C2176" s="70"/>
      <c r="D2176" s="71"/>
    </row>
    <row r="2177" spans="2:4" x14ac:dyDescent="0.15">
      <c r="B2177" s="69"/>
      <c r="C2177" s="70"/>
      <c r="D2177" s="71"/>
    </row>
    <row r="2178" spans="2:4" x14ac:dyDescent="0.15">
      <c r="B2178" s="69"/>
      <c r="C2178" s="70"/>
      <c r="D2178" s="71"/>
    </row>
    <row r="2179" spans="2:4" x14ac:dyDescent="0.15">
      <c r="B2179" s="69"/>
      <c r="C2179" s="70"/>
      <c r="D2179" s="71"/>
    </row>
    <row r="2180" spans="2:4" x14ac:dyDescent="0.15">
      <c r="B2180" s="69"/>
      <c r="C2180" s="70"/>
      <c r="D2180" s="71"/>
    </row>
    <row r="2181" spans="2:4" x14ac:dyDescent="0.15">
      <c r="B2181" s="69"/>
      <c r="C2181" s="70"/>
      <c r="D2181" s="71"/>
    </row>
    <row r="2182" spans="2:4" x14ac:dyDescent="0.15">
      <c r="B2182" s="69"/>
      <c r="C2182" s="70"/>
      <c r="D2182" s="71"/>
    </row>
    <row r="2183" spans="2:4" x14ac:dyDescent="0.15">
      <c r="B2183" s="69"/>
      <c r="C2183" s="70"/>
      <c r="D2183" s="71"/>
    </row>
    <row r="2184" spans="2:4" x14ac:dyDescent="0.15">
      <c r="B2184" s="69"/>
      <c r="C2184" s="70"/>
      <c r="D2184" s="71"/>
    </row>
    <row r="2185" spans="2:4" x14ac:dyDescent="0.15">
      <c r="B2185" s="69"/>
      <c r="C2185" s="70"/>
      <c r="D2185" s="71"/>
    </row>
    <row r="2186" spans="2:4" x14ac:dyDescent="0.15">
      <c r="B2186" s="69"/>
      <c r="C2186" s="70"/>
      <c r="D2186" s="71"/>
    </row>
    <row r="2187" spans="2:4" x14ac:dyDescent="0.15">
      <c r="B2187" s="69"/>
      <c r="C2187" s="70"/>
      <c r="D2187" s="71"/>
    </row>
    <row r="2188" spans="2:4" x14ac:dyDescent="0.15">
      <c r="B2188" s="69"/>
      <c r="C2188" s="70"/>
      <c r="D2188" s="71"/>
    </row>
    <row r="2189" spans="2:4" x14ac:dyDescent="0.15">
      <c r="B2189" s="69"/>
      <c r="C2189" s="70"/>
      <c r="D2189" s="71"/>
    </row>
    <row r="2190" spans="2:4" x14ac:dyDescent="0.15">
      <c r="B2190" s="69"/>
      <c r="C2190" s="70"/>
      <c r="D2190" s="71"/>
    </row>
    <row r="2191" spans="2:4" x14ac:dyDescent="0.15">
      <c r="B2191" s="69"/>
      <c r="C2191" s="70"/>
      <c r="D2191" s="71"/>
    </row>
    <row r="2192" spans="2:4" x14ac:dyDescent="0.15">
      <c r="B2192" s="69"/>
      <c r="C2192" s="70"/>
      <c r="D2192" s="71"/>
    </row>
    <row r="2193" spans="2:4" x14ac:dyDescent="0.15">
      <c r="B2193" s="69"/>
      <c r="C2193" s="70"/>
      <c r="D2193" s="71"/>
    </row>
    <row r="2194" spans="2:4" x14ac:dyDescent="0.15">
      <c r="B2194" s="69"/>
      <c r="C2194" s="70"/>
      <c r="D2194" s="71"/>
    </row>
    <row r="2195" spans="2:4" x14ac:dyDescent="0.15">
      <c r="B2195" s="69"/>
      <c r="C2195" s="70"/>
      <c r="D2195" s="71"/>
    </row>
    <row r="2196" spans="2:4" x14ac:dyDescent="0.15">
      <c r="B2196" s="69"/>
      <c r="C2196" s="70"/>
      <c r="D2196" s="71"/>
    </row>
    <row r="2197" spans="2:4" x14ac:dyDescent="0.15">
      <c r="B2197" s="69"/>
      <c r="C2197" s="70"/>
      <c r="D2197" s="71"/>
    </row>
    <row r="2198" spans="2:4" x14ac:dyDescent="0.15">
      <c r="B2198" s="69"/>
      <c r="C2198" s="70"/>
      <c r="D2198" s="71"/>
    </row>
    <row r="2199" spans="2:4" x14ac:dyDescent="0.15">
      <c r="B2199" s="69"/>
      <c r="C2199" s="70"/>
      <c r="D2199" s="71"/>
    </row>
    <row r="2200" spans="2:4" x14ac:dyDescent="0.15">
      <c r="B2200" s="69"/>
      <c r="C2200" s="70"/>
      <c r="D2200" s="71"/>
    </row>
    <row r="2201" spans="2:4" x14ac:dyDescent="0.15">
      <c r="B2201" s="69"/>
      <c r="C2201" s="70"/>
      <c r="D2201" s="71"/>
    </row>
    <row r="2202" spans="2:4" x14ac:dyDescent="0.15">
      <c r="B2202" s="69"/>
      <c r="C2202" s="70"/>
      <c r="D2202" s="71"/>
    </row>
    <row r="2203" spans="2:4" x14ac:dyDescent="0.15">
      <c r="B2203" s="69"/>
      <c r="C2203" s="70"/>
      <c r="D2203" s="71"/>
    </row>
    <row r="2204" spans="2:4" x14ac:dyDescent="0.15">
      <c r="B2204" s="69"/>
      <c r="C2204" s="70"/>
      <c r="D2204" s="71"/>
    </row>
    <row r="2205" spans="2:4" x14ac:dyDescent="0.15">
      <c r="B2205" s="69"/>
      <c r="C2205" s="70"/>
      <c r="D2205" s="71"/>
    </row>
    <row r="2206" spans="2:4" x14ac:dyDescent="0.15">
      <c r="B2206" s="69"/>
      <c r="C2206" s="70"/>
      <c r="D2206" s="71"/>
    </row>
    <row r="2207" spans="2:4" x14ac:dyDescent="0.15">
      <c r="B2207" s="69"/>
      <c r="C2207" s="70"/>
      <c r="D2207" s="71"/>
    </row>
    <row r="2208" spans="2:4" x14ac:dyDescent="0.15">
      <c r="B2208" s="69"/>
      <c r="C2208" s="70"/>
      <c r="D2208" s="71"/>
    </row>
    <row r="2209" spans="2:4" x14ac:dyDescent="0.15">
      <c r="B2209" s="69"/>
      <c r="C2209" s="70"/>
      <c r="D2209" s="71"/>
    </row>
    <row r="2210" spans="2:4" x14ac:dyDescent="0.15">
      <c r="B2210" s="69"/>
      <c r="C2210" s="70"/>
      <c r="D2210" s="71"/>
    </row>
    <row r="2211" spans="2:4" x14ac:dyDescent="0.15">
      <c r="B2211" s="69"/>
      <c r="C2211" s="70"/>
      <c r="D2211" s="71"/>
    </row>
    <row r="2212" spans="2:4" x14ac:dyDescent="0.15">
      <c r="B2212" s="69"/>
      <c r="C2212" s="70"/>
      <c r="D2212" s="71"/>
    </row>
    <row r="2213" spans="2:4" x14ac:dyDescent="0.15">
      <c r="B2213" s="69"/>
      <c r="C2213" s="70"/>
      <c r="D2213" s="71"/>
    </row>
    <row r="2214" spans="2:4" x14ac:dyDescent="0.15">
      <c r="B2214" s="69"/>
      <c r="C2214" s="70"/>
      <c r="D2214" s="71"/>
    </row>
    <row r="2215" spans="2:4" x14ac:dyDescent="0.15">
      <c r="B2215" s="69"/>
      <c r="C2215" s="70"/>
      <c r="D2215" s="71"/>
    </row>
    <row r="2216" spans="2:4" x14ac:dyDescent="0.15">
      <c r="B2216" s="69"/>
      <c r="C2216" s="70"/>
      <c r="D2216" s="71"/>
    </row>
    <row r="2217" spans="2:4" x14ac:dyDescent="0.15">
      <c r="B2217" s="69"/>
      <c r="C2217" s="70"/>
      <c r="D2217" s="71"/>
    </row>
    <row r="2218" spans="2:4" x14ac:dyDescent="0.15">
      <c r="B2218" s="69"/>
      <c r="C2218" s="70"/>
      <c r="D2218" s="71"/>
    </row>
    <row r="2219" spans="2:4" x14ac:dyDescent="0.15">
      <c r="B2219" s="69"/>
      <c r="C2219" s="70"/>
      <c r="D2219" s="71"/>
    </row>
    <row r="2220" spans="2:4" x14ac:dyDescent="0.15">
      <c r="B2220" s="69"/>
      <c r="C2220" s="70"/>
      <c r="D2220" s="71"/>
    </row>
    <row r="2221" spans="2:4" x14ac:dyDescent="0.15">
      <c r="B2221" s="69"/>
      <c r="C2221" s="70"/>
      <c r="D2221" s="71"/>
    </row>
    <row r="2222" spans="2:4" x14ac:dyDescent="0.15">
      <c r="B2222" s="69"/>
      <c r="C2222" s="70"/>
      <c r="D2222" s="71"/>
    </row>
    <row r="2223" spans="2:4" x14ac:dyDescent="0.15">
      <c r="B2223" s="69"/>
      <c r="C2223" s="70"/>
      <c r="D2223" s="71"/>
    </row>
    <row r="2224" spans="2:4" x14ac:dyDescent="0.15">
      <c r="B2224" s="69"/>
      <c r="C2224" s="70"/>
      <c r="D2224" s="71"/>
    </row>
    <row r="2225" spans="2:4" x14ac:dyDescent="0.15">
      <c r="B2225" s="69"/>
      <c r="C2225" s="70"/>
      <c r="D2225" s="71"/>
    </row>
    <row r="2226" spans="2:4" x14ac:dyDescent="0.15">
      <c r="B2226" s="69"/>
      <c r="C2226" s="70"/>
      <c r="D2226" s="71"/>
    </row>
    <row r="2227" spans="2:4" x14ac:dyDescent="0.15">
      <c r="B2227" s="69"/>
      <c r="C2227" s="70"/>
      <c r="D2227" s="71"/>
    </row>
    <row r="2228" spans="2:4" x14ac:dyDescent="0.15">
      <c r="B2228" s="69"/>
      <c r="C2228" s="70"/>
      <c r="D2228" s="71"/>
    </row>
    <row r="2229" spans="2:4" x14ac:dyDescent="0.15">
      <c r="B2229" s="69"/>
      <c r="C2229" s="70"/>
      <c r="D2229" s="71"/>
    </row>
    <row r="2230" spans="2:4" x14ac:dyDescent="0.15">
      <c r="B2230" s="69"/>
      <c r="C2230" s="70"/>
      <c r="D2230" s="71"/>
    </row>
    <row r="2231" spans="2:4" x14ac:dyDescent="0.15">
      <c r="B2231" s="69"/>
      <c r="C2231" s="70"/>
      <c r="D2231" s="71"/>
    </row>
    <row r="2232" spans="2:4" x14ac:dyDescent="0.15">
      <c r="B2232" s="69"/>
      <c r="C2232" s="70"/>
      <c r="D2232" s="71"/>
    </row>
    <row r="2233" spans="2:4" x14ac:dyDescent="0.15">
      <c r="B2233" s="69"/>
      <c r="C2233" s="70"/>
      <c r="D2233" s="71"/>
    </row>
    <row r="2234" spans="2:4" x14ac:dyDescent="0.15">
      <c r="B2234" s="69"/>
      <c r="C2234" s="70"/>
      <c r="D2234" s="71"/>
    </row>
    <row r="2235" spans="2:4" x14ac:dyDescent="0.15">
      <c r="B2235" s="69"/>
      <c r="C2235" s="70"/>
      <c r="D2235" s="71"/>
    </row>
    <row r="2236" spans="2:4" x14ac:dyDescent="0.15">
      <c r="B2236" s="69"/>
      <c r="C2236" s="70"/>
      <c r="D2236" s="71"/>
    </row>
    <row r="2237" spans="2:4" x14ac:dyDescent="0.15">
      <c r="B2237" s="69"/>
      <c r="C2237" s="70"/>
      <c r="D2237" s="71"/>
    </row>
    <row r="2238" spans="2:4" x14ac:dyDescent="0.15">
      <c r="B2238" s="69"/>
      <c r="C2238" s="70"/>
      <c r="D2238" s="71"/>
    </row>
    <row r="2239" spans="2:4" x14ac:dyDescent="0.15">
      <c r="B2239" s="69"/>
      <c r="C2239" s="70"/>
      <c r="D2239" s="71"/>
    </row>
    <row r="2240" spans="2:4" x14ac:dyDescent="0.15">
      <c r="B2240" s="69"/>
      <c r="C2240" s="70"/>
      <c r="D2240" s="71"/>
    </row>
    <row r="2241" spans="2:4" x14ac:dyDescent="0.15">
      <c r="B2241" s="69"/>
      <c r="C2241" s="70"/>
      <c r="D2241" s="71"/>
    </row>
    <row r="2242" spans="2:4" x14ac:dyDescent="0.15">
      <c r="B2242" s="69"/>
      <c r="C2242" s="70"/>
      <c r="D2242" s="71"/>
    </row>
    <row r="2243" spans="2:4" x14ac:dyDescent="0.15">
      <c r="B2243" s="69"/>
      <c r="C2243" s="70"/>
      <c r="D2243" s="71"/>
    </row>
    <row r="2244" spans="2:4" x14ac:dyDescent="0.15">
      <c r="B2244" s="69"/>
      <c r="C2244" s="70"/>
      <c r="D2244" s="71"/>
    </row>
    <row r="2245" spans="2:4" x14ac:dyDescent="0.15">
      <c r="B2245" s="69"/>
      <c r="C2245" s="70"/>
      <c r="D2245" s="71"/>
    </row>
    <row r="2246" spans="2:4" x14ac:dyDescent="0.15">
      <c r="B2246" s="69"/>
      <c r="C2246" s="70"/>
      <c r="D2246" s="71"/>
    </row>
    <row r="2247" spans="2:4" x14ac:dyDescent="0.15">
      <c r="B2247" s="69"/>
      <c r="C2247" s="70"/>
      <c r="D2247" s="71"/>
    </row>
    <row r="2248" spans="2:4" x14ac:dyDescent="0.15">
      <c r="B2248" s="69"/>
      <c r="C2248" s="70"/>
      <c r="D2248" s="71"/>
    </row>
    <row r="2249" spans="2:4" x14ac:dyDescent="0.15">
      <c r="B2249" s="69"/>
      <c r="C2249" s="70"/>
      <c r="D2249" s="71"/>
    </row>
    <row r="2250" spans="2:4" x14ac:dyDescent="0.15">
      <c r="B2250" s="69"/>
      <c r="C2250" s="70"/>
      <c r="D2250" s="71"/>
    </row>
    <row r="2251" spans="2:4" x14ac:dyDescent="0.15">
      <c r="B2251" s="69"/>
      <c r="C2251" s="70"/>
      <c r="D2251" s="71"/>
    </row>
    <row r="2252" spans="2:4" x14ac:dyDescent="0.15">
      <c r="B2252" s="69"/>
      <c r="C2252" s="70"/>
      <c r="D2252" s="71"/>
    </row>
    <row r="2253" spans="2:4" x14ac:dyDescent="0.15">
      <c r="B2253" s="69"/>
      <c r="C2253" s="70"/>
      <c r="D2253" s="71"/>
    </row>
    <row r="2254" spans="2:4" x14ac:dyDescent="0.15">
      <c r="B2254" s="69"/>
      <c r="C2254" s="70"/>
      <c r="D2254" s="71"/>
    </row>
    <row r="2255" spans="2:4" x14ac:dyDescent="0.15">
      <c r="B2255" s="69"/>
      <c r="C2255" s="70"/>
      <c r="D2255" s="71"/>
    </row>
    <row r="2256" spans="2:4" x14ac:dyDescent="0.15">
      <c r="B2256" s="69"/>
      <c r="C2256" s="70"/>
      <c r="D2256" s="71"/>
    </row>
    <row r="2257" spans="2:4" x14ac:dyDescent="0.15">
      <c r="B2257" s="69"/>
      <c r="C2257" s="70"/>
      <c r="D2257" s="71"/>
    </row>
    <row r="2258" spans="2:4" x14ac:dyDescent="0.15">
      <c r="B2258" s="69"/>
      <c r="C2258" s="70"/>
      <c r="D2258" s="71"/>
    </row>
    <row r="2259" spans="2:4" x14ac:dyDescent="0.15">
      <c r="B2259" s="69"/>
      <c r="C2259" s="70"/>
      <c r="D2259" s="71"/>
    </row>
    <row r="2260" spans="2:4" x14ac:dyDescent="0.15">
      <c r="B2260" s="69"/>
      <c r="C2260" s="70"/>
      <c r="D2260" s="71"/>
    </row>
    <row r="2261" spans="2:4" x14ac:dyDescent="0.15">
      <c r="B2261" s="69"/>
      <c r="C2261" s="70"/>
      <c r="D2261" s="71"/>
    </row>
    <row r="2262" spans="2:4" x14ac:dyDescent="0.15">
      <c r="B2262" s="69"/>
      <c r="C2262" s="70"/>
      <c r="D2262" s="71"/>
    </row>
    <row r="2263" spans="2:4" x14ac:dyDescent="0.15">
      <c r="B2263" s="69"/>
      <c r="C2263" s="70"/>
      <c r="D2263" s="71"/>
    </row>
    <row r="2264" spans="2:4" x14ac:dyDescent="0.15">
      <c r="B2264" s="69"/>
      <c r="C2264" s="70"/>
      <c r="D2264" s="71"/>
    </row>
    <row r="2265" spans="2:4" x14ac:dyDescent="0.15">
      <c r="B2265" s="69"/>
      <c r="C2265" s="70"/>
      <c r="D2265" s="71"/>
    </row>
    <row r="2266" spans="2:4" x14ac:dyDescent="0.15">
      <c r="B2266" s="69"/>
      <c r="C2266" s="70"/>
      <c r="D2266" s="71"/>
    </row>
    <row r="2267" spans="2:4" x14ac:dyDescent="0.15">
      <c r="B2267" s="69"/>
      <c r="C2267" s="70"/>
      <c r="D2267" s="71"/>
    </row>
    <row r="2268" spans="2:4" x14ac:dyDescent="0.15">
      <c r="B2268" s="69"/>
      <c r="C2268" s="70"/>
      <c r="D2268" s="71"/>
    </row>
    <row r="2269" spans="2:4" x14ac:dyDescent="0.15">
      <c r="B2269" s="69"/>
      <c r="C2269" s="70"/>
      <c r="D2269" s="71"/>
    </row>
    <row r="2270" spans="2:4" x14ac:dyDescent="0.15">
      <c r="B2270" s="69"/>
      <c r="C2270" s="70"/>
      <c r="D2270" s="71"/>
    </row>
    <row r="2271" spans="2:4" x14ac:dyDescent="0.15">
      <c r="B2271" s="69"/>
      <c r="C2271" s="70"/>
      <c r="D2271" s="71"/>
    </row>
    <row r="2272" spans="2:4" x14ac:dyDescent="0.15">
      <c r="B2272" s="69"/>
      <c r="C2272" s="70"/>
      <c r="D2272" s="71"/>
    </row>
    <row r="2273" spans="2:4" x14ac:dyDescent="0.15">
      <c r="B2273" s="69"/>
      <c r="C2273" s="70"/>
      <c r="D2273" s="71"/>
    </row>
    <row r="2274" spans="2:4" x14ac:dyDescent="0.15">
      <c r="B2274" s="69"/>
      <c r="C2274" s="70"/>
      <c r="D2274" s="71"/>
    </row>
    <row r="2275" spans="2:4" x14ac:dyDescent="0.15">
      <c r="B2275" s="69"/>
      <c r="C2275" s="70"/>
      <c r="D2275" s="71"/>
    </row>
    <row r="2276" spans="2:4" x14ac:dyDescent="0.15">
      <c r="B2276" s="69"/>
      <c r="C2276" s="70"/>
      <c r="D2276" s="71"/>
    </row>
    <row r="2277" spans="2:4" x14ac:dyDescent="0.15">
      <c r="B2277" s="69"/>
      <c r="C2277" s="70"/>
      <c r="D2277" s="71"/>
    </row>
    <row r="2278" spans="2:4" x14ac:dyDescent="0.15">
      <c r="B2278" s="69"/>
      <c r="C2278" s="70"/>
      <c r="D2278" s="71"/>
    </row>
    <row r="2279" spans="2:4" x14ac:dyDescent="0.15">
      <c r="B2279" s="69"/>
      <c r="C2279" s="70"/>
      <c r="D2279" s="71"/>
    </row>
    <row r="2280" spans="2:4" x14ac:dyDescent="0.15">
      <c r="B2280" s="69"/>
      <c r="C2280" s="70"/>
      <c r="D2280" s="71"/>
    </row>
    <row r="2281" spans="2:4" x14ac:dyDescent="0.15">
      <c r="B2281" s="69"/>
      <c r="C2281" s="70"/>
      <c r="D2281" s="71"/>
    </row>
    <row r="2282" spans="2:4" x14ac:dyDescent="0.15">
      <c r="B2282" s="69"/>
      <c r="C2282" s="70"/>
      <c r="D2282" s="71"/>
    </row>
    <row r="2283" spans="2:4" x14ac:dyDescent="0.15">
      <c r="B2283" s="69"/>
      <c r="C2283" s="70"/>
      <c r="D2283" s="71"/>
    </row>
    <row r="2284" spans="2:4" x14ac:dyDescent="0.15">
      <c r="B2284" s="69"/>
      <c r="C2284" s="70"/>
      <c r="D2284" s="71"/>
    </row>
    <row r="2285" spans="2:4" x14ac:dyDescent="0.15">
      <c r="B2285" s="69"/>
      <c r="C2285" s="70"/>
      <c r="D2285" s="71"/>
    </row>
    <row r="2286" spans="2:4" x14ac:dyDescent="0.15">
      <c r="B2286" s="69"/>
      <c r="C2286" s="70"/>
      <c r="D2286" s="71"/>
    </row>
    <row r="2287" spans="2:4" x14ac:dyDescent="0.15">
      <c r="B2287" s="69"/>
      <c r="C2287" s="70"/>
      <c r="D2287" s="71"/>
    </row>
    <row r="2288" spans="2:4" x14ac:dyDescent="0.15">
      <c r="B2288" s="69"/>
      <c r="C2288" s="70"/>
      <c r="D2288" s="71"/>
    </row>
    <row r="2289" spans="2:4" x14ac:dyDescent="0.15">
      <c r="B2289" s="69"/>
      <c r="C2289" s="70"/>
      <c r="D2289" s="71"/>
    </row>
    <row r="2290" spans="2:4" x14ac:dyDescent="0.15">
      <c r="B2290" s="69"/>
      <c r="C2290" s="70"/>
      <c r="D2290" s="71"/>
    </row>
    <row r="2291" spans="2:4" x14ac:dyDescent="0.15">
      <c r="B2291" s="69"/>
      <c r="C2291" s="70"/>
      <c r="D2291" s="71"/>
    </row>
    <row r="2292" spans="2:4" x14ac:dyDescent="0.15">
      <c r="B2292" s="69"/>
      <c r="C2292" s="70"/>
      <c r="D2292" s="71"/>
    </row>
    <row r="2293" spans="2:4" x14ac:dyDescent="0.15">
      <c r="B2293" s="69"/>
      <c r="C2293" s="70"/>
      <c r="D2293" s="71"/>
    </row>
    <row r="2294" spans="2:4" x14ac:dyDescent="0.15">
      <c r="B2294" s="69"/>
      <c r="C2294" s="70"/>
      <c r="D2294" s="71"/>
    </row>
    <row r="2295" spans="2:4" x14ac:dyDescent="0.15">
      <c r="B2295" s="69"/>
      <c r="C2295" s="70"/>
      <c r="D2295" s="71"/>
    </row>
    <row r="2296" spans="2:4" x14ac:dyDescent="0.15">
      <c r="B2296" s="69"/>
      <c r="C2296" s="70"/>
      <c r="D2296" s="71"/>
    </row>
    <row r="2297" spans="2:4" x14ac:dyDescent="0.15">
      <c r="B2297" s="69"/>
      <c r="C2297" s="70"/>
      <c r="D2297" s="71"/>
    </row>
    <row r="2298" spans="2:4" x14ac:dyDescent="0.15">
      <c r="B2298" s="69"/>
      <c r="C2298" s="70"/>
      <c r="D2298" s="71"/>
    </row>
    <row r="2299" spans="2:4" x14ac:dyDescent="0.15">
      <c r="B2299" s="69"/>
      <c r="C2299" s="70"/>
      <c r="D2299" s="71"/>
    </row>
    <row r="2300" spans="2:4" x14ac:dyDescent="0.15">
      <c r="B2300" s="69"/>
      <c r="C2300" s="70"/>
      <c r="D2300" s="71"/>
    </row>
    <row r="2301" spans="2:4" x14ac:dyDescent="0.15">
      <c r="B2301" s="69"/>
      <c r="C2301" s="70"/>
      <c r="D2301" s="71"/>
    </row>
    <row r="2302" spans="2:4" x14ac:dyDescent="0.15">
      <c r="B2302" s="69"/>
      <c r="C2302" s="70"/>
      <c r="D2302" s="71"/>
    </row>
    <row r="2303" spans="2:4" x14ac:dyDescent="0.15">
      <c r="B2303" s="69"/>
      <c r="C2303" s="70"/>
      <c r="D2303" s="71"/>
    </row>
    <row r="2304" spans="2:4" x14ac:dyDescent="0.15">
      <c r="B2304" s="69"/>
      <c r="C2304" s="70"/>
      <c r="D2304" s="71"/>
    </row>
    <row r="2305" spans="2:4" x14ac:dyDescent="0.15">
      <c r="B2305" s="69"/>
      <c r="C2305" s="70"/>
      <c r="D2305" s="71"/>
    </row>
    <row r="2306" spans="2:4" x14ac:dyDescent="0.15">
      <c r="B2306" s="69"/>
      <c r="C2306" s="70"/>
      <c r="D2306" s="71"/>
    </row>
    <row r="2307" spans="2:4" x14ac:dyDescent="0.15">
      <c r="B2307" s="69"/>
      <c r="C2307" s="70"/>
      <c r="D2307" s="71"/>
    </row>
    <row r="2308" spans="2:4" x14ac:dyDescent="0.15">
      <c r="B2308" s="69"/>
      <c r="C2308" s="70"/>
      <c r="D2308" s="71"/>
    </row>
    <row r="2309" spans="2:4" x14ac:dyDescent="0.15">
      <c r="B2309" s="69"/>
      <c r="C2309" s="70"/>
      <c r="D2309" s="71"/>
    </row>
    <row r="2310" spans="2:4" x14ac:dyDescent="0.15">
      <c r="B2310" s="69"/>
      <c r="C2310" s="70"/>
      <c r="D2310" s="71"/>
    </row>
    <row r="2311" spans="2:4" x14ac:dyDescent="0.15">
      <c r="B2311" s="69"/>
      <c r="C2311" s="70"/>
      <c r="D2311" s="71"/>
    </row>
    <row r="2312" spans="2:4" x14ac:dyDescent="0.15">
      <c r="B2312" s="69"/>
      <c r="C2312" s="70"/>
      <c r="D2312" s="71"/>
    </row>
    <row r="2313" spans="2:4" x14ac:dyDescent="0.15">
      <c r="B2313" s="69"/>
      <c r="C2313" s="70"/>
      <c r="D2313" s="71"/>
    </row>
    <row r="2314" spans="2:4" x14ac:dyDescent="0.15">
      <c r="B2314" s="69"/>
      <c r="C2314" s="70"/>
      <c r="D2314" s="71"/>
    </row>
    <row r="2315" spans="2:4" x14ac:dyDescent="0.15">
      <c r="B2315" s="69"/>
      <c r="C2315" s="70"/>
      <c r="D2315" s="71"/>
    </row>
    <row r="2316" spans="2:4" x14ac:dyDescent="0.15">
      <c r="B2316" s="69"/>
      <c r="C2316" s="70"/>
      <c r="D2316" s="71"/>
    </row>
    <row r="2317" spans="2:4" x14ac:dyDescent="0.15">
      <c r="B2317" s="69"/>
      <c r="C2317" s="70"/>
      <c r="D2317" s="71"/>
    </row>
    <row r="2318" spans="2:4" x14ac:dyDescent="0.15">
      <c r="B2318" s="69"/>
      <c r="C2318" s="70"/>
      <c r="D2318" s="71"/>
    </row>
    <row r="2319" spans="2:4" x14ac:dyDescent="0.15">
      <c r="B2319" s="69"/>
      <c r="C2319" s="70"/>
      <c r="D2319" s="71"/>
    </row>
    <row r="2320" spans="2:4" x14ac:dyDescent="0.15">
      <c r="B2320" s="69"/>
      <c r="C2320" s="70"/>
      <c r="D2320" s="71"/>
    </row>
    <row r="2321" spans="2:4" x14ac:dyDescent="0.15">
      <c r="B2321" s="69"/>
      <c r="C2321" s="70"/>
      <c r="D2321" s="71"/>
    </row>
    <row r="2322" spans="2:4" x14ac:dyDescent="0.15">
      <c r="B2322" s="69"/>
      <c r="C2322" s="70"/>
      <c r="D2322" s="71"/>
    </row>
    <row r="2323" spans="2:4" x14ac:dyDescent="0.15">
      <c r="B2323" s="69"/>
      <c r="C2323" s="70"/>
      <c r="D2323" s="71"/>
    </row>
    <row r="2324" spans="2:4" x14ac:dyDescent="0.15">
      <c r="B2324" s="69"/>
      <c r="C2324" s="70"/>
      <c r="D2324" s="71"/>
    </row>
    <row r="2325" spans="2:4" x14ac:dyDescent="0.15">
      <c r="B2325" s="69"/>
      <c r="C2325" s="70"/>
      <c r="D2325" s="71"/>
    </row>
    <row r="2326" spans="2:4" x14ac:dyDescent="0.15">
      <c r="B2326" s="69"/>
      <c r="C2326" s="70"/>
      <c r="D2326" s="71"/>
    </row>
    <row r="2327" spans="2:4" x14ac:dyDescent="0.15">
      <c r="B2327" s="69"/>
      <c r="C2327" s="70"/>
      <c r="D2327" s="71"/>
    </row>
    <row r="2328" spans="2:4" x14ac:dyDescent="0.15">
      <c r="B2328" s="69"/>
      <c r="C2328" s="70"/>
      <c r="D2328" s="71"/>
    </row>
    <row r="2329" spans="2:4" x14ac:dyDescent="0.15">
      <c r="B2329" s="69"/>
      <c r="C2329" s="70"/>
      <c r="D2329" s="71"/>
    </row>
    <row r="2330" spans="2:4" x14ac:dyDescent="0.15">
      <c r="B2330" s="69"/>
      <c r="C2330" s="70"/>
      <c r="D2330" s="71"/>
    </row>
    <row r="2331" spans="2:4" x14ac:dyDescent="0.15">
      <c r="B2331" s="69"/>
      <c r="C2331" s="70"/>
      <c r="D2331" s="71"/>
    </row>
    <row r="2332" spans="2:4" x14ac:dyDescent="0.15">
      <c r="B2332" s="69"/>
      <c r="C2332" s="70"/>
      <c r="D2332" s="71"/>
    </row>
    <row r="2333" spans="2:4" x14ac:dyDescent="0.15">
      <c r="B2333" s="69"/>
      <c r="C2333" s="70"/>
      <c r="D2333" s="71"/>
    </row>
    <row r="2334" spans="2:4" x14ac:dyDescent="0.15">
      <c r="B2334" s="69"/>
      <c r="C2334" s="70"/>
      <c r="D2334" s="71"/>
    </row>
    <row r="2335" spans="2:4" x14ac:dyDescent="0.15">
      <c r="B2335" s="69"/>
      <c r="C2335" s="70"/>
      <c r="D2335" s="71"/>
    </row>
    <row r="2336" spans="2:4" x14ac:dyDescent="0.15">
      <c r="B2336" s="69"/>
      <c r="C2336" s="70"/>
      <c r="D2336" s="71"/>
    </row>
    <row r="2337" spans="2:4" x14ac:dyDescent="0.15">
      <c r="B2337" s="69"/>
      <c r="C2337" s="70"/>
      <c r="D2337" s="71"/>
    </row>
    <row r="2338" spans="2:4" x14ac:dyDescent="0.15">
      <c r="B2338" s="69"/>
      <c r="C2338" s="70"/>
      <c r="D2338" s="71"/>
    </row>
    <row r="2339" spans="2:4" x14ac:dyDescent="0.15">
      <c r="B2339" s="69"/>
      <c r="C2339" s="70"/>
      <c r="D2339" s="71"/>
    </row>
    <row r="2340" spans="2:4" x14ac:dyDescent="0.15">
      <c r="B2340" s="69"/>
      <c r="C2340" s="70"/>
      <c r="D2340" s="71"/>
    </row>
    <row r="2341" spans="2:4" x14ac:dyDescent="0.15">
      <c r="B2341" s="69"/>
      <c r="C2341" s="70"/>
      <c r="D2341" s="71"/>
    </row>
    <row r="2342" spans="2:4" x14ac:dyDescent="0.15">
      <c r="B2342" s="69"/>
      <c r="C2342" s="70"/>
      <c r="D2342" s="71"/>
    </row>
    <row r="2343" spans="2:4" x14ac:dyDescent="0.15">
      <c r="B2343" s="69"/>
      <c r="C2343" s="70"/>
      <c r="D2343" s="71"/>
    </row>
    <row r="2344" spans="2:4" x14ac:dyDescent="0.15">
      <c r="B2344" s="69"/>
      <c r="C2344" s="70"/>
      <c r="D2344" s="71"/>
    </row>
    <row r="2345" spans="2:4" x14ac:dyDescent="0.15">
      <c r="B2345" s="69"/>
      <c r="C2345" s="70"/>
      <c r="D2345" s="71"/>
    </row>
    <row r="2346" spans="2:4" x14ac:dyDescent="0.15">
      <c r="B2346" s="69"/>
      <c r="C2346" s="70"/>
      <c r="D2346" s="71"/>
    </row>
    <row r="2347" spans="2:4" x14ac:dyDescent="0.15">
      <c r="B2347" s="69"/>
      <c r="C2347" s="70"/>
      <c r="D2347" s="71"/>
    </row>
    <row r="2348" spans="2:4" x14ac:dyDescent="0.15">
      <c r="B2348" s="69"/>
      <c r="C2348" s="70"/>
      <c r="D2348" s="71"/>
    </row>
    <row r="2349" spans="2:4" x14ac:dyDescent="0.15">
      <c r="B2349" s="69"/>
      <c r="C2349" s="70"/>
      <c r="D2349" s="71"/>
    </row>
    <row r="2350" spans="2:4" x14ac:dyDescent="0.15">
      <c r="B2350" s="69"/>
      <c r="C2350" s="70"/>
      <c r="D2350" s="71"/>
    </row>
    <row r="2351" spans="2:4" x14ac:dyDescent="0.15">
      <c r="B2351" s="69"/>
      <c r="C2351" s="70"/>
      <c r="D2351" s="71"/>
    </row>
    <row r="2352" spans="2:4" x14ac:dyDescent="0.15">
      <c r="B2352" s="69"/>
      <c r="C2352" s="70"/>
      <c r="D2352" s="71"/>
    </row>
    <row r="2353" spans="2:4" x14ac:dyDescent="0.15">
      <c r="B2353" s="69"/>
      <c r="C2353" s="70"/>
      <c r="D2353" s="71"/>
    </row>
    <row r="2354" spans="2:4" x14ac:dyDescent="0.15">
      <c r="B2354" s="69"/>
      <c r="C2354" s="70"/>
      <c r="D2354" s="71"/>
    </row>
    <row r="2355" spans="2:4" x14ac:dyDescent="0.15">
      <c r="B2355" s="69"/>
      <c r="C2355" s="70"/>
      <c r="D2355" s="71"/>
    </row>
    <row r="2356" spans="2:4" x14ac:dyDescent="0.15">
      <c r="B2356" s="69"/>
      <c r="C2356" s="70"/>
      <c r="D2356" s="71"/>
    </row>
    <row r="2357" spans="2:4" x14ac:dyDescent="0.15">
      <c r="B2357" s="69"/>
      <c r="C2357" s="70"/>
      <c r="D2357" s="71"/>
    </row>
    <row r="2358" spans="2:4" x14ac:dyDescent="0.15">
      <c r="B2358" s="69"/>
      <c r="C2358" s="70"/>
      <c r="D2358" s="71"/>
    </row>
    <row r="2359" spans="2:4" x14ac:dyDescent="0.15">
      <c r="B2359" s="69"/>
      <c r="C2359" s="70"/>
      <c r="D2359" s="71"/>
    </row>
    <row r="2360" spans="2:4" x14ac:dyDescent="0.15">
      <c r="B2360" s="69"/>
      <c r="C2360" s="70"/>
      <c r="D2360" s="71"/>
    </row>
    <row r="2361" spans="2:4" x14ac:dyDescent="0.15">
      <c r="B2361" s="69"/>
      <c r="C2361" s="70"/>
      <c r="D2361" s="71"/>
    </row>
    <row r="2362" spans="2:4" x14ac:dyDescent="0.15">
      <c r="B2362" s="69"/>
      <c r="C2362" s="70"/>
      <c r="D2362" s="71"/>
    </row>
    <row r="2363" spans="2:4" x14ac:dyDescent="0.15">
      <c r="B2363" s="69"/>
      <c r="C2363" s="70"/>
      <c r="D2363" s="71"/>
    </row>
    <row r="2364" spans="2:4" x14ac:dyDescent="0.15">
      <c r="B2364" s="69"/>
      <c r="C2364" s="70"/>
      <c r="D2364" s="71"/>
    </row>
    <row r="2365" spans="2:4" x14ac:dyDescent="0.15">
      <c r="B2365" s="69"/>
      <c r="C2365" s="70"/>
      <c r="D2365" s="71"/>
    </row>
    <row r="2366" spans="2:4" x14ac:dyDescent="0.15">
      <c r="B2366" s="69"/>
      <c r="C2366" s="70"/>
      <c r="D2366" s="71"/>
    </row>
    <row r="2367" spans="2:4" x14ac:dyDescent="0.15">
      <c r="B2367" s="69"/>
      <c r="C2367" s="70"/>
      <c r="D2367" s="71"/>
    </row>
    <row r="2368" spans="2:4" x14ac:dyDescent="0.15">
      <c r="B2368" s="69"/>
      <c r="C2368" s="70"/>
      <c r="D2368" s="71"/>
    </row>
    <row r="2369" spans="2:4" x14ac:dyDescent="0.15">
      <c r="B2369" s="69"/>
      <c r="C2369" s="70"/>
      <c r="D2369" s="71"/>
    </row>
    <row r="2370" spans="2:4" x14ac:dyDescent="0.15">
      <c r="B2370" s="69"/>
      <c r="C2370" s="70"/>
      <c r="D2370" s="71"/>
    </row>
    <row r="2371" spans="2:4" x14ac:dyDescent="0.15">
      <c r="B2371" s="69"/>
      <c r="C2371" s="70"/>
      <c r="D2371" s="71"/>
    </row>
    <row r="2372" spans="2:4" x14ac:dyDescent="0.15">
      <c r="B2372" s="69"/>
      <c r="C2372" s="70"/>
      <c r="D2372" s="71"/>
    </row>
    <row r="2373" spans="2:4" x14ac:dyDescent="0.15">
      <c r="B2373" s="69"/>
      <c r="C2373" s="70"/>
      <c r="D2373" s="71"/>
    </row>
    <row r="2374" spans="2:4" x14ac:dyDescent="0.15">
      <c r="B2374" s="69"/>
      <c r="C2374" s="70"/>
      <c r="D2374" s="71"/>
    </row>
    <row r="2375" spans="2:4" x14ac:dyDescent="0.15">
      <c r="B2375" s="69"/>
      <c r="C2375" s="70"/>
      <c r="D2375" s="71"/>
    </row>
    <row r="2376" spans="2:4" x14ac:dyDescent="0.15">
      <c r="B2376" s="69"/>
      <c r="C2376" s="70"/>
      <c r="D2376" s="71"/>
    </row>
    <row r="2377" spans="2:4" x14ac:dyDescent="0.15">
      <c r="B2377" s="69"/>
      <c r="C2377" s="70"/>
      <c r="D2377" s="71"/>
    </row>
    <row r="2378" spans="2:4" x14ac:dyDescent="0.15">
      <c r="B2378" s="69"/>
      <c r="C2378" s="70"/>
      <c r="D2378" s="71"/>
    </row>
    <row r="2379" spans="2:4" x14ac:dyDescent="0.15">
      <c r="B2379" s="69"/>
      <c r="C2379" s="70"/>
      <c r="D2379" s="71"/>
    </row>
    <row r="2380" spans="2:4" x14ac:dyDescent="0.15">
      <c r="B2380" s="69"/>
      <c r="C2380" s="70"/>
      <c r="D2380" s="71"/>
    </row>
    <row r="2381" spans="2:4" x14ac:dyDescent="0.15">
      <c r="B2381" s="69"/>
      <c r="C2381" s="70"/>
      <c r="D2381" s="71"/>
    </row>
    <row r="2382" spans="2:4" x14ac:dyDescent="0.15">
      <c r="B2382" s="69"/>
      <c r="C2382" s="70"/>
      <c r="D2382" s="71"/>
    </row>
    <row r="2383" spans="2:4" x14ac:dyDescent="0.15">
      <c r="B2383" s="69"/>
      <c r="C2383" s="70"/>
      <c r="D2383" s="71"/>
    </row>
    <row r="2384" spans="2:4" x14ac:dyDescent="0.15">
      <c r="B2384" s="69"/>
      <c r="C2384" s="70"/>
      <c r="D2384" s="71"/>
    </row>
    <row r="2385" spans="2:4" x14ac:dyDescent="0.15">
      <c r="B2385" s="69"/>
      <c r="C2385" s="70"/>
      <c r="D2385" s="71"/>
    </row>
    <row r="2386" spans="2:4" x14ac:dyDescent="0.15">
      <c r="B2386" s="69"/>
      <c r="C2386" s="70"/>
      <c r="D2386" s="71"/>
    </row>
    <row r="2387" spans="2:4" x14ac:dyDescent="0.15">
      <c r="B2387" s="69"/>
      <c r="C2387" s="70"/>
      <c r="D2387" s="71"/>
    </row>
    <row r="2388" spans="2:4" x14ac:dyDescent="0.15">
      <c r="B2388" s="69"/>
      <c r="C2388" s="70"/>
      <c r="D2388" s="71"/>
    </row>
    <row r="2389" spans="2:4" x14ac:dyDescent="0.15">
      <c r="B2389" s="69"/>
      <c r="C2389" s="70"/>
      <c r="D2389" s="71"/>
    </row>
    <row r="2390" spans="2:4" x14ac:dyDescent="0.15">
      <c r="B2390" s="69"/>
      <c r="C2390" s="70"/>
      <c r="D2390" s="71"/>
    </row>
    <row r="2391" spans="2:4" x14ac:dyDescent="0.15">
      <c r="B2391" s="69"/>
      <c r="C2391" s="70"/>
      <c r="D2391" s="71"/>
    </row>
    <row r="2392" spans="2:4" x14ac:dyDescent="0.15">
      <c r="B2392" s="69"/>
      <c r="C2392" s="70"/>
      <c r="D2392" s="71"/>
    </row>
    <row r="2393" spans="2:4" x14ac:dyDescent="0.15">
      <c r="B2393" s="69"/>
      <c r="C2393" s="70"/>
      <c r="D2393" s="71"/>
    </row>
    <row r="2394" spans="2:4" x14ac:dyDescent="0.15">
      <c r="B2394" s="69"/>
      <c r="C2394" s="70"/>
      <c r="D2394" s="71"/>
    </row>
    <row r="2395" spans="2:4" x14ac:dyDescent="0.15">
      <c r="B2395" s="69"/>
      <c r="C2395" s="70"/>
      <c r="D2395" s="71"/>
    </row>
    <row r="2396" spans="2:4" x14ac:dyDescent="0.15">
      <c r="B2396" s="69"/>
      <c r="C2396" s="70"/>
      <c r="D2396" s="71"/>
    </row>
    <row r="2397" spans="2:4" x14ac:dyDescent="0.15">
      <c r="B2397" s="69"/>
      <c r="C2397" s="70"/>
      <c r="D2397" s="71"/>
    </row>
    <row r="2398" spans="2:4" x14ac:dyDescent="0.15">
      <c r="B2398" s="69"/>
      <c r="C2398" s="70"/>
      <c r="D2398" s="71"/>
    </row>
    <row r="2399" spans="2:4" x14ac:dyDescent="0.15">
      <c r="B2399" s="69"/>
      <c r="C2399" s="70"/>
      <c r="D2399" s="71"/>
    </row>
    <row r="2400" spans="2:4" x14ac:dyDescent="0.15">
      <c r="B2400" s="69"/>
      <c r="C2400" s="70"/>
      <c r="D2400" s="71"/>
    </row>
    <row r="2401" spans="2:4" x14ac:dyDescent="0.15">
      <c r="B2401" s="69"/>
      <c r="C2401" s="70"/>
      <c r="D2401" s="71"/>
    </row>
    <row r="2402" spans="2:4" x14ac:dyDescent="0.15">
      <c r="B2402" s="69"/>
      <c r="C2402" s="70"/>
      <c r="D2402" s="71"/>
    </row>
    <row r="2403" spans="2:4" x14ac:dyDescent="0.15">
      <c r="B2403" s="69"/>
      <c r="C2403" s="70"/>
      <c r="D2403" s="71"/>
    </row>
    <row r="2404" spans="2:4" x14ac:dyDescent="0.15">
      <c r="B2404" s="69"/>
      <c r="C2404" s="70"/>
      <c r="D2404" s="71"/>
    </row>
    <row r="2405" spans="2:4" x14ac:dyDescent="0.15">
      <c r="B2405" s="69"/>
      <c r="C2405" s="70"/>
      <c r="D2405" s="71"/>
    </row>
    <row r="2406" spans="2:4" x14ac:dyDescent="0.15">
      <c r="B2406" s="69"/>
      <c r="C2406" s="70"/>
      <c r="D2406" s="71"/>
    </row>
    <row r="2407" spans="2:4" x14ac:dyDescent="0.15">
      <c r="B2407" s="69"/>
      <c r="C2407" s="70"/>
      <c r="D2407" s="71"/>
    </row>
    <row r="2408" spans="2:4" x14ac:dyDescent="0.15">
      <c r="B2408" s="69"/>
      <c r="C2408" s="70"/>
      <c r="D2408" s="71"/>
    </row>
    <row r="2409" spans="2:4" x14ac:dyDescent="0.15">
      <c r="B2409" s="69"/>
      <c r="C2409" s="70"/>
      <c r="D2409" s="71"/>
    </row>
    <row r="2410" spans="2:4" x14ac:dyDescent="0.15">
      <c r="B2410" s="69"/>
      <c r="C2410" s="70"/>
      <c r="D2410" s="71"/>
    </row>
    <row r="2411" spans="2:4" x14ac:dyDescent="0.15">
      <c r="B2411" s="69"/>
      <c r="C2411" s="70"/>
      <c r="D2411" s="71"/>
    </row>
    <row r="2412" spans="2:4" x14ac:dyDescent="0.15">
      <c r="B2412" s="69"/>
      <c r="C2412" s="70"/>
      <c r="D2412" s="71"/>
    </row>
    <row r="2413" spans="2:4" x14ac:dyDescent="0.15">
      <c r="B2413" s="69"/>
      <c r="C2413" s="70"/>
      <c r="D2413" s="71"/>
    </row>
    <row r="2414" spans="2:4" x14ac:dyDescent="0.15">
      <c r="B2414" s="69"/>
      <c r="C2414" s="70"/>
      <c r="D2414" s="71"/>
    </row>
    <row r="2415" spans="2:4" x14ac:dyDescent="0.15">
      <c r="B2415" s="69"/>
      <c r="C2415" s="70"/>
      <c r="D2415" s="71"/>
    </row>
    <row r="2416" spans="2:4" x14ac:dyDescent="0.15">
      <c r="B2416" s="69"/>
      <c r="C2416" s="70"/>
      <c r="D2416" s="71"/>
    </row>
    <row r="2417" spans="2:4" x14ac:dyDescent="0.15">
      <c r="B2417" s="69"/>
      <c r="C2417" s="70"/>
      <c r="D2417" s="71"/>
    </row>
    <row r="2418" spans="2:4" x14ac:dyDescent="0.15">
      <c r="B2418" s="69"/>
      <c r="C2418" s="70"/>
      <c r="D2418" s="71"/>
    </row>
    <row r="2419" spans="2:4" x14ac:dyDescent="0.15">
      <c r="B2419" s="69"/>
      <c r="C2419" s="70"/>
      <c r="D2419" s="71"/>
    </row>
    <row r="2420" spans="2:4" x14ac:dyDescent="0.15">
      <c r="B2420" s="69"/>
      <c r="C2420" s="70"/>
      <c r="D2420" s="71"/>
    </row>
    <row r="2421" spans="2:4" x14ac:dyDescent="0.15">
      <c r="B2421" s="69"/>
      <c r="C2421" s="70"/>
      <c r="D2421" s="71"/>
    </row>
    <row r="2422" spans="2:4" x14ac:dyDescent="0.15">
      <c r="B2422" s="69"/>
      <c r="C2422" s="70"/>
      <c r="D2422" s="71"/>
    </row>
    <row r="2423" spans="2:4" x14ac:dyDescent="0.15">
      <c r="B2423" s="69"/>
      <c r="C2423" s="70"/>
      <c r="D2423" s="71"/>
    </row>
    <row r="2424" spans="2:4" x14ac:dyDescent="0.15">
      <c r="B2424" s="69"/>
      <c r="C2424" s="70"/>
      <c r="D2424" s="71"/>
    </row>
    <row r="2425" spans="2:4" x14ac:dyDescent="0.15">
      <c r="B2425" s="69"/>
      <c r="C2425" s="70"/>
      <c r="D2425" s="71"/>
    </row>
    <row r="2426" spans="2:4" x14ac:dyDescent="0.15">
      <c r="B2426" s="69"/>
      <c r="C2426" s="70"/>
      <c r="D2426" s="71"/>
    </row>
    <row r="2427" spans="2:4" x14ac:dyDescent="0.15">
      <c r="B2427" s="69"/>
      <c r="C2427" s="70"/>
      <c r="D2427" s="71"/>
    </row>
    <row r="2428" spans="2:4" x14ac:dyDescent="0.15">
      <c r="B2428" s="69"/>
      <c r="C2428" s="70"/>
      <c r="D2428" s="71"/>
    </row>
    <row r="2429" spans="2:4" x14ac:dyDescent="0.15">
      <c r="B2429" s="69"/>
      <c r="C2429" s="70"/>
      <c r="D2429" s="71"/>
    </row>
    <row r="2430" spans="2:4" x14ac:dyDescent="0.15">
      <c r="B2430" s="69"/>
      <c r="C2430" s="70"/>
      <c r="D2430" s="71"/>
    </row>
    <row r="2431" spans="2:4" x14ac:dyDescent="0.15">
      <c r="B2431" s="69"/>
      <c r="C2431" s="70"/>
      <c r="D2431" s="71"/>
    </row>
    <row r="2432" spans="2:4" x14ac:dyDescent="0.15">
      <c r="B2432" s="69"/>
      <c r="C2432" s="70"/>
      <c r="D2432" s="71"/>
    </row>
    <row r="2433" spans="2:4" x14ac:dyDescent="0.15">
      <c r="B2433" s="69"/>
      <c r="C2433" s="70"/>
      <c r="D2433" s="71"/>
    </row>
    <row r="2434" spans="2:4" x14ac:dyDescent="0.15">
      <c r="B2434" s="69"/>
      <c r="C2434" s="70"/>
      <c r="D2434" s="71"/>
    </row>
    <row r="2435" spans="2:4" x14ac:dyDescent="0.15">
      <c r="B2435" s="69"/>
      <c r="C2435" s="70"/>
      <c r="D2435" s="71"/>
    </row>
    <row r="2436" spans="2:4" x14ac:dyDescent="0.15">
      <c r="B2436" s="69"/>
      <c r="C2436" s="70"/>
      <c r="D2436" s="71"/>
    </row>
    <row r="2437" spans="2:4" x14ac:dyDescent="0.15">
      <c r="B2437" s="69"/>
      <c r="C2437" s="70"/>
      <c r="D2437" s="71"/>
    </row>
    <row r="2438" spans="2:4" x14ac:dyDescent="0.15">
      <c r="B2438" s="69"/>
      <c r="C2438" s="70"/>
      <c r="D2438" s="71"/>
    </row>
    <row r="2439" spans="2:4" x14ac:dyDescent="0.15">
      <c r="B2439" s="69"/>
      <c r="C2439" s="70"/>
      <c r="D2439" s="71"/>
    </row>
    <row r="2440" spans="2:4" x14ac:dyDescent="0.15">
      <c r="B2440" s="69"/>
      <c r="C2440" s="70"/>
      <c r="D2440" s="71"/>
    </row>
    <row r="2441" spans="2:4" x14ac:dyDescent="0.15">
      <c r="B2441" s="69"/>
      <c r="C2441" s="70"/>
      <c r="D2441" s="71"/>
    </row>
    <row r="2442" spans="2:4" x14ac:dyDescent="0.15">
      <c r="B2442" s="69"/>
      <c r="C2442" s="70"/>
      <c r="D2442" s="71"/>
    </row>
    <row r="2443" spans="2:4" x14ac:dyDescent="0.15">
      <c r="B2443" s="69"/>
      <c r="C2443" s="70"/>
      <c r="D2443" s="71"/>
    </row>
    <row r="2444" spans="2:4" x14ac:dyDescent="0.15">
      <c r="B2444" s="69"/>
      <c r="C2444" s="70"/>
      <c r="D2444" s="71"/>
    </row>
    <row r="2445" spans="2:4" x14ac:dyDescent="0.15">
      <c r="B2445" s="69"/>
      <c r="C2445" s="70"/>
      <c r="D2445" s="71"/>
    </row>
    <row r="2446" spans="2:4" x14ac:dyDescent="0.15">
      <c r="B2446" s="69"/>
      <c r="C2446" s="70"/>
      <c r="D2446" s="71"/>
    </row>
    <row r="2447" spans="2:4" x14ac:dyDescent="0.15">
      <c r="B2447" s="69"/>
      <c r="C2447" s="70"/>
      <c r="D2447" s="71"/>
    </row>
    <row r="2448" spans="2:4" x14ac:dyDescent="0.15">
      <c r="B2448" s="69"/>
      <c r="C2448" s="70"/>
      <c r="D2448" s="71"/>
    </row>
    <row r="2449" spans="2:4" x14ac:dyDescent="0.15">
      <c r="B2449" s="69"/>
      <c r="C2449" s="70"/>
      <c r="D2449" s="71"/>
    </row>
    <row r="2450" spans="2:4" x14ac:dyDescent="0.15">
      <c r="B2450" s="69"/>
      <c r="C2450" s="70"/>
      <c r="D2450" s="71"/>
    </row>
    <row r="2451" spans="2:4" x14ac:dyDescent="0.15">
      <c r="B2451" s="69"/>
      <c r="C2451" s="70"/>
      <c r="D2451" s="71"/>
    </row>
    <row r="2452" spans="2:4" x14ac:dyDescent="0.15">
      <c r="B2452" s="69"/>
      <c r="C2452" s="70"/>
      <c r="D2452" s="71"/>
    </row>
    <row r="2453" spans="2:4" x14ac:dyDescent="0.15">
      <c r="B2453" s="69"/>
      <c r="C2453" s="70"/>
      <c r="D2453" s="71"/>
    </row>
    <row r="2454" spans="2:4" x14ac:dyDescent="0.15">
      <c r="B2454" s="69"/>
      <c r="C2454" s="70"/>
      <c r="D2454" s="71"/>
    </row>
    <row r="2455" spans="2:4" x14ac:dyDescent="0.15">
      <c r="B2455" s="69"/>
      <c r="C2455" s="70"/>
      <c r="D2455" s="71"/>
    </row>
    <row r="2456" spans="2:4" x14ac:dyDescent="0.15">
      <c r="B2456" s="69"/>
      <c r="C2456" s="70"/>
      <c r="D2456" s="71"/>
    </row>
    <row r="2457" spans="2:4" x14ac:dyDescent="0.15">
      <c r="B2457" s="69"/>
      <c r="C2457" s="70"/>
      <c r="D2457" s="71"/>
    </row>
    <row r="2458" spans="2:4" x14ac:dyDescent="0.15">
      <c r="B2458" s="69"/>
      <c r="C2458" s="70"/>
      <c r="D2458" s="71"/>
    </row>
    <row r="2459" spans="2:4" x14ac:dyDescent="0.15">
      <c r="B2459" s="69"/>
      <c r="C2459" s="70"/>
      <c r="D2459" s="71"/>
    </row>
    <row r="2460" spans="2:4" x14ac:dyDescent="0.15">
      <c r="B2460" s="69"/>
      <c r="C2460" s="70"/>
      <c r="D2460" s="71"/>
    </row>
    <row r="2461" spans="2:4" x14ac:dyDescent="0.15">
      <c r="B2461" s="69"/>
      <c r="C2461" s="70"/>
      <c r="D2461" s="71"/>
    </row>
    <row r="2462" spans="2:4" x14ac:dyDescent="0.15">
      <c r="B2462" s="69"/>
      <c r="C2462" s="70"/>
      <c r="D2462" s="71"/>
    </row>
    <row r="2463" spans="2:4" x14ac:dyDescent="0.15">
      <c r="B2463" s="69"/>
      <c r="C2463" s="70"/>
      <c r="D2463" s="71"/>
    </row>
    <row r="2464" spans="2:4" x14ac:dyDescent="0.15">
      <c r="B2464" s="69"/>
      <c r="C2464" s="70"/>
      <c r="D2464" s="71"/>
    </row>
    <row r="2465" spans="2:4" x14ac:dyDescent="0.15">
      <c r="B2465" s="69"/>
      <c r="C2465" s="70"/>
      <c r="D2465" s="71"/>
    </row>
    <row r="2466" spans="2:4" x14ac:dyDescent="0.15">
      <c r="B2466" s="69"/>
      <c r="C2466" s="70"/>
      <c r="D2466" s="71"/>
    </row>
    <row r="2467" spans="2:4" x14ac:dyDescent="0.15">
      <c r="B2467" s="69"/>
      <c r="C2467" s="70"/>
      <c r="D2467" s="71"/>
    </row>
    <row r="2468" spans="2:4" x14ac:dyDescent="0.15">
      <c r="B2468" s="69"/>
      <c r="C2468" s="70"/>
      <c r="D2468" s="71"/>
    </row>
    <row r="2469" spans="2:4" x14ac:dyDescent="0.15">
      <c r="B2469" s="69"/>
      <c r="C2469" s="70"/>
      <c r="D2469" s="71"/>
    </row>
    <row r="2470" spans="2:4" x14ac:dyDescent="0.15">
      <c r="B2470" s="69"/>
      <c r="C2470" s="70"/>
      <c r="D2470" s="71"/>
    </row>
    <row r="2471" spans="2:4" x14ac:dyDescent="0.15">
      <c r="B2471" s="69"/>
      <c r="C2471" s="70"/>
      <c r="D2471" s="71"/>
    </row>
    <row r="2472" spans="2:4" x14ac:dyDescent="0.15">
      <c r="B2472" s="69"/>
      <c r="C2472" s="70"/>
      <c r="D2472" s="71"/>
    </row>
    <row r="2473" spans="2:4" x14ac:dyDescent="0.15">
      <c r="B2473" s="69"/>
      <c r="C2473" s="70"/>
      <c r="D2473" s="71"/>
    </row>
    <row r="2474" spans="2:4" x14ac:dyDescent="0.15">
      <c r="B2474" s="69"/>
      <c r="C2474" s="70"/>
      <c r="D2474" s="71"/>
    </row>
    <row r="2475" spans="2:4" x14ac:dyDescent="0.15">
      <c r="B2475" s="69"/>
      <c r="C2475" s="70"/>
      <c r="D2475" s="71"/>
    </row>
    <row r="2476" spans="2:4" x14ac:dyDescent="0.15">
      <c r="B2476" s="69"/>
      <c r="C2476" s="70"/>
      <c r="D2476" s="71"/>
    </row>
    <row r="2477" spans="2:4" x14ac:dyDescent="0.15">
      <c r="B2477" s="69"/>
      <c r="C2477" s="70"/>
      <c r="D2477" s="71"/>
    </row>
    <row r="2478" spans="2:4" x14ac:dyDescent="0.15">
      <c r="B2478" s="69"/>
      <c r="C2478" s="70"/>
      <c r="D2478" s="71"/>
    </row>
    <row r="2479" spans="2:4" x14ac:dyDescent="0.15">
      <c r="B2479" s="69"/>
      <c r="C2479" s="70"/>
      <c r="D2479" s="71"/>
    </row>
    <row r="2480" spans="2:4" x14ac:dyDescent="0.15">
      <c r="B2480" s="69"/>
      <c r="C2480" s="70"/>
      <c r="D2480" s="71"/>
    </row>
    <row r="2481" spans="2:4" x14ac:dyDescent="0.15">
      <c r="B2481" s="69"/>
      <c r="C2481" s="70"/>
      <c r="D2481" s="71"/>
    </row>
    <row r="2482" spans="2:4" x14ac:dyDescent="0.15">
      <c r="B2482" s="69"/>
      <c r="C2482" s="70"/>
      <c r="D2482" s="71"/>
    </row>
    <row r="2483" spans="2:4" x14ac:dyDescent="0.15">
      <c r="B2483" s="69"/>
      <c r="C2483" s="70"/>
      <c r="D2483" s="71"/>
    </row>
    <row r="2484" spans="2:4" x14ac:dyDescent="0.15">
      <c r="B2484" s="69"/>
      <c r="C2484" s="70"/>
      <c r="D2484" s="71"/>
    </row>
    <row r="2485" spans="2:4" x14ac:dyDescent="0.15">
      <c r="B2485" s="69"/>
      <c r="C2485" s="70"/>
      <c r="D2485" s="71"/>
    </row>
    <row r="2486" spans="2:4" x14ac:dyDescent="0.15">
      <c r="B2486" s="69"/>
      <c r="C2486" s="70"/>
      <c r="D2486" s="71"/>
    </row>
    <row r="2487" spans="2:4" x14ac:dyDescent="0.15">
      <c r="B2487" s="69"/>
      <c r="C2487" s="70"/>
      <c r="D2487" s="71"/>
    </row>
    <row r="2488" spans="2:4" x14ac:dyDescent="0.15">
      <c r="B2488" s="69"/>
      <c r="C2488" s="70"/>
      <c r="D2488" s="71"/>
    </row>
    <row r="2489" spans="2:4" x14ac:dyDescent="0.15">
      <c r="B2489" s="69"/>
      <c r="C2489" s="70"/>
      <c r="D2489" s="71"/>
    </row>
    <row r="2490" spans="2:4" x14ac:dyDescent="0.15">
      <c r="B2490" s="69"/>
      <c r="C2490" s="70"/>
      <c r="D2490" s="71"/>
    </row>
    <row r="2491" spans="2:4" x14ac:dyDescent="0.15">
      <c r="B2491" s="69"/>
      <c r="C2491" s="70"/>
      <c r="D2491" s="71"/>
    </row>
    <row r="2492" spans="2:4" x14ac:dyDescent="0.15">
      <c r="B2492" s="69"/>
      <c r="C2492" s="70"/>
      <c r="D2492" s="71"/>
    </row>
    <row r="2493" spans="2:4" x14ac:dyDescent="0.15">
      <c r="B2493" s="69"/>
      <c r="C2493" s="70"/>
      <c r="D2493" s="71"/>
    </row>
    <row r="2494" spans="2:4" x14ac:dyDescent="0.15">
      <c r="B2494" s="69"/>
      <c r="C2494" s="70"/>
      <c r="D2494" s="71"/>
    </row>
    <row r="2495" spans="2:4" x14ac:dyDescent="0.15">
      <c r="B2495" s="69"/>
      <c r="C2495" s="70"/>
      <c r="D2495" s="71"/>
    </row>
    <row r="2496" spans="2:4" x14ac:dyDescent="0.15">
      <c r="B2496" s="69"/>
      <c r="C2496" s="70"/>
      <c r="D2496" s="71"/>
    </row>
    <row r="2497" spans="2:4" x14ac:dyDescent="0.15">
      <c r="B2497" s="69"/>
      <c r="C2497" s="70"/>
      <c r="D2497" s="71"/>
    </row>
    <row r="2498" spans="2:4" x14ac:dyDescent="0.15">
      <c r="B2498" s="69"/>
      <c r="C2498" s="70"/>
      <c r="D2498" s="71"/>
    </row>
    <row r="2499" spans="2:4" x14ac:dyDescent="0.15">
      <c r="B2499" s="69"/>
      <c r="C2499" s="70"/>
      <c r="D2499" s="71"/>
    </row>
    <row r="2500" spans="2:4" x14ac:dyDescent="0.15">
      <c r="B2500" s="69"/>
      <c r="C2500" s="70"/>
      <c r="D2500" s="71"/>
    </row>
    <row r="2501" spans="2:4" x14ac:dyDescent="0.15">
      <c r="B2501" s="69"/>
      <c r="C2501" s="70"/>
      <c r="D2501" s="71"/>
    </row>
    <row r="2502" spans="2:4" x14ac:dyDescent="0.15">
      <c r="B2502" s="69"/>
      <c r="C2502" s="70"/>
      <c r="D2502" s="71"/>
    </row>
    <row r="2503" spans="2:4" x14ac:dyDescent="0.15">
      <c r="B2503" s="69"/>
      <c r="C2503" s="70"/>
      <c r="D2503" s="71"/>
    </row>
    <row r="2504" spans="2:4" x14ac:dyDescent="0.15">
      <c r="B2504" s="69"/>
      <c r="C2504" s="70"/>
      <c r="D2504" s="71"/>
    </row>
    <row r="2505" spans="2:4" x14ac:dyDescent="0.15">
      <c r="B2505" s="69"/>
      <c r="C2505" s="70"/>
      <c r="D2505" s="71"/>
    </row>
    <row r="2506" spans="2:4" x14ac:dyDescent="0.15">
      <c r="B2506" s="69"/>
      <c r="C2506" s="70"/>
      <c r="D2506" s="71"/>
    </row>
    <row r="2507" spans="2:4" x14ac:dyDescent="0.15">
      <c r="B2507" s="69"/>
      <c r="C2507" s="70"/>
      <c r="D2507" s="71"/>
    </row>
    <row r="2508" spans="2:4" x14ac:dyDescent="0.15">
      <c r="B2508" s="69"/>
      <c r="C2508" s="70"/>
      <c r="D2508" s="71"/>
    </row>
    <row r="2509" spans="2:4" x14ac:dyDescent="0.15">
      <c r="B2509" s="69"/>
      <c r="C2509" s="70"/>
      <c r="D2509" s="71"/>
    </row>
    <row r="2510" spans="2:4" x14ac:dyDescent="0.15">
      <c r="B2510" s="69"/>
      <c r="C2510" s="70"/>
      <c r="D2510" s="71"/>
    </row>
    <row r="2511" spans="2:4" x14ac:dyDescent="0.15">
      <c r="B2511" s="69"/>
      <c r="C2511" s="70"/>
      <c r="D2511" s="71"/>
    </row>
    <row r="2512" spans="2:4" x14ac:dyDescent="0.15">
      <c r="B2512" s="69"/>
      <c r="C2512" s="70"/>
      <c r="D2512" s="71"/>
    </row>
    <row r="2513" spans="2:4" x14ac:dyDescent="0.15">
      <c r="B2513" s="69"/>
      <c r="C2513" s="70"/>
      <c r="D2513" s="71"/>
    </row>
    <row r="2514" spans="2:4" x14ac:dyDescent="0.15">
      <c r="B2514" s="69"/>
      <c r="C2514" s="70"/>
      <c r="D2514" s="71"/>
    </row>
    <row r="2515" spans="2:4" x14ac:dyDescent="0.15">
      <c r="B2515" s="69"/>
      <c r="C2515" s="70"/>
      <c r="D2515" s="71"/>
    </row>
    <row r="2516" spans="2:4" x14ac:dyDescent="0.15">
      <c r="B2516" s="69"/>
      <c r="C2516" s="70"/>
      <c r="D2516" s="71"/>
    </row>
    <row r="2517" spans="2:4" x14ac:dyDescent="0.15">
      <c r="B2517" s="69"/>
      <c r="C2517" s="70"/>
      <c r="D2517" s="71"/>
    </row>
    <row r="2518" spans="2:4" x14ac:dyDescent="0.15">
      <c r="B2518" s="69"/>
      <c r="C2518" s="70"/>
      <c r="D2518" s="71"/>
    </row>
    <row r="2519" spans="2:4" x14ac:dyDescent="0.15">
      <c r="B2519" s="69"/>
      <c r="C2519" s="70"/>
      <c r="D2519" s="71"/>
    </row>
    <row r="2520" spans="2:4" x14ac:dyDescent="0.15">
      <c r="B2520" s="69"/>
      <c r="C2520" s="70"/>
      <c r="D2520" s="71"/>
    </row>
    <row r="2521" spans="2:4" x14ac:dyDescent="0.15">
      <c r="B2521" s="69"/>
      <c r="C2521" s="70"/>
      <c r="D2521" s="71"/>
    </row>
    <row r="2522" spans="2:4" x14ac:dyDescent="0.15">
      <c r="B2522" s="69"/>
      <c r="C2522" s="70"/>
      <c r="D2522" s="71"/>
    </row>
    <row r="2523" spans="2:4" x14ac:dyDescent="0.15">
      <c r="B2523" s="69"/>
      <c r="C2523" s="70"/>
      <c r="D2523" s="71"/>
    </row>
    <row r="2524" spans="2:4" x14ac:dyDescent="0.15">
      <c r="B2524" s="69"/>
      <c r="C2524" s="70"/>
      <c r="D2524" s="71"/>
    </row>
    <row r="2525" spans="2:4" x14ac:dyDescent="0.15">
      <c r="B2525" s="69"/>
      <c r="C2525" s="70"/>
      <c r="D2525" s="71"/>
    </row>
    <row r="2526" spans="2:4" x14ac:dyDescent="0.15">
      <c r="B2526" s="69"/>
      <c r="C2526" s="70"/>
      <c r="D2526" s="71"/>
    </row>
    <row r="2527" spans="2:4" x14ac:dyDescent="0.15">
      <c r="B2527" s="69"/>
      <c r="C2527" s="70"/>
      <c r="D2527" s="71"/>
    </row>
    <row r="2528" spans="2:4" x14ac:dyDescent="0.15">
      <c r="B2528" s="69"/>
      <c r="C2528" s="70"/>
      <c r="D2528" s="71"/>
    </row>
    <row r="2529" spans="2:4" x14ac:dyDescent="0.15">
      <c r="B2529" s="69"/>
      <c r="C2529" s="70"/>
      <c r="D2529" s="71"/>
    </row>
    <row r="2530" spans="2:4" x14ac:dyDescent="0.15">
      <c r="B2530" s="69"/>
      <c r="C2530" s="70"/>
      <c r="D2530" s="71"/>
    </row>
    <row r="2531" spans="2:4" x14ac:dyDescent="0.15">
      <c r="B2531" s="69"/>
      <c r="C2531" s="70"/>
      <c r="D2531" s="71"/>
    </row>
    <row r="2532" spans="2:4" x14ac:dyDescent="0.15">
      <c r="B2532" s="69"/>
      <c r="C2532" s="70"/>
      <c r="D2532" s="71"/>
    </row>
    <row r="2533" spans="2:4" x14ac:dyDescent="0.15">
      <c r="B2533" s="69"/>
      <c r="C2533" s="70"/>
      <c r="D2533" s="71"/>
    </row>
    <row r="2534" spans="2:4" x14ac:dyDescent="0.15">
      <c r="B2534" s="69"/>
      <c r="C2534" s="70"/>
      <c r="D2534" s="71"/>
    </row>
    <row r="2535" spans="2:4" x14ac:dyDescent="0.15">
      <c r="B2535" s="69"/>
      <c r="C2535" s="70"/>
      <c r="D2535" s="71"/>
    </row>
    <row r="2536" spans="2:4" x14ac:dyDescent="0.15">
      <c r="B2536" s="69"/>
      <c r="C2536" s="70"/>
      <c r="D2536" s="71"/>
    </row>
    <row r="2537" spans="2:4" x14ac:dyDescent="0.15">
      <c r="B2537" s="69"/>
      <c r="C2537" s="70"/>
      <c r="D2537" s="71"/>
    </row>
    <row r="2538" spans="2:4" x14ac:dyDescent="0.15">
      <c r="B2538" s="69"/>
      <c r="C2538" s="70"/>
      <c r="D2538" s="71"/>
    </row>
    <row r="2539" spans="2:4" x14ac:dyDescent="0.15">
      <c r="B2539" s="69"/>
      <c r="C2539" s="70"/>
      <c r="D2539" s="71"/>
    </row>
    <row r="2540" spans="2:4" x14ac:dyDescent="0.15">
      <c r="B2540" s="69"/>
      <c r="C2540" s="70"/>
      <c r="D2540" s="71"/>
    </row>
    <row r="2541" spans="2:4" x14ac:dyDescent="0.15">
      <c r="B2541" s="69"/>
      <c r="C2541" s="70"/>
      <c r="D2541" s="71"/>
    </row>
    <row r="2542" spans="2:4" x14ac:dyDescent="0.15">
      <c r="B2542" s="69"/>
      <c r="C2542" s="70"/>
      <c r="D2542" s="71"/>
    </row>
    <row r="2543" spans="2:4" x14ac:dyDescent="0.15">
      <c r="B2543" s="69"/>
      <c r="C2543" s="70"/>
      <c r="D2543" s="71"/>
    </row>
    <row r="2544" spans="2:4" x14ac:dyDescent="0.15">
      <c r="B2544" s="69"/>
      <c r="C2544" s="70"/>
      <c r="D2544" s="71"/>
    </row>
    <row r="2545" spans="2:4" x14ac:dyDescent="0.15">
      <c r="B2545" s="69"/>
      <c r="C2545" s="70"/>
      <c r="D2545" s="71"/>
    </row>
    <row r="2546" spans="2:4" x14ac:dyDescent="0.15">
      <c r="B2546" s="69"/>
      <c r="C2546" s="70"/>
      <c r="D2546" s="71"/>
    </row>
    <row r="2547" spans="2:4" x14ac:dyDescent="0.15">
      <c r="B2547" s="69"/>
      <c r="C2547" s="70"/>
      <c r="D2547" s="71"/>
    </row>
    <row r="2548" spans="2:4" x14ac:dyDescent="0.15">
      <c r="B2548" s="69"/>
      <c r="C2548" s="70"/>
      <c r="D2548" s="71"/>
    </row>
    <row r="2549" spans="2:4" x14ac:dyDescent="0.15">
      <c r="B2549" s="69"/>
      <c r="C2549" s="70"/>
      <c r="D2549" s="71"/>
    </row>
    <row r="2550" spans="2:4" x14ac:dyDescent="0.15">
      <c r="B2550" s="69"/>
      <c r="C2550" s="70"/>
      <c r="D2550" s="71"/>
    </row>
    <row r="2551" spans="2:4" x14ac:dyDescent="0.15">
      <c r="B2551" s="69"/>
      <c r="C2551" s="70"/>
      <c r="D2551" s="71"/>
    </row>
    <row r="2552" spans="2:4" x14ac:dyDescent="0.15">
      <c r="B2552" s="69"/>
      <c r="C2552" s="70"/>
      <c r="D2552" s="71"/>
    </row>
    <row r="2553" spans="2:4" x14ac:dyDescent="0.15">
      <c r="B2553" s="69"/>
      <c r="C2553" s="70"/>
      <c r="D2553" s="71"/>
    </row>
    <row r="2554" spans="2:4" x14ac:dyDescent="0.15">
      <c r="B2554" s="69"/>
      <c r="C2554" s="70"/>
      <c r="D2554" s="71"/>
    </row>
    <row r="2555" spans="2:4" x14ac:dyDescent="0.15">
      <c r="B2555" s="69"/>
      <c r="C2555" s="70"/>
      <c r="D2555" s="71"/>
    </row>
    <row r="2556" spans="2:4" x14ac:dyDescent="0.15">
      <c r="B2556" s="69"/>
      <c r="C2556" s="70"/>
      <c r="D2556" s="71"/>
    </row>
    <row r="2557" spans="2:4" x14ac:dyDescent="0.15">
      <c r="B2557" s="69"/>
      <c r="C2557" s="70"/>
      <c r="D2557" s="71"/>
    </row>
    <row r="2558" spans="2:4" x14ac:dyDescent="0.15">
      <c r="B2558" s="69"/>
      <c r="C2558" s="70"/>
      <c r="D2558" s="71"/>
    </row>
    <row r="2559" spans="2:4" x14ac:dyDescent="0.15">
      <c r="B2559" s="69"/>
      <c r="C2559" s="70"/>
      <c r="D2559" s="71"/>
    </row>
    <row r="2560" spans="2:4" x14ac:dyDescent="0.15">
      <c r="B2560" s="69"/>
      <c r="C2560" s="70"/>
      <c r="D2560" s="71"/>
    </row>
    <row r="2561" spans="2:4" x14ac:dyDescent="0.15">
      <c r="B2561" s="69"/>
      <c r="C2561" s="70"/>
      <c r="D2561" s="71"/>
    </row>
    <row r="2562" spans="2:4" x14ac:dyDescent="0.15">
      <c r="B2562" s="69"/>
      <c r="C2562" s="70"/>
      <c r="D2562" s="71"/>
    </row>
    <row r="2563" spans="2:4" x14ac:dyDescent="0.15">
      <c r="B2563" s="69"/>
      <c r="C2563" s="70"/>
      <c r="D2563" s="71"/>
    </row>
    <row r="2564" spans="2:4" x14ac:dyDescent="0.15">
      <c r="B2564" s="69"/>
      <c r="C2564" s="70"/>
      <c r="D2564" s="71"/>
    </row>
    <row r="2565" spans="2:4" x14ac:dyDescent="0.15">
      <c r="B2565" s="69"/>
      <c r="C2565" s="70"/>
      <c r="D2565" s="71"/>
    </row>
    <row r="2566" spans="2:4" x14ac:dyDescent="0.15">
      <c r="B2566" s="69"/>
      <c r="C2566" s="70"/>
      <c r="D2566" s="71"/>
    </row>
    <row r="2567" spans="2:4" x14ac:dyDescent="0.15">
      <c r="B2567" s="69"/>
      <c r="C2567" s="70"/>
      <c r="D2567" s="71"/>
    </row>
    <row r="2568" spans="2:4" x14ac:dyDescent="0.15">
      <c r="B2568" s="69"/>
      <c r="C2568" s="70"/>
      <c r="D2568" s="71"/>
    </row>
    <row r="2569" spans="2:4" x14ac:dyDescent="0.15">
      <c r="B2569" s="69"/>
      <c r="C2569" s="70"/>
      <c r="D2569" s="71"/>
    </row>
    <row r="2570" spans="2:4" x14ac:dyDescent="0.15">
      <c r="B2570" s="69"/>
      <c r="C2570" s="70"/>
      <c r="D2570" s="71"/>
    </row>
    <row r="2571" spans="2:4" x14ac:dyDescent="0.15">
      <c r="B2571" s="69"/>
      <c r="C2571" s="70"/>
      <c r="D2571" s="71"/>
    </row>
    <row r="2572" spans="2:4" x14ac:dyDescent="0.15">
      <c r="B2572" s="69"/>
      <c r="C2572" s="70"/>
      <c r="D2572" s="71"/>
    </row>
    <row r="2573" spans="2:4" x14ac:dyDescent="0.15">
      <c r="B2573" s="69"/>
      <c r="C2573" s="70"/>
      <c r="D2573" s="71"/>
    </row>
    <row r="2574" spans="2:4" x14ac:dyDescent="0.15">
      <c r="B2574" s="69"/>
      <c r="C2574" s="70"/>
      <c r="D2574" s="71"/>
    </row>
    <row r="2575" spans="2:4" x14ac:dyDescent="0.15">
      <c r="B2575" s="69"/>
      <c r="C2575" s="70"/>
      <c r="D2575" s="71"/>
    </row>
    <row r="2576" spans="2:4" x14ac:dyDescent="0.15">
      <c r="B2576" s="69"/>
      <c r="C2576" s="70"/>
      <c r="D2576" s="71"/>
    </row>
    <row r="2577" spans="2:4" x14ac:dyDescent="0.15">
      <c r="B2577" s="69"/>
      <c r="C2577" s="70"/>
      <c r="D2577" s="71"/>
    </row>
    <row r="2578" spans="2:4" x14ac:dyDescent="0.15">
      <c r="B2578" s="69"/>
      <c r="C2578" s="70"/>
      <c r="D2578" s="71"/>
    </row>
    <row r="2579" spans="2:4" x14ac:dyDescent="0.15">
      <c r="B2579" s="69"/>
      <c r="C2579" s="70"/>
      <c r="D2579" s="71"/>
    </row>
    <row r="2580" spans="2:4" x14ac:dyDescent="0.15">
      <c r="B2580" s="69"/>
      <c r="C2580" s="70"/>
      <c r="D2580" s="71"/>
    </row>
    <row r="2581" spans="2:4" x14ac:dyDescent="0.15">
      <c r="B2581" s="69"/>
      <c r="C2581" s="70"/>
      <c r="D2581" s="71"/>
    </row>
    <row r="2582" spans="2:4" x14ac:dyDescent="0.15">
      <c r="B2582" s="69"/>
      <c r="C2582" s="70"/>
      <c r="D2582" s="71"/>
    </row>
    <row r="2583" spans="2:4" x14ac:dyDescent="0.15">
      <c r="B2583" s="69"/>
      <c r="C2583" s="70"/>
      <c r="D2583" s="71"/>
    </row>
    <row r="2584" spans="2:4" x14ac:dyDescent="0.15">
      <c r="B2584" s="69"/>
      <c r="C2584" s="70"/>
      <c r="D2584" s="71"/>
    </row>
    <row r="2585" spans="2:4" x14ac:dyDescent="0.15">
      <c r="B2585" s="69"/>
      <c r="C2585" s="70"/>
      <c r="D2585" s="71"/>
    </row>
    <row r="2586" spans="2:4" x14ac:dyDescent="0.15">
      <c r="B2586" s="69"/>
      <c r="C2586" s="70"/>
      <c r="D2586" s="71"/>
    </row>
    <row r="2587" spans="2:4" x14ac:dyDescent="0.15">
      <c r="B2587" s="69"/>
      <c r="C2587" s="70"/>
      <c r="D2587" s="71"/>
    </row>
    <row r="2588" spans="2:4" x14ac:dyDescent="0.15">
      <c r="B2588" s="69"/>
      <c r="C2588" s="70"/>
      <c r="D2588" s="71"/>
    </row>
    <row r="2589" spans="2:4" x14ac:dyDescent="0.15">
      <c r="B2589" s="69"/>
      <c r="C2589" s="70"/>
      <c r="D2589" s="71"/>
    </row>
    <row r="2590" spans="2:4" x14ac:dyDescent="0.15">
      <c r="B2590" s="69"/>
      <c r="C2590" s="70"/>
      <c r="D2590" s="71"/>
    </row>
    <row r="2591" spans="2:4" x14ac:dyDescent="0.15">
      <c r="B2591" s="69"/>
      <c r="C2591" s="70"/>
      <c r="D2591" s="71"/>
    </row>
    <row r="2592" spans="2:4" x14ac:dyDescent="0.15">
      <c r="B2592" s="69"/>
      <c r="C2592" s="70"/>
      <c r="D2592" s="71"/>
    </row>
    <row r="2593" spans="2:4" x14ac:dyDescent="0.15">
      <c r="B2593" s="69"/>
      <c r="C2593" s="70"/>
      <c r="D2593" s="71"/>
    </row>
    <row r="2594" spans="2:4" x14ac:dyDescent="0.15">
      <c r="B2594" s="69"/>
      <c r="C2594" s="70"/>
      <c r="D2594" s="71"/>
    </row>
    <row r="2595" spans="2:4" x14ac:dyDescent="0.15">
      <c r="B2595" s="69"/>
      <c r="C2595" s="70"/>
      <c r="D2595" s="71"/>
    </row>
    <row r="2596" spans="2:4" x14ac:dyDescent="0.15">
      <c r="B2596" s="69"/>
      <c r="C2596" s="70"/>
      <c r="D2596" s="71"/>
    </row>
    <row r="2597" spans="2:4" x14ac:dyDescent="0.15">
      <c r="B2597" s="69"/>
      <c r="C2597" s="70"/>
      <c r="D2597" s="71"/>
    </row>
    <row r="2598" spans="2:4" x14ac:dyDescent="0.15">
      <c r="B2598" s="69"/>
      <c r="C2598" s="70"/>
      <c r="D2598" s="71"/>
    </row>
    <row r="2599" spans="2:4" x14ac:dyDescent="0.15">
      <c r="B2599" s="69"/>
      <c r="C2599" s="70"/>
      <c r="D2599" s="71"/>
    </row>
    <row r="2600" spans="2:4" x14ac:dyDescent="0.15">
      <c r="B2600" s="69"/>
      <c r="C2600" s="70"/>
      <c r="D2600" s="71"/>
    </row>
    <row r="2601" spans="2:4" x14ac:dyDescent="0.15">
      <c r="B2601" s="69"/>
      <c r="C2601" s="70"/>
      <c r="D2601" s="71"/>
    </row>
    <row r="2602" spans="2:4" x14ac:dyDescent="0.15">
      <c r="B2602" s="69"/>
      <c r="C2602" s="70"/>
      <c r="D2602" s="71"/>
    </row>
    <row r="2603" spans="2:4" x14ac:dyDescent="0.15">
      <c r="B2603" s="69"/>
      <c r="C2603" s="70"/>
      <c r="D2603" s="71"/>
    </row>
    <row r="2604" spans="2:4" x14ac:dyDescent="0.15">
      <c r="B2604" s="69"/>
      <c r="C2604" s="70"/>
      <c r="D2604" s="71"/>
    </row>
    <row r="2605" spans="2:4" x14ac:dyDescent="0.15">
      <c r="B2605" s="69"/>
      <c r="C2605" s="70"/>
      <c r="D2605" s="71"/>
    </row>
    <row r="2606" spans="2:4" x14ac:dyDescent="0.15">
      <c r="B2606" s="69"/>
      <c r="C2606" s="70"/>
      <c r="D2606" s="71"/>
    </row>
    <row r="2607" spans="2:4" x14ac:dyDescent="0.15">
      <c r="B2607" s="69"/>
      <c r="C2607" s="70"/>
      <c r="D2607" s="71"/>
    </row>
    <row r="2608" spans="2:4" x14ac:dyDescent="0.15">
      <c r="B2608" s="69"/>
      <c r="C2608" s="70"/>
      <c r="D2608" s="71"/>
    </row>
    <row r="2609" spans="2:4" x14ac:dyDescent="0.15">
      <c r="B2609" s="69"/>
      <c r="C2609" s="70"/>
      <c r="D2609" s="71"/>
    </row>
    <row r="2610" spans="2:4" x14ac:dyDescent="0.15">
      <c r="B2610" s="69"/>
      <c r="C2610" s="70"/>
      <c r="D2610" s="71"/>
    </row>
    <row r="2611" spans="2:4" x14ac:dyDescent="0.15">
      <c r="B2611" s="69"/>
      <c r="C2611" s="70"/>
      <c r="D2611" s="71"/>
    </row>
    <row r="2612" spans="2:4" x14ac:dyDescent="0.15">
      <c r="B2612" s="69"/>
      <c r="C2612" s="70"/>
      <c r="D2612" s="71"/>
    </row>
    <row r="2613" spans="2:4" x14ac:dyDescent="0.15">
      <c r="B2613" s="69"/>
      <c r="C2613" s="70"/>
      <c r="D2613" s="71"/>
    </row>
    <row r="2614" spans="2:4" x14ac:dyDescent="0.15">
      <c r="B2614" s="69"/>
      <c r="C2614" s="70"/>
      <c r="D2614" s="71"/>
    </row>
    <row r="2615" spans="2:4" x14ac:dyDescent="0.15">
      <c r="B2615" s="69"/>
      <c r="C2615" s="70"/>
      <c r="D2615" s="71"/>
    </row>
    <row r="2616" spans="2:4" x14ac:dyDescent="0.15">
      <c r="B2616" s="69"/>
      <c r="C2616" s="70"/>
      <c r="D2616" s="71"/>
    </row>
    <row r="2617" spans="2:4" x14ac:dyDescent="0.15">
      <c r="B2617" s="69"/>
      <c r="C2617" s="70"/>
      <c r="D2617" s="71"/>
    </row>
    <row r="2618" spans="2:4" x14ac:dyDescent="0.15">
      <c r="B2618" s="69"/>
      <c r="C2618" s="70"/>
      <c r="D2618" s="71"/>
    </row>
    <row r="2619" spans="2:4" x14ac:dyDescent="0.15">
      <c r="B2619" s="69"/>
      <c r="C2619" s="70"/>
      <c r="D2619" s="71"/>
    </row>
    <row r="2620" spans="2:4" x14ac:dyDescent="0.15">
      <c r="B2620" s="69"/>
      <c r="C2620" s="70"/>
      <c r="D2620" s="71"/>
    </row>
    <row r="2621" spans="2:4" x14ac:dyDescent="0.15">
      <c r="B2621" s="69"/>
      <c r="C2621" s="70"/>
      <c r="D2621" s="71"/>
    </row>
    <row r="2622" spans="2:4" x14ac:dyDescent="0.15">
      <c r="B2622" s="69"/>
      <c r="C2622" s="70"/>
      <c r="D2622" s="71"/>
    </row>
    <row r="2623" spans="2:4" x14ac:dyDescent="0.15">
      <c r="B2623" s="69"/>
      <c r="C2623" s="70"/>
      <c r="D2623" s="71"/>
    </row>
    <row r="2624" spans="2:4" x14ac:dyDescent="0.15">
      <c r="B2624" s="69"/>
      <c r="C2624" s="70"/>
      <c r="D2624" s="71"/>
    </row>
    <row r="2625" spans="2:4" x14ac:dyDescent="0.15">
      <c r="B2625" s="69"/>
      <c r="C2625" s="70"/>
      <c r="D2625" s="71"/>
    </row>
    <row r="2626" spans="2:4" x14ac:dyDescent="0.15">
      <c r="B2626" s="69"/>
      <c r="C2626" s="70"/>
      <c r="D2626" s="71"/>
    </row>
    <row r="2627" spans="2:4" x14ac:dyDescent="0.15">
      <c r="B2627" s="69"/>
      <c r="C2627" s="70"/>
      <c r="D2627" s="71"/>
    </row>
    <row r="2628" spans="2:4" x14ac:dyDescent="0.15">
      <c r="B2628" s="69"/>
      <c r="C2628" s="70"/>
      <c r="D2628" s="71"/>
    </row>
    <row r="2629" spans="2:4" x14ac:dyDescent="0.15">
      <c r="B2629" s="69"/>
      <c r="C2629" s="70"/>
      <c r="D2629" s="71"/>
    </row>
    <row r="2630" spans="2:4" x14ac:dyDescent="0.15">
      <c r="B2630" s="69"/>
      <c r="C2630" s="70"/>
      <c r="D2630" s="71"/>
    </row>
    <row r="2631" spans="2:4" x14ac:dyDescent="0.15">
      <c r="B2631" s="69"/>
      <c r="C2631" s="70"/>
      <c r="D2631" s="71"/>
    </row>
    <row r="2632" spans="2:4" x14ac:dyDescent="0.15">
      <c r="B2632" s="69"/>
      <c r="C2632" s="70"/>
      <c r="D2632" s="71"/>
    </row>
    <row r="2633" spans="2:4" x14ac:dyDescent="0.15">
      <c r="B2633" s="69"/>
      <c r="C2633" s="70"/>
      <c r="D2633" s="71"/>
    </row>
    <row r="2634" spans="2:4" x14ac:dyDescent="0.15">
      <c r="B2634" s="69"/>
      <c r="C2634" s="70"/>
      <c r="D2634" s="71"/>
    </row>
    <row r="2635" spans="2:4" x14ac:dyDescent="0.15">
      <c r="B2635" s="69"/>
      <c r="C2635" s="70"/>
      <c r="D2635" s="71"/>
    </row>
    <row r="2636" spans="2:4" x14ac:dyDescent="0.15">
      <c r="B2636" s="69"/>
      <c r="C2636" s="70"/>
      <c r="D2636" s="71"/>
    </row>
    <row r="2637" spans="2:4" x14ac:dyDescent="0.15">
      <c r="B2637" s="69"/>
      <c r="C2637" s="70"/>
      <c r="D2637" s="71"/>
    </row>
    <row r="2638" spans="2:4" x14ac:dyDescent="0.15">
      <c r="B2638" s="69"/>
      <c r="C2638" s="70"/>
      <c r="D2638" s="71"/>
    </row>
    <row r="2639" spans="2:4" x14ac:dyDescent="0.15">
      <c r="B2639" s="69"/>
      <c r="C2639" s="70"/>
      <c r="D2639" s="71"/>
    </row>
    <row r="2640" spans="2:4" x14ac:dyDescent="0.15">
      <c r="B2640" s="69"/>
      <c r="C2640" s="70"/>
      <c r="D2640" s="71"/>
    </row>
    <row r="2641" spans="2:4" x14ac:dyDescent="0.15">
      <c r="B2641" s="69"/>
      <c r="C2641" s="70"/>
      <c r="D2641" s="71"/>
    </row>
    <row r="2642" spans="2:4" x14ac:dyDescent="0.15">
      <c r="B2642" s="69"/>
      <c r="C2642" s="70"/>
      <c r="D2642" s="71"/>
    </row>
    <row r="2643" spans="2:4" x14ac:dyDescent="0.15">
      <c r="B2643" s="69"/>
      <c r="C2643" s="70"/>
      <c r="D2643" s="71"/>
    </row>
    <row r="2644" spans="2:4" x14ac:dyDescent="0.15">
      <c r="B2644" s="69"/>
      <c r="C2644" s="70"/>
      <c r="D2644" s="71"/>
    </row>
    <row r="2645" spans="2:4" x14ac:dyDescent="0.15">
      <c r="B2645" s="69"/>
      <c r="C2645" s="70"/>
      <c r="D2645" s="71"/>
    </row>
    <row r="2646" spans="2:4" x14ac:dyDescent="0.15">
      <c r="B2646" s="69"/>
      <c r="C2646" s="70"/>
      <c r="D2646" s="71"/>
    </row>
    <row r="2647" spans="2:4" x14ac:dyDescent="0.15">
      <c r="B2647" s="69"/>
      <c r="C2647" s="70"/>
      <c r="D2647" s="71"/>
    </row>
    <row r="2648" spans="2:4" x14ac:dyDescent="0.15">
      <c r="B2648" s="69"/>
      <c r="C2648" s="70"/>
      <c r="D2648" s="71"/>
    </row>
    <row r="2649" spans="2:4" x14ac:dyDescent="0.15">
      <c r="B2649" s="69"/>
      <c r="C2649" s="70"/>
      <c r="D2649" s="71"/>
    </row>
    <row r="2650" spans="2:4" x14ac:dyDescent="0.15">
      <c r="B2650" s="69"/>
      <c r="C2650" s="70"/>
      <c r="D2650" s="71"/>
    </row>
    <row r="2651" spans="2:4" x14ac:dyDescent="0.15">
      <c r="B2651" s="69"/>
      <c r="C2651" s="70"/>
      <c r="D2651" s="71"/>
    </row>
    <row r="2652" spans="2:4" x14ac:dyDescent="0.15">
      <c r="B2652" s="69"/>
      <c r="C2652" s="70"/>
      <c r="D2652" s="71"/>
    </row>
    <row r="2653" spans="2:4" x14ac:dyDescent="0.15">
      <c r="B2653" s="69"/>
      <c r="C2653" s="70"/>
      <c r="D2653" s="71"/>
    </row>
    <row r="2654" spans="2:4" x14ac:dyDescent="0.15">
      <c r="B2654" s="69"/>
      <c r="C2654" s="70"/>
      <c r="D2654" s="71"/>
    </row>
    <row r="2655" spans="2:4" x14ac:dyDescent="0.15">
      <c r="B2655" s="69"/>
      <c r="C2655" s="70"/>
      <c r="D2655" s="71"/>
    </row>
    <row r="2656" spans="2:4" x14ac:dyDescent="0.15">
      <c r="B2656" s="69"/>
      <c r="C2656" s="70"/>
      <c r="D2656" s="71"/>
    </row>
    <row r="2657" spans="2:4" x14ac:dyDescent="0.15">
      <c r="B2657" s="69"/>
      <c r="C2657" s="70"/>
      <c r="D2657" s="71"/>
    </row>
    <row r="2658" spans="2:4" x14ac:dyDescent="0.15">
      <c r="B2658" s="69"/>
      <c r="C2658" s="70"/>
      <c r="D2658" s="71"/>
    </row>
    <row r="2659" spans="2:4" x14ac:dyDescent="0.15">
      <c r="B2659" s="69"/>
      <c r="C2659" s="70"/>
      <c r="D2659" s="71"/>
    </row>
    <row r="2660" spans="2:4" x14ac:dyDescent="0.15">
      <c r="B2660" s="69"/>
      <c r="C2660" s="70"/>
      <c r="D2660" s="71"/>
    </row>
    <row r="2661" spans="2:4" x14ac:dyDescent="0.15">
      <c r="B2661" s="69"/>
      <c r="C2661" s="70"/>
      <c r="D2661" s="71"/>
    </row>
    <row r="2662" spans="2:4" x14ac:dyDescent="0.15">
      <c r="B2662" s="69"/>
      <c r="C2662" s="70"/>
      <c r="D2662" s="71"/>
    </row>
    <row r="2663" spans="2:4" x14ac:dyDescent="0.15">
      <c r="B2663" s="69"/>
      <c r="C2663" s="70"/>
      <c r="D2663" s="71"/>
    </row>
    <row r="2664" spans="2:4" x14ac:dyDescent="0.15">
      <c r="B2664" s="69"/>
      <c r="C2664" s="70"/>
      <c r="D2664" s="71"/>
    </row>
    <row r="2665" spans="2:4" x14ac:dyDescent="0.15">
      <c r="B2665" s="69"/>
      <c r="C2665" s="70"/>
      <c r="D2665" s="71"/>
    </row>
    <row r="2666" spans="2:4" x14ac:dyDescent="0.15">
      <c r="B2666" s="69"/>
      <c r="C2666" s="70"/>
      <c r="D2666" s="71"/>
    </row>
    <row r="2667" spans="2:4" x14ac:dyDescent="0.15">
      <c r="B2667" s="69"/>
      <c r="C2667" s="70"/>
      <c r="D2667" s="71"/>
    </row>
    <row r="2668" spans="2:4" x14ac:dyDescent="0.15">
      <c r="B2668" s="69"/>
      <c r="C2668" s="70"/>
      <c r="D2668" s="71"/>
    </row>
    <row r="2669" spans="2:4" x14ac:dyDescent="0.15">
      <c r="B2669" s="69"/>
      <c r="C2669" s="70"/>
      <c r="D2669" s="71"/>
    </row>
    <row r="2670" spans="2:4" x14ac:dyDescent="0.15">
      <c r="B2670" s="69"/>
      <c r="C2670" s="70"/>
      <c r="D2670" s="71"/>
    </row>
    <row r="2671" spans="2:4" x14ac:dyDescent="0.15">
      <c r="B2671" s="69"/>
      <c r="C2671" s="70"/>
      <c r="D2671" s="71"/>
    </row>
    <row r="2672" spans="2:4" x14ac:dyDescent="0.15">
      <c r="B2672" s="69"/>
      <c r="C2672" s="70"/>
      <c r="D2672" s="71"/>
    </row>
    <row r="2673" spans="2:4" x14ac:dyDescent="0.15">
      <c r="B2673" s="69"/>
      <c r="C2673" s="70"/>
      <c r="D2673" s="71"/>
    </row>
    <row r="2674" spans="2:4" x14ac:dyDescent="0.15">
      <c r="B2674" s="69"/>
      <c r="C2674" s="70"/>
      <c r="D2674" s="71"/>
    </row>
    <row r="2675" spans="2:4" x14ac:dyDescent="0.15">
      <c r="B2675" s="69"/>
      <c r="C2675" s="70"/>
      <c r="D2675" s="71"/>
    </row>
    <row r="2676" spans="2:4" x14ac:dyDescent="0.15">
      <c r="B2676" s="69"/>
      <c r="C2676" s="70"/>
      <c r="D2676" s="71"/>
    </row>
    <row r="2677" spans="2:4" x14ac:dyDescent="0.15">
      <c r="B2677" s="69"/>
      <c r="C2677" s="70"/>
      <c r="D2677" s="71"/>
    </row>
    <row r="2678" spans="2:4" x14ac:dyDescent="0.15">
      <c r="B2678" s="69"/>
      <c r="C2678" s="70"/>
      <c r="D2678" s="71"/>
    </row>
    <row r="2679" spans="2:4" x14ac:dyDescent="0.15">
      <c r="B2679" s="69"/>
      <c r="C2679" s="70"/>
      <c r="D2679" s="71"/>
    </row>
    <row r="2680" spans="2:4" x14ac:dyDescent="0.15">
      <c r="B2680" s="69"/>
      <c r="C2680" s="70"/>
      <c r="D2680" s="71"/>
    </row>
    <row r="2681" spans="2:4" x14ac:dyDescent="0.15">
      <c r="B2681" s="69"/>
      <c r="C2681" s="70"/>
      <c r="D2681" s="71"/>
    </row>
    <row r="2682" spans="2:4" x14ac:dyDescent="0.15">
      <c r="B2682" s="69"/>
      <c r="C2682" s="70"/>
      <c r="D2682" s="71"/>
    </row>
    <row r="2683" spans="2:4" x14ac:dyDescent="0.15">
      <c r="B2683" s="69"/>
      <c r="C2683" s="70"/>
      <c r="D2683" s="71"/>
    </row>
    <row r="2684" spans="2:4" x14ac:dyDescent="0.15">
      <c r="B2684" s="69"/>
      <c r="C2684" s="70"/>
      <c r="D2684" s="71"/>
    </row>
    <row r="2685" spans="2:4" x14ac:dyDescent="0.15">
      <c r="B2685" s="69"/>
      <c r="C2685" s="70"/>
      <c r="D2685" s="71"/>
    </row>
    <row r="2686" spans="2:4" x14ac:dyDescent="0.15">
      <c r="B2686" s="69"/>
      <c r="C2686" s="70"/>
      <c r="D2686" s="71"/>
    </row>
    <row r="2687" spans="2:4" x14ac:dyDescent="0.15">
      <c r="B2687" s="69"/>
      <c r="C2687" s="70"/>
      <c r="D2687" s="71"/>
    </row>
    <row r="2688" spans="2:4" x14ac:dyDescent="0.15">
      <c r="B2688" s="69"/>
      <c r="C2688" s="70"/>
      <c r="D2688" s="71"/>
    </row>
    <row r="2689" spans="2:4" x14ac:dyDescent="0.15">
      <c r="B2689" s="69"/>
      <c r="C2689" s="70"/>
      <c r="D2689" s="71"/>
    </row>
    <row r="2690" spans="2:4" x14ac:dyDescent="0.15">
      <c r="B2690" s="69"/>
      <c r="C2690" s="70"/>
      <c r="D2690" s="71"/>
    </row>
    <row r="2691" spans="2:4" x14ac:dyDescent="0.15">
      <c r="B2691" s="69"/>
      <c r="C2691" s="70"/>
      <c r="D2691" s="71"/>
    </row>
    <row r="2692" spans="2:4" x14ac:dyDescent="0.15">
      <c r="B2692" s="69"/>
      <c r="C2692" s="70"/>
      <c r="D2692" s="71"/>
    </row>
    <row r="2693" spans="2:4" x14ac:dyDescent="0.15">
      <c r="B2693" s="69"/>
      <c r="C2693" s="70"/>
      <c r="D2693" s="71"/>
    </row>
    <row r="2694" spans="2:4" x14ac:dyDescent="0.15">
      <c r="B2694" s="69"/>
      <c r="C2694" s="70"/>
      <c r="D2694" s="71"/>
    </row>
    <row r="2695" spans="2:4" x14ac:dyDescent="0.15">
      <c r="B2695" s="69"/>
      <c r="C2695" s="70"/>
      <c r="D2695" s="71"/>
    </row>
    <row r="2696" spans="2:4" x14ac:dyDescent="0.15">
      <c r="B2696" s="69"/>
      <c r="C2696" s="70"/>
      <c r="D2696" s="71"/>
    </row>
    <row r="2697" spans="2:4" x14ac:dyDescent="0.15">
      <c r="B2697" s="69"/>
      <c r="C2697" s="70"/>
      <c r="D2697" s="71"/>
    </row>
    <row r="2698" spans="2:4" x14ac:dyDescent="0.15">
      <c r="B2698" s="69"/>
      <c r="C2698" s="70"/>
      <c r="D2698" s="71"/>
    </row>
    <row r="2699" spans="2:4" x14ac:dyDescent="0.15">
      <c r="B2699" s="69"/>
      <c r="C2699" s="70"/>
      <c r="D2699" s="71"/>
    </row>
    <row r="2700" spans="2:4" x14ac:dyDescent="0.15">
      <c r="B2700" s="69"/>
      <c r="C2700" s="70"/>
      <c r="D2700" s="71"/>
    </row>
    <row r="2701" spans="2:4" x14ac:dyDescent="0.15">
      <c r="B2701" s="69"/>
      <c r="C2701" s="70"/>
      <c r="D2701" s="71"/>
    </row>
    <row r="2702" spans="2:4" x14ac:dyDescent="0.15">
      <c r="B2702" s="69"/>
      <c r="C2702" s="70"/>
      <c r="D2702" s="71"/>
    </row>
    <row r="2703" spans="2:4" x14ac:dyDescent="0.15">
      <c r="B2703" s="69"/>
      <c r="C2703" s="70"/>
      <c r="D2703" s="71"/>
    </row>
    <row r="2704" spans="2:4" x14ac:dyDescent="0.15">
      <c r="B2704" s="69"/>
      <c r="C2704" s="70"/>
      <c r="D2704" s="71"/>
    </row>
    <row r="2705" spans="2:4" x14ac:dyDescent="0.15">
      <c r="B2705" s="69"/>
      <c r="C2705" s="70"/>
      <c r="D2705" s="71"/>
    </row>
    <row r="2706" spans="2:4" x14ac:dyDescent="0.15">
      <c r="B2706" s="69"/>
      <c r="C2706" s="70"/>
      <c r="D2706" s="71"/>
    </row>
    <row r="2707" spans="2:4" x14ac:dyDescent="0.15">
      <c r="B2707" s="69"/>
      <c r="C2707" s="70"/>
      <c r="D2707" s="71"/>
    </row>
    <row r="2708" spans="2:4" x14ac:dyDescent="0.15">
      <c r="B2708" s="69"/>
      <c r="C2708" s="70"/>
      <c r="D2708" s="71"/>
    </row>
    <row r="2709" spans="2:4" x14ac:dyDescent="0.15">
      <c r="B2709" s="69"/>
      <c r="C2709" s="70"/>
      <c r="D2709" s="71"/>
    </row>
    <row r="2710" spans="2:4" x14ac:dyDescent="0.15">
      <c r="B2710" s="69"/>
      <c r="C2710" s="70"/>
      <c r="D2710" s="71"/>
    </row>
    <row r="2711" spans="2:4" x14ac:dyDescent="0.15">
      <c r="B2711" s="69"/>
      <c r="C2711" s="70"/>
      <c r="D2711" s="71"/>
    </row>
    <row r="2712" spans="2:4" x14ac:dyDescent="0.15">
      <c r="B2712" s="69"/>
      <c r="C2712" s="70"/>
      <c r="D2712" s="71"/>
    </row>
    <row r="2713" spans="2:4" x14ac:dyDescent="0.15">
      <c r="B2713" s="69"/>
      <c r="C2713" s="70"/>
      <c r="D2713" s="71"/>
    </row>
    <row r="2714" spans="2:4" x14ac:dyDescent="0.15">
      <c r="B2714" s="69"/>
      <c r="C2714" s="70"/>
      <c r="D2714" s="71"/>
    </row>
    <row r="2715" spans="2:4" x14ac:dyDescent="0.15">
      <c r="B2715" s="69"/>
      <c r="C2715" s="70"/>
      <c r="D2715" s="71"/>
    </row>
    <row r="2716" spans="2:4" x14ac:dyDescent="0.15">
      <c r="B2716" s="69"/>
      <c r="C2716" s="70"/>
      <c r="D2716" s="71"/>
    </row>
    <row r="2717" spans="2:4" x14ac:dyDescent="0.15">
      <c r="B2717" s="69"/>
      <c r="C2717" s="70"/>
      <c r="D2717" s="71"/>
    </row>
    <row r="2718" spans="2:4" x14ac:dyDescent="0.15">
      <c r="B2718" s="69"/>
      <c r="C2718" s="70"/>
      <c r="D2718" s="71"/>
    </row>
    <row r="2719" spans="2:4" x14ac:dyDescent="0.15">
      <c r="B2719" s="69"/>
      <c r="C2719" s="70"/>
      <c r="D2719" s="71"/>
    </row>
    <row r="2720" spans="2:4" x14ac:dyDescent="0.15">
      <c r="B2720" s="69"/>
      <c r="C2720" s="70"/>
      <c r="D2720" s="71"/>
    </row>
    <row r="2721" spans="2:4" x14ac:dyDescent="0.15">
      <c r="B2721" s="69"/>
      <c r="C2721" s="70"/>
      <c r="D2721" s="71"/>
    </row>
    <row r="2722" spans="2:4" x14ac:dyDescent="0.15">
      <c r="B2722" s="69"/>
      <c r="C2722" s="70"/>
      <c r="D2722" s="71"/>
    </row>
    <row r="2723" spans="2:4" x14ac:dyDescent="0.15">
      <c r="B2723" s="69"/>
      <c r="C2723" s="70"/>
      <c r="D2723" s="71"/>
    </row>
    <row r="2724" spans="2:4" x14ac:dyDescent="0.15">
      <c r="B2724" s="69"/>
      <c r="C2724" s="70"/>
      <c r="D2724" s="71"/>
    </row>
    <row r="2725" spans="2:4" x14ac:dyDescent="0.15">
      <c r="B2725" s="69"/>
      <c r="C2725" s="70"/>
      <c r="D2725" s="71"/>
    </row>
    <row r="2726" spans="2:4" x14ac:dyDescent="0.15">
      <c r="B2726" s="69"/>
      <c r="C2726" s="70"/>
      <c r="D2726" s="71"/>
    </row>
    <row r="2727" spans="2:4" x14ac:dyDescent="0.15">
      <c r="B2727" s="69"/>
      <c r="C2727" s="70"/>
      <c r="D2727" s="71"/>
    </row>
    <row r="2728" spans="2:4" x14ac:dyDescent="0.15">
      <c r="B2728" s="69"/>
      <c r="C2728" s="70"/>
      <c r="D2728" s="71"/>
    </row>
    <row r="2729" spans="2:4" x14ac:dyDescent="0.15">
      <c r="B2729" s="69"/>
      <c r="C2729" s="70"/>
      <c r="D2729" s="71"/>
    </row>
    <row r="2730" spans="2:4" x14ac:dyDescent="0.15">
      <c r="B2730" s="69"/>
      <c r="C2730" s="70"/>
      <c r="D2730" s="71"/>
    </row>
    <row r="2731" spans="2:4" x14ac:dyDescent="0.15">
      <c r="B2731" s="69"/>
      <c r="C2731" s="70"/>
      <c r="D2731" s="71"/>
    </row>
    <row r="2732" spans="2:4" x14ac:dyDescent="0.15">
      <c r="B2732" s="69"/>
      <c r="C2732" s="70"/>
      <c r="D2732" s="71"/>
    </row>
    <row r="2733" spans="2:4" x14ac:dyDescent="0.15">
      <c r="B2733" s="69"/>
      <c r="C2733" s="70"/>
      <c r="D2733" s="71"/>
    </row>
    <row r="2734" spans="2:4" x14ac:dyDescent="0.15">
      <c r="B2734" s="69"/>
      <c r="C2734" s="70"/>
      <c r="D2734" s="71"/>
    </row>
    <row r="2735" spans="2:4" x14ac:dyDescent="0.15">
      <c r="B2735" s="69"/>
      <c r="C2735" s="70"/>
      <c r="D2735" s="71"/>
    </row>
    <row r="2736" spans="2:4" x14ac:dyDescent="0.15">
      <c r="B2736" s="69"/>
      <c r="C2736" s="70"/>
      <c r="D2736" s="71"/>
    </row>
    <row r="2737" spans="2:4" x14ac:dyDescent="0.15">
      <c r="B2737" s="69"/>
      <c r="C2737" s="70"/>
      <c r="D2737" s="71"/>
    </row>
    <row r="2738" spans="2:4" x14ac:dyDescent="0.15">
      <c r="B2738" s="69"/>
      <c r="C2738" s="70"/>
      <c r="D2738" s="71"/>
    </row>
    <row r="2739" spans="2:4" x14ac:dyDescent="0.15">
      <c r="B2739" s="69"/>
      <c r="C2739" s="70"/>
      <c r="D2739" s="71"/>
    </row>
    <row r="2740" spans="2:4" x14ac:dyDescent="0.15">
      <c r="B2740" s="69"/>
      <c r="C2740" s="70"/>
      <c r="D2740" s="71"/>
    </row>
    <row r="2741" spans="2:4" x14ac:dyDescent="0.15">
      <c r="B2741" s="69"/>
      <c r="C2741" s="70"/>
      <c r="D2741" s="71"/>
    </row>
    <row r="2742" spans="2:4" x14ac:dyDescent="0.15">
      <c r="B2742" s="69"/>
      <c r="C2742" s="70"/>
      <c r="D2742" s="71"/>
    </row>
    <row r="2743" spans="2:4" x14ac:dyDescent="0.15">
      <c r="B2743" s="69"/>
      <c r="C2743" s="70"/>
      <c r="D2743" s="71"/>
    </row>
    <row r="2744" spans="2:4" x14ac:dyDescent="0.15">
      <c r="B2744" s="69"/>
      <c r="C2744" s="70"/>
      <c r="D2744" s="71"/>
    </row>
    <row r="2745" spans="2:4" x14ac:dyDescent="0.15">
      <c r="B2745" s="69"/>
      <c r="C2745" s="70"/>
      <c r="D2745" s="71"/>
    </row>
    <row r="2746" spans="2:4" x14ac:dyDescent="0.15">
      <c r="B2746" s="69"/>
      <c r="C2746" s="70"/>
      <c r="D2746" s="71"/>
    </row>
    <row r="2747" spans="2:4" x14ac:dyDescent="0.15">
      <c r="B2747" s="69"/>
      <c r="C2747" s="70"/>
      <c r="D2747" s="71"/>
    </row>
    <row r="2748" spans="2:4" x14ac:dyDescent="0.15">
      <c r="B2748" s="69"/>
      <c r="C2748" s="70"/>
      <c r="D2748" s="71"/>
    </row>
    <row r="2749" spans="2:4" x14ac:dyDescent="0.15">
      <c r="B2749" s="69"/>
      <c r="C2749" s="70"/>
      <c r="D2749" s="71"/>
    </row>
    <row r="2750" spans="2:4" x14ac:dyDescent="0.15">
      <c r="B2750" s="69"/>
      <c r="C2750" s="70"/>
      <c r="D2750" s="71"/>
    </row>
    <row r="2751" spans="2:4" x14ac:dyDescent="0.15">
      <c r="B2751" s="69"/>
      <c r="C2751" s="70"/>
      <c r="D2751" s="71"/>
    </row>
    <row r="2752" spans="2:4" x14ac:dyDescent="0.15">
      <c r="B2752" s="69"/>
      <c r="C2752" s="70"/>
      <c r="D2752" s="71"/>
    </row>
    <row r="2753" spans="2:4" x14ac:dyDescent="0.15">
      <c r="B2753" s="69"/>
      <c r="C2753" s="70"/>
      <c r="D2753" s="71"/>
    </row>
    <row r="2754" spans="2:4" x14ac:dyDescent="0.15">
      <c r="B2754" s="69"/>
      <c r="C2754" s="70"/>
      <c r="D2754" s="71"/>
    </row>
    <row r="2755" spans="2:4" x14ac:dyDescent="0.15">
      <c r="B2755" s="69"/>
      <c r="C2755" s="70"/>
      <c r="D2755" s="71"/>
    </row>
    <row r="2756" spans="2:4" x14ac:dyDescent="0.15">
      <c r="B2756" s="69"/>
      <c r="C2756" s="70"/>
      <c r="D2756" s="71"/>
    </row>
    <row r="2757" spans="2:4" x14ac:dyDescent="0.15">
      <c r="B2757" s="69"/>
      <c r="C2757" s="70"/>
      <c r="D2757" s="71"/>
    </row>
    <row r="2758" spans="2:4" x14ac:dyDescent="0.15">
      <c r="B2758" s="69"/>
      <c r="C2758" s="70"/>
      <c r="D2758" s="71"/>
    </row>
    <row r="2759" spans="2:4" x14ac:dyDescent="0.15">
      <c r="B2759" s="69"/>
      <c r="C2759" s="70"/>
      <c r="D2759" s="71"/>
    </row>
    <row r="2760" spans="2:4" x14ac:dyDescent="0.15">
      <c r="B2760" s="69"/>
      <c r="C2760" s="70"/>
      <c r="D2760" s="71"/>
    </row>
    <row r="2761" spans="2:4" x14ac:dyDescent="0.15">
      <c r="B2761" s="69"/>
      <c r="C2761" s="70"/>
      <c r="D2761" s="71"/>
    </row>
    <row r="2762" spans="2:4" x14ac:dyDescent="0.15">
      <c r="B2762" s="69"/>
      <c r="C2762" s="70"/>
      <c r="D2762" s="71"/>
    </row>
    <row r="2763" spans="2:4" x14ac:dyDescent="0.15">
      <c r="B2763" s="69"/>
      <c r="C2763" s="70"/>
      <c r="D2763" s="71"/>
    </row>
    <row r="2764" spans="2:4" x14ac:dyDescent="0.15">
      <c r="B2764" s="69"/>
      <c r="C2764" s="70"/>
      <c r="D2764" s="71"/>
    </row>
    <row r="2765" spans="2:4" x14ac:dyDescent="0.15">
      <c r="B2765" s="69"/>
      <c r="C2765" s="70"/>
      <c r="D2765" s="71"/>
    </row>
    <row r="2766" spans="2:4" x14ac:dyDescent="0.15">
      <c r="B2766" s="69"/>
      <c r="C2766" s="70"/>
      <c r="D2766" s="71"/>
    </row>
    <row r="2767" spans="2:4" x14ac:dyDescent="0.15">
      <c r="B2767" s="69"/>
      <c r="C2767" s="70"/>
      <c r="D2767" s="71"/>
    </row>
    <row r="2768" spans="2:4" x14ac:dyDescent="0.15">
      <c r="B2768" s="69"/>
      <c r="C2768" s="70"/>
      <c r="D2768" s="71"/>
    </row>
    <row r="2769" spans="2:4" x14ac:dyDescent="0.15">
      <c r="B2769" s="69"/>
      <c r="C2769" s="70"/>
      <c r="D2769" s="71"/>
    </row>
    <row r="2770" spans="2:4" x14ac:dyDescent="0.15">
      <c r="B2770" s="69"/>
      <c r="C2770" s="70"/>
      <c r="D2770" s="71"/>
    </row>
    <row r="2771" spans="2:4" x14ac:dyDescent="0.15">
      <c r="B2771" s="69"/>
      <c r="C2771" s="70"/>
      <c r="D2771" s="71"/>
    </row>
    <row r="2772" spans="2:4" x14ac:dyDescent="0.15">
      <c r="B2772" s="69"/>
      <c r="C2772" s="70"/>
      <c r="D2772" s="71"/>
    </row>
    <row r="2773" spans="2:4" x14ac:dyDescent="0.15">
      <c r="B2773" s="69"/>
      <c r="C2773" s="70"/>
      <c r="D2773" s="71"/>
    </row>
    <row r="2774" spans="2:4" x14ac:dyDescent="0.15">
      <c r="B2774" s="69"/>
      <c r="C2774" s="70"/>
      <c r="D2774" s="71"/>
    </row>
    <row r="2775" spans="2:4" x14ac:dyDescent="0.15">
      <c r="B2775" s="69"/>
      <c r="C2775" s="70"/>
      <c r="D2775" s="71"/>
    </row>
    <row r="2776" spans="2:4" x14ac:dyDescent="0.15">
      <c r="B2776" s="69"/>
      <c r="C2776" s="70"/>
      <c r="D2776" s="71"/>
    </row>
    <row r="2777" spans="2:4" x14ac:dyDescent="0.15">
      <c r="B2777" s="69"/>
      <c r="C2777" s="70"/>
      <c r="D2777" s="71"/>
    </row>
    <row r="2778" spans="2:4" x14ac:dyDescent="0.15">
      <c r="B2778" s="69"/>
      <c r="C2778" s="70"/>
      <c r="D2778" s="71"/>
    </row>
    <row r="2779" spans="2:4" x14ac:dyDescent="0.15">
      <c r="B2779" s="69"/>
      <c r="C2779" s="70"/>
      <c r="D2779" s="71"/>
    </row>
    <row r="2780" spans="2:4" x14ac:dyDescent="0.15">
      <c r="B2780" s="69"/>
      <c r="C2780" s="70"/>
      <c r="D2780" s="71"/>
    </row>
    <row r="2781" spans="2:4" x14ac:dyDescent="0.15">
      <c r="B2781" s="69"/>
      <c r="C2781" s="70"/>
      <c r="D2781" s="71"/>
    </row>
    <row r="2782" spans="2:4" x14ac:dyDescent="0.15">
      <c r="B2782" s="69"/>
      <c r="C2782" s="70"/>
      <c r="D2782" s="71"/>
    </row>
    <row r="2783" spans="2:4" x14ac:dyDescent="0.15">
      <c r="B2783" s="69"/>
      <c r="C2783" s="70"/>
      <c r="D2783" s="71"/>
    </row>
    <row r="2784" spans="2:4" x14ac:dyDescent="0.15">
      <c r="B2784" s="69"/>
      <c r="C2784" s="70"/>
      <c r="D2784" s="71"/>
    </row>
    <row r="2785" spans="2:4" x14ac:dyDescent="0.15">
      <c r="B2785" s="69"/>
      <c r="C2785" s="70"/>
      <c r="D2785" s="71"/>
    </row>
    <row r="2786" spans="2:4" x14ac:dyDescent="0.15">
      <c r="B2786" s="69"/>
      <c r="C2786" s="70"/>
      <c r="D2786" s="71"/>
    </row>
    <row r="2787" spans="2:4" x14ac:dyDescent="0.15">
      <c r="B2787" s="69"/>
      <c r="C2787" s="70"/>
      <c r="D2787" s="71"/>
    </row>
    <row r="2788" spans="2:4" x14ac:dyDescent="0.15">
      <c r="B2788" s="69"/>
      <c r="C2788" s="70"/>
      <c r="D2788" s="71"/>
    </row>
    <row r="2789" spans="2:4" x14ac:dyDescent="0.15">
      <c r="B2789" s="69"/>
      <c r="C2789" s="70"/>
      <c r="D2789" s="71"/>
    </row>
    <row r="2790" spans="2:4" x14ac:dyDescent="0.15">
      <c r="B2790" s="69"/>
      <c r="C2790" s="70"/>
      <c r="D2790" s="71"/>
    </row>
    <row r="2791" spans="2:4" x14ac:dyDescent="0.15">
      <c r="B2791" s="69"/>
      <c r="C2791" s="70"/>
      <c r="D2791" s="71"/>
    </row>
    <row r="2792" spans="2:4" x14ac:dyDescent="0.15">
      <c r="B2792" s="69"/>
      <c r="C2792" s="70"/>
      <c r="D2792" s="71"/>
    </row>
    <row r="2793" spans="2:4" x14ac:dyDescent="0.15">
      <c r="B2793" s="69"/>
      <c r="C2793" s="70"/>
      <c r="D2793" s="71"/>
    </row>
    <row r="2794" spans="2:4" x14ac:dyDescent="0.15">
      <c r="B2794" s="69"/>
      <c r="C2794" s="70"/>
      <c r="D2794" s="71"/>
    </row>
    <row r="2795" spans="2:4" x14ac:dyDescent="0.15">
      <c r="B2795" s="69"/>
      <c r="C2795" s="70"/>
      <c r="D2795" s="71"/>
    </row>
    <row r="2796" spans="2:4" x14ac:dyDescent="0.15">
      <c r="B2796" s="69"/>
      <c r="C2796" s="70"/>
      <c r="D2796" s="71"/>
    </row>
    <row r="2797" spans="2:4" x14ac:dyDescent="0.15">
      <c r="B2797" s="69"/>
      <c r="C2797" s="70"/>
      <c r="D2797" s="71"/>
    </row>
    <row r="2798" spans="2:4" x14ac:dyDescent="0.15">
      <c r="B2798" s="69"/>
      <c r="C2798" s="70"/>
      <c r="D2798" s="71"/>
    </row>
    <row r="2799" spans="2:4" x14ac:dyDescent="0.15">
      <c r="B2799" s="69"/>
      <c r="C2799" s="70"/>
      <c r="D2799" s="71"/>
    </row>
    <row r="2800" spans="2:4" x14ac:dyDescent="0.15">
      <c r="B2800" s="69"/>
      <c r="C2800" s="70"/>
      <c r="D2800" s="71"/>
    </row>
    <row r="2801" spans="2:4" x14ac:dyDescent="0.15">
      <c r="B2801" s="69"/>
      <c r="C2801" s="70"/>
      <c r="D2801" s="71"/>
    </row>
    <row r="2802" spans="2:4" x14ac:dyDescent="0.15">
      <c r="B2802" s="69"/>
      <c r="C2802" s="70"/>
      <c r="D2802" s="71"/>
    </row>
    <row r="2803" spans="2:4" x14ac:dyDescent="0.15">
      <c r="B2803" s="69"/>
      <c r="C2803" s="70"/>
      <c r="D2803" s="71"/>
    </row>
    <row r="2804" spans="2:4" x14ac:dyDescent="0.15">
      <c r="B2804" s="69"/>
      <c r="C2804" s="70"/>
      <c r="D2804" s="71"/>
    </row>
    <row r="2805" spans="2:4" x14ac:dyDescent="0.15">
      <c r="B2805" s="69"/>
      <c r="C2805" s="70"/>
      <c r="D2805" s="71"/>
    </row>
    <row r="2806" spans="2:4" x14ac:dyDescent="0.15">
      <c r="B2806" s="69"/>
      <c r="C2806" s="70"/>
      <c r="D2806" s="71"/>
    </row>
    <row r="2807" spans="2:4" x14ac:dyDescent="0.15">
      <c r="B2807" s="69"/>
      <c r="C2807" s="70"/>
      <c r="D2807" s="71"/>
    </row>
    <row r="2808" spans="2:4" x14ac:dyDescent="0.15">
      <c r="B2808" s="69"/>
      <c r="C2808" s="70"/>
      <c r="D2808" s="71"/>
    </row>
    <row r="2809" spans="2:4" x14ac:dyDescent="0.15">
      <c r="B2809" s="69"/>
      <c r="C2809" s="70"/>
      <c r="D2809" s="71"/>
    </row>
    <row r="2810" spans="2:4" x14ac:dyDescent="0.15">
      <c r="B2810" s="69"/>
      <c r="C2810" s="70"/>
      <c r="D2810" s="71"/>
    </row>
    <row r="2811" spans="2:4" x14ac:dyDescent="0.15">
      <c r="B2811" s="69"/>
      <c r="C2811" s="70"/>
      <c r="D2811" s="71"/>
    </row>
    <row r="2812" spans="2:4" x14ac:dyDescent="0.15">
      <c r="B2812" s="69"/>
      <c r="C2812" s="70"/>
      <c r="D2812" s="71"/>
    </row>
    <row r="2813" spans="2:4" x14ac:dyDescent="0.15">
      <c r="B2813" s="69"/>
      <c r="C2813" s="70"/>
      <c r="D2813" s="71"/>
    </row>
    <row r="2814" spans="2:4" x14ac:dyDescent="0.15">
      <c r="B2814" s="69"/>
      <c r="C2814" s="70"/>
      <c r="D2814" s="71"/>
    </row>
    <row r="2815" spans="2:4" x14ac:dyDescent="0.15">
      <c r="B2815" s="69"/>
      <c r="C2815" s="70"/>
      <c r="D2815" s="71"/>
    </row>
    <row r="2816" spans="2:4" x14ac:dyDescent="0.15">
      <c r="B2816" s="69"/>
      <c r="C2816" s="70"/>
      <c r="D2816" s="71"/>
    </row>
    <row r="2817" spans="2:4" x14ac:dyDescent="0.15">
      <c r="B2817" s="69"/>
      <c r="C2817" s="70"/>
      <c r="D2817" s="71"/>
    </row>
    <row r="2818" spans="2:4" x14ac:dyDescent="0.15">
      <c r="B2818" s="69"/>
      <c r="C2818" s="70"/>
      <c r="D2818" s="71"/>
    </row>
    <row r="2819" spans="2:4" x14ac:dyDescent="0.15">
      <c r="B2819" s="69"/>
      <c r="C2819" s="70"/>
      <c r="D2819" s="71"/>
    </row>
    <row r="2820" spans="2:4" x14ac:dyDescent="0.15">
      <c r="B2820" s="69"/>
      <c r="C2820" s="70"/>
      <c r="D2820" s="71"/>
    </row>
    <row r="2821" spans="2:4" x14ac:dyDescent="0.15">
      <c r="B2821" s="69"/>
      <c r="C2821" s="70"/>
      <c r="D2821" s="71"/>
    </row>
    <row r="2822" spans="2:4" x14ac:dyDescent="0.15">
      <c r="B2822" s="69"/>
      <c r="C2822" s="70"/>
      <c r="D2822" s="71"/>
    </row>
    <row r="2823" spans="2:4" x14ac:dyDescent="0.15">
      <c r="B2823" s="69"/>
      <c r="C2823" s="70"/>
      <c r="D2823" s="71"/>
    </row>
    <row r="2824" spans="2:4" x14ac:dyDescent="0.15">
      <c r="B2824" s="69"/>
      <c r="C2824" s="70"/>
      <c r="D2824" s="71"/>
    </row>
    <row r="2825" spans="2:4" x14ac:dyDescent="0.15">
      <c r="B2825" s="69"/>
      <c r="C2825" s="70"/>
      <c r="D2825" s="71"/>
    </row>
    <row r="2826" spans="2:4" x14ac:dyDescent="0.15">
      <c r="B2826" s="69"/>
      <c r="C2826" s="70"/>
      <c r="D2826" s="71"/>
    </row>
    <row r="2827" spans="2:4" x14ac:dyDescent="0.15">
      <c r="B2827" s="69"/>
      <c r="C2827" s="70"/>
      <c r="D2827" s="71"/>
    </row>
    <row r="2828" spans="2:4" x14ac:dyDescent="0.15">
      <c r="B2828" s="69"/>
      <c r="C2828" s="70"/>
      <c r="D2828" s="71"/>
    </row>
    <row r="2829" spans="2:4" x14ac:dyDescent="0.15">
      <c r="B2829" s="69"/>
      <c r="C2829" s="70"/>
      <c r="D2829" s="71"/>
    </row>
    <row r="2830" spans="2:4" x14ac:dyDescent="0.15">
      <c r="B2830" s="69"/>
      <c r="C2830" s="70"/>
      <c r="D2830" s="71"/>
    </row>
    <row r="2831" spans="2:4" x14ac:dyDescent="0.15">
      <c r="B2831" s="69"/>
      <c r="C2831" s="70"/>
      <c r="D2831" s="71"/>
    </row>
    <row r="2832" spans="2:4" x14ac:dyDescent="0.15">
      <c r="B2832" s="69"/>
      <c r="C2832" s="70"/>
      <c r="D2832" s="71"/>
    </row>
    <row r="2833" spans="2:4" x14ac:dyDescent="0.15">
      <c r="B2833" s="69"/>
      <c r="C2833" s="70"/>
      <c r="D2833" s="71"/>
    </row>
    <row r="2834" spans="2:4" x14ac:dyDescent="0.15">
      <c r="B2834" s="69"/>
      <c r="C2834" s="70"/>
      <c r="D2834" s="71"/>
    </row>
    <row r="2835" spans="2:4" x14ac:dyDescent="0.15">
      <c r="B2835" s="69"/>
      <c r="C2835" s="70"/>
      <c r="D2835" s="71"/>
    </row>
    <row r="2836" spans="2:4" x14ac:dyDescent="0.15">
      <c r="B2836" s="69"/>
      <c r="C2836" s="70"/>
      <c r="D2836" s="71"/>
    </row>
    <row r="2837" spans="2:4" x14ac:dyDescent="0.15">
      <c r="B2837" s="69"/>
      <c r="C2837" s="70"/>
      <c r="D2837" s="71"/>
    </row>
    <row r="2838" spans="2:4" x14ac:dyDescent="0.15">
      <c r="B2838" s="69"/>
      <c r="C2838" s="70"/>
      <c r="D2838" s="71"/>
    </row>
    <row r="2839" spans="2:4" x14ac:dyDescent="0.15">
      <c r="B2839" s="69"/>
      <c r="C2839" s="70"/>
      <c r="D2839" s="71"/>
    </row>
    <row r="2840" spans="2:4" x14ac:dyDescent="0.15">
      <c r="B2840" s="69"/>
      <c r="C2840" s="70"/>
      <c r="D2840" s="71"/>
    </row>
    <row r="2841" spans="2:4" x14ac:dyDescent="0.15">
      <c r="B2841" s="69"/>
      <c r="C2841" s="70"/>
      <c r="D2841" s="71"/>
    </row>
    <row r="2842" spans="2:4" x14ac:dyDescent="0.15">
      <c r="B2842" s="69"/>
      <c r="C2842" s="70"/>
      <c r="D2842" s="71"/>
    </row>
    <row r="2843" spans="2:4" x14ac:dyDescent="0.15">
      <c r="B2843" s="69"/>
      <c r="C2843" s="70"/>
      <c r="D2843" s="71"/>
    </row>
    <row r="2844" spans="2:4" x14ac:dyDescent="0.15">
      <c r="B2844" s="69"/>
      <c r="C2844" s="70"/>
      <c r="D2844" s="71"/>
    </row>
    <row r="2845" spans="2:4" x14ac:dyDescent="0.15">
      <c r="B2845" s="69"/>
      <c r="C2845" s="70"/>
      <c r="D2845" s="71"/>
    </row>
    <row r="2846" spans="2:4" x14ac:dyDescent="0.15">
      <c r="B2846" s="69"/>
      <c r="C2846" s="70"/>
      <c r="D2846" s="71"/>
    </row>
    <row r="2847" spans="2:4" x14ac:dyDescent="0.15">
      <c r="B2847" s="69"/>
      <c r="C2847" s="70"/>
      <c r="D2847" s="71"/>
    </row>
    <row r="2848" spans="2:4" x14ac:dyDescent="0.15">
      <c r="B2848" s="69"/>
      <c r="C2848" s="70"/>
      <c r="D2848" s="71"/>
    </row>
    <row r="2849" spans="2:4" x14ac:dyDescent="0.15">
      <c r="B2849" s="69"/>
      <c r="C2849" s="70"/>
      <c r="D2849" s="71"/>
    </row>
    <row r="2850" spans="2:4" x14ac:dyDescent="0.15">
      <c r="B2850" s="69"/>
      <c r="C2850" s="70"/>
      <c r="D2850" s="71"/>
    </row>
    <row r="2851" spans="2:4" x14ac:dyDescent="0.15">
      <c r="B2851" s="69"/>
      <c r="C2851" s="70"/>
      <c r="D2851" s="71"/>
    </row>
    <row r="2852" spans="2:4" x14ac:dyDescent="0.15">
      <c r="B2852" s="69"/>
      <c r="C2852" s="70"/>
      <c r="D2852" s="71"/>
    </row>
    <row r="2853" spans="2:4" x14ac:dyDescent="0.15">
      <c r="B2853" s="69"/>
      <c r="C2853" s="70"/>
      <c r="D2853" s="71"/>
    </row>
    <row r="2854" spans="2:4" x14ac:dyDescent="0.15">
      <c r="B2854" s="69"/>
      <c r="C2854" s="70"/>
      <c r="D2854" s="71"/>
    </row>
    <row r="2855" spans="2:4" x14ac:dyDescent="0.15">
      <c r="B2855" s="69"/>
      <c r="C2855" s="70"/>
      <c r="D2855" s="71"/>
    </row>
    <row r="2856" spans="2:4" x14ac:dyDescent="0.15">
      <c r="B2856" s="69"/>
      <c r="C2856" s="70"/>
      <c r="D2856" s="71"/>
    </row>
    <row r="2857" spans="2:4" x14ac:dyDescent="0.15">
      <c r="B2857" s="69"/>
      <c r="C2857" s="70"/>
      <c r="D2857" s="71"/>
    </row>
    <row r="2858" spans="2:4" x14ac:dyDescent="0.15">
      <c r="B2858" s="69"/>
      <c r="C2858" s="70"/>
      <c r="D2858" s="71"/>
    </row>
    <row r="2859" spans="2:4" x14ac:dyDescent="0.15">
      <c r="B2859" s="69"/>
      <c r="C2859" s="70"/>
      <c r="D2859" s="71"/>
    </row>
    <row r="2860" spans="2:4" x14ac:dyDescent="0.15">
      <c r="B2860" s="69"/>
      <c r="C2860" s="70"/>
      <c r="D2860" s="71"/>
    </row>
    <row r="2861" spans="2:4" x14ac:dyDescent="0.15">
      <c r="B2861" s="69"/>
      <c r="C2861" s="70"/>
      <c r="D2861" s="71"/>
    </row>
    <row r="2862" spans="2:4" x14ac:dyDescent="0.15">
      <c r="B2862" s="69"/>
      <c r="C2862" s="70"/>
      <c r="D2862" s="71"/>
    </row>
    <row r="2863" spans="2:4" x14ac:dyDescent="0.15">
      <c r="B2863" s="69"/>
      <c r="C2863" s="70"/>
      <c r="D2863" s="71"/>
    </row>
  </sheetData>
  <mergeCells count="11">
    <mergeCell ref="B13:D13"/>
    <mergeCell ref="G13:I13"/>
    <mergeCell ref="B14:D14"/>
    <mergeCell ref="G14:I14"/>
    <mergeCell ref="F16:O25"/>
    <mergeCell ref="B1:O3"/>
    <mergeCell ref="B4:O9"/>
    <mergeCell ref="B11:D11"/>
    <mergeCell ref="G11:I11"/>
    <mergeCell ref="B12:D12"/>
    <mergeCell ref="G12:I12"/>
  </mergeCells>
  <pageMargins left="0.75" right="0.75" top="1" bottom="1" header="0.5" footer="0.5"/>
  <pageSetup scale="69" fitToHeight="5"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A27BB-E208-4146-9C2C-6536115EA88E}">
  <sheetPr>
    <tabColor theme="9" tint="0.79998168889431442"/>
    <pageSetUpPr fitToPage="1"/>
  </sheetPr>
  <dimension ref="B1:O2863"/>
  <sheetViews>
    <sheetView topLeftCell="A246" workbookViewId="0">
      <selection activeCell="F26" sqref="F26"/>
    </sheetView>
  </sheetViews>
  <sheetFormatPr baseColWidth="10" defaultColWidth="9.1640625" defaultRowHeight="13" x14ac:dyDescent="0.15"/>
  <cols>
    <col min="1" max="1" width="6.83203125" style="63" customWidth="1"/>
    <col min="2" max="2" width="10" style="63" customWidth="1"/>
    <col min="3" max="3" width="11.33203125" style="63" customWidth="1"/>
    <col min="4" max="4" width="11.83203125" style="63" customWidth="1"/>
    <col min="5" max="9" width="9.1640625" style="63"/>
    <col min="10" max="10" width="10.6640625" style="63" customWidth="1"/>
    <col min="11" max="13" width="9.1640625" style="63"/>
    <col min="14" max="14" width="10.83203125" style="63" customWidth="1"/>
    <col min="15" max="15" width="19.5" style="63" customWidth="1"/>
    <col min="16" max="256" width="9.1640625" style="63"/>
    <col min="257" max="257" width="6.83203125" style="63" customWidth="1"/>
    <col min="258" max="258" width="10" style="63" customWidth="1"/>
    <col min="259" max="259" width="11.33203125" style="63" customWidth="1"/>
    <col min="260" max="260" width="11.83203125" style="63" customWidth="1"/>
    <col min="261" max="265" width="9.1640625" style="63"/>
    <col min="266" max="266" width="10.6640625" style="63" customWidth="1"/>
    <col min="267" max="269" width="9.1640625" style="63"/>
    <col min="270" max="270" width="10.83203125" style="63" customWidth="1"/>
    <col min="271" max="271" width="19.5" style="63" customWidth="1"/>
    <col min="272" max="512" width="9.1640625" style="63"/>
    <col min="513" max="513" width="6.83203125" style="63" customWidth="1"/>
    <col min="514" max="514" width="10" style="63" customWidth="1"/>
    <col min="515" max="515" width="11.33203125" style="63" customWidth="1"/>
    <col min="516" max="516" width="11.83203125" style="63" customWidth="1"/>
    <col min="517" max="521" width="9.1640625" style="63"/>
    <col min="522" max="522" width="10.6640625" style="63" customWidth="1"/>
    <col min="523" max="525" width="9.1640625" style="63"/>
    <col min="526" max="526" width="10.83203125" style="63" customWidth="1"/>
    <col min="527" max="527" width="19.5" style="63" customWidth="1"/>
    <col min="528" max="768" width="9.1640625" style="63"/>
    <col min="769" max="769" width="6.83203125" style="63" customWidth="1"/>
    <col min="770" max="770" width="10" style="63" customWidth="1"/>
    <col min="771" max="771" width="11.33203125" style="63" customWidth="1"/>
    <col min="772" max="772" width="11.83203125" style="63" customWidth="1"/>
    <col min="773" max="777" width="9.1640625" style="63"/>
    <col min="778" max="778" width="10.6640625" style="63" customWidth="1"/>
    <col min="779" max="781" width="9.1640625" style="63"/>
    <col min="782" max="782" width="10.83203125" style="63" customWidth="1"/>
    <col min="783" max="783" width="19.5" style="63" customWidth="1"/>
    <col min="784" max="1024" width="9.1640625" style="63"/>
    <col min="1025" max="1025" width="6.83203125" style="63" customWidth="1"/>
    <col min="1026" max="1026" width="10" style="63" customWidth="1"/>
    <col min="1027" max="1027" width="11.33203125" style="63" customWidth="1"/>
    <col min="1028" max="1028" width="11.83203125" style="63" customWidth="1"/>
    <col min="1029" max="1033" width="9.1640625" style="63"/>
    <col min="1034" max="1034" width="10.6640625" style="63" customWidth="1"/>
    <col min="1035" max="1037" width="9.1640625" style="63"/>
    <col min="1038" max="1038" width="10.83203125" style="63" customWidth="1"/>
    <col min="1039" max="1039" width="19.5" style="63" customWidth="1"/>
    <col min="1040" max="1280" width="9.1640625" style="63"/>
    <col min="1281" max="1281" width="6.83203125" style="63" customWidth="1"/>
    <col min="1282" max="1282" width="10" style="63" customWidth="1"/>
    <col min="1283" max="1283" width="11.33203125" style="63" customWidth="1"/>
    <col min="1284" max="1284" width="11.83203125" style="63" customWidth="1"/>
    <col min="1285" max="1289" width="9.1640625" style="63"/>
    <col min="1290" max="1290" width="10.6640625" style="63" customWidth="1"/>
    <col min="1291" max="1293" width="9.1640625" style="63"/>
    <col min="1294" max="1294" width="10.83203125" style="63" customWidth="1"/>
    <col min="1295" max="1295" width="19.5" style="63" customWidth="1"/>
    <col min="1296" max="1536" width="9.1640625" style="63"/>
    <col min="1537" max="1537" width="6.83203125" style="63" customWidth="1"/>
    <col min="1538" max="1538" width="10" style="63" customWidth="1"/>
    <col min="1539" max="1539" width="11.33203125" style="63" customWidth="1"/>
    <col min="1540" max="1540" width="11.83203125" style="63" customWidth="1"/>
    <col min="1541" max="1545" width="9.1640625" style="63"/>
    <col min="1546" max="1546" width="10.6640625" style="63" customWidth="1"/>
    <col min="1547" max="1549" width="9.1640625" style="63"/>
    <col min="1550" max="1550" width="10.83203125" style="63" customWidth="1"/>
    <col min="1551" max="1551" width="19.5" style="63" customWidth="1"/>
    <col min="1552" max="1792" width="9.1640625" style="63"/>
    <col min="1793" max="1793" width="6.83203125" style="63" customWidth="1"/>
    <col min="1794" max="1794" width="10" style="63" customWidth="1"/>
    <col min="1795" max="1795" width="11.33203125" style="63" customWidth="1"/>
    <col min="1796" max="1796" width="11.83203125" style="63" customWidth="1"/>
    <col min="1797" max="1801" width="9.1640625" style="63"/>
    <col min="1802" max="1802" width="10.6640625" style="63" customWidth="1"/>
    <col min="1803" max="1805" width="9.1640625" style="63"/>
    <col min="1806" max="1806" width="10.83203125" style="63" customWidth="1"/>
    <col min="1807" max="1807" width="19.5" style="63" customWidth="1"/>
    <col min="1808" max="2048" width="9.1640625" style="63"/>
    <col min="2049" max="2049" width="6.83203125" style="63" customWidth="1"/>
    <col min="2050" max="2050" width="10" style="63" customWidth="1"/>
    <col min="2051" max="2051" width="11.33203125" style="63" customWidth="1"/>
    <col min="2052" max="2052" width="11.83203125" style="63" customWidth="1"/>
    <col min="2053" max="2057" width="9.1640625" style="63"/>
    <col min="2058" max="2058" width="10.6640625" style="63" customWidth="1"/>
    <col min="2059" max="2061" width="9.1640625" style="63"/>
    <col min="2062" max="2062" width="10.83203125" style="63" customWidth="1"/>
    <col min="2063" max="2063" width="19.5" style="63" customWidth="1"/>
    <col min="2064" max="2304" width="9.1640625" style="63"/>
    <col min="2305" max="2305" width="6.83203125" style="63" customWidth="1"/>
    <col min="2306" max="2306" width="10" style="63" customWidth="1"/>
    <col min="2307" max="2307" width="11.33203125" style="63" customWidth="1"/>
    <col min="2308" max="2308" width="11.83203125" style="63" customWidth="1"/>
    <col min="2309" max="2313" width="9.1640625" style="63"/>
    <col min="2314" max="2314" width="10.6640625" style="63" customWidth="1"/>
    <col min="2315" max="2317" width="9.1640625" style="63"/>
    <col min="2318" max="2318" width="10.83203125" style="63" customWidth="1"/>
    <col min="2319" max="2319" width="19.5" style="63" customWidth="1"/>
    <col min="2320" max="2560" width="9.1640625" style="63"/>
    <col min="2561" max="2561" width="6.83203125" style="63" customWidth="1"/>
    <col min="2562" max="2562" width="10" style="63" customWidth="1"/>
    <col min="2563" max="2563" width="11.33203125" style="63" customWidth="1"/>
    <col min="2564" max="2564" width="11.83203125" style="63" customWidth="1"/>
    <col min="2565" max="2569" width="9.1640625" style="63"/>
    <col min="2570" max="2570" width="10.6640625" style="63" customWidth="1"/>
    <col min="2571" max="2573" width="9.1640625" style="63"/>
    <col min="2574" max="2574" width="10.83203125" style="63" customWidth="1"/>
    <col min="2575" max="2575" width="19.5" style="63" customWidth="1"/>
    <col min="2576" max="2816" width="9.1640625" style="63"/>
    <col min="2817" max="2817" width="6.83203125" style="63" customWidth="1"/>
    <col min="2818" max="2818" width="10" style="63" customWidth="1"/>
    <col min="2819" max="2819" width="11.33203125" style="63" customWidth="1"/>
    <col min="2820" max="2820" width="11.83203125" style="63" customWidth="1"/>
    <col min="2821" max="2825" width="9.1640625" style="63"/>
    <col min="2826" max="2826" width="10.6640625" style="63" customWidth="1"/>
    <col min="2827" max="2829" width="9.1640625" style="63"/>
    <col min="2830" max="2830" width="10.83203125" style="63" customWidth="1"/>
    <col min="2831" max="2831" width="19.5" style="63" customWidth="1"/>
    <col min="2832" max="3072" width="9.1640625" style="63"/>
    <col min="3073" max="3073" width="6.83203125" style="63" customWidth="1"/>
    <col min="3074" max="3074" width="10" style="63" customWidth="1"/>
    <col min="3075" max="3075" width="11.33203125" style="63" customWidth="1"/>
    <col min="3076" max="3076" width="11.83203125" style="63" customWidth="1"/>
    <col min="3077" max="3081" width="9.1640625" style="63"/>
    <col min="3082" max="3082" width="10.6640625" style="63" customWidth="1"/>
    <col min="3083" max="3085" width="9.1640625" style="63"/>
    <col min="3086" max="3086" width="10.83203125" style="63" customWidth="1"/>
    <col min="3087" max="3087" width="19.5" style="63" customWidth="1"/>
    <col min="3088" max="3328" width="9.1640625" style="63"/>
    <col min="3329" max="3329" width="6.83203125" style="63" customWidth="1"/>
    <col min="3330" max="3330" width="10" style="63" customWidth="1"/>
    <col min="3331" max="3331" width="11.33203125" style="63" customWidth="1"/>
    <col min="3332" max="3332" width="11.83203125" style="63" customWidth="1"/>
    <col min="3333" max="3337" width="9.1640625" style="63"/>
    <col min="3338" max="3338" width="10.6640625" style="63" customWidth="1"/>
    <col min="3339" max="3341" width="9.1640625" style="63"/>
    <col min="3342" max="3342" width="10.83203125" style="63" customWidth="1"/>
    <col min="3343" max="3343" width="19.5" style="63" customWidth="1"/>
    <col min="3344" max="3584" width="9.1640625" style="63"/>
    <col min="3585" max="3585" width="6.83203125" style="63" customWidth="1"/>
    <col min="3586" max="3586" width="10" style="63" customWidth="1"/>
    <col min="3587" max="3587" width="11.33203125" style="63" customWidth="1"/>
    <col min="3588" max="3588" width="11.83203125" style="63" customWidth="1"/>
    <col min="3589" max="3593" width="9.1640625" style="63"/>
    <col min="3594" max="3594" width="10.6640625" style="63" customWidth="1"/>
    <col min="3595" max="3597" width="9.1640625" style="63"/>
    <col min="3598" max="3598" width="10.83203125" style="63" customWidth="1"/>
    <col min="3599" max="3599" width="19.5" style="63" customWidth="1"/>
    <col min="3600" max="3840" width="9.1640625" style="63"/>
    <col min="3841" max="3841" width="6.83203125" style="63" customWidth="1"/>
    <col min="3842" max="3842" width="10" style="63" customWidth="1"/>
    <col min="3843" max="3843" width="11.33203125" style="63" customWidth="1"/>
    <col min="3844" max="3844" width="11.83203125" style="63" customWidth="1"/>
    <col min="3845" max="3849" width="9.1640625" style="63"/>
    <col min="3850" max="3850" width="10.6640625" style="63" customWidth="1"/>
    <col min="3851" max="3853" width="9.1640625" style="63"/>
    <col min="3854" max="3854" width="10.83203125" style="63" customWidth="1"/>
    <col min="3855" max="3855" width="19.5" style="63" customWidth="1"/>
    <col min="3856" max="4096" width="9.1640625" style="63"/>
    <col min="4097" max="4097" width="6.83203125" style="63" customWidth="1"/>
    <col min="4098" max="4098" width="10" style="63" customWidth="1"/>
    <col min="4099" max="4099" width="11.33203125" style="63" customWidth="1"/>
    <col min="4100" max="4100" width="11.83203125" style="63" customWidth="1"/>
    <col min="4101" max="4105" width="9.1640625" style="63"/>
    <col min="4106" max="4106" width="10.6640625" style="63" customWidth="1"/>
    <col min="4107" max="4109" width="9.1640625" style="63"/>
    <col min="4110" max="4110" width="10.83203125" style="63" customWidth="1"/>
    <col min="4111" max="4111" width="19.5" style="63" customWidth="1"/>
    <col min="4112" max="4352" width="9.1640625" style="63"/>
    <col min="4353" max="4353" width="6.83203125" style="63" customWidth="1"/>
    <col min="4354" max="4354" width="10" style="63" customWidth="1"/>
    <col min="4355" max="4355" width="11.33203125" style="63" customWidth="1"/>
    <col min="4356" max="4356" width="11.83203125" style="63" customWidth="1"/>
    <col min="4357" max="4361" width="9.1640625" style="63"/>
    <col min="4362" max="4362" width="10.6640625" style="63" customWidth="1"/>
    <col min="4363" max="4365" width="9.1640625" style="63"/>
    <col min="4366" max="4366" width="10.83203125" style="63" customWidth="1"/>
    <col min="4367" max="4367" width="19.5" style="63" customWidth="1"/>
    <col min="4368" max="4608" width="9.1640625" style="63"/>
    <col min="4609" max="4609" width="6.83203125" style="63" customWidth="1"/>
    <col min="4610" max="4610" width="10" style="63" customWidth="1"/>
    <col min="4611" max="4611" width="11.33203125" style="63" customWidth="1"/>
    <col min="4612" max="4612" width="11.83203125" style="63" customWidth="1"/>
    <col min="4613" max="4617" width="9.1640625" style="63"/>
    <col min="4618" max="4618" width="10.6640625" style="63" customWidth="1"/>
    <col min="4619" max="4621" width="9.1640625" style="63"/>
    <col min="4622" max="4622" width="10.83203125" style="63" customWidth="1"/>
    <col min="4623" max="4623" width="19.5" style="63" customWidth="1"/>
    <col min="4624" max="4864" width="9.1640625" style="63"/>
    <col min="4865" max="4865" width="6.83203125" style="63" customWidth="1"/>
    <col min="4866" max="4866" width="10" style="63" customWidth="1"/>
    <col min="4867" max="4867" width="11.33203125" style="63" customWidth="1"/>
    <col min="4868" max="4868" width="11.83203125" style="63" customWidth="1"/>
    <col min="4869" max="4873" width="9.1640625" style="63"/>
    <col min="4874" max="4874" width="10.6640625" style="63" customWidth="1"/>
    <col min="4875" max="4877" width="9.1640625" style="63"/>
    <col min="4878" max="4878" width="10.83203125" style="63" customWidth="1"/>
    <col min="4879" max="4879" width="19.5" style="63" customWidth="1"/>
    <col min="4880" max="5120" width="9.1640625" style="63"/>
    <col min="5121" max="5121" width="6.83203125" style="63" customWidth="1"/>
    <col min="5122" max="5122" width="10" style="63" customWidth="1"/>
    <col min="5123" max="5123" width="11.33203125" style="63" customWidth="1"/>
    <col min="5124" max="5124" width="11.83203125" style="63" customWidth="1"/>
    <col min="5125" max="5129" width="9.1640625" style="63"/>
    <col min="5130" max="5130" width="10.6640625" style="63" customWidth="1"/>
    <col min="5131" max="5133" width="9.1640625" style="63"/>
    <col min="5134" max="5134" width="10.83203125" style="63" customWidth="1"/>
    <col min="5135" max="5135" width="19.5" style="63" customWidth="1"/>
    <col min="5136" max="5376" width="9.1640625" style="63"/>
    <col min="5377" max="5377" width="6.83203125" style="63" customWidth="1"/>
    <col min="5378" max="5378" width="10" style="63" customWidth="1"/>
    <col min="5379" max="5379" width="11.33203125" style="63" customWidth="1"/>
    <col min="5380" max="5380" width="11.83203125" style="63" customWidth="1"/>
    <col min="5381" max="5385" width="9.1640625" style="63"/>
    <col min="5386" max="5386" width="10.6640625" style="63" customWidth="1"/>
    <col min="5387" max="5389" width="9.1640625" style="63"/>
    <col min="5390" max="5390" width="10.83203125" style="63" customWidth="1"/>
    <col min="5391" max="5391" width="19.5" style="63" customWidth="1"/>
    <col min="5392" max="5632" width="9.1640625" style="63"/>
    <col min="5633" max="5633" width="6.83203125" style="63" customWidth="1"/>
    <col min="5634" max="5634" width="10" style="63" customWidth="1"/>
    <col min="5635" max="5635" width="11.33203125" style="63" customWidth="1"/>
    <col min="5636" max="5636" width="11.83203125" style="63" customWidth="1"/>
    <col min="5637" max="5641" width="9.1640625" style="63"/>
    <col min="5642" max="5642" width="10.6640625" style="63" customWidth="1"/>
    <col min="5643" max="5645" width="9.1640625" style="63"/>
    <col min="5646" max="5646" width="10.83203125" style="63" customWidth="1"/>
    <col min="5647" max="5647" width="19.5" style="63" customWidth="1"/>
    <col min="5648" max="5888" width="9.1640625" style="63"/>
    <col min="5889" max="5889" width="6.83203125" style="63" customWidth="1"/>
    <col min="5890" max="5890" width="10" style="63" customWidth="1"/>
    <col min="5891" max="5891" width="11.33203125" style="63" customWidth="1"/>
    <col min="5892" max="5892" width="11.83203125" style="63" customWidth="1"/>
    <col min="5893" max="5897" width="9.1640625" style="63"/>
    <col min="5898" max="5898" width="10.6640625" style="63" customWidth="1"/>
    <col min="5899" max="5901" width="9.1640625" style="63"/>
    <col min="5902" max="5902" width="10.83203125" style="63" customWidth="1"/>
    <col min="5903" max="5903" width="19.5" style="63" customWidth="1"/>
    <col min="5904" max="6144" width="9.1640625" style="63"/>
    <col min="6145" max="6145" width="6.83203125" style="63" customWidth="1"/>
    <col min="6146" max="6146" width="10" style="63" customWidth="1"/>
    <col min="6147" max="6147" width="11.33203125" style="63" customWidth="1"/>
    <col min="6148" max="6148" width="11.83203125" style="63" customWidth="1"/>
    <col min="6149" max="6153" width="9.1640625" style="63"/>
    <col min="6154" max="6154" width="10.6640625" style="63" customWidth="1"/>
    <col min="6155" max="6157" width="9.1640625" style="63"/>
    <col min="6158" max="6158" width="10.83203125" style="63" customWidth="1"/>
    <col min="6159" max="6159" width="19.5" style="63" customWidth="1"/>
    <col min="6160" max="6400" width="9.1640625" style="63"/>
    <col min="6401" max="6401" width="6.83203125" style="63" customWidth="1"/>
    <col min="6402" max="6402" width="10" style="63" customWidth="1"/>
    <col min="6403" max="6403" width="11.33203125" style="63" customWidth="1"/>
    <col min="6404" max="6404" width="11.83203125" style="63" customWidth="1"/>
    <col min="6405" max="6409" width="9.1640625" style="63"/>
    <col min="6410" max="6410" width="10.6640625" style="63" customWidth="1"/>
    <col min="6411" max="6413" width="9.1640625" style="63"/>
    <col min="6414" max="6414" width="10.83203125" style="63" customWidth="1"/>
    <col min="6415" max="6415" width="19.5" style="63" customWidth="1"/>
    <col min="6416" max="6656" width="9.1640625" style="63"/>
    <col min="6657" max="6657" width="6.83203125" style="63" customWidth="1"/>
    <col min="6658" max="6658" width="10" style="63" customWidth="1"/>
    <col min="6659" max="6659" width="11.33203125" style="63" customWidth="1"/>
    <col min="6660" max="6660" width="11.83203125" style="63" customWidth="1"/>
    <col min="6661" max="6665" width="9.1640625" style="63"/>
    <col min="6666" max="6666" width="10.6640625" style="63" customWidth="1"/>
    <col min="6667" max="6669" width="9.1640625" style="63"/>
    <col min="6670" max="6670" width="10.83203125" style="63" customWidth="1"/>
    <col min="6671" max="6671" width="19.5" style="63" customWidth="1"/>
    <col min="6672" max="6912" width="9.1640625" style="63"/>
    <col min="6913" max="6913" width="6.83203125" style="63" customWidth="1"/>
    <col min="6914" max="6914" width="10" style="63" customWidth="1"/>
    <col min="6915" max="6915" width="11.33203125" style="63" customWidth="1"/>
    <col min="6916" max="6916" width="11.83203125" style="63" customWidth="1"/>
    <col min="6917" max="6921" width="9.1640625" style="63"/>
    <col min="6922" max="6922" width="10.6640625" style="63" customWidth="1"/>
    <col min="6923" max="6925" width="9.1640625" style="63"/>
    <col min="6926" max="6926" width="10.83203125" style="63" customWidth="1"/>
    <col min="6927" max="6927" width="19.5" style="63" customWidth="1"/>
    <col min="6928" max="7168" width="9.1640625" style="63"/>
    <col min="7169" max="7169" width="6.83203125" style="63" customWidth="1"/>
    <col min="7170" max="7170" width="10" style="63" customWidth="1"/>
    <col min="7171" max="7171" width="11.33203125" style="63" customWidth="1"/>
    <col min="7172" max="7172" width="11.83203125" style="63" customWidth="1"/>
    <col min="7173" max="7177" width="9.1640625" style="63"/>
    <col min="7178" max="7178" width="10.6640625" style="63" customWidth="1"/>
    <col min="7179" max="7181" width="9.1640625" style="63"/>
    <col min="7182" max="7182" width="10.83203125" style="63" customWidth="1"/>
    <col min="7183" max="7183" width="19.5" style="63" customWidth="1"/>
    <col min="7184" max="7424" width="9.1640625" style="63"/>
    <col min="7425" max="7425" width="6.83203125" style="63" customWidth="1"/>
    <col min="7426" max="7426" width="10" style="63" customWidth="1"/>
    <col min="7427" max="7427" width="11.33203125" style="63" customWidth="1"/>
    <col min="7428" max="7428" width="11.83203125" style="63" customWidth="1"/>
    <col min="7429" max="7433" width="9.1640625" style="63"/>
    <col min="7434" max="7434" width="10.6640625" style="63" customWidth="1"/>
    <col min="7435" max="7437" width="9.1640625" style="63"/>
    <col min="7438" max="7438" width="10.83203125" style="63" customWidth="1"/>
    <col min="7439" max="7439" width="19.5" style="63" customWidth="1"/>
    <col min="7440" max="7680" width="9.1640625" style="63"/>
    <col min="7681" max="7681" width="6.83203125" style="63" customWidth="1"/>
    <col min="7682" max="7682" width="10" style="63" customWidth="1"/>
    <col min="7683" max="7683" width="11.33203125" style="63" customWidth="1"/>
    <col min="7684" max="7684" width="11.83203125" style="63" customWidth="1"/>
    <col min="7685" max="7689" width="9.1640625" style="63"/>
    <col min="7690" max="7690" width="10.6640625" style="63" customWidth="1"/>
    <col min="7691" max="7693" width="9.1640625" style="63"/>
    <col min="7694" max="7694" width="10.83203125" style="63" customWidth="1"/>
    <col min="7695" max="7695" width="19.5" style="63" customWidth="1"/>
    <col min="7696" max="7936" width="9.1640625" style="63"/>
    <col min="7937" max="7937" width="6.83203125" style="63" customWidth="1"/>
    <col min="7938" max="7938" width="10" style="63" customWidth="1"/>
    <col min="7939" max="7939" width="11.33203125" style="63" customWidth="1"/>
    <col min="7940" max="7940" width="11.83203125" style="63" customWidth="1"/>
    <col min="7941" max="7945" width="9.1640625" style="63"/>
    <col min="7946" max="7946" width="10.6640625" style="63" customWidth="1"/>
    <col min="7947" max="7949" width="9.1640625" style="63"/>
    <col min="7950" max="7950" width="10.83203125" style="63" customWidth="1"/>
    <col min="7951" max="7951" width="19.5" style="63" customWidth="1"/>
    <col min="7952" max="8192" width="9.1640625" style="63"/>
    <col min="8193" max="8193" width="6.83203125" style="63" customWidth="1"/>
    <col min="8194" max="8194" width="10" style="63" customWidth="1"/>
    <col min="8195" max="8195" width="11.33203125" style="63" customWidth="1"/>
    <col min="8196" max="8196" width="11.83203125" style="63" customWidth="1"/>
    <col min="8197" max="8201" width="9.1640625" style="63"/>
    <col min="8202" max="8202" width="10.6640625" style="63" customWidth="1"/>
    <col min="8203" max="8205" width="9.1640625" style="63"/>
    <col min="8206" max="8206" width="10.83203125" style="63" customWidth="1"/>
    <col min="8207" max="8207" width="19.5" style="63" customWidth="1"/>
    <col min="8208" max="8448" width="9.1640625" style="63"/>
    <col min="8449" max="8449" width="6.83203125" style="63" customWidth="1"/>
    <col min="8450" max="8450" width="10" style="63" customWidth="1"/>
    <col min="8451" max="8451" width="11.33203125" style="63" customWidth="1"/>
    <col min="8452" max="8452" width="11.83203125" style="63" customWidth="1"/>
    <col min="8453" max="8457" width="9.1640625" style="63"/>
    <col min="8458" max="8458" width="10.6640625" style="63" customWidth="1"/>
    <col min="8459" max="8461" width="9.1640625" style="63"/>
    <col min="8462" max="8462" width="10.83203125" style="63" customWidth="1"/>
    <col min="8463" max="8463" width="19.5" style="63" customWidth="1"/>
    <col min="8464" max="8704" width="9.1640625" style="63"/>
    <col min="8705" max="8705" width="6.83203125" style="63" customWidth="1"/>
    <col min="8706" max="8706" width="10" style="63" customWidth="1"/>
    <col min="8707" max="8707" width="11.33203125" style="63" customWidth="1"/>
    <col min="8708" max="8708" width="11.83203125" style="63" customWidth="1"/>
    <col min="8709" max="8713" width="9.1640625" style="63"/>
    <col min="8714" max="8714" width="10.6640625" style="63" customWidth="1"/>
    <col min="8715" max="8717" width="9.1640625" style="63"/>
    <col min="8718" max="8718" width="10.83203125" style="63" customWidth="1"/>
    <col min="8719" max="8719" width="19.5" style="63" customWidth="1"/>
    <col min="8720" max="8960" width="9.1640625" style="63"/>
    <col min="8961" max="8961" width="6.83203125" style="63" customWidth="1"/>
    <col min="8962" max="8962" width="10" style="63" customWidth="1"/>
    <col min="8963" max="8963" width="11.33203125" style="63" customWidth="1"/>
    <col min="8964" max="8964" width="11.83203125" style="63" customWidth="1"/>
    <col min="8965" max="8969" width="9.1640625" style="63"/>
    <col min="8970" max="8970" width="10.6640625" style="63" customWidth="1"/>
    <col min="8971" max="8973" width="9.1640625" style="63"/>
    <col min="8974" max="8974" width="10.83203125" style="63" customWidth="1"/>
    <col min="8975" max="8975" width="19.5" style="63" customWidth="1"/>
    <col min="8976" max="9216" width="9.1640625" style="63"/>
    <col min="9217" max="9217" width="6.83203125" style="63" customWidth="1"/>
    <col min="9218" max="9218" width="10" style="63" customWidth="1"/>
    <col min="9219" max="9219" width="11.33203125" style="63" customWidth="1"/>
    <col min="9220" max="9220" width="11.83203125" style="63" customWidth="1"/>
    <col min="9221" max="9225" width="9.1640625" style="63"/>
    <col min="9226" max="9226" width="10.6640625" style="63" customWidth="1"/>
    <col min="9227" max="9229" width="9.1640625" style="63"/>
    <col min="9230" max="9230" width="10.83203125" style="63" customWidth="1"/>
    <col min="9231" max="9231" width="19.5" style="63" customWidth="1"/>
    <col min="9232" max="9472" width="9.1640625" style="63"/>
    <col min="9473" max="9473" width="6.83203125" style="63" customWidth="1"/>
    <col min="9474" max="9474" width="10" style="63" customWidth="1"/>
    <col min="9475" max="9475" width="11.33203125" style="63" customWidth="1"/>
    <col min="9476" max="9476" width="11.83203125" style="63" customWidth="1"/>
    <col min="9477" max="9481" width="9.1640625" style="63"/>
    <col min="9482" max="9482" width="10.6640625" style="63" customWidth="1"/>
    <col min="9483" max="9485" width="9.1640625" style="63"/>
    <col min="9486" max="9486" width="10.83203125" style="63" customWidth="1"/>
    <col min="9487" max="9487" width="19.5" style="63" customWidth="1"/>
    <col min="9488" max="9728" width="9.1640625" style="63"/>
    <col min="9729" max="9729" width="6.83203125" style="63" customWidth="1"/>
    <col min="9730" max="9730" width="10" style="63" customWidth="1"/>
    <col min="9731" max="9731" width="11.33203125" style="63" customWidth="1"/>
    <col min="9732" max="9732" width="11.83203125" style="63" customWidth="1"/>
    <col min="9733" max="9737" width="9.1640625" style="63"/>
    <col min="9738" max="9738" width="10.6640625" style="63" customWidth="1"/>
    <col min="9739" max="9741" width="9.1640625" style="63"/>
    <col min="9742" max="9742" width="10.83203125" style="63" customWidth="1"/>
    <col min="9743" max="9743" width="19.5" style="63" customWidth="1"/>
    <col min="9744" max="9984" width="9.1640625" style="63"/>
    <col min="9985" max="9985" width="6.83203125" style="63" customWidth="1"/>
    <col min="9986" max="9986" width="10" style="63" customWidth="1"/>
    <col min="9987" max="9987" width="11.33203125" style="63" customWidth="1"/>
    <col min="9988" max="9988" width="11.83203125" style="63" customWidth="1"/>
    <col min="9989" max="9993" width="9.1640625" style="63"/>
    <col min="9994" max="9994" width="10.6640625" style="63" customWidth="1"/>
    <col min="9995" max="9997" width="9.1640625" style="63"/>
    <col min="9998" max="9998" width="10.83203125" style="63" customWidth="1"/>
    <col min="9999" max="9999" width="19.5" style="63" customWidth="1"/>
    <col min="10000" max="10240" width="9.1640625" style="63"/>
    <col min="10241" max="10241" width="6.83203125" style="63" customWidth="1"/>
    <col min="10242" max="10242" width="10" style="63" customWidth="1"/>
    <col min="10243" max="10243" width="11.33203125" style="63" customWidth="1"/>
    <col min="10244" max="10244" width="11.83203125" style="63" customWidth="1"/>
    <col min="10245" max="10249" width="9.1640625" style="63"/>
    <col min="10250" max="10250" width="10.6640625" style="63" customWidth="1"/>
    <col min="10251" max="10253" width="9.1640625" style="63"/>
    <col min="10254" max="10254" width="10.83203125" style="63" customWidth="1"/>
    <col min="10255" max="10255" width="19.5" style="63" customWidth="1"/>
    <col min="10256" max="10496" width="9.1640625" style="63"/>
    <col min="10497" max="10497" width="6.83203125" style="63" customWidth="1"/>
    <col min="10498" max="10498" width="10" style="63" customWidth="1"/>
    <col min="10499" max="10499" width="11.33203125" style="63" customWidth="1"/>
    <col min="10500" max="10500" width="11.83203125" style="63" customWidth="1"/>
    <col min="10501" max="10505" width="9.1640625" style="63"/>
    <col min="10506" max="10506" width="10.6640625" style="63" customWidth="1"/>
    <col min="10507" max="10509" width="9.1640625" style="63"/>
    <col min="10510" max="10510" width="10.83203125" style="63" customWidth="1"/>
    <col min="10511" max="10511" width="19.5" style="63" customWidth="1"/>
    <col min="10512" max="10752" width="9.1640625" style="63"/>
    <col min="10753" max="10753" width="6.83203125" style="63" customWidth="1"/>
    <col min="10754" max="10754" width="10" style="63" customWidth="1"/>
    <col min="10755" max="10755" width="11.33203125" style="63" customWidth="1"/>
    <col min="10756" max="10756" width="11.83203125" style="63" customWidth="1"/>
    <col min="10757" max="10761" width="9.1640625" style="63"/>
    <col min="10762" max="10762" width="10.6640625" style="63" customWidth="1"/>
    <col min="10763" max="10765" width="9.1640625" style="63"/>
    <col min="10766" max="10766" width="10.83203125" style="63" customWidth="1"/>
    <col min="10767" max="10767" width="19.5" style="63" customWidth="1"/>
    <col min="10768" max="11008" width="9.1640625" style="63"/>
    <col min="11009" max="11009" width="6.83203125" style="63" customWidth="1"/>
    <col min="11010" max="11010" width="10" style="63" customWidth="1"/>
    <col min="11011" max="11011" width="11.33203125" style="63" customWidth="1"/>
    <col min="11012" max="11012" width="11.83203125" style="63" customWidth="1"/>
    <col min="11013" max="11017" width="9.1640625" style="63"/>
    <col min="11018" max="11018" width="10.6640625" style="63" customWidth="1"/>
    <col min="11019" max="11021" width="9.1640625" style="63"/>
    <col min="11022" max="11022" width="10.83203125" style="63" customWidth="1"/>
    <col min="11023" max="11023" width="19.5" style="63" customWidth="1"/>
    <col min="11024" max="11264" width="9.1640625" style="63"/>
    <col min="11265" max="11265" width="6.83203125" style="63" customWidth="1"/>
    <col min="11266" max="11266" width="10" style="63" customWidth="1"/>
    <col min="11267" max="11267" width="11.33203125" style="63" customWidth="1"/>
    <col min="11268" max="11268" width="11.83203125" style="63" customWidth="1"/>
    <col min="11269" max="11273" width="9.1640625" style="63"/>
    <col min="11274" max="11274" width="10.6640625" style="63" customWidth="1"/>
    <col min="11275" max="11277" width="9.1640625" style="63"/>
    <col min="11278" max="11278" width="10.83203125" style="63" customWidth="1"/>
    <col min="11279" max="11279" width="19.5" style="63" customWidth="1"/>
    <col min="11280" max="11520" width="9.1640625" style="63"/>
    <col min="11521" max="11521" width="6.83203125" style="63" customWidth="1"/>
    <col min="11522" max="11522" width="10" style="63" customWidth="1"/>
    <col min="11523" max="11523" width="11.33203125" style="63" customWidth="1"/>
    <col min="11524" max="11524" width="11.83203125" style="63" customWidth="1"/>
    <col min="11525" max="11529" width="9.1640625" style="63"/>
    <col min="11530" max="11530" width="10.6640625" style="63" customWidth="1"/>
    <col min="11531" max="11533" width="9.1640625" style="63"/>
    <col min="11534" max="11534" width="10.83203125" style="63" customWidth="1"/>
    <col min="11535" max="11535" width="19.5" style="63" customWidth="1"/>
    <col min="11536" max="11776" width="9.1640625" style="63"/>
    <col min="11777" max="11777" width="6.83203125" style="63" customWidth="1"/>
    <col min="11778" max="11778" width="10" style="63" customWidth="1"/>
    <col min="11779" max="11779" width="11.33203125" style="63" customWidth="1"/>
    <col min="11780" max="11780" width="11.83203125" style="63" customWidth="1"/>
    <col min="11781" max="11785" width="9.1640625" style="63"/>
    <col min="11786" max="11786" width="10.6640625" style="63" customWidth="1"/>
    <col min="11787" max="11789" width="9.1640625" style="63"/>
    <col min="11790" max="11790" width="10.83203125" style="63" customWidth="1"/>
    <col min="11791" max="11791" width="19.5" style="63" customWidth="1"/>
    <col min="11792" max="12032" width="9.1640625" style="63"/>
    <col min="12033" max="12033" width="6.83203125" style="63" customWidth="1"/>
    <col min="12034" max="12034" width="10" style="63" customWidth="1"/>
    <col min="12035" max="12035" width="11.33203125" style="63" customWidth="1"/>
    <col min="12036" max="12036" width="11.83203125" style="63" customWidth="1"/>
    <col min="12037" max="12041" width="9.1640625" style="63"/>
    <col min="12042" max="12042" width="10.6640625" style="63" customWidth="1"/>
    <col min="12043" max="12045" width="9.1640625" style="63"/>
    <col min="12046" max="12046" width="10.83203125" style="63" customWidth="1"/>
    <col min="12047" max="12047" width="19.5" style="63" customWidth="1"/>
    <col min="12048" max="12288" width="9.1640625" style="63"/>
    <col min="12289" max="12289" width="6.83203125" style="63" customWidth="1"/>
    <col min="12290" max="12290" width="10" style="63" customWidth="1"/>
    <col min="12291" max="12291" width="11.33203125" style="63" customWidth="1"/>
    <col min="12292" max="12292" width="11.83203125" style="63" customWidth="1"/>
    <col min="12293" max="12297" width="9.1640625" style="63"/>
    <col min="12298" max="12298" width="10.6640625" style="63" customWidth="1"/>
    <col min="12299" max="12301" width="9.1640625" style="63"/>
    <col min="12302" max="12302" width="10.83203125" style="63" customWidth="1"/>
    <col min="12303" max="12303" width="19.5" style="63" customWidth="1"/>
    <col min="12304" max="12544" width="9.1640625" style="63"/>
    <col min="12545" max="12545" width="6.83203125" style="63" customWidth="1"/>
    <col min="12546" max="12546" width="10" style="63" customWidth="1"/>
    <col min="12547" max="12547" width="11.33203125" style="63" customWidth="1"/>
    <col min="12548" max="12548" width="11.83203125" style="63" customWidth="1"/>
    <col min="12549" max="12553" width="9.1640625" style="63"/>
    <col min="12554" max="12554" width="10.6640625" style="63" customWidth="1"/>
    <col min="12555" max="12557" width="9.1640625" style="63"/>
    <col min="12558" max="12558" width="10.83203125" style="63" customWidth="1"/>
    <col min="12559" max="12559" width="19.5" style="63" customWidth="1"/>
    <col min="12560" max="12800" width="9.1640625" style="63"/>
    <col min="12801" max="12801" width="6.83203125" style="63" customWidth="1"/>
    <col min="12802" max="12802" width="10" style="63" customWidth="1"/>
    <col min="12803" max="12803" width="11.33203125" style="63" customWidth="1"/>
    <col min="12804" max="12804" width="11.83203125" style="63" customWidth="1"/>
    <col min="12805" max="12809" width="9.1640625" style="63"/>
    <col min="12810" max="12810" width="10.6640625" style="63" customWidth="1"/>
    <col min="12811" max="12813" width="9.1640625" style="63"/>
    <col min="12814" max="12814" width="10.83203125" style="63" customWidth="1"/>
    <col min="12815" max="12815" width="19.5" style="63" customWidth="1"/>
    <col min="12816" max="13056" width="9.1640625" style="63"/>
    <col min="13057" max="13057" width="6.83203125" style="63" customWidth="1"/>
    <col min="13058" max="13058" width="10" style="63" customWidth="1"/>
    <col min="13059" max="13059" width="11.33203125" style="63" customWidth="1"/>
    <col min="13060" max="13060" width="11.83203125" style="63" customWidth="1"/>
    <col min="13061" max="13065" width="9.1640625" style="63"/>
    <col min="13066" max="13066" width="10.6640625" style="63" customWidth="1"/>
    <col min="13067" max="13069" width="9.1640625" style="63"/>
    <col min="13070" max="13070" width="10.83203125" style="63" customWidth="1"/>
    <col min="13071" max="13071" width="19.5" style="63" customWidth="1"/>
    <col min="13072" max="13312" width="9.1640625" style="63"/>
    <col min="13313" max="13313" width="6.83203125" style="63" customWidth="1"/>
    <col min="13314" max="13314" width="10" style="63" customWidth="1"/>
    <col min="13315" max="13315" width="11.33203125" style="63" customWidth="1"/>
    <col min="13316" max="13316" width="11.83203125" style="63" customWidth="1"/>
    <col min="13317" max="13321" width="9.1640625" style="63"/>
    <col min="13322" max="13322" width="10.6640625" style="63" customWidth="1"/>
    <col min="13323" max="13325" width="9.1640625" style="63"/>
    <col min="13326" max="13326" width="10.83203125" style="63" customWidth="1"/>
    <col min="13327" max="13327" width="19.5" style="63" customWidth="1"/>
    <col min="13328" max="13568" width="9.1640625" style="63"/>
    <col min="13569" max="13569" width="6.83203125" style="63" customWidth="1"/>
    <col min="13570" max="13570" width="10" style="63" customWidth="1"/>
    <col min="13571" max="13571" width="11.33203125" style="63" customWidth="1"/>
    <col min="13572" max="13572" width="11.83203125" style="63" customWidth="1"/>
    <col min="13573" max="13577" width="9.1640625" style="63"/>
    <col min="13578" max="13578" width="10.6640625" style="63" customWidth="1"/>
    <col min="13579" max="13581" width="9.1640625" style="63"/>
    <col min="13582" max="13582" width="10.83203125" style="63" customWidth="1"/>
    <col min="13583" max="13583" width="19.5" style="63" customWidth="1"/>
    <col min="13584" max="13824" width="9.1640625" style="63"/>
    <col min="13825" max="13825" width="6.83203125" style="63" customWidth="1"/>
    <col min="13826" max="13826" width="10" style="63" customWidth="1"/>
    <col min="13827" max="13827" width="11.33203125" style="63" customWidth="1"/>
    <col min="13828" max="13828" width="11.83203125" style="63" customWidth="1"/>
    <col min="13829" max="13833" width="9.1640625" style="63"/>
    <col min="13834" max="13834" width="10.6640625" style="63" customWidth="1"/>
    <col min="13835" max="13837" width="9.1640625" style="63"/>
    <col min="13838" max="13838" width="10.83203125" style="63" customWidth="1"/>
    <col min="13839" max="13839" width="19.5" style="63" customWidth="1"/>
    <col min="13840" max="14080" width="9.1640625" style="63"/>
    <col min="14081" max="14081" width="6.83203125" style="63" customWidth="1"/>
    <col min="14082" max="14082" width="10" style="63" customWidth="1"/>
    <col min="14083" max="14083" width="11.33203125" style="63" customWidth="1"/>
    <col min="14084" max="14084" width="11.83203125" style="63" customWidth="1"/>
    <col min="14085" max="14089" width="9.1640625" style="63"/>
    <col min="14090" max="14090" width="10.6640625" style="63" customWidth="1"/>
    <col min="14091" max="14093" width="9.1640625" style="63"/>
    <col min="14094" max="14094" width="10.83203125" style="63" customWidth="1"/>
    <col min="14095" max="14095" width="19.5" style="63" customWidth="1"/>
    <col min="14096" max="14336" width="9.1640625" style="63"/>
    <col min="14337" max="14337" width="6.83203125" style="63" customWidth="1"/>
    <col min="14338" max="14338" width="10" style="63" customWidth="1"/>
    <col min="14339" max="14339" width="11.33203125" style="63" customWidth="1"/>
    <col min="14340" max="14340" width="11.83203125" style="63" customWidth="1"/>
    <col min="14341" max="14345" width="9.1640625" style="63"/>
    <col min="14346" max="14346" width="10.6640625" style="63" customWidth="1"/>
    <col min="14347" max="14349" width="9.1640625" style="63"/>
    <col min="14350" max="14350" width="10.83203125" style="63" customWidth="1"/>
    <col min="14351" max="14351" width="19.5" style="63" customWidth="1"/>
    <col min="14352" max="14592" width="9.1640625" style="63"/>
    <col min="14593" max="14593" width="6.83203125" style="63" customWidth="1"/>
    <col min="14594" max="14594" width="10" style="63" customWidth="1"/>
    <col min="14595" max="14595" width="11.33203125" style="63" customWidth="1"/>
    <col min="14596" max="14596" width="11.83203125" style="63" customWidth="1"/>
    <col min="14597" max="14601" width="9.1640625" style="63"/>
    <col min="14602" max="14602" width="10.6640625" style="63" customWidth="1"/>
    <col min="14603" max="14605" width="9.1640625" style="63"/>
    <col min="14606" max="14606" width="10.83203125" style="63" customWidth="1"/>
    <col min="14607" max="14607" width="19.5" style="63" customWidth="1"/>
    <col min="14608" max="14848" width="9.1640625" style="63"/>
    <col min="14849" max="14849" width="6.83203125" style="63" customWidth="1"/>
    <col min="14850" max="14850" width="10" style="63" customWidth="1"/>
    <col min="14851" max="14851" width="11.33203125" style="63" customWidth="1"/>
    <col min="14852" max="14852" width="11.83203125" style="63" customWidth="1"/>
    <col min="14853" max="14857" width="9.1640625" style="63"/>
    <col min="14858" max="14858" width="10.6640625" style="63" customWidth="1"/>
    <col min="14859" max="14861" width="9.1640625" style="63"/>
    <col min="14862" max="14862" width="10.83203125" style="63" customWidth="1"/>
    <col min="14863" max="14863" width="19.5" style="63" customWidth="1"/>
    <col min="14864" max="15104" width="9.1640625" style="63"/>
    <col min="15105" max="15105" width="6.83203125" style="63" customWidth="1"/>
    <col min="15106" max="15106" width="10" style="63" customWidth="1"/>
    <col min="15107" max="15107" width="11.33203125" style="63" customWidth="1"/>
    <col min="15108" max="15108" width="11.83203125" style="63" customWidth="1"/>
    <col min="15109" max="15113" width="9.1640625" style="63"/>
    <col min="15114" max="15114" width="10.6640625" style="63" customWidth="1"/>
    <col min="15115" max="15117" width="9.1640625" style="63"/>
    <col min="15118" max="15118" width="10.83203125" style="63" customWidth="1"/>
    <col min="15119" max="15119" width="19.5" style="63" customWidth="1"/>
    <col min="15120" max="15360" width="9.1640625" style="63"/>
    <col min="15361" max="15361" width="6.83203125" style="63" customWidth="1"/>
    <col min="15362" max="15362" width="10" style="63" customWidth="1"/>
    <col min="15363" max="15363" width="11.33203125" style="63" customWidth="1"/>
    <col min="15364" max="15364" width="11.83203125" style="63" customWidth="1"/>
    <col min="15365" max="15369" width="9.1640625" style="63"/>
    <col min="15370" max="15370" width="10.6640625" style="63" customWidth="1"/>
    <col min="15371" max="15373" width="9.1640625" style="63"/>
    <col min="15374" max="15374" width="10.83203125" style="63" customWidth="1"/>
    <col min="15375" max="15375" width="19.5" style="63" customWidth="1"/>
    <col min="15376" max="15616" width="9.1640625" style="63"/>
    <col min="15617" max="15617" width="6.83203125" style="63" customWidth="1"/>
    <col min="15618" max="15618" width="10" style="63" customWidth="1"/>
    <col min="15619" max="15619" width="11.33203125" style="63" customWidth="1"/>
    <col min="15620" max="15620" width="11.83203125" style="63" customWidth="1"/>
    <col min="15621" max="15625" width="9.1640625" style="63"/>
    <col min="15626" max="15626" width="10.6640625" style="63" customWidth="1"/>
    <col min="15627" max="15629" width="9.1640625" style="63"/>
    <col min="15630" max="15630" width="10.83203125" style="63" customWidth="1"/>
    <col min="15631" max="15631" width="19.5" style="63" customWidth="1"/>
    <col min="15632" max="15872" width="9.1640625" style="63"/>
    <col min="15873" max="15873" width="6.83203125" style="63" customWidth="1"/>
    <col min="15874" max="15874" width="10" style="63" customWidth="1"/>
    <col min="15875" max="15875" width="11.33203125" style="63" customWidth="1"/>
    <col min="15876" max="15876" width="11.83203125" style="63" customWidth="1"/>
    <col min="15877" max="15881" width="9.1640625" style="63"/>
    <col min="15882" max="15882" width="10.6640625" style="63" customWidth="1"/>
    <col min="15883" max="15885" width="9.1640625" style="63"/>
    <col min="15886" max="15886" width="10.83203125" style="63" customWidth="1"/>
    <col min="15887" max="15887" width="19.5" style="63" customWidth="1"/>
    <col min="15888" max="16128" width="9.1640625" style="63"/>
    <col min="16129" max="16129" width="6.83203125" style="63" customWidth="1"/>
    <col min="16130" max="16130" width="10" style="63" customWidth="1"/>
    <col min="16131" max="16131" width="11.33203125" style="63" customWidth="1"/>
    <col min="16132" max="16132" width="11.83203125" style="63" customWidth="1"/>
    <col min="16133" max="16137" width="9.1640625" style="63"/>
    <col min="16138" max="16138" width="10.6640625" style="63" customWidth="1"/>
    <col min="16139" max="16141" width="9.1640625" style="63"/>
    <col min="16142" max="16142" width="10.83203125" style="63" customWidth="1"/>
    <col min="16143" max="16143" width="19.5" style="63" customWidth="1"/>
    <col min="16144" max="16384" width="9.1640625" style="63"/>
  </cols>
  <sheetData>
    <row r="1" spans="2:15" ht="18" customHeight="1" x14ac:dyDescent="0.15">
      <c r="B1" s="113" t="s">
        <v>88</v>
      </c>
      <c r="C1" s="113"/>
      <c r="D1" s="113"/>
      <c r="E1" s="113"/>
      <c r="F1" s="113"/>
      <c r="G1" s="113"/>
      <c r="H1" s="113"/>
      <c r="I1" s="113"/>
      <c r="J1" s="113"/>
      <c r="K1" s="113"/>
      <c r="L1" s="113"/>
      <c r="M1" s="113"/>
      <c r="N1" s="113"/>
      <c r="O1" s="113"/>
    </row>
    <row r="2" spans="2:15" x14ac:dyDescent="0.15">
      <c r="B2" s="113"/>
      <c r="C2" s="113"/>
      <c r="D2" s="113"/>
      <c r="E2" s="113"/>
      <c r="F2" s="113"/>
      <c r="G2" s="113"/>
      <c r="H2" s="113"/>
      <c r="I2" s="113"/>
      <c r="J2" s="113"/>
      <c r="K2" s="113"/>
      <c r="L2" s="113"/>
      <c r="M2" s="113"/>
      <c r="N2" s="113"/>
      <c r="O2" s="113"/>
    </row>
    <row r="3" spans="2:15" x14ac:dyDescent="0.15">
      <c r="B3" s="113"/>
      <c r="C3" s="113"/>
      <c r="D3" s="113"/>
      <c r="E3" s="113"/>
      <c r="F3" s="113"/>
      <c r="G3" s="113"/>
      <c r="H3" s="113"/>
      <c r="I3" s="113"/>
      <c r="J3" s="113"/>
      <c r="K3" s="113"/>
      <c r="L3" s="113"/>
      <c r="M3" s="113"/>
      <c r="N3" s="113"/>
      <c r="O3" s="113"/>
    </row>
    <row r="4" spans="2:15" ht="21" customHeight="1" x14ac:dyDescent="0.15">
      <c r="B4" s="114" t="s">
        <v>89</v>
      </c>
      <c r="C4" s="114"/>
      <c r="D4" s="114"/>
      <c r="E4" s="114"/>
      <c r="F4" s="114"/>
      <c r="G4" s="114"/>
      <c r="H4" s="114"/>
      <c r="I4" s="114"/>
      <c r="J4" s="114"/>
      <c r="K4" s="114"/>
      <c r="L4" s="114"/>
      <c r="M4" s="114"/>
      <c r="N4" s="114"/>
      <c r="O4" s="114"/>
    </row>
    <row r="5" spans="2:15" ht="19.5" customHeight="1" x14ac:dyDescent="0.15">
      <c r="B5" s="114"/>
      <c r="C5" s="114"/>
      <c r="D5" s="114"/>
      <c r="E5" s="114"/>
      <c r="F5" s="114"/>
      <c r="G5" s="114"/>
      <c r="H5" s="114"/>
      <c r="I5" s="114"/>
      <c r="J5" s="114"/>
      <c r="K5" s="114"/>
      <c r="L5" s="114"/>
      <c r="M5" s="114"/>
      <c r="N5" s="114"/>
      <c r="O5" s="114"/>
    </row>
    <row r="6" spans="2:15" ht="18" customHeight="1" x14ac:dyDescent="0.15">
      <c r="B6" s="114"/>
      <c r="C6" s="114"/>
      <c r="D6" s="114"/>
      <c r="E6" s="114"/>
      <c r="F6" s="114"/>
      <c r="G6" s="114"/>
      <c r="H6" s="114"/>
      <c r="I6" s="114"/>
      <c r="J6" s="114"/>
      <c r="K6" s="114"/>
      <c r="L6" s="114"/>
      <c r="M6" s="114"/>
      <c r="N6" s="114"/>
      <c r="O6" s="114"/>
    </row>
    <row r="7" spans="2:15" ht="19.5" customHeight="1" x14ac:dyDescent="0.15">
      <c r="B7" s="114"/>
      <c r="C7" s="114"/>
      <c r="D7" s="114"/>
      <c r="E7" s="114"/>
      <c r="F7" s="114"/>
      <c r="G7" s="114"/>
      <c r="H7" s="114"/>
      <c r="I7" s="114"/>
      <c r="J7" s="114"/>
      <c r="K7" s="114"/>
      <c r="L7" s="114"/>
      <c r="M7" s="114"/>
      <c r="N7" s="114"/>
      <c r="O7" s="114"/>
    </row>
    <row r="8" spans="2:15" ht="20.25" customHeight="1" x14ac:dyDescent="0.15">
      <c r="B8" s="114"/>
      <c r="C8" s="114"/>
      <c r="D8" s="114"/>
      <c r="E8" s="114"/>
      <c r="F8" s="114"/>
      <c r="G8" s="114"/>
      <c r="H8" s="114"/>
      <c r="I8" s="114"/>
      <c r="J8" s="114"/>
      <c r="K8" s="114"/>
      <c r="L8" s="114"/>
      <c r="M8" s="114"/>
      <c r="N8" s="114"/>
      <c r="O8" s="114"/>
    </row>
    <row r="9" spans="2:15" ht="15" customHeight="1" x14ac:dyDescent="0.15">
      <c r="B9" s="114"/>
      <c r="C9" s="114"/>
      <c r="D9" s="114"/>
      <c r="E9" s="114"/>
      <c r="F9" s="114"/>
      <c r="G9" s="114"/>
      <c r="H9" s="114"/>
      <c r="I9" s="114"/>
      <c r="J9" s="114"/>
      <c r="K9" s="114"/>
      <c r="L9" s="114"/>
      <c r="M9" s="114"/>
      <c r="N9" s="114"/>
      <c r="O9" s="114"/>
    </row>
    <row r="11" spans="2:15" ht="14.25" customHeight="1" x14ac:dyDescent="0.15">
      <c r="B11" s="115" t="s">
        <v>90</v>
      </c>
      <c r="C11" s="115"/>
      <c r="D11" s="115"/>
      <c r="E11" s="64" t="s">
        <v>102</v>
      </c>
      <c r="G11" s="115" t="s">
        <v>91</v>
      </c>
      <c r="H11" s="115"/>
      <c r="I11" s="115"/>
      <c r="J11" s="64">
        <v>252</v>
      </c>
    </row>
    <row r="12" spans="2:15" ht="14.25" customHeight="1" x14ac:dyDescent="0.15">
      <c r="B12" s="115" t="s">
        <v>92</v>
      </c>
      <c r="C12" s="115"/>
      <c r="D12" s="115"/>
      <c r="E12" s="65">
        <v>4.2500728555453553E-2</v>
      </c>
      <c r="G12" s="115" t="s">
        <v>93</v>
      </c>
      <c r="H12" s="115"/>
      <c r="I12" s="115"/>
      <c r="J12" s="64">
        <v>252</v>
      </c>
    </row>
    <row r="13" spans="2:15" ht="14.25" customHeight="1" x14ac:dyDescent="0.15">
      <c r="B13" s="115" t="s">
        <v>94</v>
      </c>
      <c r="C13" s="115"/>
      <c r="D13" s="115"/>
      <c r="E13" s="65">
        <v>0.81757747057829699</v>
      </c>
      <c r="G13" s="115" t="s">
        <v>95</v>
      </c>
      <c r="H13" s="115"/>
      <c r="I13" s="115"/>
      <c r="J13" s="64">
        <v>1</v>
      </c>
    </row>
    <row r="14" spans="2:15" ht="14.25" customHeight="1" x14ac:dyDescent="0.15">
      <c r="B14" s="115" t="s">
        <v>96</v>
      </c>
      <c r="C14" s="115"/>
      <c r="D14" s="115"/>
      <c r="E14" s="65">
        <v>9.9071272382546735E-6</v>
      </c>
      <c r="G14" s="115" t="s">
        <v>97</v>
      </c>
      <c r="H14" s="115"/>
      <c r="I14" s="115"/>
      <c r="J14" s="66" t="b">
        <v>1</v>
      </c>
    </row>
    <row r="16" spans="2:15" ht="12.75" customHeight="1" x14ac:dyDescent="0.15">
      <c r="B16" s="67" t="s">
        <v>98</v>
      </c>
      <c r="C16" s="68" t="s">
        <v>99</v>
      </c>
      <c r="D16" s="67" t="s">
        <v>100</v>
      </c>
      <c r="F16" s="116" t="s">
        <v>101</v>
      </c>
      <c r="G16" s="116"/>
      <c r="H16" s="116"/>
      <c r="I16" s="116"/>
      <c r="J16" s="116"/>
      <c r="K16" s="116"/>
      <c r="L16" s="116"/>
      <c r="M16" s="116"/>
      <c r="N16" s="116"/>
      <c r="O16" s="116"/>
    </row>
    <row r="17" spans="2:15" ht="12.75" customHeight="1" x14ac:dyDescent="0.15">
      <c r="B17" s="69">
        <v>0</v>
      </c>
      <c r="C17" s="70">
        <v>58.602820999999999</v>
      </c>
      <c r="D17" s="69"/>
      <c r="F17" s="116"/>
      <c r="G17" s="116"/>
      <c r="H17" s="116"/>
      <c r="I17" s="116"/>
      <c r="J17" s="116"/>
      <c r="K17" s="116"/>
      <c r="L17" s="116"/>
      <c r="M17" s="116"/>
      <c r="N17" s="116"/>
      <c r="O17" s="116"/>
    </row>
    <row r="18" spans="2:15" ht="12.75" customHeight="1" x14ac:dyDescent="0.15">
      <c r="B18" s="69">
        <v>1</v>
      </c>
      <c r="C18" s="70">
        <v>58.728789999999996</v>
      </c>
      <c r="D18" s="69"/>
      <c r="F18" s="116"/>
      <c r="G18" s="116"/>
      <c r="H18" s="116"/>
      <c r="I18" s="116"/>
      <c r="J18" s="116"/>
      <c r="K18" s="116"/>
      <c r="L18" s="116"/>
      <c r="M18" s="116"/>
      <c r="N18" s="116"/>
      <c r="O18" s="116"/>
    </row>
    <row r="19" spans="2:15" ht="12.75" customHeight="1" x14ac:dyDescent="0.15">
      <c r="B19" s="69">
        <v>2</v>
      </c>
      <c r="C19" s="70">
        <v>59.058239</v>
      </c>
      <c r="D19" s="71">
        <v>0.13089631004293537</v>
      </c>
      <c r="F19" s="116"/>
      <c r="G19" s="116"/>
      <c r="H19" s="116"/>
      <c r="I19" s="116"/>
      <c r="J19" s="116"/>
      <c r="K19" s="116"/>
      <c r="L19" s="116"/>
      <c r="M19" s="116"/>
      <c r="N19" s="116"/>
      <c r="O19" s="116"/>
    </row>
    <row r="20" spans="2:15" ht="12.75" customHeight="1" x14ac:dyDescent="0.15">
      <c r="B20" s="69">
        <v>3</v>
      </c>
      <c r="C20" s="70">
        <v>58.554378999999997</v>
      </c>
      <c r="D20" s="71">
        <v>0.12976899463920546</v>
      </c>
      <c r="F20" s="116"/>
      <c r="G20" s="116"/>
      <c r="H20" s="116"/>
      <c r="I20" s="116"/>
      <c r="J20" s="116"/>
      <c r="K20" s="116"/>
      <c r="L20" s="116"/>
      <c r="M20" s="116"/>
      <c r="N20" s="116"/>
      <c r="O20" s="116"/>
    </row>
    <row r="21" spans="2:15" ht="12.75" customHeight="1" x14ac:dyDescent="0.15">
      <c r="B21" s="69">
        <v>4</v>
      </c>
      <c r="C21" s="70">
        <v>58.195861999999998</v>
      </c>
      <c r="D21" s="71">
        <v>0.1305789743046776</v>
      </c>
      <c r="F21" s="116"/>
      <c r="G21" s="116"/>
      <c r="H21" s="116"/>
      <c r="I21" s="116"/>
      <c r="J21" s="116"/>
      <c r="K21" s="116"/>
      <c r="L21" s="116"/>
      <c r="M21" s="116"/>
      <c r="N21" s="116"/>
      <c r="O21" s="116"/>
    </row>
    <row r="22" spans="2:15" ht="12.75" customHeight="1" x14ac:dyDescent="0.15">
      <c r="B22" s="69">
        <v>5</v>
      </c>
      <c r="C22" s="70">
        <v>58.399344999999997</v>
      </c>
      <c r="D22" s="71">
        <v>0.1297728225699302</v>
      </c>
      <c r="F22" s="116"/>
      <c r="G22" s="116"/>
      <c r="H22" s="116"/>
      <c r="I22" s="116"/>
      <c r="J22" s="116"/>
      <c r="K22" s="116"/>
      <c r="L22" s="116"/>
      <c r="M22" s="116"/>
      <c r="N22" s="116"/>
      <c r="O22" s="116"/>
    </row>
    <row r="23" spans="2:15" ht="12.75" customHeight="1" x14ac:dyDescent="0.15">
      <c r="B23" s="69">
        <v>6</v>
      </c>
      <c r="C23" s="70">
        <v>58.244312000000001</v>
      </c>
      <c r="D23" s="71">
        <v>0.12804643294358531</v>
      </c>
      <c r="F23" s="116"/>
      <c r="G23" s="116"/>
      <c r="H23" s="116"/>
      <c r="I23" s="116"/>
      <c r="J23" s="116"/>
      <c r="K23" s="116"/>
      <c r="L23" s="116"/>
      <c r="M23" s="116"/>
      <c r="N23" s="116"/>
      <c r="O23" s="116"/>
    </row>
    <row r="24" spans="2:15" ht="12.75" customHeight="1" x14ac:dyDescent="0.15">
      <c r="B24" s="69">
        <v>7</v>
      </c>
      <c r="C24" s="70">
        <v>58.515616999999999</v>
      </c>
      <c r="D24" s="71">
        <v>0.12640089366883575</v>
      </c>
      <c r="F24" s="116"/>
      <c r="G24" s="116"/>
      <c r="H24" s="116"/>
      <c r="I24" s="116"/>
      <c r="J24" s="116"/>
      <c r="K24" s="116"/>
      <c r="L24" s="116"/>
      <c r="M24" s="116"/>
      <c r="N24" s="116"/>
      <c r="O24" s="116"/>
    </row>
    <row r="25" spans="2:15" ht="12.75" customHeight="1" x14ac:dyDescent="0.15">
      <c r="B25" s="69">
        <v>8</v>
      </c>
      <c r="C25" s="70">
        <v>58.680340000000001</v>
      </c>
      <c r="D25" s="71">
        <v>0.12566021272253233</v>
      </c>
      <c r="F25" s="116"/>
      <c r="G25" s="116"/>
      <c r="H25" s="116"/>
      <c r="I25" s="116"/>
      <c r="J25" s="116"/>
      <c r="K25" s="116"/>
      <c r="L25" s="116"/>
      <c r="M25" s="116"/>
      <c r="N25" s="116"/>
      <c r="O25" s="116"/>
    </row>
    <row r="26" spans="2:15" x14ac:dyDescent="0.15">
      <c r="B26" s="69">
        <v>9</v>
      </c>
      <c r="C26" s="70">
        <v>58.622204000000004</v>
      </c>
      <c r="D26" s="71">
        <v>0.12446355835822366</v>
      </c>
    </row>
    <row r="27" spans="2:15" x14ac:dyDescent="0.15">
      <c r="B27" s="69">
        <v>10</v>
      </c>
      <c r="C27" s="70">
        <v>58.593136000000001</v>
      </c>
      <c r="D27" s="71">
        <v>0.12317611981290723</v>
      </c>
    </row>
    <row r="28" spans="2:15" x14ac:dyDescent="0.15">
      <c r="B28" s="69">
        <v>11</v>
      </c>
      <c r="C28" s="70">
        <v>57.973002999999999</v>
      </c>
      <c r="D28" s="71">
        <v>0.1220811514103617</v>
      </c>
    </row>
    <row r="29" spans="2:15" x14ac:dyDescent="0.15">
      <c r="B29" s="69">
        <v>12</v>
      </c>
      <c r="C29" s="70">
        <v>57.469138999999998</v>
      </c>
      <c r="D29" s="71">
        <v>0.12607194876445574</v>
      </c>
    </row>
    <row r="30" spans="2:15" x14ac:dyDescent="0.15">
      <c r="B30" s="69">
        <v>13</v>
      </c>
      <c r="C30" s="70">
        <v>56.994346999999998</v>
      </c>
      <c r="D30" s="71">
        <v>0.12770049195203659</v>
      </c>
    </row>
    <row r="31" spans="2:15" x14ac:dyDescent="0.15">
      <c r="B31" s="69">
        <v>14</v>
      </c>
      <c r="C31" s="70">
        <v>56.955589000000003</v>
      </c>
      <c r="D31" s="71">
        <v>0.12871008441587736</v>
      </c>
    </row>
    <row r="32" spans="2:15" x14ac:dyDescent="0.15">
      <c r="B32" s="69">
        <v>15</v>
      </c>
      <c r="C32" s="70">
        <v>56.519558000000004</v>
      </c>
      <c r="D32" s="71">
        <v>0.12667191622642915</v>
      </c>
    </row>
    <row r="33" spans="2:4" x14ac:dyDescent="0.15">
      <c r="B33" s="69">
        <v>16</v>
      </c>
      <c r="C33" s="70">
        <v>56.519558000000004</v>
      </c>
      <c r="D33" s="71">
        <v>0.12746689382054721</v>
      </c>
    </row>
    <row r="34" spans="2:4" x14ac:dyDescent="0.15">
      <c r="B34" s="69">
        <v>17</v>
      </c>
      <c r="C34" s="70">
        <v>57.052486000000002</v>
      </c>
      <c r="D34" s="71">
        <v>0.12562021598955514</v>
      </c>
    </row>
    <row r="35" spans="2:4" x14ac:dyDescent="0.15">
      <c r="B35" s="69">
        <v>18</v>
      </c>
      <c r="C35" s="70">
        <v>56.490485999999997</v>
      </c>
      <c r="D35" s="71">
        <v>0.12783443897913374</v>
      </c>
    </row>
    <row r="36" spans="2:4" x14ac:dyDescent="0.15">
      <c r="B36" s="69">
        <v>19</v>
      </c>
      <c r="C36" s="70">
        <v>56.626140999999997</v>
      </c>
      <c r="D36" s="71">
        <v>0.13002590985799165</v>
      </c>
    </row>
    <row r="37" spans="2:4" x14ac:dyDescent="0.15">
      <c r="B37" s="69">
        <v>20</v>
      </c>
      <c r="C37" s="70">
        <v>57.094935999999997</v>
      </c>
      <c r="D37" s="71">
        <v>0.12798740973562603</v>
      </c>
    </row>
    <row r="38" spans="2:4" x14ac:dyDescent="0.15">
      <c r="B38" s="69">
        <v>21</v>
      </c>
      <c r="C38" s="70">
        <v>56.587074000000001</v>
      </c>
      <c r="D38" s="71">
        <v>0.12890762030916617</v>
      </c>
    </row>
    <row r="39" spans="2:4" x14ac:dyDescent="0.15">
      <c r="B39" s="69">
        <v>22</v>
      </c>
      <c r="C39" s="70">
        <v>56.938667000000002</v>
      </c>
      <c r="D39" s="71">
        <v>0.13014389159590772</v>
      </c>
    </row>
    <row r="40" spans="2:4" x14ac:dyDescent="0.15">
      <c r="B40" s="69">
        <v>23</v>
      </c>
      <c r="C40" s="70">
        <v>56.821472</v>
      </c>
      <c r="D40" s="71">
        <v>0.12944177753038505</v>
      </c>
    </row>
    <row r="41" spans="2:4" x14ac:dyDescent="0.15">
      <c r="B41" s="69">
        <v>24</v>
      </c>
      <c r="C41" s="70">
        <v>57.075400999999999</v>
      </c>
      <c r="D41" s="71">
        <v>0.12743906596549004</v>
      </c>
    </row>
    <row r="42" spans="2:4" x14ac:dyDescent="0.15">
      <c r="B42" s="69">
        <v>25</v>
      </c>
      <c r="C42" s="70">
        <v>56.196418999999999</v>
      </c>
      <c r="D42" s="71">
        <v>0.12644200338582678</v>
      </c>
    </row>
    <row r="43" spans="2:4" x14ac:dyDescent="0.15">
      <c r="B43" s="69">
        <v>26</v>
      </c>
      <c r="C43" s="70">
        <v>56.255015999999998</v>
      </c>
      <c r="D43" s="71">
        <v>0.1347126877778318</v>
      </c>
    </row>
    <row r="44" spans="2:4" x14ac:dyDescent="0.15">
      <c r="B44" s="69">
        <v>27</v>
      </c>
      <c r="C44" s="70">
        <v>55.669029000000002</v>
      </c>
      <c r="D44" s="71">
        <v>0.13170126263814633</v>
      </c>
    </row>
    <row r="45" spans="2:4" x14ac:dyDescent="0.15">
      <c r="B45" s="69">
        <v>28</v>
      </c>
      <c r="C45" s="70">
        <v>55.209999000000003</v>
      </c>
      <c r="D45" s="71">
        <v>0.13361137561513678</v>
      </c>
    </row>
    <row r="46" spans="2:4" x14ac:dyDescent="0.15">
      <c r="B46" s="69">
        <v>29</v>
      </c>
      <c r="C46" s="70">
        <v>54.643543000000001</v>
      </c>
      <c r="D46" s="71">
        <v>0.133514946369125</v>
      </c>
    </row>
    <row r="47" spans="2:4" x14ac:dyDescent="0.15">
      <c r="B47" s="69">
        <v>30</v>
      </c>
      <c r="C47" s="70">
        <v>54.506816999999998</v>
      </c>
      <c r="D47" s="71">
        <v>0.13494460841084915</v>
      </c>
    </row>
    <row r="48" spans="2:4" x14ac:dyDescent="0.15">
      <c r="B48" s="69">
        <v>31</v>
      </c>
      <c r="C48" s="70">
        <v>54.672840000000001</v>
      </c>
      <c r="D48" s="71">
        <v>0.13210579914128634</v>
      </c>
    </row>
    <row r="49" spans="2:4" x14ac:dyDescent="0.15">
      <c r="B49" s="69">
        <v>32</v>
      </c>
      <c r="C49" s="70">
        <v>54.184517</v>
      </c>
      <c r="D49" s="71">
        <v>0.12986136302486984</v>
      </c>
    </row>
    <row r="50" spans="2:4" x14ac:dyDescent="0.15">
      <c r="B50" s="69">
        <v>33</v>
      </c>
      <c r="C50" s="70">
        <v>53.598529999999997</v>
      </c>
      <c r="D50" s="71">
        <v>0.1309439141208219</v>
      </c>
    </row>
    <row r="51" spans="2:4" x14ac:dyDescent="0.15">
      <c r="B51" s="69">
        <v>34</v>
      </c>
      <c r="C51" s="70">
        <v>53.754795000000001</v>
      </c>
      <c r="D51" s="71">
        <v>0.13334670265398871</v>
      </c>
    </row>
    <row r="52" spans="2:4" x14ac:dyDescent="0.15">
      <c r="B52" s="69">
        <v>35</v>
      </c>
      <c r="C52" s="70">
        <v>51.156905999999999</v>
      </c>
      <c r="D52" s="71">
        <v>0.1308624972189853</v>
      </c>
    </row>
    <row r="53" spans="2:4" x14ac:dyDescent="0.15">
      <c r="B53" s="69">
        <v>36</v>
      </c>
      <c r="C53" s="70">
        <v>51.899158</v>
      </c>
      <c r="D53" s="71">
        <v>0.20682783463002802</v>
      </c>
    </row>
    <row r="54" spans="2:4" x14ac:dyDescent="0.15">
      <c r="B54" s="69">
        <v>37</v>
      </c>
      <c r="C54" s="70">
        <v>51.645232999999998</v>
      </c>
      <c r="D54" s="71">
        <v>0.1992313998143547</v>
      </c>
    </row>
    <row r="55" spans="2:4" x14ac:dyDescent="0.15">
      <c r="B55" s="69">
        <v>38</v>
      </c>
      <c r="C55" s="70">
        <v>52.768374999999999</v>
      </c>
      <c r="D55" s="71">
        <v>0.18763385526824938</v>
      </c>
    </row>
    <row r="56" spans="2:4" x14ac:dyDescent="0.15">
      <c r="B56" s="69">
        <v>39</v>
      </c>
      <c r="C56" s="70">
        <v>52.455849000000001</v>
      </c>
      <c r="D56" s="71">
        <v>0.19036257879473634</v>
      </c>
    </row>
    <row r="57" spans="2:4" x14ac:dyDescent="0.15">
      <c r="B57" s="69">
        <v>40</v>
      </c>
      <c r="C57" s="70">
        <v>51.576866000000003</v>
      </c>
      <c r="D57" s="71">
        <v>0.18028260144301408</v>
      </c>
    </row>
    <row r="58" spans="2:4" x14ac:dyDescent="0.15">
      <c r="B58" s="69">
        <v>41</v>
      </c>
      <c r="C58" s="70">
        <v>51.654995</v>
      </c>
      <c r="D58" s="71">
        <v>0.17924223753980639</v>
      </c>
    </row>
    <row r="59" spans="2:4" x14ac:dyDescent="0.15">
      <c r="B59" s="69">
        <v>42</v>
      </c>
      <c r="C59" s="70">
        <v>52.182383999999999</v>
      </c>
      <c r="D59" s="71">
        <v>0.16967051536701966</v>
      </c>
    </row>
    <row r="60" spans="2:4" x14ac:dyDescent="0.15">
      <c r="B60" s="69">
        <v>43</v>
      </c>
      <c r="C60" s="70">
        <v>52.807445999999999</v>
      </c>
      <c r="D60" s="71">
        <v>0.16473684867182506</v>
      </c>
    </row>
    <row r="61" spans="2:4" x14ac:dyDescent="0.15">
      <c r="B61" s="69">
        <v>44</v>
      </c>
      <c r="C61" s="70">
        <v>52.787909999999997</v>
      </c>
      <c r="D61" s="71">
        <v>0.16187252788622777</v>
      </c>
    </row>
    <row r="62" spans="2:4" x14ac:dyDescent="0.15">
      <c r="B62" s="69">
        <v>45</v>
      </c>
      <c r="C62" s="70">
        <v>53.080902000000002</v>
      </c>
      <c r="D62" s="71">
        <v>0.15466354483710912</v>
      </c>
    </row>
    <row r="63" spans="2:4" x14ac:dyDescent="0.15">
      <c r="B63" s="69">
        <v>46</v>
      </c>
      <c r="C63" s="70">
        <v>53.295769</v>
      </c>
      <c r="D63" s="71">
        <v>0.14960559657547914</v>
      </c>
    </row>
    <row r="64" spans="2:4" x14ac:dyDescent="0.15">
      <c r="B64" s="69">
        <v>47</v>
      </c>
      <c r="C64" s="70">
        <v>52.817211</v>
      </c>
      <c r="D64" s="71">
        <v>0.14481113547121546</v>
      </c>
    </row>
    <row r="65" spans="2:4" x14ac:dyDescent="0.15">
      <c r="B65" s="69">
        <v>48</v>
      </c>
      <c r="C65" s="70">
        <v>54.340781999999997</v>
      </c>
      <c r="D65" s="71">
        <v>0.14322278749533834</v>
      </c>
    </row>
    <row r="66" spans="2:4" x14ac:dyDescent="0.15">
      <c r="B66" s="69">
        <v>49</v>
      </c>
      <c r="C66" s="70">
        <v>54.809573999999998</v>
      </c>
      <c r="D66" s="71">
        <v>0.16711925046131124</v>
      </c>
    </row>
    <row r="67" spans="2:4" x14ac:dyDescent="0.15">
      <c r="B67" s="69">
        <v>50</v>
      </c>
      <c r="C67" s="70">
        <v>54.477511999999997</v>
      </c>
      <c r="D67" s="71">
        <v>0.16161947225987761</v>
      </c>
    </row>
    <row r="68" spans="2:4" x14ac:dyDescent="0.15">
      <c r="B68" s="69">
        <v>51</v>
      </c>
      <c r="C68" s="70">
        <v>53.950127000000002</v>
      </c>
      <c r="D68" s="71">
        <v>0.15571746910291623</v>
      </c>
    </row>
    <row r="69" spans="2:4" x14ac:dyDescent="0.15">
      <c r="B69" s="69">
        <v>52</v>
      </c>
      <c r="C69" s="70">
        <v>54.838875000000002</v>
      </c>
      <c r="D69" s="71">
        <v>0.1527569761912162</v>
      </c>
    </row>
    <row r="70" spans="2:4" x14ac:dyDescent="0.15">
      <c r="B70" s="69">
        <v>53</v>
      </c>
      <c r="C70" s="70">
        <v>55.170937000000002</v>
      </c>
      <c r="D70" s="71">
        <v>0.15631327824755456</v>
      </c>
    </row>
    <row r="71" spans="2:4" x14ac:dyDescent="0.15">
      <c r="B71" s="69">
        <v>54</v>
      </c>
      <c r="C71" s="70">
        <v>55.122101000000001</v>
      </c>
      <c r="D71" s="71">
        <v>0.15120676823551488</v>
      </c>
    </row>
    <row r="72" spans="2:4" x14ac:dyDescent="0.15">
      <c r="B72" s="69">
        <v>55</v>
      </c>
      <c r="C72" s="70">
        <v>55.756923999999998</v>
      </c>
      <c r="D72" s="71">
        <v>0.14559418599767476</v>
      </c>
    </row>
    <row r="73" spans="2:4" x14ac:dyDescent="0.15">
      <c r="B73" s="69">
        <v>56</v>
      </c>
      <c r="C73" s="70">
        <v>55.415095999999998</v>
      </c>
      <c r="D73" s="71">
        <v>0.14571092307204714</v>
      </c>
    </row>
    <row r="74" spans="2:4" x14ac:dyDescent="0.15">
      <c r="B74" s="69">
        <v>57</v>
      </c>
      <c r="C74" s="70">
        <v>55.639729000000003</v>
      </c>
      <c r="D74" s="71">
        <v>0.14233819094836014</v>
      </c>
    </row>
    <row r="75" spans="2:4" x14ac:dyDescent="0.15">
      <c r="B75" s="69">
        <v>58</v>
      </c>
      <c r="C75" s="70">
        <v>55.844822000000001</v>
      </c>
      <c r="D75" s="71">
        <v>0.13869436220165149</v>
      </c>
    </row>
    <row r="76" spans="2:4" x14ac:dyDescent="0.15">
      <c r="B76" s="69">
        <v>59</v>
      </c>
      <c r="C76" s="70">
        <v>55.756923999999998</v>
      </c>
      <c r="D76" s="71">
        <v>0.13553083325946916</v>
      </c>
    </row>
    <row r="77" spans="2:4" x14ac:dyDescent="0.15">
      <c r="B77" s="69">
        <v>60</v>
      </c>
      <c r="C77" s="70">
        <v>55.336967000000001</v>
      </c>
      <c r="D77" s="71">
        <v>0.13244217647450671</v>
      </c>
    </row>
    <row r="78" spans="2:4" x14ac:dyDescent="0.15">
      <c r="B78" s="69">
        <v>61</v>
      </c>
      <c r="C78" s="70">
        <v>55.395564999999998</v>
      </c>
      <c r="D78" s="71">
        <v>0.13209792247822366</v>
      </c>
    </row>
    <row r="79" spans="2:4" x14ac:dyDescent="0.15">
      <c r="B79" s="69">
        <v>62</v>
      </c>
      <c r="C79" s="70">
        <v>55.600662</v>
      </c>
      <c r="D79" s="71">
        <v>0.12951913514195232</v>
      </c>
    </row>
    <row r="80" spans="2:4" x14ac:dyDescent="0.15">
      <c r="B80" s="69">
        <v>63</v>
      </c>
      <c r="C80" s="70">
        <v>55.766689</v>
      </c>
      <c r="D80" s="71">
        <v>0.12789800028592238</v>
      </c>
    </row>
    <row r="81" spans="2:4" x14ac:dyDescent="0.15">
      <c r="B81" s="69">
        <v>64</v>
      </c>
      <c r="C81" s="70">
        <v>55.874122999999997</v>
      </c>
      <c r="D81" s="71">
        <v>0.12635528866882781</v>
      </c>
    </row>
    <row r="82" spans="2:4" x14ac:dyDescent="0.15">
      <c r="B82" s="69">
        <v>65</v>
      </c>
      <c r="C82" s="70">
        <v>55.815520999999997</v>
      </c>
      <c r="D82" s="71">
        <v>0.12485764739385322</v>
      </c>
    </row>
    <row r="83" spans="2:4" x14ac:dyDescent="0.15">
      <c r="B83" s="69">
        <v>66</v>
      </c>
      <c r="C83" s="70">
        <v>55.922955000000002</v>
      </c>
      <c r="D83" s="71">
        <v>0.12350691640846308</v>
      </c>
    </row>
    <row r="84" spans="2:4" x14ac:dyDescent="0.15">
      <c r="B84" s="69">
        <v>67</v>
      </c>
      <c r="C84" s="70">
        <v>56.059688999999999</v>
      </c>
      <c r="D84" s="71">
        <v>0.12250507106408362</v>
      </c>
    </row>
    <row r="85" spans="2:4" x14ac:dyDescent="0.15">
      <c r="B85" s="69">
        <v>68</v>
      </c>
      <c r="C85" s="70">
        <v>56.674973000000001</v>
      </c>
      <c r="D85" s="71">
        <v>0.12177953661631094</v>
      </c>
    </row>
    <row r="86" spans="2:4" x14ac:dyDescent="0.15">
      <c r="B86" s="69">
        <v>69</v>
      </c>
      <c r="C86" s="70">
        <v>57.055866000000002</v>
      </c>
      <c r="D86" s="71">
        <v>0.12608580100907232</v>
      </c>
    </row>
    <row r="87" spans="2:4" x14ac:dyDescent="0.15">
      <c r="B87" s="69">
        <v>70</v>
      </c>
      <c r="C87" s="70">
        <v>57.202365999999998</v>
      </c>
      <c r="D87" s="71">
        <v>0.12639089182397095</v>
      </c>
    </row>
    <row r="88" spans="2:4" x14ac:dyDescent="0.15">
      <c r="B88" s="69">
        <v>71</v>
      </c>
      <c r="C88" s="70">
        <v>57.094935999999997</v>
      </c>
      <c r="D88" s="71">
        <v>0.12501018421216037</v>
      </c>
    </row>
    <row r="89" spans="2:4" x14ac:dyDescent="0.15">
      <c r="B89" s="69">
        <v>72</v>
      </c>
      <c r="C89" s="70">
        <v>57.212135000000004</v>
      </c>
      <c r="D89" s="71">
        <v>0.12373832530347864</v>
      </c>
    </row>
    <row r="90" spans="2:4" x14ac:dyDescent="0.15">
      <c r="B90" s="69">
        <v>73</v>
      </c>
      <c r="C90" s="70">
        <v>56.870308000000001</v>
      </c>
      <c r="D90" s="71">
        <v>0.12271797821461172</v>
      </c>
    </row>
    <row r="91" spans="2:4" x14ac:dyDescent="0.15">
      <c r="B91" s="69">
        <v>74</v>
      </c>
      <c r="C91" s="70">
        <v>57.529868999999998</v>
      </c>
      <c r="D91" s="71">
        <v>0.1232626939025139</v>
      </c>
    </row>
    <row r="92" spans="2:4" x14ac:dyDescent="0.15">
      <c r="B92" s="69">
        <v>75</v>
      </c>
      <c r="C92" s="70">
        <v>57.726756999999999</v>
      </c>
      <c r="D92" s="71">
        <v>0.12783840973117935</v>
      </c>
    </row>
    <row r="93" spans="2:4" x14ac:dyDescent="0.15">
      <c r="B93" s="69">
        <v>76</v>
      </c>
      <c r="C93" s="70">
        <v>57.657845000000002</v>
      </c>
      <c r="D93" s="71">
        <v>0.12642389624205794</v>
      </c>
    </row>
    <row r="94" spans="2:4" x14ac:dyDescent="0.15">
      <c r="B94" s="69">
        <v>77</v>
      </c>
      <c r="C94" s="70">
        <v>57.746445000000001</v>
      </c>
      <c r="D94" s="71">
        <v>0.12481674170209492</v>
      </c>
    </row>
    <row r="95" spans="2:4" x14ac:dyDescent="0.15">
      <c r="B95" s="69">
        <v>78</v>
      </c>
      <c r="C95" s="70">
        <v>57.687378000000002</v>
      </c>
      <c r="D95" s="71">
        <v>0.1235275906560606</v>
      </c>
    </row>
    <row r="96" spans="2:4" x14ac:dyDescent="0.15">
      <c r="B96" s="69">
        <v>79</v>
      </c>
      <c r="C96" s="70">
        <v>57.825203000000002</v>
      </c>
      <c r="D96" s="71">
        <v>0.12240621498030925</v>
      </c>
    </row>
    <row r="97" spans="2:4" x14ac:dyDescent="0.15">
      <c r="B97" s="69">
        <v>80</v>
      </c>
      <c r="C97" s="70">
        <v>57.697223999999999</v>
      </c>
      <c r="D97" s="71">
        <v>0.12168639562368214</v>
      </c>
    </row>
    <row r="98" spans="2:4" x14ac:dyDescent="0.15">
      <c r="B98" s="69">
        <v>81</v>
      </c>
      <c r="C98" s="70">
        <v>58.120525000000001</v>
      </c>
      <c r="D98" s="71">
        <v>0.12105997154252615</v>
      </c>
    </row>
    <row r="99" spans="2:4" x14ac:dyDescent="0.15">
      <c r="B99" s="69">
        <v>82</v>
      </c>
      <c r="C99" s="70">
        <v>58.494605999999997</v>
      </c>
      <c r="D99" s="71">
        <v>0.12268209762408817</v>
      </c>
    </row>
    <row r="100" spans="2:4" x14ac:dyDescent="0.15">
      <c r="B100" s="69">
        <v>83</v>
      </c>
      <c r="C100" s="70">
        <v>58.996665999999998</v>
      </c>
      <c r="D100" s="71">
        <v>0.12346137378489364</v>
      </c>
    </row>
    <row r="101" spans="2:4" x14ac:dyDescent="0.15">
      <c r="B101" s="69">
        <v>84</v>
      </c>
      <c r="C101" s="70">
        <v>58.120525000000001</v>
      </c>
      <c r="D101" s="71">
        <v>0.12546303446251203</v>
      </c>
    </row>
    <row r="102" spans="2:4" x14ac:dyDescent="0.15">
      <c r="B102" s="69">
        <v>85</v>
      </c>
      <c r="C102" s="70">
        <v>57.687378000000002</v>
      </c>
      <c r="D102" s="71">
        <v>0.13328044885661208</v>
      </c>
    </row>
    <row r="103" spans="2:4" x14ac:dyDescent="0.15">
      <c r="B103" s="69">
        <v>86</v>
      </c>
      <c r="C103" s="70">
        <v>58.100842</v>
      </c>
      <c r="D103" s="71">
        <v>0.1327369356277659</v>
      </c>
    </row>
    <row r="104" spans="2:4" x14ac:dyDescent="0.15">
      <c r="B104" s="69">
        <v>87</v>
      </c>
      <c r="C104" s="70">
        <v>57.913798999999997</v>
      </c>
      <c r="D104" s="71">
        <v>0.13209027331979836</v>
      </c>
    </row>
    <row r="105" spans="2:4" x14ac:dyDescent="0.15">
      <c r="B105" s="69">
        <v>88</v>
      </c>
      <c r="C105" s="70">
        <v>56.712798999999997</v>
      </c>
      <c r="D105" s="71">
        <v>0.12989577959181547</v>
      </c>
    </row>
    <row r="106" spans="2:4" x14ac:dyDescent="0.15">
      <c r="B106" s="69">
        <v>89</v>
      </c>
      <c r="C106" s="70">
        <v>57.086883999999998</v>
      </c>
      <c r="D106" s="71">
        <v>0.14489590491264759</v>
      </c>
    </row>
    <row r="107" spans="2:4" x14ac:dyDescent="0.15">
      <c r="B107" s="69">
        <v>90</v>
      </c>
      <c r="C107" s="70">
        <v>57.411738999999997</v>
      </c>
      <c r="D107" s="71">
        <v>0.14186057931907203</v>
      </c>
    </row>
    <row r="108" spans="2:4" x14ac:dyDescent="0.15">
      <c r="B108" s="69">
        <v>91</v>
      </c>
      <c r="C108" s="70">
        <v>57.648003000000003</v>
      </c>
      <c r="D108" s="71">
        <v>0.13890546329658271</v>
      </c>
    </row>
    <row r="109" spans="2:4" x14ac:dyDescent="0.15">
      <c r="B109" s="69">
        <v>92</v>
      </c>
      <c r="C109" s="70">
        <v>57.795662</v>
      </c>
      <c r="D109" s="71">
        <v>0.135838756057479</v>
      </c>
    </row>
    <row r="110" spans="2:4" x14ac:dyDescent="0.15">
      <c r="B110" s="69">
        <v>93</v>
      </c>
      <c r="C110" s="70">
        <v>57.835045000000001</v>
      </c>
      <c r="D110" s="71">
        <v>0.13286368782379196</v>
      </c>
    </row>
    <row r="111" spans="2:4" x14ac:dyDescent="0.15">
      <c r="B111" s="69">
        <v>94</v>
      </c>
      <c r="C111" s="70">
        <v>58.012238000000004</v>
      </c>
      <c r="D111" s="71">
        <v>0.13013095033964986</v>
      </c>
    </row>
    <row r="112" spans="2:4" x14ac:dyDescent="0.15">
      <c r="B112" s="69">
        <v>95</v>
      </c>
      <c r="C112" s="70">
        <v>58.888378000000003</v>
      </c>
      <c r="D112" s="71">
        <v>0.1282253139852729</v>
      </c>
    </row>
    <row r="113" spans="2:4" x14ac:dyDescent="0.15">
      <c r="B113" s="69">
        <v>96</v>
      </c>
      <c r="C113" s="70">
        <v>59.026195999999999</v>
      </c>
      <c r="D113" s="71">
        <v>0.13544552051707423</v>
      </c>
    </row>
    <row r="114" spans="2:4" x14ac:dyDescent="0.15">
      <c r="B114" s="69">
        <v>97</v>
      </c>
      <c r="C114" s="70">
        <v>58.829310999999997</v>
      </c>
      <c r="D114" s="71">
        <v>0.13249142843636483</v>
      </c>
    </row>
    <row r="115" spans="2:4" x14ac:dyDescent="0.15">
      <c r="B115" s="69">
        <v>98</v>
      </c>
      <c r="C115" s="70">
        <v>58.740715000000002</v>
      </c>
      <c r="D115" s="71">
        <v>0.13026086424039587</v>
      </c>
    </row>
    <row r="116" spans="2:4" x14ac:dyDescent="0.15">
      <c r="B116" s="69">
        <v>99</v>
      </c>
      <c r="C116" s="70">
        <v>59.173865999999997</v>
      </c>
      <c r="D116" s="71">
        <v>0.12803706533183667</v>
      </c>
    </row>
    <row r="117" spans="2:4" x14ac:dyDescent="0.15">
      <c r="B117" s="69">
        <v>100</v>
      </c>
      <c r="C117" s="70">
        <v>59.065578000000002</v>
      </c>
      <c r="D117" s="71">
        <v>0.12836528417195772</v>
      </c>
    </row>
    <row r="118" spans="2:4" x14ac:dyDescent="0.15">
      <c r="B118" s="69">
        <v>101</v>
      </c>
      <c r="C118" s="70">
        <v>59.262462999999997</v>
      </c>
      <c r="D118" s="71">
        <v>0.12650802865696553</v>
      </c>
    </row>
    <row r="119" spans="2:4" x14ac:dyDescent="0.15">
      <c r="B119" s="69">
        <v>102</v>
      </c>
      <c r="C119" s="70">
        <v>58.878535999999997</v>
      </c>
      <c r="D119" s="71">
        <v>0.12529941006191098</v>
      </c>
    </row>
    <row r="120" spans="2:4" x14ac:dyDescent="0.15">
      <c r="B120" s="69">
        <v>103</v>
      </c>
      <c r="C120" s="70">
        <v>59.449500999999998</v>
      </c>
      <c r="D120" s="71">
        <v>0.12563817039409444</v>
      </c>
    </row>
    <row r="121" spans="2:4" x14ac:dyDescent="0.15">
      <c r="B121" s="69">
        <v>104</v>
      </c>
      <c r="C121" s="70">
        <v>59.055732999999996</v>
      </c>
      <c r="D121" s="71">
        <v>0.12806054262364402</v>
      </c>
    </row>
    <row r="122" spans="2:4" x14ac:dyDescent="0.15">
      <c r="B122" s="69">
        <v>105</v>
      </c>
      <c r="C122" s="70">
        <v>59.055732999999996</v>
      </c>
      <c r="D122" s="71">
        <v>0.12797447034559983</v>
      </c>
    </row>
    <row r="123" spans="2:4" x14ac:dyDescent="0.15">
      <c r="B123" s="69">
        <v>106</v>
      </c>
      <c r="C123" s="70">
        <v>59.223083000000003</v>
      </c>
      <c r="D123" s="71">
        <v>0.12604143176937108</v>
      </c>
    </row>
    <row r="124" spans="2:4" x14ac:dyDescent="0.15">
      <c r="B124" s="69">
        <v>107</v>
      </c>
      <c r="C124" s="70">
        <v>58.898228000000003</v>
      </c>
      <c r="D124" s="71">
        <v>0.12478283365259393</v>
      </c>
    </row>
    <row r="125" spans="2:4" x14ac:dyDescent="0.15">
      <c r="B125" s="69">
        <v>108</v>
      </c>
      <c r="C125" s="70">
        <v>58.642273000000003</v>
      </c>
      <c r="D125" s="71">
        <v>0.12470333751758368</v>
      </c>
    </row>
    <row r="126" spans="2:4" x14ac:dyDescent="0.15">
      <c r="B126" s="69">
        <v>109</v>
      </c>
      <c r="C126" s="70">
        <v>58.917907999999997</v>
      </c>
      <c r="D126" s="71">
        <v>0.12415243399926702</v>
      </c>
    </row>
    <row r="127" spans="2:4" x14ac:dyDescent="0.15">
      <c r="B127" s="69">
        <v>110</v>
      </c>
      <c r="C127" s="70">
        <v>57.992553999999998</v>
      </c>
      <c r="D127" s="71">
        <v>0.12383094211939595</v>
      </c>
    </row>
    <row r="128" spans="2:4" x14ac:dyDescent="0.15">
      <c r="B128" s="69">
        <v>111</v>
      </c>
      <c r="C128" s="70">
        <v>58.238658999999998</v>
      </c>
      <c r="D128" s="71">
        <v>0.13310680834772506</v>
      </c>
    </row>
    <row r="129" spans="2:4" x14ac:dyDescent="0.15">
      <c r="B129" s="69">
        <v>112</v>
      </c>
      <c r="C129" s="70">
        <v>58.445385000000002</v>
      </c>
      <c r="D129" s="71">
        <v>0.13104971890830247</v>
      </c>
    </row>
    <row r="130" spans="2:4" x14ac:dyDescent="0.15">
      <c r="B130" s="69">
        <v>113</v>
      </c>
      <c r="C130" s="70">
        <v>58.799782</v>
      </c>
      <c r="D130" s="71">
        <v>0.12912073810476266</v>
      </c>
    </row>
    <row r="131" spans="2:4" x14ac:dyDescent="0.15">
      <c r="B131" s="69">
        <v>114</v>
      </c>
      <c r="C131" s="70">
        <v>58.967132999999997</v>
      </c>
      <c r="D131" s="71">
        <v>0.12852551735943099</v>
      </c>
    </row>
    <row r="132" spans="2:4" x14ac:dyDescent="0.15">
      <c r="B132" s="69">
        <v>115</v>
      </c>
      <c r="C132" s="70">
        <v>58.563518999999999</v>
      </c>
      <c r="D132" s="71">
        <v>0.12684049852748616</v>
      </c>
    </row>
    <row r="133" spans="2:4" x14ac:dyDescent="0.15">
      <c r="B133" s="69">
        <v>116</v>
      </c>
      <c r="C133" s="70">
        <v>60.030315000000002</v>
      </c>
      <c r="D133" s="71">
        <v>0.12710402286549324</v>
      </c>
    </row>
    <row r="134" spans="2:4" x14ac:dyDescent="0.15">
      <c r="B134" s="69">
        <v>117</v>
      </c>
      <c r="C134" s="70">
        <v>59.597168000000003</v>
      </c>
      <c r="D134" s="71">
        <v>0.14919471971143874</v>
      </c>
    </row>
    <row r="135" spans="2:4" x14ac:dyDescent="0.15">
      <c r="B135" s="69">
        <v>118</v>
      </c>
      <c r="C135" s="70">
        <v>59.104953999999999</v>
      </c>
      <c r="D135" s="71">
        <v>0.14579698323671383</v>
      </c>
    </row>
    <row r="136" spans="2:4" x14ac:dyDescent="0.15">
      <c r="B136" s="69">
        <v>119</v>
      </c>
      <c r="C136" s="70">
        <v>59.006512000000001</v>
      </c>
      <c r="D136" s="71">
        <v>0.14356977480770275</v>
      </c>
    </row>
    <row r="137" spans="2:4" x14ac:dyDescent="0.15">
      <c r="B137" s="69">
        <v>120</v>
      </c>
      <c r="C137" s="70">
        <v>59.055732999999996</v>
      </c>
      <c r="D137" s="71">
        <v>0.13920665238079152</v>
      </c>
    </row>
    <row r="138" spans="2:4" x14ac:dyDescent="0.15">
      <c r="B138" s="69">
        <v>121</v>
      </c>
      <c r="C138" s="70">
        <v>58.898228000000003</v>
      </c>
      <c r="D138" s="71">
        <v>0.13545279919545145</v>
      </c>
    </row>
    <row r="139" spans="2:4" x14ac:dyDescent="0.15">
      <c r="B139" s="69">
        <v>122</v>
      </c>
      <c r="C139" s="70">
        <v>58.632430999999997</v>
      </c>
      <c r="D139" s="71">
        <v>0.13256490465429119</v>
      </c>
    </row>
    <row r="140" spans="2:4" x14ac:dyDescent="0.15">
      <c r="B140" s="69">
        <v>123</v>
      </c>
      <c r="C140" s="70">
        <v>58.770248000000002</v>
      </c>
      <c r="D140" s="71">
        <v>0.13070333990164162</v>
      </c>
    </row>
    <row r="141" spans="2:4" x14ac:dyDescent="0.15">
      <c r="B141" s="69">
        <v>124</v>
      </c>
      <c r="C141" s="70">
        <v>58.425697</v>
      </c>
      <c r="D141" s="71">
        <v>0.12854027951913055</v>
      </c>
    </row>
    <row r="142" spans="2:4" x14ac:dyDescent="0.15">
      <c r="B142" s="69">
        <v>125</v>
      </c>
      <c r="C142" s="70">
        <v>58.366633999999998</v>
      </c>
      <c r="D142" s="71">
        <v>0.12796637760516233</v>
      </c>
    </row>
    <row r="143" spans="2:4" x14ac:dyDescent="0.15">
      <c r="B143" s="69">
        <v>126</v>
      </c>
      <c r="C143" s="70">
        <v>58.474921999999999</v>
      </c>
      <c r="D143" s="71">
        <v>0.12607817134234547</v>
      </c>
    </row>
    <row r="144" spans="2:4" x14ac:dyDescent="0.15">
      <c r="B144" s="69">
        <v>127</v>
      </c>
      <c r="C144" s="70">
        <v>58.465076000000003</v>
      </c>
      <c r="D144" s="71">
        <v>0.12461687083886441</v>
      </c>
    </row>
    <row r="145" spans="2:4" x14ac:dyDescent="0.15">
      <c r="B145" s="69">
        <v>128</v>
      </c>
      <c r="C145" s="70">
        <v>59.754677000000001</v>
      </c>
      <c r="D145" s="71">
        <v>0.1232613415214233</v>
      </c>
    </row>
    <row r="146" spans="2:4" x14ac:dyDescent="0.15">
      <c r="B146" s="69">
        <v>129</v>
      </c>
      <c r="C146" s="70">
        <v>60.286265999999998</v>
      </c>
      <c r="D146" s="71">
        <v>0.1414800467505517</v>
      </c>
    </row>
    <row r="147" spans="2:4" x14ac:dyDescent="0.15">
      <c r="B147" s="69">
        <v>130</v>
      </c>
      <c r="C147" s="70">
        <v>60.197665999999998</v>
      </c>
      <c r="D147" s="71">
        <v>0.1403633433403608</v>
      </c>
    </row>
    <row r="148" spans="2:4" x14ac:dyDescent="0.15">
      <c r="B148" s="69">
        <v>131</v>
      </c>
      <c r="C148" s="70">
        <v>60.246890999999998</v>
      </c>
      <c r="D148" s="71">
        <v>0.13648284289648788</v>
      </c>
    </row>
    <row r="149" spans="2:4" x14ac:dyDescent="0.15">
      <c r="B149" s="69">
        <v>132</v>
      </c>
      <c r="C149" s="70">
        <v>59.764519</v>
      </c>
      <c r="D149" s="71">
        <v>0.13316617596162789</v>
      </c>
    </row>
    <row r="150" spans="2:4" x14ac:dyDescent="0.15">
      <c r="B150" s="69">
        <v>133</v>
      </c>
      <c r="C150" s="70">
        <v>59.400280000000002</v>
      </c>
      <c r="D150" s="71">
        <v>0.13299249830279827</v>
      </c>
    </row>
    <row r="151" spans="2:4" x14ac:dyDescent="0.15">
      <c r="B151" s="69">
        <v>134</v>
      </c>
      <c r="C151" s="70">
        <v>59.459347000000001</v>
      </c>
      <c r="D151" s="71">
        <v>0.13174728587633833</v>
      </c>
    </row>
    <row r="152" spans="2:4" x14ac:dyDescent="0.15">
      <c r="B152" s="69">
        <v>135</v>
      </c>
      <c r="C152" s="70">
        <v>59.085262</v>
      </c>
      <c r="D152" s="71">
        <v>0.12922132954712795</v>
      </c>
    </row>
    <row r="153" spans="2:4" x14ac:dyDescent="0.15">
      <c r="B153" s="69">
        <v>136</v>
      </c>
      <c r="C153" s="70">
        <v>58.602893999999999</v>
      </c>
      <c r="D153" s="71">
        <v>0.12874488174895465</v>
      </c>
    </row>
    <row r="154" spans="2:4" x14ac:dyDescent="0.15">
      <c r="B154" s="69">
        <v>137</v>
      </c>
      <c r="C154" s="70">
        <v>58.878535999999997</v>
      </c>
      <c r="D154" s="71">
        <v>0.12949071575522131</v>
      </c>
    </row>
    <row r="155" spans="2:4" x14ac:dyDescent="0.15">
      <c r="B155" s="69">
        <v>138</v>
      </c>
      <c r="C155" s="70">
        <v>58.593048000000003</v>
      </c>
      <c r="D155" s="71">
        <v>0.12822419876175897</v>
      </c>
    </row>
    <row r="156" spans="2:4" x14ac:dyDescent="0.15">
      <c r="B156" s="69">
        <v>139</v>
      </c>
      <c r="C156" s="70">
        <v>58.622585000000001</v>
      </c>
      <c r="D156" s="71">
        <v>0.1272469223974261</v>
      </c>
    </row>
    <row r="157" spans="2:4" x14ac:dyDescent="0.15">
      <c r="B157" s="69">
        <v>140</v>
      </c>
      <c r="C157" s="70">
        <v>58.514296999999999</v>
      </c>
      <c r="D157" s="71">
        <v>0.12544859627214197</v>
      </c>
    </row>
    <row r="158" spans="2:4" x14ac:dyDescent="0.15">
      <c r="B158" s="69">
        <v>141</v>
      </c>
      <c r="C158" s="70">
        <v>58.593048000000003</v>
      </c>
      <c r="D158" s="71">
        <v>0.12409557492283747</v>
      </c>
    </row>
    <row r="159" spans="2:4" x14ac:dyDescent="0.15">
      <c r="B159" s="69">
        <v>142</v>
      </c>
      <c r="C159" s="70">
        <v>59.301837999999996</v>
      </c>
      <c r="D159" s="71">
        <v>0.12290820394250938</v>
      </c>
    </row>
    <row r="160" spans="2:4" x14ac:dyDescent="0.15">
      <c r="B160" s="69">
        <v>143</v>
      </c>
      <c r="C160" s="70">
        <v>59.557789</v>
      </c>
      <c r="D160" s="71">
        <v>0.12804598812009085</v>
      </c>
    </row>
    <row r="161" spans="2:4" x14ac:dyDescent="0.15">
      <c r="B161" s="69">
        <v>144</v>
      </c>
      <c r="C161" s="70">
        <v>60.168132999999997</v>
      </c>
      <c r="D161" s="71">
        <v>0.12688604754765098</v>
      </c>
    </row>
    <row r="162" spans="2:4" x14ac:dyDescent="0.15">
      <c r="B162" s="69">
        <v>145</v>
      </c>
      <c r="C162" s="70">
        <v>60.034171999999998</v>
      </c>
      <c r="D162" s="71">
        <v>0.12951067295070431</v>
      </c>
    </row>
    <row r="163" spans="2:4" x14ac:dyDescent="0.15">
      <c r="B163" s="69">
        <v>146</v>
      </c>
      <c r="C163" s="70">
        <v>59.418948999999998</v>
      </c>
      <c r="D163" s="71">
        <v>0.12752664100886243</v>
      </c>
    </row>
    <row r="164" spans="2:4" x14ac:dyDescent="0.15">
      <c r="B164" s="69">
        <v>147</v>
      </c>
      <c r="C164" s="70">
        <v>59.667023</v>
      </c>
      <c r="D164" s="71">
        <v>0.13011265772129391</v>
      </c>
    </row>
    <row r="165" spans="2:4" x14ac:dyDescent="0.15">
      <c r="B165" s="69">
        <v>148</v>
      </c>
      <c r="C165" s="70">
        <v>59.766250999999997</v>
      </c>
      <c r="D165" s="71">
        <v>0.12854385223877238</v>
      </c>
    </row>
    <row r="166" spans="2:4" x14ac:dyDescent="0.15">
      <c r="B166" s="69">
        <v>149</v>
      </c>
      <c r="C166" s="70">
        <v>60.282249</v>
      </c>
      <c r="D166" s="71">
        <v>0.12663106628859175</v>
      </c>
    </row>
    <row r="167" spans="2:4" x14ac:dyDescent="0.15">
      <c r="B167" s="69">
        <v>150</v>
      </c>
      <c r="C167" s="70">
        <v>60.004406000000003</v>
      </c>
      <c r="D167" s="71">
        <v>0.12805580325567129</v>
      </c>
    </row>
    <row r="168" spans="2:4" x14ac:dyDescent="0.15">
      <c r="B168" s="69">
        <v>151</v>
      </c>
      <c r="C168" s="70">
        <v>60.024253999999999</v>
      </c>
      <c r="D168" s="71">
        <v>0.12701196482529539</v>
      </c>
    </row>
    <row r="169" spans="2:4" x14ac:dyDescent="0.15">
      <c r="B169" s="69">
        <v>152</v>
      </c>
      <c r="C169" s="70">
        <v>59.934944000000002</v>
      </c>
      <c r="D169" s="71">
        <v>0.12524759206007641</v>
      </c>
    </row>
    <row r="170" spans="2:4" x14ac:dyDescent="0.15">
      <c r="B170" s="69">
        <v>153</v>
      </c>
      <c r="C170" s="70">
        <v>60.073867999999997</v>
      </c>
      <c r="D170" s="71">
        <v>0.12387754665650436</v>
      </c>
    </row>
    <row r="171" spans="2:4" x14ac:dyDescent="0.15">
      <c r="B171" s="69">
        <v>154</v>
      </c>
      <c r="C171" s="70">
        <v>60.560093000000002</v>
      </c>
      <c r="D171" s="71">
        <v>0.12288311807414998</v>
      </c>
    </row>
    <row r="172" spans="2:4" x14ac:dyDescent="0.15">
      <c r="B172" s="69">
        <v>155</v>
      </c>
      <c r="C172" s="70">
        <v>60.708939000000001</v>
      </c>
      <c r="D172" s="71">
        <v>0.12465235421241379</v>
      </c>
    </row>
    <row r="173" spans="2:4" x14ac:dyDescent="0.15">
      <c r="B173" s="69">
        <v>156</v>
      </c>
      <c r="C173" s="70">
        <v>60.212788000000003</v>
      </c>
      <c r="D173" s="71">
        <v>0.12355090627675952</v>
      </c>
    </row>
    <row r="174" spans="2:4" x14ac:dyDescent="0.15">
      <c r="B174" s="69">
        <v>157</v>
      </c>
      <c r="C174" s="70">
        <v>59.686870999999996</v>
      </c>
      <c r="D174" s="71">
        <v>0.12529172349480722</v>
      </c>
    </row>
    <row r="175" spans="2:4" x14ac:dyDescent="0.15">
      <c r="B175" s="69">
        <v>158</v>
      </c>
      <c r="C175" s="70">
        <v>59.369335</v>
      </c>
      <c r="D175" s="71">
        <v>0.12710308469677228</v>
      </c>
    </row>
    <row r="176" spans="2:4" x14ac:dyDescent="0.15">
      <c r="B176" s="69">
        <v>159</v>
      </c>
      <c r="C176" s="70">
        <v>58.843414000000003</v>
      </c>
      <c r="D176" s="71">
        <v>0.12652852168721243</v>
      </c>
    </row>
    <row r="177" spans="2:4" x14ac:dyDescent="0.15">
      <c r="B177" s="69">
        <v>160</v>
      </c>
      <c r="C177" s="70">
        <v>59.051796000000003</v>
      </c>
      <c r="D177" s="71">
        <v>0.12819334919475692</v>
      </c>
    </row>
    <row r="178" spans="2:4" x14ac:dyDescent="0.15">
      <c r="B178" s="69">
        <v>161</v>
      </c>
      <c r="C178" s="70">
        <v>58.813643999999996</v>
      </c>
      <c r="D178" s="71">
        <v>0.12675221437931772</v>
      </c>
    </row>
    <row r="179" spans="2:4" x14ac:dyDescent="0.15">
      <c r="B179" s="69">
        <v>162</v>
      </c>
      <c r="C179" s="70">
        <v>59.260181000000003</v>
      </c>
      <c r="D179" s="71">
        <v>0.12572509091866654</v>
      </c>
    </row>
    <row r="180" spans="2:4" x14ac:dyDescent="0.15">
      <c r="B180" s="69">
        <v>163</v>
      </c>
      <c r="C180" s="70">
        <v>58.466338999999998</v>
      </c>
      <c r="D180" s="71">
        <v>0.12661993420687234</v>
      </c>
    </row>
    <row r="181" spans="2:4" x14ac:dyDescent="0.15">
      <c r="B181" s="69">
        <v>164</v>
      </c>
      <c r="C181" s="70">
        <v>58.595337000000001</v>
      </c>
      <c r="D181" s="71">
        <v>0.13248584025568069</v>
      </c>
    </row>
    <row r="182" spans="2:4" x14ac:dyDescent="0.15">
      <c r="B182" s="69">
        <v>165</v>
      </c>
      <c r="C182" s="70">
        <v>57.831263999999997</v>
      </c>
      <c r="D182" s="71">
        <v>0.12999671409366678</v>
      </c>
    </row>
    <row r="183" spans="2:4" x14ac:dyDescent="0.15">
      <c r="B183" s="69">
        <v>166</v>
      </c>
      <c r="C183" s="70">
        <v>57.692345000000003</v>
      </c>
      <c r="D183" s="71">
        <v>0.13475206659951344</v>
      </c>
    </row>
    <row r="184" spans="2:4" x14ac:dyDescent="0.15">
      <c r="B184" s="69">
        <v>167</v>
      </c>
      <c r="C184" s="70">
        <v>57.612960999999999</v>
      </c>
      <c r="D184" s="71">
        <v>0.13192503600603225</v>
      </c>
    </row>
    <row r="185" spans="2:4" x14ac:dyDescent="0.15">
      <c r="B185" s="69">
        <v>168</v>
      </c>
      <c r="C185" s="70">
        <v>58.059494000000001</v>
      </c>
      <c r="D185" s="71">
        <v>0.12940709503374553</v>
      </c>
    </row>
    <row r="186" spans="2:4" x14ac:dyDescent="0.15">
      <c r="B186" s="69">
        <v>169</v>
      </c>
      <c r="C186" s="70">
        <v>58.456417000000002</v>
      </c>
      <c r="D186" s="71">
        <v>0.12971635093850695</v>
      </c>
    </row>
    <row r="187" spans="2:4" x14ac:dyDescent="0.15">
      <c r="B187" s="69">
        <v>170</v>
      </c>
      <c r="C187" s="70">
        <v>59.706710999999999</v>
      </c>
      <c r="D187" s="71">
        <v>0.12942408127049987</v>
      </c>
    </row>
    <row r="188" spans="2:4" x14ac:dyDescent="0.15">
      <c r="B188" s="69">
        <v>171</v>
      </c>
      <c r="C188" s="70">
        <v>60.08379</v>
      </c>
      <c r="D188" s="71">
        <v>0.14487333024848101</v>
      </c>
    </row>
    <row r="189" spans="2:4" x14ac:dyDescent="0.15">
      <c r="B189" s="69">
        <v>172</v>
      </c>
      <c r="C189" s="70">
        <v>60.173096000000001</v>
      </c>
      <c r="D189" s="71">
        <v>0.14170619037551849</v>
      </c>
    </row>
    <row r="190" spans="2:4" x14ac:dyDescent="0.15">
      <c r="B190" s="69">
        <v>173</v>
      </c>
      <c r="C190" s="70">
        <v>61.076087999999999</v>
      </c>
      <c r="D190" s="71">
        <v>0.13761433413931592</v>
      </c>
    </row>
    <row r="191" spans="2:4" x14ac:dyDescent="0.15">
      <c r="B191" s="69">
        <v>174</v>
      </c>
      <c r="C191" s="70">
        <v>61.264628999999999</v>
      </c>
      <c r="D191" s="71">
        <v>0.14267388583539947</v>
      </c>
    </row>
    <row r="192" spans="2:4" x14ac:dyDescent="0.15">
      <c r="B192" s="69">
        <v>175</v>
      </c>
      <c r="C192" s="70">
        <v>61.264628999999999</v>
      </c>
      <c r="D192" s="71">
        <v>0.13871127806471406</v>
      </c>
    </row>
    <row r="193" spans="2:4" x14ac:dyDescent="0.15">
      <c r="B193" s="69">
        <v>176</v>
      </c>
      <c r="C193" s="70">
        <v>61.562317</v>
      </c>
      <c r="D193" s="71">
        <v>0.13500909568565025</v>
      </c>
    </row>
    <row r="194" spans="2:4" x14ac:dyDescent="0.15">
      <c r="B194" s="69">
        <v>177</v>
      </c>
      <c r="C194" s="70">
        <v>61.294395000000002</v>
      </c>
      <c r="D194" s="71">
        <v>0.1328555668502191</v>
      </c>
    </row>
    <row r="195" spans="2:4" x14ac:dyDescent="0.15">
      <c r="B195" s="69">
        <v>178</v>
      </c>
      <c r="C195" s="70">
        <v>61.453163000000004</v>
      </c>
      <c r="D195" s="71">
        <v>0.13088571640694516</v>
      </c>
    </row>
    <row r="196" spans="2:4" x14ac:dyDescent="0.15">
      <c r="B196" s="69">
        <v>179</v>
      </c>
      <c r="C196" s="70">
        <v>61.512703000000002</v>
      </c>
      <c r="D196" s="71">
        <v>0.12874100706292957</v>
      </c>
    </row>
    <row r="197" spans="2:4" x14ac:dyDescent="0.15">
      <c r="B197" s="69">
        <v>180</v>
      </c>
      <c r="C197" s="70">
        <v>61.691315000000003</v>
      </c>
      <c r="D197" s="71">
        <v>0.1267176818477258</v>
      </c>
    </row>
    <row r="198" spans="2:4" x14ac:dyDescent="0.15">
      <c r="B198" s="69">
        <v>181</v>
      </c>
      <c r="C198" s="70">
        <v>61.869926</v>
      </c>
      <c r="D198" s="71">
        <v>0.12535860323955542</v>
      </c>
    </row>
    <row r="199" spans="2:4" x14ac:dyDescent="0.15">
      <c r="B199" s="69">
        <v>182</v>
      </c>
      <c r="C199" s="70">
        <v>62.137847999999998</v>
      </c>
      <c r="D199" s="71">
        <v>0.12423430870773487</v>
      </c>
    </row>
    <row r="200" spans="2:4" x14ac:dyDescent="0.15">
      <c r="B200" s="69">
        <v>183</v>
      </c>
      <c r="C200" s="70">
        <v>62.366076999999997</v>
      </c>
      <c r="D200" s="71">
        <v>0.12375457999137332</v>
      </c>
    </row>
    <row r="201" spans="2:4" x14ac:dyDescent="0.15">
      <c r="B201" s="69">
        <v>184</v>
      </c>
      <c r="C201" s="70">
        <v>62.395851</v>
      </c>
      <c r="D201" s="71">
        <v>0.12313371815490164</v>
      </c>
    </row>
    <row r="202" spans="2:4" x14ac:dyDescent="0.15">
      <c r="B202" s="69">
        <v>185</v>
      </c>
      <c r="C202" s="70">
        <v>62.772922999999999</v>
      </c>
      <c r="D202" s="71">
        <v>0.12204537699390969</v>
      </c>
    </row>
    <row r="203" spans="2:4" x14ac:dyDescent="0.15">
      <c r="B203" s="69">
        <v>186</v>
      </c>
      <c r="C203" s="70">
        <v>63.090462000000002</v>
      </c>
      <c r="D203" s="71">
        <v>0.12273248934159177</v>
      </c>
    </row>
    <row r="204" spans="2:4" x14ac:dyDescent="0.15">
      <c r="B204" s="69">
        <v>187</v>
      </c>
      <c r="C204" s="70">
        <v>62.614154999999997</v>
      </c>
      <c r="D204" s="71">
        <v>0.12281963114179316</v>
      </c>
    </row>
    <row r="205" spans="2:4" x14ac:dyDescent="0.15">
      <c r="B205" s="69">
        <v>188</v>
      </c>
      <c r="C205" s="70">
        <v>62.643925000000003</v>
      </c>
      <c r="D205" s="71">
        <v>0.12427613211063104</v>
      </c>
    </row>
    <row r="206" spans="2:4" x14ac:dyDescent="0.15">
      <c r="B206" s="69">
        <v>189</v>
      </c>
      <c r="C206" s="70">
        <v>62.832462</v>
      </c>
      <c r="D206" s="71">
        <v>0.12298836470182697</v>
      </c>
    </row>
    <row r="207" spans="2:4" x14ac:dyDescent="0.15">
      <c r="B207" s="69">
        <v>190</v>
      </c>
      <c r="C207" s="70">
        <v>62.544693000000002</v>
      </c>
      <c r="D207" s="71">
        <v>0.12231151996212568</v>
      </c>
    </row>
    <row r="208" spans="2:4" x14ac:dyDescent="0.15">
      <c r="B208" s="69">
        <v>191</v>
      </c>
      <c r="C208" s="70">
        <v>62.088234</v>
      </c>
      <c r="D208" s="71">
        <v>0.12228381681511581</v>
      </c>
    </row>
    <row r="209" spans="2:4" x14ac:dyDescent="0.15">
      <c r="B209" s="69">
        <v>192</v>
      </c>
      <c r="C209" s="70">
        <v>62.425617000000003</v>
      </c>
      <c r="D209" s="71">
        <v>0.12368001912969935</v>
      </c>
    </row>
    <row r="210" spans="2:4" x14ac:dyDescent="0.15">
      <c r="B210" s="69">
        <v>193</v>
      </c>
      <c r="C210" s="70">
        <v>62.514923000000003</v>
      </c>
      <c r="D210" s="71">
        <v>0.12376351521948031</v>
      </c>
    </row>
    <row r="211" spans="2:4" x14ac:dyDescent="0.15">
      <c r="B211" s="69">
        <v>194</v>
      </c>
      <c r="C211" s="70">
        <v>61.611930999999998</v>
      </c>
      <c r="D211" s="71">
        <v>0.12264441195445251</v>
      </c>
    </row>
    <row r="212" spans="2:4" x14ac:dyDescent="0.15">
      <c r="B212" s="69">
        <v>195</v>
      </c>
      <c r="C212" s="70">
        <v>61.522624999999998</v>
      </c>
      <c r="D212" s="71">
        <v>0.13062009545452891</v>
      </c>
    </row>
    <row r="213" spans="2:4" x14ac:dyDescent="0.15">
      <c r="B213" s="69">
        <v>196</v>
      </c>
      <c r="C213" s="70">
        <v>61.344009</v>
      </c>
      <c r="D213" s="71">
        <v>0.12832894651954879</v>
      </c>
    </row>
    <row r="214" spans="2:4" x14ac:dyDescent="0.15">
      <c r="B214" s="69">
        <v>197</v>
      </c>
      <c r="C214" s="70">
        <v>61.224933999999998</v>
      </c>
      <c r="D214" s="71">
        <v>0.1266935678677561</v>
      </c>
    </row>
    <row r="215" spans="2:4" x14ac:dyDescent="0.15">
      <c r="B215" s="69">
        <v>198</v>
      </c>
      <c r="C215" s="70">
        <v>61.492854999999999</v>
      </c>
      <c r="D215" s="71">
        <v>0.1251406323661266</v>
      </c>
    </row>
    <row r="216" spans="2:4" x14ac:dyDescent="0.15">
      <c r="B216" s="69">
        <v>199</v>
      </c>
      <c r="C216" s="70">
        <v>62.445464999999999</v>
      </c>
      <c r="D216" s="71">
        <v>0.1245158831347158</v>
      </c>
    </row>
    <row r="217" spans="2:4" x14ac:dyDescent="0.15">
      <c r="B217" s="69">
        <v>200</v>
      </c>
      <c r="C217" s="70">
        <v>62.445464999999999</v>
      </c>
      <c r="D217" s="71">
        <v>0.13305446370681578</v>
      </c>
    </row>
    <row r="218" spans="2:4" x14ac:dyDescent="0.15">
      <c r="B218" s="69">
        <v>201</v>
      </c>
      <c r="C218" s="70">
        <v>63.447685</v>
      </c>
      <c r="D218" s="71">
        <v>0.13027114375019752</v>
      </c>
    </row>
    <row r="219" spans="2:4" x14ac:dyDescent="0.15">
      <c r="B219" s="69">
        <v>202</v>
      </c>
      <c r="C219" s="70">
        <v>63.427836999999997</v>
      </c>
      <c r="D219" s="71">
        <v>0.13815398470358187</v>
      </c>
    </row>
    <row r="220" spans="2:4" x14ac:dyDescent="0.15">
      <c r="B220" s="69">
        <v>203</v>
      </c>
      <c r="C220" s="70">
        <v>63.656070999999997</v>
      </c>
      <c r="D220" s="71">
        <v>0.13454499648570142</v>
      </c>
    </row>
    <row r="221" spans="2:4" x14ac:dyDescent="0.15">
      <c r="B221" s="69">
        <v>204</v>
      </c>
      <c r="C221" s="70">
        <v>63.417918999999998</v>
      </c>
      <c r="D221" s="71">
        <v>0.13204109996999921</v>
      </c>
    </row>
    <row r="222" spans="2:4" x14ac:dyDescent="0.15">
      <c r="B222" s="69">
        <v>205</v>
      </c>
      <c r="C222" s="70">
        <v>63.100383999999998</v>
      </c>
      <c r="D222" s="71">
        <v>0.13000542071421725</v>
      </c>
    </row>
    <row r="223" spans="2:4" x14ac:dyDescent="0.15">
      <c r="B223" s="69">
        <v>206</v>
      </c>
      <c r="C223" s="70">
        <v>63.060687999999999</v>
      </c>
      <c r="D223" s="71">
        <v>0.12878146440341656</v>
      </c>
    </row>
    <row r="224" spans="2:4" x14ac:dyDescent="0.15">
      <c r="B224" s="69">
        <v>207</v>
      </c>
      <c r="C224" s="70">
        <v>62.395851</v>
      </c>
      <c r="D224" s="71">
        <v>0.12672839579637438</v>
      </c>
    </row>
    <row r="225" spans="2:4" x14ac:dyDescent="0.15">
      <c r="B225" s="69">
        <v>208</v>
      </c>
      <c r="C225" s="70">
        <v>62.505004999999997</v>
      </c>
      <c r="D225" s="71">
        <v>0.12973079966371356</v>
      </c>
    </row>
    <row r="226" spans="2:4" x14ac:dyDescent="0.15">
      <c r="B226" s="69">
        <v>209</v>
      </c>
      <c r="C226" s="70">
        <v>62.549999</v>
      </c>
      <c r="D226" s="71">
        <v>0.12762918957991032</v>
      </c>
    </row>
    <row r="227" spans="2:4" x14ac:dyDescent="0.15">
      <c r="B227" s="69">
        <v>210</v>
      </c>
      <c r="C227" s="70">
        <v>62.619999</v>
      </c>
      <c r="D227" s="71">
        <v>0.125776917587621</v>
      </c>
    </row>
    <row r="228" spans="2:4" x14ac:dyDescent="0.15">
      <c r="B228" s="69">
        <v>211</v>
      </c>
      <c r="C228" s="70">
        <v>62.630001</v>
      </c>
      <c r="D228" s="71">
        <v>0.12427362351086847</v>
      </c>
    </row>
    <row r="229" spans="2:4" x14ac:dyDescent="0.15">
      <c r="B229" s="69">
        <v>212</v>
      </c>
      <c r="C229" s="70">
        <v>62.18</v>
      </c>
      <c r="D229" s="71">
        <v>0.1229775644078272</v>
      </c>
    </row>
    <row r="230" spans="2:4" x14ac:dyDescent="0.15">
      <c r="B230" s="69">
        <v>213</v>
      </c>
      <c r="C230" s="70">
        <v>62.77</v>
      </c>
      <c r="D230" s="71">
        <v>0.12416975724146506</v>
      </c>
    </row>
    <row r="231" spans="2:4" x14ac:dyDescent="0.15">
      <c r="B231" s="69">
        <v>214</v>
      </c>
      <c r="C231" s="70">
        <v>63.970001000000003</v>
      </c>
      <c r="D231" s="71">
        <v>0.12671744895162837</v>
      </c>
    </row>
    <row r="232" spans="2:4" x14ac:dyDescent="0.15">
      <c r="B232" s="69">
        <v>215</v>
      </c>
      <c r="C232" s="70">
        <v>63.84</v>
      </c>
      <c r="D232" s="71">
        <v>0.13951869310141513</v>
      </c>
    </row>
    <row r="233" spans="2:4" x14ac:dyDescent="0.15">
      <c r="B233" s="69">
        <v>216</v>
      </c>
      <c r="C233" s="70">
        <v>64.050003000000004</v>
      </c>
      <c r="D233" s="71">
        <v>0.13585081690876197</v>
      </c>
    </row>
    <row r="234" spans="2:4" x14ac:dyDescent="0.15">
      <c r="B234" s="69">
        <v>217</v>
      </c>
      <c r="C234" s="70">
        <v>63.91</v>
      </c>
      <c r="D234" s="71">
        <v>0.13304460113258035</v>
      </c>
    </row>
    <row r="235" spans="2:4" x14ac:dyDescent="0.15">
      <c r="B235" s="69">
        <v>218</v>
      </c>
      <c r="C235" s="70">
        <v>63.650002000000001</v>
      </c>
      <c r="D235" s="71">
        <v>0.13045960834829379</v>
      </c>
    </row>
    <row r="236" spans="2:4" x14ac:dyDescent="0.15">
      <c r="B236" s="69">
        <v>219</v>
      </c>
      <c r="C236" s="70">
        <v>63.279998999999997</v>
      </c>
      <c r="D236" s="71">
        <v>0.12880025686256369</v>
      </c>
    </row>
    <row r="237" spans="2:4" x14ac:dyDescent="0.15">
      <c r="B237" s="69">
        <v>220</v>
      </c>
      <c r="C237" s="70">
        <v>63.150002000000001</v>
      </c>
      <c r="D237" s="71">
        <v>0.12815551492003094</v>
      </c>
    </row>
    <row r="238" spans="2:4" x14ac:dyDescent="0.15">
      <c r="B238" s="69">
        <v>221</v>
      </c>
      <c r="C238" s="70">
        <v>63.330002</v>
      </c>
      <c r="D238" s="71">
        <v>0.12637106702037287</v>
      </c>
    </row>
    <row r="239" spans="2:4" x14ac:dyDescent="0.15">
      <c r="B239" s="69">
        <v>222</v>
      </c>
      <c r="C239" s="70">
        <v>63.759998000000003</v>
      </c>
      <c r="D239" s="71">
        <v>0.12505913463656432</v>
      </c>
    </row>
    <row r="240" spans="2:4" x14ac:dyDescent="0.15">
      <c r="B240" s="69">
        <v>223</v>
      </c>
      <c r="C240" s="70">
        <v>62.959999000000003</v>
      </c>
      <c r="D240" s="71">
        <v>0.12559359683007693</v>
      </c>
    </row>
    <row r="241" spans="2:4" x14ac:dyDescent="0.15">
      <c r="B241" s="69">
        <v>224</v>
      </c>
      <c r="C241" s="70">
        <v>62.689999</v>
      </c>
      <c r="D241" s="71">
        <v>0.13076828927450004</v>
      </c>
    </row>
    <row r="242" spans="2:4" x14ac:dyDescent="0.15">
      <c r="B242" s="69">
        <v>225</v>
      </c>
      <c r="C242" s="70">
        <v>62.830002</v>
      </c>
      <c r="D242" s="71">
        <v>0.1291327572190086</v>
      </c>
    </row>
    <row r="243" spans="2:4" x14ac:dyDescent="0.15">
      <c r="B243" s="69">
        <v>226</v>
      </c>
      <c r="C243" s="70">
        <v>63.099997999999999</v>
      </c>
      <c r="D243" s="71">
        <v>0.1272132764727355</v>
      </c>
    </row>
    <row r="244" spans="2:4" x14ac:dyDescent="0.15">
      <c r="B244" s="69">
        <v>227</v>
      </c>
      <c r="C244" s="70">
        <v>63.700001</v>
      </c>
      <c r="D244" s="71">
        <v>0.12619255702970089</v>
      </c>
    </row>
    <row r="245" spans="2:4" x14ac:dyDescent="0.15">
      <c r="B245" s="69">
        <v>228</v>
      </c>
      <c r="C245" s="70">
        <v>63.41</v>
      </c>
      <c r="D245" s="71">
        <v>0.12835656808052429</v>
      </c>
    </row>
    <row r="246" spans="2:4" x14ac:dyDescent="0.15">
      <c r="B246" s="69">
        <v>229</v>
      </c>
      <c r="C246" s="70">
        <v>64.269997000000004</v>
      </c>
      <c r="D246" s="71">
        <v>0.12723802648893698</v>
      </c>
    </row>
    <row r="247" spans="2:4" x14ac:dyDescent="0.15">
      <c r="B247" s="69">
        <v>230</v>
      </c>
      <c r="C247" s="70">
        <v>65.209998999999996</v>
      </c>
      <c r="D247" s="71">
        <v>0.13295273468737959</v>
      </c>
    </row>
    <row r="248" spans="2:4" x14ac:dyDescent="0.15">
      <c r="B248" s="69">
        <v>231</v>
      </c>
      <c r="C248" s="70">
        <v>65.190002000000007</v>
      </c>
      <c r="D248" s="71">
        <v>0.13858733329899103</v>
      </c>
    </row>
    <row r="249" spans="2:4" x14ac:dyDescent="0.15">
      <c r="B249" s="69">
        <v>232</v>
      </c>
      <c r="C249" s="70">
        <v>65.290001000000004</v>
      </c>
      <c r="D249" s="71">
        <v>0.13490872278875507</v>
      </c>
    </row>
    <row r="250" spans="2:4" x14ac:dyDescent="0.15">
      <c r="B250" s="69">
        <v>233</v>
      </c>
      <c r="C250" s="70">
        <v>64.769997000000004</v>
      </c>
      <c r="D250" s="71">
        <v>0.13191651182754757</v>
      </c>
    </row>
    <row r="251" spans="2:4" x14ac:dyDescent="0.15">
      <c r="B251" s="69">
        <v>234</v>
      </c>
      <c r="C251" s="70">
        <v>64.959998999999996</v>
      </c>
      <c r="D251" s="71">
        <v>0.13194274820376606</v>
      </c>
    </row>
    <row r="252" spans="2:4" x14ac:dyDescent="0.15">
      <c r="B252" s="69">
        <v>235</v>
      </c>
      <c r="C252" s="70">
        <v>65.809997999999993</v>
      </c>
      <c r="D252" s="71">
        <v>0.12969813640767569</v>
      </c>
    </row>
    <row r="253" spans="2:4" x14ac:dyDescent="0.15">
      <c r="B253" s="69">
        <v>236</v>
      </c>
      <c r="C253" s="70">
        <v>66.069999999999993</v>
      </c>
      <c r="D253" s="71">
        <v>0.13438604529212494</v>
      </c>
    </row>
    <row r="254" spans="2:4" x14ac:dyDescent="0.15">
      <c r="B254" s="69">
        <v>237</v>
      </c>
      <c r="C254" s="70">
        <v>67.050003000000004</v>
      </c>
      <c r="D254" s="71">
        <v>0.13201606235193128</v>
      </c>
    </row>
    <row r="255" spans="2:4" x14ac:dyDescent="0.15">
      <c r="B255" s="69">
        <v>238</v>
      </c>
      <c r="C255" s="70">
        <v>66.830001999999993</v>
      </c>
      <c r="D255" s="71">
        <v>0.13808482313031481</v>
      </c>
    </row>
    <row r="256" spans="2:4" x14ac:dyDescent="0.15">
      <c r="B256" s="69">
        <v>239</v>
      </c>
      <c r="C256" s="70">
        <v>67.680000000000007</v>
      </c>
      <c r="D256" s="71">
        <v>0.13491246182348618</v>
      </c>
    </row>
    <row r="257" spans="2:4" x14ac:dyDescent="0.15">
      <c r="B257" s="69">
        <v>240</v>
      </c>
      <c r="C257" s="70">
        <v>66.739998</v>
      </c>
      <c r="D257" s="71">
        <v>0.13816081858608087</v>
      </c>
    </row>
    <row r="258" spans="2:4" x14ac:dyDescent="0.15">
      <c r="B258" s="69">
        <v>241</v>
      </c>
      <c r="C258" s="70">
        <v>67.959998999999996</v>
      </c>
      <c r="D258" s="71">
        <v>0.14211943096277818</v>
      </c>
    </row>
    <row r="259" spans="2:4" x14ac:dyDescent="0.15">
      <c r="B259" s="69">
        <v>242</v>
      </c>
      <c r="C259" s="70">
        <v>69.330001999999993</v>
      </c>
      <c r="D259" s="71">
        <v>0.15008160935979292</v>
      </c>
    </row>
    <row r="260" spans="2:4" x14ac:dyDescent="0.15">
      <c r="B260" s="69">
        <v>243</v>
      </c>
      <c r="C260" s="70">
        <v>68.099997999999999</v>
      </c>
      <c r="D260" s="71">
        <v>0.1586770523581944</v>
      </c>
    </row>
    <row r="261" spans="2:4" x14ac:dyDescent="0.15">
      <c r="B261" s="69">
        <v>244</v>
      </c>
      <c r="C261" s="70">
        <v>68.050003000000004</v>
      </c>
      <c r="D261" s="71">
        <v>0.16283045849409325</v>
      </c>
    </row>
    <row r="262" spans="2:4" x14ac:dyDescent="0.15">
      <c r="B262" s="69">
        <v>245</v>
      </c>
      <c r="C262" s="70">
        <v>68.459998999999996</v>
      </c>
      <c r="D262" s="71">
        <v>0.15549734426316511</v>
      </c>
    </row>
    <row r="263" spans="2:4" x14ac:dyDescent="0.15">
      <c r="B263" s="69">
        <v>246</v>
      </c>
      <c r="C263" s="70">
        <v>68.730002999999996</v>
      </c>
      <c r="D263" s="71">
        <v>0.15050446944702001</v>
      </c>
    </row>
    <row r="264" spans="2:4" x14ac:dyDescent="0.15">
      <c r="B264" s="69">
        <v>247</v>
      </c>
      <c r="C264" s="70">
        <v>68.680000000000007</v>
      </c>
      <c r="D264" s="71">
        <v>0.14554027276187548</v>
      </c>
    </row>
    <row r="265" spans="2:4" x14ac:dyDescent="0.15">
      <c r="B265" s="69">
        <v>248</v>
      </c>
      <c r="C265" s="70">
        <v>68.169998000000007</v>
      </c>
      <c r="D265" s="71">
        <v>0.14078413023874112</v>
      </c>
    </row>
    <row r="266" spans="2:4" x14ac:dyDescent="0.15">
      <c r="B266" s="69">
        <v>249</v>
      </c>
      <c r="C266" s="70">
        <v>68.459998999999996</v>
      </c>
      <c r="D266" s="71">
        <v>0.13891047131920672</v>
      </c>
    </row>
    <row r="267" spans="2:4" x14ac:dyDescent="0.15">
      <c r="B267" s="69">
        <v>250</v>
      </c>
      <c r="C267" s="70">
        <v>68.580001999999993</v>
      </c>
      <c r="D267" s="71">
        <v>0.13588845321810405</v>
      </c>
    </row>
    <row r="268" spans="2:4" x14ac:dyDescent="0.15">
      <c r="B268" s="69">
        <v>251</v>
      </c>
      <c r="C268" s="70">
        <v>68.650002000000001</v>
      </c>
      <c r="D268" s="71">
        <v>0.13276507105088778</v>
      </c>
    </row>
    <row r="269" spans="2:4" x14ac:dyDescent="0.15">
      <c r="B269" s="69">
        <v>252</v>
      </c>
      <c r="C269" s="70">
        <v>69.180000000000007</v>
      </c>
      <c r="D269" s="71">
        <v>0.13007238242354149</v>
      </c>
    </row>
    <row r="270" spans="2:4" x14ac:dyDescent="0.15">
      <c r="B270" s="69"/>
      <c r="C270" s="70"/>
      <c r="D270" s="71">
        <v>0.13072494764727283</v>
      </c>
    </row>
    <row r="271" spans="2:4" x14ac:dyDescent="0.15">
      <c r="B271" s="69"/>
      <c r="C271" s="70"/>
      <c r="D271" s="71"/>
    </row>
    <row r="272" spans="2:4" x14ac:dyDescent="0.15">
      <c r="B272" s="69"/>
      <c r="C272" s="70"/>
      <c r="D272" s="71"/>
    </row>
    <row r="273" spans="2:4" x14ac:dyDescent="0.15">
      <c r="B273" s="69"/>
      <c r="C273" s="70"/>
      <c r="D273" s="71"/>
    </row>
    <row r="274" spans="2:4" x14ac:dyDescent="0.15">
      <c r="B274" s="69"/>
      <c r="C274" s="70"/>
      <c r="D274" s="71"/>
    </row>
    <row r="275" spans="2:4" x14ac:dyDescent="0.15">
      <c r="B275" s="69"/>
      <c r="C275" s="70"/>
      <c r="D275" s="71"/>
    </row>
    <row r="276" spans="2:4" x14ac:dyDescent="0.15">
      <c r="B276" s="69"/>
      <c r="C276" s="70"/>
      <c r="D276" s="71"/>
    </row>
    <row r="277" spans="2:4" x14ac:dyDescent="0.15">
      <c r="B277" s="69"/>
      <c r="C277" s="70"/>
      <c r="D277" s="71"/>
    </row>
    <row r="278" spans="2:4" x14ac:dyDescent="0.15">
      <c r="B278" s="69"/>
      <c r="C278" s="70"/>
      <c r="D278" s="71"/>
    </row>
    <row r="279" spans="2:4" x14ac:dyDescent="0.15">
      <c r="B279" s="69"/>
      <c r="C279" s="70"/>
      <c r="D279" s="71"/>
    </row>
    <row r="280" spans="2:4" x14ac:dyDescent="0.15">
      <c r="B280" s="69"/>
      <c r="C280" s="70"/>
      <c r="D280" s="71"/>
    </row>
    <row r="281" spans="2:4" x14ac:dyDescent="0.15">
      <c r="B281" s="69"/>
      <c r="C281" s="70"/>
      <c r="D281" s="71"/>
    </row>
    <row r="282" spans="2:4" x14ac:dyDescent="0.15">
      <c r="B282" s="69"/>
      <c r="C282" s="70"/>
      <c r="D282" s="71"/>
    </row>
    <row r="283" spans="2:4" x14ac:dyDescent="0.15">
      <c r="B283" s="69"/>
      <c r="C283" s="70"/>
      <c r="D283" s="71"/>
    </row>
    <row r="284" spans="2:4" x14ac:dyDescent="0.15">
      <c r="B284" s="69"/>
      <c r="C284" s="70"/>
      <c r="D284" s="71"/>
    </row>
    <row r="285" spans="2:4" x14ac:dyDescent="0.15">
      <c r="B285" s="69"/>
      <c r="C285" s="70"/>
      <c r="D285" s="71"/>
    </row>
    <row r="286" spans="2:4" x14ac:dyDescent="0.15">
      <c r="B286" s="69"/>
      <c r="C286" s="70"/>
      <c r="D286" s="71"/>
    </row>
    <row r="287" spans="2:4" x14ac:dyDescent="0.15">
      <c r="B287" s="69"/>
      <c r="C287" s="70"/>
      <c r="D287" s="71"/>
    </row>
    <row r="288" spans="2:4" x14ac:dyDescent="0.15">
      <c r="B288" s="69"/>
      <c r="C288" s="70"/>
      <c r="D288" s="71"/>
    </row>
    <row r="289" spans="2:4" x14ac:dyDescent="0.15">
      <c r="B289" s="69"/>
      <c r="C289" s="70"/>
      <c r="D289" s="71"/>
    </row>
    <row r="290" spans="2:4" x14ac:dyDescent="0.15">
      <c r="B290" s="69"/>
      <c r="C290" s="70"/>
      <c r="D290" s="71"/>
    </row>
    <row r="291" spans="2:4" x14ac:dyDescent="0.15">
      <c r="B291" s="69"/>
      <c r="C291" s="70"/>
      <c r="D291" s="71"/>
    </row>
    <row r="292" spans="2:4" x14ac:dyDescent="0.15">
      <c r="B292" s="69"/>
      <c r="C292" s="70"/>
      <c r="D292" s="71"/>
    </row>
    <row r="293" spans="2:4" x14ac:dyDescent="0.15">
      <c r="B293" s="69"/>
      <c r="C293" s="70"/>
      <c r="D293" s="71"/>
    </row>
    <row r="294" spans="2:4" x14ac:dyDescent="0.15">
      <c r="B294" s="69"/>
      <c r="C294" s="70"/>
      <c r="D294" s="71"/>
    </row>
    <row r="295" spans="2:4" x14ac:dyDescent="0.15">
      <c r="B295" s="69"/>
      <c r="C295" s="70"/>
      <c r="D295" s="71"/>
    </row>
    <row r="296" spans="2:4" x14ac:dyDescent="0.15">
      <c r="B296" s="69"/>
      <c r="C296" s="70"/>
      <c r="D296" s="71"/>
    </row>
    <row r="297" spans="2:4" x14ac:dyDescent="0.15">
      <c r="B297" s="69"/>
      <c r="C297" s="70"/>
      <c r="D297" s="71"/>
    </row>
    <row r="298" spans="2:4" x14ac:dyDescent="0.15">
      <c r="B298" s="69"/>
      <c r="C298" s="70"/>
      <c r="D298" s="71"/>
    </row>
    <row r="299" spans="2:4" x14ac:dyDescent="0.15">
      <c r="B299" s="69"/>
      <c r="C299" s="70"/>
      <c r="D299" s="71"/>
    </row>
    <row r="300" spans="2:4" x14ac:dyDescent="0.15">
      <c r="B300" s="69"/>
      <c r="C300" s="70"/>
      <c r="D300" s="71"/>
    </row>
    <row r="301" spans="2:4" x14ac:dyDescent="0.15">
      <c r="B301" s="69"/>
      <c r="C301" s="70"/>
      <c r="D301" s="71"/>
    </row>
    <row r="302" spans="2:4" x14ac:dyDescent="0.15">
      <c r="B302" s="69"/>
      <c r="C302" s="70"/>
      <c r="D302" s="71"/>
    </row>
    <row r="303" spans="2:4" x14ac:dyDescent="0.15">
      <c r="B303" s="69"/>
      <c r="C303" s="70"/>
      <c r="D303" s="71"/>
    </row>
    <row r="304" spans="2:4" x14ac:dyDescent="0.15">
      <c r="B304" s="69"/>
      <c r="C304" s="70"/>
      <c r="D304" s="71"/>
    </row>
    <row r="305" spans="2:4" x14ac:dyDescent="0.15">
      <c r="B305" s="69"/>
      <c r="C305" s="70"/>
      <c r="D305" s="71"/>
    </row>
    <row r="306" spans="2:4" x14ac:dyDescent="0.15">
      <c r="B306" s="69"/>
      <c r="C306" s="70"/>
      <c r="D306" s="71"/>
    </row>
    <row r="307" spans="2:4" x14ac:dyDescent="0.15">
      <c r="B307" s="69"/>
      <c r="C307" s="70"/>
      <c r="D307" s="71"/>
    </row>
    <row r="308" spans="2:4" x14ac:dyDescent="0.15">
      <c r="B308" s="69"/>
      <c r="C308" s="70"/>
      <c r="D308" s="71"/>
    </row>
    <row r="309" spans="2:4" x14ac:dyDescent="0.15">
      <c r="B309" s="69"/>
      <c r="C309" s="70"/>
      <c r="D309" s="71"/>
    </row>
    <row r="310" spans="2:4" x14ac:dyDescent="0.15">
      <c r="B310" s="69"/>
      <c r="C310" s="70"/>
      <c r="D310" s="71"/>
    </row>
    <row r="311" spans="2:4" x14ac:dyDescent="0.15">
      <c r="B311" s="69"/>
      <c r="C311" s="70"/>
      <c r="D311" s="71"/>
    </row>
    <row r="312" spans="2:4" x14ac:dyDescent="0.15">
      <c r="B312" s="69"/>
      <c r="C312" s="70"/>
      <c r="D312" s="71"/>
    </row>
    <row r="313" spans="2:4" x14ac:dyDescent="0.15">
      <c r="B313" s="69"/>
      <c r="C313" s="70"/>
      <c r="D313" s="71"/>
    </row>
    <row r="314" spans="2:4" x14ac:dyDescent="0.15">
      <c r="B314" s="69"/>
      <c r="C314" s="70"/>
      <c r="D314" s="71"/>
    </row>
    <row r="315" spans="2:4" x14ac:dyDescent="0.15">
      <c r="B315" s="69"/>
      <c r="C315" s="70"/>
      <c r="D315" s="71"/>
    </row>
    <row r="316" spans="2:4" x14ac:dyDescent="0.15">
      <c r="B316" s="69"/>
      <c r="C316" s="70"/>
      <c r="D316" s="71"/>
    </row>
    <row r="317" spans="2:4" x14ac:dyDescent="0.15">
      <c r="B317" s="69"/>
      <c r="C317" s="70"/>
      <c r="D317" s="71"/>
    </row>
    <row r="318" spans="2:4" x14ac:dyDescent="0.15">
      <c r="B318" s="69"/>
      <c r="C318" s="70"/>
      <c r="D318" s="71"/>
    </row>
    <row r="319" spans="2:4" x14ac:dyDescent="0.15">
      <c r="B319" s="69"/>
      <c r="C319" s="70"/>
      <c r="D319" s="71"/>
    </row>
    <row r="320" spans="2:4" x14ac:dyDescent="0.15">
      <c r="B320" s="69"/>
      <c r="C320" s="70"/>
      <c r="D320" s="71"/>
    </row>
    <row r="321" spans="2:4" x14ac:dyDescent="0.15">
      <c r="B321" s="69"/>
      <c r="C321" s="70"/>
      <c r="D321" s="71"/>
    </row>
    <row r="322" spans="2:4" x14ac:dyDescent="0.15">
      <c r="B322" s="69"/>
      <c r="C322" s="70"/>
      <c r="D322" s="71"/>
    </row>
    <row r="323" spans="2:4" x14ac:dyDescent="0.15">
      <c r="B323" s="69"/>
      <c r="C323" s="70"/>
      <c r="D323" s="71"/>
    </row>
    <row r="324" spans="2:4" x14ac:dyDescent="0.15">
      <c r="B324" s="69"/>
      <c r="C324" s="70"/>
      <c r="D324" s="71"/>
    </row>
    <row r="325" spans="2:4" x14ac:dyDescent="0.15">
      <c r="B325" s="69"/>
      <c r="C325" s="70"/>
      <c r="D325" s="71"/>
    </row>
    <row r="326" spans="2:4" x14ac:dyDescent="0.15">
      <c r="B326" s="69"/>
      <c r="C326" s="70"/>
      <c r="D326" s="71"/>
    </row>
    <row r="327" spans="2:4" x14ac:dyDescent="0.15">
      <c r="B327" s="69"/>
      <c r="C327" s="70"/>
      <c r="D327" s="71"/>
    </row>
    <row r="328" spans="2:4" x14ac:dyDescent="0.15">
      <c r="B328" s="69"/>
      <c r="C328" s="70"/>
      <c r="D328" s="71"/>
    </row>
    <row r="329" spans="2:4" x14ac:dyDescent="0.15">
      <c r="B329" s="69"/>
      <c r="C329" s="70"/>
      <c r="D329" s="71"/>
    </row>
    <row r="330" spans="2:4" x14ac:dyDescent="0.15">
      <c r="B330" s="69"/>
      <c r="C330" s="70"/>
      <c r="D330" s="71"/>
    </row>
    <row r="331" spans="2:4" x14ac:dyDescent="0.15">
      <c r="B331" s="69"/>
      <c r="C331" s="70"/>
      <c r="D331" s="71"/>
    </row>
    <row r="332" spans="2:4" x14ac:dyDescent="0.15">
      <c r="B332" s="69"/>
      <c r="C332" s="70"/>
      <c r="D332" s="71"/>
    </row>
    <row r="333" spans="2:4" x14ac:dyDescent="0.15">
      <c r="B333" s="69"/>
      <c r="C333" s="70"/>
      <c r="D333" s="71"/>
    </row>
    <row r="334" spans="2:4" x14ac:dyDescent="0.15">
      <c r="B334" s="69"/>
      <c r="C334" s="70"/>
      <c r="D334" s="71"/>
    </row>
    <row r="335" spans="2:4" x14ac:dyDescent="0.15">
      <c r="B335" s="69"/>
      <c r="C335" s="70"/>
      <c r="D335" s="71"/>
    </row>
    <row r="336" spans="2:4" x14ac:dyDescent="0.15">
      <c r="B336" s="69"/>
      <c r="C336" s="70"/>
      <c r="D336" s="71"/>
    </row>
    <row r="337" spans="2:4" x14ac:dyDescent="0.15">
      <c r="B337" s="69"/>
      <c r="C337" s="70"/>
      <c r="D337" s="71"/>
    </row>
    <row r="338" spans="2:4" x14ac:dyDescent="0.15">
      <c r="B338" s="69"/>
      <c r="C338" s="70"/>
      <c r="D338" s="71"/>
    </row>
    <row r="339" spans="2:4" x14ac:dyDescent="0.15">
      <c r="B339" s="69"/>
      <c r="C339" s="70"/>
      <c r="D339" s="71"/>
    </row>
    <row r="340" spans="2:4" x14ac:dyDescent="0.15">
      <c r="B340" s="69"/>
      <c r="C340" s="70"/>
      <c r="D340" s="71"/>
    </row>
    <row r="341" spans="2:4" x14ac:dyDescent="0.15">
      <c r="B341" s="69"/>
      <c r="C341" s="70"/>
      <c r="D341" s="71"/>
    </row>
    <row r="342" spans="2:4" x14ac:dyDescent="0.15">
      <c r="B342" s="69"/>
      <c r="C342" s="70"/>
      <c r="D342" s="71"/>
    </row>
    <row r="343" spans="2:4" x14ac:dyDescent="0.15">
      <c r="B343" s="69"/>
      <c r="C343" s="70"/>
      <c r="D343" s="71"/>
    </row>
    <row r="344" spans="2:4" x14ac:dyDescent="0.15">
      <c r="B344" s="69"/>
      <c r="C344" s="70"/>
      <c r="D344" s="71"/>
    </row>
    <row r="345" spans="2:4" x14ac:dyDescent="0.15">
      <c r="B345" s="69"/>
      <c r="C345" s="70"/>
      <c r="D345" s="71"/>
    </row>
    <row r="346" spans="2:4" x14ac:dyDescent="0.15">
      <c r="B346" s="69"/>
      <c r="C346" s="70"/>
      <c r="D346" s="71"/>
    </row>
    <row r="347" spans="2:4" x14ac:dyDescent="0.15">
      <c r="B347" s="69"/>
      <c r="C347" s="70"/>
      <c r="D347" s="71"/>
    </row>
    <row r="348" spans="2:4" x14ac:dyDescent="0.15">
      <c r="B348" s="69"/>
      <c r="C348" s="70"/>
      <c r="D348" s="71"/>
    </row>
    <row r="349" spans="2:4" x14ac:dyDescent="0.15">
      <c r="B349" s="69"/>
      <c r="C349" s="70"/>
      <c r="D349" s="71"/>
    </row>
    <row r="350" spans="2:4" x14ac:dyDescent="0.15">
      <c r="B350" s="69"/>
      <c r="C350" s="70"/>
      <c r="D350" s="71"/>
    </row>
    <row r="351" spans="2:4" x14ac:dyDescent="0.15">
      <c r="B351" s="69"/>
      <c r="C351" s="70"/>
      <c r="D351" s="71"/>
    </row>
    <row r="352" spans="2:4" x14ac:dyDescent="0.15">
      <c r="B352" s="69"/>
      <c r="C352" s="70"/>
      <c r="D352" s="71"/>
    </row>
    <row r="353" spans="2:4" x14ac:dyDescent="0.15">
      <c r="B353" s="69"/>
      <c r="C353" s="70"/>
      <c r="D353" s="71"/>
    </row>
    <row r="354" spans="2:4" x14ac:dyDescent="0.15">
      <c r="B354" s="69"/>
      <c r="C354" s="70"/>
      <c r="D354" s="71"/>
    </row>
    <row r="355" spans="2:4" x14ac:dyDescent="0.15">
      <c r="B355" s="69"/>
      <c r="C355" s="70"/>
      <c r="D355" s="71"/>
    </row>
    <row r="356" spans="2:4" x14ac:dyDescent="0.15">
      <c r="B356" s="69"/>
      <c r="C356" s="70"/>
      <c r="D356" s="71"/>
    </row>
    <row r="357" spans="2:4" x14ac:dyDescent="0.15">
      <c r="B357" s="69"/>
      <c r="C357" s="70"/>
      <c r="D357" s="71"/>
    </row>
    <row r="358" spans="2:4" x14ac:dyDescent="0.15">
      <c r="B358" s="69"/>
      <c r="C358" s="70"/>
      <c r="D358" s="71"/>
    </row>
    <row r="359" spans="2:4" x14ac:dyDescent="0.15">
      <c r="B359" s="69"/>
      <c r="C359" s="70"/>
      <c r="D359" s="71"/>
    </row>
    <row r="360" spans="2:4" x14ac:dyDescent="0.15">
      <c r="B360" s="69"/>
      <c r="C360" s="70"/>
      <c r="D360" s="71"/>
    </row>
    <row r="361" spans="2:4" x14ac:dyDescent="0.15">
      <c r="B361" s="69"/>
      <c r="C361" s="70"/>
      <c r="D361" s="71"/>
    </row>
    <row r="362" spans="2:4" x14ac:dyDescent="0.15">
      <c r="B362" s="69"/>
      <c r="C362" s="70"/>
      <c r="D362" s="71"/>
    </row>
    <row r="363" spans="2:4" x14ac:dyDescent="0.15">
      <c r="B363" s="69"/>
      <c r="C363" s="70"/>
      <c r="D363" s="71"/>
    </row>
    <row r="364" spans="2:4" x14ac:dyDescent="0.15">
      <c r="B364" s="69"/>
      <c r="C364" s="70"/>
      <c r="D364" s="71"/>
    </row>
    <row r="365" spans="2:4" x14ac:dyDescent="0.15">
      <c r="B365" s="69"/>
      <c r="C365" s="70"/>
      <c r="D365" s="71"/>
    </row>
    <row r="366" spans="2:4" x14ac:dyDescent="0.15">
      <c r="B366" s="69"/>
      <c r="C366" s="70"/>
      <c r="D366" s="71"/>
    </row>
    <row r="367" spans="2:4" x14ac:dyDescent="0.15">
      <c r="B367" s="69"/>
      <c r="C367" s="70"/>
      <c r="D367" s="71"/>
    </row>
    <row r="368" spans="2:4" x14ac:dyDescent="0.15">
      <c r="B368" s="69"/>
      <c r="C368" s="70"/>
      <c r="D368" s="71"/>
    </row>
    <row r="369" spans="2:4" x14ac:dyDescent="0.15">
      <c r="B369" s="69"/>
      <c r="C369" s="70"/>
      <c r="D369" s="71"/>
    </row>
    <row r="370" spans="2:4" x14ac:dyDescent="0.15">
      <c r="B370" s="69"/>
      <c r="C370" s="70"/>
      <c r="D370" s="71"/>
    </row>
    <row r="371" spans="2:4" x14ac:dyDescent="0.15">
      <c r="B371" s="69"/>
      <c r="C371" s="70"/>
      <c r="D371" s="71"/>
    </row>
    <row r="372" spans="2:4" x14ac:dyDescent="0.15">
      <c r="B372" s="69"/>
      <c r="C372" s="70"/>
      <c r="D372" s="71"/>
    </row>
    <row r="373" spans="2:4" x14ac:dyDescent="0.15">
      <c r="B373" s="69"/>
      <c r="C373" s="70"/>
      <c r="D373" s="71"/>
    </row>
    <row r="374" spans="2:4" x14ac:dyDescent="0.15">
      <c r="B374" s="69"/>
      <c r="C374" s="70"/>
      <c r="D374" s="71"/>
    </row>
    <row r="375" spans="2:4" x14ac:dyDescent="0.15">
      <c r="B375" s="69"/>
      <c r="C375" s="70"/>
      <c r="D375" s="71"/>
    </row>
    <row r="376" spans="2:4" x14ac:dyDescent="0.15">
      <c r="B376" s="69"/>
      <c r="C376" s="70"/>
      <c r="D376" s="71"/>
    </row>
    <row r="377" spans="2:4" x14ac:dyDescent="0.15">
      <c r="B377" s="69"/>
      <c r="C377" s="70"/>
      <c r="D377" s="71"/>
    </row>
    <row r="378" spans="2:4" x14ac:dyDescent="0.15">
      <c r="B378" s="69"/>
      <c r="C378" s="70"/>
      <c r="D378" s="71"/>
    </row>
    <row r="379" spans="2:4" x14ac:dyDescent="0.15">
      <c r="B379" s="69"/>
      <c r="C379" s="70"/>
      <c r="D379" s="71"/>
    </row>
    <row r="380" spans="2:4" x14ac:dyDescent="0.15">
      <c r="B380" s="69"/>
      <c r="C380" s="70"/>
      <c r="D380" s="71"/>
    </row>
    <row r="381" spans="2:4" x14ac:dyDescent="0.15">
      <c r="B381" s="69"/>
      <c r="C381" s="70"/>
      <c r="D381" s="71"/>
    </row>
    <row r="382" spans="2:4" x14ac:dyDescent="0.15">
      <c r="B382" s="69"/>
      <c r="C382" s="70"/>
      <c r="D382" s="71"/>
    </row>
    <row r="383" spans="2:4" x14ac:dyDescent="0.15">
      <c r="B383" s="69"/>
      <c r="C383" s="70"/>
      <c r="D383" s="71"/>
    </row>
    <row r="384" spans="2:4" x14ac:dyDescent="0.15">
      <c r="B384" s="69"/>
      <c r="C384" s="70"/>
      <c r="D384" s="71"/>
    </row>
    <row r="385" spans="2:4" x14ac:dyDescent="0.15">
      <c r="B385" s="69"/>
      <c r="C385" s="70"/>
      <c r="D385" s="71"/>
    </row>
    <row r="386" spans="2:4" x14ac:dyDescent="0.15">
      <c r="B386" s="69"/>
      <c r="C386" s="70"/>
      <c r="D386" s="71"/>
    </row>
    <row r="387" spans="2:4" x14ac:dyDescent="0.15">
      <c r="B387" s="69"/>
      <c r="C387" s="70"/>
      <c r="D387" s="71"/>
    </row>
    <row r="388" spans="2:4" x14ac:dyDescent="0.15">
      <c r="B388" s="69"/>
      <c r="C388" s="70"/>
      <c r="D388" s="71"/>
    </row>
    <row r="389" spans="2:4" x14ac:dyDescent="0.15">
      <c r="B389" s="69"/>
      <c r="C389" s="70"/>
      <c r="D389" s="71"/>
    </row>
    <row r="390" spans="2:4" x14ac:dyDescent="0.15">
      <c r="B390" s="69"/>
      <c r="C390" s="70"/>
      <c r="D390" s="71"/>
    </row>
    <row r="391" spans="2:4" x14ac:dyDescent="0.15">
      <c r="B391" s="69"/>
      <c r="C391" s="70"/>
      <c r="D391" s="71"/>
    </row>
    <row r="392" spans="2:4" x14ac:dyDescent="0.15">
      <c r="B392" s="69"/>
      <c r="C392" s="70"/>
      <c r="D392" s="71"/>
    </row>
    <row r="393" spans="2:4" x14ac:dyDescent="0.15">
      <c r="B393" s="69"/>
      <c r="C393" s="70"/>
      <c r="D393" s="71"/>
    </row>
    <row r="394" spans="2:4" x14ac:dyDescent="0.15">
      <c r="B394" s="69"/>
      <c r="C394" s="70"/>
      <c r="D394" s="71"/>
    </row>
    <row r="395" spans="2:4" x14ac:dyDescent="0.15">
      <c r="B395" s="69"/>
      <c r="C395" s="70"/>
      <c r="D395" s="71"/>
    </row>
    <row r="396" spans="2:4" x14ac:dyDescent="0.15">
      <c r="B396" s="69"/>
      <c r="C396" s="70"/>
      <c r="D396" s="71"/>
    </row>
    <row r="397" spans="2:4" x14ac:dyDescent="0.15">
      <c r="B397" s="69"/>
      <c r="C397" s="70"/>
      <c r="D397" s="71"/>
    </row>
    <row r="398" spans="2:4" x14ac:dyDescent="0.15">
      <c r="B398" s="69"/>
      <c r="C398" s="70"/>
      <c r="D398" s="71"/>
    </row>
    <row r="399" spans="2:4" x14ac:dyDescent="0.15">
      <c r="B399" s="69"/>
      <c r="C399" s="70"/>
      <c r="D399" s="71"/>
    </row>
    <row r="400" spans="2:4" x14ac:dyDescent="0.15">
      <c r="B400" s="69"/>
      <c r="C400" s="70"/>
      <c r="D400" s="71"/>
    </row>
    <row r="401" spans="2:4" x14ac:dyDescent="0.15">
      <c r="B401" s="69"/>
      <c r="C401" s="70"/>
      <c r="D401" s="71"/>
    </row>
    <row r="402" spans="2:4" x14ac:dyDescent="0.15">
      <c r="B402" s="69"/>
      <c r="C402" s="70"/>
      <c r="D402" s="71"/>
    </row>
    <row r="403" spans="2:4" x14ac:dyDescent="0.15">
      <c r="B403" s="69"/>
      <c r="C403" s="70"/>
      <c r="D403" s="71"/>
    </row>
    <row r="404" spans="2:4" x14ac:dyDescent="0.15">
      <c r="B404" s="69"/>
      <c r="C404" s="70"/>
      <c r="D404" s="71"/>
    </row>
    <row r="405" spans="2:4" x14ac:dyDescent="0.15">
      <c r="B405" s="69"/>
      <c r="C405" s="70"/>
      <c r="D405" s="71"/>
    </row>
    <row r="406" spans="2:4" x14ac:dyDescent="0.15">
      <c r="B406" s="69"/>
      <c r="C406" s="70"/>
      <c r="D406" s="71"/>
    </row>
    <row r="407" spans="2:4" x14ac:dyDescent="0.15">
      <c r="B407" s="69"/>
      <c r="C407" s="70"/>
      <c r="D407" s="71"/>
    </row>
    <row r="408" spans="2:4" x14ac:dyDescent="0.15">
      <c r="B408" s="69"/>
      <c r="C408" s="70"/>
      <c r="D408" s="71"/>
    </row>
    <row r="409" spans="2:4" x14ac:dyDescent="0.15">
      <c r="B409" s="69"/>
      <c r="C409" s="70"/>
      <c r="D409" s="71"/>
    </row>
    <row r="410" spans="2:4" x14ac:dyDescent="0.15">
      <c r="B410" s="69"/>
      <c r="C410" s="70"/>
      <c r="D410" s="71"/>
    </row>
    <row r="411" spans="2:4" x14ac:dyDescent="0.15">
      <c r="B411" s="69"/>
      <c r="C411" s="70"/>
      <c r="D411" s="71"/>
    </row>
    <row r="412" spans="2:4" x14ac:dyDescent="0.15">
      <c r="B412" s="69"/>
      <c r="C412" s="70"/>
      <c r="D412" s="71"/>
    </row>
    <row r="413" spans="2:4" x14ac:dyDescent="0.15">
      <c r="B413" s="69"/>
      <c r="C413" s="70"/>
      <c r="D413" s="71"/>
    </row>
    <row r="414" spans="2:4" x14ac:dyDescent="0.15">
      <c r="B414" s="69"/>
      <c r="C414" s="70"/>
      <c r="D414" s="71"/>
    </row>
    <row r="415" spans="2:4" x14ac:dyDescent="0.15">
      <c r="B415" s="69"/>
      <c r="C415" s="70"/>
      <c r="D415" s="71"/>
    </row>
    <row r="416" spans="2:4" x14ac:dyDescent="0.15">
      <c r="B416" s="69"/>
      <c r="C416" s="70"/>
      <c r="D416" s="71"/>
    </row>
    <row r="417" spans="2:4" x14ac:dyDescent="0.15">
      <c r="B417" s="69"/>
      <c r="C417" s="70"/>
      <c r="D417" s="71"/>
    </row>
    <row r="418" spans="2:4" x14ac:dyDescent="0.15">
      <c r="B418" s="69"/>
      <c r="C418" s="70"/>
      <c r="D418" s="71"/>
    </row>
    <row r="419" spans="2:4" x14ac:dyDescent="0.15">
      <c r="B419" s="69"/>
      <c r="C419" s="70"/>
      <c r="D419" s="71"/>
    </row>
    <row r="420" spans="2:4" x14ac:dyDescent="0.15">
      <c r="B420" s="69"/>
      <c r="C420" s="70"/>
      <c r="D420" s="71"/>
    </row>
    <row r="421" spans="2:4" x14ac:dyDescent="0.15">
      <c r="B421" s="69"/>
      <c r="C421" s="70"/>
      <c r="D421" s="71"/>
    </row>
    <row r="422" spans="2:4" x14ac:dyDescent="0.15">
      <c r="B422" s="69"/>
      <c r="C422" s="70"/>
      <c r="D422" s="71"/>
    </row>
    <row r="423" spans="2:4" x14ac:dyDescent="0.15">
      <c r="B423" s="69"/>
      <c r="C423" s="70"/>
      <c r="D423" s="71"/>
    </row>
    <row r="424" spans="2:4" x14ac:dyDescent="0.15">
      <c r="B424" s="69"/>
      <c r="C424" s="70"/>
      <c r="D424" s="71"/>
    </row>
    <row r="425" spans="2:4" x14ac:dyDescent="0.15">
      <c r="B425" s="69"/>
      <c r="C425" s="70"/>
      <c r="D425" s="71"/>
    </row>
    <row r="426" spans="2:4" x14ac:dyDescent="0.15">
      <c r="B426" s="69"/>
      <c r="C426" s="70"/>
      <c r="D426" s="71"/>
    </row>
    <row r="427" spans="2:4" x14ac:dyDescent="0.15">
      <c r="B427" s="69"/>
      <c r="C427" s="70"/>
      <c r="D427" s="71"/>
    </row>
    <row r="428" spans="2:4" x14ac:dyDescent="0.15">
      <c r="B428" s="69"/>
      <c r="C428" s="70"/>
      <c r="D428" s="71"/>
    </row>
    <row r="429" spans="2:4" x14ac:dyDescent="0.15">
      <c r="B429" s="69"/>
      <c r="C429" s="70"/>
      <c r="D429" s="71"/>
    </row>
    <row r="430" spans="2:4" x14ac:dyDescent="0.15">
      <c r="B430" s="69"/>
      <c r="C430" s="70"/>
      <c r="D430" s="71"/>
    </row>
    <row r="431" spans="2:4" x14ac:dyDescent="0.15">
      <c r="B431" s="69"/>
      <c r="C431" s="70"/>
      <c r="D431" s="71"/>
    </row>
    <row r="432" spans="2:4" x14ac:dyDescent="0.15">
      <c r="B432" s="69"/>
      <c r="C432" s="70"/>
      <c r="D432" s="71"/>
    </row>
    <row r="433" spans="2:4" x14ac:dyDescent="0.15">
      <c r="B433" s="69"/>
      <c r="C433" s="70"/>
      <c r="D433" s="71"/>
    </row>
    <row r="434" spans="2:4" x14ac:dyDescent="0.15">
      <c r="B434" s="69"/>
      <c r="C434" s="70"/>
      <c r="D434" s="71"/>
    </row>
    <row r="435" spans="2:4" x14ac:dyDescent="0.15">
      <c r="B435" s="69"/>
      <c r="C435" s="70"/>
      <c r="D435" s="71"/>
    </row>
    <row r="436" spans="2:4" x14ac:dyDescent="0.15">
      <c r="B436" s="69"/>
      <c r="C436" s="70"/>
      <c r="D436" s="71"/>
    </row>
    <row r="437" spans="2:4" x14ac:dyDescent="0.15">
      <c r="B437" s="69"/>
      <c r="C437" s="70"/>
      <c r="D437" s="71"/>
    </row>
    <row r="438" spans="2:4" x14ac:dyDescent="0.15">
      <c r="B438" s="69"/>
      <c r="C438" s="70"/>
      <c r="D438" s="71"/>
    </row>
    <row r="439" spans="2:4" x14ac:dyDescent="0.15">
      <c r="B439" s="69"/>
      <c r="C439" s="70"/>
      <c r="D439" s="71"/>
    </row>
    <row r="440" spans="2:4" x14ac:dyDescent="0.15">
      <c r="B440" s="69"/>
      <c r="C440" s="70"/>
      <c r="D440" s="71"/>
    </row>
    <row r="441" spans="2:4" x14ac:dyDescent="0.15">
      <c r="B441" s="69"/>
      <c r="C441" s="70"/>
      <c r="D441" s="71"/>
    </row>
    <row r="442" spans="2:4" x14ac:dyDescent="0.15">
      <c r="B442" s="69"/>
      <c r="C442" s="70"/>
      <c r="D442" s="71"/>
    </row>
    <row r="443" spans="2:4" x14ac:dyDescent="0.15">
      <c r="B443" s="69"/>
      <c r="C443" s="70"/>
      <c r="D443" s="71"/>
    </row>
    <row r="444" spans="2:4" x14ac:dyDescent="0.15">
      <c r="B444" s="69"/>
      <c r="C444" s="70"/>
      <c r="D444" s="71"/>
    </row>
    <row r="445" spans="2:4" x14ac:dyDescent="0.15">
      <c r="B445" s="69"/>
      <c r="C445" s="70"/>
      <c r="D445" s="71"/>
    </row>
    <row r="446" spans="2:4" x14ac:dyDescent="0.15">
      <c r="B446" s="69"/>
      <c r="C446" s="70"/>
      <c r="D446" s="71"/>
    </row>
    <row r="447" spans="2:4" x14ac:dyDescent="0.15">
      <c r="B447" s="69"/>
      <c r="C447" s="70"/>
      <c r="D447" s="71"/>
    </row>
    <row r="448" spans="2:4" x14ac:dyDescent="0.15">
      <c r="B448" s="69"/>
      <c r="C448" s="70"/>
      <c r="D448" s="71"/>
    </row>
    <row r="449" spans="2:4" x14ac:dyDescent="0.15">
      <c r="B449" s="69"/>
      <c r="C449" s="70"/>
      <c r="D449" s="71"/>
    </row>
    <row r="450" spans="2:4" x14ac:dyDescent="0.15">
      <c r="B450" s="69"/>
      <c r="C450" s="70"/>
      <c r="D450" s="71"/>
    </row>
    <row r="451" spans="2:4" x14ac:dyDescent="0.15">
      <c r="B451" s="69"/>
      <c r="C451" s="70"/>
      <c r="D451" s="71"/>
    </row>
    <row r="452" spans="2:4" x14ac:dyDescent="0.15">
      <c r="B452" s="69"/>
      <c r="C452" s="70"/>
      <c r="D452" s="71"/>
    </row>
    <row r="453" spans="2:4" x14ac:dyDescent="0.15">
      <c r="B453" s="69"/>
      <c r="C453" s="70"/>
      <c r="D453" s="71"/>
    </row>
    <row r="454" spans="2:4" x14ac:dyDescent="0.15">
      <c r="B454" s="69"/>
      <c r="C454" s="70"/>
      <c r="D454" s="71"/>
    </row>
    <row r="455" spans="2:4" x14ac:dyDescent="0.15">
      <c r="B455" s="69"/>
      <c r="C455" s="70"/>
      <c r="D455" s="71"/>
    </row>
    <row r="456" spans="2:4" x14ac:dyDescent="0.15">
      <c r="B456" s="69"/>
      <c r="C456" s="70"/>
      <c r="D456" s="71"/>
    </row>
    <row r="457" spans="2:4" x14ac:dyDescent="0.15">
      <c r="B457" s="69"/>
      <c r="C457" s="70"/>
      <c r="D457" s="71"/>
    </row>
    <row r="458" spans="2:4" x14ac:dyDescent="0.15">
      <c r="B458" s="69"/>
      <c r="C458" s="70"/>
      <c r="D458" s="71"/>
    </row>
    <row r="459" spans="2:4" x14ac:dyDescent="0.15">
      <c r="B459" s="69"/>
      <c r="C459" s="70"/>
      <c r="D459" s="71"/>
    </row>
    <row r="460" spans="2:4" x14ac:dyDescent="0.15">
      <c r="B460" s="69"/>
      <c r="C460" s="70"/>
      <c r="D460" s="71"/>
    </row>
    <row r="461" spans="2:4" x14ac:dyDescent="0.15">
      <c r="B461" s="69"/>
      <c r="C461" s="70"/>
      <c r="D461" s="71"/>
    </row>
    <row r="462" spans="2:4" x14ac:dyDescent="0.15">
      <c r="B462" s="69"/>
      <c r="C462" s="70"/>
      <c r="D462" s="71"/>
    </row>
    <row r="463" spans="2:4" x14ac:dyDescent="0.15">
      <c r="B463" s="69"/>
      <c r="C463" s="70"/>
      <c r="D463" s="71"/>
    </row>
    <row r="464" spans="2:4" x14ac:dyDescent="0.15">
      <c r="B464" s="69"/>
      <c r="C464" s="70"/>
      <c r="D464" s="71"/>
    </row>
    <row r="465" spans="2:4" x14ac:dyDescent="0.15">
      <c r="B465" s="69"/>
      <c r="C465" s="70"/>
      <c r="D465" s="71"/>
    </row>
    <row r="466" spans="2:4" x14ac:dyDescent="0.15">
      <c r="B466" s="69"/>
      <c r="C466" s="70"/>
      <c r="D466" s="71"/>
    </row>
    <row r="467" spans="2:4" x14ac:dyDescent="0.15">
      <c r="B467" s="69"/>
      <c r="C467" s="70"/>
      <c r="D467" s="71"/>
    </row>
    <row r="468" spans="2:4" x14ac:dyDescent="0.15">
      <c r="B468" s="69"/>
      <c r="C468" s="70"/>
      <c r="D468" s="71"/>
    </row>
    <row r="469" spans="2:4" x14ac:dyDescent="0.15">
      <c r="B469" s="69"/>
      <c r="C469" s="70"/>
      <c r="D469" s="71"/>
    </row>
    <row r="470" spans="2:4" x14ac:dyDescent="0.15">
      <c r="B470" s="69"/>
      <c r="C470" s="70"/>
      <c r="D470" s="71"/>
    </row>
    <row r="471" spans="2:4" x14ac:dyDescent="0.15">
      <c r="B471" s="69"/>
      <c r="C471" s="70"/>
      <c r="D471" s="71"/>
    </row>
    <row r="472" spans="2:4" x14ac:dyDescent="0.15">
      <c r="B472" s="69"/>
      <c r="C472" s="70"/>
      <c r="D472" s="71"/>
    </row>
    <row r="473" spans="2:4" x14ac:dyDescent="0.15">
      <c r="B473" s="69"/>
      <c r="C473" s="70"/>
      <c r="D473" s="71"/>
    </row>
    <row r="474" spans="2:4" x14ac:dyDescent="0.15">
      <c r="B474" s="69"/>
      <c r="C474" s="70"/>
      <c r="D474" s="71"/>
    </row>
    <row r="475" spans="2:4" x14ac:dyDescent="0.15">
      <c r="B475" s="69"/>
      <c r="C475" s="70"/>
      <c r="D475" s="71"/>
    </row>
    <row r="476" spans="2:4" x14ac:dyDescent="0.15">
      <c r="B476" s="69"/>
      <c r="C476" s="70"/>
      <c r="D476" s="71"/>
    </row>
    <row r="477" spans="2:4" x14ac:dyDescent="0.15">
      <c r="B477" s="69"/>
      <c r="C477" s="70"/>
      <c r="D477" s="71"/>
    </row>
    <row r="478" spans="2:4" x14ac:dyDescent="0.15">
      <c r="B478" s="69"/>
      <c r="C478" s="70"/>
      <c r="D478" s="71"/>
    </row>
    <row r="479" spans="2:4" x14ac:dyDescent="0.15">
      <c r="B479" s="69"/>
      <c r="C479" s="70"/>
      <c r="D479" s="71"/>
    </row>
    <row r="480" spans="2:4" x14ac:dyDescent="0.15">
      <c r="B480" s="69"/>
      <c r="C480" s="70"/>
      <c r="D480" s="71"/>
    </row>
    <row r="481" spans="2:4" x14ac:dyDescent="0.15">
      <c r="B481" s="69"/>
      <c r="C481" s="70"/>
      <c r="D481" s="71"/>
    </row>
    <row r="482" spans="2:4" x14ac:dyDescent="0.15">
      <c r="B482" s="69"/>
      <c r="C482" s="70"/>
      <c r="D482" s="71"/>
    </row>
    <row r="483" spans="2:4" x14ac:dyDescent="0.15">
      <c r="B483" s="69"/>
      <c r="C483" s="70"/>
      <c r="D483" s="71"/>
    </row>
    <row r="484" spans="2:4" x14ac:dyDescent="0.15">
      <c r="B484" s="69"/>
      <c r="C484" s="70"/>
      <c r="D484" s="71"/>
    </row>
    <row r="485" spans="2:4" x14ac:dyDescent="0.15">
      <c r="B485" s="69"/>
      <c r="C485" s="70"/>
      <c r="D485" s="71"/>
    </row>
    <row r="486" spans="2:4" x14ac:dyDescent="0.15">
      <c r="B486" s="69"/>
      <c r="C486" s="70"/>
      <c r="D486" s="71"/>
    </row>
    <row r="487" spans="2:4" x14ac:dyDescent="0.15">
      <c r="B487" s="69"/>
      <c r="C487" s="70"/>
      <c r="D487" s="71"/>
    </row>
    <row r="488" spans="2:4" x14ac:dyDescent="0.15">
      <c r="B488" s="69"/>
      <c r="C488" s="70"/>
      <c r="D488" s="71"/>
    </row>
    <row r="489" spans="2:4" x14ac:dyDescent="0.15">
      <c r="B489" s="69"/>
      <c r="C489" s="70"/>
      <c r="D489" s="71"/>
    </row>
    <row r="490" spans="2:4" x14ac:dyDescent="0.15">
      <c r="B490" s="69"/>
      <c r="C490" s="70"/>
      <c r="D490" s="71"/>
    </row>
    <row r="491" spans="2:4" x14ac:dyDescent="0.15">
      <c r="B491" s="69"/>
      <c r="C491" s="70"/>
      <c r="D491" s="71"/>
    </row>
    <row r="492" spans="2:4" x14ac:dyDescent="0.15">
      <c r="B492" s="69"/>
      <c r="C492" s="70"/>
      <c r="D492" s="71"/>
    </row>
    <row r="493" spans="2:4" x14ac:dyDescent="0.15">
      <c r="B493" s="69"/>
      <c r="C493" s="70"/>
      <c r="D493" s="71"/>
    </row>
    <row r="494" spans="2:4" x14ac:dyDescent="0.15">
      <c r="B494" s="69"/>
      <c r="C494" s="70"/>
      <c r="D494" s="71"/>
    </row>
    <row r="495" spans="2:4" x14ac:dyDescent="0.15">
      <c r="B495" s="69"/>
      <c r="C495" s="70"/>
      <c r="D495" s="71"/>
    </row>
    <row r="496" spans="2:4" x14ac:dyDescent="0.15">
      <c r="B496" s="69"/>
      <c r="C496" s="70"/>
      <c r="D496" s="71"/>
    </row>
    <row r="497" spans="2:4" x14ac:dyDescent="0.15">
      <c r="B497" s="69"/>
      <c r="C497" s="70"/>
      <c r="D497" s="71"/>
    </row>
    <row r="498" spans="2:4" x14ac:dyDescent="0.15">
      <c r="B498" s="69"/>
      <c r="C498" s="70"/>
      <c r="D498" s="71"/>
    </row>
    <row r="499" spans="2:4" x14ac:dyDescent="0.15">
      <c r="B499" s="69"/>
      <c r="C499" s="70"/>
      <c r="D499" s="71"/>
    </row>
    <row r="500" spans="2:4" x14ac:dyDescent="0.15">
      <c r="B500" s="69"/>
      <c r="C500" s="70"/>
      <c r="D500" s="71"/>
    </row>
    <row r="501" spans="2:4" x14ac:dyDescent="0.15">
      <c r="B501" s="69"/>
      <c r="C501" s="70"/>
      <c r="D501" s="71"/>
    </row>
    <row r="502" spans="2:4" x14ac:dyDescent="0.15">
      <c r="B502" s="69"/>
      <c r="C502" s="70"/>
      <c r="D502" s="71"/>
    </row>
    <row r="503" spans="2:4" x14ac:dyDescent="0.15">
      <c r="B503" s="69"/>
      <c r="C503" s="70"/>
      <c r="D503" s="71"/>
    </row>
    <row r="504" spans="2:4" x14ac:dyDescent="0.15">
      <c r="B504" s="69"/>
      <c r="C504" s="70"/>
      <c r="D504" s="71"/>
    </row>
    <row r="505" spans="2:4" x14ac:dyDescent="0.15">
      <c r="B505" s="69"/>
      <c r="C505" s="70"/>
      <c r="D505" s="71"/>
    </row>
    <row r="506" spans="2:4" x14ac:dyDescent="0.15">
      <c r="B506" s="69"/>
      <c r="C506" s="70"/>
      <c r="D506" s="71"/>
    </row>
    <row r="507" spans="2:4" x14ac:dyDescent="0.15">
      <c r="B507" s="69"/>
      <c r="C507" s="70"/>
      <c r="D507" s="71"/>
    </row>
    <row r="508" spans="2:4" x14ac:dyDescent="0.15">
      <c r="B508" s="69"/>
      <c r="C508" s="70"/>
      <c r="D508" s="71"/>
    </row>
    <row r="509" spans="2:4" x14ac:dyDescent="0.15">
      <c r="B509" s="69"/>
      <c r="C509" s="70"/>
      <c r="D509" s="71"/>
    </row>
    <row r="510" spans="2:4" x14ac:dyDescent="0.15">
      <c r="B510" s="69"/>
      <c r="C510" s="70"/>
      <c r="D510" s="71"/>
    </row>
    <row r="511" spans="2:4" x14ac:dyDescent="0.15">
      <c r="B511" s="69"/>
      <c r="C511" s="70"/>
      <c r="D511" s="71"/>
    </row>
    <row r="512" spans="2:4" x14ac:dyDescent="0.15">
      <c r="B512" s="69"/>
      <c r="C512" s="70"/>
      <c r="D512" s="71"/>
    </row>
    <row r="513" spans="2:4" x14ac:dyDescent="0.15">
      <c r="B513" s="69"/>
      <c r="C513" s="70"/>
      <c r="D513" s="71"/>
    </row>
    <row r="514" spans="2:4" x14ac:dyDescent="0.15">
      <c r="B514" s="69"/>
      <c r="C514" s="70"/>
      <c r="D514" s="71"/>
    </row>
    <row r="515" spans="2:4" x14ac:dyDescent="0.15">
      <c r="B515" s="69"/>
      <c r="C515" s="70"/>
      <c r="D515" s="71"/>
    </row>
    <row r="516" spans="2:4" x14ac:dyDescent="0.15">
      <c r="B516" s="69"/>
      <c r="C516" s="70"/>
      <c r="D516" s="71"/>
    </row>
    <row r="517" spans="2:4" x14ac:dyDescent="0.15">
      <c r="B517" s="69"/>
      <c r="C517" s="70"/>
      <c r="D517" s="71"/>
    </row>
    <row r="518" spans="2:4" x14ac:dyDescent="0.15">
      <c r="B518" s="69"/>
      <c r="C518" s="70"/>
      <c r="D518" s="71"/>
    </row>
    <row r="519" spans="2:4" x14ac:dyDescent="0.15">
      <c r="B519" s="69"/>
      <c r="C519" s="70"/>
      <c r="D519" s="71"/>
    </row>
    <row r="520" spans="2:4" x14ac:dyDescent="0.15">
      <c r="B520" s="69"/>
      <c r="C520" s="70"/>
      <c r="D520" s="71"/>
    </row>
    <row r="521" spans="2:4" x14ac:dyDescent="0.15">
      <c r="B521" s="69"/>
      <c r="C521" s="70"/>
      <c r="D521" s="71"/>
    </row>
    <row r="522" spans="2:4" x14ac:dyDescent="0.15">
      <c r="B522" s="69"/>
      <c r="C522" s="70"/>
      <c r="D522" s="71"/>
    </row>
    <row r="523" spans="2:4" x14ac:dyDescent="0.15">
      <c r="B523" s="69"/>
      <c r="C523" s="70"/>
      <c r="D523" s="71"/>
    </row>
    <row r="524" spans="2:4" x14ac:dyDescent="0.15">
      <c r="B524" s="69"/>
      <c r="C524" s="70"/>
      <c r="D524" s="71"/>
    </row>
    <row r="525" spans="2:4" x14ac:dyDescent="0.15">
      <c r="B525" s="69"/>
      <c r="C525" s="70"/>
      <c r="D525" s="71"/>
    </row>
    <row r="526" spans="2:4" x14ac:dyDescent="0.15">
      <c r="B526" s="69"/>
      <c r="C526" s="70"/>
      <c r="D526" s="71"/>
    </row>
    <row r="527" spans="2:4" x14ac:dyDescent="0.15">
      <c r="B527" s="69"/>
      <c r="C527" s="70"/>
      <c r="D527" s="71"/>
    </row>
    <row r="528" spans="2:4" x14ac:dyDescent="0.15">
      <c r="B528" s="69"/>
      <c r="C528" s="70"/>
      <c r="D528" s="71"/>
    </row>
    <row r="529" spans="2:4" x14ac:dyDescent="0.15">
      <c r="B529" s="69"/>
      <c r="C529" s="70"/>
      <c r="D529" s="71"/>
    </row>
    <row r="530" spans="2:4" x14ac:dyDescent="0.15">
      <c r="B530" s="69"/>
      <c r="C530" s="70"/>
      <c r="D530" s="71"/>
    </row>
    <row r="531" spans="2:4" x14ac:dyDescent="0.15">
      <c r="B531" s="69"/>
      <c r="C531" s="70"/>
      <c r="D531" s="71"/>
    </row>
    <row r="532" spans="2:4" x14ac:dyDescent="0.15">
      <c r="B532" s="69"/>
      <c r="C532" s="70"/>
      <c r="D532" s="71"/>
    </row>
    <row r="533" spans="2:4" x14ac:dyDescent="0.15">
      <c r="B533" s="69"/>
      <c r="C533" s="70"/>
      <c r="D533" s="71"/>
    </row>
    <row r="534" spans="2:4" x14ac:dyDescent="0.15">
      <c r="B534" s="69"/>
      <c r="C534" s="70"/>
      <c r="D534" s="71"/>
    </row>
    <row r="535" spans="2:4" x14ac:dyDescent="0.15">
      <c r="B535" s="69"/>
      <c r="C535" s="70"/>
      <c r="D535" s="71"/>
    </row>
    <row r="536" spans="2:4" x14ac:dyDescent="0.15">
      <c r="B536" s="69"/>
      <c r="C536" s="70"/>
      <c r="D536" s="71"/>
    </row>
    <row r="537" spans="2:4" x14ac:dyDescent="0.15">
      <c r="B537" s="69"/>
      <c r="C537" s="70"/>
      <c r="D537" s="71"/>
    </row>
    <row r="538" spans="2:4" x14ac:dyDescent="0.15">
      <c r="B538" s="69"/>
      <c r="C538" s="70"/>
      <c r="D538" s="71"/>
    </row>
    <row r="539" spans="2:4" x14ac:dyDescent="0.15">
      <c r="B539" s="69"/>
      <c r="C539" s="70"/>
      <c r="D539" s="71"/>
    </row>
    <row r="540" spans="2:4" x14ac:dyDescent="0.15">
      <c r="B540" s="69"/>
      <c r="C540" s="70"/>
      <c r="D540" s="71"/>
    </row>
    <row r="541" spans="2:4" x14ac:dyDescent="0.15">
      <c r="B541" s="69"/>
      <c r="C541" s="70"/>
      <c r="D541" s="71"/>
    </row>
    <row r="542" spans="2:4" x14ac:dyDescent="0.15">
      <c r="B542" s="69"/>
      <c r="C542" s="70"/>
      <c r="D542" s="71"/>
    </row>
    <row r="543" spans="2:4" x14ac:dyDescent="0.15">
      <c r="B543" s="69"/>
      <c r="C543" s="70"/>
      <c r="D543" s="71"/>
    </row>
    <row r="544" spans="2:4" x14ac:dyDescent="0.15">
      <c r="B544" s="69"/>
      <c r="C544" s="70"/>
      <c r="D544" s="71"/>
    </row>
    <row r="545" spans="2:4" x14ac:dyDescent="0.15">
      <c r="B545" s="69"/>
      <c r="C545" s="70"/>
      <c r="D545" s="71"/>
    </row>
    <row r="546" spans="2:4" x14ac:dyDescent="0.15">
      <c r="B546" s="69"/>
      <c r="C546" s="70"/>
      <c r="D546" s="71"/>
    </row>
    <row r="547" spans="2:4" x14ac:dyDescent="0.15">
      <c r="B547" s="69"/>
      <c r="C547" s="70"/>
      <c r="D547" s="71"/>
    </row>
    <row r="548" spans="2:4" x14ac:dyDescent="0.15">
      <c r="B548" s="69"/>
      <c r="C548" s="70"/>
      <c r="D548" s="71"/>
    </row>
    <row r="549" spans="2:4" x14ac:dyDescent="0.15">
      <c r="B549" s="69"/>
      <c r="C549" s="70"/>
      <c r="D549" s="71"/>
    </row>
    <row r="550" spans="2:4" x14ac:dyDescent="0.15">
      <c r="B550" s="69"/>
      <c r="C550" s="70"/>
      <c r="D550" s="71"/>
    </row>
    <row r="551" spans="2:4" x14ac:dyDescent="0.15">
      <c r="B551" s="69"/>
      <c r="C551" s="70"/>
      <c r="D551" s="71"/>
    </row>
    <row r="552" spans="2:4" x14ac:dyDescent="0.15">
      <c r="B552" s="69"/>
      <c r="C552" s="70"/>
      <c r="D552" s="71"/>
    </row>
    <row r="553" spans="2:4" x14ac:dyDescent="0.15">
      <c r="B553" s="69"/>
      <c r="C553" s="70"/>
      <c r="D553" s="71"/>
    </row>
    <row r="554" spans="2:4" x14ac:dyDescent="0.15">
      <c r="B554" s="69"/>
      <c r="C554" s="70"/>
      <c r="D554" s="71"/>
    </row>
    <row r="555" spans="2:4" x14ac:dyDescent="0.15">
      <c r="B555" s="69"/>
      <c r="C555" s="70"/>
      <c r="D555" s="71"/>
    </row>
    <row r="556" spans="2:4" x14ac:dyDescent="0.15">
      <c r="B556" s="69"/>
      <c r="C556" s="70"/>
      <c r="D556" s="71"/>
    </row>
    <row r="557" spans="2:4" x14ac:dyDescent="0.15">
      <c r="B557" s="69"/>
      <c r="C557" s="70"/>
      <c r="D557" s="71"/>
    </row>
    <row r="558" spans="2:4" x14ac:dyDescent="0.15">
      <c r="B558" s="69"/>
      <c r="C558" s="70"/>
      <c r="D558" s="71"/>
    </row>
    <row r="559" spans="2:4" x14ac:dyDescent="0.15">
      <c r="B559" s="69"/>
      <c r="C559" s="70"/>
      <c r="D559" s="71"/>
    </row>
    <row r="560" spans="2:4" x14ac:dyDescent="0.15">
      <c r="B560" s="69"/>
      <c r="C560" s="70"/>
      <c r="D560" s="71"/>
    </row>
    <row r="561" spans="2:4" x14ac:dyDescent="0.15">
      <c r="B561" s="69"/>
      <c r="C561" s="70"/>
      <c r="D561" s="71"/>
    </row>
    <row r="562" spans="2:4" x14ac:dyDescent="0.15">
      <c r="B562" s="69"/>
      <c r="C562" s="70"/>
      <c r="D562" s="71"/>
    </row>
    <row r="563" spans="2:4" x14ac:dyDescent="0.15">
      <c r="B563" s="69"/>
      <c r="C563" s="70"/>
      <c r="D563" s="71"/>
    </row>
    <row r="564" spans="2:4" x14ac:dyDescent="0.15">
      <c r="B564" s="69"/>
      <c r="C564" s="70"/>
      <c r="D564" s="71"/>
    </row>
    <row r="565" spans="2:4" x14ac:dyDescent="0.15">
      <c r="B565" s="69"/>
      <c r="C565" s="70"/>
      <c r="D565" s="71"/>
    </row>
    <row r="566" spans="2:4" x14ac:dyDescent="0.15">
      <c r="B566" s="69"/>
      <c r="C566" s="70"/>
      <c r="D566" s="71"/>
    </row>
    <row r="567" spans="2:4" x14ac:dyDescent="0.15">
      <c r="B567" s="69"/>
      <c r="C567" s="70"/>
      <c r="D567" s="71"/>
    </row>
    <row r="568" spans="2:4" x14ac:dyDescent="0.15">
      <c r="B568" s="69"/>
      <c r="C568" s="70"/>
      <c r="D568" s="71"/>
    </row>
    <row r="569" spans="2:4" x14ac:dyDescent="0.15">
      <c r="B569" s="69"/>
      <c r="C569" s="70"/>
      <c r="D569" s="71"/>
    </row>
    <row r="570" spans="2:4" x14ac:dyDescent="0.15">
      <c r="B570" s="69"/>
      <c r="C570" s="70"/>
      <c r="D570" s="71"/>
    </row>
    <row r="571" spans="2:4" x14ac:dyDescent="0.15">
      <c r="B571" s="69"/>
      <c r="C571" s="70"/>
      <c r="D571" s="71"/>
    </row>
    <row r="572" spans="2:4" x14ac:dyDescent="0.15">
      <c r="B572" s="69"/>
      <c r="C572" s="70"/>
      <c r="D572" s="71"/>
    </row>
    <row r="573" spans="2:4" x14ac:dyDescent="0.15">
      <c r="B573" s="69"/>
      <c r="C573" s="70"/>
      <c r="D573" s="71"/>
    </row>
    <row r="574" spans="2:4" x14ac:dyDescent="0.15">
      <c r="B574" s="69"/>
      <c r="C574" s="70"/>
      <c r="D574" s="71"/>
    </row>
    <row r="575" spans="2:4" x14ac:dyDescent="0.15">
      <c r="B575" s="69"/>
      <c r="C575" s="70"/>
      <c r="D575" s="71"/>
    </row>
    <row r="576" spans="2:4" x14ac:dyDescent="0.15">
      <c r="B576" s="69"/>
      <c r="C576" s="70"/>
      <c r="D576" s="71"/>
    </row>
    <row r="577" spans="2:4" x14ac:dyDescent="0.15">
      <c r="B577" s="69"/>
      <c r="C577" s="70"/>
      <c r="D577" s="71"/>
    </row>
    <row r="578" spans="2:4" x14ac:dyDescent="0.15">
      <c r="B578" s="69"/>
      <c r="C578" s="70"/>
      <c r="D578" s="71"/>
    </row>
    <row r="579" spans="2:4" x14ac:dyDescent="0.15">
      <c r="B579" s="69"/>
      <c r="C579" s="70"/>
      <c r="D579" s="71"/>
    </row>
    <row r="580" spans="2:4" x14ac:dyDescent="0.15">
      <c r="B580" s="69"/>
      <c r="C580" s="70"/>
      <c r="D580" s="71"/>
    </row>
    <row r="581" spans="2:4" x14ac:dyDescent="0.15">
      <c r="B581" s="69"/>
      <c r="C581" s="70"/>
      <c r="D581" s="71"/>
    </row>
    <row r="582" spans="2:4" x14ac:dyDescent="0.15">
      <c r="B582" s="69"/>
      <c r="C582" s="70"/>
      <c r="D582" s="71"/>
    </row>
    <row r="583" spans="2:4" x14ac:dyDescent="0.15">
      <c r="B583" s="69"/>
      <c r="C583" s="70"/>
      <c r="D583" s="71"/>
    </row>
    <row r="584" spans="2:4" x14ac:dyDescent="0.15">
      <c r="B584" s="69"/>
      <c r="C584" s="70"/>
      <c r="D584" s="71"/>
    </row>
    <row r="585" spans="2:4" x14ac:dyDescent="0.15">
      <c r="B585" s="69"/>
      <c r="C585" s="70"/>
      <c r="D585" s="71"/>
    </row>
    <row r="586" spans="2:4" x14ac:dyDescent="0.15">
      <c r="B586" s="69"/>
      <c r="C586" s="70"/>
      <c r="D586" s="71"/>
    </row>
    <row r="587" spans="2:4" x14ac:dyDescent="0.15">
      <c r="B587" s="69"/>
      <c r="C587" s="70"/>
      <c r="D587" s="71"/>
    </row>
    <row r="588" spans="2:4" x14ac:dyDescent="0.15">
      <c r="B588" s="69"/>
      <c r="C588" s="70"/>
      <c r="D588" s="71"/>
    </row>
    <row r="589" spans="2:4" x14ac:dyDescent="0.15">
      <c r="B589" s="69"/>
      <c r="C589" s="70"/>
      <c r="D589" s="71"/>
    </row>
    <row r="590" spans="2:4" x14ac:dyDescent="0.15">
      <c r="B590" s="69"/>
      <c r="C590" s="70"/>
      <c r="D590" s="71"/>
    </row>
    <row r="591" spans="2:4" x14ac:dyDescent="0.15">
      <c r="B591" s="69"/>
      <c r="C591" s="70"/>
      <c r="D591" s="71"/>
    </row>
    <row r="592" spans="2:4" x14ac:dyDescent="0.15">
      <c r="B592" s="69"/>
      <c r="C592" s="70"/>
      <c r="D592" s="71"/>
    </row>
    <row r="593" spans="2:4" x14ac:dyDescent="0.15">
      <c r="B593" s="69"/>
      <c r="C593" s="70"/>
      <c r="D593" s="71"/>
    </row>
    <row r="594" spans="2:4" x14ac:dyDescent="0.15">
      <c r="B594" s="69"/>
      <c r="C594" s="70"/>
      <c r="D594" s="71"/>
    </row>
    <row r="595" spans="2:4" x14ac:dyDescent="0.15">
      <c r="B595" s="69"/>
      <c r="C595" s="70"/>
      <c r="D595" s="71"/>
    </row>
    <row r="596" spans="2:4" x14ac:dyDescent="0.15">
      <c r="B596" s="69"/>
      <c r="C596" s="70"/>
      <c r="D596" s="71"/>
    </row>
    <row r="597" spans="2:4" x14ac:dyDescent="0.15">
      <c r="B597" s="69"/>
      <c r="C597" s="70"/>
      <c r="D597" s="71"/>
    </row>
    <row r="598" spans="2:4" x14ac:dyDescent="0.15">
      <c r="B598" s="69"/>
      <c r="C598" s="70"/>
      <c r="D598" s="71"/>
    </row>
    <row r="599" spans="2:4" x14ac:dyDescent="0.15">
      <c r="B599" s="69"/>
      <c r="C599" s="70"/>
      <c r="D599" s="71"/>
    </row>
    <row r="600" spans="2:4" x14ac:dyDescent="0.15">
      <c r="B600" s="69"/>
      <c r="C600" s="70"/>
      <c r="D600" s="71"/>
    </row>
    <row r="601" spans="2:4" x14ac:dyDescent="0.15">
      <c r="B601" s="69"/>
      <c r="C601" s="70"/>
      <c r="D601" s="71"/>
    </row>
    <row r="602" spans="2:4" x14ac:dyDescent="0.15">
      <c r="B602" s="69"/>
      <c r="C602" s="70"/>
      <c r="D602" s="71"/>
    </row>
    <row r="603" spans="2:4" x14ac:dyDescent="0.15">
      <c r="B603" s="69"/>
      <c r="C603" s="70"/>
      <c r="D603" s="71"/>
    </row>
    <row r="604" spans="2:4" x14ac:dyDescent="0.15">
      <c r="B604" s="69"/>
      <c r="C604" s="70"/>
      <c r="D604" s="71"/>
    </row>
    <row r="605" spans="2:4" x14ac:dyDescent="0.15">
      <c r="B605" s="69"/>
      <c r="C605" s="70"/>
      <c r="D605" s="71"/>
    </row>
    <row r="606" spans="2:4" x14ac:dyDescent="0.15">
      <c r="B606" s="69"/>
      <c r="C606" s="70"/>
      <c r="D606" s="71"/>
    </row>
    <row r="607" spans="2:4" x14ac:dyDescent="0.15">
      <c r="B607" s="69"/>
      <c r="C607" s="70"/>
      <c r="D607" s="71"/>
    </row>
    <row r="608" spans="2:4" x14ac:dyDescent="0.15">
      <c r="B608" s="69"/>
      <c r="C608" s="70"/>
      <c r="D608" s="71"/>
    </row>
    <row r="609" spans="2:4" x14ac:dyDescent="0.15">
      <c r="B609" s="69"/>
      <c r="C609" s="70"/>
      <c r="D609" s="71"/>
    </row>
    <row r="610" spans="2:4" x14ac:dyDescent="0.15">
      <c r="B610" s="69"/>
      <c r="C610" s="70"/>
      <c r="D610" s="71"/>
    </row>
    <row r="611" spans="2:4" x14ac:dyDescent="0.15">
      <c r="B611" s="69"/>
      <c r="C611" s="70"/>
      <c r="D611" s="71"/>
    </row>
    <row r="612" spans="2:4" x14ac:dyDescent="0.15">
      <c r="B612" s="69"/>
      <c r="C612" s="70"/>
      <c r="D612" s="71"/>
    </row>
    <row r="613" spans="2:4" x14ac:dyDescent="0.15">
      <c r="B613" s="69"/>
      <c r="C613" s="70"/>
      <c r="D613" s="71"/>
    </row>
    <row r="614" spans="2:4" x14ac:dyDescent="0.15">
      <c r="B614" s="69"/>
      <c r="C614" s="70"/>
      <c r="D614" s="71"/>
    </row>
    <row r="615" spans="2:4" x14ac:dyDescent="0.15">
      <c r="B615" s="69"/>
      <c r="C615" s="70"/>
      <c r="D615" s="71"/>
    </row>
    <row r="616" spans="2:4" x14ac:dyDescent="0.15">
      <c r="B616" s="69"/>
      <c r="C616" s="70"/>
      <c r="D616" s="71"/>
    </row>
    <row r="617" spans="2:4" x14ac:dyDescent="0.15">
      <c r="B617" s="69"/>
      <c r="C617" s="70"/>
      <c r="D617" s="71"/>
    </row>
    <row r="618" spans="2:4" x14ac:dyDescent="0.15">
      <c r="B618" s="69"/>
      <c r="C618" s="70"/>
      <c r="D618" s="71"/>
    </row>
    <row r="619" spans="2:4" x14ac:dyDescent="0.15">
      <c r="B619" s="69"/>
      <c r="C619" s="70"/>
      <c r="D619" s="71"/>
    </row>
    <row r="620" spans="2:4" x14ac:dyDescent="0.15">
      <c r="B620" s="69"/>
      <c r="C620" s="70"/>
      <c r="D620" s="71"/>
    </row>
    <row r="621" spans="2:4" x14ac:dyDescent="0.15">
      <c r="B621" s="69"/>
      <c r="C621" s="70"/>
      <c r="D621" s="71"/>
    </row>
    <row r="622" spans="2:4" x14ac:dyDescent="0.15">
      <c r="B622" s="69"/>
      <c r="C622" s="70"/>
      <c r="D622" s="71"/>
    </row>
    <row r="623" spans="2:4" x14ac:dyDescent="0.15">
      <c r="B623" s="69"/>
      <c r="C623" s="70"/>
      <c r="D623" s="71"/>
    </row>
    <row r="624" spans="2:4" x14ac:dyDescent="0.15">
      <c r="B624" s="69"/>
      <c r="C624" s="70"/>
      <c r="D624" s="71"/>
    </row>
    <row r="625" spans="2:4" x14ac:dyDescent="0.15">
      <c r="B625" s="69"/>
      <c r="C625" s="70"/>
      <c r="D625" s="71"/>
    </row>
    <row r="626" spans="2:4" x14ac:dyDescent="0.15">
      <c r="B626" s="69"/>
      <c r="C626" s="70"/>
      <c r="D626" s="71"/>
    </row>
    <row r="627" spans="2:4" x14ac:dyDescent="0.15">
      <c r="B627" s="69"/>
      <c r="C627" s="70"/>
      <c r="D627" s="71"/>
    </row>
    <row r="628" spans="2:4" x14ac:dyDescent="0.15">
      <c r="B628" s="69"/>
      <c r="C628" s="70"/>
      <c r="D628" s="71"/>
    </row>
    <row r="629" spans="2:4" x14ac:dyDescent="0.15">
      <c r="B629" s="69"/>
      <c r="C629" s="70"/>
      <c r="D629" s="71"/>
    </row>
    <row r="630" spans="2:4" x14ac:dyDescent="0.15">
      <c r="B630" s="69"/>
      <c r="C630" s="70"/>
      <c r="D630" s="71"/>
    </row>
    <row r="631" spans="2:4" x14ac:dyDescent="0.15">
      <c r="B631" s="69"/>
      <c r="C631" s="70"/>
      <c r="D631" s="71"/>
    </row>
    <row r="632" spans="2:4" x14ac:dyDescent="0.15">
      <c r="B632" s="69"/>
      <c r="C632" s="70"/>
      <c r="D632" s="71"/>
    </row>
    <row r="633" spans="2:4" x14ac:dyDescent="0.15">
      <c r="B633" s="69"/>
      <c r="C633" s="70"/>
      <c r="D633" s="71"/>
    </row>
    <row r="634" spans="2:4" x14ac:dyDescent="0.15">
      <c r="B634" s="69"/>
      <c r="C634" s="70"/>
      <c r="D634" s="71"/>
    </row>
    <row r="635" spans="2:4" x14ac:dyDescent="0.15">
      <c r="B635" s="69"/>
      <c r="C635" s="70"/>
      <c r="D635" s="71"/>
    </row>
    <row r="636" spans="2:4" x14ac:dyDescent="0.15">
      <c r="B636" s="69"/>
      <c r="C636" s="70"/>
      <c r="D636" s="71"/>
    </row>
    <row r="637" spans="2:4" x14ac:dyDescent="0.15">
      <c r="B637" s="69"/>
      <c r="C637" s="70"/>
      <c r="D637" s="71"/>
    </row>
    <row r="638" spans="2:4" x14ac:dyDescent="0.15">
      <c r="B638" s="69"/>
      <c r="C638" s="70"/>
      <c r="D638" s="71"/>
    </row>
    <row r="639" spans="2:4" x14ac:dyDescent="0.15">
      <c r="B639" s="69"/>
      <c r="C639" s="70"/>
      <c r="D639" s="71"/>
    </row>
    <row r="640" spans="2:4" x14ac:dyDescent="0.15">
      <c r="B640" s="69"/>
      <c r="C640" s="70"/>
      <c r="D640" s="71"/>
    </row>
    <row r="641" spans="2:4" x14ac:dyDescent="0.15">
      <c r="B641" s="69"/>
      <c r="C641" s="70"/>
      <c r="D641" s="71"/>
    </row>
    <row r="642" spans="2:4" x14ac:dyDescent="0.15">
      <c r="B642" s="69"/>
      <c r="C642" s="70"/>
      <c r="D642" s="71"/>
    </row>
    <row r="643" spans="2:4" x14ac:dyDescent="0.15">
      <c r="B643" s="69"/>
      <c r="C643" s="70"/>
      <c r="D643" s="71"/>
    </row>
    <row r="644" spans="2:4" x14ac:dyDescent="0.15">
      <c r="B644" s="69"/>
      <c r="C644" s="70"/>
      <c r="D644" s="71"/>
    </row>
    <row r="645" spans="2:4" x14ac:dyDescent="0.15">
      <c r="B645" s="69"/>
      <c r="C645" s="70"/>
      <c r="D645" s="71"/>
    </row>
    <row r="646" spans="2:4" x14ac:dyDescent="0.15">
      <c r="B646" s="69"/>
      <c r="C646" s="70"/>
      <c r="D646" s="71"/>
    </row>
    <row r="647" spans="2:4" x14ac:dyDescent="0.15">
      <c r="B647" s="69"/>
      <c r="C647" s="70"/>
      <c r="D647" s="71"/>
    </row>
    <row r="648" spans="2:4" x14ac:dyDescent="0.15">
      <c r="B648" s="69"/>
      <c r="C648" s="70"/>
      <c r="D648" s="71"/>
    </row>
    <row r="649" spans="2:4" x14ac:dyDescent="0.15">
      <c r="B649" s="69"/>
      <c r="C649" s="70"/>
      <c r="D649" s="71"/>
    </row>
    <row r="650" spans="2:4" x14ac:dyDescent="0.15">
      <c r="B650" s="69"/>
      <c r="C650" s="70"/>
      <c r="D650" s="71"/>
    </row>
    <row r="651" spans="2:4" x14ac:dyDescent="0.15">
      <c r="B651" s="69"/>
      <c r="C651" s="70"/>
      <c r="D651" s="71"/>
    </row>
    <row r="652" spans="2:4" x14ac:dyDescent="0.15">
      <c r="B652" s="69"/>
      <c r="C652" s="70"/>
      <c r="D652" s="71"/>
    </row>
    <row r="653" spans="2:4" x14ac:dyDescent="0.15">
      <c r="B653" s="69"/>
      <c r="C653" s="70"/>
      <c r="D653" s="71"/>
    </row>
    <row r="654" spans="2:4" x14ac:dyDescent="0.15">
      <c r="B654" s="69"/>
      <c r="C654" s="70"/>
      <c r="D654" s="71"/>
    </row>
    <row r="655" spans="2:4" x14ac:dyDescent="0.15">
      <c r="B655" s="69"/>
      <c r="C655" s="70"/>
      <c r="D655" s="71"/>
    </row>
    <row r="656" spans="2:4" x14ac:dyDescent="0.15">
      <c r="B656" s="69"/>
      <c r="C656" s="70"/>
      <c r="D656" s="71"/>
    </row>
    <row r="657" spans="2:4" x14ac:dyDescent="0.15">
      <c r="B657" s="69"/>
      <c r="C657" s="70"/>
      <c r="D657" s="71"/>
    </row>
    <row r="658" spans="2:4" x14ac:dyDescent="0.15">
      <c r="B658" s="69"/>
      <c r="C658" s="70"/>
      <c r="D658" s="71"/>
    </row>
    <row r="659" spans="2:4" x14ac:dyDescent="0.15">
      <c r="B659" s="69"/>
      <c r="C659" s="70"/>
      <c r="D659" s="71"/>
    </row>
    <row r="660" spans="2:4" x14ac:dyDescent="0.15">
      <c r="B660" s="69"/>
      <c r="C660" s="70"/>
      <c r="D660" s="71"/>
    </row>
    <row r="661" spans="2:4" x14ac:dyDescent="0.15">
      <c r="B661" s="69"/>
      <c r="C661" s="70"/>
      <c r="D661" s="71"/>
    </row>
    <row r="662" spans="2:4" x14ac:dyDescent="0.15">
      <c r="B662" s="69"/>
      <c r="C662" s="70"/>
      <c r="D662" s="71"/>
    </row>
    <row r="663" spans="2:4" x14ac:dyDescent="0.15">
      <c r="B663" s="69"/>
      <c r="C663" s="70"/>
      <c r="D663" s="71"/>
    </row>
    <row r="664" spans="2:4" x14ac:dyDescent="0.15">
      <c r="B664" s="69"/>
      <c r="C664" s="70"/>
      <c r="D664" s="71"/>
    </row>
    <row r="665" spans="2:4" x14ac:dyDescent="0.15">
      <c r="B665" s="69"/>
      <c r="C665" s="70"/>
      <c r="D665" s="71"/>
    </row>
    <row r="666" spans="2:4" x14ac:dyDescent="0.15">
      <c r="B666" s="69"/>
      <c r="C666" s="70"/>
      <c r="D666" s="71"/>
    </row>
    <row r="667" spans="2:4" x14ac:dyDescent="0.15">
      <c r="B667" s="69"/>
      <c r="C667" s="70"/>
      <c r="D667" s="71"/>
    </row>
    <row r="668" spans="2:4" x14ac:dyDescent="0.15">
      <c r="B668" s="69"/>
      <c r="C668" s="70"/>
      <c r="D668" s="71"/>
    </row>
    <row r="669" spans="2:4" x14ac:dyDescent="0.15">
      <c r="B669" s="69"/>
      <c r="C669" s="70"/>
      <c r="D669" s="71"/>
    </row>
    <row r="670" spans="2:4" x14ac:dyDescent="0.15">
      <c r="B670" s="69"/>
      <c r="C670" s="70"/>
      <c r="D670" s="71"/>
    </row>
    <row r="671" spans="2:4" x14ac:dyDescent="0.15">
      <c r="B671" s="69"/>
      <c r="C671" s="70"/>
      <c r="D671" s="71"/>
    </row>
    <row r="672" spans="2:4" x14ac:dyDescent="0.15">
      <c r="B672" s="69"/>
      <c r="C672" s="70"/>
      <c r="D672" s="71"/>
    </row>
    <row r="673" spans="2:4" x14ac:dyDescent="0.15">
      <c r="B673" s="69"/>
      <c r="C673" s="70"/>
      <c r="D673" s="71"/>
    </row>
    <row r="674" spans="2:4" x14ac:dyDescent="0.15">
      <c r="B674" s="69"/>
      <c r="C674" s="70"/>
      <c r="D674" s="71"/>
    </row>
    <row r="675" spans="2:4" x14ac:dyDescent="0.15">
      <c r="B675" s="69"/>
      <c r="C675" s="70"/>
      <c r="D675" s="71"/>
    </row>
    <row r="676" spans="2:4" x14ac:dyDescent="0.15">
      <c r="B676" s="69"/>
      <c r="C676" s="70"/>
      <c r="D676" s="71"/>
    </row>
    <row r="677" spans="2:4" x14ac:dyDescent="0.15">
      <c r="B677" s="69"/>
      <c r="C677" s="70"/>
      <c r="D677" s="71"/>
    </row>
    <row r="678" spans="2:4" x14ac:dyDescent="0.15">
      <c r="B678" s="69"/>
      <c r="C678" s="70"/>
      <c r="D678" s="71"/>
    </row>
    <row r="679" spans="2:4" x14ac:dyDescent="0.15">
      <c r="B679" s="69"/>
      <c r="C679" s="70"/>
      <c r="D679" s="71"/>
    </row>
    <row r="680" spans="2:4" x14ac:dyDescent="0.15">
      <c r="B680" s="69"/>
      <c r="C680" s="70"/>
      <c r="D680" s="71"/>
    </row>
    <row r="681" spans="2:4" x14ac:dyDescent="0.15">
      <c r="B681" s="69"/>
      <c r="C681" s="70"/>
      <c r="D681" s="71"/>
    </row>
    <row r="682" spans="2:4" x14ac:dyDescent="0.15">
      <c r="B682" s="69"/>
      <c r="C682" s="70"/>
      <c r="D682" s="71"/>
    </row>
    <row r="683" spans="2:4" x14ac:dyDescent="0.15">
      <c r="B683" s="69"/>
      <c r="C683" s="70"/>
      <c r="D683" s="71"/>
    </row>
    <row r="684" spans="2:4" x14ac:dyDescent="0.15">
      <c r="B684" s="69"/>
      <c r="C684" s="70"/>
      <c r="D684" s="71"/>
    </row>
    <row r="685" spans="2:4" x14ac:dyDescent="0.15">
      <c r="B685" s="69"/>
      <c r="C685" s="70"/>
      <c r="D685" s="71"/>
    </row>
    <row r="686" spans="2:4" x14ac:dyDescent="0.15">
      <c r="B686" s="69"/>
      <c r="C686" s="70"/>
      <c r="D686" s="71"/>
    </row>
    <row r="687" spans="2:4" x14ac:dyDescent="0.15">
      <c r="B687" s="69"/>
      <c r="C687" s="70"/>
      <c r="D687" s="71"/>
    </row>
    <row r="688" spans="2:4" x14ac:dyDescent="0.15">
      <c r="B688" s="69"/>
      <c r="C688" s="70"/>
      <c r="D688" s="71"/>
    </row>
    <row r="689" spans="2:4" x14ac:dyDescent="0.15">
      <c r="B689" s="69"/>
      <c r="C689" s="70"/>
      <c r="D689" s="71"/>
    </row>
    <row r="690" spans="2:4" x14ac:dyDescent="0.15">
      <c r="B690" s="69"/>
      <c r="C690" s="70"/>
      <c r="D690" s="71"/>
    </row>
    <row r="691" spans="2:4" x14ac:dyDescent="0.15">
      <c r="B691" s="69"/>
      <c r="C691" s="70"/>
      <c r="D691" s="71"/>
    </row>
    <row r="692" spans="2:4" x14ac:dyDescent="0.15">
      <c r="B692" s="69"/>
      <c r="C692" s="70"/>
      <c r="D692" s="71"/>
    </row>
    <row r="693" spans="2:4" x14ac:dyDescent="0.15">
      <c r="B693" s="69"/>
      <c r="C693" s="70"/>
      <c r="D693" s="71"/>
    </row>
    <row r="694" spans="2:4" x14ac:dyDescent="0.15">
      <c r="B694" s="69"/>
      <c r="C694" s="70"/>
      <c r="D694" s="71"/>
    </row>
    <row r="695" spans="2:4" x14ac:dyDescent="0.15">
      <c r="B695" s="69"/>
      <c r="C695" s="70"/>
      <c r="D695" s="71"/>
    </row>
    <row r="696" spans="2:4" x14ac:dyDescent="0.15">
      <c r="B696" s="69"/>
      <c r="C696" s="70"/>
      <c r="D696" s="71"/>
    </row>
    <row r="697" spans="2:4" x14ac:dyDescent="0.15">
      <c r="B697" s="69"/>
      <c r="C697" s="70"/>
      <c r="D697" s="71"/>
    </row>
    <row r="698" spans="2:4" x14ac:dyDescent="0.15">
      <c r="B698" s="69"/>
      <c r="C698" s="70"/>
      <c r="D698" s="71"/>
    </row>
    <row r="699" spans="2:4" x14ac:dyDescent="0.15">
      <c r="B699" s="69"/>
      <c r="C699" s="70"/>
      <c r="D699" s="71"/>
    </row>
    <row r="700" spans="2:4" x14ac:dyDescent="0.15">
      <c r="B700" s="69"/>
      <c r="C700" s="70"/>
      <c r="D700" s="71"/>
    </row>
    <row r="701" spans="2:4" x14ac:dyDescent="0.15">
      <c r="B701" s="69"/>
      <c r="C701" s="70"/>
      <c r="D701" s="71"/>
    </row>
    <row r="702" spans="2:4" x14ac:dyDescent="0.15">
      <c r="B702" s="69"/>
      <c r="C702" s="70"/>
      <c r="D702" s="71"/>
    </row>
    <row r="703" spans="2:4" x14ac:dyDescent="0.15">
      <c r="B703" s="69"/>
      <c r="C703" s="70"/>
      <c r="D703" s="71"/>
    </row>
    <row r="704" spans="2:4" x14ac:dyDescent="0.15">
      <c r="B704" s="69"/>
      <c r="C704" s="70"/>
      <c r="D704" s="71"/>
    </row>
    <row r="705" spans="2:4" x14ac:dyDescent="0.15">
      <c r="B705" s="69"/>
      <c r="C705" s="70"/>
      <c r="D705" s="71"/>
    </row>
    <row r="706" spans="2:4" x14ac:dyDescent="0.15">
      <c r="B706" s="69"/>
      <c r="C706" s="70"/>
      <c r="D706" s="71"/>
    </row>
    <row r="707" spans="2:4" x14ac:dyDescent="0.15">
      <c r="B707" s="69"/>
      <c r="C707" s="70"/>
      <c r="D707" s="71"/>
    </row>
    <row r="708" spans="2:4" x14ac:dyDescent="0.15">
      <c r="B708" s="69"/>
      <c r="C708" s="70"/>
      <c r="D708" s="71"/>
    </row>
    <row r="709" spans="2:4" x14ac:dyDescent="0.15">
      <c r="B709" s="69"/>
      <c r="C709" s="70"/>
      <c r="D709" s="71"/>
    </row>
    <row r="710" spans="2:4" x14ac:dyDescent="0.15">
      <c r="B710" s="69"/>
      <c r="C710" s="70"/>
      <c r="D710" s="71"/>
    </row>
    <row r="711" spans="2:4" x14ac:dyDescent="0.15">
      <c r="B711" s="69"/>
      <c r="C711" s="70"/>
      <c r="D711" s="71"/>
    </row>
    <row r="712" spans="2:4" x14ac:dyDescent="0.15">
      <c r="B712" s="69"/>
      <c r="C712" s="70"/>
      <c r="D712" s="71"/>
    </row>
    <row r="713" spans="2:4" x14ac:dyDescent="0.15">
      <c r="B713" s="69"/>
      <c r="C713" s="70"/>
      <c r="D713" s="71"/>
    </row>
    <row r="714" spans="2:4" x14ac:dyDescent="0.15">
      <c r="B714" s="69"/>
      <c r="C714" s="70"/>
      <c r="D714" s="71"/>
    </row>
    <row r="715" spans="2:4" x14ac:dyDescent="0.15">
      <c r="B715" s="69"/>
      <c r="C715" s="70"/>
      <c r="D715" s="71"/>
    </row>
    <row r="716" spans="2:4" x14ac:dyDescent="0.15">
      <c r="B716" s="69"/>
      <c r="C716" s="70"/>
      <c r="D716" s="71"/>
    </row>
    <row r="717" spans="2:4" x14ac:dyDescent="0.15">
      <c r="B717" s="69"/>
      <c r="C717" s="70"/>
      <c r="D717" s="71"/>
    </row>
    <row r="718" spans="2:4" x14ac:dyDescent="0.15">
      <c r="B718" s="69"/>
      <c r="C718" s="70"/>
      <c r="D718" s="71"/>
    </row>
    <row r="719" spans="2:4" x14ac:dyDescent="0.15">
      <c r="B719" s="69"/>
      <c r="C719" s="70"/>
      <c r="D719" s="71"/>
    </row>
    <row r="720" spans="2:4" x14ac:dyDescent="0.15">
      <c r="B720" s="69"/>
      <c r="C720" s="70"/>
      <c r="D720" s="71"/>
    </row>
    <row r="721" spans="2:4" x14ac:dyDescent="0.15">
      <c r="B721" s="69"/>
      <c r="C721" s="70"/>
      <c r="D721" s="71"/>
    </row>
    <row r="722" spans="2:4" x14ac:dyDescent="0.15">
      <c r="B722" s="69"/>
      <c r="C722" s="70"/>
      <c r="D722" s="71"/>
    </row>
    <row r="723" spans="2:4" x14ac:dyDescent="0.15">
      <c r="B723" s="69"/>
      <c r="C723" s="70"/>
      <c r="D723" s="71"/>
    </row>
    <row r="724" spans="2:4" x14ac:dyDescent="0.15">
      <c r="B724" s="69"/>
      <c r="C724" s="70"/>
      <c r="D724" s="71"/>
    </row>
    <row r="725" spans="2:4" x14ac:dyDescent="0.15">
      <c r="B725" s="69"/>
      <c r="C725" s="70"/>
      <c r="D725" s="71"/>
    </row>
    <row r="726" spans="2:4" x14ac:dyDescent="0.15">
      <c r="B726" s="69"/>
      <c r="C726" s="70"/>
      <c r="D726" s="71"/>
    </row>
    <row r="727" spans="2:4" x14ac:dyDescent="0.15">
      <c r="B727" s="69"/>
      <c r="C727" s="70"/>
      <c r="D727" s="71"/>
    </row>
    <row r="728" spans="2:4" x14ac:dyDescent="0.15">
      <c r="B728" s="69"/>
      <c r="C728" s="70"/>
      <c r="D728" s="71"/>
    </row>
    <row r="729" spans="2:4" x14ac:dyDescent="0.15">
      <c r="B729" s="69"/>
      <c r="C729" s="70"/>
      <c r="D729" s="71"/>
    </row>
    <row r="730" spans="2:4" x14ac:dyDescent="0.15">
      <c r="B730" s="69"/>
      <c r="C730" s="70"/>
      <c r="D730" s="71"/>
    </row>
    <row r="731" spans="2:4" x14ac:dyDescent="0.15">
      <c r="B731" s="69"/>
      <c r="C731" s="70"/>
      <c r="D731" s="71"/>
    </row>
    <row r="732" spans="2:4" x14ac:dyDescent="0.15">
      <c r="B732" s="69"/>
      <c r="C732" s="70"/>
      <c r="D732" s="71"/>
    </row>
    <row r="733" spans="2:4" x14ac:dyDescent="0.15">
      <c r="B733" s="69"/>
      <c r="C733" s="70"/>
      <c r="D733" s="71"/>
    </row>
    <row r="734" spans="2:4" x14ac:dyDescent="0.15">
      <c r="B734" s="69"/>
      <c r="C734" s="70"/>
      <c r="D734" s="71"/>
    </row>
    <row r="735" spans="2:4" x14ac:dyDescent="0.15">
      <c r="B735" s="69"/>
      <c r="C735" s="70"/>
      <c r="D735" s="71"/>
    </row>
    <row r="736" spans="2:4" x14ac:dyDescent="0.15">
      <c r="B736" s="69"/>
      <c r="C736" s="70"/>
      <c r="D736" s="71"/>
    </row>
    <row r="737" spans="2:4" x14ac:dyDescent="0.15">
      <c r="B737" s="69"/>
      <c r="C737" s="70"/>
      <c r="D737" s="71"/>
    </row>
    <row r="738" spans="2:4" x14ac:dyDescent="0.15">
      <c r="B738" s="69"/>
      <c r="C738" s="70"/>
      <c r="D738" s="71"/>
    </row>
    <row r="739" spans="2:4" x14ac:dyDescent="0.15">
      <c r="B739" s="69"/>
      <c r="C739" s="70"/>
      <c r="D739" s="71"/>
    </row>
    <row r="740" spans="2:4" x14ac:dyDescent="0.15">
      <c r="B740" s="69"/>
      <c r="C740" s="70"/>
      <c r="D740" s="71"/>
    </row>
    <row r="741" spans="2:4" x14ac:dyDescent="0.15">
      <c r="B741" s="69"/>
      <c r="C741" s="70"/>
      <c r="D741" s="71"/>
    </row>
    <row r="742" spans="2:4" x14ac:dyDescent="0.15">
      <c r="B742" s="69"/>
      <c r="C742" s="70"/>
      <c r="D742" s="71"/>
    </row>
    <row r="743" spans="2:4" x14ac:dyDescent="0.15">
      <c r="B743" s="69"/>
      <c r="C743" s="70"/>
      <c r="D743" s="71"/>
    </row>
    <row r="744" spans="2:4" x14ac:dyDescent="0.15">
      <c r="B744" s="69"/>
      <c r="C744" s="70"/>
      <c r="D744" s="71"/>
    </row>
    <row r="745" spans="2:4" x14ac:dyDescent="0.15">
      <c r="B745" s="69"/>
      <c r="C745" s="70"/>
      <c r="D745" s="71"/>
    </row>
    <row r="746" spans="2:4" x14ac:dyDescent="0.15">
      <c r="B746" s="69"/>
      <c r="C746" s="70"/>
      <c r="D746" s="71"/>
    </row>
    <row r="747" spans="2:4" x14ac:dyDescent="0.15">
      <c r="B747" s="69"/>
      <c r="C747" s="70"/>
      <c r="D747" s="71"/>
    </row>
    <row r="748" spans="2:4" x14ac:dyDescent="0.15">
      <c r="B748" s="69"/>
      <c r="C748" s="70"/>
      <c r="D748" s="71"/>
    </row>
    <row r="749" spans="2:4" x14ac:dyDescent="0.15">
      <c r="B749" s="69"/>
      <c r="C749" s="70"/>
      <c r="D749" s="71"/>
    </row>
    <row r="750" spans="2:4" x14ac:dyDescent="0.15">
      <c r="B750" s="69"/>
      <c r="C750" s="70"/>
      <c r="D750" s="71"/>
    </row>
    <row r="751" spans="2:4" x14ac:dyDescent="0.15">
      <c r="B751" s="69"/>
      <c r="C751" s="70"/>
      <c r="D751" s="71"/>
    </row>
    <row r="752" spans="2:4" x14ac:dyDescent="0.15">
      <c r="B752" s="69"/>
      <c r="C752" s="70"/>
      <c r="D752" s="71"/>
    </row>
    <row r="753" spans="2:4" x14ac:dyDescent="0.15">
      <c r="B753" s="69"/>
      <c r="C753" s="70"/>
      <c r="D753" s="71"/>
    </row>
    <row r="754" spans="2:4" x14ac:dyDescent="0.15">
      <c r="B754" s="69"/>
      <c r="C754" s="70"/>
      <c r="D754" s="71"/>
    </row>
    <row r="755" spans="2:4" x14ac:dyDescent="0.15">
      <c r="B755" s="69"/>
      <c r="C755" s="70"/>
      <c r="D755" s="71"/>
    </row>
    <row r="756" spans="2:4" x14ac:dyDescent="0.15">
      <c r="B756" s="69"/>
      <c r="C756" s="70"/>
      <c r="D756" s="71"/>
    </row>
    <row r="757" spans="2:4" x14ac:dyDescent="0.15">
      <c r="B757" s="69"/>
      <c r="C757" s="70"/>
      <c r="D757" s="71"/>
    </row>
    <row r="758" spans="2:4" x14ac:dyDescent="0.15">
      <c r="B758" s="69"/>
      <c r="C758" s="70"/>
      <c r="D758" s="71"/>
    </row>
    <row r="759" spans="2:4" x14ac:dyDescent="0.15">
      <c r="B759" s="69"/>
      <c r="C759" s="70"/>
      <c r="D759" s="71"/>
    </row>
    <row r="760" spans="2:4" x14ac:dyDescent="0.15">
      <c r="B760" s="69"/>
      <c r="C760" s="70"/>
      <c r="D760" s="71"/>
    </row>
    <row r="761" spans="2:4" x14ac:dyDescent="0.15">
      <c r="B761" s="69"/>
      <c r="C761" s="70"/>
      <c r="D761" s="71"/>
    </row>
    <row r="762" spans="2:4" x14ac:dyDescent="0.15">
      <c r="B762" s="69"/>
      <c r="C762" s="70"/>
      <c r="D762" s="71"/>
    </row>
    <row r="763" spans="2:4" x14ac:dyDescent="0.15">
      <c r="B763" s="69"/>
      <c r="C763" s="70"/>
      <c r="D763" s="71"/>
    </row>
    <row r="764" spans="2:4" x14ac:dyDescent="0.15">
      <c r="B764" s="69"/>
      <c r="C764" s="70"/>
      <c r="D764" s="71"/>
    </row>
    <row r="765" spans="2:4" x14ac:dyDescent="0.15">
      <c r="B765" s="69"/>
      <c r="C765" s="70"/>
      <c r="D765" s="71"/>
    </row>
    <row r="766" spans="2:4" x14ac:dyDescent="0.15">
      <c r="B766" s="69"/>
      <c r="C766" s="70"/>
      <c r="D766" s="71"/>
    </row>
    <row r="767" spans="2:4" x14ac:dyDescent="0.15">
      <c r="B767" s="69"/>
      <c r="C767" s="70"/>
      <c r="D767" s="71"/>
    </row>
    <row r="768" spans="2:4" x14ac:dyDescent="0.15">
      <c r="B768" s="69"/>
      <c r="C768" s="70"/>
      <c r="D768" s="71"/>
    </row>
    <row r="769" spans="2:4" x14ac:dyDescent="0.15">
      <c r="B769" s="69"/>
      <c r="C769" s="70"/>
      <c r="D769" s="71"/>
    </row>
    <row r="770" spans="2:4" x14ac:dyDescent="0.15">
      <c r="B770" s="69"/>
      <c r="C770" s="70"/>
      <c r="D770" s="71"/>
    </row>
    <row r="771" spans="2:4" x14ac:dyDescent="0.15">
      <c r="B771" s="69"/>
      <c r="C771" s="70"/>
      <c r="D771" s="71"/>
    </row>
    <row r="772" spans="2:4" x14ac:dyDescent="0.15">
      <c r="B772" s="69"/>
      <c r="C772" s="70"/>
      <c r="D772" s="71"/>
    </row>
    <row r="773" spans="2:4" x14ac:dyDescent="0.15">
      <c r="B773" s="69"/>
      <c r="C773" s="70"/>
      <c r="D773" s="71"/>
    </row>
    <row r="774" spans="2:4" x14ac:dyDescent="0.15">
      <c r="B774" s="69"/>
      <c r="C774" s="70"/>
      <c r="D774" s="71"/>
    </row>
    <row r="775" spans="2:4" x14ac:dyDescent="0.15">
      <c r="B775" s="69"/>
      <c r="C775" s="70"/>
      <c r="D775" s="71"/>
    </row>
    <row r="776" spans="2:4" x14ac:dyDescent="0.15">
      <c r="B776" s="69"/>
      <c r="C776" s="70"/>
      <c r="D776" s="71"/>
    </row>
    <row r="777" spans="2:4" x14ac:dyDescent="0.15">
      <c r="B777" s="69"/>
      <c r="C777" s="70"/>
      <c r="D777" s="71"/>
    </row>
    <row r="778" spans="2:4" x14ac:dyDescent="0.15">
      <c r="B778" s="69"/>
      <c r="C778" s="70"/>
      <c r="D778" s="71"/>
    </row>
    <row r="779" spans="2:4" x14ac:dyDescent="0.15">
      <c r="B779" s="69"/>
      <c r="C779" s="70"/>
      <c r="D779" s="71"/>
    </row>
    <row r="780" spans="2:4" x14ac:dyDescent="0.15">
      <c r="B780" s="69"/>
      <c r="C780" s="70"/>
      <c r="D780" s="71"/>
    </row>
    <row r="781" spans="2:4" x14ac:dyDescent="0.15">
      <c r="B781" s="69"/>
      <c r="C781" s="70"/>
      <c r="D781" s="71"/>
    </row>
    <row r="782" spans="2:4" x14ac:dyDescent="0.15">
      <c r="B782" s="69"/>
      <c r="C782" s="70"/>
      <c r="D782" s="71"/>
    </row>
    <row r="783" spans="2:4" x14ac:dyDescent="0.15">
      <c r="B783" s="69"/>
      <c r="C783" s="70"/>
      <c r="D783" s="71"/>
    </row>
    <row r="784" spans="2:4" x14ac:dyDescent="0.15">
      <c r="B784" s="69"/>
      <c r="C784" s="70"/>
      <c r="D784" s="71"/>
    </row>
    <row r="785" spans="2:4" x14ac:dyDescent="0.15">
      <c r="B785" s="69"/>
      <c r="C785" s="70"/>
      <c r="D785" s="71"/>
    </row>
    <row r="786" spans="2:4" x14ac:dyDescent="0.15">
      <c r="B786" s="69"/>
      <c r="C786" s="70"/>
      <c r="D786" s="71"/>
    </row>
    <row r="787" spans="2:4" x14ac:dyDescent="0.15">
      <c r="B787" s="69"/>
      <c r="C787" s="70"/>
      <c r="D787" s="71"/>
    </row>
    <row r="788" spans="2:4" x14ac:dyDescent="0.15">
      <c r="B788" s="69"/>
      <c r="C788" s="70"/>
      <c r="D788" s="71"/>
    </row>
    <row r="789" spans="2:4" x14ac:dyDescent="0.15">
      <c r="B789" s="69"/>
      <c r="C789" s="70"/>
      <c r="D789" s="71"/>
    </row>
    <row r="790" spans="2:4" x14ac:dyDescent="0.15">
      <c r="B790" s="69"/>
      <c r="C790" s="70"/>
      <c r="D790" s="71"/>
    </row>
    <row r="791" spans="2:4" x14ac:dyDescent="0.15">
      <c r="B791" s="69"/>
      <c r="C791" s="70"/>
      <c r="D791" s="71"/>
    </row>
    <row r="792" spans="2:4" x14ac:dyDescent="0.15">
      <c r="B792" s="69"/>
      <c r="C792" s="70"/>
      <c r="D792" s="71"/>
    </row>
    <row r="793" spans="2:4" x14ac:dyDescent="0.15">
      <c r="B793" s="69"/>
      <c r="C793" s="70"/>
      <c r="D793" s="71"/>
    </row>
    <row r="794" spans="2:4" x14ac:dyDescent="0.15">
      <c r="B794" s="69"/>
      <c r="C794" s="70"/>
      <c r="D794" s="71"/>
    </row>
    <row r="795" spans="2:4" x14ac:dyDescent="0.15">
      <c r="B795" s="69"/>
      <c r="C795" s="70"/>
      <c r="D795" s="71"/>
    </row>
    <row r="796" spans="2:4" x14ac:dyDescent="0.15">
      <c r="B796" s="69"/>
      <c r="C796" s="70"/>
      <c r="D796" s="71"/>
    </row>
    <row r="797" spans="2:4" x14ac:dyDescent="0.15">
      <c r="B797" s="69"/>
      <c r="C797" s="70"/>
      <c r="D797" s="71"/>
    </row>
    <row r="798" spans="2:4" x14ac:dyDescent="0.15">
      <c r="B798" s="69"/>
      <c r="C798" s="70"/>
      <c r="D798" s="71"/>
    </row>
    <row r="799" spans="2:4" x14ac:dyDescent="0.15">
      <c r="B799" s="69"/>
      <c r="C799" s="70"/>
      <c r="D799" s="71"/>
    </row>
    <row r="800" spans="2:4" x14ac:dyDescent="0.15">
      <c r="B800" s="69"/>
      <c r="C800" s="70"/>
      <c r="D800" s="71"/>
    </row>
    <row r="801" spans="2:4" x14ac:dyDescent="0.15">
      <c r="B801" s="69"/>
      <c r="C801" s="70"/>
      <c r="D801" s="71"/>
    </row>
    <row r="802" spans="2:4" x14ac:dyDescent="0.15">
      <c r="B802" s="69"/>
      <c r="C802" s="70"/>
      <c r="D802" s="71"/>
    </row>
    <row r="803" spans="2:4" x14ac:dyDescent="0.15">
      <c r="B803" s="69"/>
      <c r="C803" s="70"/>
      <c r="D803" s="71"/>
    </row>
    <row r="804" spans="2:4" x14ac:dyDescent="0.15">
      <c r="B804" s="69"/>
      <c r="C804" s="70"/>
      <c r="D804" s="71"/>
    </row>
    <row r="805" spans="2:4" x14ac:dyDescent="0.15">
      <c r="B805" s="69"/>
      <c r="C805" s="70"/>
      <c r="D805" s="71"/>
    </row>
    <row r="806" spans="2:4" x14ac:dyDescent="0.15">
      <c r="B806" s="69"/>
      <c r="C806" s="70"/>
      <c r="D806" s="71"/>
    </row>
    <row r="807" spans="2:4" x14ac:dyDescent="0.15">
      <c r="B807" s="69"/>
      <c r="C807" s="70"/>
      <c r="D807" s="71"/>
    </row>
    <row r="808" spans="2:4" x14ac:dyDescent="0.15">
      <c r="B808" s="69"/>
      <c r="C808" s="70"/>
      <c r="D808" s="71"/>
    </row>
    <row r="809" spans="2:4" x14ac:dyDescent="0.15">
      <c r="B809" s="69"/>
      <c r="C809" s="70"/>
      <c r="D809" s="71"/>
    </row>
    <row r="810" spans="2:4" x14ac:dyDescent="0.15">
      <c r="B810" s="69"/>
      <c r="C810" s="70"/>
      <c r="D810" s="71"/>
    </row>
    <row r="811" spans="2:4" x14ac:dyDescent="0.15">
      <c r="B811" s="69"/>
      <c r="C811" s="70"/>
      <c r="D811" s="71"/>
    </row>
    <row r="812" spans="2:4" x14ac:dyDescent="0.15">
      <c r="B812" s="69"/>
      <c r="C812" s="70"/>
      <c r="D812" s="71"/>
    </row>
    <row r="813" spans="2:4" x14ac:dyDescent="0.15">
      <c r="B813" s="69"/>
      <c r="C813" s="70"/>
      <c r="D813" s="71"/>
    </row>
    <row r="814" spans="2:4" x14ac:dyDescent="0.15">
      <c r="B814" s="69"/>
      <c r="C814" s="70"/>
      <c r="D814" s="71"/>
    </row>
    <row r="815" spans="2:4" x14ac:dyDescent="0.15">
      <c r="B815" s="69"/>
      <c r="C815" s="70"/>
      <c r="D815" s="71"/>
    </row>
    <row r="816" spans="2:4" x14ac:dyDescent="0.15">
      <c r="B816" s="69"/>
      <c r="C816" s="70"/>
      <c r="D816" s="71"/>
    </row>
    <row r="817" spans="2:4" x14ac:dyDescent="0.15">
      <c r="B817" s="69"/>
      <c r="C817" s="70"/>
      <c r="D817" s="71"/>
    </row>
    <row r="818" spans="2:4" x14ac:dyDescent="0.15">
      <c r="B818" s="69"/>
      <c r="C818" s="70"/>
      <c r="D818" s="71"/>
    </row>
    <row r="819" spans="2:4" x14ac:dyDescent="0.15">
      <c r="B819" s="69"/>
      <c r="C819" s="70"/>
      <c r="D819" s="71"/>
    </row>
    <row r="820" spans="2:4" x14ac:dyDescent="0.15">
      <c r="B820" s="69"/>
      <c r="C820" s="70"/>
      <c r="D820" s="71"/>
    </row>
    <row r="821" spans="2:4" x14ac:dyDescent="0.15">
      <c r="B821" s="69"/>
      <c r="C821" s="70"/>
      <c r="D821" s="71"/>
    </row>
    <row r="822" spans="2:4" x14ac:dyDescent="0.15">
      <c r="B822" s="69"/>
      <c r="C822" s="70"/>
      <c r="D822" s="71"/>
    </row>
    <row r="823" spans="2:4" x14ac:dyDescent="0.15">
      <c r="B823" s="69"/>
      <c r="C823" s="70"/>
      <c r="D823" s="71"/>
    </row>
    <row r="824" spans="2:4" x14ac:dyDescent="0.15">
      <c r="B824" s="69"/>
      <c r="C824" s="70"/>
      <c r="D824" s="71"/>
    </row>
    <row r="825" spans="2:4" x14ac:dyDescent="0.15">
      <c r="B825" s="69"/>
      <c r="C825" s="70"/>
      <c r="D825" s="71"/>
    </row>
    <row r="826" spans="2:4" x14ac:dyDescent="0.15">
      <c r="B826" s="69"/>
      <c r="C826" s="70"/>
      <c r="D826" s="71"/>
    </row>
    <row r="827" spans="2:4" x14ac:dyDescent="0.15">
      <c r="B827" s="69"/>
      <c r="C827" s="70"/>
      <c r="D827" s="71"/>
    </row>
    <row r="828" spans="2:4" x14ac:dyDescent="0.15">
      <c r="B828" s="69"/>
      <c r="C828" s="70"/>
      <c r="D828" s="71"/>
    </row>
    <row r="829" spans="2:4" x14ac:dyDescent="0.15">
      <c r="B829" s="69"/>
      <c r="C829" s="70"/>
      <c r="D829" s="71"/>
    </row>
    <row r="830" spans="2:4" x14ac:dyDescent="0.15">
      <c r="B830" s="69"/>
      <c r="C830" s="70"/>
      <c r="D830" s="71"/>
    </row>
    <row r="831" spans="2:4" x14ac:dyDescent="0.15">
      <c r="B831" s="69"/>
      <c r="C831" s="70"/>
      <c r="D831" s="71"/>
    </row>
    <row r="832" spans="2:4" x14ac:dyDescent="0.15">
      <c r="B832" s="69"/>
      <c r="C832" s="70"/>
      <c r="D832" s="71"/>
    </row>
    <row r="833" spans="2:4" x14ac:dyDescent="0.15">
      <c r="B833" s="69"/>
      <c r="C833" s="70"/>
      <c r="D833" s="71"/>
    </row>
    <row r="834" spans="2:4" x14ac:dyDescent="0.15">
      <c r="B834" s="69"/>
      <c r="C834" s="70"/>
      <c r="D834" s="71"/>
    </row>
    <row r="835" spans="2:4" x14ac:dyDescent="0.15">
      <c r="B835" s="69"/>
      <c r="C835" s="70"/>
      <c r="D835" s="71"/>
    </row>
    <row r="836" spans="2:4" x14ac:dyDescent="0.15">
      <c r="B836" s="69"/>
      <c r="C836" s="70"/>
      <c r="D836" s="71"/>
    </row>
    <row r="837" spans="2:4" x14ac:dyDescent="0.15">
      <c r="B837" s="69"/>
      <c r="C837" s="70"/>
      <c r="D837" s="71"/>
    </row>
    <row r="838" spans="2:4" x14ac:dyDescent="0.15">
      <c r="B838" s="69"/>
      <c r="C838" s="70"/>
      <c r="D838" s="71"/>
    </row>
    <row r="839" spans="2:4" x14ac:dyDescent="0.15">
      <c r="B839" s="69"/>
      <c r="C839" s="70"/>
      <c r="D839" s="71"/>
    </row>
    <row r="840" spans="2:4" x14ac:dyDescent="0.15">
      <c r="B840" s="69"/>
      <c r="C840" s="70"/>
      <c r="D840" s="71"/>
    </row>
    <row r="841" spans="2:4" x14ac:dyDescent="0.15">
      <c r="B841" s="69"/>
      <c r="C841" s="70"/>
      <c r="D841" s="71"/>
    </row>
    <row r="842" spans="2:4" x14ac:dyDescent="0.15">
      <c r="B842" s="69"/>
      <c r="C842" s="70"/>
      <c r="D842" s="71"/>
    </row>
    <row r="843" spans="2:4" x14ac:dyDescent="0.15">
      <c r="B843" s="69"/>
      <c r="C843" s="70"/>
      <c r="D843" s="71"/>
    </row>
    <row r="844" spans="2:4" x14ac:dyDescent="0.15">
      <c r="B844" s="69"/>
      <c r="C844" s="70"/>
      <c r="D844" s="71"/>
    </row>
    <row r="845" spans="2:4" x14ac:dyDescent="0.15">
      <c r="B845" s="69"/>
      <c r="C845" s="70"/>
      <c r="D845" s="71"/>
    </row>
    <row r="846" spans="2:4" x14ac:dyDescent="0.15">
      <c r="B846" s="69"/>
      <c r="C846" s="70"/>
      <c r="D846" s="71"/>
    </row>
    <row r="847" spans="2:4" x14ac:dyDescent="0.15">
      <c r="B847" s="69"/>
      <c r="C847" s="70"/>
      <c r="D847" s="71"/>
    </row>
    <row r="848" spans="2:4" x14ac:dyDescent="0.15">
      <c r="B848" s="69"/>
      <c r="C848" s="70"/>
      <c r="D848" s="71"/>
    </row>
    <row r="849" spans="2:4" x14ac:dyDescent="0.15">
      <c r="B849" s="69"/>
      <c r="C849" s="70"/>
      <c r="D849" s="71"/>
    </row>
    <row r="850" spans="2:4" x14ac:dyDescent="0.15">
      <c r="B850" s="69"/>
      <c r="C850" s="70"/>
      <c r="D850" s="71"/>
    </row>
    <row r="851" spans="2:4" x14ac:dyDescent="0.15">
      <c r="B851" s="69"/>
      <c r="C851" s="70"/>
      <c r="D851" s="71"/>
    </row>
    <row r="852" spans="2:4" x14ac:dyDescent="0.15">
      <c r="B852" s="69"/>
      <c r="C852" s="70"/>
      <c r="D852" s="71"/>
    </row>
    <row r="853" spans="2:4" x14ac:dyDescent="0.15">
      <c r="B853" s="69"/>
      <c r="C853" s="70"/>
      <c r="D853" s="71"/>
    </row>
    <row r="854" spans="2:4" x14ac:dyDescent="0.15">
      <c r="B854" s="69"/>
      <c r="C854" s="70"/>
      <c r="D854" s="71"/>
    </row>
    <row r="855" spans="2:4" x14ac:dyDescent="0.15">
      <c r="B855" s="69"/>
      <c r="C855" s="70"/>
      <c r="D855" s="71"/>
    </row>
    <row r="856" spans="2:4" x14ac:dyDescent="0.15">
      <c r="B856" s="69"/>
      <c r="C856" s="70"/>
      <c r="D856" s="71"/>
    </row>
    <row r="857" spans="2:4" x14ac:dyDescent="0.15">
      <c r="B857" s="69"/>
      <c r="C857" s="70"/>
      <c r="D857" s="71"/>
    </row>
    <row r="858" spans="2:4" x14ac:dyDescent="0.15">
      <c r="B858" s="69"/>
      <c r="C858" s="70"/>
      <c r="D858" s="71"/>
    </row>
    <row r="859" spans="2:4" x14ac:dyDescent="0.15">
      <c r="B859" s="69"/>
      <c r="C859" s="70"/>
      <c r="D859" s="71"/>
    </row>
    <row r="860" spans="2:4" x14ac:dyDescent="0.15">
      <c r="B860" s="69"/>
      <c r="C860" s="70"/>
      <c r="D860" s="71"/>
    </row>
    <row r="861" spans="2:4" x14ac:dyDescent="0.15">
      <c r="B861" s="69"/>
      <c r="C861" s="70"/>
      <c r="D861" s="71"/>
    </row>
    <row r="862" spans="2:4" x14ac:dyDescent="0.15">
      <c r="B862" s="69"/>
      <c r="C862" s="70"/>
      <c r="D862" s="71"/>
    </row>
    <row r="863" spans="2:4" x14ac:dyDescent="0.15">
      <c r="B863" s="69"/>
      <c r="C863" s="70"/>
      <c r="D863" s="71"/>
    </row>
    <row r="864" spans="2:4" x14ac:dyDescent="0.15">
      <c r="B864" s="69"/>
      <c r="C864" s="70"/>
      <c r="D864" s="71"/>
    </row>
    <row r="865" spans="2:4" x14ac:dyDescent="0.15">
      <c r="B865" s="69"/>
      <c r="C865" s="70"/>
      <c r="D865" s="71"/>
    </row>
    <row r="866" spans="2:4" x14ac:dyDescent="0.15">
      <c r="B866" s="69"/>
      <c r="C866" s="70"/>
      <c r="D866" s="71"/>
    </row>
    <row r="867" spans="2:4" x14ac:dyDescent="0.15">
      <c r="B867" s="69"/>
      <c r="C867" s="70"/>
      <c r="D867" s="71"/>
    </row>
    <row r="868" spans="2:4" x14ac:dyDescent="0.15">
      <c r="B868" s="69"/>
      <c r="C868" s="70"/>
      <c r="D868" s="71"/>
    </row>
    <row r="869" spans="2:4" x14ac:dyDescent="0.15">
      <c r="B869" s="69"/>
      <c r="C869" s="70"/>
      <c r="D869" s="71"/>
    </row>
    <row r="870" spans="2:4" x14ac:dyDescent="0.15">
      <c r="B870" s="69"/>
      <c r="C870" s="70"/>
      <c r="D870" s="71"/>
    </row>
    <row r="871" spans="2:4" x14ac:dyDescent="0.15">
      <c r="B871" s="69"/>
      <c r="C871" s="70"/>
      <c r="D871" s="71"/>
    </row>
    <row r="872" spans="2:4" x14ac:dyDescent="0.15">
      <c r="B872" s="69"/>
      <c r="C872" s="70"/>
      <c r="D872" s="71"/>
    </row>
    <row r="873" spans="2:4" x14ac:dyDescent="0.15">
      <c r="B873" s="69"/>
      <c r="C873" s="70"/>
      <c r="D873" s="71"/>
    </row>
    <row r="874" spans="2:4" x14ac:dyDescent="0.15">
      <c r="B874" s="69"/>
      <c r="C874" s="70"/>
      <c r="D874" s="71"/>
    </row>
    <row r="875" spans="2:4" x14ac:dyDescent="0.15">
      <c r="B875" s="69"/>
      <c r="C875" s="70"/>
      <c r="D875" s="71"/>
    </row>
    <row r="876" spans="2:4" x14ac:dyDescent="0.15">
      <c r="B876" s="69"/>
      <c r="C876" s="70"/>
      <c r="D876" s="71"/>
    </row>
    <row r="877" spans="2:4" x14ac:dyDescent="0.15">
      <c r="B877" s="69"/>
      <c r="C877" s="70"/>
      <c r="D877" s="71"/>
    </row>
    <row r="878" spans="2:4" x14ac:dyDescent="0.15">
      <c r="B878" s="69"/>
      <c r="C878" s="70"/>
      <c r="D878" s="71"/>
    </row>
    <row r="879" spans="2:4" x14ac:dyDescent="0.15">
      <c r="B879" s="69"/>
      <c r="C879" s="70"/>
      <c r="D879" s="71"/>
    </row>
    <row r="880" spans="2:4" x14ac:dyDescent="0.15">
      <c r="B880" s="69"/>
      <c r="C880" s="70"/>
      <c r="D880" s="71"/>
    </row>
    <row r="881" spans="2:4" x14ac:dyDescent="0.15">
      <c r="B881" s="69"/>
      <c r="C881" s="70"/>
      <c r="D881" s="71"/>
    </row>
    <row r="882" spans="2:4" x14ac:dyDescent="0.15">
      <c r="B882" s="69"/>
      <c r="C882" s="70"/>
      <c r="D882" s="71"/>
    </row>
    <row r="883" spans="2:4" x14ac:dyDescent="0.15">
      <c r="B883" s="69"/>
      <c r="C883" s="70"/>
      <c r="D883" s="71"/>
    </row>
    <row r="884" spans="2:4" x14ac:dyDescent="0.15">
      <c r="B884" s="69"/>
      <c r="C884" s="70"/>
      <c r="D884" s="71"/>
    </row>
    <row r="885" spans="2:4" x14ac:dyDescent="0.15">
      <c r="B885" s="69"/>
      <c r="C885" s="70"/>
      <c r="D885" s="71"/>
    </row>
    <row r="886" spans="2:4" x14ac:dyDescent="0.15">
      <c r="B886" s="69"/>
      <c r="C886" s="70"/>
      <c r="D886" s="71"/>
    </row>
    <row r="887" spans="2:4" x14ac:dyDescent="0.15">
      <c r="B887" s="69"/>
      <c r="C887" s="70"/>
      <c r="D887" s="71"/>
    </row>
    <row r="888" spans="2:4" x14ac:dyDescent="0.15">
      <c r="B888" s="69"/>
      <c r="C888" s="70"/>
      <c r="D888" s="71"/>
    </row>
    <row r="889" spans="2:4" x14ac:dyDescent="0.15">
      <c r="B889" s="69"/>
      <c r="C889" s="70"/>
      <c r="D889" s="71"/>
    </row>
    <row r="890" spans="2:4" x14ac:dyDescent="0.15">
      <c r="B890" s="69"/>
      <c r="C890" s="70"/>
      <c r="D890" s="71"/>
    </row>
    <row r="891" spans="2:4" x14ac:dyDescent="0.15">
      <c r="B891" s="69"/>
      <c r="C891" s="70"/>
      <c r="D891" s="71"/>
    </row>
    <row r="892" spans="2:4" x14ac:dyDescent="0.15">
      <c r="B892" s="69"/>
      <c r="C892" s="70"/>
      <c r="D892" s="71"/>
    </row>
    <row r="893" spans="2:4" x14ac:dyDescent="0.15">
      <c r="B893" s="69"/>
      <c r="C893" s="70"/>
      <c r="D893" s="71"/>
    </row>
    <row r="894" spans="2:4" x14ac:dyDescent="0.15">
      <c r="B894" s="69"/>
      <c r="C894" s="70"/>
      <c r="D894" s="71"/>
    </row>
    <row r="895" spans="2:4" x14ac:dyDescent="0.15">
      <c r="B895" s="69"/>
      <c r="C895" s="70"/>
      <c r="D895" s="71"/>
    </row>
    <row r="896" spans="2:4" x14ac:dyDescent="0.15">
      <c r="B896" s="69"/>
      <c r="C896" s="70"/>
      <c r="D896" s="71"/>
    </row>
    <row r="897" spans="2:4" x14ac:dyDescent="0.15">
      <c r="B897" s="69"/>
      <c r="C897" s="70"/>
      <c r="D897" s="71"/>
    </row>
    <row r="898" spans="2:4" x14ac:dyDescent="0.15">
      <c r="B898" s="69"/>
      <c r="C898" s="70"/>
      <c r="D898" s="71"/>
    </row>
    <row r="899" spans="2:4" x14ac:dyDescent="0.15">
      <c r="B899" s="69"/>
      <c r="C899" s="70"/>
      <c r="D899" s="71"/>
    </row>
    <row r="900" spans="2:4" x14ac:dyDescent="0.15">
      <c r="B900" s="69"/>
      <c r="C900" s="70"/>
      <c r="D900" s="71"/>
    </row>
    <row r="901" spans="2:4" x14ac:dyDescent="0.15">
      <c r="B901" s="69"/>
      <c r="C901" s="70"/>
      <c r="D901" s="71"/>
    </row>
    <row r="902" spans="2:4" x14ac:dyDescent="0.15">
      <c r="B902" s="69"/>
      <c r="C902" s="70"/>
      <c r="D902" s="71"/>
    </row>
    <row r="903" spans="2:4" x14ac:dyDescent="0.15">
      <c r="B903" s="69"/>
      <c r="C903" s="70"/>
      <c r="D903" s="71"/>
    </row>
    <row r="904" spans="2:4" x14ac:dyDescent="0.15">
      <c r="B904" s="69"/>
      <c r="C904" s="70"/>
      <c r="D904" s="71"/>
    </row>
    <row r="905" spans="2:4" x14ac:dyDescent="0.15">
      <c r="B905" s="69"/>
      <c r="C905" s="70"/>
      <c r="D905" s="71"/>
    </row>
    <row r="906" spans="2:4" x14ac:dyDescent="0.15">
      <c r="B906" s="69"/>
      <c r="C906" s="70"/>
      <c r="D906" s="71"/>
    </row>
    <row r="907" spans="2:4" x14ac:dyDescent="0.15">
      <c r="B907" s="69"/>
      <c r="C907" s="70"/>
      <c r="D907" s="71"/>
    </row>
    <row r="908" spans="2:4" x14ac:dyDescent="0.15">
      <c r="B908" s="69"/>
      <c r="C908" s="70"/>
      <c r="D908" s="71"/>
    </row>
    <row r="909" spans="2:4" x14ac:dyDescent="0.15">
      <c r="B909" s="69"/>
      <c r="C909" s="70"/>
      <c r="D909" s="71"/>
    </row>
    <row r="910" spans="2:4" x14ac:dyDescent="0.15">
      <c r="B910" s="69"/>
      <c r="C910" s="70"/>
      <c r="D910" s="71"/>
    </row>
    <row r="911" spans="2:4" x14ac:dyDescent="0.15">
      <c r="B911" s="69"/>
      <c r="C911" s="70"/>
      <c r="D911" s="71"/>
    </row>
    <row r="912" spans="2:4" x14ac:dyDescent="0.15">
      <c r="B912" s="69"/>
      <c r="C912" s="70"/>
      <c r="D912" s="71"/>
    </row>
    <row r="913" spans="2:4" x14ac:dyDescent="0.15">
      <c r="B913" s="69"/>
      <c r="C913" s="70"/>
      <c r="D913" s="71"/>
    </row>
    <row r="914" spans="2:4" x14ac:dyDescent="0.15">
      <c r="B914" s="69"/>
      <c r="C914" s="70"/>
      <c r="D914" s="71"/>
    </row>
    <row r="915" spans="2:4" x14ac:dyDescent="0.15">
      <c r="B915" s="69"/>
      <c r="C915" s="70"/>
      <c r="D915" s="71"/>
    </row>
    <row r="916" spans="2:4" x14ac:dyDescent="0.15">
      <c r="B916" s="69"/>
      <c r="C916" s="70"/>
      <c r="D916" s="71"/>
    </row>
    <row r="917" spans="2:4" x14ac:dyDescent="0.15">
      <c r="B917" s="69"/>
      <c r="C917" s="70"/>
      <c r="D917" s="71"/>
    </row>
    <row r="918" spans="2:4" x14ac:dyDescent="0.15">
      <c r="B918" s="69"/>
      <c r="C918" s="70"/>
      <c r="D918" s="71"/>
    </row>
    <row r="919" spans="2:4" x14ac:dyDescent="0.15">
      <c r="B919" s="69"/>
      <c r="C919" s="70"/>
      <c r="D919" s="71"/>
    </row>
    <row r="920" spans="2:4" x14ac:dyDescent="0.15">
      <c r="B920" s="69"/>
      <c r="C920" s="70"/>
      <c r="D920" s="71"/>
    </row>
    <row r="921" spans="2:4" x14ac:dyDescent="0.15">
      <c r="B921" s="69"/>
      <c r="C921" s="70"/>
      <c r="D921" s="71"/>
    </row>
    <row r="922" spans="2:4" x14ac:dyDescent="0.15">
      <c r="B922" s="69"/>
      <c r="C922" s="70"/>
      <c r="D922" s="71"/>
    </row>
    <row r="923" spans="2:4" x14ac:dyDescent="0.15">
      <c r="B923" s="69"/>
      <c r="C923" s="70"/>
      <c r="D923" s="71"/>
    </row>
    <row r="924" spans="2:4" x14ac:dyDescent="0.15">
      <c r="B924" s="69"/>
      <c r="C924" s="70"/>
      <c r="D924" s="71"/>
    </row>
    <row r="925" spans="2:4" x14ac:dyDescent="0.15">
      <c r="B925" s="69"/>
      <c r="C925" s="70"/>
      <c r="D925" s="71"/>
    </row>
    <row r="926" spans="2:4" x14ac:dyDescent="0.15">
      <c r="B926" s="69"/>
      <c r="C926" s="70"/>
      <c r="D926" s="71"/>
    </row>
    <row r="927" spans="2:4" x14ac:dyDescent="0.15">
      <c r="B927" s="69"/>
      <c r="C927" s="70"/>
      <c r="D927" s="71"/>
    </row>
    <row r="928" spans="2:4" x14ac:dyDescent="0.15">
      <c r="B928" s="69"/>
      <c r="C928" s="70"/>
      <c r="D928" s="71"/>
    </row>
    <row r="929" spans="2:4" x14ac:dyDescent="0.15">
      <c r="B929" s="69"/>
      <c r="C929" s="70"/>
      <c r="D929" s="71"/>
    </row>
    <row r="930" spans="2:4" x14ac:dyDescent="0.15">
      <c r="B930" s="69"/>
      <c r="C930" s="70"/>
      <c r="D930" s="71"/>
    </row>
    <row r="931" spans="2:4" x14ac:dyDescent="0.15">
      <c r="B931" s="69"/>
      <c r="C931" s="70"/>
      <c r="D931" s="71"/>
    </row>
    <row r="932" spans="2:4" x14ac:dyDescent="0.15">
      <c r="B932" s="69"/>
      <c r="C932" s="70"/>
      <c r="D932" s="71"/>
    </row>
    <row r="933" spans="2:4" x14ac:dyDescent="0.15">
      <c r="B933" s="69"/>
      <c r="C933" s="70"/>
      <c r="D933" s="71"/>
    </row>
    <row r="934" spans="2:4" x14ac:dyDescent="0.15">
      <c r="B934" s="69"/>
      <c r="C934" s="70"/>
      <c r="D934" s="71"/>
    </row>
    <row r="935" spans="2:4" x14ac:dyDescent="0.15">
      <c r="B935" s="69"/>
      <c r="C935" s="70"/>
      <c r="D935" s="71"/>
    </row>
    <row r="936" spans="2:4" x14ac:dyDescent="0.15">
      <c r="B936" s="69"/>
      <c r="C936" s="70"/>
      <c r="D936" s="71"/>
    </row>
    <row r="937" spans="2:4" x14ac:dyDescent="0.15">
      <c r="B937" s="69"/>
      <c r="C937" s="70"/>
      <c r="D937" s="71"/>
    </row>
    <row r="938" spans="2:4" x14ac:dyDescent="0.15">
      <c r="B938" s="69"/>
      <c r="C938" s="70"/>
      <c r="D938" s="71"/>
    </row>
    <row r="939" spans="2:4" x14ac:dyDescent="0.15">
      <c r="B939" s="69"/>
      <c r="C939" s="70"/>
      <c r="D939" s="71"/>
    </row>
    <row r="940" spans="2:4" x14ac:dyDescent="0.15">
      <c r="B940" s="69"/>
      <c r="C940" s="70"/>
      <c r="D940" s="71"/>
    </row>
    <row r="941" spans="2:4" x14ac:dyDescent="0.15">
      <c r="B941" s="69"/>
      <c r="C941" s="70"/>
      <c r="D941" s="71"/>
    </row>
    <row r="942" spans="2:4" x14ac:dyDescent="0.15">
      <c r="B942" s="69"/>
      <c r="C942" s="70"/>
      <c r="D942" s="71"/>
    </row>
    <row r="943" spans="2:4" x14ac:dyDescent="0.15">
      <c r="B943" s="69"/>
      <c r="C943" s="70"/>
      <c r="D943" s="71"/>
    </row>
    <row r="944" spans="2:4" x14ac:dyDescent="0.15">
      <c r="B944" s="69"/>
      <c r="C944" s="70"/>
      <c r="D944" s="71"/>
    </row>
    <row r="945" spans="2:4" x14ac:dyDescent="0.15">
      <c r="B945" s="69"/>
      <c r="C945" s="70"/>
      <c r="D945" s="71"/>
    </row>
    <row r="946" spans="2:4" x14ac:dyDescent="0.15">
      <c r="B946" s="69"/>
      <c r="C946" s="70"/>
      <c r="D946" s="71"/>
    </row>
    <row r="947" spans="2:4" x14ac:dyDescent="0.15">
      <c r="B947" s="69"/>
      <c r="C947" s="70"/>
      <c r="D947" s="71"/>
    </row>
    <row r="948" spans="2:4" x14ac:dyDescent="0.15">
      <c r="B948" s="69"/>
      <c r="C948" s="70"/>
      <c r="D948" s="71"/>
    </row>
    <row r="949" spans="2:4" x14ac:dyDescent="0.15">
      <c r="B949" s="69"/>
      <c r="C949" s="70"/>
      <c r="D949" s="71"/>
    </row>
    <row r="950" spans="2:4" x14ac:dyDescent="0.15">
      <c r="B950" s="69"/>
      <c r="C950" s="70"/>
      <c r="D950" s="71"/>
    </row>
    <row r="951" spans="2:4" x14ac:dyDescent="0.15">
      <c r="B951" s="69"/>
      <c r="C951" s="70"/>
      <c r="D951" s="71"/>
    </row>
    <row r="952" spans="2:4" x14ac:dyDescent="0.15">
      <c r="B952" s="69"/>
      <c r="C952" s="70"/>
      <c r="D952" s="71"/>
    </row>
    <row r="953" spans="2:4" x14ac:dyDescent="0.15">
      <c r="B953" s="69"/>
      <c r="C953" s="70"/>
      <c r="D953" s="71"/>
    </row>
    <row r="954" spans="2:4" x14ac:dyDescent="0.15">
      <c r="B954" s="69"/>
      <c r="C954" s="70"/>
      <c r="D954" s="71"/>
    </row>
    <row r="955" spans="2:4" x14ac:dyDescent="0.15">
      <c r="B955" s="69"/>
      <c r="C955" s="70"/>
      <c r="D955" s="71"/>
    </row>
    <row r="956" spans="2:4" x14ac:dyDescent="0.15">
      <c r="B956" s="69"/>
      <c r="C956" s="70"/>
      <c r="D956" s="71"/>
    </row>
    <row r="957" spans="2:4" x14ac:dyDescent="0.15">
      <c r="B957" s="69"/>
      <c r="C957" s="70"/>
      <c r="D957" s="71"/>
    </row>
    <row r="958" spans="2:4" x14ac:dyDescent="0.15">
      <c r="B958" s="69"/>
      <c r="C958" s="70"/>
      <c r="D958" s="71"/>
    </row>
    <row r="959" spans="2:4" x14ac:dyDescent="0.15">
      <c r="B959" s="69"/>
      <c r="C959" s="70"/>
      <c r="D959" s="71"/>
    </row>
    <row r="960" spans="2:4" x14ac:dyDescent="0.15">
      <c r="B960" s="69"/>
      <c r="C960" s="70"/>
      <c r="D960" s="71"/>
    </row>
    <row r="961" spans="2:4" x14ac:dyDescent="0.15">
      <c r="B961" s="69"/>
      <c r="C961" s="70"/>
      <c r="D961" s="71"/>
    </row>
    <row r="962" spans="2:4" x14ac:dyDescent="0.15">
      <c r="B962" s="69"/>
      <c r="C962" s="70"/>
      <c r="D962" s="71"/>
    </row>
    <row r="963" spans="2:4" x14ac:dyDescent="0.15">
      <c r="B963" s="69"/>
      <c r="C963" s="70"/>
      <c r="D963" s="71"/>
    </row>
    <row r="964" spans="2:4" x14ac:dyDescent="0.15">
      <c r="B964" s="69"/>
      <c r="C964" s="70"/>
      <c r="D964" s="71"/>
    </row>
    <row r="965" spans="2:4" x14ac:dyDescent="0.15">
      <c r="B965" s="69"/>
      <c r="C965" s="70"/>
      <c r="D965" s="71"/>
    </row>
    <row r="966" spans="2:4" x14ac:dyDescent="0.15">
      <c r="B966" s="69"/>
      <c r="C966" s="70"/>
      <c r="D966" s="71"/>
    </row>
    <row r="967" spans="2:4" x14ac:dyDescent="0.15">
      <c r="B967" s="69"/>
      <c r="C967" s="70"/>
      <c r="D967" s="71"/>
    </row>
    <row r="968" spans="2:4" x14ac:dyDescent="0.15">
      <c r="B968" s="69"/>
      <c r="C968" s="70"/>
      <c r="D968" s="71"/>
    </row>
    <row r="969" spans="2:4" x14ac:dyDescent="0.15">
      <c r="B969" s="69"/>
      <c r="C969" s="70"/>
      <c r="D969" s="71"/>
    </row>
    <row r="970" spans="2:4" x14ac:dyDescent="0.15">
      <c r="B970" s="69"/>
      <c r="C970" s="70"/>
      <c r="D970" s="71"/>
    </row>
    <row r="971" spans="2:4" x14ac:dyDescent="0.15">
      <c r="B971" s="69"/>
      <c r="C971" s="70"/>
      <c r="D971" s="71"/>
    </row>
    <row r="972" spans="2:4" x14ac:dyDescent="0.15">
      <c r="B972" s="69"/>
      <c r="C972" s="70"/>
      <c r="D972" s="71"/>
    </row>
    <row r="973" spans="2:4" x14ac:dyDescent="0.15">
      <c r="B973" s="69"/>
      <c r="C973" s="70"/>
      <c r="D973" s="71"/>
    </row>
    <row r="974" spans="2:4" x14ac:dyDescent="0.15">
      <c r="B974" s="69"/>
      <c r="C974" s="70"/>
      <c r="D974" s="71"/>
    </row>
    <row r="975" spans="2:4" x14ac:dyDescent="0.15">
      <c r="B975" s="69"/>
      <c r="C975" s="70"/>
      <c r="D975" s="71"/>
    </row>
    <row r="976" spans="2:4" x14ac:dyDescent="0.15">
      <c r="B976" s="69"/>
      <c r="C976" s="70"/>
      <c r="D976" s="71"/>
    </row>
    <row r="977" spans="2:4" x14ac:dyDescent="0.15">
      <c r="B977" s="69"/>
      <c r="C977" s="70"/>
      <c r="D977" s="71"/>
    </row>
    <row r="978" spans="2:4" x14ac:dyDescent="0.15">
      <c r="B978" s="69"/>
      <c r="C978" s="70"/>
      <c r="D978" s="71"/>
    </row>
    <row r="979" spans="2:4" x14ac:dyDescent="0.15">
      <c r="B979" s="69"/>
      <c r="C979" s="70"/>
      <c r="D979" s="71"/>
    </row>
    <row r="980" spans="2:4" x14ac:dyDescent="0.15">
      <c r="B980" s="69"/>
      <c r="C980" s="70"/>
      <c r="D980" s="71"/>
    </row>
    <row r="981" spans="2:4" x14ac:dyDescent="0.15">
      <c r="B981" s="69"/>
      <c r="C981" s="70"/>
      <c r="D981" s="71"/>
    </row>
    <row r="982" spans="2:4" x14ac:dyDescent="0.15">
      <c r="B982" s="69"/>
      <c r="C982" s="70"/>
      <c r="D982" s="71"/>
    </row>
    <row r="983" spans="2:4" x14ac:dyDescent="0.15">
      <c r="B983" s="69"/>
      <c r="C983" s="70"/>
      <c r="D983" s="71"/>
    </row>
    <row r="984" spans="2:4" x14ac:dyDescent="0.15">
      <c r="B984" s="69"/>
      <c r="C984" s="70"/>
      <c r="D984" s="71"/>
    </row>
    <row r="985" spans="2:4" x14ac:dyDescent="0.15">
      <c r="B985" s="69"/>
      <c r="C985" s="70"/>
      <c r="D985" s="71"/>
    </row>
    <row r="986" spans="2:4" x14ac:dyDescent="0.15">
      <c r="B986" s="69"/>
      <c r="C986" s="70"/>
      <c r="D986" s="71"/>
    </row>
    <row r="987" spans="2:4" x14ac:dyDescent="0.15">
      <c r="B987" s="69"/>
      <c r="C987" s="70"/>
      <c r="D987" s="71"/>
    </row>
    <row r="988" spans="2:4" x14ac:dyDescent="0.15">
      <c r="B988" s="69"/>
      <c r="C988" s="70"/>
      <c r="D988" s="71"/>
    </row>
    <row r="989" spans="2:4" x14ac:dyDescent="0.15">
      <c r="B989" s="69"/>
      <c r="C989" s="70"/>
      <c r="D989" s="71"/>
    </row>
    <row r="990" spans="2:4" x14ac:dyDescent="0.15">
      <c r="B990" s="69"/>
      <c r="C990" s="70"/>
      <c r="D990" s="71"/>
    </row>
    <row r="991" spans="2:4" x14ac:dyDescent="0.15">
      <c r="B991" s="69"/>
      <c r="C991" s="70"/>
      <c r="D991" s="71"/>
    </row>
    <row r="992" spans="2:4" x14ac:dyDescent="0.15">
      <c r="B992" s="69"/>
      <c r="C992" s="70"/>
      <c r="D992" s="71"/>
    </row>
    <row r="993" spans="2:4" x14ac:dyDescent="0.15">
      <c r="B993" s="69"/>
      <c r="C993" s="70"/>
      <c r="D993" s="71"/>
    </row>
    <row r="994" spans="2:4" x14ac:dyDescent="0.15">
      <c r="B994" s="69"/>
      <c r="C994" s="70"/>
      <c r="D994" s="71"/>
    </row>
    <row r="995" spans="2:4" x14ac:dyDescent="0.15">
      <c r="B995" s="69"/>
      <c r="C995" s="70"/>
      <c r="D995" s="71"/>
    </row>
    <row r="996" spans="2:4" x14ac:dyDescent="0.15">
      <c r="B996" s="69"/>
      <c r="C996" s="70"/>
      <c r="D996" s="71"/>
    </row>
    <row r="997" spans="2:4" x14ac:dyDescent="0.15">
      <c r="B997" s="69"/>
      <c r="C997" s="70"/>
      <c r="D997" s="71"/>
    </row>
    <row r="998" spans="2:4" x14ac:dyDescent="0.15">
      <c r="B998" s="69"/>
      <c r="C998" s="70"/>
      <c r="D998" s="71"/>
    </row>
    <row r="999" spans="2:4" x14ac:dyDescent="0.15">
      <c r="B999" s="69"/>
      <c r="C999" s="70"/>
      <c r="D999" s="71"/>
    </row>
    <row r="1000" spans="2:4" x14ac:dyDescent="0.15">
      <c r="B1000" s="69"/>
      <c r="C1000" s="70"/>
      <c r="D1000" s="71"/>
    </row>
    <row r="1001" spans="2:4" x14ac:dyDescent="0.15">
      <c r="B1001" s="69"/>
      <c r="C1001" s="70"/>
      <c r="D1001" s="71"/>
    </row>
    <row r="1002" spans="2:4" x14ac:dyDescent="0.15">
      <c r="B1002" s="69"/>
      <c r="C1002" s="70"/>
      <c r="D1002" s="71"/>
    </row>
    <row r="1003" spans="2:4" x14ac:dyDescent="0.15">
      <c r="B1003" s="69"/>
      <c r="C1003" s="70"/>
      <c r="D1003" s="71"/>
    </row>
    <row r="1004" spans="2:4" x14ac:dyDescent="0.15">
      <c r="B1004" s="69"/>
      <c r="C1004" s="70"/>
      <c r="D1004" s="71"/>
    </row>
    <row r="1005" spans="2:4" x14ac:dyDescent="0.15">
      <c r="B1005" s="69"/>
      <c r="C1005" s="70"/>
      <c r="D1005" s="71"/>
    </row>
    <row r="1006" spans="2:4" x14ac:dyDescent="0.15">
      <c r="B1006" s="69"/>
      <c r="C1006" s="70"/>
      <c r="D1006" s="71"/>
    </row>
    <row r="1007" spans="2:4" x14ac:dyDescent="0.15">
      <c r="B1007" s="69"/>
      <c r="C1007" s="70"/>
      <c r="D1007" s="71"/>
    </row>
    <row r="1008" spans="2:4" x14ac:dyDescent="0.15">
      <c r="B1008" s="69"/>
      <c r="C1008" s="70"/>
      <c r="D1008" s="71"/>
    </row>
    <row r="1009" spans="2:4" x14ac:dyDescent="0.15">
      <c r="B1009" s="69"/>
      <c r="C1009" s="70"/>
      <c r="D1009" s="71"/>
    </row>
    <row r="1010" spans="2:4" x14ac:dyDescent="0.15">
      <c r="B1010" s="69"/>
      <c r="C1010" s="70"/>
      <c r="D1010" s="71"/>
    </row>
    <row r="1011" spans="2:4" x14ac:dyDescent="0.15">
      <c r="B1011" s="69"/>
      <c r="C1011" s="70"/>
      <c r="D1011" s="71"/>
    </row>
    <row r="1012" spans="2:4" x14ac:dyDescent="0.15">
      <c r="B1012" s="69"/>
      <c r="C1012" s="70"/>
      <c r="D1012" s="71"/>
    </row>
    <row r="1013" spans="2:4" x14ac:dyDescent="0.15">
      <c r="B1013" s="69"/>
      <c r="C1013" s="70"/>
      <c r="D1013" s="71"/>
    </row>
    <row r="1014" spans="2:4" x14ac:dyDescent="0.15">
      <c r="B1014" s="69"/>
      <c r="C1014" s="70"/>
      <c r="D1014" s="71"/>
    </row>
    <row r="1015" spans="2:4" x14ac:dyDescent="0.15">
      <c r="B1015" s="69"/>
      <c r="C1015" s="70"/>
      <c r="D1015" s="71"/>
    </row>
    <row r="1016" spans="2:4" x14ac:dyDescent="0.15">
      <c r="B1016" s="69"/>
      <c r="C1016" s="70"/>
      <c r="D1016" s="71"/>
    </row>
    <row r="1017" spans="2:4" x14ac:dyDescent="0.15">
      <c r="B1017" s="69"/>
      <c r="C1017" s="70"/>
      <c r="D1017" s="71"/>
    </row>
    <row r="1018" spans="2:4" x14ac:dyDescent="0.15">
      <c r="B1018" s="69"/>
      <c r="C1018" s="70"/>
      <c r="D1018" s="71"/>
    </row>
    <row r="1019" spans="2:4" x14ac:dyDescent="0.15">
      <c r="B1019" s="69"/>
      <c r="C1019" s="70"/>
      <c r="D1019" s="71"/>
    </row>
    <row r="1020" spans="2:4" x14ac:dyDescent="0.15">
      <c r="B1020" s="69"/>
      <c r="C1020" s="70"/>
      <c r="D1020" s="71"/>
    </row>
    <row r="1021" spans="2:4" x14ac:dyDescent="0.15">
      <c r="B1021" s="69"/>
      <c r="C1021" s="70"/>
      <c r="D1021" s="71"/>
    </row>
    <row r="1022" spans="2:4" x14ac:dyDescent="0.15">
      <c r="B1022" s="69"/>
      <c r="C1022" s="70"/>
      <c r="D1022" s="71"/>
    </row>
    <row r="1023" spans="2:4" x14ac:dyDescent="0.15">
      <c r="B1023" s="69"/>
      <c r="C1023" s="70"/>
      <c r="D1023" s="71"/>
    </row>
    <row r="1024" spans="2:4" x14ac:dyDescent="0.15">
      <c r="B1024" s="69"/>
      <c r="C1024" s="70"/>
      <c r="D1024" s="71"/>
    </row>
    <row r="1025" spans="2:4" x14ac:dyDescent="0.15">
      <c r="B1025" s="69"/>
      <c r="C1025" s="70"/>
      <c r="D1025" s="71"/>
    </row>
    <row r="1026" spans="2:4" x14ac:dyDescent="0.15">
      <c r="B1026" s="69"/>
      <c r="C1026" s="70"/>
      <c r="D1026" s="71"/>
    </row>
    <row r="1027" spans="2:4" x14ac:dyDescent="0.15">
      <c r="B1027" s="69"/>
      <c r="C1027" s="70"/>
      <c r="D1027" s="71"/>
    </row>
    <row r="1028" spans="2:4" x14ac:dyDescent="0.15">
      <c r="B1028" s="69"/>
      <c r="C1028" s="70"/>
      <c r="D1028" s="71"/>
    </row>
    <row r="1029" spans="2:4" x14ac:dyDescent="0.15">
      <c r="B1029" s="69"/>
      <c r="C1029" s="70"/>
      <c r="D1029" s="71"/>
    </row>
    <row r="1030" spans="2:4" x14ac:dyDescent="0.15">
      <c r="B1030" s="69"/>
      <c r="C1030" s="70"/>
      <c r="D1030" s="71"/>
    </row>
    <row r="1031" spans="2:4" x14ac:dyDescent="0.15">
      <c r="B1031" s="69"/>
      <c r="C1031" s="70"/>
      <c r="D1031" s="71"/>
    </row>
    <row r="1032" spans="2:4" x14ac:dyDescent="0.15">
      <c r="B1032" s="69"/>
      <c r="C1032" s="70"/>
      <c r="D1032" s="71"/>
    </row>
    <row r="1033" spans="2:4" x14ac:dyDescent="0.15">
      <c r="B1033" s="69"/>
      <c r="C1033" s="70"/>
      <c r="D1033" s="71"/>
    </row>
    <row r="1034" spans="2:4" x14ac:dyDescent="0.15">
      <c r="B1034" s="69"/>
      <c r="C1034" s="70"/>
      <c r="D1034" s="71"/>
    </row>
    <row r="1035" spans="2:4" x14ac:dyDescent="0.15">
      <c r="B1035" s="69"/>
      <c r="C1035" s="70"/>
      <c r="D1035" s="71"/>
    </row>
    <row r="1036" spans="2:4" x14ac:dyDescent="0.15">
      <c r="B1036" s="69"/>
      <c r="C1036" s="70"/>
      <c r="D1036" s="71"/>
    </row>
    <row r="1037" spans="2:4" x14ac:dyDescent="0.15">
      <c r="B1037" s="69"/>
      <c r="C1037" s="70"/>
      <c r="D1037" s="71"/>
    </row>
    <row r="1038" spans="2:4" x14ac:dyDescent="0.15">
      <c r="B1038" s="69"/>
      <c r="C1038" s="70"/>
      <c r="D1038" s="71"/>
    </row>
    <row r="1039" spans="2:4" x14ac:dyDescent="0.15">
      <c r="B1039" s="69"/>
      <c r="C1039" s="70"/>
      <c r="D1039" s="71"/>
    </row>
    <row r="1040" spans="2:4" x14ac:dyDescent="0.15">
      <c r="B1040" s="69"/>
      <c r="C1040" s="70"/>
      <c r="D1040" s="71"/>
    </row>
    <row r="1041" spans="2:4" x14ac:dyDescent="0.15">
      <c r="B1041" s="69"/>
      <c r="C1041" s="70"/>
      <c r="D1041" s="71"/>
    </row>
    <row r="1042" spans="2:4" x14ac:dyDescent="0.15">
      <c r="B1042" s="69"/>
      <c r="C1042" s="70"/>
      <c r="D1042" s="71"/>
    </row>
    <row r="1043" spans="2:4" x14ac:dyDescent="0.15">
      <c r="B1043" s="69"/>
      <c r="C1043" s="70"/>
      <c r="D1043" s="71"/>
    </row>
    <row r="1044" spans="2:4" x14ac:dyDescent="0.15">
      <c r="B1044" s="69"/>
      <c r="C1044" s="70"/>
      <c r="D1044" s="71"/>
    </row>
    <row r="1045" spans="2:4" x14ac:dyDescent="0.15">
      <c r="B1045" s="69"/>
      <c r="C1045" s="70"/>
      <c r="D1045" s="71"/>
    </row>
    <row r="1046" spans="2:4" x14ac:dyDescent="0.15">
      <c r="B1046" s="69"/>
      <c r="C1046" s="70"/>
      <c r="D1046" s="71"/>
    </row>
    <row r="1047" spans="2:4" x14ac:dyDescent="0.15">
      <c r="B1047" s="69"/>
      <c r="C1047" s="70"/>
      <c r="D1047" s="71"/>
    </row>
    <row r="1048" spans="2:4" x14ac:dyDescent="0.15">
      <c r="B1048" s="69"/>
      <c r="C1048" s="70"/>
      <c r="D1048" s="71"/>
    </row>
    <row r="1049" spans="2:4" x14ac:dyDescent="0.15">
      <c r="B1049" s="69"/>
      <c r="C1049" s="70"/>
      <c r="D1049" s="71"/>
    </row>
    <row r="1050" spans="2:4" x14ac:dyDescent="0.15">
      <c r="B1050" s="69"/>
      <c r="C1050" s="70"/>
      <c r="D1050" s="71"/>
    </row>
    <row r="1051" spans="2:4" x14ac:dyDescent="0.15">
      <c r="B1051" s="69"/>
      <c r="C1051" s="70"/>
      <c r="D1051" s="71"/>
    </row>
    <row r="1052" spans="2:4" x14ac:dyDescent="0.15">
      <c r="B1052" s="69"/>
      <c r="C1052" s="70"/>
      <c r="D1052" s="71"/>
    </row>
    <row r="1053" spans="2:4" x14ac:dyDescent="0.15">
      <c r="B1053" s="69"/>
      <c r="C1053" s="70"/>
      <c r="D1053" s="71"/>
    </row>
    <row r="1054" spans="2:4" x14ac:dyDescent="0.15">
      <c r="B1054" s="69"/>
      <c r="C1054" s="70"/>
      <c r="D1054" s="71"/>
    </row>
    <row r="1055" spans="2:4" x14ac:dyDescent="0.15">
      <c r="B1055" s="69"/>
      <c r="C1055" s="70"/>
      <c r="D1055" s="71"/>
    </row>
    <row r="1056" spans="2:4" x14ac:dyDescent="0.15">
      <c r="B1056" s="69"/>
      <c r="C1056" s="70"/>
      <c r="D1056" s="71"/>
    </row>
    <row r="1057" spans="2:4" x14ac:dyDescent="0.15">
      <c r="B1057" s="69"/>
      <c r="C1057" s="70"/>
      <c r="D1057" s="71"/>
    </row>
    <row r="1058" spans="2:4" x14ac:dyDescent="0.15">
      <c r="B1058" s="69"/>
      <c r="C1058" s="70"/>
      <c r="D1058" s="71"/>
    </row>
    <row r="1059" spans="2:4" x14ac:dyDescent="0.15">
      <c r="B1059" s="69"/>
      <c r="C1059" s="70"/>
      <c r="D1059" s="71"/>
    </row>
    <row r="1060" spans="2:4" x14ac:dyDescent="0.15">
      <c r="B1060" s="69"/>
      <c r="C1060" s="70"/>
      <c r="D1060" s="71"/>
    </row>
    <row r="1061" spans="2:4" x14ac:dyDescent="0.15">
      <c r="B1061" s="69"/>
      <c r="C1061" s="70"/>
      <c r="D1061" s="71"/>
    </row>
    <row r="1062" spans="2:4" x14ac:dyDescent="0.15">
      <c r="B1062" s="69"/>
      <c r="C1062" s="70"/>
      <c r="D1062" s="71"/>
    </row>
    <row r="1063" spans="2:4" x14ac:dyDescent="0.15">
      <c r="B1063" s="69"/>
      <c r="C1063" s="70"/>
      <c r="D1063" s="71"/>
    </row>
    <row r="1064" spans="2:4" x14ac:dyDescent="0.15">
      <c r="B1064" s="69"/>
      <c r="C1064" s="70"/>
      <c r="D1064" s="71"/>
    </row>
    <row r="1065" spans="2:4" x14ac:dyDescent="0.15">
      <c r="B1065" s="69"/>
      <c r="C1065" s="70"/>
      <c r="D1065" s="71"/>
    </row>
    <row r="1066" spans="2:4" x14ac:dyDescent="0.15">
      <c r="B1066" s="69"/>
      <c r="C1066" s="70"/>
      <c r="D1066" s="71"/>
    </row>
    <row r="1067" spans="2:4" x14ac:dyDescent="0.15">
      <c r="B1067" s="69"/>
      <c r="C1067" s="70"/>
      <c r="D1067" s="71"/>
    </row>
    <row r="1068" spans="2:4" x14ac:dyDescent="0.15">
      <c r="B1068" s="69"/>
      <c r="C1068" s="70"/>
      <c r="D1068" s="71"/>
    </row>
    <row r="1069" spans="2:4" x14ac:dyDescent="0.15">
      <c r="B1069" s="69"/>
      <c r="C1069" s="70"/>
      <c r="D1069" s="71"/>
    </row>
    <row r="1070" spans="2:4" x14ac:dyDescent="0.15">
      <c r="B1070" s="69"/>
      <c r="C1070" s="70"/>
      <c r="D1070" s="71"/>
    </row>
    <row r="1071" spans="2:4" x14ac:dyDescent="0.15">
      <c r="B1071" s="69"/>
      <c r="C1071" s="70"/>
      <c r="D1071" s="71"/>
    </row>
    <row r="1072" spans="2:4" x14ac:dyDescent="0.15">
      <c r="B1072" s="69"/>
      <c r="C1072" s="70"/>
      <c r="D1072" s="71"/>
    </row>
    <row r="1073" spans="2:4" x14ac:dyDescent="0.15">
      <c r="B1073" s="69"/>
      <c r="C1073" s="70"/>
      <c r="D1073" s="71"/>
    </row>
    <row r="1074" spans="2:4" x14ac:dyDescent="0.15">
      <c r="B1074" s="69"/>
      <c r="C1074" s="70"/>
      <c r="D1074" s="71"/>
    </row>
    <row r="1075" spans="2:4" x14ac:dyDescent="0.15">
      <c r="B1075" s="69"/>
      <c r="C1075" s="70"/>
      <c r="D1075" s="71"/>
    </row>
    <row r="1076" spans="2:4" x14ac:dyDescent="0.15">
      <c r="B1076" s="69"/>
      <c r="C1076" s="70"/>
      <c r="D1076" s="71"/>
    </row>
    <row r="1077" spans="2:4" x14ac:dyDescent="0.15">
      <c r="B1077" s="69"/>
      <c r="C1077" s="70"/>
      <c r="D1077" s="71"/>
    </row>
    <row r="1078" spans="2:4" x14ac:dyDescent="0.15">
      <c r="B1078" s="69"/>
      <c r="C1078" s="70"/>
      <c r="D1078" s="71"/>
    </row>
    <row r="1079" spans="2:4" x14ac:dyDescent="0.15">
      <c r="B1079" s="69"/>
      <c r="C1079" s="70"/>
      <c r="D1079" s="71"/>
    </row>
    <row r="1080" spans="2:4" x14ac:dyDescent="0.15">
      <c r="B1080" s="69"/>
      <c r="C1080" s="70"/>
      <c r="D1080" s="71"/>
    </row>
    <row r="1081" spans="2:4" x14ac:dyDescent="0.15">
      <c r="B1081" s="69"/>
      <c r="C1081" s="70"/>
      <c r="D1081" s="71"/>
    </row>
    <row r="1082" spans="2:4" x14ac:dyDescent="0.15">
      <c r="B1082" s="69"/>
      <c r="C1082" s="70"/>
      <c r="D1082" s="71"/>
    </row>
    <row r="1083" spans="2:4" x14ac:dyDescent="0.15">
      <c r="B1083" s="69"/>
      <c r="C1083" s="70"/>
      <c r="D1083" s="71"/>
    </row>
    <row r="1084" spans="2:4" x14ac:dyDescent="0.15">
      <c r="B1084" s="69"/>
      <c r="C1084" s="70"/>
      <c r="D1084" s="71"/>
    </row>
    <row r="1085" spans="2:4" x14ac:dyDescent="0.15">
      <c r="B1085" s="69"/>
      <c r="C1085" s="70"/>
      <c r="D1085" s="71"/>
    </row>
    <row r="1086" spans="2:4" x14ac:dyDescent="0.15">
      <c r="B1086" s="69"/>
      <c r="C1086" s="70"/>
      <c r="D1086" s="71"/>
    </row>
    <row r="1087" spans="2:4" x14ac:dyDescent="0.15">
      <c r="B1087" s="69"/>
      <c r="C1087" s="70"/>
      <c r="D1087" s="71"/>
    </row>
    <row r="1088" spans="2:4" x14ac:dyDescent="0.15">
      <c r="B1088" s="69"/>
      <c r="C1088" s="70"/>
      <c r="D1088" s="71"/>
    </row>
    <row r="1089" spans="2:4" x14ac:dyDescent="0.15">
      <c r="B1089" s="69"/>
      <c r="C1089" s="70"/>
      <c r="D1089" s="71"/>
    </row>
    <row r="1090" spans="2:4" x14ac:dyDescent="0.15">
      <c r="B1090" s="69"/>
      <c r="C1090" s="70"/>
      <c r="D1090" s="71"/>
    </row>
    <row r="1091" spans="2:4" x14ac:dyDescent="0.15">
      <c r="B1091" s="69"/>
      <c r="C1091" s="70"/>
      <c r="D1091" s="71"/>
    </row>
    <row r="1092" spans="2:4" x14ac:dyDescent="0.15">
      <c r="B1092" s="69"/>
      <c r="C1092" s="70"/>
      <c r="D1092" s="71"/>
    </row>
    <row r="1093" spans="2:4" x14ac:dyDescent="0.15">
      <c r="B1093" s="69"/>
      <c r="C1093" s="70"/>
      <c r="D1093" s="71"/>
    </row>
    <row r="1094" spans="2:4" x14ac:dyDescent="0.15">
      <c r="B1094" s="69"/>
      <c r="C1094" s="70"/>
      <c r="D1094" s="71"/>
    </row>
    <row r="1095" spans="2:4" x14ac:dyDescent="0.15">
      <c r="B1095" s="69"/>
      <c r="C1095" s="70"/>
      <c r="D1095" s="71"/>
    </row>
    <row r="1096" spans="2:4" x14ac:dyDescent="0.15">
      <c r="B1096" s="69"/>
      <c r="C1096" s="70"/>
      <c r="D1096" s="71"/>
    </row>
    <row r="1097" spans="2:4" x14ac:dyDescent="0.15">
      <c r="B1097" s="69"/>
      <c r="C1097" s="70"/>
      <c r="D1097" s="71"/>
    </row>
    <row r="1098" spans="2:4" x14ac:dyDescent="0.15">
      <c r="B1098" s="69"/>
      <c r="C1098" s="70"/>
      <c r="D1098" s="71"/>
    </row>
    <row r="1099" spans="2:4" x14ac:dyDescent="0.15">
      <c r="B1099" s="69"/>
      <c r="C1099" s="70"/>
      <c r="D1099" s="71"/>
    </row>
    <row r="1100" spans="2:4" x14ac:dyDescent="0.15">
      <c r="B1100" s="69"/>
      <c r="C1100" s="70"/>
      <c r="D1100" s="71"/>
    </row>
    <row r="1101" spans="2:4" x14ac:dyDescent="0.15">
      <c r="B1101" s="69"/>
      <c r="C1101" s="70"/>
      <c r="D1101" s="71"/>
    </row>
    <row r="1102" spans="2:4" x14ac:dyDescent="0.15">
      <c r="B1102" s="69"/>
      <c r="C1102" s="70"/>
      <c r="D1102" s="71"/>
    </row>
    <row r="1103" spans="2:4" x14ac:dyDescent="0.15">
      <c r="B1103" s="69"/>
      <c r="C1103" s="70"/>
      <c r="D1103" s="71"/>
    </row>
    <row r="1104" spans="2:4" x14ac:dyDescent="0.15">
      <c r="B1104" s="69"/>
      <c r="C1104" s="70"/>
      <c r="D1104" s="71"/>
    </row>
    <row r="1105" spans="2:4" x14ac:dyDescent="0.15">
      <c r="B1105" s="69"/>
      <c r="C1105" s="70"/>
      <c r="D1105" s="71"/>
    </row>
    <row r="1106" spans="2:4" x14ac:dyDescent="0.15">
      <c r="B1106" s="69"/>
      <c r="C1106" s="70"/>
      <c r="D1106" s="71"/>
    </row>
    <row r="1107" spans="2:4" x14ac:dyDescent="0.15">
      <c r="B1107" s="69"/>
      <c r="C1107" s="70"/>
      <c r="D1107" s="71"/>
    </row>
    <row r="1108" spans="2:4" x14ac:dyDescent="0.15">
      <c r="B1108" s="69"/>
      <c r="C1108" s="70"/>
      <c r="D1108" s="71"/>
    </row>
    <row r="1109" spans="2:4" x14ac:dyDescent="0.15">
      <c r="B1109" s="69"/>
      <c r="C1109" s="70"/>
      <c r="D1109" s="71"/>
    </row>
    <row r="1110" spans="2:4" x14ac:dyDescent="0.15">
      <c r="B1110" s="69"/>
      <c r="C1110" s="70"/>
      <c r="D1110" s="71"/>
    </row>
    <row r="1111" spans="2:4" x14ac:dyDescent="0.15">
      <c r="B1111" s="69"/>
      <c r="C1111" s="70"/>
      <c r="D1111" s="71"/>
    </row>
    <row r="1112" spans="2:4" x14ac:dyDescent="0.15">
      <c r="B1112" s="69"/>
      <c r="C1112" s="70"/>
      <c r="D1112" s="71"/>
    </row>
    <row r="1113" spans="2:4" x14ac:dyDescent="0.15">
      <c r="B1113" s="69"/>
      <c r="C1113" s="70"/>
      <c r="D1113" s="71"/>
    </row>
    <row r="1114" spans="2:4" x14ac:dyDescent="0.15">
      <c r="B1114" s="69"/>
      <c r="C1114" s="70"/>
      <c r="D1114" s="71"/>
    </row>
    <row r="1115" spans="2:4" x14ac:dyDescent="0.15">
      <c r="B1115" s="69"/>
      <c r="C1115" s="70"/>
      <c r="D1115" s="71"/>
    </row>
    <row r="1116" spans="2:4" x14ac:dyDescent="0.15">
      <c r="B1116" s="69"/>
      <c r="C1116" s="70"/>
      <c r="D1116" s="71"/>
    </row>
    <row r="1117" spans="2:4" x14ac:dyDescent="0.15">
      <c r="B1117" s="69"/>
      <c r="C1117" s="70"/>
      <c r="D1117" s="71"/>
    </row>
    <row r="1118" spans="2:4" x14ac:dyDescent="0.15">
      <c r="B1118" s="69"/>
      <c r="C1118" s="70"/>
      <c r="D1118" s="71"/>
    </row>
    <row r="1119" spans="2:4" x14ac:dyDescent="0.15">
      <c r="B1119" s="69"/>
      <c r="C1119" s="70"/>
      <c r="D1119" s="71"/>
    </row>
    <row r="1120" spans="2:4" x14ac:dyDescent="0.15">
      <c r="B1120" s="69"/>
      <c r="C1120" s="70"/>
      <c r="D1120" s="71"/>
    </row>
    <row r="1121" spans="2:4" x14ac:dyDescent="0.15">
      <c r="B1121" s="69"/>
      <c r="C1121" s="70"/>
      <c r="D1121" s="71"/>
    </row>
    <row r="1122" spans="2:4" x14ac:dyDescent="0.15">
      <c r="B1122" s="69"/>
      <c r="C1122" s="70"/>
      <c r="D1122" s="71"/>
    </row>
    <row r="1123" spans="2:4" x14ac:dyDescent="0.15">
      <c r="B1123" s="69"/>
      <c r="C1123" s="70"/>
      <c r="D1123" s="71"/>
    </row>
    <row r="1124" spans="2:4" x14ac:dyDescent="0.15">
      <c r="B1124" s="69"/>
      <c r="C1124" s="70"/>
      <c r="D1124" s="71"/>
    </row>
    <row r="1125" spans="2:4" x14ac:dyDescent="0.15">
      <c r="B1125" s="69"/>
      <c r="C1125" s="70"/>
      <c r="D1125" s="71"/>
    </row>
    <row r="1126" spans="2:4" x14ac:dyDescent="0.15">
      <c r="B1126" s="69"/>
      <c r="C1126" s="70"/>
      <c r="D1126" s="71"/>
    </row>
    <row r="1127" spans="2:4" x14ac:dyDescent="0.15">
      <c r="B1127" s="69"/>
      <c r="C1127" s="70"/>
      <c r="D1127" s="71"/>
    </row>
    <row r="1128" spans="2:4" x14ac:dyDescent="0.15">
      <c r="B1128" s="69"/>
      <c r="C1128" s="70"/>
      <c r="D1128" s="71"/>
    </row>
    <row r="1129" spans="2:4" x14ac:dyDescent="0.15">
      <c r="B1129" s="69"/>
      <c r="C1129" s="70"/>
      <c r="D1129" s="71"/>
    </row>
    <row r="1130" spans="2:4" x14ac:dyDescent="0.15">
      <c r="B1130" s="69"/>
      <c r="C1130" s="70"/>
      <c r="D1130" s="71"/>
    </row>
    <row r="1131" spans="2:4" x14ac:dyDescent="0.15">
      <c r="B1131" s="69"/>
      <c r="C1131" s="70"/>
      <c r="D1131" s="71"/>
    </row>
    <row r="1132" spans="2:4" x14ac:dyDescent="0.15">
      <c r="B1132" s="69"/>
      <c r="C1132" s="70"/>
      <c r="D1132" s="71"/>
    </row>
    <row r="1133" spans="2:4" x14ac:dyDescent="0.15">
      <c r="B1133" s="69"/>
      <c r="C1133" s="70"/>
      <c r="D1133" s="71"/>
    </row>
    <row r="1134" spans="2:4" x14ac:dyDescent="0.15">
      <c r="B1134" s="69"/>
      <c r="C1134" s="70"/>
      <c r="D1134" s="71"/>
    </row>
    <row r="1135" spans="2:4" x14ac:dyDescent="0.15">
      <c r="B1135" s="69"/>
      <c r="C1135" s="70"/>
      <c r="D1135" s="71"/>
    </row>
    <row r="1136" spans="2:4" x14ac:dyDescent="0.15">
      <c r="B1136" s="69"/>
      <c r="C1136" s="70"/>
      <c r="D1136" s="71"/>
    </row>
    <row r="1137" spans="2:4" x14ac:dyDescent="0.15">
      <c r="B1137" s="69"/>
      <c r="C1137" s="70"/>
      <c r="D1137" s="71"/>
    </row>
    <row r="1138" spans="2:4" x14ac:dyDescent="0.15">
      <c r="B1138" s="69"/>
      <c r="C1138" s="70"/>
      <c r="D1138" s="71"/>
    </row>
    <row r="1139" spans="2:4" x14ac:dyDescent="0.15">
      <c r="B1139" s="69"/>
      <c r="C1139" s="70"/>
      <c r="D1139" s="71"/>
    </row>
    <row r="1140" spans="2:4" x14ac:dyDescent="0.15">
      <c r="B1140" s="69"/>
      <c r="C1140" s="70"/>
      <c r="D1140" s="71"/>
    </row>
    <row r="1141" spans="2:4" x14ac:dyDescent="0.15">
      <c r="B1141" s="69"/>
      <c r="C1141" s="70"/>
      <c r="D1141" s="71"/>
    </row>
    <row r="1142" spans="2:4" x14ac:dyDescent="0.15">
      <c r="B1142" s="69"/>
      <c r="C1142" s="70"/>
      <c r="D1142" s="71"/>
    </row>
    <row r="1143" spans="2:4" x14ac:dyDescent="0.15">
      <c r="B1143" s="69"/>
      <c r="C1143" s="70"/>
      <c r="D1143" s="71"/>
    </row>
    <row r="1144" spans="2:4" x14ac:dyDescent="0.15">
      <c r="B1144" s="69"/>
      <c r="C1144" s="70"/>
      <c r="D1144" s="71"/>
    </row>
    <row r="1145" spans="2:4" x14ac:dyDescent="0.15">
      <c r="B1145" s="69"/>
      <c r="C1145" s="70"/>
      <c r="D1145" s="71"/>
    </row>
    <row r="1146" spans="2:4" x14ac:dyDescent="0.15">
      <c r="B1146" s="69"/>
      <c r="C1146" s="70"/>
      <c r="D1146" s="71"/>
    </row>
    <row r="1147" spans="2:4" x14ac:dyDescent="0.15">
      <c r="B1147" s="69"/>
      <c r="C1147" s="70"/>
      <c r="D1147" s="71"/>
    </row>
    <row r="1148" spans="2:4" x14ac:dyDescent="0.15">
      <c r="B1148" s="69"/>
      <c r="C1148" s="70"/>
      <c r="D1148" s="71"/>
    </row>
    <row r="1149" spans="2:4" x14ac:dyDescent="0.15">
      <c r="B1149" s="69"/>
      <c r="C1149" s="70"/>
      <c r="D1149" s="71"/>
    </row>
    <row r="1150" spans="2:4" x14ac:dyDescent="0.15">
      <c r="B1150" s="69"/>
      <c r="C1150" s="70"/>
      <c r="D1150" s="71"/>
    </row>
    <row r="1151" spans="2:4" x14ac:dyDescent="0.15">
      <c r="B1151" s="69"/>
      <c r="C1151" s="70"/>
      <c r="D1151" s="71"/>
    </row>
    <row r="1152" spans="2:4" x14ac:dyDescent="0.15">
      <c r="B1152" s="69"/>
      <c r="C1152" s="70"/>
      <c r="D1152" s="71"/>
    </row>
    <row r="1153" spans="2:4" x14ac:dyDescent="0.15">
      <c r="B1153" s="69"/>
      <c r="C1153" s="70"/>
      <c r="D1153" s="71"/>
    </row>
    <row r="1154" spans="2:4" x14ac:dyDescent="0.15">
      <c r="B1154" s="69"/>
      <c r="C1154" s="70"/>
      <c r="D1154" s="71"/>
    </row>
    <row r="1155" spans="2:4" x14ac:dyDescent="0.15">
      <c r="B1155" s="69"/>
      <c r="C1155" s="70"/>
      <c r="D1155" s="71"/>
    </row>
    <row r="1156" spans="2:4" x14ac:dyDescent="0.15">
      <c r="B1156" s="69"/>
      <c r="C1156" s="70"/>
      <c r="D1156" s="71"/>
    </row>
    <row r="1157" spans="2:4" x14ac:dyDescent="0.15">
      <c r="B1157" s="69"/>
      <c r="C1157" s="70"/>
      <c r="D1157" s="71"/>
    </row>
    <row r="1158" spans="2:4" x14ac:dyDescent="0.15">
      <c r="B1158" s="69"/>
      <c r="C1158" s="70"/>
      <c r="D1158" s="71"/>
    </row>
    <row r="1159" spans="2:4" x14ac:dyDescent="0.15">
      <c r="B1159" s="69"/>
      <c r="C1159" s="70"/>
      <c r="D1159" s="71"/>
    </row>
    <row r="1160" spans="2:4" x14ac:dyDescent="0.15">
      <c r="B1160" s="69"/>
      <c r="C1160" s="70"/>
      <c r="D1160" s="71"/>
    </row>
    <row r="1161" spans="2:4" x14ac:dyDescent="0.15">
      <c r="B1161" s="69"/>
      <c r="C1161" s="70"/>
      <c r="D1161" s="71"/>
    </row>
    <row r="1162" spans="2:4" x14ac:dyDescent="0.15">
      <c r="B1162" s="69"/>
      <c r="C1162" s="70"/>
      <c r="D1162" s="71"/>
    </row>
    <row r="1163" spans="2:4" x14ac:dyDescent="0.15">
      <c r="B1163" s="69"/>
      <c r="C1163" s="70"/>
      <c r="D1163" s="71"/>
    </row>
    <row r="1164" spans="2:4" x14ac:dyDescent="0.15">
      <c r="B1164" s="69"/>
      <c r="C1164" s="70"/>
      <c r="D1164" s="71"/>
    </row>
    <row r="1165" spans="2:4" x14ac:dyDescent="0.15">
      <c r="B1165" s="69"/>
      <c r="C1165" s="70"/>
      <c r="D1165" s="71"/>
    </row>
    <row r="1166" spans="2:4" x14ac:dyDescent="0.15">
      <c r="B1166" s="69"/>
      <c r="C1166" s="70"/>
      <c r="D1166" s="71"/>
    </row>
    <row r="1167" spans="2:4" x14ac:dyDescent="0.15">
      <c r="B1167" s="69"/>
      <c r="C1167" s="70"/>
      <c r="D1167" s="71"/>
    </row>
    <row r="1168" spans="2:4" x14ac:dyDescent="0.15">
      <c r="B1168" s="69"/>
      <c r="C1168" s="70"/>
      <c r="D1168" s="71"/>
    </row>
    <row r="1169" spans="2:4" x14ac:dyDescent="0.15">
      <c r="B1169" s="69"/>
      <c r="C1169" s="70"/>
      <c r="D1169" s="71"/>
    </row>
    <row r="1170" spans="2:4" x14ac:dyDescent="0.15">
      <c r="B1170" s="69"/>
      <c r="C1170" s="70"/>
      <c r="D1170" s="71"/>
    </row>
    <row r="1171" spans="2:4" x14ac:dyDescent="0.15">
      <c r="B1171" s="69"/>
      <c r="C1171" s="70"/>
      <c r="D1171" s="71"/>
    </row>
    <row r="1172" spans="2:4" x14ac:dyDescent="0.15">
      <c r="B1172" s="69"/>
      <c r="C1172" s="70"/>
      <c r="D1172" s="71"/>
    </row>
    <row r="1173" spans="2:4" x14ac:dyDescent="0.15">
      <c r="B1173" s="69"/>
      <c r="C1173" s="70"/>
      <c r="D1173" s="71"/>
    </row>
    <row r="1174" spans="2:4" x14ac:dyDescent="0.15">
      <c r="B1174" s="69"/>
      <c r="C1174" s="70"/>
      <c r="D1174" s="71"/>
    </row>
    <row r="1175" spans="2:4" x14ac:dyDescent="0.15">
      <c r="B1175" s="69"/>
      <c r="C1175" s="70"/>
      <c r="D1175" s="71"/>
    </row>
    <row r="1176" spans="2:4" x14ac:dyDescent="0.15">
      <c r="B1176" s="69"/>
      <c r="C1176" s="70"/>
      <c r="D1176" s="71"/>
    </row>
    <row r="1177" spans="2:4" x14ac:dyDescent="0.15">
      <c r="B1177" s="69"/>
      <c r="C1177" s="70"/>
      <c r="D1177" s="71"/>
    </row>
    <row r="1178" spans="2:4" x14ac:dyDescent="0.15">
      <c r="B1178" s="69"/>
      <c r="C1178" s="70"/>
      <c r="D1178" s="71"/>
    </row>
    <row r="1179" spans="2:4" x14ac:dyDescent="0.15">
      <c r="B1179" s="69"/>
      <c r="C1179" s="70"/>
      <c r="D1179" s="71"/>
    </row>
    <row r="1180" spans="2:4" x14ac:dyDescent="0.15">
      <c r="B1180" s="69"/>
      <c r="C1180" s="70"/>
      <c r="D1180" s="71"/>
    </row>
    <row r="1181" spans="2:4" x14ac:dyDescent="0.15">
      <c r="B1181" s="69"/>
      <c r="C1181" s="70"/>
      <c r="D1181" s="71"/>
    </row>
    <row r="1182" spans="2:4" x14ac:dyDescent="0.15">
      <c r="B1182" s="69"/>
      <c r="C1182" s="70"/>
      <c r="D1182" s="71"/>
    </row>
    <row r="1183" spans="2:4" x14ac:dyDescent="0.15">
      <c r="B1183" s="69"/>
      <c r="C1183" s="70"/>
      <c r="D1183" s="71"/>
    </row>
    <row r="1184" spans="2:4" x14ac:dyDescent="0.15">
      <c r="B1184" s="69"/>
      <c r="C1184" s="70"/>
      <c r="D1184" s="71"/>
    </row>
    <row r="1185" spans="2:4" x14ac:dyDescent="0.15">
      <c r="B1185" s="69"/>
      <c r="C1185" s="70"/>
      <c r="D1185" s="71"/>
    </row>
    <row r="1186" spans="2:4" x14ac:dyDescent="0.15">
      <c r="B1186" s="69"/>
      <c r="C1186" s="70"/>
      <c r="D1186" s="71"/>
    </row>
    <row r="1187" spans="2:4" x14ac:dyDescent="0.15">
      <c r="B1187" s="69"/>
      <c r="C1187" s="70"/>
      <c r="D1187" s="71"/>
    </row>
    <row r="1188" spans="2:4" x14ac:dyDescent="0.15">
      <c r="B1188" s="69"/>
      <c r="C1188" s="70"/>
      <c r="D1188" s="71"/>
    </row>
    <row r="1189" spans="2:4" x14ac:dyDescent="0.15">
      <c r="B1189" s="69"/>
      <c r="C1189" s="70"/>
      <c r="D1189" s="71"/>
    </row>
    <row r="1190" spans="2:4" x14ac:dyDescent="0.15">
      <c r="B1190" s="69"/>
      <c r="C1190" s="70"/>
      <c r="D1190" s="71"/>
    </row>
    <row r="1191" spans="2:4" x14ac:dyDescent="0.15">
      <c r="B1191" s="69"/>
      <c r="C1191" s="70"/>
      <c r="D1191" s="71"/>
    </row>
    <row r="1192" spans="2:4" x14ac:dyDescent="0.15">
      <c r="B1192" s="69"/>
      <c r="C1192" s="70"/>
      <c r="D1192" s="71"/>
    </row>
    <row r="1193" spans="2:4" x14ac:dyDescent="0.15">
      <c r="B1193" s="69"/>
      <c r="C1193" s="70"/>
      <c r="D1193" s="71"/>
    </row>
    <row r="1194" spans="2:4" x14ac:dyDescent="0.15">
      <c r="B1194" s="69"/>
      <c r="C1194" s="70"/>
      <c r="D1194" s="71"/>
    </row>
    <row r="1195" spans="2:4" x14ac:dyDescent="0.15">
      <c r="B1195" s="69"/>
      <c r="C1195" s="70"/>
      <c r="D1195" s="71"/>
    </row>
    <row r="1196" spans="2:4" x14ac:dyDescent="0.15">
      <c r="B1196" s="69"/>
      <c r="C1196" s="70"/>
      <c r="D1196" s="71"/>
    </row>
    <row r="1197" spans="2:4" x14ac:dyDescent="0.15">
      <c r="B1197" s="69"/>
      <c r="C1197" s="70"/>
      <c r="D1197" s="71"/>
    </row>
    <row r="1198" spans="2:4" x14ac:dyDescent="0.15">
      <c r="B1198" s="69"/>
      <c r="C1198" s="70"/>
      <c r="D1198" s="71"/>
    </row>
    <row r="1199" spans="2:4" x14ac:dyDescent="0.15">
      <c r="B1199" s="69"/>
      <c r="C1199" s="70"/>
      <c r="D1199" s="71"/>
    </row>
    <row r="1200" spans="2:4" x14ac:dyDescent="0.15">
      <c r="B1200" s="69"/>
      <c r="C1200" s="70"/>
      <c r="D1200" s="71"/>
    </row>
    <row r="1201" spans="2:4" x14ac:dyDescent="0.15">
      <c r="B1201" s="69"/>
      <c r="C1201" s="70"/>
      <c r="D1201" s="71"/>
    </row>
    <row r="1202" spans="2:4" x14ac:dyDescent="0.15">
      <c r="B1202" s="69"/>
      <c r="C1202" s="70"/>
      <c r="D1202" s="71"/>
    </row>
    <row r="1203" spans="2:4" x14ac:dyDescent="0.15">
      <c r="B1203" s="69"/>
      <c r="C1203" s="70"/>
      <c r="D1203" s="71"/>
    </row>
    <row r="1204" spans="2:4" x14ac:dyDescent="0.15">
      <c r="B1204" s="69"/>
      <c r="C1204" s="70"/>
      <c r="D1204" s="71"/>
    </row>
    <row r="1205" spans="2:4" x14ac:dyDescent="0.15">
      <c r="B1205" s="69"/>
      <c r="C1205" s="70"/>
      <c r="D1205" s="71"/>
    </row>
    <row r="1206" spans="2:4" x14ac:dyDescent="0.15">
      <c r="B1206" s="69"/>
      <c r="C1206" s="70"/>
      <c r="D1206" s="71"/>
    </row>
    <row r="1207" spans="2:4" x14ac:dyDescent="0.15">
      <c r="B1207" s="69"/>
      <c r="C1207" s="70"/>
      <c r="D1207" s="71"/>
    </row>
    <row r="1208" spans="2:4" x14ac:dyDescent="0.15">
      <c r="B1208" s="69"/>
      <c r="C1208" s="70"/>
      <c r="D1208" s="71"/>
    </row>
    <row r="1209" spans="2:4" x14ac:dyDescent="0.15">
      <c r="B1209" s="69"/>
      <c r="C1209" s="70"/>
      <c r="D1209" s="71"/>
    </row>
    <row r="1210" spans="2:4" x14ac:dyDescent="0.15">
      <c r="B1210" s="69"/>
      <c r="C1210" s="70"/>
      <c r="D1210" s="71"/>
    </row>
    <row r="1211" spans="2:4" x14ac:dyDescent="0.15">
      <c r="B1211" s="69"/>
      <c r="C1211" s="70"/>
      <c r="D1211" s="71"/>
    </row>
    <row r="1212" spans="2:4" x14ac:dyDescent="0.15">
      <c r="B1212" s="69"/>
      <c r="C1212" s="70"/>
      <c r="D1212" s="71"/>
    </row>
    <row r="1213" spans="2:4" x14ac:dyDescent="0.15">
      <c r="B1213" s="69"/>
      <c r="C1213" s="70"/>
      <c r="D1213" s="71"/>
    </row>
    <row r="1214" spans="2:4" x14ac:dyDescent="0.15">
      <c r="B1214" s="69"/>
      <c r="C1214" s="70"/>
      <c r="D1214" s="71"/>
    </row>
    <row r="1215" spans="2:4" x14ac:dyDescent="0.15">
      <c r="B1215" s="69"/>
      <c r="C1215" s="70"/>
      <c r="D1215" s="71"/>
    </row>
    <row r="1216" spans="2:4" x14ac:dyDescent="0.15">
      <c r="B1216" s="69"/>
      <c r="C1216" s="70"/>
      <c r="D1216" s="71"/>
    </row>
    <row r="1217" spans="2:4" x14ac:dyDescent="0.15">
      <c r="B1217" s="69"/>
      <c r="C1217" s="70"/>
      <c r="D1217" s="71"/>
    </row>
    <row r="1218" spans="2:4" x14ac:dyDescent="0.15">
      <c r="B1218" s="69"/>
      <c r="C1218" s="70"/>
      <c r="D1218" s="71"/>
    </row>
    <row r="1219" spans="2:4" x14ac:dyDescent="0.15">
      <c r="B1219" s="69"/>
      <c r="C1219" s="70"/>
      <c r="D1219" s="71"/>
    </row>
    <row r="1220" spans="2:4" x14ac:dyDescent="0.15">
      <c r="B1220" s="69"/>
      <c r="C1220" s="70"/>
      <c r="D1220" s="71"/>
    </row>
    <row r="1221" spans="2:4" x14ac:dyDescent="0.15">
      <c r="B1221" s="69"/>
      <c r="C1221" s="70"/>
      <c r="D1221" s="71"/>
    </row>
    <row r="1222" spans="2:4" x14ac:dyDescent="0.15">
      <c r="B1222" s="69"/>
      <c r="C1222" s="70"/>
      <c r="D1222" s="71"/>
    </row>
    <row r="1223" spans="2:4" x14ac:dyDescent="0.15">
      <c r="B1223" s="69"/>
      <c r="C1223" s="70"/>
      <c r="D1223" s="71"/>
    </row>
    <row r="1224" spans="2:4" x14ac:dyDescent="0.15">
      <c r="B1224" s="69"/>
      <c r="C1224" s="70"/>
      <c r="D1224" s="71"/>
    </row>
    <row r="1225" spans="2:4" x14ac:dyDescent="0.15">
      <c r="B1225" s="69"/>
      <c r="C1225" s="70"/>
      <c r="D1225" s="71"/>
    </row>
    <row r="1226" spans="2:4" x14ac:dyDescent="0.15">
      <c r="B1226" s="69"/>
      <c r="C1226" s="70"/>
      <c r="D1226" s="71"/>
    </row>
    <row r="1227" spans="2:4" x14ac:dyDescent="0.15">
      <c r="B1227" s="69"/>
      <c r="C1227" s="70"/>
      <c r="D1227" s="71"/>
    </row>
    <row r="1228" spans="2:4" x14ac:dyDescent="0.15">
      <c r="B1228" s="69"/>
      <c r="C1228" s="70"/>
      <c r="D1228" s="71"/>
    </row>
    <row r="1229" spans="2:4" x14ac:dyDescent="0.15">
      <c r="B1229" s="69"/>
      <c r="C1229" s="70"/>
      <c r="D1229" s="71"/>
    </row>
    <row r="1230" spans="2:4" x14ac:dyDescent="0.15">
      <c r="B1230" s="69"/>
      <c r="C1230" s="70"/>
      <c r="D1230" s="71"/>
    </row>
    <row r="1231" spans="2:4" x14ac:dyDescent="0.15">
      <c r="B1231" s="69"/>
      <c r="C1231" s="70"/>
      <c r="D1231" s="71"/>
    </row>
    <row r="1232" spans="2:4" x14ac:dyDescent="0.15">
      <c r="B1232" s="69"/>
      <c r="C1232" s="70"/>
      <c r="D1232" s="71"/>
    </row>
    <row r="1233" spans="2:4" x14ac:dyDescent="0.15">
      <c r="B1233" s="69"/>
      <c r="C1233" s="70"/>
      <c r="D1233" s="71"/>
    </row>
    <row r="1234" spans="2:4" x14ac:dyDescent="0.15">
      <c r="B1234" s="69"/>
      <c r="C1234" s="70"/>
      <c r="D1234" s="71"/>
    </row>
    <row r="1235" spans="2:4" x14ac:dyDescent="0.15">
      <c r="B1235" s="69"/>
      <c r="C1235" s="70"/>
      <c r="D1235" s="71"/>
    </row>
    <row r="1236" spans="2:4" x14ac:dyDescent="0.15">
      <c r="B1236" s="69"/>
      <c r="C1236" s="70"/>
      <c r="D1236" s="71"/>
    </row>
    <row r="1237" spans="2:4" x14ac:dyDescent="0.15">
      <c r="B1237" s="69"/>
      <c r="C1237" s="70"/>
      <c r="D1237" s="71"/>
    </row>
    <row r="1238" spans="2:4" x14ac:dyDescent="0.15">
      <c r="B1238" s="69"/>
      <c r="C1238" s="70"/>
      <c r="D1238" s="71"/>
    </row>
    <row r="1239" spans="2:4" x14ac:dyDescent="0.15">
      <c r="B1239" s="69"/>
      <c r="C1239" s="70"/>
      <c r="D1239" s="71"/>
    </row>
    <row r="1240" spans="2:4" x14ac:dyDescent="0.15">
      <c r="B1240" s="69"/>
      <c r="C1240" s="70"/>
      <c r="D1240" s="71"/>
    </row>
    <row r="1241" spans="2:4" x14ac:dyDescent="0.15">
      <c r="B1241" s="69"/>
      <c r="C1241" s="70"/>
      <c r="D1241" s="71"/>
    </row>
    <row r="1242" spans="2:4" x14ac:dyDescent="0.15">
      <c r="B1242" s="69"/>
      <c r="C1242" s="70"/>
      <c r="D1242" s="71"/>
    </row>
    <row r="1243" spans="2:4" x14ac:dyDescent="0.15">
      <c r="B1243" s="69"/>
      <c r="C1243" s="70"/>
      <c r="D1243" s="71"/>
    </row>
    <row r="1244" spans="2:4" x14ac:dyDescent="0.15">
      <c r="B1244" s="69"/>
      <c r="C1244" s="70"/>
      <c r="D1244" s="71"/>
    </row>
    <row r="1245" spans="2:4" x14ac:dyDescent="0.15">
      <c r="B1245" s="69"/>
      <c r="C1245" s="70"/>
      <c r="D1245" s="71"/>
    </row>
    <row r="1246" spans="2:4" x14ac:dyDescent="0.15">
      <c r="B1246" s="69"/>
      <c r="C1246" s="70"/>
      <c r="D1246" s="71"/>
    </row>
    <row r="1247" spans="2:4" x14ac:dyDescent="0.15">
      <c r="B1247" s="69"/>
      <c r="C1247" s="70"/>
      <c r="D1247" s="71"/>
    </row>
    <row r="1248" spans="2:4" x14ac:dyDescent="0.15">
      <c r="B1248" s="69"/>
      <c r="C1248" s="70"/>
      <c r="D1248" s="71"/>
    </row>
    <row r="1249" spans="2:4" x14ac:dyDescent="0.15">
      <c r="B1249" s="69"/>
      <c r="C1249" s="70"/>
      <c r="D1249" s="71"/>
    </row>
    <row r="1250" spans="2:4" x14ac:dyDescent="0.15">
      <c r="B1250" s="69"/>
      <c r="C1250" s="70"/>
      <c r="D1250" s="71"/>
    </row>
    <row r="1251" spans="2:4" x14ac:dyDescent="0.15">
      <c r="B1251" s="69"/>
      <c r="C1251" s="70"/>
      <c r="D1251" s="71"/>
    </row>
    <row r="1252" spans="2:4" x14ac:dyDescent="0.15">
      <c r="B1252" s="69"/>
      <c r="C1252" s="70"/>
      <c r="D1252" s="71"/>
    </row>
    <row r="1253" spans="2:4" x14ac:dyDescent="0.15">
      <c r="B1253" s="69"/>
      <c r="C1253" s="70"/>
      <c r="D1253" s="71"/>
    </row>
    <row r="1254" spans="2:4" x14ac:dyDescent="0.15">
      <c r="B1254" s="69"/>
      <c r="C1254" s="70"/>
      <c r="D1254" s="71"/>
    </row>
    <row r="1255" spans="2:4" x14ac:dyDescent="0.15">
      <c r="B1255" s="69"/>
      <c r="C1255" s="70"/>
      <c r="D1255" s="71"/>
    </row>
    <row r="1256" spans="2:4" x14ac:dyDescent="0.15">
      <c r="B1256" s="69"/>
      <c r="C1256" s="70"/>
      <c r="D1256" s="71"/>
    </row>
    <row r="1257" spans="2:4" x14ac:dyDescent="0.15">
      <c r="B1257" s="69"/>
      <c r="C1257" s="70"/>
      <c r="D1257" s="71"/>
    </row>
    <row r="1258" spans="2:4" x14ac:dyDescent="0.15">
      <c r="B1258" s="69"/>
      <c r="C1258" s="70"/>
      <c r="D1258" s="71"/>
    </row>
    <row r="1259" spans="2:4" x14ac:dyDescent="0.15">
      <c r="B1259" s="69"/>
      <c r="C1259" s="70"/>
      <c r="D1259" s="71"/>
    </row>
    <row r="1260" spans="2:4" x14ac:dyDescent="0.15">
      <c r="B1260" s="69"/>
      <c r="C1260" s="70"/>
      <c r="D1260" s="71"/>
    </row>
    <row r="1261" spans="2:4" x14ac:dyDescent="0.15">
      <c r="B1261" s="69"/>
      <c r="C1261" s="70"/>
      <c r="D1261" s="71"/>
    </row>
    <row r="1262" spans="2:4" x14ac:dyDescent="0.15">
      <c r="B1262" s="69"/>
      <c r="C1262" s="70"/>
      <c r="D1262" s="71"/>
    </row>
    <row r="1263" spans="2:4" x14ac:dyDescent="0.15">
      <c r="B1263" s="69"/>
      <c r="C1263" s="70"/>
      <c r="D1263" s="71"/>
    </row>
    <row r="1264" spans="2:4" x14ac:dyDescent="0.15">
      <c r="B1264" s="69"/>
      <c r="C1264" s="70"/>
      <c r="D1264" s="71"/>
    </row>
    <row r="1265" spans="2:4" x14ac:dyDescent="0.15">
      <c r="B1265" s="69"/>
      <c r="C1265" s="70"/>
      <c r="D1265" s="71"/>
    </row>
    <row r="1266" spans="2:4" x14ac:dyDescent="0.15">
      <c r="B1266" s="69"/>
      <c r="C1266" s="70"/>
      <c r="D1266" s="71"/>
    </row>
    <row r="1267" spans="2:4" x14ac:dyDescent="0.15">
      <c r="B1267" s="69"/>
      <c r="C1267" s="70"/>
      <c r="D1267" s="71"/>
    </row>
    <row r="1268" spans="2:4" x14ac:dyDescent="0.15">
      <c r="B1268" s="69"/>
      <c r="C1268" s="70"/>
      <c r="D1268" s="71"/>
    </row>
    <row r="1269" spans="2:4" x14ac:dyDescent="0.15">
      <c r="B1269" s="69"/>
      <c r="C1269" s="70"/>
      <c r="D1269" s="71"/>
    </row>
    <row r="1270" spans="2:4" x14ac:dyDescent="0.15">
      <c r="B1270" s="69"/>
      <c r="C1270" s="70"/>
      <c r="D1270" s="71"/>
    </row>
    <row r="1271" spans="2:4" x14ac:dyDescent="0.15">
      <c r="B1271" s="69"/>
      <c r="C1271" s="70"/>
      <c r="D1271" s="71"/>
    </row>
    <row r="1272" spans="2:4" x14ac:dyDescent="0.15">
      <c r="B1272" s="69"/>
      <c r="C1272" s="70"/>
      <c r="D1272" s="71"/>
    </row>
    <row r="1273" spans="2:4" x14ac:dyDescent="0.15">
      <c r="B1273" s="69"/>
      <c r="C1273" s="70"/>
      <c r="D1273" s="71"/>
    </row>
    <row r="1274" spans="2:4" x14ac:dyDescent="0.15">
      <c r="B1274" s="69"/>
      <c r="C1274" s="70"/>
      <c r="D1274" s="71"/>
    </row>
    <row r="1275" spans="2:4" x14ac:dyDescent="0.15">
      <c r="B1275" s="69"/>
      <c r="C1275" s="70"/>
      <c r="D1275" s="71"/>
    </row>
    <row r="1276" spans="2:4" x14ac:dyDescent="0.15">
      <c r="B1276" s="69"/>
      <c r="C1276" s="70"/>
      <c r="D1276" s="71"/>
    </row>
    <row r="1277" spans="2:4" x14ac:dyDescent="0.15">
      <c r="B1277" s="69"/>
      <c r="C1277" s="70"/>
      <c r="D1277" s="71"/>
    </row>
    <row r="1278" spans="2:4" x14ac:dyDescent="0.15">
      <c r="B1278" s="69"/>
      <c r="C1278" s="70"/>
      <c r="D1278" s="71"/>
    </row>
    <row r="1279" spans="2:4" x14ac:dyDescent="0.15">
      <c r="B1279" s="69"/>
      <c r="C1279" s="70"/>
      <c r="D1279" s="71"/>
    </row>
    <row r="1280" spans="2:4" x14ac:dyDescent="0.15">
      <c r="B1280" s="69"/>
      <c r="C1280" s="70"/>
      <c r="D1280" s="71"/>
    </row>
    <row r="1281" spans="2:4" x14ac:dyDescent="0.15">
      <c r="B1281" s="69"/>
      <c r="C1281" s="70"/>
      <c r="D1281" s="71"/>
    </row>
    <row r="1282" spans="2:4" x14ac:dyDescent="0.15">
      <c r="B1282" s="69"/>
      <c r="C1282" s="70"/>
      <c r="D1282" s="71"/>
    </row>
    <row r="1283" spans="2:4" x14ac:dyDescent="0.15">
      <c r="B1283" s="69"/>
      <c r="C1283" s="70"/>
      <c r="D1283" s="71"/>
    </row>
    <row r="1284" spans="2:4" x14ac:dyDescent="0.15">
      <c r="B1284" s="69"/>
      <c r="C1284" s="70"/>
      <c r="D1284" s="71"/>
    </row>
    <row r="1285" spans="2:4" x14ac:dyDescent="0.15">
      <c r="B1285" s="69"/>
      <c r="C1285" s="70"/>
      <c r="D1285" s="71"/>
    </row>
    <row r="1286" spans="2:4" x14ac:dyDescent="0.15">
      <c r="B1286" s="69"/>
      <c r="C1286" s="70"/>
      <c r="D1286" s="71"/>
    </row>
    <row r="1287" spans="2:4" x14ac:dyDescent="0.15">
      <c r="B1287" s="69"/>
      <c r="C1287" s="70"/>
      <c r="D1287" s="71"/>
    </row>
    <row r="1288" spans="2:4" x14ac:dyDescent="0.15">
      <c r="B1288" s="69"/>
      <c r="C1288" s="70"/>
      <c r="D1288" s="71"/>
    </row>
    <row r="1289" spans="2:4" x14ac:dyDescent="0.15">
      <c r="B1289" s="69"/>
      <c r="C1289" s="70"/>
      <c r="D1289" s="71"/>
    </row>
    <row r="1290" spans="2:4" x14ac:dyDescent="0.15">
      <c r="B1290" s="69"/>
      <c r="C1290" s="70"/>
      <c r="D1290" s="71"/>
    </row>
    <row r="1291" spans="2:4" x14ac:dyDescent="0.15">
      <c r="B1291" s="69"/>
      <c r="C1291" s="70"/>
      <c r="D1291" s="71"/>
    </row>
    <row r="1292" spans="2:4" x14ac:dyDescent="0.15">
      <c r="B1292" s="69"/>
      <c r="C1292" s="70"/>
      <c r="D1292" s="71"/>
    </row>
    <row r="1293" spans="2:4" x14ac:dyDescent="0.15">
      <c r="B1293" s="69"/>
      <c r="C1293" s="70"/>
      <c r="D1293" s="71"/>
    </row>
    <row r="1294" spans="2:4" x14ac:dyDescent="0.15">
      <c r="B1294" s="69"/>
      <c r="C1294" s="70"/>
      <c r="D1294" s="71"/>
    </row>
    <row r="1295" spans="2:4" x14ac:dyDescent="0.15">
      <c r="B1295" s="69"/>
      <c r="C1295" s="70"/>
      <c r="D1295" s="71"/>
    </row>
    <row r="1296" spans="2:4" x14ac:dyDescent="0.15">
      <c r="B1296" s="69"/>
      <c r="C1296" s="70"/>
      <c r="D1296" s="71"/>
    </row>
    <row r="1297" spans="2:4" x14ac:dyDescent="0.15">
      <c r="B1297" s="69"/>
      <c r="C1297" s="70"/>
      <c r="D1297" s="71"/>
    </row>
    <row r="1298" spans="2:4" x14ac:dyDescent="0.15">
      <c r="B1298" s="69"/>
      <c r="C1298" s="70"/>
      <c r="D1298" s="71"/>
    </row>
    <row r="1299" spans="2:4" x14ac:dyDescent="0.15">
      <c r="B1299" s="69"/>
      <c r="C1299" s="70"/>
      <c r="D1299" s="71"/>
    </row>
    <row r="1300" spans="2:4" x14ac:dyDescent="0.15">
      <c r="B1300" s="69"/>
      <c r="C1300" s="70"/>
      <c r="D1300" s="71"/>
    </row>
    <row r="1301" spans="2:4" x14ac:dyDescent="0.15">
      <c r="B1301" s="69"/>
      <c r="C1301" s="70"/>
      <c r="D1301" s="71"/>
    </row>
    <row r="1302" spans="2:4" x14ac:dyDescent="0.15">
      <c r="B1302" s="69"/>
      <c r="C1302" s="70"/>
      <c r="D1302" s="71"/>
    </row>
    <row r="1303" spans="2:4" x14ac:dyDescent="0.15">
      <c r="B1303" s="69"/>
      <c r="C1303" s="70"/>
      <c r="D1303" s="71"/>
    </row>
    <row r="1304" spans="2:4" x14ac:dyDescent="0.15">
      <c r="B1304" s="69"/>
      <c r="C1304" s="70"/>
      <c r="D1304" s="71"/>
    </row>
    <row r="1305" spans="2:4" x14ac:dyDescent="0.15">
      <c r="B1305" s="69"/>
      <c r="C1305" s="70"/>
      <c r="D1305" s="71"/>
    </row>
    <row r="1306" spans="2:4" x14ac:dyDescent="0.15">
      <c r="B1306" s="69"/>
      <c r="C1306" s="70"/>
      <c r="D1306" s="71"/>
    </row>
    <row r="1307" spans="2:4" x14ac:dyDescent="0.15">
      <c r="B1307" s="69"/>
      <c r="C1307" s="70"/>
      <c r="D1307" s="71"/>
    </row>
    <row r="1308" spans="2:4" x14ac:dyDescent="0.15">
      <c r="B1308" s="69"/>
      <c r="C1308" s="70"/>
      <c r="D1308" s="71"/>
    </row>
    <row r="1309" spans="2:4" x14ac:dyDescent="0.15">
      <c r="B1309" s="69"/>
      <c r="C1309" s="70"/>
      <c r="D1309" s="71"/>
    </row>
    <row r="1310" spans="2:4" x14ac:dyDescent="0.15">
      <c r="B1310" s="69"/>
      <c r="C1310" s="70"/>
      <c r="D1310" s="71"/>
    </row>
    <row r="1311" spans="2:4" x14ac:dyDescent="0.15">
      <c r="B1311" s="69"/>
      <c r="C1311" s="70"/>
      <c r="D1311" s="71"/>
    </row>
    <row r="1312" spans="2:4" x14ac:dyDescent="0.15">
      <c r="B1312" s="69"/>
      <c r="C1312" s="70"/>
      <c r="D1312" s="71"/>
    </row>
    <row r="1313" spans="2:4" x14ac:dyDescent="0.15">
      <c r="B1313" s="69"/>
      <c r="C1313" s="70"/>
      <c r="D1313" s="71"/>
    </row>
    <row r="1314" spans="2:4" x14ac:dyDescent="0.15">
      <c r="B1314" s="69"/>
      <c r="C1314" s="70"/>
      <c r="D1314" s="71"/>
    </row>
    <row r="1315" spans="2:4" x14ac:dyDescent="0.15">
      <c r="B1315" s="69"/>
      <c r="C1315" s="70"/>
      <c r="D1315" s="71"/>
    </row>
    <row r="1316" spans="2:4" x14ac:dyDescent="0.15">
      <c r="B1316" s="69"/>
      <c r="C1316" s="70"/>
      <c r="D1316" s="71"/>
    </row>
    <row r="1317" spans="2:4" x14ac:dyDescent="0.15">
      <c r="B1317" s="69"/>
      <c r="C1317" s="70"/>
      <c r="D1317" s="71"/>
    </row>
    <row r="1318" spans="2:4" x14ac:dyDescent="0.15">
      <c r="B1318" s="69"/>
      <c r="C1318" s="70"/>
      <c r="D1318" s="71"/>
    </row>
    <row r="1319" spans="2:4" x14ac:dyDescent="0.15">
      <c r="B1319" s="69"/>
      <c r="C1319" s="70"/>
      <c r="D1319" s="71"/>
    </row>
    <row r="1320" spans="2:4" x14ac:dyDescent="0.15">
      <c r="B1320" s="69"/>
      <c r="C1320" s="70"/>
      <c r="D1320" s="71"/>
    </row>
    <row r="1321" spans="2:4" x14ac:dyDescent="0.15">
      <c r="B1321" s="69"/>
      <c r="C1321" s="70"/>
      <c r="D1321" s="71"/>
    </row>
    <row r="1322" spans="2:4" x14ac:dyDescent="0.15">
      <c r="B1322" s="69"/>
      <c r="C1322" s="70"/>
      <c r="D1322" s="71"/>
    </row>
    <row r="1323" spans="2:4" x14ac:dyDescent="0.15">
      <c r="B1323" s="69"/>
      <c r="C1323" s="70"/>
      <c r="D1323" s="71"/>
    </row>
    <row r="1324" spans="2:4" x14ac:dyDescent="0.15">
      <c r="B1324" s="69"/>
      <c r="C1324" s="70"/>
      <c r="D1324" s="71"/>
    </row>
    <row r="1325" spans="2:4" x14ac:dyDescent="0.15">
      <c r="B1325" s="69"/>
      <c r="C1325" s="70"/>
      <c r="D1325" s="71"/>
    </row>
    <row r="1326" spans="2:4" x14ac:dyDescent="0.15">
      <c r="B1326" s="69"/>
      <c r="C1326" s="70"/>
      <c r="D1326" s="71"/>
    </row>
    <row r="1327" spans="2:4" x14ac:dyDescent="0.15">
      <c r="B1327" s="69"/>
      <c r="C1327" s="70"/>
      <c r="D1327" s="71"/>
    </row>
    <row r="1328" spans="2:4" x14ac:dyDescent="0.15">
      <c r="B1328" s="69"/>
      <c r="C1328" s="70"/>
      <c r="D1328" s="71"/>
    </row>
    <row r="1329" spans="2:4" x14ac:dyDescent="0.15">
      <c r="B1329" s="69"/>
      <c r="C1329" s="70"/>
      <c r="D1329" s="71"/>
    </row>
    <row r="1330" spans="2:4" x14ac:dyDescent="0.15">
      <c r="B1330" s="69"/>
      <c r="C1330" s="70"/>
      <c r="D1330" s="71"/>
    </row>
    <row r="1331" spans="2:4" x14ac:dyDescent="0.15">
      <c r="B1331" s="69"/>
      <c r="C1331" s="70"/>
      <c r="D1331" s="71"/>
    </row>
    <row r="1332" spans="2:4" x14ac:dyDescent="0.15">
      <c r="B1332" s="69"/>
      <c r="C1332" s="70"/>
      <c r="D1332" s="71"/>
    </row>
    <row r="1333" spans="2:4" x14ac:dyDescent="0.15">
      <c r="B1333" s="69"/>
      <c r="C1333" s="70"/>
      <c r="D1333" s="71"/>
    </row>
    <row r="1334" spans="2:4" x14ac:dyDescent="0.15">
      <c r="B1334" s="69"/>
      <c r="C1334" s="70"/>
      <c r="D1334" s="71"/>
    </row>
    <row r="1335" spans="2:4" x14ac:dyDescent="0.15">
      <c r="B1335" s="69"/>
      <c r="C1335" s="70"/>
      <c r="D1335" s="71"/>
    </row>
    <row r="1336" spans="2:4" x14ac:dyDescent="0.15">
      <c r="B1336" s="69"/>
      <c r="C1336" s="70"/>
      <c r="D1336" s="71"/>
    </row>
    <row r="1337" spans="2:4" x14ac:dyDescent="0.15">
      <c r="B1337" s="69"/>
      <c r="C1337" s="70"/>
      <c r="D1337" s="71"/>
    </row>
    <row r="1338" spans="2:4" x14ac:dyDescent="0.15">
      <c r="B1338" s="69"/>
      <c r="C1338" s="70"/>
      <c r="D1338" s="71"/>
    </row>
    <row r="1339" spans="2:4" x14ac:dyDescent="0.15">
      <c r="B1339" s="69"/>
      <c r="C1339" s="70"/>
      <c r="D1339" s="71"/>
    </row>
    <row r="1340" spans="2:4" x14ac:dyDescent="0.15">
      <c r="B1340" s="69"/>
      <c r="C1340" s="70"/>
      <c r="D1340" s="71"/>
    </row>
    <row r="1341" spans="2:4" x14ac:dyDescent="0.15">
      <c r="B1341" s="69"/>
      <c r="C1341" s="70"/>
      <c r="D1341" s="71"/>
    </row>
    <row r="1342" spans="2:4" x14ac:dyDescent="0.15">
      <c r="B1342" s="69"/>
      <c r="C1342" s="70"/>
      <c r="D1342" s="71"/>
    </row>
    <row r="1343" spans="2:4" x14ac:dyDescent="0.15">
      <c r="B1343" s="69"/>
      <c r="C1343" s="70"/>
      <c r="D1343" s="71"/>
    </row>
    <row r="1344" spans="2:4" x14ac:dyDescent="0.15">
      <c r="B1344" s="69"/>
      <c r="C1344" s="70"/>
      <c r="D1344" s="71"/>
    </row>
    <row r="1345" spans="2:4" x14ac:dyDescent="0.15">
      <c r="B1345" s="69"/>
      <c r="C1345" s="70"/>
      <c r="D1345" s="71"/>
    </row>
    <row r="1346" spans="2:4" x14ac:dyDescent="0.15">
      <c r="B1346" s="69"/>
      <c r="C1346" s="70"/>
      <c r="D1346" s="71"/>
    </row>
    <row r="1347" spans="2:4" x14ac:dyDescent="0.15">
      <c r="B1347" s="69"/>
      <c r="C1347" s="70"/>
      <c r="D1347" s="71"/>
    </row>
    <row r="1348" spans="2:4" x14ac:dyDescent="0.15">
      <c r="B1348" s="69"/>
      <c r="C1348" s="70"/>
      <c r="D1348" s="71"/>
    </row>
    <row r="1349" spans="2:4" x14ac:dyDescent="0.15">
      <c r="B1349" s="69"/>
      <c r="C1349" s="70"/>
      <c r="D1349" s="71"/>
    </row>
    <row r="1350" spans="2:4" x14ac:dyDescent="0.15">
      <c r="B1350" s="69"/>
      <c r="C1350" s="70"/>
      <c r="D1350" s="71"/>
    </row>
    <row r="1351" spans="2:4" x14ac:dyDescent="0.15">
      <c r="B1351" s="69"/>
      <c r="C1351" s="70"/>
      <c r="D1351" s="71"/>
    </row>
    <row r="1352" spans="2:4" x14ac:dyDescent="0.15">
      <c r="B1352" s="69"/>
      <c r="C1352" s="70"/>
      <c r="D1352" s="71"/>
    </row>
    <row r="1353" spans="2:4" x14ac:dyDescent="0.15">
      <c r="B1353" s="69"/>
      <c r="C1353" s="70"/>
      <c r="D1353" s="71"/>
    </row>
    <row r="1354" spans="2:4" x14ac:dyDescent="0.15">
      <c r="B1354" s="69"/>
      <c r="C1354" s="70"/>
      <c r="D1354" s="71"/>
    </row>
    <row r="1355" spans="2:4" x14ac:dyDescent="0.15">
      <c r="B1355" s="69"/>
      <c r="C1355" s="70"/>
      <c r="D1355" s="71"/>
    </row>
    <row r="1356" spans="2:4" x14ac:dyDescent="0.15">
      <c r="B1356" s="69"/>
      <c r="C1356" s="70"/>
      <c r="D1356" s="71"/>
    </row>
    <row r="1357" spans="2:4" x14ac:dyDescent="0.15">
      <c r="B1357" s="69"/>
      <c r="C1357" s="70"/>
      <c r="D1357" s="71"/>
    </row>
    <row r="1358" spans="2:4" x14ac:dyDescent="0.15">
      <c r="B1358" s="69"/>
      <c r="C1358" s="70"/>
      <c r="D1358" s="71"/>
    </row>
    <row r="1359" spans="2:4" x14ac:dyDescent="0.15">
      <c r="B1359" s="69"/>
      <c r="C1359" s="70"/>
      <c r="D1359" s="71"/>
    </row>
    <row r="1360" spans="2:4" x14ac:dyDescent="0.15">
      <c r="B1360" s="69"/>
      <c r="C1360" s="70"/>
      <c r="D1360" s="71"/>
    </row>
    <row r="1361" spans="2:4" x14ac:dyDescent="0.15">
      <c r="B1361" s="69"/>
      <c r="C1361" s="70"/>
      <c r="D1361" s="71"/>
    </row>
    <row r="1362" spans="2:4" x14ac:dyDescent="0.15">
      <c r="B1362" s="69"/>
      <c r="C1362" s="70"/>
      <c r="D1362" s="71"/>
    </row>
    <row r="1363" spans="2:4" x14ac:dyDescent="0.15">
      <c r="B1363" s="69"/>
      <c r="C1363" s="70"/>
      <c r="D1363" s="71"/>
    </row>
    <row r="1364" spans="2:4" x14ac:dyDescent="0.15">
      <c r="B1364" s="69"/>
      <c r="C1364" s="70"/>
      <c r="D1364" s="71"/>
    </row>
    <row r="1365" spans="2:4" x14ac:dyDescent="0.15">
      <c r="B1365" s="69"/>
      <c r="C1365" s="70"/>
      <c r="D1365" s="71"/>
    </row>
    <row r="1366" spans="2:4" x14ac:dyDescent="0.15">
      <c r="B1366" s="69"/>
      <c r="C1366" s="70"/>
      <c r="D1366" s="71"/>
    </row>
    <row r="1367" spans="2:4" x14ac:dyDescent="0.15">
      <c r="B1367" s="69"/>
      <c r="C1367" s="70"/>
      <c r="D1367" s="71"/>
    </row>
    <row r="1368" spans="2:4" x14ac:dyDescent="0.15">
      <c r="B1368" s="69"/>
      <c r="C1368" s="70"/>
      <c r="D1368" s="71"/>
    </row>
    <row r="1369" spans="2:4" x14ac:dyDescent="0.15">
      <c r="B1369" s="69"/>
      <c r="C1369" s="70"/>
      <c r="D1369" s="71"/>
    </row>
    <row r="1370" spans="2:4" x14ac:dyDescent="0.15">
      <c r="B1370" s="69"/>
      <c r="C1370" s="70"/>
      <c r="D1370" s="71"/>
    </row>
    <row r="1371" spans="2:4" x14ac:dyDescent="0.15">
      <c r="B1371" s="69"/>
      <c r="C1371" s="70"/>
      <c r="D1371" s="71"/>
    </row>
    <row r="1372" spans="2:4" x14ac:dyDescent="0.15">
      <c r="B1372" s="69"/>
      <c r="C1372" s="70"/>
      <c r="D1372" s="71"/>
    </row>
    <row r="1373" spans="2:4" x14ac:dyDescent="0.15">
      <c r="B1373" s="69"/>
      <c r="C1373" s="70"/>
      <c r="D1373" s="71"/>
    </row>
    <row r="1374" spans="2:4" x14ac:dyDescent="0.15">
      <c r="B1374" s="69"/>
      <c r="C1374" s="70"/>
      <c r="D1374" s="71"/>
    </row>
    <row r="1375" spans="2:4" x14ac:dyDescent="0.15">
      <c r="B1375" s="69"/>
      <c r="C1375" s="70"/>
      <c r="D1375" s="71"/>
    </row>
    <row r="1376" spans="2:4" x14ac:dyDescent="0.15">
      <c r="B1376" s="69"/>
      <c r="C1376" s="70"/>
      <c r="D1376" s="71"/>
    </row>
    <row r="1377" spans="2:4" x14ac:dyDescent="0.15">
      <c r="B1377" s="69"/>
      <c r="C1377" s="70"/>
      <c r="D1377" s="71"/>
    </row>
    <row r="1378" spans="2:4" x14ac:dyDescent="0.15">
      <c r="B1378" s="69"/>
      <c r="C1378" s="70"/>
      <c r="D1378" s="71"/>
    </row>
    <row r="1379" spans="2:4" x14ac:dyDescent="0.15">
      <c r="B1379" s="69"/>
      <c r="C1379" s="70"/>
      <c r="D1379" s="71"/>
    </row>
    <row r="1380" spans="2:4" x14ac:dyDescent="0.15">
      <c r="B1380" s="69"/>
      <c r="C1380" s="70"/>
      <c r="D1380" s="71"/>
    </row>
    <row r="1381" spans="2:4" x14ac:dyDescent="0.15">
      <c r="B1381" s="69"/>
      <c r="C1381" s="70"/>
      <c r="D1381" s="71"/>
    </row>
    <row r="1382" spans="2:4" x14ac:dyDescent="0.15">
      <c r="B1382" s="69"/>
      <c r="C1382" s="70"/>
      <c r="D1382" s="71"/>
    </row>
    <row r="1383" spans="2:4" x14ac:dyDescent="0.15">
      <c r="B1383" s="69"/>
      <c r="C1383" s="70"/>
      <c r="D1383" s="71"/>
    </row>
    <row r="1384" spans="2:4" x14ac:dyDescent="0.15">
      <c r="B1384" s="69"/>
      <c r="C1384" s="70"/>
      <c r="D1384" s="71"/>
    </row>
    <row r="1385" spans="2:4" x14ac:dyDescent="0.15">
      <c r="B1385" s="69"/>
      <c r="C1385" s="70"/>
      <c r="D1385" s="71"/>
    </row>
    <row r="1386" spans="2:4" x14ac:dyDescent="0.15">
      <c r="B1386" s="69"/>
      <c r="C1386" s="70"/>
      <c r="D1386" s="71"/>
    </row>
    <row r="1387" spans="2:4" x14ac:dyDescent="0.15">
      <c r="B1387" s="69"/>
      <c r="C1387" s="70"/>
      <c r="D1387" s="71"/>
    </row>
    <row r="1388" spans="2:4" x14ac:dyDescent="0.15">
      <c r="B1388" s="69"/>
      <c r="C1388" s="70"/>
      <c r="D1388" s="71"/>
    </row>
    <row r="1389" spans="2:4" x14ac:dyDescent="0.15">
      <c r="B1389" s="69"/>
      <c r="C1389" s="70"/>
      <c r="D1389" s="71"/>
    </row>
    <row r="1390" spans="2:4" x14ac:dyDescent="0.15">
      <c r="B1390" s="69"/>
      <c r="C1390" s="70"/>
      <c r="D1390" s="71"/>
    </row>
    <row r="1391" spans="2:4" x14ac:dyDescent="0.15">
      <c r="B1391" s="69"/>
      <c r="C1391" s="70"/>
      <c r="D1391" s="71"/>
    </row>
    <row r="1392" spans="2:4" x14ac:dyDescent="0.15">
      <c r="B1392" s="69"/>
      <c r="C1392" s="70"/>
      <c r="D1392" s="71"/>
    </row>
    <row r="1393" spans="2:4" x14ac:dyDescent="0.15">
      <c r="B1393" s="69"/>
      <c r="C1393" s="70"/>
      <c r="D1393" s="71"/>
    </row>
    <row r="1394" spans="2:4" x14ac:dyDescent="0.15">
      <c r="B1394" s="69"/>
      <c r="C1394" s="70"/>
      <c r="D1394" s="71"/>
    </row>
    <row r="1395" spans="2:4" x14ac:dyDescent="0.15">
      <c r="B1395" s="69"/>
      <c r="C1395" s="70"/>
      <c r="D1395" s="71"/>
    </row>
    <row r="1396" spans="2:4" x14ac:dyDescent="0.15">
      <c r="B1396" s="69"/>
      <c r="C1396" s="70"/>
      <c r="D1396" s="71"/>
    </row>
    <row r="1397" spans="2:4" x14ac:dyDescent="0.15">
      <c r="B1397" s="69"/>
      <c r="C1397" s="70"/>
      <c r="D1397" s="71"/>
    </row>
    <row r="1398" spans="2:4" x14ac:dyDescent="0.15">
      <c r="B1398" s="69"/>
      <c r="C1398" s="70"/>
      <c r="D1398" s="71"/>
    </row>
    <row r="1399" spans="2:4" x14ac:dyDescent="0.15">
      <c r="B1399" s="69"/>
      <c r="C1399" s="70"/>
      <c r="D1399" s="71"/>
    </row>
    <row r="1400" spans="2:4" x14ac:dyDescent="0.15">
      <c r="B1400" s="69"/>
      <c r="C1400" s="70"/>
      <c r="D1400" s="71"/>
    </row>
    <row r="1401" spans="2:4" x14ac:dyDescent="0.15">
      <c r="B1401" s="69"/>
      <c r="C1401" s="70"/>
      <c r="D1401" s="71"/>
    </row>
    <row r="1402" spans="2:4" x14ac:dyDescent="0.15">
      <c r="B1402" s="69"/>
      <c r="C1402" s="70"/>
      <c r="D1402" s="71"/>
    </row>
    <row r="1403" spans="2:4" x14ac:dyDescent="0.15">
      <c r="B1403" s="69"/>
      <c r="C1403" s="70"/>
      <c r="D1403" s="71"/>
    </row>
    <row r="1404" spans="2:4" x14ac:dyDescent="0.15">
      <c r="B1404" s="69"/>
      <c r="C1404" s="70"/>
      <c r="D1404" s="71"/>
    </row>
    <row r="1405" spans="2:4" x14ac:dyDescent="0.15">
      <c r="B1405" s="69"/>
      <c r="C1405" s="70"/>
      <c r="D1405" s="71"/>
    </row>
    <row r="1406" spans="2:4" x14ac:dyDescent="0.15">
      <c r="B1406" s="69"/>
      <c r="C1406" s="70"/>
      <c r="D1406" s="71"/>
    </row>
    <row r="1407" spans="2:4" x14ac:dyDescent="0.15">
      <c r="B1407" s="69"/>
      <c r="C1407" s="70"/>
      <c r="D1407" s="71"/>
    </row>
    <row r="1408" spans="2:4" x14ac:dyDescent="0.15">
      <c r="B1408" s="69"/>
      <c r="C1408" s="70"/>
      <c r="D1408" s="71"/>
    </row>
    <row r="1409" spans="2:4" x14ac:dyDescent="0.15">
      <c r="B1409" s="69"/>
      <c r="C1409" s="70"/>
      <c r="D1409" s="71"/>
    </row>
    <row r="1410" spans="2:4" x14ac:dyDescent="0.15">
      <c r="B1410" s="69"/>
      <c r="C1410" s="70"/>
      <c r="D1410" s="71"/>
    </row>
    <row r="1411" spans="2:4" x14ac:dyDescent="0.15">
      <c r="B1411" s="69"/>
      <c r="C1411" s="70"/>
      <c r="D1411" s="71"/>
    </row>
    <row r="1412" spans="2:4" x14ac:dyDescent="0.15">
      <c r="B1412" s="69"/>
      <c r="C1412" s="70"/>
      <c r="D1412" s="71"/>
    </row>
    <row r="1413" spans="2:4" x14ac:dyDescent="0.15">
      <c r="B1413" s="69"/>
      <c r="C1413" s="70"/>
      <c r="D1413" s="71"/>
    </row>
    <row r="1414" spans="2:4" x14ac:dyDescent="0.15">
      <c r="B1414" s="69"/>
      <c r="C1414" s="70"/>
      <c r="D1414" s="71"/>
    </row>
    <row r="1415" spans="2:4" x14ac:dyDescent="0.15">
      <c r="B1415" s="69"/>
      <c r="C1415" s="70"/>
      <c r="D1415" s="71"/>
    </row>
    <row r="1416" spans="2:4" x14ac:dyDescent="0.15">
      <c r="B1416" s="69"/>
      <c r="C1416" s="70"/>
      <c r="D1416" s="71"/>
    </row>
    <row r="1417" spans="2:4" x14ac:dyDescent="0.15">
      <c r="B1417" s="69"/>
      <c r="C1417" s="70"/>
      <c r="D1417" s="71"/>
    </row>
    <row r="1418" spans="2:4" x14ac:dyDescent="0.15">
      <c r="B1418" s="69"/>
      <c r="C1418" s="70"/>
      <c r="D1418" s="71"/>
    </row>
    <row r="1419" spans="2:4" x14ac:dyDescent="0.15">
      <c r="B1419" s="69"/>
      <c r="C1419" s="70"/>
      <c r="D1419" s="71"/>
    </row>
    <row r="1420" spans="2:4" x14ac:dyDescent="0.15">
      <c r="B1420" s="69"/>
      <c r="C1420" s="70"/>
      <c r="D1420" s="71"/>
    </row>
    <row r="1421" spans="2:4" x14ac:dyDescent="0.15">
      <c r="B1421" s="69"/>
      <c r="C1421" s="70"/>
      <c r="D1421" s="71"/>
    </row>
    <row r="1422" spans="2:4" x14ac:dyDescent="0.15">
      <c r="B1422" s="69"/>
      <c r="C1422" s="70"/>
      <c r="D1422" s="71"/>
    </row>
    <row r="1423" spans="2:4" x14ac:dyDescent="0.15">
      <c r="B1423" s="69"/>
      <c r="C1423" s="70"/>
      <c r="D1423" s="71"/>
    </row>
    <row r="1424" spans="2:4" x14ac:dyDescent="0.15">
      <c r="B1424" s="69"/>
      <c r="C1424" s="70"/>
      <c r="D1424" s="71"/>
    </row>
    <row r="1425" spans="2:4" x14ac:dyDescent="0.15">
      <c r="B1425" s="69"/>
      <c r="C1425" s="70"/>
      <c r="D1425" s="71"/>
    </row>
    <row r="1426" spans="2:4" x14ac:dyDescent="0.15">
      <c r="B1426" s="69"/>
      <c r="C1426" s="70"/>
      <c r="D1426" s="71"/>
    </row>
    <row r="1427" spans="2:4" x14ac:dyDescent="0.15">
      <c r="B1427" s="69"/>
      <c r="C1427" s="70"/>
      <c r="D1427" s="71"/>
    </row>
    <row r="1428" spans="2:4" x14ac:dyDescent="0.15">
      <c r="B1428" s="69"/>
      <c r="C1428" s="70"/>
      <c r="D1428" s="71"/>
    </row>
    <row r="1429" spans="2:4" x14ac:dyDescent="0.15">
      <c r="B1429" s="69"/>
      <c r="C1429" s="70"/>
      <c r="D1429" s="71"/>
    </row>
    <row r="1430" spans="2:4" x14ac:dyDescent="0.15">
      <c r="B1430" s="69"/>
      <c r="C1430" s="70"/>
      <c r="D1430" s="71"/>
    </row>
    <row r="1431" spans="2:4" x14ac:dyDescent="0.15">
      <c r="B1431" s="69"/>
      <c r="C1431" s="70"/>
      <c r="D1431" s="71"/>
    </row>
    <row r="1432" spans="2:4" x14ac:dyDescent="0.15">
      <c r="B1432" s="69"/>
      <c r="C1432" s="70"/>
      <c r="D1432" s="71"/>
    </row>
    <row r="1433" spans="2:4" x14ac:dyDescent="0.15">
      <c r="B1433" s="69"/>
      <c r="C1433" s="70"/>
      <c r="D1433" s="71"/>
    </row>
    <row r="1434" spans="2:4" x14ac:dyDescent="0.15">
      <c r="B1434" s="69"/>
      <c r="C1434" s="70"/>
      <c r="D1434" s="71"/>
    </row>
    <row r="1435" spans="2:4" x14ac:dyDescent="0.15">
      <c r="B1435" s="69"/>
      <c r="C1435" s="70"/>
      <c r="D1435" s="71"/>
    </row>
    <row r="1436" spans="2:4" x14ac:dyDescent="0.15">
      <c r="B1436" s="69"/>
      <c r="C1436" s="70"/>
      <c r="D1436" s="71"/>
    </row>
    <row r="1437" spans="2:4" x14ac:dyDescent="0.15">
      <c r="B1437" s="69"/>
      <c r="C1437" s="70"/>
      <c r="D1437" s="71"/>
    </row>
    <row r="1438" spans="2:4" x14ac:dyDescent="0.15">
      <c r="B1438" s="69"/>
      <c r="C1438" s="70"/>
      <c r="D1438" s="71"/>
    </row>
    <row r="1439" spans="2:4" x14ac:dyDescent="0.15">
      <c r="B1439" s="69"/>
      <c r="C1439" s="70"/>
      <c r="D1439" s="71"/>
    </row>
    <row r="1440" spans="2:4" x14ac:dyDescent="0.15">
      <c r="B1440" s="69"/>
      <c r="C1440" s="70"/>
      <c r="D1440" s="71"/>
    </row>
    <row r="1441" spans="2:4" x14ac:dyDescent="0.15">
      <c r="B1441" s="69"/>
      <c r="C1441" s="70"/>
      <c r="D1441" s="71"/>
    </row>
    <row r="1442" spans="2:4" x14ac:dyDescent="0.15">
      <c r="B1442" s="69"/>
      <c r="C1442" s="70"/>
      <c r="D1442" s="71"/>
    </row>
    <row r="1443" spans="2:4" x14ac:dyDescent="0.15">
      <c r="B1443" s="69"/>
      <c r="C1443" s="70"/>
      <c r="D1443" s="71"/>
    </row>
    <row r="1444" spans="2:4" x14ac:dyDescent="0.15">
      <c r="B1444" s="69"/>
      <c r="C1444" s="70"/>
      <c r="D1444" s="71"/>
    </row>
    <row r="1445" spans="2:4" x14ac:dyDescent="0.15">
      <c r="B1445" s="69"/>
      <c r="C1445" s="70"/>
      <c r="D1445" s="71"/>
    </row>
    <row r="1446" spans="2:4" x14ac:dyDescent="0.15">
      <c r="B1446" s="69"/>
      <c r="C1446" s="70"/>
      <c r="D1446" s="71"/>
    </row>
    <row r="1447" spans="2:4" x14ac:dyDescent="0.15">
      <c r="B1447" s="69"/>
      <c r="C1447" s="70"/>
      <c r="D1447" s="71"/>
    </row>
    <row r="1448" spans="2:4" x14ac:dyDescent="0.15">
      <c r="B1448" s="69"/>
      <c r="C1448" s="70"/>
      <c r="D1448" s="71"/>
    </row>
    <row r="1449" spans="2:4" x14ac:dyDescent="0.15">
      <c r="B1449" s="69"/>
      <c r="C1449" s="70"/>
      <c r="D1449" s="71"/>
    </row>
    <row r="1450" spans="2:4" x14ac:dyDescent="0.15">
      <c r="B1450" s="69"/>
      <c r="C1450" s="70"/>
      <c r="D1450" s="71"/>
    </row>
    <row r="1451" spans="2:4" x14ac:dyDescent="0.15">
      <c r="B1451" s="69"/>
      <c r="C1451" s="70"/>
      <c r="D1451" s="71"/>
    </row>
    <row r="1452" spans="2:4" x14ac:dyDescent="0.15">
      <c r="B1452" s="69"/>
      <c r="C1452" s="70"/>
      <c r="D1452" s="71"/>
    </row>
    <row r="1453" spans="2:4" x14ac:dyDescent="0.15">
      <c r="B1453" s="69"/>
      <c r="C1453" s="70"/>
      <c r="D1453" s="71"/>
    </row>
    <row r="1454" spans="2:4" x14ac:dyDescent="0.15">
      <c r="B1454" s="69"/>
      <c r="C1454" s="70"/>
      <c r="D1454" s="71"/>
    </row>
    <row r="1455" spans="2:4" x14ac:dyDescent="0.15">
      <c r="B1455" s="69"/>
      <c r="C1455" s="70"/>
      <c r="D1455" s="71"/>
    </row>
    <row r="1456" spans="2:4" x14ac:dyDescent="0.15">
      <c r="B1456" s="69"/>
      <c r="C1456" s="70"/>
      <c r="D1456" s="71"/>
    </row>
    <row r="1457" spans="2:4" x14ac:dyDescent="0.15">
      <c r="B1457" s="69"/>
      <c r="C1457" s="70"/>
      <c r="D1457" s="71"/>
    </row>
    <row r="1458" spans="2:4" x14ac:dyDescent="0.15">
      <c r="B1458" s="69"/>
      <c r="C1458" s="70"/>
      <c r="D1458" s="71"/>
    </row>
    <row r="1459" spans="2:4" x14ac:dyDescent="0.15">
      <c r="B1459" s="69"/>
      <c r="C1459" s="70"/>
      <c r="D1459" s="71"/>
    </row>
    <row r="1460" spans="2:4" x14ac:dyDescent="0.15">
      <c r="B1460" s="69"/>
      <c r="C1460" s="70"/>
      <c r="D1460" s="71"/>
    </row>
    <row r="1461" spans="2:4" x14ac:dyDescent="0.15">
      <c r="B1461" s="69"/>
      <c r="C1461" s="70"/>
      <c r="D1461" s="71"/>
    </row>
    <row r="1462" spans="2:4" x14ac:dyDescent="0.15">
      <c r="B1462" s="69"/>
      <c r="C1462" s="70"/>
      <c r="D1462" s="71"/>
    </row>
    <row r="1463" spans="2:4" x14ac:dyDescent="0.15">
      <c r="B1463" s="69"/>
      <c r="C1463" s="70"/>
      <c r="D1463" s="71"/>
    </row>
    <row r="1464" spans="2:4" x14ac:dyDescent="0.15">
      <c r="B1464" s="69"/>
      <c r="C1464" s="70"/>
      <c r="D1464" s="71"/>
    </row>
    <row r="1465" spans="2:4" x14ac:dyDescent="0.15">
      <c r="B1465" s="69"/>
      <c r="C1465" s="70"/>
      <c r="D1465" s="71"/>
    </row>
    <row r="1466" spans="2:4" x14ac:dyDescent="0.15">
      <c r="B1466" s="69"/>
      <c r="C1466" s="70"/>
      <c r="D1466" s="71"/>
    </row>
    <row r="1467" spans="2:4" x14ac:dyDescent="0.15">
      <c r="B1467" s="69"/>
      <c r="C1467" s="70"/>
      <c r="D1467" s="71"/>
    </row>
    <row r="1468" spans="2:4" x14ac:dyDescent="0.15">
      <c r="B1468" s="69"/>
      <c r="C1468" s="70"/>
      <c r="D1468" s="71"/>
    </row>
    <row r="1469" spans="2:4" x14ac:dyDescent="0.15">
      <c r="B1469" s="69"/>
      <c r="C1469" s="70"/>
      <c r="D1469" s="71"/>
    </row>
    <row r="1470" spans="2:4" x14ac:dyDescent="0.15">
      <c r="B1470" s="69"/>
      <c r="C1470" s="70"/>
      <c r="D1470" s="71"/>
    </row>
    <row r="1471" spans="2:4" x14ac:dyDescent="0.15">
      <c r="B1471" s="69"/>
      <c r="C1471" s="70"/>
      <c r="D1471" s="71"/>
    </row>
    <row r="1472" spans="2:4" x14ac:dyDescent="0.15">
      <c r="B1472" s="69"/>
      <c r="C1472" s="70"/>
      <c r="D1472" s="71"/>
    </row>
    <row r="1473" spans="2:4" x14ac:dyDescent="0.15">
      <c r="B1473" s="69"/>
      <c r="C1473" s="70"/>
      <c r="D1473" s="71"/>
    </row>
    <row r="1474" spans="2:4" x14ac:dyDescent="0.15">
      <c r="B1474" s="69"/>
      <c r="C1474" s="70"/>
      <c r="D1474" s="71"/>
    </row>
    <row r="1475" spans="2:4" x14ac:dyDescent="0.15">
      <c r="B1475" s="69"/>
      <c r="C1475" s="70"/>
      <c r="D1475" s="71"/>
    </row>
    <row r="1476" spans="2:4" x14ac:dyDescent="0.15">
      <c r="B1476" s="69"/>
      <c r="C1476" s="70"/>
      <c r="D1476" s="71"/>
    </row>
    <row r="1477" spans="2:4" x14ac:dyDescent="0.15">
      <c r="B1477" s="69"/>
      <c r="C1477" s="70"/>
      <c r="D1477" s="71"/>
    </row>
    <row r="1478" spans="2:4" x14ac:dyDescent="0.15">
      <c r="B1478" s="69"/>
      <c r="C1478" s="70"/>
      <c r="D1478" s="71"/>
    </row>
    <row r="1479" spans="2:4" x14ac:dyDescent="0.15">
      <c r="B1479" s="69"/>
      <c r="C1479" s="70"/>
      <c r="D1479" s="71"/>
    </row>
    <row r="1480" spans="2:4" x14ac:dyDescent="0.15">
      <c r="B1480" s="69"/>
      <c r="C1480" s="70"/>
      <c r="D1480" s="71"/>
    </row>
    <row r="1481" spans="2:4" x14ac:dyDescent="0.15">
      <c r="B1481" s="69"/>
      <c r="C1481" s="70"/>
      <c r="D1481" s="71"/>
    </row>
    <row r="1482" spans="2:4" x14ac:dyDescent="0.15">
      <c r="B1482" s="69"/>
      <c r="C1482" s="70"/>
      <c r="D1482" s="71"/>
    </row>
    <row r="1483" spans="2:4" x14ac:dyDescent="0.15">
      <c r="B1483" s="69"/>
      <c r="C1483" s="70"/>
      <c r="D1483" s="71"/>
    </row>
    <row r="1484" spans="2:4" x14ac:dyDescent="0.15">
      <c r="B1484" s="69"/>
      <c r="C1484" s="70"/>
      <c r="D1484" s="71"/>
    </row>
    <row r="1485" spans="2:4" x14ac:dyDescent="0.15">
      <c r="B1485" s="69"/>
      <c r="C1485" s="70"/>
      <c r="D1485" s="71"/>
    </row>
    <row r="1486" spans="2:4" x14ac:dyDescent="0.15">
      <c r="B1486" s="69"/>
      <c r="C1486" s="70"/>
      <c r="D1486" s="71"/>
    </row>
    <row r="1487" spans="2:4" x14ac:dyDescent="0.15">
      <c r="B1487" s="69"/>
      <c r="C1487" s="70"/>
      <c r="D1487" s="71"/>
    </row>
    <row r="1488" spans="2:4" x14ac:dyDescent="0.15">
      <c r="B1488" s="69"/>
      <c r="C1488" s="70"/>
      <c r="D1488" s="71"/>
    </row>
    <row r="1489" spans="2:4" x14ac:dyDescent="0.15">
      <c r="B1489" s="69"/>
      <c r="C1489" s="70"/>
      <c r="D1489" s="71"/>
    </row>
    <row r="1490" spans="2:4" x14ac:dyDescent="0.15">
      <c r="B1490" s="69"/>
      <c r="C1490" s="70"/>
      <c r="D1490" s="71"/>
    </row>
    <row r="1491" spans="2:4" x14ac:dyDescent="0.15">
      <c r="B1491" s="69"/>
      <c r="C1491" s="70"/>
      <c r="D1491" s="71"/>
    </row>
    <row r="1492" spans="2:4" x14ac:dyDescent="0.15">
      <c r="B1492" s="69"/>
      <c r="C1492" s="70"/>
      <c r="D1492" s="71"/>
    </row>
    <row r="1493" spans="2:4" x14ac:dyDescent="0.15">
      <c r="B1493" s="69"/>
      <c r="C1493" s="70"/>
      <c r="D1493" s="71"/>
    </row>
    <row r="1494" spans="2:4" x14ac:dyDescent="0.15">
      <c r="B1494" s="69"/>
      <c r="C1494" s="70"/>
      <c r="D1494" s="71"/>
    </row>
    <row r="1495" spans="2:4" x14ac:dyDescent="0.15">
      <c r="B1495" s="69"/>
      <c r="C1495" s="70"/>
      <c r="D1495" s="71"/>
    </row>
    <row r="1496" spans="2:4" x14ac:dyDescent="0.15">
      <c r="B1496" s="69"/>
      <c r="C1496" s="70"/>
      <c r="D1496" s="71"/>
    </row>
    <row r="1497" spans="2:4" x14ac:dyDescent="0.15">
      <c r="B1497" s="69"/>
      <c r="C1497" s="70"/>
      <c r="D1497" s="71"/>
    </row>
    <row r="1498" spans="2:4" x14ac:dyDescent="0.15">
      <c r="B1498" s="69"/>
      <c r="C1498" s="70"/>
      <c r="D1498" s="71"/>
    </row>
    <row r="1499" spans="2:4" x14ac:dyDescent="0.15">
      <c r="B1499" s="69"/>
      <c r="C1499" s="70"/>
      <c r="D1499" s="71"/>
    </row>
    <row r="1500" spans="2:4" x14ac:dyDescent="0.15">
      <c r="B1500" s="69"/>
      <c r="C1500" s="70"/>
      <c r="D1500" s="71"/>
    </row>
    <row r="1501" spans="2:4" x14ac:dyDescent="0.15">
      <c r="B1501" s="69"/>
      <c r="C1501" s="70"/>
      <c r="D1501" s="71"/>
    </row>
    <row r="1502" spans="2:4" x14ac:dyDescent="0.15">
      <c r="B1502" s="69"/>
      <c r="C1502" s="70"/>
      <c r="D1502" s="71"/>
    </row>
    <row r="1503" spans="2:4" x14ac:dyDescent="0.15">
      <c r="B1503" s="69"/>
      <c r="C1503" s="70"/>
      <c r="D1503" s="71"/>
    </row>
    <row r="1504" spans="2:4" x14ac:dyDescent="0.15">
      <c r="B1504" s="69"/>
      <c r="C1504" s="70"/>
      <c r="D1504" s="71"/>
    </row>
    <row r="1505" spans="2:4" x14ac:dyDescent="0.15">
      <c r="B1505" s="69"/>
      <c r="C1505" s="70"/>
      <c r="D1505" s="71"/>
    </row>
    <row r="1506" spans="2:4" x14ac:dyDescent="0.15">
      <c r="B1506" s="69"/>
      <c r="C1506" s="70"/>
      <c r="D1506" s="71"/>
    </row>
    <row r="1507" spans="2:4" x14ac:dyDescent="0.15">
      <c r="B1507" s="69"/>
      <c r="C1507" s="70"/>
      <c r="D1507" s="71"/>
    </row>
    <row r="1508" spans="2:4" x14ac:dyDescent="0.15">
      <c r="B1508" s="69"/>
      <c r="C1508" s="70"/>
      <c r="D1508" s="71"/>
    </row>
    <row r="1509" spans="2:4" x14ac:dyDescent="0.15">
      <c r="B1509" s="69"/>
      <c r="C1509" s="70"/>
      <c r="D1509" s="71"/>
    </row>
    <row r="1510" spans="2:4" x14ac:dyDescent="0.15">
      <c r="B1510" s="69"/>
      <c r="C1510" s="70"/>
      <c r="D1510" s="71"/>
    </row>
    <row r="1511" spans="2:4" x14ac:dyDescent="0.15">
      <c r="B1511" s="69"/>
      <c r="C1511" s="70"/>
      <c r="D1511" s="71"/>
    </row>
    <row r="1512" spans="2:4" x14ac:dyDescent="0.15">
      <c r="B1512" s="69"/>
      <c r="C1512" s="70"/>
      <c r="D1512" s="71"/>
    </row>
    <row r="1513" spans="2:4" x14ac:dyDescent="0.15">
      <c r="B1513" s="69"/>
      <c r="C1513" s="70"/>
      <c r="D1513" s="71"/>
    </row>
    <row r="1514" spans="2:4" x14ac:dyDescent="0.15">
      <c r="B1514" s="69"/>
      <c r="C1514" s="70"/>
      <c r="D1514" s="71"/>
    </row>
    <row r="1515" spans="2:4" x14ac:dyDescent="0.15">
      <c r="B1515" s="69"/>
      <c r="C1515" s="70"/>
      <c r="D1515" s="71"/>
    </row>
    <row r="1516" spans="2:4" x14ac:dyDescent="0.15">
      <c r="B1516" s="69"/>
      <c r="C1516" s="70"/>
      <c r="D1516" s="71"/>
    </row>
    <row r="1517" spans="2:4" x14ac:dyDescent="0.15">
      <c r="B1517" s="69"/>
      <c r="C1517" s="70"/>
      <c r="D1517" s="71"/>
    </row>
    <row r="1518" spans="2:4" x14ac:dyDescent="0.15">
      <c r="B1518" s="69"/>
      <c r="C1518" s="70"/>
      <c r="D1518" s="71"/>
    </row>
    <row r="1519" spans="2:4" x14ac:dyDescent="0.15">
      <c r="B1519" s="69"/>
      <c r="C1519" s="70"/>
      <c r="D1519" s="71"/>
    </row>
    <row r="1520" spans="2:4" x14ac:dyDescent="0.15">
      <c r="B1520" s="69"/>
      <c r="C1520" s="70"/>
      <c r="D1520" s="71"/>
    </row>
    <row r="1521" spans="2:4" x14ac:dyDescent="0.15">
      <c r="B1521" s="69"/>
      <c r="C1521" s="70"/>
      <c r="D1521" s="71"/>
    </row>
    <row r="1522" spans="2:4" x14ac:dyDescent="0.15">
      <c r="B1522" s="69"/>
      <c r="C1522" s="70"/>
      <c r="D1522" s="71"/>
    </row>
    <row r="1523" spans="2:4" x14ac:dyDescent="0.15">
      <c r="B1523" s="69"/>
      <c r="C1523" s="70"/>
      <c r="D1523" s="71"/>
    </row>
    <row r="1524" spans="2:4" x14ac:dyDescent="0.15">
      <c r="B1524" s="69"/>
      <c r="C1524" s="70"/>
      <c r="D1524" s="71"/>
    </row>
    <row r="1525" spans="2:4" x14ac:dyDescent="0.15">
      <c r="B1525" s="69"/>
      <c r="C1525" s="70"/>
      <c r="D1525" s="71"/>
    </row>
    <row r="1526" spans="2:4" x14ac:dyDescent="0.15">
      <c r="B1526" s="69"/>
      <c r="C1526" s="70"/>
      <c r="D1526" s="71"/>
    </row>
    <row r="1527" spans="2:4" x14ac:dyDescent="0.15">
      <c r="B1527" s="69"/>
      <c r="C1527" s="70"/>
      <c r="D1527" s="71"/>
    </row>
    <row r="1528" spans="2:4" x14ac:dyDescent="0.15">
      <c r="B1528" s="69"/>
      <c r="C1528" s="70"/>
      <c r="D1528" s="71"/>
    </row>
    <row r="1529" spans="2:4" x14ac:dyDescent="0.15">
      <c r="B1529" s="69"/>
      <c r="C1529" s="70"/>
      <c r="D1529" s="71"/>
    </row>
    <row r="1530" spans="2:4" x14ac:dyDescent="0.15">
      <c r="B1530" s="69"/>
      <c r="C1530" s="70"/>
      <c r="D1530" s="71"/>
    </row>
    <row r="1531" spans="2:4" x14ac:dyDescent="0.15">
      <c r="B1531" s="69"/>
      <c r="C1531" s="70"/>
      <c r="D1531" s="71"/>
    </row>
    <row r="1532" spans="2:4" x14ac:dyDescent="0.15">
      <c r="B1532" s="69"/>
      <c r="C1532" s="70"/>
      <c r="D1532" s="71"/>
    </row>
    <row r="1533" spans="2:4" x14ac:dyDescent="0.15">
      <c r="B1533" s="69"/>
      <c r="C1533" s="70"/>
      <c r="D1533" s="71"/>
    </row>
    <row r="1534" spans="2:4" x14ac:dyDescent="0.15">
      <c r="B1534" s="69"/>
      <c r="C1534" s="70"/>
      <c r="D1534" s="71"/>
    </row>
    <row r="1535" spans="2:4" x14ac:dyDescent="0.15">
      <c r="B1535" s="69"/>
      <c r="C1535" s="70"/>
      <c r="D1535" s="71"/>
    </row>
    <row r="1536" spans="2:4" x14ac:dyDescent="0.15">
      <c r="B1536" s="69"/>
      <c r="C1536" s="70"/>
      <c r="D1536" s="71"/>
    </row>
    <row r="1537" spans="2:4" x14ac:dyDescent="0.15">
      <c r="B1537" s="69"/>
      <c r="C1537" s="70"/>
      <c r="D1537" s="71"/>
    </row>
    <row r="1538" spans="2:4" x14ac:dyDescent="0.15">
      <c r="B1538" s="69"/>
      <c r="C1538" s="70"/>
      <c r="D1538" s="71"/>
    </row>
    <row r="1539" spans="2:4" x14ac:dyDescent="0.15">
      <c r="B1539" s="69"/>
      <c r="C1539" s="70"/>
      <c r="D1539" s="71"/>
    </row>
    <row r="1540" spans="2:4" x14ac:dyDescent="0.15">
      <c r="B1540" s="69"/>
      <c r="C1540" s="70"/>
      <c r="D1540" s="71"/>
    </row>
    <row r="1541" spans="2:4" x14ac:dyDescent="0.15">
      <c r="B1541" s="69"/>
      <c r="C1541" s="70"/>
      <c r="D1541" s="71"/>
    </row>
    <row r="1542" spans="2:4" x14ac:dyDescent="0.15">
      <c r="B1542" s="69"/>
      <c r="C1542" s="70"/>
      <c r="D1542" s="71"/>
    </row>
    <row r="1543" spans="2:4" x14ac:dyDescent="0.15">
      <c r="B1543" s="69"/>
      <c r="C1543" s="70"/>
      <c r="D1543" s="71"/>
    </row>
    <row r="1544" spans="2:4" x14ac:dyDescent="0.15">
      <c r="B1544" s="69"/>
      <c r="C1544" s="70"/>
      <c r="D1544" s="71"/>
    </row>
    <row r="1545" spans="2:4" x14ac:dyDescent="0.15">
      <c r="B1545" s="69"/>
      <c r="C1545" s="70"/>
      <c r="D1545" s="71"/>
    </row>
    <row r="1546" spans="2:4" x14ac:dyDescent="0.15">
      <c r="B1546" s="69"/>
      <c r="C1546" s="70"/>
      <c r="D1546" s="71"/>
    </row>
    <row r="1547" spans="2:4" x14ac:dyDescent="0.15">
      <c r="B1547" s="69"/>
      <c r="C1547" s="70"/>
      <c r="D1547" s="71"/>
    </row>
    <row r="1548" spans="2:4" x14ac:dyDescent="0.15">
      <c r="B1548" s="69"/>
      <c r="C1548" s="70"/>
      <c r="D1548" s="71"/>
    </row>
    <row r="1549" spans="2:4" x14ac:dyDescent="0.15">
      <c r="B1549" s="69"/>
      <c r="C1549" s="70"/>
      <c r="D1549" s="71"/>
    </row>
    <row r="1550" spans="2:4" x14ac:dyDescent="0.15">
      <c r="B1550" s="69"/>
      <c r="C1550" s="70"/>
      <c r="D1550" s="71"/>
    </row>
    <row r="1551" spans="2:4" x14ac:dyDescent="0.15">
      <c r="B1551" s="69"/>
      <c r="C1551" s="70"/>
      <c r="D1551" s="71"/>
    </row>
    <row r="1552" spans="2:4" x14ac:dyDescent="0.15">
      <c r="B1552" s="69"/>
      <c r="C1552" s="70"/>
      <c r="D1552" s="71"/>
    </row>
    <row r="1553" spans="2:4" x14ac:dyDescent="0.15">
      <c r="B1553" s="69"/>
      <c r="C1553" s="70"/>
      <c r="D1553" s="71"/>
    </row>
    <row r="1554" spans="2:4" x14ac:dyDescent="0.15">
      <c r="B1554" s="69"/>
      <c r="C1554" s="70"/>
      <c r="D1554" s="71"/>
    </row>
    <row r="1555" spans="2:4" x14ac:dyDescent="0.15">
      <c r="B1555" s="69"/>
      <c r="C1555" s="70"/>
      <c r="D1555" s="71"/>
    </row>
    <row r="1556" spans="2:4" x14ac:dyDescent="0.15">
      <c r="B1556" s="69"/>
      <c r="C1556" s="70"/>
      <c r="D1556" s="71"/>
    </row>
    <row r="1557" spans="2:4" x14ac:dyDescent="0.15">
      <c r="B1557" s="69"/>
      <c r="C1557" s="70"/>
      <c r="D1557" s="71"/>
    </row>
    <row r="1558" spans="2:4" x14ac:dyDescent="0.15">
      <c r="B1558" s="69"/>
      <c r="C1558" s="70"/>
      <c r="D1558" s="71"/>
    </row>
    <row r="1559" spans="2:4" x14ac:dyDescent="0.15">
      <c r="B1559" s="69"/>
      <c r="C1559" s="70"/>
      <c r="D1559" s="71"/>
    </row>
    <row r="1560" spans="2:4" x14ac:dyDescent="0.15">
      <c r="B1560" s="69"/>
      <c r="C1560" s="70"/>
      <c r="D1560" s="71"/>
    </row>
    <row r="1561" spans="2:4" x14ac:dyDescent="0.15">
      <c r="B1561" s="69"/>
      <c r="C1561" s="70"/>
      <c r="D1561" s="71"/>
    </row>
    <row r="1562" spans="2:4" x14ac:dyDescent="0.15">
      <c r="B1562" s="69"/>
      <c r="C1562" s="70"/>
      <c r="D1562" s="71"/>
    </row>
    <row r="1563" spans="2:4" x14ac:dyDescent="0.15">
      <c r="B1563" s="69"/>
      <c r="C1563" s="70"/>
      <c r="D1563" s="71"/>
    </row>
    <row r="1564" spans="2:4" x14ac:dyDescent="0.15">
      <c r="B1564" s="69"/>
      <c r="C1564" s="70"/>
      <c r="D1564" s="71"/>
    </row>
    <row r="1565" spans="2:4" x14ac:dyDescent="0.15">
      <c r="B1565" s="69"/>
      <c r="C1565" s="70"/>
      <c r="D1565" s="71"/>
    </row>
    <row r="1566" spans="2:4" x14ac:dyDescent="0.15">
      <c r="B1566" s="69"/>
      <c r="C1566" s="70"/>
      <c r="D1566" s="71"/>
    </row>
    <row r="1567" spans="2:4" x14ac:dyDescent="0.15">
      <c r="B1567" s="69"/>
      <c r="C1567" s="70"/>
      <c r="D1567" s="71"/>
    </row>
    <row r="1568" spans="2:4" x14ac:dyDescent="0.15">
      <c r="B1568" s="69"/>
      <c r="C1568" s="70"/>
      <c r="D1568" s="71"/>
    </row>
    <row r="1569" spans="2:4" x14ac:dyDescent="0.15">
      <c r="B1569" s="69"/>
      <c r="C1569" s="70"/>
      <c r="D1569" s="71"/>
    </row>
    <row r="1570" spans="2:4" x14ac:dyDescent="0.15">
      <c r="B1570" s="69"/>
      <c r="C1570" s="70"/>
      <c r="D1570" s="71"/>
    </row>
    <row r="1571" spans="2:4" x14ac:dyDescent="0.15">
      <c r="B1571" s="69"/>
      <c r="C1571" s="70"/>
      <c r="D1571" s="71"/>
    </row>
    <row r="1572" spans="2:4" x14ac:dyDescent="0.15">
      <c r="B1572" s="69"/>
      <c r="C1572" s="70"/>
      <c r="D1572" s="71"/>
    </row>
    <row r="1573" spans="2:4" x14ac:dyDescent="0.15">
      <c r="B1573" s="69"/>
      <c r="C1573" s="70"/>
      <c r="D1573" s="71"/>
    </row>
    <row r="1574" spans="2:4" x14ac:dyDescent="0.15">
      <c r="B1574" s="69"/>
      <c r="C1574" s="70"/>
      <c r="D1574" s="71"/>
    </row>
    <row r="1575" spans="2:4" x14ac:dyDescent="0.15">
      <c r="B1575" s="69"/>
      <c r="C1575" s="70"/>
      <c r="D1575" s="71"/>
    </row>
    <row r="1576" spans="2:4" x14ac:dyDescent="0.15">
      <c r="B1576" s="69"/>
      <c r="C1576" s="70"/>
      <c r="D1576" s="71"/>
    </row>
    <row r="1577" spans="2:4" x14ac:dyDescent="0.15">
      <c r="B1577" s="69"/>
      <c r="C1577" s="70"/>
      <c r="D1577" s="71"/>
    </row>
    <row r="1578" spans="2:4" x14ac:dyDescent="0.15">
      <c r="B1578" s="69"/>
      <c r="C1578" s="70"/>
      <c r="D1578" s="71"/>
    </row>
    <row r="1579" spans="2:4" x14ac:dyDescent="0.15">
      <c r="B1579" s="69"/>
      <c r="C1579" s="70"/>
      <c r="D1579" s="71"/>
    </row>
    <row r="1580" spans="2:4" x14ac:dyDescent="0.15">
      <c r="B1580" s="69"/>
      <c r="C1580" s="70"/>
      <c r="D1580" s="71"/>
    </row>
    <row r="1581" spans="2:4" x14ac:dyDescent="0.15">
      <c r="B1581" s="69"/>
      <c r="C1581" s="70"/>
      <c r="D1581" s="71"/>
    </row>
    <row r="1582" spans="2:4" x14ac:dyDescent="0.15">
      <c r="B1582" s="69"/>
      <c r="C1582" s="70"/>
      <c r="D1582" s="71"/>
    </row>
    <row r="1583" spans="2:4" x14ac:dyDescent="0.15">
      <c r="B1583" s="69"/>
      <c r="C1583" s="70"/>
      <c r="D1583" s="71"/>
    </row>
    <row r="1584" spans="2:4" x14ac:dyDescent="0.15">
      <c r="B1584" s="69"/>
      <c r="C1584" s="70"/>
      <c r="D1584" s="71"/>
    </row>
    <row r="1585" spans="2:4" x14ac:dyDescent="0.15">
      <c r="B1585" s="69"/>
      <c r="C1585" s="70"/>
      <c r="D1585" s="71"/>
    </row>
    <row r="1586" spans="2:4" x14ac:dyDescent="0.15">
      <c r="B1586" s="69"/>
      <c r="C1586" s="70"/>
      <c r="D1586" s="71"/>
    </row>
    <row r="1587" spans="2:4" x14ac:dyDescent="0.15">
      <c r="B1587" s="69"/>
      <c r="C1587" s="70"/>
      <c r="D1587" s="71"/>
    </row>
    <row r="1588" spans="2:4" x14ac:dyDescent="0.15">
      <c r="B1588" s="69"/>
      <c r="C1588" s="70"/>
      <c r="D1588" s="71"/>
    </row>
    <row r="1589" spans="2:4" x14ac:dyDescent="0.15">
      <c r="B1589" s="69"/>
      <c r="C1589" s="70"/>
      <c r="D1589" s="71"/>
    </row>
    <row r="1590" spans="2:4" x14ac:dyDescent="0.15">
      <c r="B1590" s="69"/>
      <c r="C1590" s="70"/>
      <c r="D1590" s="71"/>
    </row>
    <row r="1591" spans="2:4" x14ac:dyDescent="0.15">
      <c r="B1591" s="69"/>
      <c r="C1591" s="70"/>
      <c r="D1591" s="71"/>
    </row>
    <row r="1592" spans="2:4" x14ac:dyDescent="0.15">
      <c r="B1592" s="69"/>
      <c r="C1592" s="70"/>
      <c r="D1592" s="71"/>
    </row>
    <row r="1593" spans="2:4" x14ac:dyDescent="0.15">
      <c r="B1593" s="69"/>
      <c r="C1593" s="70"/>
      <c r="D1593" s="71"/>
    </row>
    <row r="1594" spans="2:4" x14ac:dyDescent="0.15">
      <c r="B1594" s="69"/>
      <c r="C1594" s="70"/>
      <c r="D1594" s="71"/>
    </row>
    <row r="1595" spans="2:4" x14ac:dyDescent="0.15">
      <c r="B1595" s="69"/>
      <c r="C1595" s="70"/>
      <c r="D1595" s="71"/>
    </row>
    <row r="1596" spans="2:4" x14ac:dyDescent="0.15">
      <c r="B1596" s="69"/>
      <c r="C1596" s="70"/>
      <c r="D1596" s="71"/>
    </row>
    <row r="1597" spans="2:4" x14ac:dyDescent="0.15">
      <c r="B1597" s="69"/>
      <c r="C1597" s="70"/>
      <c r="D1597" s="71"/>
    </row>
    <row r="1598" spans="2:4" x14ac:dyDescent="0.15">
      <c r="B1598" s="69"/>
      <c r="C1598" s="70"/>
      <c r="D1598" s="71"/>
    </row>
    <row r="1599" spans="2:4" x14ac:dyDescent="0.15">
      <c r="B1599" s="69"/>
      <c r="C1599" s="70"/>
      <c r="D1599" s="71"/>
    </row>
    <row r="1600" spans="2:4" x14ac:dyDescent="0.15">
      <c r="B1600" s="69"/>
      <c r="C1600" s="70"/>
      <c r="D1600" s="71"/>
    </row>
    <row r="1601" spans="2:4" x14ac:dyDescent="0.15">
      <c r="B1601" s="69"/>
      <c r="C1601" s="70"/>
      <c r="D1601" s="71"/>
    </row>
    <row r="1602" spans="2:4" x14ac:dyDescent="0.15">
      <c r="B1602" s="69"/>
      <c r="C1602" s="70"/>
      <c r="D1602" s="71"/>
    </row>
    <row r="1603" spans="2:4" x14ac:dyDescent="0.15">
      <c r="B1603" s="69"/>
      <c r="C1603" s="70"/>
      <c r="D1603" s="71"/>
    </row>
    <row r="1604" spans="2:4" x14ac:dyDescent="0.15">
      <c r="B1604" s="69"/>
      <c r="C1604" s="70"/>
      <c r="D1604" s="71"/>
    </row>
    <row r="1605" spans="2:4" x14ac:dyDescent="0.15">
      <c r="B1605" s="69"/>
      <c r="C1605" s="70"/>
      <c r="D1605" s="71"/>
    </row>
    <row r="1606" spans="2:4" x14ac:dyDescent="0.15">
      <c r="B1606" s="69"/>
      <c r="C1606" s="70"/>
      <c r="D1606" s="71"/>
    </row>
    <row r="1607" spans="2:4" x14ac:dyDescent="0.15">
      <c r="B1607" s="69"/>
      <c r="C1607" s="70"/>
      <c r="D1607" s="71"/>
    </row>
    <row r="1608" spans="2:4" x14ac:dyDescent="0.15">
      <c r="B1608" s="69"/>
      <c r="C1608" s="70"/>
      <c r="D1608" s="71"/>
    </row>
    <row r="1609" spans="2:4" x14ac:dyDescent="0.15">
      <c r="B1609" s="69"/>
      <c r="C1609" s="70"/>
      <c r="D1609" s="71"/>
    </row>
    <row r="1610" spans="2:4" x14ac:dyDescent="0.15">
      <c r="B1610" s="69"/>
      <c r="C1610" s="70"/>
      <c r="D1610" s="71"/>
    </row>
    <row r="1611" spans="2:4" x14ac:dyDescent="0.15">
      <c r="B1611" s="69"/>
      <c r="C1611" s="70"/>
      <c r="D1611" s="71"/>
    </row>
    <row r="1612" spans="2:4" x14ac:dyDescent="0.15">
      <c r="B1612" s="69"/>
      <c r="C1612" s="70"/>
      <c r="D1612" s="71"/>
    </row>
    <row r="1613" spans="2:4" x14ac:dyDescent="0.15">
      <c r="B1613" s="69"/>
      <c r="C1613" s="70"/>
      <c r="D1613" s="71"/>
    </row>
    <row r="1614" spans="2:4" x14ac:dyDescent="0.15">
      <c r="B1614" s="69"/>
      <c r="C1614" s="70"/>
      <c r="D1614" s="71"/>
    </row>
    <row r="1615" spans="2:4" x14ac:dyDescent="0.15">
      <c r="B1615" s="69"/>
      <c r="C1615" s="70"/>
      <c r="D1615" s="71"/>
    </row>
    <row r="1616" spans="2:4" x14ac:dyDescent="0.15">
      <c r="B1616" s="69"/>
      <c r="C1616" s="70"/>
      <c r="D1616" s="71"/>
    </row>
    <row r="1617" spans="2:4" x14ac:dyDescent="0.15">
      <c r="B1617" s="69"/>
      <c r="C1617" s="70"/>
      <c r="D1617" s="71"/>
    </row>
    <row r="1618" spans="2:4" x14ac:dyDescent="0.15">
      <c r="B1618" s="69"/>
      <c r="C1618" s="70"/>
      <c r="D1618" s="71"/>
    </row>
    <row r="1619" spans="2:4" x14ac:dyDescent="0.15">
      <c r="B1619" s="69"/>
      <c r="C1619" s="70"/>
      <c r="D1619" s="71"/>
    </row>
    <row r="1620" spans="2:4" x14ac:dyDescent="0.15">
      <c r="B1620" s="69"/>
      <c r="C1620" s="70"/>
      <c r="D1620" s="71"/>
    </row>
    <row r="1621" spans="2:4" x14ac:dyDescent="0.15">
      <c r="B1621" s="69"/>
      <c r="C1621" s="70"/>
      <c r="D1621" s="71"/>
    </row>
    <row r="1622" spans="2:4" x14ac:dyDescent="0.15">
      <c r="B1622" s="69"/>
      <c r="C1622" s="70"/>
      <c r="D1622" s="71"/>
    </row>
    <row r="1623" spans="2:4" x14ac:dyDescent="0.15">
      <c r="B1623" s="69"/>
      <c r="C1623" s="70"/>
      <c r="D1623" s="71"/>
    </row>
    <row r="1624" spans="2:4" x14ac:dyDescent="0.15">
      <c r="B1624" s="69"/>
      <c r="C1624" s="70"/>
      <c r="D1624" s="71"/>
    </row>
    <row r="1625" spans="2:4" x14ac:dyDescent="0.15">
      <c r="B1625" s="69"/>
      <c r="C1625" s="70"/>
      <c r="D1625" s="71"/>
    </row>
    <row r="1626" spans="2:4" x14ac:dyDescent="0.15">
      <c r="B1626" s="69"/>
      <c r="C1626" s="70"/>
      <c r="D1626" s="71"/>
    </row>
    <row r="1627" spans="2:4" x14ac:dyDescent="0.15">
      <c r="B1627" s="69"/>
      <c r="C1627" s="70"/>
      <c r="D1627" s="71"/>
    </row>
    <row r="1628" spans="2:4" x14ac:dyDescent="0.15">
      <c r="B1628" s="69"/>
      <c r="C1628" s="70"/>
      <c r="D1628" s="71"/>
    </row>
    <row r="1629" spans="2:4" x14ac:dyDescent="0.15">
      <c r="B1629" s="69"/>
      <c r="C1629" s="70"/>
      <c r="D1629" s="71"/>
    </row>
    <row r="1630" spans="2:4" x14ac:dyDescent="0.15">
      <c r="B1630" s="69"/>
      <c r="C1630" s="70"/>
      <c r="D1630" s="71"/>
    </row>
    <row r="1631" spans="2:4" x14ac:dyDescent="0.15">
      <c r="B1631" s="69"/>
      <c r="C1631" s="70"/>
      <c r="D1631" s="71"/>
    </row>
    <row r="1632" spans="2:4" x14ac:dyDescent="0.15">
      <c r="B1632" s="69"/>
      <c r="C1632" s="70"/>
      <c r="D1632" s="71"/>
    </row>
    <row r="1633" spans="2:4" x14ac:dyDescent="0.15">
      <c r="B1633" s="69"/>
      <c r="C1633" s="70"/>
      <c r="D1633" s="71"/>
    </row>
    <row r="1634" spans="2:4" x14ac:dyDescent="0.15">
      <c r="B1634" s="69"/>
      <c r="C1634" s="70"/>
      <c r="D1634" s="71"/>
    </row>
    <row r="1635" spans="2:4" x14ac:dyDescent="0.15">
      <c r="B1635" s="69"/>
      <c r="C1635" s="70"/>
      <c r="D1635" s="71"/>
    </row>
    <row r="1636" spans="2:4" x14ac:dyDescent="0.15">
      <c r="B1636" s="69"/>
      <c r="C1636" s="70"/>
      <c r="D1636" s="71"/>
    </row>
    <row r="1637" spans="2:4" x14ac:dyDescent="0.15">
      <c r="B1637" s="69"/>
      <c r="C1637" s="70"/>
      <c r="D1637" s="71"/>
    </row>
    <row r="1638" spans="2:4" x14ac:dyDescent="0.15">
      <c r="B1638" s="69"/>
      <c r="C1638" s="70"/>
      <c r="D1638" s="71"/>
    </row>
    <row r="1639" spans="2:4" x14ac:dyDescent="0.15">
      <c r="B1639" s="69"/>
      <c r="C1639" s="70"/>
      <c r="D1639" s="71"/>
    </row>
    <row r="1640" spans="2:4" x14ac:dyDescent="0.15">
      <c r="B1640" s="69"/>
      <c r="C1640" s="70"/>
      <c r="D1640" s="71"/>
    </row>
    <row r="1641" spans="2:4" x14ac:dyDescent="0.15">
      <c r="B1641" s="69"/>
      <c r="C1641" s="70"/>
      <c r="D1641" s="71"/>
    </row>
    <row r="1642" spans="2:4" x14ac:dyDescent="0.15">
      <c r="B1642" s="69"/>
      <c r="C1642" s="70"/>
      <c r="D1642" s="71"/>
    </row>
    <row r="1643" spans="2:4" x14ac:dyDescent="0.15">
      <c r="B1643" s="69"/>
      <c r="C1643" s="70"/>
      <c r="D1643" s="71"/>
    </row>
    <row r="1644" spans="2:4" x14ac:dyDescent="0.15">
      <c r="B1644" s="69"/>
      <c r="C1644" s="70"/>
      <c r="D1644" s="71"/>
    </row>
    <row r="1645" spans="2:4" x14ac:dyDescent="0.15">
      <c r="B1645" s="69"/>
      <c r="C1645" s="70"/>
      <c r="D1645" s="71"/>
    </row>
    <row r="1646" spans="2:4" x14ac:dyDescent="0.15">
      <c r="B1646" s="69"/>
      <c r="C1646" s="70"/>
      <c r="D1646" s="71"/>
    </row>
    <row r="1647" spans="2:4" x14ac:dyDescent="0.15">
      <c r="B1647" s="69"/>
      <c r="C1647" s="70"/>
      <c r="D1647" s="71"/>
    </row>
    <row r="1648" spans="2:4" x14ac:dyDescent="0.15">
      <c r="B1648" s="69"/>
      <c r="C1648" s="70"/>
      <c r="D1648" s="71"/>
    </row>
    <row r="1649" spans="2:4" x14ac:dyDescent="0.15">
      <c r="B1649" s="69"/>
      <c r="C1649" s="70"/>
      <c r="D1649" s="71"/>
    </row>
    <row r="1650" spans="2:4" x14ac:dyDescent="0.15">
      <c r="B1650" s="69"/>
      <c r="C1650" s="70"/>
      <c r="D1650" s="71"/>
    </row>
    <row r="1651" spans="2:4" x14ac:dyDescent="0.15">
      <c r="B1651" s="69"/>
      <c r="C1651" s="70"/>
      <c r="D1651" s="71"/>
    </row>
    <row r="1652" spans="2:4" x14ac:dyDescent="0.15">
      <c r="B1652" s="69"/>
      <c r="C1652" s="70"/>
      <c r="D1652" s="71"/>
    </row>
    <row r="1653" spans="2:4" x14ac:dyDescent="0.15">
      <c r="B1653" s="69"/>
      <c r="C1653" s="70"/>
      <c r="D1653" s="71"/>
    </row>
    <row r="1654" spans="2:4" x14ac:dyDescent="0.15">
      <c r="B1654" s="69"/>
      <c r="C1654" s="70"/>
      <c r="D1654" s="71"/>
    </row>
    <row r="1655" spans="2:4" x14ac:dyDescent="0.15">
      <c r="B1655" s="69"/>
      <c r="C1655" s="70"/>
      <c r="D1655" s="71"/>
    </row>
    <row r="1656" spans="2:4" x14ac:dyDescent="0.15">
      <c r="B1656" s="69"/>
      <c r="C1656" s="70"/>
      <c r="D1656" s="71"/>
    </row>
    <row r="1657" spans="2:4" x14ac:dyDescent="0.15">
      <c r="B1657" s="69"/>
      <c r="C1657" s="70"/>
      <c r="D1657" s="71"/>
    </row>
    <row r="1658" spans="2:4" x14ac:dyDescent="0.15">
      <c r="B1658" s="69"/>
      <c r="C1658" s="70"/>
      <c r="D1658" s="71"/>
    </row>
    <row r="1659" spans="2:4" x14ac:dyDescent="0.15">
      <c r="B1659" s="69"/>
      <c r="C1659" s="70"/>
      <c r="D1659" s="71"/>
    </row>
    <row r="1660" spans="2:4" x14ac:dyDescent="0.15">
      <c r="B1660" s="69"/>
      <c r="C1660" s="70"/>
      <c r="D1660" s="71"/>
    </row>
    <row r="1661" spans="2:4" x14ac:dyDescent="0.15">
      <c r="B1661" s="69"/>
      <c r="C1661" s="70"/>
      <c r="D1661" s="71"/>
    </row>
    <row r="1662" spans="2:4" x14ac:dyDescent="0.15">
      <c r="B1662" s="69"/>
      <c r="C1662" s="70"/>
      <c r="D1662" s="71"/>
    </row>
    <row r="1663" spans="2:4" x14ac:dyDescent="0.15">
      <c r="B1663" s="69"/>
      <c r="C1663" s="70"/>
      <c r="D1663" s="71"/>
    </row>
    <row r="1664" spans="2:4" x14ac:dyDescent="0.15">
      <c r="B1664" s="69"/>
      <c r="C1664" s="70"/>
      <c r="D1664" s="71"/>
    </row>
    <row r="1665" spans="2:4" x14ac:dyDescent="0.15">
      <c r="B1665" s="69"/>
      <c r="C1665" s="70"/>
      <c r="D1665" s="71"/>
    </row>
    <row r="1666" spans="2:4" x14ac:dyDescent="0.15">
      <c r="B1666" s="69"/>
      <c r="C1666" s="70"/>
      <c r="D1666" s="71"/>
    </row>
    <row r="1667" spans="2:4" x14ac:dyDescent="0.15">
      <c r="B1667" s="69"/>
      <c r="C1667" s="70"/>
      <c r="D1667" s="71"/>
    </row>
    <row r="1668" spans="2:4" x14ac:dyDescent="0.15">
      <c r="B1668" s="69"/>
      <c r="C1668" s="70"/>
      <c r="D1668" s="71"/>
    </row>
    <row r="1669" spans="2:4" x14ac:dyDescent="0.15">
      <c r="B1669" s="69"/>
      <c r="C1669" s="70"/>
      <c r="D1669" s="71"/>
    </row>
    <row r="1670" spans="2:4" x14ac:dyDescent="0.15">
      <c r="B1670" s="69"/>
      <c r="C1670" s="70"/>
      <c r="D1670" s="71"/>
    </row>
    <row r="1671" spans="2:4" x14ac:dyDescent="0.15">
      <c r="B1671" s="69"/>
      <c r="C1671" s="70"/>
      <c r="D1671" s="71"/>
    </row>
    <row r="1672" spans="2:4" x14ac:dyDescent="0.15">
      <c r="B1672" s="69"/>
      <c r="C1672" s="70"/>
      <c r="D1672" s="71"/>
    </row>
    <row r="1673" spans="2:4" x14ac:dyDescent="0.15">
      <c r="B1673" s="69"/>
      <c r="C1673" s="70"/>
      <c r="D1673" s="71"/>
    </row>
    <row r="1674" spans="2:4" x14ac:dyDescent="0.15">
      <c r="B1674" s="69"/>
      <c r="C1674" s="70"/>
      <c r="D1674" s="71"/>
    </row>
    <row r="1675" spans="2:4" x14ac:dyDescent="0.15">
      <c r="B1675" s="69"/>
      <c r="C1675" s="70"/>
      <c r="D1675" s="71"/>
    </row>
    <row r="1676" spans="2:4" x14ac:dyDescent="0.15">
      <c r="B1676" s="69"/>
      <c r="C1676" s="70"/>
      <c r="D1676" s="71"/>
    </row>
    <row r="1677" spans="2:4" x14ac:dyDescent="0.15">
      <c r="B1677" s="69"/>
      <c r="C1677" s="70"/>
      <c r="D1677" s="71"/>
    </row>
    <row r="1678" spans="2:4" x14ac:dyDescent="0.15">
      <c r="B1678" s="69"/>
      <c r="C1678" s="70"/>
      <c r="D1678" s="71"/>
    </row>
    <row r="1679" spans="2:4" x14ac:dyDescent="0.15">
      <c r="B1679" s="69"/>
      <c r="C1679" s="70"/>
      <c r="D1679" s="71"/>
    </row>
    <row r="1680" spans="2:4" x14ac:dyDescent="0.15">
      <c r="B1680" s="69"/>
      <c r="C1680" s="70"/>
      <c r="D1680" s="71"/>
    </row>
    <row r="1681" spans="2:4" x14ac:dyDescent="0.15">
      <c r="B1681" s="69"/>
      <c r="C1681" s="70"/>
      <c r="D1681" s="71"/>
    </row>
    <row r="1682" spans="2:4" x14ac:dyDescent="0.15">
      <c r="B1682" s="69"/>
      <c r="C1682" s="70"/>
      <c r="D1682" s="71"/>
    </row>
    <row r="1683" spans="2:4" x14ac:dyDescent="0.15">
      <c r="B1683" s="69"/>
      <c r="C1683" s="70"/>
      <c r="D1683" s="71"/>
    </row>
    <row r="1684" spans="2:4" x14ac:dyDescent="0.15">
      <c r="B1684" s="69"/>
      <c r="C1684" s="70"/>
      <c r="D1684" s="71"/>
    </row>
    <row r="1685" spans="2:4" x14ac:dyDescent="0.15">
      <c r="B1685" s="69"/>
      <c r="C1685" s="70"/>
      <c r="D1685" s="71"/>
    </row>
    <row r="1686" spans="2:4" x14ac:dyDescent="0.15">
      <c r="B1686" s="69"/>
      <c r="C1686" s="70"/>
      <c r="D1686" s="71"/>
    </row>
    <row r="1687" spans="2:4" x14ac:dyDescent="0.15">
      <c r="B1687" s="69"/>
      <c r="C1687" s="70"/>
      <c r="D1687" s="71"/>
    </row>
    <row r="1688" spans="2:4" x14ac:dyDescent="0.15">
      <c r="B1688" s="69"/>
      <c r="C1688" s="70"/>
      <c r="D1688" s="71"/>
    </row>
    <row r="1689" spans="2:4" x14ac:dyDescent="0.15">
      <c r="B1689" s="69"/>
      <c r="C1689" s="70"/>
      <c r="D1689" s="71"/>
    </row>
    <row r="1690" spans="2:4" x14ac:dyDescent="0.15">
      <c r="B1690" s="69"/>
      <c r="C1690" s="70"/>
      <c r="D1690" s="71"/>
    </row>
    <row r="1691" spans="2:4" x14ac:dyDescent="0.15">
      <c r="B1691" s="69"/>
      <c r="C1691" s="70"/>
      <c r="D1691" s="71"/>
    </row>
    <row r="1692" spans="2:4" x14ac:dyDescent="0.15">
      <c r="B1692" s="69"/>
      <c r="C1692" s="70"/>
      <c r="D1692" s="71"/>
    </row>
    <row r="1693" spans="2:4" x14ac:dyDescent="0.15">
      <c r="B1693" s="69"/>
      <c r="C1693" s="70"/>
      <c r="D1693" s="71"/>
    </row>
    <row r="1694" spans="2:4" x14ac:dyDescent="0.15">
      <c r="B1694" s="69"/>
      <c r="C1694" s="70"/>
      <c r="D1694" s="71"/>
    </row>
    <row r="1695" spans="2:4" x14ac:dyDescent="0.15">
      <c r="B1695" s="69"/>
      <c r="C1695" s="70"/>
      <c r="D1695" s="71"/>
    </row>
    <row r="1696" spans="2:4" x14ac:dyDescent="0.15">
      <c r="B1696" s="69"/>
      <c r="C1696" s="70"/>
      <c r="D1696" s="71"/>
    </row>
    <row r="1697" spans="2:4" x14ac:dyDescent="0.15">
      <c r="B1697" s="69"/>
      <c r="C1697" s="70"/>
      <c r="D1697" s="71"/>
    </row>
    <row r="1698" spans="2:4" x14ac:dyDescent="0.15">
      <c r="B1698" s="69"/>
      <c r="C1698" s="70"/>
      <c r="D1698" s="71"/>
    </row>
    <row r="1699" spans="2:4" x14ac:dyDescent="0.15">
      <c r="B1699" s="69"/>
      <c r="C1699" s="70"/>
      <c r="D1699" s="71"/>
    </row>
    <row r="1700" spans="2:4" x14ac:dyDescent="0.15">
      <c r="B1700" s="69"/>
      <c r="C1700" s="70"/>
      <c r="D1700" s="71"/>
    </row>
    <row r="1701" spans="2:4" x14ac:dyDescent="0.15">
      <c r="B1701" s="69"/>
      <c r="C1701" s="70"/>
      <c r="D1701" s="71"/>
    </row>
    <row r="1702" spans="2:4" x14ac:dyDescent="0.15">
      <c r="B1702" s="69"/>
      <c r="C1702" s="70"/>
      <c r="D1702" s="71"/>
    </row>
    <row r="1703" spans="2:4" x14ac:dyDescent="0.15">
      <c r="B1703" s="69"/>
      <c r="C1703" s="70"/>
      <c r="D1703" s="71"/>
    </row>
    <row r="1704" spans="2:4" x14ac:dyDescent="0.15">
      <c r="B1704" s="69"/>
      <c r="C1704" s="70"/>
      <c r="D1704" s="71"/>
    </row>
    <row r="1705" spans="2:4" x14ac:dyDescent="0.15">
      <c r="B1705" s="69"/>
      <c r="C1705" s="70"/>
      <c r="D1705" s="71"/>
    </row>
    <row r="1706" spans="2:4" x14ac:dyDescent="0.15">
      <c r="B1706" s="69"/>
      <c r="C1706" s="70"/>
      <c r="D1706" s="71"/>
    </row>
    <row r="1707" spans="2:4" x14ac:dyDescent="0.15">
      <c r="B1707" s="69"/>
      <c r="C1707" s="70"/>
      <c r="D1707" s="71"/>
    </row>
    <row r="1708" spans="2:4" x14ac:dyDescent="0.15">
      <c r="B1708" s="69"/>
      <c r="C1708" s="70"/>
      <c r="D1708" s="71"/>
    </row>
    <row r="1709" spans="2:4" x14ac:dyDescent="0.15">
      <c r="B1709" s="69"/>
      <c r="C1709" s="70"/>
      <c r="D1709" s="71"/>
    </row>
    <row r="1710" spans="2:4" x14ac:dyDescent="0.15">
      <c r="B1710" s="69"/>
      <c r="C1710" s="70"/>
      <c r="D1710" s="71"/>
    </row>
    <row r="1711" spans="2:4" x14ac:dyDescent="0.15">
      <c r="B1711" s="69"/>
      <c r="C1711" s="70"/>
      <c r="D1711" s="71"/>
    </row>
    <row r="1712" spans="2:4" x14ac:dyDescent="0.15">
      <c r="B1712" s="69"/>
      <c r="C1712" s="70"/>
      <c r="D1712" s="71"/>
    </row>
    <row r="1713" spans="2:4" x14ac:dyDescent="0.15">
      <c r="B1713" s="69"/>
      <c r="C1713" s="70"/>
      <c r="D1713" s="71"/>
    </row>
    <row r="1714" spans="2:4" x14ac:dyDescent="0.15">
      <c r="B1714" s="69"/>
      <c r="C1714" s="70"/>
      <c r="D1714" s="71"/>
    </row>
    <row r="1715" spans="2:4" x14ac:dyDescent="0.15">
      <c r="B1715" s="69"/>
      <c r="C1715" s="70"/>
      <c r="D1715" s="71"/>
    </row>
    <row r="1716" spans="2:4" x14ac:dyDescent="0.15">
      <c r="B1716" s="69"/>
      <c r="C1716" s="70"/>
      <c r="D1716" s="71"/>
    </row>
    <row r="1717" spans="2:4" x14ac:dyDescent="0.15">
      <c r="B1717" s="69"/>
      <c r="C1717" s="70"/>
      <c r="D1717" s="71"/>
    </row>
    <row r="1718" spans="2:4" x14ac:dyDescent="0.15">
      <c r="B1718" s="69"/>
      <c r="C1718" s="70"/>
      <c r="D1718" s="71"/>
    </row>
    <row r="1719" spans="2:4" x14ac:dyDescent="0.15">
      <c r="B1719" s="69"/>
      <c r="C1719" s="70"/>
      <c r="D1719" s="71"/>
    </row>
    <row r="1720" spans="2:4" x14ac:dyDescent="0.15">
      <c r="B1720" s="69"/>
      <c r="C1720" s="70"/>
      <c r="D1720" s="71"/>
    </row>
    <row r="1721" spans="2:4" x14ac:dyDescent="0.15">
      <c r="B1721" s="69"/>
      <c r="C1721" s="70"/>
      <c r="D1721" s="71"/>
    </row>
    <row r="1722" spans="2:4" x14ac:dyDescent="0.15">
      <c r="B1722" s="69"/>
      <c r="C1722" s="70"/>
      <c r="D1722" s="71"/>
    </row>
    <row r="1723" spans="2:4" x14ac:dyDescent="0.15">
      <c r="B1723" s="69"/>
      <c r="C1723" s="70"/>
      <c r="D1723" s="71"/>
    </row>
    <row r="1724" spans="2:4" x14ac:dyDescent="0.15">
      <c r="B1724" s="69"/>
      <c r="C1724" s="70"/>
      <c r="D1724" s="71"/>
    </row>
    <row r="1725" spans="2:4" x14ac:dyDescent="0.15">
      <c r="B1725" s="69"/>
      <c r="C1725" s="70"/>
      <c r="D1725" s="71"/>
    </row>
    <row r="1726" spans="2:4" x14ac:dyDescent="0.15">
      <c r="B1726" s="69"/>
      <c r="C1726" s="70"/>
      <c r="D1726" s="71"/>
    </row>
    <row r="1727" spans="2:4" x14ac:dyDescent="0.15">
      <c r="B1727" s="69"/>
      <c r="C1727" s="70"/>
      <c r="D1727" s="71"/>
    </row>
    <row r="1728" spans="2:4" x14ac:dyDescent="0.15">
      <c r="B1728" s="69"/>
      <c r="C1728" s="70"/>
      <c r="D1728" s="71"/>
    </row>
    <row r="1729" spans="2:4" x14ac:dyDescent="0.15">
      <c r="B1729" s="69"/>
      <c r="C1729" s="70"/>
      <c r="D1729" s="71"/>
    </row>
    <row r="1730" spans="2:4" x14ac:dyDescent="0.15">
      <c r="B1730" s="69"/>
      <c r="C1730" s="70"/>
      <c r="D1730" s="71"/>
    </row>
    <row r="1731" spans="2:4" x14ac:dyDescent="0.15">
      <c r="B1731" s="69"/>
      <c r="C1731" s="70"/>
      <c r="D1731" s="71"/>
    </row>
    <row r="1732" spans="2:4" x14ac:dyDescent="0.15">
      <c r="B1732" s="69"/>
      <c r="C1732" s="70"/>
      <c r="D1732" s="71"/>
    </row>
    <row r="1733" spans="2:4" x14ac:dyDescent="0.15">
      <c r="B1733" s="69"/>
      <c r="C1733" s="70"/>
      <c r="D1733" s="71"/>
    </row>
    <row r="1734" spans="2:4" x14ac:dyDescent="0.15">
      <c r="B1734" s="69"/>
      <c r="C1734" s="70"/>
      <c r="D1734" s="71"/>
    </row>
    <row r="1735" spans="2:4" x14ac:dyDescent="0.15">
      <c r="B1735" s="69"/>
      <c r="C1735" s="70"/>
      <c r="D1735" s="71"/>
    </row>
    <row r="1736" spans="2:4" x14ac:dyDescent="0.15">
      <c r="B1736" s="69"/>
      <c r="C1736" s="70"/>
      <c r="D1736" s="71"/>
    </row>
    <row r="1737" spans="2:4" x14ac:dyDescent="0.15">
      <c r="B1737" s="69"/>
      <c r="C1737" s="70"/>
      <c r="D1737" s="71"/>
    </row>
    <row r="1738" spans="2:4" x14ac:dyDescent="0.15">
      <c r="B1738" s="69"/>
      <c r="C1738" s="70"/>
      <c r="D1738" s="71"/>
    </row>
    <row r="1739" spans="2:4" x14ac:dyDescent="0.15">
      <c r="B1739" s="69"/>
      <c r="C1739" s="70"/>
      <c r="D1739" s="71"/>
    </row>
    <row r="1740" spans="2:4" x14ac:dyDescent="0.15">
      <c r="B1740" s="69"/>
      <c r="C1740" s="70"/>
      <c r="D1740" s="71"/>
    </row>
    <row r="1741" spans="2:4" x14ac:dyDescent="0.15">
      <c r="B1741" s="69"/>
      <c r="C1741" s="70"/>
      <c r="D1741" s="71"/>
    </row>
    <row r="1742" spans="2:4" x14ac:dyDescent="0.15">
      <c r="B1742" s="69"/>
      <c r="C1742" s="70"/>
      <c r="D1742" s="71"/>
    </row>
    <row r="1743" spans="2:4" x14ac:dyDescent="0.15">
      <c r="B1743" s="69"/>
      <c r="C1743" s="70"/>
      <c r="D1743" s="71"/>
    </row>
    <row r="1744" spans="2:4" x14ac:dyDescent="0.15">
      <c r="B1744" s="69"/>
      <c r="C1744" s="70"/>
      <c r="D1744" s="71"/>
    </row>
    <row r="1745" spans="2:4" x14ac:dyDescent="0.15">
      <c r="B1745" s="69"/>
      <c r="C1745" s="70"/>
      <c r="D1745" s="71"/>
    </row>
    <row r="1746" spans="2:4" x14ac:dyDescent="0.15">
      <c r="B1746" s="69"/>
      <c r="C1746" s="70"/>
      <c r="D1746" s="71"/>
    </row>
    <row r="1747" spans="2:4" x14ac:dyDescent="0.15">
      <c r="B1747" s="69"/>
      <c r="C1747" s="70"/>
      <c r="D1747" s="71"/>
    </row>
    <row r="1748" spans="2:4" x14ac:dyDescent="0.15">
      <c r="B1748" s="69"/>
      <c r="C1748" s="70"/>
      <c r="D1748" s="71"/>
    </row>
    <row r="1749" spans="2:4" x14ac:dyDescent="0.15">
      <c r="B1749" s="69"/>
      <c r="C1749" s="70"/>
      <c r="D1749" s="71"/>
    </row>
    <row r="1750" spans="2:4" x14ac:dyDescent="0.15">
      <c r="B1750" s="69"/>
      <c r="C1750" s="70"/>
      <c r="D1750" s="71"/>
    </row>
    <row r="1751" spans="2:4" x14ac:dyDescent="0.15">
      <c r="B1751" s="69"/>
      <c r="C1751" s="70"/>
      <c r="D1751" s="71"/>
    </row>
    <row r="1752" spans="2:4" x14ac:dyDescent="0.15">
      <c r="B1752" s="69"/>
      <c r="C1752" s="70"/>
      <c r="D1752" s="71"/>
    </row>
    <row r="1753" spans="2:4" x14ac:dyDescent="0.15">
      <c r="B1753" s="69"/>
      <c r="C1753" s="70"/>
      <c r="D1753" s="71"/>
    </row>
    <row r="1754" spans="2:4" x14ac:dyDescent="0.15">
      <c r="B1754" s="69"/>
      <c r="C1754" s="70"/>
      <c r="D1754" s="71"/>
    </row>
    <row r="1755" spans="2:4" x14ac:dyDescent="0.15">
      <c r="B1755" s="69"/>
      <c r="C1755" s="70"/>
      <c r="D1755" s="71"/>
    </row>
    <row r="1756" spans="2:4" x14ac:dyDescent="0.15">
      <c r="B1756" s="69"/>
      <c r="C1756" s="70"/>
      <c r="D1756" s="71"/>
    </row>
    <row r="1757" spans="2:4" x14ac:dyDescent="0.15">
      <c r="B1757" s="69"/>
      <c r="C1757" s="70"/>
      <c r="D1757" s="71"/>
    </row>
    <row r="1758" spans="2:4" x14ac:dyDescent="0.15">
      <c r="B1758" s="69"/>
      <c r="C1758" s="70"/>
      <c r="D1758" s="71"/>
    </row>
    <row r="1759" spans="2:4" x14ac:dyDescent="0.15">
      <c r="B1759" s="69"/>
      <c r="C1759" s="70"/>
      <c r="D1759" s="71"/>
    </row>
    <row r="1760" spans="2:4" x14ac:dyDescent="0.15">
      <c r="B1760" s="69"/>
      <c r="C1760" s="70"/>
      <c r="D1760" s="71"/>
    </row>
    <row r="1761" spans="2:4" x14ac:dyDescent="0.15">
      <c r="B1761" s="69"/>
      <c r="C1761" s="70"/>
      <c r="D1761" s="71"/>
    </row>
    <row r="1762" spans="2:4" x14ac:dyDescent="0.15">
      <c r="B1762" s="69"/>
      <c r="C1762" s="70"/>
      <c r="D1762" s="71"/>
    </row>
    <row r="1763" spans="2:4" x14ac:dyDescent="0.15">
      <c r="B1763" s="69"/>
      <c r="C1763" s="70"/>
      <c r="D1763" s="71"/>
    </row>
    <row r="1764" spans="2:4" x14ac:dyDescent="0.15">
      <c r="B1764" s="69"/>
      <c r="C1764" s="70"/>
      <c r="D1764" s="71"/>
    </row>
    <row r="1765" spans="2:4" x14ac:dyDescent="0.15">
      <c r="B1765" s="69"/>
      <c r="C1765" s="70"/>
      <c r="D1765" s="71"/>
    </row>
    <row r="1766" spans="2:4" x14ac:dyDescent="0.15">
      <c r="B1766" s="69"/>
      <c r="C1766" s="70"/>
      <c r="D1766" s="71"/>
    </row>
    <row r="1767" spans="2:4" x14ac:dyDescent="0.15">
      <c r="B1767" s="69"/>
      <c r="C1767" s="70"/>
      <c r="D1767" s="71"/>
    </row>
    <row r="1768" spans="2:4" x14ac:dyDescent="0.15">
      <c r="B1768" s="69"/>
      <c r="C1768" s="70"/>
      <c r="D1768" s="71"/>
    </row>
    <row r="1769" spans="2:4" x14ac:dyDescent="0.15">
      <c r="B1769" s="69"/>
      <c r="C1769" s="70"/>
      <c r="D1769" s="71"/>
    </row>
    <row r="1770" spans="2:4" x14ac:dyDescent="0.15">
      <c r="B1770" s="69"/>
      <c r="C1770" s="70"/>
      <c r="D1770" s="71"/>
    </row>
    <row r="1771" spans="2:4" x14ac:dyDescent="0.15">
      <c r="B1771" s="69"/>
      <c r="C1771" s="70"/>
      <c r="D1771" s="71"/>
    </row>
    <row r="1772" spans="2:4" x14ac:dyDescent="0.15">
      <c r="B1772" s="69"/>
      <c r="C1772" s="70"/>
      <c r="D1772" s="71"/>
    </row>
    <row r="1773" spans="2:4" x14ac:dyDescent="0.15">
      <c r="B1773" s="69"/>
      <c r="C1773" s="70"/>
      <c r="D1773" s="71"/>
    </row>
    <row r="1774" spans="2:4" x14ac:dyDescent="0.15">
      <c r="B1774" s="69"/>
      <c r="C1774" s="70"/>
      <c r="D1774" s="71"/>
    </row>
    <row r="1775" spans="2:4" x14ac:dyDescent="0.15">
      <c r="B1775" s="69"/>
      <c r="C1775" s="70"/>
      <c r="D1775" s="71"/>
    </row>
    <row r="1776" spans="2:4" x14ac:dyDescent="0.15">
      <c r="B1776" s="69"/>
      <c r="C1776" s="70"/>
      <c r="D1776" s="71"/>
    </row>
    <row r="1777" spans="2:4" x14ac:dyDescent="0.15">
      <c r="B1777" s="69"/>
      <c r="C1777" s="70"/>
      <c r="D1777" s="71"/>
    </row>
    <row r="1778" spans="2:4" x14ac:dyDescent="0.15">
      <c r="B1778" s="69"/>
      <c r="C1778" s="70"/>
      <c r="D1778" s="71"/>
    </row>
    <row r="1779" spans="2:4" x14ac:dyDescent="0.15">
      <c r="B1779" s="69"/>
      <c r="C1779" s="70"/>
      <c r="D1779" s="71"/>
    </row>
    <row r="1780" spans="2:4" x14ac:dyDescent="0.15">
      <c r="B1780" s="69"/>
      <c r="C1780" s="70"/>
      <c r="D1780" s="71"/>
    </row>
    <row r="1781" spans="2:4" x14ac:dyDescent="0.15">
      <c r="B1781" s="69"/>
      <c r="C1781" s="70"/>
      <c r="D1781" s="71"/>
    </row>
    <row r="1782" spans="2:4" x14ac:dyDescent="0.15">
      <c r="B1782" s="69"/>
      <c r="C1782" s="70"/>
      <c r="D1782" s="71"/>
    </row>
    <row r="1783" spans="2:4" x14ac:dyDescent="0.15">
      <c r="B1783" s="69"/>
      <c r="C1783" s="70"/>
      <c r="D1783" s="71"/>
    </row>
    <row r="1784" spans="2:4" x14ac:dyDescent="0.15">
      <c r="B1784" s="69"/>
      <c r="C1784" s="70"/>
      <c r="D1784" s="71"/>
    </row>
    <row r="1785" spans="2:4" x14ac:dyDescent="0.15">
      <c r="B1785" s="69"/>
      <c r="C1785" s="70"/>
      <c r="D1785" s="71"/>
    </row>
    <row r="1786" spans="2:4" x14ac:dyDescent="0.15">
      <c r="B1786" s="69"/>
      <c r="C1786" s="70"/>
      <c r="D1786" s="71"/>
    </row>
    <row r="1787" spans="2:4" x14ac:dyDescent="0.15">
      <c r="B1787" s="69"/>
      <c r="C1787" s="70"/>
      <c r="D1787" s="71"/>
    </row>
    <row r="1788" spans="2:4" x14ac:dyDescent="0.15">
      <c r="B1788" s="69"/>
      <c r="C1788" s="70"/>
      <c r="D1788" s="71"/>
    </row>
    <row r="1789" spans="2:4" x14ac:dyDescent="0.15">
      <c r="B1789" s="69"/>
      <c r="C1789" s="70"/>
      <c r="D1789" s="71"/>
    </row>
    <row r="1790" spans="2:4" x14ac:dyDescent="0.15">
      <c r="B1790" s="69"/>
      <c r="C1790" s="70"/>
      <c r="D1790" s="71"/>
    </row>
    <row r="1791" spans="2:4" x14ac:dyDescent="0.15">
      <c r="B1791" s="69"/>
      <c r="C1791" s="70"/>
      <c r="D1791" s="71"/>
    </row>
    <row r="1792" spans="2:4" x14ac:dyDescent="0.15">
      <c r="B1792" s="69"/>
      <c r="C1792" s="70"/>
      <c r="D1792" s="71"/>
    </row>
    <row r="1793" spans="2:4" x14ac:dyDescent="0.15">
      <c r="B1793" s="69"/>
      <c r="C1793" s="70"/>
      <c r="D1793" s="71"/>
    </row>
    <row r="1794" spans="2:4" x14ac:dyDescent="0.15">
      <c r="B1794" s="69"/>
      <c r="C1794" s="70"/>
      <c r="D1794" s="71"/>
    </row>
    <row r="1795" spans="2:4" x14ac:dyDescent="0.15">
      <c r="B1795" s="69"/>
      <c r="C1795" s="70"/>
      <c r="D1795" s="71"/>
    </row>
    <row r="1796" spans="2:4" x14ac:dyDescent="0.15">
      <c r="B1796" s="69"/>
      <c r="C1796" s="70"/>
      <c r="D1796" s="71"/>
    </row>
    <row r="1797" spans="2:4" x14ac:dyDescent="0.15">
      <c r="B1797" s="69"/>
      <c r="C1797" s="70"/>
      <c r="D1797" s="71"/>
    </row>
    <row r="1798" spans="2:4" x14ac:dyDescent="0.15">
      <c r="B1798" s="69"/>
      <c r="C1798" s="70"/>
      <c r="D1798" s="71"/>
    </row>
    <row r="1799" spans="2:4" x14ac:dyDescent="0.15">
      <c r="B1799" s="69"/>
      <c r="C1799" s="70"/>
      <c r="D1799" s="71"/>
    </row>
    <row r="1800" spans="2:4" x14ac:dyDescent="0.15">
      <c r="B1800" s="69"/>
      <c r="C1800" s="70"/>
      <c r="D1800" s="71"/>
    </row>
    <row r="1801" spans="2:4" x14ac:dyDescent="0.15">
      <c r="B1801" s="69"/>
      <c r="C1801" s="70"/>
      <c r="D1801" s="71"/>
    </row>
    <row r="1802" spans="2:4" x14ac:dyDescent="0.15">
      <c r="B1802" s="69"/>
      <c r="C1802" s="70"/>
      <c r="D1802" s="71"/>
    </row>
    <row r="1803" spans="2:4" x14ac:dyDescent="0.15">
      <c r="B1803" s="69"/>
      <c r="C1803" s="70"/>
      <c r="D1803" s="71"/>
    </row>
    <row r="1804" spans="2:4" x14ac:dyDescent="0.15">
      <c r="B1804" s="69"/>
      <c r="C1804" s="70"/>
      <c r="D1804" s="71"/>
    </row>
    <row r="1805" spans="2:4" x14ac:dyDescent="0.15">
      <c r="B1805" s="69"/>
      <c r="C1805" s="70"/>
      <c r="D1805" s="71"/>
    </row>
    <row r="1806" spans="2:4" x14ac:dyDescent="0.15">
      <c r="B1806" s="69"/>
      <c r="C1806" s="70"/>
      <c r="D1806" s="71"/>
    </row>
    <row r="1807" spans="2:4" x14ac:dyDescent="0.15">
      <c r="B1807" s="69"/>
      <c r="C1807" s="70"/>
      <c r="D1807" s="71"/>
    </row>
    <row r="1808" spans="2:4" x14ac:dyDescent="0.15">
      <c r="B1808" s="69"/>
      <c r="C1808" s="70"/>
      <c r="D1808" s="71"/>
    </row>
    <row r="1809" spans="2:4" x14ac:dyDescent="0.15">
      <c r="B1809" s="69"/>
      <c r="C1809" s="70"/>
      <c r="D1809" s="71"/>
    </row>
    <row r="1810" spans="2:4" x14ac:dyDescent="0.15">
      <c r="B1810" s="69"/>
      <c r="C1810" s="70"/>
      <c r="D1810" s="71"/>
    </row>
    <row r="1811" spans="2:4" x14ac:dyDescent="0.15">
      <c r="B1811" s="69"/>
      <c r="C1811" s="70"/>
      <c r="D1811" s="71"/>
    </row>
    <row r="1812" spans="2:4" x14ac:dyDescent="0.15">
      <c r="B1812" s="69"/>
      <c r="C1812" s="70"/>
      <c r="D1812" s="71"/>
    </row>
    <row r="1813" spans="2:4" x14ac:dyDescent="0.15">
      <c r="B1813" s="69"/>
      <c r="C1813" s="70"/>
      <c r="D1813" s="71"/>
    </row>
    <row r="1814" spans="2:4" x14ac:dyDescent="0.15">
      <c r="B1814" s="69"/>
      <c r="C1814" s="70"/>
      <c r="D1814" s="71"/>
    </row>
    <row r="1815" spans="2:4" x14ac:dyDescent="0.15">
      <c r="B1815" s="69"/>
      <c r="C1815" s="70"/>
      <c r="D1815" s="71"/>
    </row>
    <row r="1816" spans="2:4" x14ac:dyDescent="0.15">
      <c r="B1816" s="69"/>
      <c r="C1816" s="70"/>
      <c r="D1816" s="71"/>
    </row>
    <row r="1817" spans="2:4" x14ac:dyDescent="0.15">
      <c r="B1817" s="69"/>
      <c r="C1817" s="70"/>
      <c r="D1817" s="71"/>
    </row>
    <row r="1818" spans="2:4" x14ac:dyDescent="0.15">
      <c r="B1818" s="69"/>
      <c r="C1818" s="70"/>
      <c r="D1818" s="71"/>
    </row>
    <row r="1819" spans="2:4" x14ac:dyDescent="0.15">
      <c r="B1819" s="69"/>
      <c r="C1819" s="70"/>
      <c r="D1819" s="71"/>
    </row>
    <row r="1820" spans="2:4" x14ac:dyDescent="0.15">
      <c r="B1820" s="69"/>
      <c r="C1820" s="70"/>
      <c r="D1820" s="71"/>
    </row>
    <row r="1821" spans="2:4" x14ac:dyDescent="0.15">
      <c r="B1821" s="69"/>
      <c r="C1821" s="70"/>
      <c r="D1821" s="71"/>
    </row>
    <row r="1822" spans="2:4" x14ac:dyDescent="0.15">
      <c r="B1822" s="69"/>
      <c r="C1822" s="70"/>
      <c r="D1822" s="71"/>
    </row>
    <row r="1823" spans="2:4" x14ac:dyDescent="0.15">
      <c r="B1823" s="69"/>
      <c r="C1823" s="70"/>
      <c r="D1823" s="71"/>
    </row>
    <row r="1824" spans="2:4" x14ac:dyDescent="0.15">
      <c r="B1824" s="69"/>
      <c r="C1824" s="70"/>
      <c r="D1824" s="71"/>
    </row>
    <row r="1825" spans="2:4" x14ac:dyDescent="0.15">
      <c r="B1825" s="69"/>
      <c r="C1825" s="70"/>
      <c r="D1825" s="71"/>
    </row>
    <row r="1826" spans="2:4" x14ac:dyDescent="0.15">
      <c r="B1826" s="69"/>
      <c r="C1826" s="70"/>
      <c r="D1826" s="71"/>
    </row>
    <row r="1827" spans="2:4" x14ac:dyDescent="0.15">
      <c r="B1827" s="69"/>
      <c r="C1827" s="70"/>
      <c r="D1827" s="71"/>
    </row>
    <row r="1828" spans="2:4" x14ac:dyDescent="0.15">
      <c r="B1828" s="69"/>
      <c r="C1828" s="70"/>
      <c r="D1828" s="71"/>
    </row>
    <row r="1829" spans="2:4" x14ac:dyDescent="0.15">
      <c r="B1829" s="69"/>
      <c r="C1829" s="70"/>
      <c r="D1829" s="71"/>
    </row>
    <row r="1830" spans="2:4" x14ac:dyDescent="0.15">
      <c r="B1830" s="69"/>
      <c r="C1830" s="70"/>
      <c r="D1830" s="71"/>
    </row>
    <row r="1831" spans="2:4" x14ac:dyDescent="0.15">
      <c r="B1831" s="69"/>
      <c r="C1831" s="70"/>
      <c r="D1831" s="71"/>
    </row>
    <row r="1832" spans="2:4" x14ac:dyDescent="0.15">
      <c r="B1832" s="69"/>
      <c r="C1832" s="70"/>
      <c r="D1832" s="71"/>
    </row>
    <row r="1833" spans="2:4" x14ac:dyDescent="0.15">
      <c r="B1833" s="69"/>
      <c r="C1833" s="70"/>
      <c r="D1833" s="71"/>
    </row>
    <row r="1834" spans="2:4" x14ac:dyDescent="0.15">
      <c r="B1834" s="69"/>
      <c r="C1834" s="70"/>
      <c r="D1834" s="71"/>
    </row>
    <row r="1835" spans="2:4" x14ac:dyDescent="0.15">
      <c r="B1835" s="69"/>
      <c r="C1835" s="70"/>
      <c r="D1835" s="71"/>
    </row>
    <row r="1836" spans="2:4" x14ac:dyDescent="0.15">
      <c r="B1836" s="69"/>
      <c r="C1836" s="70"/>
      <c r="D1836" s="71"/>
    </row>
    <row r="1837" spans="2:4" x14ac:dyDescent="0.15">
      <c r="B1837" s="69"/>
      <c r="C1837" s="70"/>
      <c r="D1837" s="71"/>
    </row>
    <row r="1838" spans="2:4" x14ac:dyDescent="0.15">
      <c r="B1838" s="69"/>
      <c r="C1838" s="70"/>
      <c r="D1838" s="71"/>
    </row>
    <row r="1839" spans="2:4" x14ac:dyDescent="0.15">
      <c r="B1839" s="69"/>
      <c r="C1839" s="70"/>
      <c r="D1839" s="71"/>
    </row>
    <row r="1840" spans="2:4" x14ac:dyDescent="0.15">
      <c r="B1840" s="69"/>
      <c r="C1840" s="70"/>
      <c r="D1840" s="71"/>
    </row>
    <row r="1841" spans="2:4" x14ac:dyDescent="0.15">
      <c r="B1841" s="69"/>
      <c r="C1841" s="70"/>
      <c r="D1841" s="71"/>
    </row>
    <row r="1842" spans="2:4" x14ac:dyDescent="0.15">
      <c r="B1842" s="69"/>
      <c r="C1842" s="70"/>
      <c r="D1842" s="71"/>
    </row>
    <row r="1843" spans="2:4" x14ac:dyDescent="0.15">
      <c r="B1843" s="69"/>
      <c r="C1843" s="70"/>
      <c r="D1843" s="71"/>
    </row>
    <row r="1844" spans="2:4" x14ac:dyDescent="0.15">
      <c r="B1844" s="69"/>
      <c r="C1844" s="70"/>
      <c r="D1844" s="71"/>
    </row>
    <row r="1845" spans="2:4" x14ac:dyDescent="0.15">
      <c r="B1845" s="69"/>
      <c r="C1845" s="70"/>
      <c r="D1845" s="71"/>
    </row>
    <row r="1846" spans="2:4" x14ac:dyDescent="0.15">
      <c r="B1846" s="69"/>
      <c r="C1846" s="70"/>
      <c r="D1846" s="71"/>
    </row>
    <row r="1847" spans="2:4" x14ac:dyDescent="0.15">
      <c r="B1847" s="69"/>
      <c r="C1847" s="70"/>
      <c r="D1847" s="71"/>
    </row>
    <row r="1848" spans="2:4" x14ac:dyDescent="0.15">
      <c r="B1848" s="69"/>
      <c r="C1848" s="70"/>
      <c r="D1848" s="71"/>
    </row>
    <row r="1849" spans="2:4" x14ac:dyDescent="0.15">
      <c r="B1849" s="69"/>
      <c r="C1849" s="70"/>
      <c r="D1849" s="71"/>
    </row>
    <row r="1850" spans="2:4" x14ac:dyDescent="0.15">
      <c r="B1850" s="69"/>
      <c r="C1850" s="70"/>
      <c r="D1850" s="71"/>
    </row>
    <row r="1851" spans="2:4" x14ac:dyDescent="0.15">
      <c r="B1851" s="69"/>
      <c r="C1851" s="70"/>
      <c r="D1851" s="71"/>
    </row>
    <row r="1852" spans="2:4" x14ac:dyDescent="0.15">
      <c r="B1852" s="69"/>
      <c r="C1852" s="70"/>
      <c r="D1852" s="71"/>
    </row>
    <row r="1853" spans="2:4" x14ac:dyDescent="0.15">
      <c r="B1853" s="69"/>
      <c r="C1853" s="70"/>
      <c r="D1853" s="71"/>
    </row>
    <row r="1854" spans="2:4" x14ac:dyDescent="0.15">
      <c r="B1854" s="69"/>
      <c r="C1854" s="70"/>
      <c r="D1854" s="71"/>
    </row>
    <row r="1855" spans="2:4" x14ac:dyDescent="0.15">
      <c r="B1855" s="69"/>
      <c r="C1855" s="70"/>
      <c r="D1855" s="71"/>
    </row>
    <row r="1856" spans="2:4" x14ac:dyDescent="0.15">
      <c r="B1856" s="69"/>
      <c r="C1856" s="70"/>
      <c r="D1856" s="71"/>
    </row>
    <row r="1857" spans="2:4" x14ac:dyDescent="0.15">
      <c r="B1857" s="69"/>
      <c r="C1857" s="70"/>
      <c r="D1857" s="71"/>
    </row>
    <row r="1858" spans="2:4" x14ac:dyDescent="0.15">
      <c r="B1858" s="69"/>
      <c r="C1858" s="70"/>
      <c r="D1858" s="71"/>
    </row>
    <row r="1859" spans="2:4" x14ac:dyDescent="0.15">
      <c r="B1859" s="69"/>
      <c r="C1859" s="70"/>
      <c r="D1859" s="71"/>
    </row>
    <row r="1860" spans="2:4" x14ac:dyDescent="0.15">
      <c r="B1860" s="69"/>
      <c r="C1860" s="70"/>
      <c r="D1860" s="71"/>
    </row>
    <row r="1861" spans="2:4" x14ac:dyDescent="0.15">
      <c r="B1861" s="69"/>
      <c r="C1861" s="70"/>
      <c r="D1861" s="71"/>
    </row>
    <row r="1862" spans="2:4" x14ac:dyDescent="0.15">
      <c r="B1862" s="69"/>
      <c r="C1862" s="70"/>
      <c r="D1862" s="71"/>
    </row>
    <row r="1863" spans="2:4" x14ac:dyDescent="0.15">
      <c r="B1863" s="69"/>
      <c r="C1863" s="70"/>
      <c r="D1863" s="71"/>
    </row>
    <row r="1864" spans="2:4" x14ac:dyDescent="0.15">
      <c r="B1864" s="69"/>
      <c r="C1864" s="70"/>
      <c r="D1864" s="71"/>
    </row>
    <row r="1865" spans="2:4" x14ac:dyDescent="0.15">
      <c r="B1865" s="69"/>
      <c r="C1865" s="70"/>
      <c r="D1865" s="71"/>
    </row>
    <row r="1866" spans="2:4" x14ac:dyDescent="0.15">
      <c r="B1866" s="69"/>
      <c r="C1866" s="70"/>
      <c r="D1866" s="71"/>
    </row>
    <row r="1867" spans="2:4" x14ac:dyDescent="0.15">
      <c r="B1867" s="69"/>
      <c r="C1867" s="70"/>
      <c r="D1867" s="71"/>
    </row>
    <row r="1868" spans="2:4" x14ac:dyDescent="0.15">
      <c r="B1868" s="69"/>
      <c r="C1868" s="70"/>
      <c r="D1868" s="71"/>
    </row>
    <row r="1869" spans="2:4" x14ac:dyDescent="0.15">
      <c r="B1869" s="69"/>
      <c r="C1869" s="70"/>
      <c r="D1869" s="71"/>
    </row>
    <row r="1870" spans="2:4" x14ac:dyDescent="0.15">
      <c r="B1870" s="69"/>
      <c r="C1870" s="70"/>
      <c r="D1870" s="71"/>
    </row>
    <row r="1871" spans="2:4" x14ac:dyDescent="0.15">
      <c r="B1871" s="69"/>
      <c r="C1871" s="70"/>
      <c r="D1871" s="71"/>
    </row>
    <row r="1872" spans="2:4" x14ac:dyDescent="0.15">
      <c r="B1872" s="69"/>
      <c r="C1872" s="70"/>
      <c r="D1872" s="71"/>
    </row>
    <row r="1873" spans="2:4" x14ac:dyDescent="0.15">
      <c r="B1873" s="69"/>
      <c r="C1873" s="70"/>
      <c r="D1873" s="71"/>
    </row>
    <row r="1874" spans="2:4" x14ac:dyDescent="0.15">
      <c r="B1874" s="69"/>
      <c r="C1874" s="70"/>
      <c r="D1874" s="71"/>
    </row>
    <row r="1875" spans="2:4" x14ac:dyDescent="0.15">
      <c r="B1875" s="69"/>
      <c r="C1875" s="70"/>
      <c r="D1875" s="71"/>
    </row>
    <row r="1876" spans="2:4" x14ac:dyDescent="0.15">
      <c r="B1876" s="69"/>
      <c r="C1876" s="70"/>
      <c r="D1876" s="71"/>
    </row>
    <row r="1877" spans="2:4" x14ac:dyDescent="0.15">
      <c r="B1877" s="69"/>
      <c r="C1877" s="70"/>
      <c r="D1877" s="71"/>
    </row>
    <row r="1878" spans="2:4" x14ac:dyDescent="0.15">
      <c r="B1878" s="69"/>
      <c r="C1878" s="70"/>
      <c r="D1878" s="71"/>
    </row>
    <row r="1879" spans="2:4" x14ac:dyDescent="0.15">
      <c r="B1879" s="69"/>
      <c r="C1879" s="70"/>
      <c r="D1879" s="71"/>
    </row>
    <row r="1880" spans="2:4" x14ac:dyDescent="0.15">
      <c r="B1880" s="69"/>
      <c r="C1880" s="70"/>
      <c r="D1880" s="71"/>
    </row>
    <row r="1881" spans="2:4" x14ac:dyDescent="0.15">
      <c r="B1881" s="69"/>
      <c r="C1881" s="70"/>
      <c r="D1881" s="71"/>
    </row>
    <row r="1882" spans="2:4" x14ac:dyDescent="0.15">
      <c r="B1882" s="69"/>
      <c r="C1882" s="70"/>
      <c r="D1882" s="71"/>
    </row>
    <row r="1883" spans="2:4" x14ac:dyDescent="0.15">
      <c r="B1883" s="69"/>
      <c r="C1883" s="70"/>
      <c r="D1883" s="71"/>
    </row>
    <row r="1884" spans="2:4" x14ac:dyDescent="0.15">
      <c r="B1884" s="69"/>
      <c r="C1884" s="70"/>
      <c r="D1884" s="71"/>
    </row>
    <row r="1885" spans="2:4" x14ac:dyDescent="0.15">
      <c r="B1885" s="69"/>
      <c r="C1885" s="70"/>
      <c r="D1885" s="71"/>
    </row>
    <row r="1886" spans="2:4" x14ac:dyDescent="0.15">
      <c r="B1886" s="69"/>
      <c r="C1886" s="70"/>
      <c r="D1886" s="71"/>
    </row>
    <row r="1887" spans="2:4" x14ac:dyDescent="0.15">
      <c r="B1887" s="69"/>
      <c r="C1887" s="70"/>
      <c r="D1887" s="71"/>
    </row>
    <row r="1888" spans="2:4" x14ac:dyDescent="0.15">
      <c r="B1888" s="69"/>
      <c r="C1888" s="70"/>
      <c r="D1888" s="71"/>
    </row>
    <row r="1889" spans="2:4" x14ac:dyDescent="0.15">
      <c r="B1889" s="69"/>
      <c r="C1889" s="70"/>
      <c r="D1889" s="71"/>
    </row>
    <row r="1890" spans="2:4" x14ac:dyDescent="0.15">
      <c r="B1890" s="69"/>
      <c r="C1890" s="70"/>
      <c r="D1890" s="71"/>
    </row>
    <row r="1891" spans="2:4" x14ac:dyDescent="0.15">
      <c r="B1891" s="69"/>
      <c r="C1891" s="70"/>
      <c r="D1891" s="71"/>
    </row>
    <row r="1892" spans="2:4" x14ac:dyDescent="0.15">
      <c r="B1892" s="69"/>
      <c r="C1892" s="70"/>
      <c r="D1892" s="71"/>
    </row>
    <row r="1893" spans="2:4" x14ac:dyDescent="0.15">
      <c r="B1893" s="69"/>
      <c r="C1893" s="70"/>
      <c r="D1893" s="71"/>
    </row>
    <row r="1894" spans="2:4" x14ac:dyDescent="0.15">
      <c r="B1894" s="69"/>
      <c r="C1894" s="70"/>
      <c r="D1894" s="71"/>
    </row>
    <row r="1895" spans="2:4" x14ac:dyDescent="0.15">
      <c r="B1895" s="69"/>
      <c r="C1895" s="70"/>
      <c r="D1895" s="71"/>
    </row>
    <row r="1896" spans="2:4" x14ac:dyDescent="0.15">
      <c r="B1896" s="69"/>
      <c r="C1896" s="70"/>
      <c r="D1896" s="71"/>
    </row>
    <row r="1897" spans="2:4" x14ac:dyDescent="0.15">
      <c r="B1897" s="69"/>
      <c r="C1897" s="70"/>
      <c r="D1897" s="71"/>
    </row>
    <row r="1898" spans="2:4" x14ac:dyDescent="0.15">
      <c r="B1898" s="69"/>
      <c r="C1898" s="70"/>
      <c r="D1898" s="71"/>
    </row>
    <row r="1899" spans="2:4" x14ac:dyDescent="0.15">
      <c r="B1899" s="69"/>
      <c r="C1899" s="70"/>
      <c r="D1899" s="71"/>
    </row>
    <row r="1900" spans="2:4" x14ac:dyDescent="0.15">
      <c r="B1900" s="69"/>
      <c r="C1900" s="70"/>
      <c r="D1900" s="71"/>
    </row>
    <row r="1901" spans="2:4" x14ac:dyDescent="0.15">
      <c r="B1901" s="69"/>
      <c r="C1901" s="70"/>
      <c r="D1901" s="71"/>
    </row>
    <row r="1902" spans="2:4" x14ac:dyDescent="0.15">
      <c r="B1902" s="69"/>
      <c r="C1902" s="70"/>
      <c r="D1902" s="71"/>
    </row>
    <row r="1903" spans="2:4" x14ac:dyDescent="0.15">
      <c r="B1903" s="69"/>
      <c r="C1903" s="70"/>
      <c r="D1903" s="71"/>
    </row>
    <row r="1904" spans="2:4" x14ac:dyDescent="0.15">
      <c r="B1904" s="69"/>
      <c r="C1904" s="70"/>
      <c r="D1904" s="71"/>
    </row>
    <row r="1905" spans="2:4" x14ac:dyDescent="0.15">
      <c r="B1905" s="69"/>
      <c r="C1905" s="70"/>
      <c r="D1905" s="71"/>
    </row>
    <row r="1906" spans="2:4" x14ac:dyDescent="0.15">
      <c r="B1906" s="69"/>
      <c r="C1906" s="70"/>
      <c r="D1906" s="71"/>
    </row>
    <row r="1907" spans="2:4" x14ac:dyDescent="0.15">
      <c r="B1907" s="69"/>
      <c r="C1907" s="70"/>
      <c r="D1907" s="71"/>
    </row>
    <row r="1908" spans="2:4" x14ac:dyDescent="0.15">
      <c r="B1908" s="69"/>
      <c r="C1908" s="70"/>
      <c r="D1908" s="71"/>
    </row>
    <row r="1909" spans="2:4" x14ac:dyDescent="0.15">
      <c r="B1909" s="69"/>
      <c r="C1909" s="70"/>
      <c r="D1909" s="71"/>
    </row>
    <row r="1910" spans="2:4" x14ac:dyDescent="0.15">
      <c r="B1910" s="69"/>
      <c r="C1910" s="70"/>
      <c r="D1910" s="71"/>
    </row>
    <row r="1911" spans="2:4" x14ac:dyDescent="0.15">
      <c r="B1911" s="69"/>
      <c r="C1911" s="70"/>
      <c r="D1911" s="71"/>
    </row>
    <row r="1912" spans="2:4" x14ac:dyDescent="0.15">
      <c r="B1912" s="69"/>
      <c r="C1912" s="70"/>
      <c r="D1912" s="71"/>
    </row>
    <row r="1913" spans="2:4" x14ac:dyDescent="0.15">
      <c r="B1913" s="69"/>
      <c r="C1913" s="70"/>
      <c r="D1913" s="71"/>
    </row>
    <row r="1914" spans="2:4" x14ac:dyDescent="0.15">
      <c r="B1914" s="69"/>
      <c r="C1914" s="70"/>
      <c r="D1914" s="71"/>
    </row>
    <row r="1915" spans="2:4" x14ac:dyDescent="0.15">
      <c r="B1915" s="69"/>
      <c r="C1915" s="70"/>
      <c r="D1915" s="71"/>
    </row>
    <row r="1916" spans="2:4" x14ac:dyDescent="0.15">
      <c r="B1916" s="69"/>
      <c r="C1916" s="70"/>
      <c r="D1916" s="71"/>
    </row>
    <row r="1917" spans="2:4" x14ac:dyDescent="0.15">
      <c r="B1917" s="69"/>
      <c r="C1917" s="70"/>
      <c r="D1917" s="71"/>
    </row>
    <row r="1918" spans="2:4" x14ac:dyDescent="0.15">
      <c r="B1918" s="69"/>
      <c r="C1918" s="70"/>
      <c r="D1918" s="71"/>
    </row>
    <row r="1919" spans="2:4" x14ac:dyDescent="0.15">
      <c r="B1919" s="69"/>
      <c r="C1919" s="70"/>
      <c r="D1919" s="71"/>
    </row>
    <row r="1920" spans="2:4" x14ac:dyDescent="0.15">
      <c r="B1920" s="69"/>
      <c r="C1920" s="70"/>
      <c r="D1920" s="71"/>
    </row>
    <row r="1921" spans="2:4" x14ac:dyDescent="0.15">
      <c r="B1921" s="69"/>
      <c r="C1921" s="70"/>
      <c r="D1921" s="71"/>
    </row>
    <row r="1922" spans="2:4" x14ac:dyDescent="0.15">
      <c r="B1922" s="69"/>
      <c r="C1922" s="70"/>
      <c r="D1922" s="71"/>
    </row>
    <row r="1923" spans="2:4" x14ac:dyDescent="0.15">
      <c r="B1923" s="69"/>
      <c r="C1923" s="70"/>
      <c r="D1923" s="71"/>
    </row>
    <row r="1924" spans="2:4" x14ac:dyDescent="0.15">
      <c r="B1924" s="69"/>
      <c r="C1924" s="70"/>
      <c r="D1924" s="71"/>
    </row>
    <row r="1925" spans="2:4" x14ac:dyDescent="0.15">
      <c r="B1925" s="69"/>
      <c r="C1925" s="70"/>
      <c r="D1925" s="71"/>
    </row>
    <row r="1926" spans="2:4" x14ac:dyDescent="0.15">
      <c r="B1926" s="69"/>
      <c r="C1926" s="70"/>
      <c r="D1926" s="71"/>
    </row>
    <row r="1927" spans="2:4" x14ac:dyDescent="0.15">
      <c r="B1927" s="69"/>
      <c r="C1927" s="70"/>
      <c r="D1927" s="71"/>
    </row>
    <row r="1928" spans="2:4" x14ac:dyDescent="0.15">
      <c r="B1928" s="69"/>
      <c r="C1928" s="70"/>
      <c r="D1928" s="71"/>
    </row>
    <row r="1929" spans="2:4" x14ac:dyDescent="0.15">
      <c r="B1929" s="69"/>
      <c r="C1929" s="70"/>
      <c r="D1929" s="71"/>
    </row>
    <row r="1930" spans="2:4" x14ac:dyDescent="0.15">
      <c r="B1930" s="69"/>
      <c r="C1930" s="70"/>
      <c r="D1930" s="71"/>
    </row>
    <row r="1931" spans="2:4" x14ac:dyDescent="0.15">
      <c r="B1931" s="69"/>
      <c r="C1931" s="70"/>
      <c r="D1931" s="71"/>
    </row>
    <row r="1932" spans="2:4" x14ac:dyDescent="0.15">
      <c r="B1932" s="69"/>
      <c r="C1932" s="70"/>
      <c r="D1932" s="71"/>
    </row>
    <row r="1933" spans="2:4" x14ac:dyDescent="0.15">
      <c r="B1933" s="69"/>
      <c r="C1933" s="70"/>
      <c r="D1933" s="71"/>
    </row>
    <row r="1934" spans="2:4" x14ac:dyDescent="0.15">
      <c r="B1934" s="69"/>
      <c r="C1934" s="70"/>
      <c r="D1934" s="71"/>
    </row>
    <row r="1935" spans="2:4" x14ac:dyDescent="0.15">
      <c r="B1935" s="69"/>
      <c r="C1935" s="70"/>
      <c r="D1935" s="71"/>
    </row>
    <row r="1936" spans="2:4" x14ac:dyDescent="0.15">
      <c r="B1936" s="69"/>
      <c r="C1936" s="70"/>
      <c r="D1936" s="71"/>
    </row>
    <row r="1937" spans="2:4" x14ac:dyDescent="0.15">
      <c r="B1937" s="69"/>
      <c r="C1937" s="70"/>
      <c r="D1937" s="71"/>
    </row>
    <row r="1938" spans="2:4" x14ac:dyDescent="0.15">
      <c r="B1938" s="69"/>
      <c r="C1938" s="70"/>
      <c r="D1938" s="71"/>
    </row>
    <row r="1939" spans="2:4" x14ac:dyDescent="0.15">
      <c r="B1939" s="69"/>
      <c r="C1939" s="70"/>
      <c r="D1939" s="71"/>
    </row>
    <row r="1940" spans="2:4" x14ac:dyDescent="0.15">
      <c r="B1940" s="69"/>
      <c r="C1940" s="70"/>
      <c r="D1940" s="71"/>
    </row>
    <row r="1941" spans="2:4" x14ac:dyDescent="0.15">
      <c r="B1941" s="69"/>
      <c r="C1941" s="70"/>
      <c r="D1941" s="71"/>
    </row>
    <row r="1942" spans="2:4" x14ac:dyDescent="0.15">
      <c r="B1942" s="69"/>
      <c r="C1942" s="70"/>
      <c r="D1942" s="71"/>
    </row>
    <row r="1943" spans="2:4" x14ac:dyDescent="0.15">
      <c r="B1943" s="69"/>
      <c r="C1943" s="70"/>
      <c r="D1943" s="71"/>
    </row>
    <row r="1944" spans="2:4" x14ac:dyDescent="0.15">
      <c r="B1944" s="69"/>
      <c r="C1944" s="70"/>
      <c r="D1944" s="71"/>
    </row>
    <row r="1945" spans="2:4" x14ac:dyDescent="0.15">
      <c r="B1945" s="69"/>
      <c r="C1945" s="70"/>
      <c r="D1945" s="71"/>
    </row>
    <row r="1946" spans="2:4" x14ac:dyDescent="0.15">
      <c r="B1946" s="69"/>
      <c r="C1946" s="70"/>
      <c r="D1946" s="71"/>
    </row>
    <row r="1947" spans="2:4" x14ac:dyDescent="0.15">
      <c r="B1947" s="69"/>
      <c r="C1947" s="70"/>
      <c r="D1947" s="71"/>
    </row>
    <row r="1948" spans="2:4" x14ac:dyDescent="0.15">
      <c r="B1948" s="69"/>
      <c r="C1948" s="70"/>
      <c r="D1948" s="71"/>
    </row>
    <row r="1949" spans="2:4" x14ac:dyDescent="0.15">
      <c r="B1949" s="69"/>
      <c r="C1949" s="70"/>
      <c r="D1949" s="71"/>
    </row>
    <row r="1950" spans="2:4" x14ac:dyDescent="0.15">
      <c r="B1950" s="69"/>
      <c r="C1950" s="70"/>
      <c r="D1950" s="71"/>
    </row>
    <row r="1951" spans="2:4" x14ac:dyDescent="0.15">
      <c r="B1951" s="69"/>
      <c r="C1951" s="70"/>
      <c r="D1951" s="71"/>
    </row>
    <row r="1952" spans="2:4" x14ac:dyDescent="0.15">
      <c r="B1952" s="69"/>
      <c r="C1952" s="70"/>
      <c r="D1952" s="71"/>
    </row>
    <row r="1953" spans="2:4" x14ac:dyDescent="0.15">
      <c r="B1953" s="69"/>
      <c r="C1953" s="70"/>
      <c r="D1953" s="71"/>
    </row>
    <row r="1954" spans="2:4" x14ac:dyDescent="0.15">
      <c r="B1954" s="69"/>
      <c r="C1954" s="70"/>
      <c r="D1954" s="71"/>
    </row>
    <row r="1955" spans="2:4" x14ac:dyDescent="0.15">
      <c r="B1955" s="69"/>
      <c r="C1955" s="70"/>
      <c r="D1955" s="71"/>
    </row>
    <row r="1956" spans="2:4" x14ac:dyDescent="0.15">
      <c r="B1956" s="69"/>
      <c r="C1956" s="70"/>
      <c r="D1956" s="71"/>
    </row>
    <row r="1957" spans="2:4" x14ac:dyDescent="0.15">
      <c r="B1957" s="69"/>
      <c r="C1957" s="70"/>
      <c r="D1957" s="71"/>
    </row>
    <row r="1958" spans="2:4" x14ac:dyDescent="0.15">
      <c r="B1958" s="69"/>
      <c r="C1958" s="70"/>
      <c r="D1958" s="71"/>
    </row>
    <row r="1959" spans="2:4" x14ac:dyDescent="0.15">
      <c r="B1959" s="69"/>
      <c r="C1959" s="70"/>
      <c r="D1959" s="71"/>
    </row>
    <row r="1960" spans="2:4" x14ac:dyDescent="0.15">
      <c r="B1960" s="69"/>
      <c r="C1960" s="70"/>
      <c r="D1960" s="71"/>
    </row>
    <row r="1961" spans="2:4" x14ac:dyDescent="0.15">
      <c r="B1961" s="69"/>
      <c r="C1961" s="70"/>
      <c r="D1961" s="71"/>
    </row>
    <row r="1962" spans="2:4" x14ac:dyDescent="0.15">
      <c r="B1962" s="69"/>
      <c r="C1962" s="70"/>
      <c r="D1962" s="71"/>
    </row>
    <row r="1963" spans="2:4" x14ac:dyDescent="0.15">
      <c r="B1963" s="69"/>
      <c r="C1963" s="70"/>
      <c r="D1963" s="71"/>
    </row>
    <row r="1964" spans="2:4" x14ac:dyDescent="0.15">
      <c r="B1964" s="69"/>
      <c r="C1964" s="70"/>
      <c r="D1964" s="71"/>
    </row>
    <row r="1965" spans="2:4" x14ac:dyDescent="0.15">
      <c r="B1965" s="69"/>
      <c r="C1965" s="70"/>
      <c r="D1965" s="71"/>
    </row>
    <row r="1966" spans="2:4" x14ac:dyDescent="0.15">
      <c r="B1966" s="69"/>
      <c r="C1966" s="70"/>
      <c r="D1966" s="71"/>
    </row>
    <row r="1967" spans="2:4" x14ac:dyDescent="0.15">
      <c r="B1967" s="69"/>
      <c r="C1967" s="70"/>
      <c r="D1967" s="71"/>
    </row>
    <row r="1968" spans="2:4" x14ac:dyDescent="0.15">
      <c r="B1968" s="69"/>
      <c r="C1968" s="70"/>
      <c r="D1968" s="71"/>
    </row>
    <row r="1969" spans="2:4" x14ac:dyDescent="0.15">
      <c r="B1969" s="69"/>
      <c r="C1969" s="70"/>
      <c r="D1969" s="71"/>
    </row>
    <row r="1970" spans="2:4" x14ac:dyDescent="0.15">
      <c r="B1970" s="69"/>
      <c r="C1970" s="70"/>
      <c r="D1970" s="71"/>
    </row>
    <row r="1971" spans="2:4" x14ac:dyDescent="0.15">
      <c r="B1971" s="69"/>
      <c r="C1971" s="70"/>
      <c r="D1971" s="71"/>
    </row>
    <row r="1972" spans="2:4" x14ac:dyDescent="0.15">
      <c r="B1972" s="69"/>
      <c r="C1972" s="70"/>
      <c r="D1972" s="71"/>
    </row>
    <row r="1973" spans="2:4" x14ac:dyDescent="0.15">
      <c r="B1973" s="69"/>
      <c r="C1973" s="70"/>
      <c r="D1973" s="71"/>
    </row>
    <row r="1974" spans="2:4" x14ac:dyDescent="0.15">
      <c r="B1974" s="69"/>
      <c r="C1974" s="70"/>
      <c r="D1974" s="71"/>
    </row>
    <row r="1975" spans="2:4" x14ac:dyDescent="0.15">
      <c r="B1975" s="69"/>
      <c r="C1975" s="70"/>
      <c r="D1975" s="71"/>
    </row>
    <row r="1976" spans="2:4" x14ac:dyDescent="0.15">
      <c r="B1976" s="69"/>
      <c r="C1976" s="70"/>
      <c r="D1976" s="71"/>
    </row>
    <row r="1977" spans="2:4" x14ac:dyDescent="0.15">
      <c r="B1977" s="69"/>
      <c r="C1977" s="70"/>
      <c r="D1977" s="71"/>
    </row>
    <row r="1978" spans="2:4" x14ac:dyDescent="0.15">
      <c r="B1978" s="69"/>
      <c r="C1978" s="70"/>
      <c r="D1978" s="71"/>
    </row>
    <row r="1979" spans="2:4" x14ac:dyDescent="0.15">
      <c r="B1979" s="69"/>
      <c r="C1979" s="70"/>
      <c r="D1979" s="71"/>
    </row>
    <row r="1980" spans="2:4" x14ac:dyDescent="0.15">
      <c r="B1980" s="69"/>
      <c r="C1980" s="70"/>
      <c r="D1980" s="71"/>
    </row>
    <row r="1981" spans="2:4" x14ac:dyDescent="0.15">
      <c r="B1981" s="69"/>
      <c r="C1981" s="70"/>
      <c r="D1981" s="71"/>
    </row>
    <row r="1982" spans="2:4" x14ac:dyDescent="0.15">
      <c r="B1982" s="69"/>
      <c r="C1982" s="70"/>
      <c r="D1982" s="71"/>
    </row>
    <row r="1983" spans="2:4" x14ac:dyDescent="0.15">
      <c r="B1983" s="69"/>
      <c r="C1983" s="70"/>
      <c r="D1983" s="71"/>
    </row>
    <row r="1984" spans="2:4" x14ac:dyDescent="0.15">
      <c r="B1984" s="69"/>
      <c r="C1984" s="70"/>
      <c r="D1984" s="71"/>
    </row>
    <row r="1985" spans="2:4" x14ac:dyDescent="0.15">
      <c r="B1985" s="69"/>
      <c r="C1985" s="70"/>
      <c r="D1985" s="71"/>
    </row>
    <row r="1986" spans="2:4" x14ac:dyDescent="0.15">
      <c r="B1986" s="69"/>
      <c r="C1986" s="70"/>
      <c r="D1986" s="71"/>
    </row>
    <row r="1987" spans="2:4" x14ac:dyDescent="0.15">
      <c r="B1987" s="69"/>
      <c r="C1987" s="70"/>
      <c r="D1987" s="71"/>
    </row>
    <row r="1988" spans="2:4" x14ac:dyDescent="0.15">
      <c r="B1988" s="69"/>
      <c r="C1988" s="70"/>
      <c r="D1988" s="71"/>
    </row>
    <row r="1989" spans="2:4" x14ac:dyDescent="0.15">
      <c r="B1989" s="69"/>
      <c r="C1989" s="70"/>
      <c r="D1989" s="71"/>
    </row>
    <row r="1990" spans="2:4" x14ac:dyDescent="0.15">
      <c r="B1990" s="69"/>
      <c r="C1990" s="70"/>
      <c r="D1990" s="71"/>
    </row>
    <row r="1991" spans="2:4" x14ac:dyDescent="0.15">
      <c r="B1991" s="69"/>
      <c r="C1991" s="70"/>
      <c r="D1991" s="71"/>
    </row>
    <row r="1992" spans="2:4" x14ac:dyDescent="0.15">
      <c r="B1992" s="69"/>
      <c r="C1992" s="70"/>
      <c r="D1992" s="71"/>
    </row>
    <row r="1993" spans="2:4" x14ac:dyDescent="0.15">
      <c r="B1993" s="69"/>
      <c r="C1993" s="70"/>
      <c r="D1993" s="71"/>
    </row>
    <row r="1994" spans="2:4" x14ac:dyDescent="0.15">
      <c r="B1994" s="69"/>
      <c r="C1994" s="70"/>
      <c r="D1994" s="71"/>
    </row>
    <row r="1995" spans="2:4" x14ac:dyDescent="0.15">
      <c r="B1995" s="69"/>
      <c r="C1995" s="70"/>
      <c r="D1995" s="71"/>
    </row>
    <row r="1996" spans="2:4" x14ac:dyDescent="0.15">
      <c r="B1996" s="69"/>
      <c r="C1996" s="70"/>
      <c r="D1996" s="71"/>
    </row>
    <row r="1997" spans="2:4" x14ac:dyDescent="0.15">
      <c r="B1997" s="69"/>
      <c r="C1997" s="70"/>
      <c r="D1997" s="71"/>
    </row>
    <row r="1998" spans="2:4" x14ac:dyDescent="0.15">
      <c r="B1998" s="69"/>
      <c r="C1998" s="70"/>
      <c r="D1998" s="71"/>
    </row>
    <row r="1999" spans="2:4" x14ac:dyDescent="0.15">
      <c r="B1999" s="69"/>
      <c r="C1999" s="70"/>
      <c r="D1999" s="71"/>
    </row>
    <row r="2000" spans="2:4" x14ac:dyDescent="0.15">
      <c r="B2000" s="69"/>
      <c r="C2000" s="70"/>
      <c r="D2000" s="71"/>
    </row>
    <row r="2001" spans="2:4" x14ac:dyDescent="0.15">
      <c r="B2001" s="69"/>
      <c r="C2001" s="70"/>
      <c r="D2001" s="71"/>
    </row>
    <row r="2002" spans="2:4" x14ac:dyDescent="0.15">
      <c r="B2002" s="69"/>
      <c r="C2002" s="70"/>
      <c r="D2002" s="71"/>
    </row>
    <row r="2003" spans="2:4" x14ac:dyDescent="0.15">
      <c r="B2003" s="69"/>
      <c r="C2003" s="70"/>
      <c r="D2003" s="71"/>
    </row>
    <row r="2004" spans="2:4" x14ac:dyDescent="0.15">
      <c r="B2004" s="69"/>
      <c r="C2004" s="70"/>
      <c r="D2004" s="71"/>
    </row>
    <row r="2005" spans="2:4" x14ac:dyDescent="0.15">
      <c r="B2005" s="69"/>
      <c r="C2005" s="70"/>
      <c r="D2005" s="71"/>
    </row>
    <row r="2006" spans="2:4" x14ac:dyDescent="0.15">
      <c r="B2006" s="69"/>
      <c r="C2006" s="70"/>
      <c r="D2006" s="71"/>
    </row>
    <row r="2007" spans="2:4" x14ac:dyDescent="0.15">
      <c r="B2007" s="69"/>
      <c r="C2007" s="70"/>
      <c r="D2007" s="71"/>
    </row>
    <row r="2008" spans="2:4" x14ac:dyDescent="0.15">
      <c r="B2008" s="69"/>
      <c r="C2008" s="70"/>
      <c r="D2008" s="71"/>
    </row>
    <row r="2009" spans="2:4" x14ac:dyDescent="0.15">
      <c r="B2009" s="69"/>
      <c r="C2009" s="70"/>
      <c r="D2009" s="71"/>
    </row>
    <row r="2010" spans="2:4" x14ac:dyDescent="0.15">
      <c r="B2010" s="69"/>
      <c r="C2010" s="70"/>
      <c r="D2010" s="71"/>
    </row>
    <row r="2011" spans="2:4" x14ac:dyDescent="0.15">
      <c r="B2011" s="69"/>
      <c r="C2011" s="70"/>
      <c r="D2011" s="71"/>
    </row>
    <row r="2012" spans="2:4" x14ac:dyDescent="0.15">
      <c r="B2012" s="69"/>
      <c r="C2012" s="70"/>
      <c r="D2012" s="71"/>
    </row>
    <row r="2013" spans="2:4" x14ac:dyDescent="0.15">
      <c r="B2013" s="69"/>
      <c r="C2013" s="70"/>
      <c r="D2013" s="71"/>
    </row>
    <row r="2014" spans="2:4" x14ac:dyDescent="0.15">
      <c r="B2014" s="69"/>
      <c r="C2014" s="70"/>
      <c r="D2014" s="71"/>
    </row>
    <row r="2015" spans="2:4" x14ac:dyDescent="0.15">
      <c r="B2015" s="69"/>
      <c r="C2015" s="70"/>
      <c r="D2015" s="71"/>
    </row>
    <row r="2016" spans="2:4" x14ac:dyDescent="0.15">
      <c r="B2016" s="69"/>
      <c r="C2016" s="70"/>
      <c r="D2016" s="71"/>
    </row>
    <row r="2017" spans="2:4" x14ac:dyDescent="0.15">
      <c r="B2017" s="69"/>
      <c r="C2017" s="70"/>
      <c r="D2017" s="71"/>
    </row>
    <row r="2018" spans="2:4" x14ac:dyDescent="0.15">
      <c r="B2018" s="69"/>
      <c r="C2018" s="70"/>
      <c r="D2018" s="71"/>
    </row>
    <row r="2019" spans="2:4" x14ac:dyDescent="0.15">
      <c r="B2019" s="69"/>
      <c r="C2019" s="70"/>
      <c r="D2019" s="71"/>
    </row>
    <row r="2020" spans="2:4" x14ac:dyDescent="0.15">
      <c r="B2020" s="69"/>
      <c r="C2020" s="70"/>
      <c r="D2020" s="71"/>
    </row>
    <row r="2021" spans="2:4" x14ac:dyDescent="0.15">
      <c r="B2021" s="69"/>
      <c r="C2021" s="70"/>
      <c r="D2021" s="71"/>
    </row>
    <row r="2022" spans="2:4" x14ac:dyDescent="0.15">
      <c r="B2022" s="69"/>
      <c r="C2022" s="70"/>
      <c r="D2022" s="71"/>
    </row>
    <row r="2023" spans="2:4" x14ac:dyDescent="0.15">
      <c r="B2023" s="69"/>
      <c r="C2023" s="70"/>
      <c r="D2023" s="71"/>
    </row>
    <row r="2024" spans="2:4" x14ac:dyDescent="0.15">
      <c r="B2024" s="69"/>
      <c r="C2024" s="70"/>
      <c r="D2024" s="71"/>
    </row>
    <row r="2025" spans="2:4" x14ac:dyDescent="0.15">
      <c r="B2025" s="69"/>
      <c r="C2025" s="70"/>
      <c r="D2025" s="71"/>
    </row>
    <row r="2026" spans="2:4" x14ac:dyDescent="0.15">
      <c r="B2026" s="69"/>
      <c r="C2026" s="70"/>
      <c r="D2026" s="71"/>
    </row>
    <row r="2027" spans="2:4" x14ac:dyDescent="0.15">
      <c r="B2027" s="69"/>
      <c r="C2027" s="70"/>
      <c r="D2027" s="71"/>
    </row>
    <row r="2028" spans="2:4" x14ac:dyDescent="0.15">
      <c r="B2028" s="69"/>
      <c r="C2028" s="70"/>
      <c r="D2028" s="71"/>
    </row>
    <row r="2029" spans="2:4" x14ac:dyDescent="0.15">
      <c r="B2029" s="69"/>
      <c r="C2029" s="70"/>
      <c r="D2029" s="71"/>
    </row>
    <row r="2030" spans="2:4" x14ac:dyDescent="0.15">
      <c r="B2030" s="69"/>
      <c r="C2030" s="70"/>
      <c r="D2030" s="71"/>
    </row>
    <row r="2031" spans="2:4" x14ac:dyDescent="0.15">
      <c r="B2031" s="69"/>
      <c r="C2031" s="70"/>
      <c r="D2031" s="71"/>
    </row>
    <row r="2032" spans="2:4" x14ac:dyDescent="0.15">
      <c r="B2032" s="69"/>
      <c r="C2032" s="70"/>
      <c r="D2032" s="71"/>
    </row>
    <row r="2033" spans="2:4" x14ac:dyDescent="0.15">
      <c r="B2033" s="69"/>
      <c r="C2033" s="70"/>
      <c r="D2033" s="71"/>
    </row>
    <row r="2034" spans="2:4" x14ac:dyDescent="0.15">
      <c r="B2034" s="69"/>
      <c r="C2034" s="70"/>
      <c r="D2034" s="71"/>
    </row>
    <row r="2035" spans="2:4" x14ac:dyDescent="0.15">
      <c r="B2035" s="69"/>
      <c r="C2035" s="70"/>
      <c r="D2035" s="71"/>
    </row>
    <row r="2036" spans="2:4" x14ac:dyDescent="0.15">
      <c r="B2036" s="69"/>
      <c r="C2036" s="70"/>
      <c r="D2036" s="71"/>
    </row>
    <row r="2037" spans="2:4" x14ac:dyDescent="0.15">
      <c r="B2037" s="69"/>
      <c r="C2037" s="70"/>
      <c r="D2037" s="71"/>
    </row>
    <row r="2038" spans="2:4" x14ac:dyDescent="0.15">
      <c r="B2038" s="69"/>
      <c r="C2038" s="70"/>
      <c r="D2038" s="71"/>
    </row>
    <row r="2039" spans="2:4" x14ac:dyDescent="0.15">
      <c r="B2039" s="69"/>
      <c r="C2039" s="70"/>
      <c r="D2039" s="71"/>
    </row>
    <row r="2040" spans="2:4" x14ac:dyDescent="0.15">
      <c r="B2040" s="69"/>
      <c r="C2040" s="70"/>
      <c r="D2040" s="71"/>
    </row>
    <row r="2041" spans="2:4" x14ac:dyDescent="0.15">
      <c r="B2041" s="69"/>
      <c r="C2041" s="70"/>
      <c r="D2041" s="71"/>
    </row>
    <row r="2042" spans="2:4" x14ac:dyDescent="0.15">
      <c r="B2042" s="69"/>
      <c r="C2042" s="70"/>
      <c r="D2042" s="71"/>
    </row>
    <row r="2043" spans="2:4" x14ac:dyDescent="0.15">
      <c r="B2043" s="69"/>
      <c r="C2043" s="70"/>
      <c r="D2043" s="71"/>
    </row>
    <row r="2044" spans="2:4" x14ac:dyDescent="0.15">
      <c r="B2044" s="69"/>
      <c r="C2044" s="70"/>
      <c r="D2044" s="71"/>
    </row>
    <row r="2045" spans="2:4" x14ac:dyDescent="0.15">
      <c r="B2045" s="69"/>
      <c r="C2045" s="70"/>
      <c r="D2045" s="71"/>
    </row>
    <row r="2046" spans="2:4" x14ac:dyDescent="0.15">
      <c r="B2046" s="69"/>
      <c r="C2046" s="70"/>
      <c r="D2046" s="71"/>
    </row>
    <row r="2047" spans="2:4" x14ac:dyDescent="0.15">
      <c r="B2047" s="69"/>
      <c r="C2047" s="70"/>
      <c r="D2047" s="71"/>
    </row>
    <row r="2048" spans="2:4" x14ac:dyDescent="0.15">
      <c r="B2048" s="69"/>
      <c r="C2048" s="70"/>
      <c r="D2048" s="71"/>
    </row>
    <row r="2049" spans="2:4" x14ac:dyDescent="0.15">
      <c r="B2049" s="69"/>
      <c r="C2049" s="70"/>
      <c r="D2049" s="71"/>
    </row>
    <row r="2050" spans="2:4" x14ac:dyDescent="0.15">
      <c r="B2050" s="69"/>
      <c r="C2050" s="70"/>
      <c r="D2050" s="71"/>
    </row>
    <row r="2051" spans="2:4" x14ac:dyDescent="0.15">
      <c r="B2051" s="69"/>
      <c r="C2051" s="70"/>
      <c r="D2051" s="71"/>
    </row>
    <row r="2052" spans="2:4" x14ac:dyDescent="0.15">
      <c r="B2052" s="69"/>
      <c r="C2052" s="70"/>
      <c r="D2052" s="71"/>
    </row>
    <row r="2053" spans="2:4" x14ac:dyDescent="0.15">
      <c r="B2053" s="69"/>
      <c r="C2053" s="70"/>
      <c r="D2053" s="71"/>
    </row>
    <row r="2054" spans="2:4" x14ac:dyDescent="0.15">
      <c r="B2054" s="69"/>
      <c r="C2054" s="70"/>
      <c r="D2054" s="71"/>
    </row>
    <row r="2055" spans="2:4" x14ac:dyDescent="0.15">
      <c r="B2055" s="69"/>
      <c r="C2055" s="70"/>
      <c r="D2055" s="71"/>
    </row>
    <row r="2056" spans="2:4" x14ac:dyDescent="0.15">
      <c r="B2056" s="69"/>
      <c r="C2056" s="70"/>
      <c r="D2056" s="71"/>
    </row>
    <row r="2057" spans="2:4" x14ac:dyDescent="0.15">
      <c r="B2057" s="69"/>
      <c r="C2057" s="70"/>
      <c r="D2057" s="71"/>
    </row>
    <row r="2058" spans="2:4" x14ac:dyDescent="0.15">
      <c r="B2058" s="69"/>
      <c r="C2058" s="70"/>
      <c r="D2058" s="71"/>
    </row>
    <row r="2059" spans="2:4" x14ac:dyDescent="0.15">
      <c r="B2059" s="69"/>
      <c r="C2059" s="70"/>
      <c r="D2059" s="71"/>
    </row>
    <row r="2060" spans="2:4" x14ac:dyDescent="0.15">
      <c r="B2060" s="69"/>
      <c r="C2060" s="70"/>
      <c r="D2060" s="71"/>
    </row>
    <row r="2061" spans="2:4" x14ac:dyDescent="0.15">
      <c r="B2061" s="69"/>
      <c r="C2061" s="70"/>
      <c r="D2061" s="71"/>
    </row>
    <row r="2062" spans="2:4" x14ac:dyDescent="0.15">
      <c r="B2062" s="69"/>
      <c r="C2062" s="70"/>
      <c r="D2062" s="71"/>
    </row>
    <row r="2063" spans="2:4" x14ac:dyDescent="0.15">
      <c r="B2063" s="69"/>
      <c r="C2063" s="70"/>
      <c r="D2063" s="71"/>
    </row>
    <row r="2064" spans="2:4" x14ac:dyDescent="0.15">
      <c r="B2064" s="69"/>
      <c r="C2064" s="70"/>
      <c r="D2064" s="71"/>
    </row>
    <row r="2065" spans="2:4" x14ac:dyDescent="0.15">
      <c r="B2065" s="69"/>
      <c r="C2065" s="70"/>
      <c r="D2065" s="71"/>
    </row>
    <row r="2066" spans="2:4" x14ac:dyDescent="0.15">
      <c r="B2066" s="69"/>
      <c r="C2066" s="70"/>
      <c r="D2066" s="71"/>
    </row>
    <row r="2067" spans="2:4" x14ac:dyDescent="0.15">
      <c r="B2067" s="69"/>
      <c r="C2067" s="70"/>
      <c r="D2067" s="71"/>
    </row>
    <row r="2068" spans="2:4" x14ac:dyDescent="0.15">
      <c r="B2068" s="69"/>
      <c r="C2068" s="70"/>
      <c r="D2068" s="71"/>
    </row>
    <row r="2069" spans="2:4" x14ac:dyDescent="0.15">
      <c r="B2069" s="69"/>
      <c r="C2069" s="70"/>
      <c r="D2069" s="71"/>
    </row>
    <row r="2070" spans="2:4" x14ac:dyDescent="0.15">
      <c r="B2070" s="69"/>
      <c r="C2070" s="70"/>
      <c r="D2070" s="71"/>
    </row>
    <row r="2071" spans="2:4" x14ac:dyDescent="0.15">
      <c r="B2071" s="69"/>
      <c r="C2071" s="70"/>
      <c r="D2071" s="71"/>
    </row>
    <row r="2072" spans="2:4" x14ac:dyDescent="0.15">
      <c r="B2072" s="69"/>
      <c r="C2072" s="70"/>
      <c r="D2072" s="71"/>
    </row>
    <row r="2073" spans="2:4" x14ac:dyDescent="0.15">
      <c r="B2073" s="69"/>
      <c r="C2073" s="70"/>
      <c r="D2073" s="71"/>
    </row>
    <row r="2074" spans="2:4" x14ac:dyDescent="0.15">
      <c r="B2074" s="69"/>
      <c r="C2074" s="70"/>
      <c r="D2074" s="71"/>
    </row>
    <row r="2075" spans="2:4" x14ac:dyDescent="0.15">
      <c r="B2075" s="69"/>
      <c r="C2075" s="70"/>
      <c r="D2075" s="71"/>
    </row>
    <row r="2076" spans="2:4" x14ac:dyDescent="0.15">
      <c r="B2076" s="69"/>
      <c r="C2076" s="70"/>
      <c r="D2076" s="71"/>
    </row>
    <row r="2077" spans="2:4" x14ac:dyDescent="0.15">
      <c r="B2077" s="69"/>
      <c r="C2077" s="70"/>
      <c r="D2077" s="71"/>
    </row>
    <row r="2078" spans="2:4" x14ac:dyDescent="0.15">
      <c r="B2078" s="69"/>
      <c r="C2078" s="70"/>
      <c r="D2078" s="71"/>
    </row>
    <row r="2079" spans="2:4" x14ac:dyDescent="0.15">
      <c r="B2079" s="69"/>
      <c r="C2079" s="70"/>
      <c r="D2079" s="71"/>
    </row>
    <row r="2080" spans="2:4" x14ac:dyDescent="0.15">
      <c r="B2080" s="69"/>
      <c r="C2080" s="70"/>
      <c r="D2080" s="71"/>
    </row>
    <row r="2081" spans="2:4" x14ac:dyDescent="0.15">
      <c r="B2081" s="69"/>
      <c r="C2081" s="70"/>
      <c r="D2081" s="71"/>
    </row>
    <row r="2082" spans="2:4" x14ac:dyDescent="0.15">
      <c r="B2082" s="69"/>
      <c r="C2082" s="70"/>
      <c r="D2082" s="71"/>
    </row>
    <row r="2083" spans="2:4" x14ac:dyDescent="0.15">
      <c r="B2083" s="69"/>
      <c r="C2083" s="70"/>
      <c r="D2083" s="71"/>
    </row>
    <row r="2084" spans="2:4" x14ac:dyDescent="0.15">
      <c r="B2084" s="69"/>
      <c r="C2084" s="70"/>
      <c r="D2084" s="71"/>
    </row>
    <row r="2085" spans="2:4" x14ac:dyDescent="0.15">
      <c r="B2085" s="69"/>
      <c r="C2085" s="70"/>
      <c r="D2085" s="71"/>
    </row>
    <row r="2086" spans="2:4" x14ac:dyDescent="0.15">
      <c r="B2086" s="69"/>
      <c r="C2086" s="70"/>
      <c r="D2086" s="71"/>
    </row>
    <row r="2087" spans="2:4" x14ac:dyDescent="0.15">
      <c r="B2087" s="69"/>
      <c r="C2087" s="70"/>
      <c r="D2087" s="71"/>
    </row>
    <row r="2088" spans="2:4" x14ac:dyDescent="0.15">
      <c r="B2088" s="69"/>
      <c r="C2088" s="70"/>
      <c r="D2088" s="71"/>
    </row>
    <row r="2089" spans="2:4" x14ac:dyDescent="0.15">
      <c r="B2089" s="69"/>
      <c r="C2089" s="70"/>
      <c r="D2089" s="71"/>
    </row>
    <row r="2090" spans="2:4" x14ac:dyDescent="0.15">
      <c r="B2090" s="69"/>
      <c r="C2090" s="70"/>
      <c r="D2090" s="71"/>
    </row>
    <row r="2091" spans="2:4" x14ac:dyDescent="0.15">
      <c r="B2091" s="69"/>
      <c r="C2091" s="70"/>
      <c r="D2091" s="71"/>
    </row>
    <row r="2092" spans="2:4" x14ac:dyDescent="0.15">
      <c r="B2092" s="69"/>
      <c r="C2092" s="70"/>
      <c r="D2092" s="71"/>
    </row>
    <row r="2093" spans="2:4" x14ac:dyDescent="0.15">
      <c r="B2093" s="69"/>
      <c r="C2093" s="70"/>
      <c r="D2093" s="71"/>
    </row>
    <row r="2094" spans="2:4" x14ac:dyDescent="0.15">
      <c r="B2094" s="69"/>
      <c r="C2094" s="70"/>
      <c r="D2094" s="71"/>
    </row>
    <row r="2095" spans="2:4" x14ac:dyDescent="0.15">
      <c r="B2095" s="69"/>
      <c r="C2095" s="70"/>
      <c r="D2095" s="71"/>
    </row>
    <row r="2096" spans="2:4" x14ac:dyDescent="0.15">
      <c r="B2096" s="69"/>
      <c r="C2096" s="70"/>
      <c r="D2096" s="71"/>
    </row>
    <row r="2097" spans="2:4" x14ac:dyDescent="0.15">
      <c r="B2097" s="69"/>
      <c r="C2097" s="70"/>
      <c r="D2097" s="71"/>
    </row>
    <row r="2098" spans="2:4" x14ac:dyDescent="0.15">
      <c r="B2098" s="69"/>
      <c r="C2098" s="70"/>
      <c r="D2098" s="71"/>
    </row>
    <row r="2099" spans="2:4" x14ac:dyDescent="0.15">
      <c r="B2099" s="69"/>
      <c r="C2099" s="70"/>
      <c r="D2099" s="71"/>
    </row>
    <row r="2100" spans="2:4" x14ac:dyDescent="0.15">
      <c r="B2100" s="69"/>
      <c r="C2100" s="70"/>
      <c r="D2100" s="71"/>
    </row>
    <row r="2101" spans="2:4" x14ac:dyDescent="0.15">
      <c r="B2101" s="69"/>
      <c r="C2101" s="70"/>
      <c r="D2101" s="71"/>
    </row>
    <row r="2102" spans="2:4" x14ac:dyDescent="0.15">
      <c r="B2102" s="69"/>
      <c r="C2102" s="70"/>
      <c r="D2102" s="71"/>
    </row>
    <row r="2103" spans="2:4" x14ac:dyDescent="0.15">
      <c r="B2103" s="69"/>
      <c r="C2103" s="70"/>
      <c r="D2103" s="71"/>
    </row>
    <row r="2104" spans="2:4" x14ac:dyDescent="0.15">
      <c r="B2104" s="69"/>
      <c r="C2104" s="70"/>
      <c r="D2104" s="71"/>
    </row>
    <row r="2105" spans="2:4" x14ac:dyDescent="0.15">
      <c r="B2105" s="69"/>
      <c r="C2105" s="70"/>
      <c r="D2105" s="71"/>
    </row>
    <row r="2106" spans="2:4" x14ac:dyDescent="0.15">
      <c r="B2106" s="69"/>
      <c r="C2106" s="70"/>
      <c r="D2106" s="71"/>
    </row>
    <row r="2107" spans="2:4" x14ac:dyDescent="0.15">
      <c r="B2107" s="69"/>
      <c r="C2107" s="70"/>
      <c r="D2107" s="71"/>
    </row>
    <row r="2108" spans="2:4" x14ac:dyDescent="0.15">
      <c r="B2108" s="69"/>
      <c r="C2108" s="70"/>
      <c r="D2108" s="71"/>
    </row>
    <row r="2109" spans="2:4" x14ac:dyDescent="0.15">
      <c r="B2109" s="69"/>
      <c r="C2109" s="70"/>
      <c r="D2109" s="71"/>
    </row>
    <row r="2110" spans="2:4" x14ac:dyDescent="0.15">
      <c r="B2110" s="69"/>
      <c r="C2110" s="70"/>
      <c r="D2110" s="71"/>
    </row>
    <row r="2111" spans="2:4" x14ac:dyDescent="0.15">
      <c r="B2111" s="69"/>
      <c r="C2111" s="70"/>
      <c r="D2111" s="71"/>
    </row>
    <row r="2112" spans="2:4" x14ac:dyDescent="0.15">
      <c r="B2112" s="69"/>
      <c r="C2112" s="70"/>
      <c r="D2112" s="71"/>
    </row>
    <row r="2113" spans="2:4" x14ac:dyDescent="0.15">
      <c r="B2113" s="69"/>
      <c r="C2113" s="70"/>
      <c r="D2113" s="71"/>
    </row>
    <row r="2114" spans="2:4" x14ac:dyDescent="0.15">
      <c r="B2114" s="69"/>
      <c r="C2114" s="70"/>
      <c r="D2114" s="71"/>
    </row>
    <row r="2115" spans="2:4" x14ac:dyDescent="0.15">
      <c r="B2115" s="69"/>
      <c r="C2115" s="70"/>
      <c r="D2115" s="71"/>
    </row>
    <row r="2116" spans="2:4" x14ac:dyDescent="0.15">
      <c r="B2116" s="69"/>
      <c r="C2116" s="70"/>
      <c r="D2116" s="71"/>
    </row>
    <row r="2117" spans="2:4" x14ac:dyDescent="0.15">
      <c r="B2117" s="69"/>
      <c r="C2117" s="70"/>
      <c r="D2117" s="71"/>
    </row>
    <row r="2118" spans="2:4" x14ac:dyDescent="0.15">
      <c r="B2118" s="69"/>
      <c r="C2118" s="70"/>
      <c r="D2118" s="71"/>
    </row>
    <row r="2119" spans="2:4" x14ac:dyDescent="0.15">
      <c r="B2119" s="69"/>
      <c r="C2119" s="70"/>
      <c r="D2119" s="71"/>
    </row>
    <row r="2120" spans="2:4" x14ac:dyDescent="0.15">
      <c r="B2120" s="69"/>
      <c r="C2120" s="70"/>
      <c r="D2120" s="71"/>
    </row>
    <row r="2121" spans="2:4" x14ac:dyDescent="0.15">
      <c r="B2121" s="69"/>
      <c r="C2121" s="70"/>
      <c r="D2121" s="71"/>
    </row>
    <row r="2122" spans="2:4" x14ac:dyDescent="0.15">
      <c r="B2122" s="69"/>
      <c r="C2122" s="70"/>
      <c r="D2122" s="71"/>
    </row>
    <row r="2123" spans="2:4" x14ac:dyDescent="0.15">
      <c r="B2123" s="69"/>
      <c r="C2123" s="70"/>
      <c r="D2123" s="71"/>
    </row>
    <row r="2124" spans="2:4" x14ac:dyDescent="0.15">
      <c r="B2124" s="69"/>
      <c r="C2124" s="70"/>
      <c r="D2124" s="71"/>
    </row>
    <row r="2125" spans="2:4" x14ac:dyDescent="0.15">
      <c r="B2125" s="69"/>
      <c r="C2125" s="70"/>
      <c r="D2125" s="71"/>
    </row>
    <row r="2126" spans="2:4" x14ac:dyDescent="0.15">
      <c r="B2126" s="69"/>
      <c r="C2126" s="70"/>
      <c r="D2126" s="71"/>
    </row>
    <row r="2127" spans="2:4" x14ac:dyDescent="0.15">
      <c r="B2127" s="69"/>
      <c r="C2127" s="70"/>
      <c r="D2127" s="71"/>
    </row>
    <row r="2128" spans="2:4" x14ac:dyDescent="0.15">
      <c r="B2128" s="69"/>
      <c r="C2128" s="70"/>
      <c r="D2128" s="71"/>
    </row>
    <row r="2129" spans="2:4" x14ac:dyDescent="0.15">
      <c r="B2129" s="69"/>
      <c r="C2129" s="70"/>
      <c r="D2129" s="71"/>
    </row>
    <row r="2130" spans="2:4" x14ac:dyDescent="0.15">
      <c r="B2130" s="69"/>
      <c r="C2130" s="70"/>
      <c r="D2130" s="71"/>
    </row>
    <row r="2131" spans="2:4" x14ac:dyDescent="0.15">
      <c r="B2131" s="69"/>
      <c r="C2131" s="70"/>
      <c r="D2131" s="71"/>
    </row>
    <row r="2132" spans="2:4" x14ac:dyDescent="0.15">
      <c r="B2132" s="69"/>
      <c r="C2132" s="70"/>
      <c r="D2132" s="71"/>
    </row>
    <row r="2133" spans="2:4" x14ac:dyDescent="0.15">
      <c r="B2133" s="69"/>
      <c r="C2133" s="70"/>
      <c r="D2133" s="71"/>
    </row>
    <row r="2134" spans="2:4" x14ac:dyDescent="0.15">
      <c r="B2134" s="69"/>
      <c r="C2134" s="70"/>
      <c r="D2134" s="71"/>
    </row>
    <row r="2135" spans="2:4" x14ac:dyDescent="0.15">
      <c r="B2135" s="69"/>
      <c r="C2135" s="70"/>
      <c r="D2135" s="71"/>
    </row>
    <row r="2136" spans="2:4" x14ac:dyDescent="0.15">
      <c r="B2136" s="69"/>
      <c r="C2136" s="70"/>
      <c r="D2136" s="71"/>
    </row>
    <row r="2137" spans="2:4" x14ac:dyDescent="0.15">
      <c r="B2137" s="69"/>
      <c r="C2137" s="70"/>
      <c r="D2137" s="71"/>
    </row>
    <row r="2138" spans="2:4" x14ac:dyDescent="0.15">
      <c r="B2138" s="69"/>
      <c r="C2138" s="70"/>
      <c r="D2138" s="71"/>
    </row>
    <row r="2139" spans="2:4" x14ac:dyDescent="0.15">
      <c r="B2139" s="69"/>
      <c r="C2139" s="70"/>
      <c r="D2139" s="71"/>
    </row>
    <row r="2140" spans="2:4" x14ac:dyDescent="0.15">
      <c r="B2140" s="69"/>
      <c r="C2140" s="70"/>
      <c r="D2140" s="71"/>
    </row>
    <row r="2141" spans="2:4" x14ac:dyDescent="0.15">
      <c r="B2141" s="69"/>
      <c r="C2141" s="70"/>
      <c r="D2141" s="71"/>
    </row>
    <row r="2142" spans="2:4" x14ac:dyDescent="0.15">
      <c r="B2142" s="69"/>
      <c r="C2142" s="70"/>
      <c r="D2142" s="71"/>
    </row>
    <row r="2143" spans="2:4" x14ac:dyDescent="0.15">
      <c r="B2143" s="69"/>
      <c r="C2143" s="70"/>
      <c r="D2143" s="71"/>
    </row>
    <row r="2144" spans="2:4" x14ac:dyDescent="0.15">
      <c r="B2144" s="69"/>
      <c r="C2144" s="70"/>
      <c r="D2144" s="71"/>
    </row>
    <row r="2145" spans="2:4" x14ac:dyDescent="0.15">
      <c r="B2145" s="69"/>
      <c r="C2145" s="70"/>
      <c r="D2145" s="71"/>
    </row>
    <row r="2146" spans="2:4" x14ac:dyDescent="0.15">
      <c r="B2146" s="69"/>
      <c r="C2146" s="70"/>
      <c r="D2146" s="71"/>
    </row>
    <row r="2147" spans="2:4" x14ac:dyDescent="0.15">
      <c r="B2147" s="69"/>
      <c r="C2147" s="70"/>
      <c r="D2147" s="71"/>
    </row>
    <row r="2148" spans="2:4" x14ac:dyDescent="0.15">
      <c r="B2148" s="69"/>
      <c r="C2148" s="70"/>
      <c r="D2148" s="71"/>
    </row>
    <row r="2149" spans="2:4" x14ac:dyDescent="0.15">
      <c r="B2149" s="69"/>
      <c r="C2149" s="70"/>
      <c r="D2149" s="71"/>
    </row>
    <row r="2150" spans="2:4" x14ac:dyDescent="0.15">
      <c r="B2150" s="69"/>
      <c r="C2150" s="70"/>
      <c r="D2150" s="71"/>
    </row>
    <row r="2151" spans="2:4" x14ac:dyDescent="0.15">
      <c r="B2151" s="69"/>
      <c r="C2151" s="70"/>
      <c r="D2151" s="71"/>
    </row>
    <row r="2152" spans="2:4" x14ac:dyDescent="0.15">
      <c r="B2152" s="69"/>
      <c r="C2152" s="70"/>
      <c r="D2152" s="71"/>
    </row>
    <row r="2153" spans="2:4" x14ac:dyDescent="0.15">
      <c r="B2153" s="69"/>
      <c r="C2153" s="70"/>
      <c r="D2153" s="71"/>
    </row>
    <row r="2154" spans="2:4" x14ac:dyDescent="0.15">
      <c r="B2154" s="69"/>
      <c r="C2154" s="70"/>
      <c r="D2154" s="71"/>
    </row>
    <row r="2155" spans="2:4" x14ac:dyDescent="0.15">
      <c r="B2155" s="69"/>
      <c r="C2155" s="70"/>
      <c r="D2155" s="71"/>
    </row>
    <row r="2156" spans="2:4" x14ac:dyDescent="0.15">
      <c r="B2156" s="69"/>
      <c r="C2156" s="70"/>
      <c r="D2156" s="71"/>
    </row>
    <row r="2157" spans="2:4" x14ac:dyDescent="0.15">
      <c r="B2157" s="69"/>
      <c r="C2157" s="70"/>
      <c r="D2157" s="71"/>
    </row>
    <row r="2158" spans="2:4" x14ac:dyDescent="0.15">
      <c r="B2158" s="69"/>
      <c r="C2158" s="70"/>
      <c r="D2158" s="71"/>
    </row>
    <row r="2159" spans="2:4" x14ac:dyDescent="0.15">
      <c r="B2159" s="69"/>
      <c r="C2159" s="70"/>
      <c r="D2159" s="71"/>
    </row>
    <row r="2160" spans="2:4" x14ac:dyDescent="0.15">
      <c r="B2160" s="69"/>
      <c r="C2160" s="70"/>
      <c r="D2160" s="71"/>
    </row>
    <row r="2161" spans="2:4" x14ac:dyDescent="0.15">
      <c r="B2161" s="69"/>
      <c r="C2161" s="70"/>
      <c r="D2161" s="71"/>
    </row>
    <row r="2162" spans="2:4" x14ac:dyDescent="0.15">
      <c r="B2162" s="69"/>
      <c r="C2162" s="70"/>
      <c r="D2162" s="71"/>
    </row>
    <row r="2163" spans="2:4" x14ac:dyDescent="0.15">
      <c r="B2163" s="69"/>
      <c r="C2163" s="70"/>
      <c r="D2163" s="71"/>
    </row>
    <row r="2164" spans="2:4" x14ac:dyDescent="0.15">
      <c r="B2164" s="69"/>
      <c r="C2164" s="70"/>
      <c r="D2164" s="71"/>
    </row>
    <row r="2165" spans="2:4" x14ac:dyDescent="0.15">
      <c r="B2165" s="69"/>
      <c r="C2165" s="70"/>
      <c r="D2165" s="71"/>
    </row>
    <row r="2166" spans="2:4" x14ac:dyDescent="0.15">
      <c r="B2166" s="69"/>
      <c r="C2166" s="70"/>
      <c r="D2166" s="71"/>
    </row>
    <row r="2167" spans="2:4" x14ac:dyDescent="0.15">
      <c r="B2167" s="69"/>
      <c r="C2167" s="70"/>
      <c r="D2167" s="71"/>
    </row>
    <row r="2168" spans="2:4" x14ac:dyDescent="0.15">
      <c r="B2168" s="69"/>
      <c r="C2168" s="70"/>
      <c r="D2168" s="71"/>
    </row>
    <row r="2169" spans="2:4" x14ac:dyDescent="0.15">
      <c r="B2169" s="69"/>
      <c r="C2169" s="70"/>
      <c r="D2169" s="71"/>
    </row>
    <row r="2170" spans="2:4" x14ac:dyDescent="0.15">
      <c r="B2170" s="69"/>
      <c r="C2170" s="70"/>
      <c r="D2170" s="71"/>
    </row>
    <row r="2171" spans="2:4" x14ac:dyDescent="0.15">
      <c r="B2171" s="69"/>
      <c r="C2171" s="70"/>
      <c r="D2171" s="71"/>
    </row>
    <row r="2172" spans="2:4" x14ac:dyDescent="0.15">
      <c r="B2172" s="69"/>
      <c r="C2172" s="70"/>
      <c r="D2172" s="71"/>
    </row>
    <row r="2173" spans="2:4" x14ac:dyDescent="0.15">
      <c r="B2173" s="69"/>
      <c r="C2173" s="70"/>
      <c r="D2173" s="71"/>
    </row>
    <row r="2174" spans="2:4" x14ac:dyDescent="0.15">
      <c r="B2174" s="69"/>
      <c r="C2174" s="70"/>
      <c r="D2174" s="71"/>
    </row>
    <row r="2175" spans="2:4" x14ac:dyDescent="0.15">
      <c r="B2175" s="69"/>
      <c r="C2175" s="70"/>
      <c r="D2175" s="71"/>
    </row>
    <row r="2176" spans="2:4" x14ac:dyDescent="0.15">
      <c r="B2176" s="69"/>
      <c r="C2176" s="70"/>
      <c r="D2176" s="71"/>
    </row>
    <row r="2177" spans="2:4" x14ac:dyDescent="0.15">
      <c r="B2177" s="69"/>
      <c r="C2177" s="70"/>
      <c r="D2177" s="71"/>
    </row>
    <row r="2178" spans="2:4" x14ac:dyDescent="0.15">
      <c r="B2178" s="69"/>
      <c r="C2178" s="70"/>
      <c r="D2178" s="71"/>
    </row>
    <row r="2179" spans="2:4" x14ac:dyDescent="0.15">
      <c r="B2179" s="69"/>
      <c r="C2179" s="70"/>
      <c r="D2179" s="71"/>
    </row>
    <row r="2180" spans="2:4" x14ac:dyDescent="0.15">
      <c r="B2180" s="69"/>
      <c r="C2180" s="70"/>
      <c r="D2180" s="71"/>
    </row>
    <row r="2181" spans="2:4" x14ac:dyDescent="0.15">
      <c r="B2181" s="69"/>
      <c r="C2181" s="70"/>
      <c r="D2181" s="71"/>
    </row>
    <row r="2182" spans="2:4" x14ac:dyDescent="0.15">
      <c r="B2182" s="69"/>
      <c r="C2182" s="70"/>
      <c r="D2182" s="71"/>
    </row>
    <row r="2183" spans="2:4" x14ac:dyDescent="0.15">
      <c r="B2183" s="69"/>
      <c r="C2183" s="70"/>
      <c r="D2183" s="71"/>
    </row>
    <row r="2184" spans="2:4" x14ac:dyDescent="0.15">
      <c r="B2184" s="69"/>
      <c r="C2184" s="70"/>
      <c r="D2184" s="71"/>
    </row>
    <row r="2185" spans="2:4" x14ac:dyDescent="0.15">
      <c r="B2185" s="69"/>
      <c r="C2185" s="70"/>
      <c r="D2185" s="71"/>
    </row>
    <row r="2186" spans="2:4" x14ac:dyDescent="0.15">
      <c r="B2186" s="69"/>
      <c r="C2186" s="70"/>
      <c r="D2186" s="71"/>
    </row>
    <row r="2187" spans="2:4" x14ac:dyDescent="0.15">
      <c r="B2187" s="69"/>
      <c r="C2187" s="70"/>
      <c r="D2187" s="71"/>
    </row>
    <row r="2188" spans="2:4" x14ac:dyDescent="0.15">
      <c r="B2188" s="69"/>
      <c r="C2188" s="70"/>
      <c r="D2188" s="71"/>
    </row>
    <row r="2189" spans="2:4" x14ac:dyDescent="0.15">
      <c r="B2189" s="69"/>
      <c r="C2189" s="70"/>
      <c r="D2189" s="71"/>
    </row>
    <row r="2190" spans="2:4" x14ac:dyDescent="0.15">
      <c r="B2190" s="69"/>
      <c r="C2190" s="70"/>
      <c r="D2190" s="71"/>
    </row>
    <row r="2191" spans="2:4" x14ac:dyDescent="0.15">
      <c r="B2191" s="69"/>
      <c r="C2191" s="70"/>
      <c r="D2191" s="71"/>
    </row>
    <row r="2192" spans="2:4" x14ac:dyDescent="0.15">
      <c r="B2192" s="69"/>
      <c r="C2192" s="70"/>
      <c r="D2192" s="71"/>
    </row>
    <row r="2193" spans="2:4" x14ac:dyDescent="0.15">
      <c r="B2193" s="69"/>
      <c r="C2193" s="70"/>
      <c r="D2193" s="71"/>
    </row>
    <row r="2194" spans="2:4" x14ac:dyDescent="0.15">
      <c r="B2194" s="69"/>
      <c r="C2194" s="70"/>
      <c r="D2194" s="71"/>
    </row>
    <row r="2195" spans="2:4" x14ac:dyDescent="0.15">
      <c r="B2195" s="69"/>
      <c r="C2195" s="70"/>
      <c r="D2195" s="71"/>
    </row>
    <row r="2196" spans="2:4" x14ac:dyDescent="0.15">
      <c r="B2196" s="69"/>
      <c r="C2196" s="70"/>
      <c r="D2196" s="71"/>
    </row>
    <row r="2197" spans="2:4" x14ac:dyDescent="0.15">
      <c r="B2197" s="69"/>
      <c r="C2197" s="70"/>
      <c r="D2197" s="71"/>
    </row>
    <row r="2198" spans="2:4" x14ac:dyDescent="0.15">
      <c r="B2198" s="69"/>
      <c r="C2198" s="70"/>
      <c r="D2198" s="71"/>
    </row>
    <row r="2199" spans="2:4" x14ac:dyDescent="0.15">
      <c r="B2199" s="69"/>
      <c r="C2199" s="70"/>
      <c r="D2199" s="71"/>
    </row>
    <row r="2200" spans="2:4" x14ac:dyDescent="0.15">
      <c r="B2200" s="69"/>
      <c r="C2200" s="70"/>
      <c r="D2200" s="71"/>
    </row>
    <row r="2201" spans="2:4" x14ac:dyDescent="0.15">
      <c r="B2201" s="69"/>
      <c r="C2201" s="70"/>
      <c r="D2201" s="71"/>
    </row>
    <row r="2202" spans="2:4" x14ac:dyDescent="0.15">
      <c r="B2202" s="69"/>
      <c r="C2202" s="70"/>
      <c r="D2202" s="71"/>
    </row>
    <row r="2203" spans="2:4" x14ac:dyDescent="0.15">
      <c r="B2203" s="69"/>
      <c r="C2203" s="70"/>
      <c r="D2203" s="71"/>
    </row>
    <row r="2204" spans="2:4" x14ac:dyDescent="0.15">
      <c r="B2204" s="69"/>
      <c r="C2204" s="70"/>
      <c r="D2204" s="71"/>
    </row>
    <row r="2205" spans="2:4" x14ac:dyDescent="0.15">
      <c r="B2205" s="69"/>
      <c r="C2205" s="70"/>
      <c r="D2205" s="71"/>
    </row>
    <row r="2206" spans="2:4" x14ac:dyDescent="0.15">
      <c r="B2206" s="69"/>
      <c r="C2206" s="70"/>
      <c r="D2206" s="71"/>
    </row>
    <row r="2207" spans="2:4" x14ac:dyDescent="0.15">
      <c r="B2207" s="69"/>
      <c r="C2207" s="70"/>
      <c r="D2207" s="71"/>
    </row>
    <row r="2208" spans="2:4" x14ac:dyDescent="0.15">
      <c r="B2208" s="69"/>
      <c r="C2208" s="70"/>
      <c r="D2208" s="71"/>
    </row>
    <row r="2209" spans="2:4" x14ac:dyDescent="0.15">
      <c r="B2209" s="69"/>
      <c r="C2209" s="70"/>
      <c r="D2209" s="71"/>
    </row>
    <row r="2210" spans="2:4" x14ac:dyDescent="0.15">
      <c r="B2210" s="69"/>
      <c r="C2210" s="70"/>
      <c r="D2210" s="71"/>
    </row>
    <row r="2211" spans="2:4" x14ac:dyDescent="0.15">
      <c r="B2211" s="69"/>
      <c r="C2211" s="70"/>
      <c r="D2211" s="71"/>
    </row>
    <row r="2212" spans="2:4" x14ac:dyDescent="0.15">
      <c r="B2212" s="69"/>
      <c r="C2212" s="70"/>
      <c r="D2212" s="71"/>
    </row>
    <row r="2213" spans="2:4" x14ac:dyDescent="0.15">
      <c r="B2213" s="69"/>
      <c r="C2213" s="70"/>
      <c r="D2213" s="71"/>
    </row>
    <row r="2214" spans="2:4" x14ac:dyDescent="0.15">
      <c r="B2214" s="69"/>
      <c r="C2214" s="70"/>
      <c r="D2214" s="71"/>
    </row>
    <row r="2215" spans="2:4" x14ac:dyDescent="0.15">
      <c r="B2215" s="69"/>
      <c r="C2215" s="70"/>
      <c r="D2215" s="71"/>
    </row>
    <row r="2216" spans="2:4" x14ac:dyDescent="0.15">
      <c r="B2216" s="69"/>
      <c r="C2216" s="70"/>
      <c r="D2216" s="71"/>
    </row>
    <row r="2217" spans="2:4" x14ac:dyDescent="0.15">
      <c r="B2217" s="69"/>
      <c r="C2217" s="70"/>
      <c r="D2217" s="71"/>
    </row>
    <row r="2218" spans="2:4" x14ac:dyDescent="0.15">
      <c r="B2218" s="69"/>
      <c r="C2218" s="70"/>
      <c r="D2218" s="71"/>
    </row>
    <row r="2219" spans="2:4" x14ac:dyDescent="0.15">
      <c r="B2219" s="69"/>
      <c r="C2219" s="70"/>
      <c r="D2219" s="71"/>
    </row>
    <row r="2220" spans="2:4" x14ac:dyDescent="0.15">
      <c r="B2220" s="69"/>
      <c r="C2220" s="70"/>
      <c r="D2220" s="71"/>
    </row>
    <row r="2221" spans="2:4" x14ac:dyDescent="0.15">
      <c r="B2221" s="69"/>
      <c r="C2221" s="70"/>
      <c r="D2221" s="71"/>
    </row>
    <row r="2222" spans="2:4" x14ac:dyDescent="0.15">
      <c r="B2222" s="69"/>
      <c r="C2222" s="70"/>
      <c r="D2222" s="71"/>
    </row>
    <row r="2223" spans="2:4" x14ac:dyDescent="0.15">
      <c r="B2223" s="69"/>
      <c r="C2223" s="70"/>
      <c r="D2223" s="71"/>
    </row>
    <row r="2224" spans="2:4" x14ac:dyDescent="0.15">
      <c r="B2224" s="69"/>
      <c r="C2224" s="70"/>
      <c r="D2224" s="71"/>
    </row>
    <row r="2225" spans="2:4" x14ac:dyDescent="0.15">
      <c r="B2225" s="69"/>
      <c r="C2225" s="70"/>
      <c r="D2225" s="71"/>
    </row>
    <row r="2226" spans="2:4" x14ac:dyDescent="0.15">
      <c r="B2226" s="69"/>
      <c r="C2226" s="70"/>
      <c r="D2226" s="71"/>
    </row>
    <row r="2227" spans="2:4" x14ac:dyDescent="0.15">
      <c r="B2227" s="69"/>
      <c r="C2227" s="70"/>
      <c r="D2227" s="71"/>
    </row>
    <row r="2228" spans="2:4" x14ac:dyDescent="0.15">
      <c r="B2228" s="69"/>
      <c r="C2228" s="70"/>
      <c r="D2228" s="71"/>
    </row>
    <row r="2229" spans="2:4" x14ac:dyDescent="0.15">
      <c r="B2229" s="69"/>
      <c r="C2229" s="70"/>
      <c r="D2229" s="71"/>
    </row>
    <row r="2230" spans="2:4" x14ac:dyDescent="0.15">
      <c r="B2230" s="69"/>
      <c r="C2230" s="70"/>
      <c r="D2230" s="71"/>
    </row>
    <row r="2231" spans="2:4" x14ac:dyDescent="0.15">
      <c r="B2231" s="69"/>
      <c r="C2231" s="70"/>
      <c r="D2231" s="71"/>
    </row>
    <row r="2232" spans="2:4" x14ac:dyDescent="0.15">
      <c r="B2232" s="69"/>
      <c r="C2232" s="70"/>
      <c r="D2232" s="71"/>
    </row>
    <row r="2233" spans="2:4" x14ac:dyDescent="0.15">
      <c r="B2233" s="69"/>
      <c r="C2233" s="70"/>
      <c r="D2233" s="71"/>
    </row>
    <row r="2234" spans="2:4" x14ac:dyDescent="0.15">
      <c r="B2234" s="69"/>
      <c r="C2234" s="70"/>
      <c r="D2234" s="71"/>
    </row>
    <row r="2235" spans="2:4" x14ac:dyDescent="0.15">
      <c r="B2235" s="69"/>
      <c r="C2235" s="70"/>
      <c r="D2235" s="71"/>
    </row>
    <row r="2236" spans="2:4" x14ac:dyDescent="0.15">
      <c r="B2236" s="69"/>
      <c r="C2236" s="70"/>
      <c r="D2236" s="71"/>
    </row>
    <row r="2237" spans="2:4" x14ac:dyDescent="0.15">
      <c r="B2237" s="69"/>
      <c r="C2237" s="70"/>
      <c r="D2237" s="71"/>
    </row>
    <row r="2238" spans="2:4" x14ac:dyDescent="0.15">
      <c r="B2238" s="69"/>
      <c r="C2238" s="70"/>
      <c r="D2238" s="71"/>
    </row>
    <row r="2239" spans="2:4" x14ac:dyDescent="0.15">
      <c r="B2239" s="69"/>
      <c r="C2239" s="70"/>
      <c r="D2239" s="71"/>
    </row>
    <row r="2240" spans="2:4" x14ac:dyDescent="0.15">
      <c r="B2240" s="69"/>
      <c r="C2240" s="70"/>
      <c r="D2240" s="71"/>
    </row>
    <row r="2241" spans="2:4" x14ac:dyDescent="0.15">
      <c r="B2241" s="69"/>
      <c r="C2241" s="70"/>
      <c r="D2241" s="71"/>
    </row>
    <row r="2242" spans="2:4" x14ac:dyDescent="0.15">
      <c r="B2242" s="69"/>
      <c r="C2242" s="70"/>
      <c r="D2242" s="71"/>
    </row>
    <row r="2243" spans="2:4" x14ac:dyDescent="0.15">
      <c r="B2243" s="69"/>
      <c r="C2243" s="70"/>
      <c r="D2243" s="71"/>
    </row>
    <row r="2244" spans="2:4" x14ac:dyDescent="0.15">
      <c r="B2244" s="69"/>
      <c r="C2244" s="70"/>
      <c r="D2244" s="71"/>
    </row>
    <row r="2245" spans="2:4" x14ac:dyDescent="0.15">
      <c r="B2245" s="69"/>
      <c r="C2245" s="70"/>
      <c r="D2245" s="71"/>
    </row>
    <row r="2246" spans="2:4" x14ac:dyDescent="0.15">
      <c r="B2246" s="69"/>
      <c r="C2246" s="70"/>
      <c r="D2246" s="71"/>
    </row>
    <row r="2247" spans="2:4" x14ac:dyDescent="0.15">
      <c r="B2247" s="69"/>
      <c r="C2247" s="70"/>
      <c r="D2247" s="71"/>
    </row>
    <row r="2248" spans="2:4" x14ac:dyDescent="0.15">
      <c r="B2248" s="69"/>
      <c r="C2248" s="70"/>
      <c r="D2248" s="71"/>
    </row>
    <row r="2249" spans="2:4" x14ac:dyDescent="0.15">
      <c r="B2249" s="69"/>
      <c r="C2249" s="70"/>
      <c r="D2249" s="71"/>
    </row>
    <row r="2250" spans="2:4" x14ac:dyDescent="0.15">
      <c r="B2250" s="69"/>
      <c r="C2250" s="70"/>
      <c r="D2250" s="71"/>
    </row>
    <row r="2251" spans="2:4" x14ac:dyDescent="0.15">
      <c r="B2251" s="69"/>
      <c r="C2251" s="70"/>
      <c r="D2251" s="71"/>
    </row>
    <row r="2252" spans="2:4" x14ac:dyDescent="0.15">
      <c r="B2252" s="69"/>
      <c r="C2252" s="70"/>
      <c r="D2252" s="71"/>
    </row>
    <row r="2253" spans="2:4" x14ac:dyDescent="0.15">
      <c r="B2253" s="69"/>
      <c r="C2253" s="70"/>
      <c r="D2253" s="71"/>
    </row>
    <row r="2254" spans="2:4" x14ac:dyDescent="0.15">
      <c r="B2254" s="69"/>
      <c r="C2254" s="70"/>
      <c r="D2254" s="71"/>
    </row>
    <row r="2255" spans="2:4" x14ac:dyDescent="0.15">
      <c r="B2255" s="69"/>
      <c r="C2255" s="70"/>
      <c r="D2255" s="71"/>
    </row>
    <row r="2256" spans="2:4" x14ac:dyDescent="0.15">
      <c r="B2256" s="69"/>
      <c r="C2256" s="70"/>
      <c r="D2256" s="71"/>
    </row>
    <row r="2257" spans="2:4" x14ac:dyDescent="0.15">
      <c r="B2257" s="69"/>
      <c r="C2257" s="70"/>
      <c r="D2257" s="71"/>
    </row>
    <row r="2258" spans="2:4" x14ac:dyDescent="0.15">
      <c r="B2258" s="69"/>
      <c r="C2258" s="70"/>
      <c r="D2258" s="71"/>
    </row>
    <row r="2259" spans="2:4" x14ac:dyDescent="0.15">
      <c r="B2259" s="69"/>
      <c r="C2259" s="70"/>
      <c r="D2259" s="71"/>
    </row>
    <row r="2260" spans="2:4" x14ac:dyDescent="0.15">
      <c r="B2260" s="69"/>
      <c r="C2260" s="70"/>
      <c r="D2260" s="71"/>
    </row>
    <row r="2261" spans="2:4" x14ac:dyDescent="0.15">
      <c r="B2261" s="69"/>
      <c r="C2261" s="70"/>
      <c r="D2261" s="71"/>
    </row>
    <row r="2262" spans="2:4" x14ac:dyDescent="0.15">
      <c r="B2262" s="69"/>
      <c r="C2262" s="70"/>
      <c r="D2262" s="71"/>
    </row>
    <row r="2263" spans="2:4" x14ac:dyDescent="0.15">
      <c r="B2263" s="69"/>
      <c r="C2263" s="70"/>
      <c r="D2263" s="71"/>
    </row>
    <row r="2264" spans="2:4" x14ac:dyDescent="0.15">
      <c r="B2264" s="69"/>
      <c r="C2264" s="70"/>
      <c r="D2264" s="71"/>
    </row>
    <row r="2265" spans="2:4" x14ac:dyDescent="0.15">
      <c r="B2265" s="69"/>
      <c r="C2265" s="70"/>
      <c r="D2265" s="71"/>
    </row>
    <row r="2266" spans="2:4" x14ac:dyDescent="0.15">
      <c r="B2266" s="69"/>
      <c r="C2266" s="70"/>
      <c r="D2266" s="71"/>
    </row>
    <row r="2267" spans="2:4" x14ac:dyDescent="0.15">
      <c r="B2267" s="69"/>
      <c r="C2267" s="70"/>
      <c r="D2267" s="71"/>
    </row>
    <row r="2268" spans="2:4" x14ac:dyDescent="0.15">
      <c r="B2268" s="69"/>
      <c r="C2268" s="70"/>
      <c r="D2268" s="71"/>
    </row>
    <row r="2269" spans="2:4" x14ac:dyDescent="0.15">
      <c r="B2269" s="69"/>
      <c r="C2269" s="70"/>
      <c r="D2269" s="71"/>
    </row>
    <row r="2270" spans="2:4" x14ac:dyDescent="0.15">
      <c r="B2270" s="69"/>
      <c r="C2270" s="70"/>
      <c r="D2270" s="71"/>
    </row>
    <row r="2271" spans="2:4" x14ac:dyDescent="0.15">
      <c r="B2271" s="69"/>
      <c r="C2271" s="70"/>
      <c r="D2271" s="71"/>
    </row>
    <row r="2272" spans="2:4" x14ac:dyDescent="0.15">
      <c r="B2272" s="69"/>
      <c r="C2272" s="70"/>
      <c r="D2272" s="71"/>
    </row>
    <row r="2273" spans="2:4" x14ac:dyDescent="0.15">
      <c r="B2273" s="69"/>
      <c r="C2273" s="70"/>
      <c r="D2273" s="71"/>
    </row>
    <row r="2274" spans="2:4" x14ac:dyDescent="0.15">
      <c r="B2274" s="69"/>
      <c r="C2274" s="70"/>
      <c r="D2274" s="71"/>
    </row>
    <row r="2275" spans="2:4" x14ac:dyDescent="0.15">
      <c r="B2275" s="69"/>
      <c r="C2275" s="70"/>
      <c r="D2275" s="71"/>
    </row>
    <row r="2276" spans="2:4" x14ac:dyDescent="0.15">
      <c r="B2276" s="69"/>
      <c r="C2276" s="70"/>
      <c r="D2276" s="71"/>
    </row>
    <row r="2277" spans="2:4" x14ac:dyDescent="0.15">
      <c r="B2277" s="69"/>
      <c r="C2277" s="70"/>
      <c r="D2277" s="71"/>
    </row>
    <row r="2278" spans="2:4" x14ac:dyDescent="0.15">
      <c r="B2278" s="69"/>
      <c r="C2278" s="70"/>
      <c r="D2278" s="71"/>
    </row>
    <row r="2279" spans="2:4" x14ac:dyDescent="0.15">
      <c r="B2279" s="69"/>
      <c r="C2279" s="70"/>
      <c r="D2279" s="71"/>
    </row>
    <row r="2280" spans="2:4" x14ac:dyDescent="0.15">
      <c r="B2280" s="69"/>
      <c r="C2280" s="70"/>
      <c r="D2280" s="71"/>
    </row>
    <row r="2281" spans="2:4" x14ac:dyDescent="0.15">
      <c r="B2281" s="69"/>
      <c r="C2281" s="70"/>
      <c r="D2281" s="71"/>
    </row>
    <row r="2282" spans="2:4" x14ac:dyDescent="0.15">
      <c r="B2282" s="69"/>
      <c r="C2282" s="70"/>
      <c r="D2282" s="71"/>
    </row>
    <row r="2283" spans="2:4" x14ac:dyDescent="0.15">
      <c r="B2283" s="69"/>
      <c r="C2283" s="70"/>
      <c r="D2283" s="71"/>
    </row>
    <row r="2284" spans="2:4" x14ac:dyDescent="0.15">
      <c r="B2284" s="69"/>
      <c r="C2284" s="70"/>
      <c r="D2284" s="71"/>
    </row>
    <row r="2285" spans="2:4" x14ac:dyDescent="0.15">
      <c r="B2285" s="69"/>
      <c r="C2285" s="70"/>
      <c r="D2285" s="71"/>
    </row>
    <row r="2286" spans="2:4" x14ac:dyDescent="0.15">
      <c r="B2286" s="69"/>
      <c r="C2286" s="70"/>
      <c r="D2286" s="71"/>
    </row>
    <row r="2287" spans="2:4" x14ac:dyDescent="0.15">
      <c r="B2287" s="69"/>
      <c r="C2287" s="70"/>
      <c r="D2287" s="71"/>
    </row>
    <row r="2288" spans="2:4" x14ac:dyDescent="0.15">
      <c r="B2288" s="69"/>
      <c r="C2288" s="70"/>
      <c r="D2288" s="71"/>
    </row>
    <row r="2289" spans="2:4" x14ac:dyDescent="0.15">
      <c r="B2289" s="69"/>
      <c r="C2289" s="70"/>
      <c r="D2289" s="71"/>
    </row>
    <row r="2290" spans="2:4" x14ac:dyDescent="0.15">
      <c r="B2290" s="69"/>
      <c r="C2290" s="70"/>
      <c r="D2290" s="71"/>
    </row>
    <row r="2291" spans="2:4" x14ac:dyDescent="0.15">
      <c r="B2291" s="69"/>
      <c r="C2291" s="70"/>
      <c r="D2291" s="71"/>
    </row>
    <row r="2292" spans="2:4" x14ac:dyDescent="0.15">
      <c r="B2292" s="69"/>
      <c r="C2292" s="70"/>
      <c r="D2292" s="71"/>
    </row>
    <row r="2293" spans="2:4" x14ac:dyDescent="0.15">
      <c r="B2293" s="69"/>
      <c r="C2293" s="70"/>
      <c r="D2293" s="71"/>
    </row>
    <row r="2294" spans="2:4" x14ac:dyDescent="0.15">
      <c r="B2294" s="69"/>
      <c r="C2294" s="70"/>
      <c r="D2294" s="71"/>
    </row>
    <row r="2295" spans="2:4" x14ac:dyDescent="0.15">
      <c r="B2295" s="69"/>
      <c r="C2295" s="70"/>
      <c r="D2295" s="71"/>
    </row>
    <row r="2296" spans="2:4" x14ac:dyDescent="0.15">
      <c r="B2296" s="69"/>
      <c r="C2296" s="70"/>
      <c r="D2296" s="71"/>
    </row>
    <row r="2297" spans="2:4" x14ac:dyDescent="0.15">
      <c r="B2297" s="69"/>
      <c r="C2297" s="70"/>
      <c r="D2297" s="71"/>
    </row>
    <row r="2298" spans="2:4" x14ac:dyDescent="0.15">
      <c r="B2298" s="69"/>
      <c r="C2298" s="70"/>
      <c r="D2298" s="71"/>
    </row>
    <row r="2299" spans="2:4" x14ac:dyDescent="0.15">
      <c r="B2299" s="69"/>
      <c r="C2299" s="70"/>
      <c r="D2299" s="71"/>
    </row>
    <row r="2300" spans="2:4" x14ac:dyDescent="0.15">
      <c r="B2300" s="69"/>
      <c r="C2300" s="70"/>
      <c r="D2300" s="71"/>
    </row>
    <row r="2301" spans="2:4" x14ac:dyDescent="0.15">
      <c r="B2301" s="69"/>
      <c r="C2301" s="70"/>
      <c r="D2301" s="71"/>
    </row>
    <row r="2302" spans="2:4" x14ac:dyDescent="0.15">
      <c r="B2302" s="69"/>
      <c r="C2302" s="70"/>
      <c r="D2302" s="71"/>
    </row>
    <row r="2303" spans="2:4" x14ac:dyDescent="0.15">
      <c r="B2303" s="69"/>
      <c r="C2303" s="70"/>
      <c r="D2303" s="71"/>
    </row>
    <row r="2304" spans="2:4" x14ac:dyDescent="0.15">
      <c r="B2304" s="69"/>
      <c r="C2304" s="70"/>
      <c r="D2304" s="71"/>
    </row>
    <row r="2305" spans="2:4" x14ac:dyDescent="0.15">
      <c r="B2305" s="69"/>
      <c r="C2305" s="70"/>
      <c r="D2305" s="71"/>
    </row>
    <row r="2306" spans="2:4" x14ac:dyDescent="0.15">
      <c r="B2306" s="69"/>
      <c r="C2306" s="70"/>
      <c r="D2306" s="71"/>
    </row>
    <row r="2307" spans="2:4" x14ac:dyDescent="0.15">
      <c r="B2307" s="69"/>
      <c r="C2307" s="70"/>
      <c r="D2307" s="71"/>
    </row>
    <row r="2308" spans="2:4" x14ac:dyDescent="0.15">
      <c r="B2308" s="69"/>
      <c r="C2308" s="70"/>
      <c r="D2308" s="71"/>
    </row>
    <row r="2309" spans="2:4" x14ac:dyDescent="0.15">
      <c r="B2309" s="69"/>
      <c r="C2309" s="70"/>
      <c r="D2309" s="71"/>
    </row>
    <row r="2310" spans="2:4" x14ac:dyDescent="0.15">
      <c r="B2310" s="69"/>
      <c r="C2310" s="70"/>
      <c r="D2310" s="71"/>
    </row>
    <row r="2311" spans="2:4" x14ac:dyDescent="0.15">
      <c r="B2311" s="69"/>
      <c r="C2311" s="70"/>
      <c r="D2311" s="71"/>
    </row>
    <row r="2312" spans="2:4" x14ac:dyDescent="0.15">
      <c r="B2312" s="69"/>
      <c r="C2312" s="70"/>
      <c r="D2312" s="71"/>
    </row>
    <row r="2313" spans="2:4" x14ac:dyDescent="0.15">
      <c r="B2313" s="69"/>
      <c r="C2313" s="70"/>
      <c r="D2313" s="71"/>
    </row>
    <row r="2314" spans="2:4" x14ac:dyDescent="0.15">
      <c r="B2314" s="69"/>
      <c r="C2314" s="70"/>
      <c r="D2314" s="71"/>
    </row>
    <row r="2315" spans="2:4" x14ac:dyDescent="0.15">
      <c r="B2315" s="69"/>
      <c r="C2315" s="70"/>
      <c r="D2315" s="71"/>
    </row>
    <row r="2316" spans="2:4" x14ac:dyDescent="0.15">
      <c r="B2316" s="69"/>
      <c r="C2316" s="70"/>
      <c r="D2316" s="71"/>
    </row>
    <row r="2317" spans="2:4" x14ac:dyDescent="0.15">
      <c r="B2317" s="69"/>
      <c r="C2317" s="70"/>
      <c r="D2317" s="71"/>
    </row>
    <row r="2318" spans="2:4" x14ac:dyDescent="0.15">
      <c r="B2318" s="69"/>
      <c r="C2318" s="70"/>
      <c r="D2318" s="71"/>
    </row>
    <row r="2319" spans="2:4" x14ac:dyDescent="0.15">
      <c r="B2319" s="69"/>
      <c r="C2319" s="70"/>
      <c r="D2319" s="71"/>
    </row>
    <row r="2320" spans="2:4" x14ac:dyDescent="0.15">
      <c r="B2320" s="69"/>
      <c r="C2320" s="70"/>
      <c r="D2320" s="71"/>
    </row>
    <row r="2321" spans="2:4" x14ac:dyDescent="0.15">
      <c r="B2321" s="69"/>
      <c r="C2321" s="70"/>
      <c r="D2321" s="71"/>
    </row>
    <row r="2322" spans="2:4" x14ac:dyDescent="0.15">
      <c r="B2322" s="69"/>
      <c r="C2322" s="70"/>
      <c r="D2322" s="71"/>
    </row>
    <row r="2323" spans="2:4" x14ac:dyDescent="0.15">
      <c r="B2323" s="69"/>
      <c r="C2323" s="70"/>
      <c r="D2323" s="71"/>
    </row>
    <row r="2324" spans="2:4" x14ac:dyDescent="0.15">
      <c r="B2324" s="69"/>
      <c r="C2324" s="70"/>
      <c r="D2324" s="71"/>
    </row>
    <row r="2325" spans="2:4" x14ac:dyDescent="0.15">
      <c r="B2325" s="69"/>
      <c r="C2325" s="70"/>
      <c r="D2325" s="71"/>
    </row>
    <row r="2326" spans="2:4" x14ac:dyDescent="0.15">
      <c r="B2326" s="69"/>
      <c r="C2326" s="70"/>
      <c r="D2326" s="71"/>
    </row>
    <row r="2327" spans="2:4" x14ac:dyDescent="0.15">
      <c r="B2327" s="69"/>
      <c r="C2327" s="70"/>
      <c r="D2327" s="71"/>
    </row>
    <row r="2328" spans="2:4" x14ac:dyDescent="0.15">
      <c r="B2328" s="69"/>
      <c r="C2328" s="70"/>
      <c r="D2328" s="71"/>
    </row>
    <row r="2329" spans="2:4" x14ac:dyDescent="0.15">
      <c r="B2329" s="69"/>
      <c r="C2329" s="70"/>
      <c r="D2329" s="71"/>
    </row>
    <row r="2330" spans="2:4" x14ac:dyDescent="0.15">
      <c r="B2330" s="69"/>
      <c r="C2330" s="70"/>
      <c r="D2330" s="71"/>
    </row>
    <row r="2331" spans="2:4" x14ac:dyDescent="0.15">
      <c r="B2331" s="69"/>
      <c r="C2331" s="70"/>
      <c r="D2331" s="71"/>
    </row>
    <row r="2332" spans="2:4" x14ac:dyDescent="0.15">
      <c r="B2332" s="69"/>
      <c r="C2332" s="70"/>
      <c r="D2332" s="71"/>
    </row>
    <row r="2333" spans="2:4" x14ac:dyDescent="0.15">
      <c r="B2333" s="69"/>
      <c r="C2333" s="70"/>
      <c r="D2333" s="71"/>
    </row>
    <row r="2334" spans="2:4" x14ac:dyDescent="0.15">
      <c r="B2334" s="69"/>
      <c r="C2334" s="70"/>
      <c r="D2334" s="71"/>
    </row>
    <row r="2335" spans="2:4" x14ac:dyDescent="0.15">
      <c r="B2335" s="69"/>
      <c r="C2335" s="70"/>
      <c r="D2335" s="71"/>
    </row>
    <row r="2336" spans="2:4" x14ac:dyDescent="0.15">
      <c r="B2336" s="69"/>
      <c r="C2336" s="70"/>
      <c r="D2336" s="71"/>
    </row>
    <row r="2337" spans="2:4" x14ac:dyDescent="0.15">
      <c r="B2337" s="69"/>
      <c r="C2337" s="70"/>
      <c r="D2337" s="71"/>
    </row>
    <row r="2338" spans="2:4" x14ac:dyDescent="0.15">
      <c r="B2338" s="69"/>
      <c r="C2338" s="70"/>
      <c r="D2338" s="71"/>
    </row>
    <row r="2339" spans="2:4" x14ac:dyDescent="0.15">
      <c r="B2339" s="69"/>
      <c r="C2339" s="70"/>
      <c r="D2339" s="71"/>
    </row>
    <row r="2340" spans="2:4" x14ac:dyDescent="0.15">
      <c r="B2340" s="69"/>
      <c r="C2340" s="70"/>
      <c r="D2340" s="71"/>
    </row>
    <row r="2341" spans="2:4" x14ac:dyDescent="0.15">
      <c r="B2341" s="69"/>
      <c r="C2341" s="70"/>
      <c r="D2341" s="71"/>
    </row>
    <row r="2342" spans="2:4" x14ac:dyDescent="0.15">
      <c r="B2342" s="69"/>
      <c r="C2342" s="70"/>
      <c r="D2342" s="71"/>
    </row>
    <row r="2343" spans="2:4" x14ac:dyDescent="0.15">
      <c r="B2343" s="69"/>
      <c r="C2343" s="70"/>
      <c r="D2343" s="71"/>
    </row>
    <row r="2344" spans="2:4" x14ac:dyDescent="0.15">
      <c r="B2344" s="69"/>
      <c r="C2344" s="70"/>
      <c r="D2344" s="71"/>
    </row>
    <row r="2345" spans="2:4" x14ac:dyDescent="0.15">
      <c r="B2345" s="69"/>
      <c r="C2345" s="70"/>
      <c r="D2345" s="71"/>
    </row>
    <row r="2346" spans="2:4" x14ac:dyDescent="0.15">
      <c r="B2346" s="69"/>
      <c r="C2346" s="70"/>
      <c r="D2346" s="71"/>
    </row>
    <row r="2347" spans="2:4" x14ac:dyDescent="0.15">
      <c r="B2347" s="69"/>
      <c r="C2347" s="70"/>
      <c r="D2347" s="71"/>
    </row>
    <row r="2348" spans="2:4" x14ac:dyDescent="0.15">
      <c r="B2348" s="69"/>
      <c r="C2348" s="70"/>
      <c r="D2348" s="71"/>
    </row>
    <row r="2349" spans="2:4" x14ac:dyDescent="0.15">
      <c r="B2349" s="69"/>
      <c r="C2349" s="70"/>
      <c r="D2349" s="71"/>
    </row>
    <row r="2350" spans="2:4" x14ac:dyDescent="0.15">
      <c r="B2350" s="69"/>
      <c r="C2350" s="70"/>
      <c r="D2350" s="71"/>
    </row>
    <row r="2351" spans="2:4" x14ac:dyDescent="0.15">
      <c r="B2351" s="69"/>
      <c r="C2351" s="70"/>
      <c r="D2351" s="71"/>
    </row>
    <row r="2352" spans="2:4" x14ac:dyDescent="0.15">
      <c r="B2352" s="69"/>
      <c r="C2352" s="70"/>
      <c r="D2352" s="71"/>
    </row>
    <row r="2353" spans="2:4" x14ac:dyDescent="0.15">
      <c r="B2353" s="69"/>
      <c r="C2353" s="70"/>
      <c r="D2353" s="71"/>
    </row>
    <row r="2354" spans="2:4" x14ac:dyDescent="0.15">
      <c r="B2354" s="69"/>
      <c r="C2354" s="70"/>
      <c r="D2354" s="71"/>
    </row>
    <row r="2355" spans="2:4" x14ac:dyDescent="0.15">
      <c r="B2355" s="69"/>
      <c r="C2355" s="70"/>
      <c r="D2355" s="71"/>
    </row>
    <row r="2356" spans="2:4" x14ac:dyDescent="0.15">
      <c r="B2356" s="69"/>
      <c r="C2356" s="70"/>
      <c r="D2356" s="71"/>
    </row>
    <row r="2357" spans="2:4" x14ac:dyDescent="0.15">
      <c r="B2357" s="69"/>
      <c r="C2357" s="70"/>
      <c r="D2357" s="71"/>
    </row>
    <row r="2358" spans="2:4" x14ac:dyDescent="0.15">
      <c r="B2358" s="69"/>
      <c r="C2358" s="70"/>
      <c r="D2358" s="71"/>
    </row>
    <row r="2359" spans="2:4" x14ac:dyDescent="0.15">
      <c r="B2359" s="69"/>
      <c r="C2359" s="70"/>
      <c r="D2359" s="71"/>
    </row>
    <row r="2360" spans="2:4" x14ac:dyDescent="0.15">
      <c r="B2360" s="69"/>
      <c r="C2360" s="70"/>
      <c r="D2360" s="71"/>
    </row>
    <row r="2361" spans="2:4" x14ac:dyDescent="0.15">
      <c r="B2361" s="69"/>
      <c r="C2361" s="70"/>
      <c r="D2361" s="71"/>
    </row>
    <row r="2362" spans="2:4" x14ac:dyDescent="0.15">
      <c r="B2362" s="69"/>
      <c r="C2362" s="70"/>
      <c r="D2362" s="71"/>
    </row>
    <row r="2363" spans="2:4" x14ac:dyDescent="0.15">
      <c r="B2363" s="69"/>
      <c r="C2363" s="70"/>
      <c r="D2363" s="71"/>
    </row>
    <row r="2364" spans="2:4" x14ac:dyDescent="0.15">
      <c r="B2364" s="69"/>
      <c r="C2364" s="70"/>
      <c r="D2364" s="71"/>
    </row>
    <row r="2365" spans="2:4" x14ac:dyDescent="0.15">
      <c r="B2365" s="69"/>
      <c r="C2365" s="70"/>
      <c r="D2365" s="71"/>
    </row>
    <row r="2366" spans="2:4" x14ac:dyDescent="0.15">
      <c r="B2366" s="69"/>
      <c r="C2366" s="70"/>
      <c r="D2366" s="71"/>
    </row>
    <row r="2367" spans="2:4" x14ac:dyDescent="0.15">
      <c r="B2367" s="69"/>
      <c r="C2367" s="70"/>
      <c r="D2367" s="71"/>
    </row>
    <row r="2368" spans="2:4" x14ac:dyDescent="0.15">
      <c r="B2368" s="69"/>
      <c r="C2368" s="70"/>
      <c r="D2368" s="71"/>
    </row>
    <row r="2369" spans="2:4" x14ac:dyDescent="0.15">
      <c r="B2369" s="69"/>
      <c r="C2369" s="70"/>
      <c r="D2369" s="71"/>
    </row>
    <row r="2370" spans="2:4" x14ac:dyDescent="0.15">
      <c r="B2370" s="69"/>
      <c r="C2370" s="70"/>
      <c r="D2370" s="71"/>
    </row>
    <row r="2371" spans="2:4" x14ac:dyDescent="0.15">
      <c r="B2371" s="69"/>
      <c r="C2371" s="70"/>
      <c r="D2371" s="71"/>
    </row>
    <row r="2372" spans="2:4" x14ac:dyDescent="0.15">
      <c r="B2372" s="69"/>
      <c r="C2372" s="70"/>
      <c r="D2372" s="71"/>
    </row>
    <row r="2373" spans="2:4" x14ac:dyDescent="0.15">
      <c r="B2373" s="69"/>
      <c r="C2373" s="70"/>
      <c r="D2373" s="71"/>
    </row>
    <row r="2374" spans="2:4" x14ac:dyDescent="0.15">
      <c r="B2374" s="69"/>
      <c r="C2374" s="70"/>
      <c r="D2374" s="71"/>
    </row>
    <row r="2375" spans="2:4" x14ac:dyDescent="0.15">
      <c r="B2375" s="69"/>
      <c r="C2375" s="70"/>
      <c r="D2375" s="71"/>
    </row>
    <row r="2376" spans="2:4" x14ac:dyDescent="0.15">
      <c r="B2376" s="69"/>
      <c r="C2376" s="70"/>
      <c r="D2376" s="71"/>
    </row>
    <row r="2377" spans="2:4" x14ac:dyDescent="0.15">
      <c r="B2377" s="69"/>
      <c r="C2377" s="70"/>
      <c r="D2377" s="71"/>
    </row>
    <row r="2378" spans="2:4" x14ac:dyDescent="0.15">
      <c r="B2378" s="69"/>
      <c r="C2378" s="70"/>
      <c r="D2378" s="71"/>
    </row>
    <row r="2379" spans="2:4" x14ac:dyDescent="0.15">
      <c r="B2379" s="69"/>
      <c r="C2379" s="70"/>
      <c r="D2379" s="71"/>
    </row>
    <row r="2380" spans="2:4" x14ac:dyDescent="0.15">
      <c r="B2380" s="69"/>
      <c r="C2380" s="70"/>
      <c r="D2380" s="71"/>
    </row>
    <row r="2381" spans="2:4" x14ac:dyDescent="0.15">
      <c r="B2381" s="69"/>
      <c r="C2381" s="70"/>
      <c r="D2381" s="71"/>
    </row>
    <row r="2382" spans="2:4" x14ac:dyDescent="0.15">
      <c r="B2382" s="69"/>
      <c r="C2382" s="70"/>
      <c r="D2382" s="71"/>
    </row>
    <row r="2383" spans="2:4" x14ac:dyDescent="0.15">
      <c r="B2383" s="69"/>
      <c r="C2383" s="70"/>
      <c r="D2383" s="71"/>
    </row>
    <row r="2384" spans="2:4" x14ac:dyDescent="0.15">
      <c r="B2384" s="69"/>
      <c r="C2384" s="70"/>
      <c r="D2384" s="71"/>
    </row>
    <row r="2385" spans="2:4" x14ac:dyDescent="0.15">
      <c r="B2385" s="69"/>
      <c r="C2385" s="70"/>
      <c r="D2385" s="71"/>
    </row>
    <row r="2386" spans="2:4" x14ac:dyDescent="0.15">
      <c r="B2386" s="69"/>
      <c r="C2386" s="70"/>
      <c r="D2386" s="71"/>
    </row>
    <row r="2387" spans="2:4" x14ac:dyDescent="0.15">
      <c r="B2387" s="69"/>
      <c r="C2387" s="70"/>
      <c r="D2387" s="71"/>
    </row>
    <row r="2388" spans="2:4" x14ac:dyDescent="0.15">
      <c r="B2388" s="69"/>
      <c r="C2388" s="70"/>
      <c r="D2388" s="71"/>
    </row>
    <row r="2389" spans="2:4" x14ac:dyDescent="0.15">
      <c r="B2389" s="69"/>
      <c r="C2389" s="70"/>
      <c r="D2389" s="71"/>
    </row>
    <row r="2390" spans="2:4" x14ac:dyDescent="0.15">
      <c r="B2390" s="69"/>
      <c r="C2390" s="70"/>
      <c r="D2390" s="71"/>
    </row>
    <row r="2391" spans="2:4" x14ac:dyDescent="0.15">
      <c r="B2391" s="69"/>
      <c r="C2391" s="70"/>
      <c r="D2391" s="71"/>
    </row>
    <row r="2392" spans="2:4" x14ac:dyDescent="0.15">
      <c r="B2392" s="69"/>
      <c r="C2392" s="70"/>
      <c r="D2392" s="71"/>
    </row>
    <row r="2393" spans="2:4" x14ac:dyDescent="0.15">
      <c r="B2393" s="69"/>
      <c r="C2393" s="70"/>
      <c r="D2393" s="71"/>
    </row>
    <row r="2394" spans="2:4" x14ac:dyDescent="0.15">
      <c r="B2394" s="69"/>
      <c r="C2394" s="70"/>
      <c r="D2394" s="71"/>
    </row>
    <row r="2395" spans="2:4" x14ac:dyDescent="0.15">
      <c r="B2395" s="69"/>
      <c r="C2395" s="70"/>
      <c r="D2395" s="71"/>
    </row>
    <row r="2396" spans="2:4" x14ac:dyDescent="0.15">
      <c r="B2396" s="69"/>
      <c r="C2396" s="70"/>
      <c r="D2396" s="71"/>
    </row>
    <row r="2397" spans="2:4" x14ac:dyDescent="0.15">
      <c r="B2397" s="69"/>
      <c r="C2397" s="70"/>
      <c r="D2397" s="71"/>
    </row>
    <row r="2398" spans="2:4" x14ac:dyDescent="0.15">
      <c r="B2398" s="69"/>
      <c r="C2398" s="70"/>
      <c r="D2398" s="71"/>
    </row>
    <row r="2399" spans="2:4" x14ac:dyDescent="0.15">
      <c r="B2399" s="69"/>
      <c r="C2399" s="70"/>
      <c r="D2399" s="71"/>
    </row>
    <row r="2400" spans="2:4" x14ac:dyDescent="0.15">
      <c r="B2400" s="69"/>
      <c r="C2400" s="70"/>
      <c r="D2400" s="71"/>
    </row>
    <row r="2401" spans="2:4" x14ac:dyDescent="0.15">
      <c r="B2401" s="69"/>
      <c r="C2401" s="70"/>
      <c r="D2401" s="71"/>
    </row>
    <row r="2402" spans="2:4" x14ac:dyDescent="0.15">
      <c r="B2402" s="69"/>
      <c r="C2402" s="70"/>
      <c r="D2402" s="71"/>
    </row>
    <row r="2403" spans="2:4" x14ac:dyDescent="0.15">
      <c r="B2403" s="69"/>
      <c r="C2403" s="70"/>
      <c r="D2403" s="71"/>
    </row>
    <row r="2404" spans="2:4" x14ac:dyDescent="0.15">
      <c r="B2404" s="69"/>
      <c r="C2404" s="70"/>
      <c r="D2404" s="71"/>
    </row>
    <row r="2405" spans="2:4" x14ac:dyDescent="0.15">
      <c r="B2405" s="69"/>
      <c r="C2405" s="70"/>
      <c r="D2405" s="71"/>
    </row>
    <row r="2406" spans="2:4" x14ac:dyDescent="0.15">
      <c r="B2406" s="69"/>
      <c r="C2406" s="70"/>
      <c r="D2406" s="71"/>
    </row>
    <row r="2407" spans="2:4" x14ac:dyDescent="0.15">
      <c r="B2407" s="69"/>
      <c r="C2407" s="70"/>
      <c r="D2407" s="71"/>
    </row>
    <row r="2408" spans="2:4" x14ac:dyDescent="0.15">
      <c r="B2408" s="69"/>
      <c r="C2408" s="70"/>
      <c r="D2408" s="71"/>
    </row>
    <row r="2409" spans="2:4" x14ac:dyDescent="0.15">
      <c r="B2409" s="69"/>
      <c r="C2409" s="70"/>
      <c r="D2409" s="71"/>
    </row>
    <row r="2410" spans="2:4" x14ac:dyDescent="0.15">
      <c r="B2410" s="69"/>
      <c r="C2410" s="70"/>
      <c r="D2410" s="71"/>
    </row>
    <row r="2411" spans="2:4" x14ac:dyDescent="0.15">
      <c r="B2411" s="69"/>
      <c r="C2411" s="70"/>
      <c r="D2411" s="71"/>
    </row>
    <row r="2412" spans="2:4" x14ac:dyDescent="0.15">
      <c r="B2412" s="69"/>
      <c r="C2412" s="70"/>
      <c r="D2412" s="71"/>
    </row>
    <row r="2413" spans="2:4" x14ac:dyDescent="0.15">
      <c r="B2413" s="69"/>
      <c r="C2413" s="70"/>
      <c r="D2413" s="71"/>
    </row>
    <row r="2414" spans="2:4" x14ac:dyDescent="0.15">
      <c r="B2414" s="69"/>
      <c r="C2414" s="70"/>
      <c r="D2414" s="71"/>
    </row>
    <row r="2415" spans="2:4" x14ac:dyDescent="0.15">
      <c r="B2415" s="69"/>
      <c r="C2415" s="70"/>
      <c r="D2415" s="71"/>
    </row>
    <row r="2416" spans="2:4" x14ac:dyDescent="0.15">
      <c r="B2416" s="69"/>
      <c r="C2416" s="70"/>
      <c r="D2416" s="71"/>
    </row>
    <row r="2417" spans="2:4" x14ac:dyDescent="0.15">
      <c r="B2417" s="69"/>
      <c r="C2417" s="70"/>
      <c r="D2417" s="71"/>
    </row>
    <row r="2418" spans="2:4" x14ac:dyDescent="0.15">
      <c r="B2418" s="69"/>
      <c r="C2418" s="70"/>
      <c r="D2418" s="71"/>
    </row>
    <row r="2419" spans="2:4" x14ac:dyDescent="0.15">
      <c r="B2419" s="69"/>
      <c r="C2419" s="70"/>
      <c r="D2419" s="71"/>
    </row>
    <row r="2420" spans="2:4" x14ac:dyDescent="0.15">
      <c r="B2420" s="69"/>
      <c r="C2420" s="70"/>
      <c r="D2420" s="71"/>
    </row>
    <row r="2421" spans="2:4" x14ac:dyDescent="0.15">
      <c r="B2421" s="69"/>
      <c r="C2421" s="70"/>
      <c r="D2421" s="71"/>
    </row>
    <row r="2422" spans="2:4" x14ac:dyDescent="0.15">
      <c r="B2422" s="69"/>
      <c r="C2422" s="70"/>
      <c r="D2422" s="71"/>
    </row>
    <row r="2423" spans="2:4" x14ac:dyDescent="0.15">
      <c r="B2423" s="69"/>
      <c r="C2423" s="70"/>
      <c r="D2423" s="71"/>
    </row>
    <row r="2424" spans="2:4" x14ac:dyDescent="0.15">
      <c r="B2424" s="69"/>
      <c r="C2424" s="70"/>
      <c r="D2424" s="71"/>
    </row>
    <row r="2425" spans="2:4" x14ac:dyDescent="0.15">
      <c r="B2425" s="69"/>
      <c r="C2425" s="70"/>
      <c r="D2425" s="71"/>
    </row>
    <row r="2426" spans="2:4" x14ac:dyDescent="0.15">
      <c r="B2426" s="69"/>
      <c r="C2426" s="70"/>
      <c r="D2426" s="71"/>
    </row>
    <row r="2427" spans="2:4" x14ac:dyDescent="0.15">
      <c r="B2427" s="69"/>
      <c r="C2427" s="70"/>
      <c r="D2427" s="71"/>
    </row>
    <row r="2428" spans="2:4" x14ac:dyDescent="0.15">
      <c r="B2428" s="69"/>
      <c r="C2428" s="70"/>
      <c r="D2428" s="71"/>
    </row>
    <row r="2429" spans="2:4" x14ac:dyDescent="0.15">
      <c r="B2429" s="69"/>
      <c r="C2429" s="70"/>
      <c r="D2429" s="71"/>
    </row>
    <row r="2430" spans="2:4" x14ac:dyDescent="0.15">
      <c r="B2430" s="69"/>
      <c r="C2430" s="70"/>
      <c r="D2430" s="71"/>
    </row>
    <row r="2431" spans="2:4" x14ac:dyDescent="0.15">
      <c r="B2431" s="69"/>
      <c r="C2431" s="70"/>
      <c r="D2431" s="71"/>
    </row>
    <row r="2432" spans="2:4" x14ac:dyDescent="0.15">
      <c r="B2432" s="69"/>
      <c r="C2432" s="70"/>
      <c r="D2432" s="71"/>
    </row>
    <row r="2433" spans="2:4" x14ac:dyDescent="0.15">
      <c r="B2433" s="69"/>
      <c r="C2433" s="70"/>
      <c r="D2433" s="71"/>
    </row>
    <row r="2434" spans="2:4" x14ac:dyDescent="0.15">
      <c r="B2434" s="69"/>
      <c r="C2434" s="70"/>
      <c r="D2434" s="71"/>
    </row>
    <row r="2435" spans="2:4" x14ac:dyDescent="0.15">
      <c r="B2435" s="69"/>
      <c r="C2435" s="70"/>
      <c r="D2435" s="71"/>
    </row>
    <row r="2436" spans="2:4" x14ac:dyDescent="0.15">
      <c r="B2436" s="69"/>
      <c r="C2436" s="70"/>
      <c r="D2436" s="71"/>
    </row>
    <row r="2437" spans="2:4" x14ac:dyDescent="0.15">
      <c r="B2437" s="69"/>
      <c r="C2437" s="70"/>
      <c r="D2437" s="71"/>
    </row>
    <row r="2438" spans="2:4" x14ac:dyDescent="0.15">
      <c r="B2438" s="69"/>
      <c r="C2438" s="70"/>
      <c r="D2438" s="71"/>
    </row>
    <row r="2439" spans="2:4" x14ac:dyDescent="0.15">
      <c r="B2439" s="69"/>
      <c r="C2439" s="70"/>
      <c r="D2439" s="71"/>
    </row>
    <row r="2440" spans="2:4" x14ac:dyDescent="0.15">
      <c r="B2440" s="69"/>
      <c r="C2440" s="70"/>
      <c r="D2440" s="71"/>
    </row>
    <row r="2441" spans="2:4" x14ac:dyDescent="0.15">
      <c r="B2441" s="69"/>
      <c r="C2441" s="70"/>
      <c r="D2441" s="71"/>
    </row>
    <row r="2442" spans="2:4" x14ac:dyDescent="0.15">
      <c r="B2442" s="69"/>
      <c r="C2442" s="70"/>
      <c r="D2442" s="71"/>
    </row>
    <row r="2443" spans="2:4" x14ac:dyDescent="0.15">
      <c r="B2443" s="69"/>
      <c r="C2443" s="70"/>
      <c r="D2443" s="71"/>
    </row>
    <row r="2444" spans="2:4" x14ac:dyDescent="0.15">
      <c r="B2444" s="69"/>
      <c r="C2444" s="70"/>
      <c r="D2444" s="71"/>
    </row>
    <row r="2445" spans="2:4" x14ac:dyDescent="0.15">
      <c r="B2445" s="69"/>
      <c r="C2445" s="70"/>
      <c r="D2445" s="71"/>
    </row>
    <row r="2446" spans="2:4" x14ac:dyDescent="0.15">
      <c r="B2446" s="69"/>
      <c r="C2446" s="70"/>
      <c r="D2446" s="71"/>
    </row>
    <row r="2447" spans="2:4" x14ac:dyDescent="0.15">
      <c r="B2447" s="69"/>
      <c r="C2447" s="70"/>
      <c r="D2447" s="71"/>
    </row>
    <row r="2448" spans="2:4" x14ac:dyDescent="0.15">
      <c r="B2448" s="69"/>
      <c r="C2448" s="70"/>
      <c r="D2448" s="71"/>
    </row>
    <row r="2449" spans="2:4" x14ac:dyDescent="0.15">
      <c r="B2449" s="69"/>
      <c r="C2449" s="70"/>
      <c r="D2449" s="71"/>
    </row>
    <row r="2450" spans="2:4" x14ac:dyDescent="0.15">
      <c r="B2450" s="69"/>
      <c r="C2450" s="70"/>
      <c r="D2450" s="71"/>
    </row>
    <row r="2451" spans="2:4" x14ac:dyDescent="0.15">
      <c r="B2451" s="69"/>
      <c r="C2451" s="70"/>
      <c r="D2451" s="71"/>
    </row>
    <row r="2452" spans="2:4" x14ac:dyDescent="0.15">
      <c r="B2452" s="69"/>
      <c r="C2452" s="70"/>
      <c r="D2452" s="71"/>
    </row>
    <row r="2453" spans="2:4" x14ac:dyDescent="0.15">
      <c r="B2453" s="69"/>
      <c r="C2453" s="70"/>
      <c r="D2453" s="71"/>
    </row>
    <row r="2454" spans="2:4" x14ac:dyDescent="0.15">
      <c r="B2454" s="69"/>
      <c r="C2454" s="70"/>
      <c r="D2454" s="71"/>
    </row>
    <row r="2455" spans="2:4" x14ac:dyDescent="0.15">
      <c r="B2455" s="69"/>
      <c r="C2455" s="70"/>
      <c r="D2455" s="71"/>
    </row>
    <row r="2456" spans="2:4" x14ac:dyDescent="0.15">
      <c r="B2456" s="69"/>
      <c r="C2456" s="70"/>
      <c r="D2456" s="71"/>
    </row>
    <row r="2457" spans="2:4" x14ac:dyDescent="0.15">
      <c r="B2457" s="69"/>
      <c r="C2457" s="70"/>
      <c r="D2457" s="71"/>
    </row>
    <row r="2458" spans="2:4" x14ac:dyDescent="0.15">
      <c r="B2458" s="69"/>
      <c r="C2458" s="70"/>
      <c r="D2458" s="71"/>
    </row>
    <row r="2459" spans="2:4" x14ac:dyDescent="0.15">
      <c r="B2459" s="69"/>
      <c r="C2459" s="70"/>
      <c r="D2459" s="71"/>
    </row>
    <row r="2460" spans="2:4" x14ac:dyDescent="0.15">
      <c r="B2460" s="69"/>
      <c r="C2460" s="70"/>
      <c r="D2460" s="71"/>
    </row>
    <row r="2461" spans="2:4" x14ac:dyDescent="0.15">
      <c r="B2461" s="69"/>
      <c r="C2461" s="70"/>
      <c r="D2461" s="71"/>
    </row>
    <row r="2462" spans="2:4" x14ac:dyDescent="0.15">
      <c r="B2462" s="69"/>
      <c r="C2462" s="70"/>
      <c r="D2462" s="71"/>
    </row>
    <row r="2463" spans="2:4" x14ac:dyDescent="0.15">
      <c r="B2463" s="69"/>
      <c r="C2463" s="70"/>
      <c r="D2463" s="71"/>
    </row>
    <row r="2464" spans="2:4" x14ac:dyDescent="0.15">
      <c r="B2464" s="69"/>
      <c r="C2464" s="70"/>
      <c r="D2464" s="71"/>
    </row>
    <row r="2465" spans="2:4" x14ac:dyDescent="0.15">
      <c r="B2465" s="69"/>
      <c r="C2465" s="70"/>
      <c r="D2465" s="71"/>
    </row>
    <row r="2466" spans="2:4" x14ac:dyDescent="0.15">
      <c r="B2466" s="69"/>
      <c r="C2466" s="70"/>
      <c r="D2466" s="71"/>
    </row>
    <row r="2467" spans="2:4" x14ac:dyDescent="0.15">
      <c r="B2467" s="69"/>
      <c r="C2467" s="70"/>
      <c r="D2467" s="71"/>
    </row>
    <row r="2468" spans="2:4" x14ac:dyDescent="0.15">
      <c r="B2468" s="69"/>
      <c r="C2468" s="70"/>
      <c r="D2468" s="71"/>
    </row>
    <row r="2469" spans="2:4" x14ac:dyDescent="0.15">
      <c r="B2469" s="69"/>
      <c r="C2469" s="70"/>
      <c r="D2469" s="71"/>
    </row>
    <row r="2470" spans="2:4" x14ac:dyDescent="0.15">
      <c r="B2470" s="69"/>
      <c r="C2470" s="70"/>
      <c r="D2470" s="71"/>
    </row>
    <row r="2471" spans="2:4" x14ac:dyDescent="0.15">
      <c r="B2471" s="69"/>
      <c r="C2471" s="70"/>
      <c r="D2471" s="71"/>
    </row>
    <row r="2472" spans="2:4" x14ac:dyDescent="0.15">
      <c r="B2472" s="69"/>
      <c r="C2472" s="70"/>
      <c r="D2472" s="71"/>
    </row>
    <row r="2473" spans="2:4" x14ac:dyDescent="0.15">
      <c r="B2473" s="69"/>
      <c r="C2473" s="70"/>
      <c r="D2473" s="71"/>
    </row>
    <row r="2474" spans="2:4" x14ac:dyDescent="0.15">
      <c r="B2474" s="69"/>
      <c r="C2474" s="70"/>
      <c r="D2474" s="71"/>
    </row>
    <row r="2475" spans="2:4" x14ac:dyDescent="0.15">
      <c r="B2475" s="69"/>
      <c r="C2475" s="70"/>
      <c r="D2475" s="71"/>
    </row>
    <row r="2476" spans="2:4" x14ac:dyDescent="0.15">
      <c r="B2476" s="69"/>
      <c r="C2476" s="70"/>
      <c r="D2476" s="71"/>
    </row>
    <row r="2477" spans="2:4" x14ac:dyDescent="0.15">
      <c r="B2477" s="69"/>
      <c r="C2477" s="70"/>
      <c r="D2477" s="71"/>
    </row>
    <row r="2478" spans="2:4" x14ac:dyDescent="0.15">
      <c r="B2478" s="69"/>
      <c r="C2478" s="70"/>
      <c r="D2478" s="71"/>
    </row>
    <row r="2479" spans="2:4" x14ac:dyDescent="0.15">
      <c r="B2479" s="69"/>
      <c r="C2479" s="70"/>
      <c r="D2479" s="71"/>
    </row>
    <row r="2480" spans="2:4" x14ac:dyDescent="0.15">
      <c r="B2480" s="69"/>
      <c r="C2480" s="70"/>
      <c r="D2480" s="71"/>
    </row>
    <row r="2481" spans="2:4" x14ac:dyDescent="0.15">
      <c r="B2481" s="69"/>
      <c r="C2481" s="70"/>
      <c r="D2481" s="71"/>
    </row>
    <row r="2482" spans="2:4" x14ac:dyDescent="0.15">
      <c r="B2482" s="69"/>
      <c r="C2482" s="70"/>
      <c r="D2482" s="71"/>
    </row>
    <row r="2483" spans="2:4" x14ac:dyDescent="0.15">
      <c r="B2483" s="69"/>
      <c r="C2483" s="70"/>
      <c r="D2483" s="71"/>
    </row>
    <row r="2484" spans="2:4" x14ac:dyDescent="0.15">
      <c r="B2484" s="69"/>
      <c r="C2484" s="70"/>
      <c r="D2484" s="71"/>
    </row>
    <row r="2485" spans="2:4" x14ac:dyDescent="0.15">
      <c r="B2485" s="69"/>
      <c r="C2485" s="70"/>
      <c r="D2485" s="71"/>
    </row>
    <row r="2486" spans="2:4" x14ac:dyDescent="0.15">
      <c r="B2486" s="69"/>
      <c r="C2486" s="70"/>
      <c r="D2486" s="71"/>
    </row>
    <row r="2487" spans="2:4" x14ac:dyDescent="0.15">
      <c r="B2487" s="69"/>
      <c r="C2487" s="70"/>
      <c r="D2487" s="71"/>
    </row>
    <row r="2488" spans="2:4" x14ac:dyDescent="0.15">
      <c r="B2488" s="69"/>
      <c r="C2488" s="70"/>
      <c r="D2488" s="71"/>
    </row>
    <row r="2489" spans="2:4" x14ac:dyDescent="0.15">
      <c r="B2489" s="69"/>
      <c r="C2489" s="70"/>
      <c r="D2489" s="71"/>
    </row>
    <row r="2490" spans="2:4" x14ac:dyDescent="0.15">
      <c r="B2490" s="69"/>
      <c r="C2490" s="70"/>
      <c r="D2490" s="71"/>
    </row>
    <row r="2491" spans="2:4" x14ac:dyDescent="0.15">
      <c r="B2491" s="69"/>
      <c r="C2491" s="70"/>
      <c r="D2491" s="71"/>
    </row>
    <row r="2492" spans="2:4" x14ac:dyDescent="0.15">
      <c r="B2492" s="69"/>
      <c r="C2492" s="70"/>
      <c r="D2492" s="71"/>
    </row>
    <row r="2493" spans="2:4" x14ac:dyDescent="0.15">
      <c r="B2493" s="69"/>
      <c r="C2493" s="70"/>
      <c r="D2493" s="71"/>
    </row>
    <row r="2494" spans="2:4" x14ac:dyDescent="0.15">
      <c r="B2494" s="69"/>
      <c r="C2494" s="70"/>
      <c r="D2494" s="71"/>
    </row>
    <row r="2495" spans="2:4" x14ac:dyDescent="0.15">
      <c r="B2495" s="69"/>
      <c r="C2495" s="70"/>
      <c r="D2495" s="71"/>
    </row>
    <row r="2496" spans="2:4" x14ac:dyDescent="0.15">
      <c r="B2496" s="69"/>
      <c r="C2496" s="70"/>
      <c r="D2496" s="71"/>
    </row>
    <row r="2497" spans="2:4" x14ac:dyDescent="0.15">
      <c r="B2497" s="69"/>
      <c r="C2497" s="70"/>
      <c r="D2497" s="71"/>
    </row>
    <row r="2498" spans="2:4" x14ac:dyDescent="0.15">
      <c r="B2498" s="69"/>
      <c r="C2498" s="70"/>
      <c r="D2498" s="71"/>
    </row>
    <row r="2499" spans="2:4" x14ac:dyDescent="0.15">
      <c r="B2499" s="69"/>
      <c r="C2499" s="70"/>
      <c r="D2499" s="71"/>
    </row>
    <row r="2500" spans="2:4" x14ac:dyDescent="0.15">
      <c r="B2500" s="69"/>
      <c r="C2500" s="70"/>
      <c r="D2500" s="71"/>
    </row>
    <row r="2501" spans="2:4" x14ac:dyDescent="0.15">
      <c r="B2501" s="69"/>
      <c r="C2501" s="70"/>
      <c r="D2501" s="71"/>
    </row>
    <row r="2502" spans="2:4" x14ac:dyDescent="0.15">
      <c r="B2502" s="69"/>
      <c r="C2502" s="70"/>
      <c r="D2502" s="71"/>
    </row>
    <row r="2503" spans="2:4" x14ac:dyDescent="0.15">
      <c r="B2503" s="69"/>
      <c r="C2503" s="70"/>
      <c r="D2503" s="71"/>
    </row>
    <row r="2504" spans="2:4" x14ac:dyDescent="0.15">
      <c r="B2504" s="69"/>
      <c r="C2504" s="70"/>
      <c r="D2504" s="71"/>
    </row>
    <row r="2505" spans="2:4" x14ac:dyDescent="0.15">
      <c r="B2505" s="69"/>
      <c r="C2505" s="70"/>
      <c r="D2505" s="71"/>
    </row>
    <row r="2506" spans="2:4" x14ac:dyDescent="0.15">
      <c r="B2506" s="69"/>
      <c r="C2506" s="70"/>
      <c r="D2506" s="71"/>
    </row>
    <row r="2507" spans="2:4" x14ac:dyDescent="0.15">
      <c r="B2507" s="69"/>
      <c r="C2507" s="70"/>
      <c r="D2507" s="71"/>
    </row>
    <row r="2508" spans="2:4" x14ac:dyDescent="0.15">
      <c r="B2508" s="69"/>
      <c r="C2508" s="70"/>
      <c r="D2508" s="71"/>
    </row>
    <row r="2509" spans="2:4" x14ac:dyDescent="0.15">
      <c r="B2509" s="69"/>
      <c r="C2509" s="70"/>
      <c r="D2509" s="71"/>
    </row>
    <row r="2510" spans="2:4" x14ac:dyDescent="0.15">
      <c r="B2510" s="69"/>
      <c r="C2510" s="70"/>
      <c r="D2510" s="71"/>
    </row>
    <row r="2511" spans="2:4" x14ac:dyDescent="0.15">
      <c r="B2511" s="69"/>
      <c r="C2511" s="70"/>
      <c r="D2511" s="71"/>
    </row>
    <row r="2512" spans="2:4" x14ac:dyDescent="0.15">
      <c r="B2512" s="69"/>
      <c r="C2512" s="70"/>
      <c r="D2512" s="71"/>
    </row>
    <row r="2513" spans="2:4" x14ac:dyDescent="0.15">
      <c r="B2513" s="69"/>
      <c r="C2513" s="70"/>
      <c r="D2513" s="71"/>
    </row>
    <row r="2514" spans="2:4" x14ac:dyDescent="0.15">
      <c r="B2514" s="69"/>
      <c r="C2514" s="70"/>
      <c r="D2514" s="71"/>
    </row>
    <row r="2515" spans="2:4" x14ac:dyDescent="0.15">
      <c r="B2515" s="69"/>
      <c r="C2515" s="70"/>
      <c r="D2515" s="71"/>
    </row>
    <row r="2516" spans="2:4" x14ac:dyDescent="0.15">
      <c r="B2516" s="69"/>
      <c r="C2516" s="70"/>
      <c r="D2516" s="71"/>
    </row>
    <row r="2517" spans="2:4" x14ac:dyDescent="0.15">
      <c r="B2517" s="69"/>
      <c r="C2517" s="70"/>
      <c r="D2517" s="71"/>
    </row>
    <row r="2518" spans="2:4" x14ac:dyDescent="0.15">
      <c r="B2518" s="69"/>
      <c r="C2518" s="70"/>
      <c r="D2518" s="71"/>
    </row>
    <row r="2519" spans="2:4" x14ac:dyDescent="0.15">
      <c r="B2519" s="69"/>
      <c r="C2519" s="70"/>
      <c r="D2519" s="71"/>
    </row>
    <row r="2520" spans="2:4" x14ac:dyDescent="0.15">
      <c r="B2520" s="69"/>
      <c r="C2520" s="70"/>
      <c r="D2520" s="71"/>
    </row>
    <row r="2521" spans="2:4" x14ac:dyDescent="0.15">
      <c r="B2521" s="69"/>
      <c r="C2521" s="70"/>
      <c r="D2521" s="71"/>
    </row>
    <row r="2522" spans="2:4" x14ac:dyDescent="0.15">
      <c r="B2522" s="69"/>
      <c r="C2522" s="70"/>
      <c r="D2522" s="71"/>
    </row>
    <row r="2523" spans="2:4" x14ac:dyDescent="0.15">
      <c r="B2523" s="69"/>
      <c r="C2523" s="70"/>
      <c r="D2523" s="71"/>
    </row>
    <row r="2524" spans="2:4" x14ac:dyDescent="0.15">
      <c r="B2524" s="69"/>
      <c r="C2524" s="70"/>
      <c r="D2524" s="71"/>
    </row>
    <row r="2525" spans="2:4" x14ac:dyDescent="0.15">
      <c r="B2525" s="69"/>
      <c r="C2525" s="70"/>
      <c r="D2525" s="71"/>
    </row>
    <row r="2526" spans="2:4" x14ac:dyDescent="0.15">
      <c r="B2526" s="69"/>
      <c r="C2526" s="70"/>
      <c r="D2526" s="71"/>
    </row>
    <row r="2527" spans="2:4" x14ac:dyDescent="0.15">
      <c r="B2527" s="69"/>
      <c r="C2527" s="70"/>
      <c r="D2527" s="71"/>
    </row>
    <row r="2528" spans="2:4" x14ac:dyDescent="0.15">
      <c r="B2528" s="69"/>
      <c r="C2528" s="70"/>
      <c r="D2528" s="71"/>
    </row>
    <row r="2529" spans="2:4" x14ac:dyDescent="0.15">
      <c r="B2529" s="69"/>
      <c r="C2529" s="70"/>
      <c r="D2529" s="71"/>
    </row>
    <row r="2530" spans="2:4" x14ac:dyDescent="0.15">
      <c r="B2530" s="69"/>
      <c r="C2530" s="70"/>
      <c r="D2530" s="71"/>
    </row>
    <row r="2531" spans="2:4" x14ac:dyDescent="0.15">
      <c r="B2531" s="69"/>
      <c r="C2531" s="70"/>
      <c r="D2531" s="71"/>
    </row>
    <row r="2532" spans="2:4" x14ac:dyDescent="0.15">
      <c r="B2532" s="69"/>
      <c r="C2532" s="70"/>
      <c r="D2532" s="71"/>
    </row>
    <row r="2533" spans="2:4" x14ac:dyDescent="0.15">
      <c r="B2533" s="69"/>
      <c r="C2533" s="70"/>
      <c r="D2533" s="71"/>
    </row>
    <row r="2534" spans="2:4" x14ac:dyDescent="0.15">
      <c r="B2534" s="69"/>
      <c r="C2534" s="70"/>
      <c r="D2534" s="71"/>
    </row>
    <row r="2535" spans="2:4" x14ac:dyDescent="0.15">
      <c r="B2535" s="69"/>
      <c r="C2535" s="70"/>
      <c r="D2535" s="71"/>
    </row>
    <row r="2536" spans="2:4" x14ac:dyDescent="0.15">
      <c r="B2536" s="69"/>
      <c r="C2536" s="70"/>
      <c r="D2536" s="71"/>
    </row>
    <row r="2537" spans="2:4" x14ac:dyDescent="0.15">
      <c r="B2537" s="69"/>
      <c r="C2537" s="70"/>
      <c r="D2537" s="71"/>
    </row>
    <row r="2538" spans="2:4" x14ac:dyDescent="0.15">
      <c r="B2538" s="69"/>
      <c r="C2538" s="70"/>
      <c r="D2538" s="71"/>
    </row>
    <row r="2539" spans="2:4" x14ac:dyDescent="0.15">
      <c r="B2539" s="69"/>
      <c r="C2539" s="70"/>
      <c r="D2539" s="71"/>
    </row>
    <row r="2540" spans="2:4" x14ac:dyDescent="0.15">
      <c r="B2540" s="69"/>
      <c r="C2540" s="70"/>
      <c r="D2540" s="71"/>
    </row>
    <row r="2541" spans="2:4" x14ac:dyDescent="0.15">
      <c r="B2541" s="69"/>
      <c r="C2541" s="70"/>
      <c r="D2541" s="71"/>
    </row>
    <row r="2542" spans="2:4" x14ac:dyDescent="0.15">
      <c r="B2542" s="69"/>
      <c r="C2542" s="70"/>
      <c r="D2542" s="71"/>
    </row>
    <row r="2543" spans="2:4" x14ac:dyDescent="0.15">
      <c r="B2543" s="69"/>
      <c r="C2543" s="70"/>
      <c r="D2543" s="71"/>
    </row>
    <row r="2544" spans="2:4" x14ac:dyDescent="0.15">
      <c r="B2544" s="69"/>
      <c r="C2544" s="70"/>
      <c r="D2544" s="71"/>
    </row>
    <row r="2545" spans="2:4" x14ac:dyDescent="0.15">
      <c r="B2545" s="69"/>
      <c r="C2545" s="70"/>
      <c r="D2545" s="71"/>
    </row>
    <row r="2546" spans="2:4" x14ac:dyDescent="0.15">
      <c r="B2546" s="69"/>
      <c r="C2546" s="70"/>
      <c r="D2546" s="71"/>
    </row>
    <row r="2547" spans="2:4" x14ac:dyDescent="0.15">
      <c r="B2547" s="69"/>
      <c r="C2547" s="70"/>
      <c r="D2547" s="71"/>
    </row>
    <row r="2548" spans="2:4" x14ac:dyDescent="0.15">
      <c r="B2548" s="69"/>
      <c r="C2548" s="70"/>
      <c r="D2548" s="71"/>
    </row>
    <row r="2549" spans="2:4" x14ac:dyDescent="0.15">
      <c r="B2549" s="69"/>
      <c r="C2549" s="70"/>
      <c r="D2549" s="71"/>
    </row>
    <row r="2550" spans="2:4" x14ac:dyDescent="0.15">
      <c r="B2550" s="69"/>
      <c r="C2550" s="70"/>
      <c r="D2550" s="71"/>
    </row>
    <row r="2551" spans="2:4" x14ac:dyDescent="0.15">
      <c r="B2551" s="69"/>
      <c r="C2551" s="70"/>
      <c r="D2551" s="71"/>
    </row>
    <row r="2552" spans="2:4" x14ac:dyDescent="0.15">
      <c r="B2552" s="69"/>
      <c r="C2552" s="70"/>
      <c r="D2552" s="71"/>
    </row>
    <row r="2553" spans="2:4" x14ac:dyDescent="0.15">
      <c r="B2553" s="69"/>
      <c r="C2553" s="70"/>
      <c r="D2553" s="71"/>
    </row>
    <row r="2554" spans="2:4" x14ac:dyDescent="0.15">
      <c r="B2554" s="69"/>
      <c r="C2554" s="70"/>
      <c r="D2554" s="71"/>
    </row>
    <row r="2555" spans="2:4" x14ac:dyDescent="0.15">
      <c r="B2555" s="69"/>
      <c r="C2555" s="70"/>
      <c r="D2555" s="71"/>
    </row>
    <row r="2556" spans="2:4" x14ac:dyDescent="0.15">
      <c r="B2556" s="69"/>
      <c r="C2556" s="70"/>
      <c r="D2556" s="71"/>
    </row>
    <row r="2557" spans="2:4" x14ac:dyDescent="0.15">
      <c r="B2557" s="69"/>
      <c r="C2557" s="70"/>
      <c r="D2557" s="71"/>
    </row>
    <row r="2558" spans="2:4" x14ac:dyDescent="0.15">
      <c r="B2558" s="69"/>
      <c r="C2558" s="70"/>
      <c r="D2558" s="71"/>
    </row>
    <row r="2559" spans="2:4" x14ac:dyDescent="0.15">
      <c r="B2559" s="69"/>
      <c r="C2559" s="70"/>
      <c r="D2559" s="71"/>
    </row>
    <row r="2560" spans="2:4" x14ac:dyDescent="0.15">
      <c r="B2560" s="69"/>
      <c r="C2560" s="70"/>
      <c r="D2560" s="71"/>
    </row>
    <row r="2561" spans="2:4" x14ac:dyDescent="0.15">
      <c r="B2561" s="69"/>
      <c r="C2561" s="70"/>
      <c r="D2561" s="71"/>
    </row>
    <row r="2562" spans="2:4" x14ac:dyDescent="0.15">
      <c r="B2562" s="69"/>
      <c r="C2562" s="70"/>
      <c r="D2562" s="71"/>
    </row>
    <row r="2563" spans="2:4" x14ac:dyDescent="0.15">
      <c r="B2563" s="69"/>
      <c r="C2563" s="70"/>
      <c r="D2563" s="71"/>
    </row>
    <row r="2564" spans="2:4" x14ac:dyDescent="0.15">
      <c r="B2564" s="69"/>
      <c r="C2564" s="70"/>
      <c r="D2564" s="71"/>
    </row>
    <row r="2565" spans="2:4" x14ac:dyDescent="0.15">
      <c r="B2565" s="69"/>
      <c r="C2565" s="70"/>
      <c r="D2565" s="71"/>
    </row>
    <row r="2566" spans="2:4" x14ac:dyDescent="0.15">
      <c r="B2566" s="69"/>
      <c r="C2566" s="70"/>
      <c r="D2566" s="71"/>
    </row>
    <row r="2567" spans="2:4" x14ac:dyDescent="0.15">
      <c r="B2567" s="69"/>
      <c r="C2567" s="70"/>
      <c r="D2567" s="71"/>
    </row>
    <row r="2568" spans="2:4" x14ac:dyDescent="0.15">
      <c r="B2568" s="69"/>
      <c r="C2568" s="70"/>
      <c r="D2568" s="71"/>
    </row>
    <row r="2569" spans="2:4" x14ac:dyDescent="0.15">
      <c r="B2569" s="69"/>
      <c r="C2569" s="70"/>
      <c r="D2569" s="71"/>
    </row>
    <row r="2570" spans="2:4" x14ac:dyDescent="0.15">
      <c r="B2570" s="69"/>
      <c r="C2570" s="70"/>
      <c r="D2570" s="71"/>
    </row>
    <row r="2571" spans="2:4" x14ac:dyDescent="0.15">
      <c r="B2571" s="69"/>
      <c r="C2571" s="70"/>
      <c r="D2571" s="71"/>
    </row>
    <row r="2572" spans="2:4" x14ac:dyDescent="0.15">
      <c r="B2572" s="69"/>
      <c r="C2572" s="70"/>
      <c r="D2572" s="71"/>
    </row>
    <row r="2573" spans="2:4" x14ac:dyDescent="0.15">
      <c r="B2573" s="69"/>
      <c r="C2573" s="70"/>
      <c r="D2573" s="71"/>
    </row>
    <row r="2574" spans="2:4" x14ac:dyDescent="0.15">
      <c r="B2574" s="69"/>
      <c r="C2574" s="70"/>
      <c r="D2574" s="71"/>
    </row>
    <row r="2575" spans="2:4" x14ac:dyDescent="0.15">
      <c r="B2575" s="69"/>
      <c r="C2575" s="70"/>
      <c r="D2575" s="71"/>
    </row>
    <row r="2576" spans="2:4" x14ac:dyDescent="0.15">
      <c r="B2576" s="69"/>
      <c r="C2576" s="70"/>
      <c r="D2576" s="71"/>
    </row>
    <row r="2577" spans="2:4" x14ac:dyDescent="0.15">
      <c r="B2577" s="69"/>
      <c r="C2577" s="70"/>
      <c r="D2577" s="71"/>
    </row>
    <row r="2578" spans="2:4" x14ac:dyDescent="0.15">
      <c r="B2578" s="69"/>
      <c r="C2578" s="70"/>
      <c r="D2578" s="71"/>
    </row>
    <row r="2579" spans="2:4" x14ac:dyDescent="0.15">
      <c r="B2579" s="69"/>
      <c r="C2579" s="70"/>
      <c r="D2579" s="71"/>
    </row>
    <row r="2580" spans="2:4" x14ac:dyDescent="0.15">
      <c r="B2580" s="69"/>
      <c r="C2580" s="70"/>
      <c r="D2580" s="71"/>
    </row>
    <row r="2581" spans="2:4" x14ac:dyDescent="0.15">
      <c r="B2581" s="69"/>
      <c r="C2581" s="70"/>
      <c r="D2581" s="71"/>
    </row>
    <row r="2582" spans="2:4" x14ac:dyDescent="0.15">
      <c r="B2582" s="69"/>
      <c r="C2582" s="70"/>
      <c r="D2582" s="71"/>
    </row>
    <row r="2583" spans="2:4" x14ac:dyDescent="0.15">
      <c r="B2583" s="69"/>
      <c r="C2583" s="70"/>
      <c r="D2583" s="71"/>
    </row>
    <row r="2584" spans="2:4" x14ac:dyDescent="0.15">
      <c r="B2584" s="69"/>
      <c r="C2584" s="70"/>
      <c r="D2584" s="71"/>
    </row>
    <row r="2585" spans="2:4" x14ac:dyDescent="0.15">
      <c r="B2585" s="69"/>
      <c r="C2585" s="70"/>
      <c r="D2585" s="71"/>
    </row>
    <row r="2586" spans="2:4" x14ac:dyDescent="0.15">
      <c r="B2586" s="69"/>
      <c r="C2586" s="70"/>
      <c r="D2586" s="71"/>
    </row>
    <row r="2587" spans="2:4" x14ac:dyDescent="0.15">
      <c r="B2587" s="69"/>
      <c r="C2587" s="70"/>
      <c r="D2587" s="71"/>
    </row>
    <row r="2588" spans="2:4" x14ac:dyDescent="0.15">
      <c r="B2588" s="69"/>
      <c r="C2588" s="70"/>
      <c r="D2588" s="71"/>
    </row>
    <row r="2589" spans="2:4" x14ac:dyDescent="0.15">
      <c r="B2589" s="69"/>
      <c r="C2589" s="70"/>
      <c r="D2589" s="71"/>
    </row>
    <row r="2590" spans="2:4" x14ac:dyDescent="0.15">
      <c r="B2590" s="69"/>
      <c r="C2590" s="70"/>
      <c r="D2590" s="71"/>
    </row>
    <row r="2591" spans="2:4" x14ac:dyDescent="0.15">
      <c r="B2591" s="69"/>
      <c r="C2591" s="70"/>
      <c r="D2591" s="71"/>
    </row>
    <row r="2592" spans="2:4" x14ac:dyDescent="0.15">
      <c r="B2592" s="69"/>
      <c r="C2592" s="70"/>
      <c r="D2592" s="71"/>
    </row>
    <row r="2593" spans="2:4" x14ac:dyDescent="0.15">
      <c r="B2593" s="69"/>
      <c r="C2593" s="70"/>
      <c r="D2593" s="71"/>
    </row>
    <row r="2594" spans="2:4" x14ac:dyDescent="0.15">
      <c r="B2594" s="69"/>
      <c r="C2594" s="70"/>
      <c r="D2594" s="71"/>
    </row>
    <row r="2595" spans="2:4" x14ac:dyDescent="0.15">
      <c r="B2595" s="69"/>
      <c r="C2595" s="70"/>
      <c r="D2595" s="71"/>
    </row>
    <row r="2596" spans="2:4" x14ac:dyDescent="0.15">
      <c r="B2596" s="69"/>
      <c r="C2596" s="70"/>
      <c r="D2596" s="71"/>
    </row>
    <row r="2597" spans="2:4" x14ac:dyDescent="0.15">
      <c r="B2597" s="69"/>
      <c r="C2597" s="70"/>
      <c r="D2597" s="71"/>
    </row>
    <row r="2598" spans="2:4" x14ac:dyDescent="0.15">
      <c r="B2598" s="69"/>
      <c r="C2598" s="70"/>
      <c r="D2598" s="71"/>
    </row>
    <row r="2599" spans="2:4" x14ac:dyDescent="0.15">
      <c r="B2599" s="69"/>
      <c r="C2599" s="70"/>
      <c r="D2599" s="71"/>
    </row>
    <row r="2600" spans="2:4" x14ac:dyDescent="0.15">
      <c r="B2600" s="69"/>
      <c r="C2600" s="70"/>
      <c r="D2600" s="71"/>
    </row>
    <row r="2601" spans="2:4" x14ac:dyDescent="0.15">
      <c r="B2601" s="69"/>
      <c r="C2601" s="70"/>
      <c r="D2601" s="71"/>
    </row>
    <row r="2602" spans="2:4" x14ac:dyDescent="0.15">
      <c r="B2602" s="69"/>
      <c r="C2602" s="70"/>
      <c r="D2602" s="71"/>
    </row>
    <row r="2603" spans="2:4" x14ac:dyDescent="0.15">
      <c r="B2603" s="69"/>
      <c r="C2603" s="70"/>
      <c r="D2603" s="71"/>
    </row>
    <row r="2604" spans="2:4" x14ac:dyDescent="0.15">
      <c r="B2604" s="69"/>
      <c r="C2604" s="70"/>
      <c r="D2604" s="71"/>
    </row>
    <row r="2605" spans="2:4" x14ac:dyDescent="0.15">
      <c r="B2605" s="69"/>
      <c r="C2605" s="70"/>
      <c r="D2605" s="71"/>
    </row>
    <row r="2606" spans="2:4" x14ac:dyDescent="0.15">
      <c r="B2606" s="69"/>
      <c r="C2606" s="70"/>
      <c r="D2606" s="71"/>
    </row>
    <row r="2607" spans="2:4" x14ac:dyDescent="0.15">
      <c r="B2607" s="69"/>
      <c r="C2607" s="70"/>
      <c r="D2607" s="71"/>
    </row>
    <row r="2608" spans="2:4" x14ac:dyDescent="0.15">
      <c r="B2608" s="69"/>
      <c r="C2608" s="70"/>
      <c r="D2608" s="71"/>
    </row>
    <row r="2609" spans="2:4" x14ac:dyDescent="0.15">
      <c r="B2609" s="69"/>
      <c r="C2609" s="70"/>
      <c r="D2609" s="71"/>
    </row>
    <row r="2610" spans="2:4" x14ac:dyDescent="0.15">
      <c r="B2610" s="69"/>
      <c r="C2610" s="70"/>
      <c r="D2610" s="71"/>
    </row>
    <row r="2611" spans="2:4" x14ac:dyDescent="0.15">
      <c r="B2611" s="69"/>
      <c r="C2611" s="70"/>
      <c r="D2611" s="71"/>
    </row>
    <row r="2612" spans="2:4" x14ac:dyDescent="0.15">
      <c r="B2612" s="69"/>
      <c r="C2612" s="70"/>
      <c r="D2612" s="71"/>
    </row>
    <row r="2613" spans="2:4" x14ac:dyDescent="0.15">
      <c r="B2613" s="69"/>
      <c r="C2613" s="70"/>
      <c r="D2613" s="71"/>
    </row>
    <row r="2614" spans="2:4" x14ac:dyDescent="0.15">
      <c r="B2614" s="69"/>
      <c r="C2614" s="70"/>
      <c r="D2614" s="71"/>
    </row>
    <row r="2615" spans="2:4" x14ac:dyDescent="0.15">
      <c r="B2615" s="69"/>
      <c r="C2615" s="70"/>
      <c r="D2615" s="71"/>
    </row>
    <row r="2616" spans="2:4" x14ac:dyDescent="0.15">
      <c r="B2616" s="69"/>
      <c r="C2616" s="70"/>
      <c r="D2616" s="71"/>
    </row>
    <row r="2617" spans="2:4" x14ac:dyDescent="0.15">
      <c r="B2617" s="69"/>
      <c r="C2617" s="70"/>
      <c r="D2617" s="71"/>
    </row>
    <row r="2618" spans="2:4" x14ac:dyDescent="0.15">
      <c r="B2618" s="69"/>
      <c r="C2618" s="70"/>
      <c r="D2618" s="71"/>
    </row>
    <row r="2619" spans="2:4" x14ac:dyDescent="0.15">
      <c r="B2619" s="69"/>
      <c r="C2619" s="70"/>
      <c r="D2619" s="71"/>
    </row>
    <row r="2620" spans="2:4" x14ac:dyDescent="0.15">
      <c r="B2620" s="69"/>
      <c r="C2620" s="70"/>
      <c r="D2620" s="71"/>
    </row>
    <row r="2621" spans="2:4" x14ac:dyDescent="0.15">
      <c r="B2621" s="69"/>
      <c r="C2621" s="70"/>
      <c r="D2621" s="71"/>
    </row>
    <row r="2622" spans="2:4" x14ac:dyDescent="0.15">
      <c r="B2622" s="69"/>
      <c r="C2622" s="70"/>
      <c r="D2622" s="71"/>
    </row>
    <row r="2623" spans="2:4" x14ac:dyDescent="0.15">
      <c r="B2623" s="69"/>
      <c r="C2623" s="70"/>
      <c r="D2623" s="71"/>
    </row>
    <row r="2624" spans="2:4" x14ac:dyDescent="0.15">
      <c r="B2624" s="69"/>
      <c r="C2624" s="70"/>
      <c r="D2624" s="71"/>
    </row>
    <row r="2625" spans="2:4" x14ac:dyDescent="0.15">
      <c r="B2625" s="69"/>
      <c r="C2625" s="70"/>
      <c r="D2625" s="71"/>
    </row>
    <row r="2626" spans="2:4" x14ac:dyDescent="0.15">
      <c r="B2626" s="69"/>
      <c r="C2626" s="70"/>
      <c r="D2626" s="71"/>
    </row>
    <row r="2627" spans="2:4" x14ac:dyDescent="0.15">
      <c r="B2627" s="69"/>
      <c r="C2627" s="70"/>
      <c r="D2627" s="71"/>
    </row>
    <row r="2628" spans="2:4" x14ac:dyDescent="0.15">
      <c r="B2628" s="69"/>
      <c r="C2628" s="70"/>
      <c r="D2628" s="71"/>
    </row>
    <row r="2629" spans="2:4" x14ac:dyDescent="0.15">
      <c r="B2629" s="69"/>
      <c r="C2629" s="70"/>
      <c r="D2629" s="71"/>
    </row>
    <row r="2630" spans="2:4" x14ac:dyDescent="0.15">
      <c r="B2630" s="69"/>
      <c r="C2630" s="70"/>
      <c r="D2630" s="71"/>
    </row>
    <row r="2631" spans="2:4" x14ac:dyDescent="0.15">
      <c r="B2631" s="69"/>
      <c r="C2631" s="70"/>
      <c r="D2631" s="71"/>
    </row>
    <row r="2632" spans="2:4" x14ac:dyDescent="0.15">
      <c r="B2632" s="69"/>
      <c r="C2632" s="70"/>
      <c r="D2632" s="71"/>
    </row>
    <row r="2633" spans="2:4" x14ac:dyDescent="0.15">
      <c r="B2633" s="69"/>
      <c r="C2633" s="70"/>
      <c r="D2633" s="71"/>
    </row>
    <row r="2634" spans="2:4" x14ac:dyDescent="0.15">
      <c r="B2634" s="69"/>
      <c r="C2634" s="70"/>
      <c r="D2634" s="71"/>
    </row>
    <row r="2635" spans="2:4" x14ac:dyDescent="0.15">
      <c r="B2635" s="69"/>
      <c r="C2635" s="70"/>
      <c r="D2635" s="71"/>
    </row>
    <row r="2636" spans="2:4" x14ac:dyDescent="0.15">
      <c r="B2636" s="69"/>
      <c r="C2636" s="70"/>
      <c r="D2636" s="71"/>
    </row>
    <row r="2637" spans="2:4" x14ac:dyDescent="0.15">
      <c r="B2637" s="69"/>
      <c r="C2637" s="70"/>
      <c r="D2637" s="71"/>
    </row>
    <row r="2638" spans="2:4" x14ac:dyDescent="0.15">
      <c r="B2638" s="69"/>
      <c r="C2638" s="70"/>
      <c r="D2638" s="71"/>
    </row>
    <row r="2639" spans="2:4" x14ac:dyDescent="0.15">
      <c r="B2639" s="69"/>
      <c r="C2639" s="70"/>
      <c r="D2639" s="71"/>
    </row>
    <row r="2640" spans="2:4" x14ac:dyDescent="0.15">
      <c r="B2640" s="69"/>
      <c r="C2640" s="70"/>
      <c r="D2640" s="71"/>
    </row>
    <row r="2641" spans="2:4" x14ac:dyDescent="0.15">
      <c r="B2641" s="69"/>
      <c r="C2641" s="70"/>
      <c r="D2641" s="71"/>
    </row>
    <row r="2642" spans="2:4" x14ac:dyDescent="0.15">
      <c r="B2642" s="69"/>
      <c r="C2642" s="70"/>
      <c r="D2642" s="71"/>
    </row>
    <row r="2643" spans="2:4" x14ac:dyDescent="0.15">
      <c r="B2643" s="69"/>
      <c r="C2643" s="70"/>
      <c r="D2643" s="71"/>
    </row>
    <row r="2644" spans="2:4" x14ac:dyDescent="0.15">
      <c r="B2644" s="69"/>
      <c r="C2644" s="70"/>
      <c r="D2644" s="71"/>
    </row>
    <row r="2645" spans="2:4" x14ac:dyDescent="0.15">
      <c r="B2645" s="69"/>
      <c r="C2645" s="70"/>
      <c r="D2645" s="71"/>
    </row>
    <row r="2646" spans="2:4" x14ac:dyDescent="0.15">
      <c r="B2646" s="69"/>
      <c r="C2646" s="70"/>
      <c r="D2646" s="71"/>
    </row>
    <row r="2647" spans="2:4" x14ac:dyDescent="0.15">
      <c r="B2647" s="69"/>
      <c r="C2647" s="70"/>
      <c r="D2647" s="71"/>
    </row>
    <row r="2648" spans="2:4" x14ac:dyDescent="0.15">
      <c r="B2648" s="69"/>
      <c r="C2648" s="70"/>
      <c r="D2648" s="71"/>
    </row>
    <row r="2649" spans="2:4" x14ac:dyDescent="0.15">
      <c r="B2649" s="69"/>
      <c r="C2649" s="70"/>
      <c r="D2649" s="71"/>
    </row>
    <row r="2650" spans="2:4" x14ac:dyDescent="0.15">
      <c r="B2650" s="69"/>
      <c r="C2650" s="70"/>
      <c r="D2650" s="71"/>
    </row>
    <row r="2651" spans="2:4" x14ac:dyDescent="0.15">
      <c r="B2651" s="69"/>
      <c r="C2651" s="70"/>
      <c r="D2651" s="71"/>
    </row>
    <row r="2652" spans="2:4" x14ac:dyDescent="0.15">
      <c r="B2652" s="69"/>
      <c r="C2652" s="70"/>
      <c r="D2652" s="71"/>
    </row>
    <row r="2653" spans="2:4" x14ac:dyDescent="0.15">
      <c r="B2653" s="69"/>
      <c r="C2653" s="70"/>
      <c r="D2653" s="71"/>
    </row>
    <row r="2654" spans="2:4" x14ac:dyDescent="0.15">
      <c r="B2654" s="69"/>
      <c r="C2654" s="70"/>
      <c r="D2654" s="71"/>
    </row>
    <row r="2655" spans="2:4" x14ac:dyDescent="0.15">
      <c r="B2655" s="69"/>
      <c r="C2655" s="70"/>
      <c r="D2655" s="71"/>
    </row>
    <row r="2656" spans="2:4" x14ac:dyDescent="0.15">
      <c r="B2656" s="69"/>
      <c r="C2656" s="70"/>
      <c r="D2656" s="71"/>
    </row>
    <row r="2657" spans="2:4" x14ac:dyDescent="0.15">
      <c r="B2657" s="69"/>
      <c r="C2657" s="70"/>
      <c r="D2657" s="71"/>
    </row>
    <row r="2658" spans="2:4" x14ac:dyDescent="0.15">
      <c r="B2658" s="69"/>
      <c r="C2658" s="70"/>
      <c r="D2658" s="71"/>
    </row>
    <row r="2659" spans="2:4" x14ac:dyDescent="0.15">
      <c r="B2659" s="69"/>
      <c r="C2659" s="70"/>
      <c r="D2659" s="71"/>
    </row>
    <row r="2660" spans="2:4" x14ac:dyDescent="0.15">
      <c r="B2660" s="69"/>
      <c r="C2660" s="70"/>
      <c r="D2660" s="71"/>
    </row>
    <row r="2661" spans="2:4" x14ac:dyDescent="0.15">
      <c r="B2661" s="69"/>
      <c r="C2661" s="70"/>
      <c r="D2661" s="71"/>
    </row>
    <row r="2662" spans="2:4" x14ac:dyDescent="0.15">
      <c r="B2662" s="69"/>
      <c r="C2662" s="70"/>
      <c r="D2662" s="71"/>
    </row>
    <row r="2663" spans="2:4" x14ac:dyDescent="0.15">
      <c r="B2663" s="69"/>
      <c r="C2663" s="70"/>
      <c r="D2663" s="71"/>
    </row>
    <row r="2664" spans="2:4" x14ac:dyDescent="0.15">
      <c r="B2664" s="69"/>
      <c r="C2664" s="70"/>
      <c r="D2664" s="71"/>
    </row>
    <row r="2665" spans="2:4" x14ac:dyDescent="0.15">
      <c r="B2665" s="69"/>
      <c r="C2665" s="70"/>
      <c r="D2665" s="71"/>
    </row>
    <row r="2666" spans="2:4" x14ac:dyDescent="0.15">
      <c r="B2666" s="69"/>
      <c r="C2666" s="70"/>
      <c r="D2666" s="71"/>
    </row>
    <row r="2667" spans="2:4" x14ac:dyDescent="0.15">
      <c r="B2667" s="69"/>
      <c r="C2667" s="70"/>
      <c r="D2667" s="71"/>
    </row>
    <row r="2668" spans="2:4" x14ac:dyDescent="0.15">
      <c r="B2668" s="69"/>
      <c r="C2668" s="70"/>
      <c r="D2668" s="71"/>
    </row>
    <row r="2669" spans="2:4" x14ac:dyDescent="0.15">
      <c r="B2669" s="69"/>
      <c r="C2669" s="70"/>
      <c r="D2669" s="71"/>
    </row>
    <row r="2670" spans="2:4" x14ac:dyDescent="0.15">
      <c r="B2670" s="69"/>
      <c r="C2670" s="70"/>
      <c r="D2670" s="71"/>
    </row>
    <row r="2671" spans="2:4" x14ac:dyDescent="0.15">
      <c r="B2671" s="69"/>
      <c r="C2671" s="70"/>
      <c r="D2671" s="71"/>
    </row>
    <row r="2672" spans="2:4" x14ac:dyDescent="0.15">
      <c r="B2672" s="69"/>
      <c r="C2672" s="70"/>
      <c r="D2672" s="71"/>
    </row>
    <row r="2673" spans="2:4" x14ac:dyDescent="0.15">
      <c r="B2673" s="69"/>
      <c r="C2673" s="70"/>
      <c r="D2673" s="71"/>
    </row>
    <row r="2674" spans="2:4" x14ac:dyDescent="0.15">
      <c r="B2674" s="69"/>
      <c r="C2674" s="70"/>
      <c r="D2674" s="71"/>
    </row>
    <row r="2675" spans="2:4" x14ac:dyDescent="0.15">
      <c r="B2675" s="69"/>
      <c r="C2675" s="70"/>
      <c r="D2675" s="71"/>
    </row>
    <row r="2676" spans="2:4" x14ac:dyDescent="0.15">
      <c r="B2676" s="69"/>
      <c r="C2676" s="70"/>
      <c r="D2676" s="71"/>
    </row>
    <row r="2677" spans="2:4" x14ac:dyDescent="0.15">
      <c r="B2677" s="69"/>
      <c r="C2677" s="70"/>
      <c r="D2677" s="71"/>
    </row>
    <row r="2678" spans="2:4" x14ac:dyDescent="0.15">
      <c r="B2678" s="69"/>
      <c r="C2678" s="70"/>
      <c r="D2678" s="71"/>
    </row>
    <row r="2679" spans="2:4" x14ac:dyDescent="0.15">
      <c r="B2679" s="69"/>
      <c r="C2679" s="70"/>
      <c r="D2679" s="71"/>
    </row>
    <row r="2680" spans="2:4" x14ac:dyDescent="0.15">
      <c r="B2680" s="69"/>
      <c r="C2680" s="70"/>
      <c r="D2680" s="71"/>
    </row>
    <row r="2681" spans="2:4" x14ac:dyDescent="0.15">
      <c r="B2681" s="69"/>
      <c r="C2681" s="70"/>
      <c r="D2681" s="71"/>
    </row>
    <row r="2682" spans="2:4" x14ac:dyDescent="0.15">
      <c r="B2682" s="69"/>
      <c r="C2682" s="70"/>
      <c r="D2682" s="71"/>
    </row>
    <row r="2683" spans="2:4" x14ac:dyDescent="0.15">
      <c r="B2683" s="69"/>
      <c r="C2683" s="70"/>
      <c r="D2683" s="71"/>
    </row>
    <row r="2684" spans="2:4" x14ac:dyDescent="0.15">
      <c r="B2684" s="69"/>
      <c r="C2684" s="70"/>
      <c r="D2684" s="71"/>
    </row>
    <row r="2685" spans="2:4" x14ac:dyDescent="0.15">
      <c r="B2685" s="69"/>
      <c r="C2685" s="70"/>
      <c r="D2685" s="71"/>
    </row>
    <row r="2686" spans="2:4" x14ac:dyDescent="0.15">
      <c r="B2686" s="69"/>
      <c r="C2686" s="70"/>
      <c r="D2686" s="71"/>
    </row>
    <row r="2687" spans="2:4" x14ac:dyDescent="0.15">
      <c r="B2687" s="69"/>
      <c r="C2687" s="70"/>
      <c r="D2687" s="71"/>
    </row>
    <row r="2688" spans="2:4" x14ac:dyDescent="0.15">
      <c r="B2688" s="69"/>
      <c r="C2688" s="70"/>
      <c r="D2688" s="71"/>
    </row>
    <row r="2689" spans="2:4" x14ac:dyDescent="0.15">
      <c r="B2689" s="69"/>
      <c r="C2689" s="70"/>
      <c r="D2689" s="71"/>
    </row>
    <row r="2690" spans="2:4" x14ac:dyDescent="0.15">
      <c r="B2690" s="69"/>
      <c r="C2690" s="70"/>
      <c r="D2690" s="71"/>
    </row>
    <row r="2691" spans="2:4" x14ac:dyDescent="0.15">
      <c r="B2691" s="69"/>
      <c r="C2691" s="70"/>
      <c r="D2691" s="71"/>
    </row>
    <row r="2692" spans="2:4" x14ac:dyDescent="0.15">
      <c r="B2692" s="69"/>
      <c r="C2692" s="70"/>
      <c r="D2692" s="71"/>
    </row>
    <row r="2693" spans="2:4" x14ac:dyDescent="0.15">
      <c r="B2693" s="69"/>
      <c r="C2693" s="70"/>
      <c r="D2693" s="71"/>
    </row>
    <row r="2694" spans="2:4" x14ac:dyDescent="0.15">
      <c r="B2694" s="69"/>
      <c r="C2694" s="70"/>
      <c r="D2694" s="71"/>
    </row>
    <row r="2695" spans="2:4" x14ac:dyDescent="0.15">
      <c r="B2695" s="69"/>
      <c r="C2695" s="70"/>
      <c r="D2695" s="71"/>
    </row>
    <row r="2696" spans="2:4" x14ac:dyDescent="0.15">
      <c r="B2696" s="69"/>
      <c r="C2696" s="70"/>
      <c r="D2696" s="71"/>
    </row>
    <row r="2697" spans="2:4" x14ac:dyDescent="0.15">
      <c r="B2697" s="69"/>
      <c r="C2697" s="70"/>
      <c r="D2697" s="71"/>
    </row>
    <row r="2698" spans="2:4" x14ac:dyDescent="0.15">
      <c r="B2698" s="69"/>
      <c r="C2698" s="70"/>
      <c r="D2698" s="71"/>
    </row>
    <row r="2699" spans="2:4" x14ac:dyDescent="0.15">
      <c r="B2699" s="69"/>
      <c r="C2699" s="70"/>
      <c r="D2699" s="71"/>
    </row>
    <row r="2700" spans="2:4" x14ac:dyDescent="0.15">
      <c r="B2700" s="69"/>
      <c r="C2700" s="70"/>
      <c r="D2700" s="71"/>
    </row>
    <row r="2701" spans="2:4" x14ac:dyDescent="0.15">
      <c r="B2701" s="69"/>
      <c r="C2701" s="70"/>
      <c r="D2701" s="71"/>
    </row>
    <row r="2702" spans="2:4" x14ac:dyDescent="0.15">
      <c r="B2702" s="69"/>
      <c r="C2702" s="70"/>
      <c r="D2702" s="71"/>
    </row>
    <row r="2703" spans="2:4" x14ac:dyDescent="0.15">
      <c r="B2703" s="69"/>
      <c r="C2703" s="70"/>
      <c r="D2703" s="71"/>
    </row>
    <row r="2704" spans="2:4" x14ac:dyDescent="0.15">
      <c r="B2704" s="69"/>
      <c r="C2704" s="70"/>
      <c r="D2704" s="71"/>
    </row>
    <row r="2705" spans="2:4" x14ac:dyDescent="0.15">
      <c r="B2705" s="69"/>
      <c r="C2705" s="70"/>
      <c r="D2705" s="71"/>
    </row>
    <row r="2706" spans="2:4" x14ac:dyDescent="0.15">
      <c r="B2706" s="69"/>
      <c r="C2706" s="70"/>
      <c r="D2706" s="71"/>
    </row>
    <row r="2707" spans="2:4" x14ac:dyDescent="0.15">
      <c r="B2707" s="69"/>
      <c r="C2707" s="70"/>
      <c r="D2707" s="71"/>
    </row>
    <row r="2708" spans="2:4" x14ac:dyDescent="0.15">
      <c r="B2708" s="69"/>
      <c r="C2708" s="70"/>
      <c r="D2708" s="71"/>
    </row>
    <row r="2709" spans="2:4" x14ac:dyDescent="0.15">
      <c r="B2709" s="69"/>
      <c r="C2709" s="70"/>
      <c r="D2709" s="71"/>
    </row>
    <row r="2710" spans="2:4" x14ac:dyDescent="0.15">
      <c r="B2710" s="69"/>
      <c r="C2710" s="70"/>
      <c r="D2710" s="71"/>
    </row>
    <row r="2711" spans="2:4" x14ac:dyDescent="0.15">
      <c r="B2711" s="69"/>
      <c r="C2711" s="70"/>
      <c r="D2711" s="71"/>
    </row>
    <row r="2712" spans="2:4" x14ac:dyDescent="0.15">
      <c r="B2712" s="69"/>
      <c r="C2712" s="70"/>
      <c r="D2712" s="71"/>
    </row>
    <row r="2713" spans="2:4" x14ac:dyDescent="0.15">
      <c r="B2713" s="69"/>
      <c r="C2713" s="70"/>
      <c r="D2713" s="71"/>
    </row>
    <row r="2714" spans="2:4" x14ac:dyDescent="0.15">
      <c r="B2714" s="69"/>
      <c r="C2714" s="70"/>
      <c r="D2714" s="71"/>
    </row>
    <row r="2715" spans="2:4" x14ac:dyDescent="0.15">
      <c r="B2715" s="69"/>
      <c r="C2715" s="70"/>
      <c r="D2715" s="71"/>
    </row>
    <row r="2716" spans="2:4" x14ac:dyDescent="0.15">
      <c r="B2716" s="69"/>
      <c r="C2716" s="70"/>
      <c r="D2716" s="71"/>
    </row>
    <row r="2717" spans="2:4" x14ac:dyDescent="0.15">
      <c r="B2717" s="69"/>
      <c r="C2717" s="70"/>
      <c r="D2717" s="71"/>
    </row>
    <row r="2718" spans="2:4" x14ac:dyDescent="0.15">
      <c r="B2718" s="69"/>
      <c r="C2718" s="70"/>
      <c r="D2718" s="71"/>
    </row>
    <row r="2719" spans="2:4" x14ac:dyDescent="0.15">
      <c r="B2719" s="69"/>
      <c r="C2719" s="70"/>
      <c r="D2719" s="71"/>
    </row>
    <row r="2720" spans="2:4" x14ac:dyDescent="0.15">
      <c r="B2720" s="69"/>
      <c r="C2720" s="70"/>
      <c r="D2720" s="71"/>
    </row>
    <row r="2721" spans="2:4" x14ac:dyDescent="0.15">
      <c r="B2721" s="69"/>
      <c r="C2721" s="70"/>
      <c r="D2721" s="71"/>
    </row>
    <row r="2722" spans="2:4" x14ac:dyDescent="0.15">
      <c r="B2722" s="69"/>
      <c r="C2722" s="70"/>
      <c r="D2722" s="71"/>
    </row>
    <row r="2723" spans="2:4" x14ac:dyDescent="0.15">
      <c r="B2723" s="69"/>
      <c r="C2723" s="70"/>
      <c r="D2723" s="71"/>
    </row>
    <row r="2724" spans="2:4" x14ac:dyDescent="0.15">
      <c r="B2724" s="69"/>
      <c r="C2724" s="70"/>
      <c r="D2724" s="71"/>
    </row>
    <row r="2725" spans="2:4" x14ac:dyDescent="0.15">
      <c r="B2725" s="69"/>
      <c r="C2725" s="70"/>
      <c r="D2725" s="71"/>
    </row>
    <row r="2726" spans="2:4" x14ac:dyDescent="0.15">
      <c r="B2726" s="69"/>
      <c r="C2726" s="70"/>
      <c r="D2726" s="71"/>
    </row>
    <row r="2727" spans="2:4" x14ac:dyDescent="0.15">
      <c r="B2727" s="69"/>
      <c r="C2727" s="70"/>
      <c r="D2727" s="71"/>
    </row>
    <row r="2728" spans="2:4" x14ac:dyDescent="0.15">
      <c r="B2728" s="69"/>
      <c r="C2728" s="70"/>
      <c r="D2728" s="71"/>
    </row>
    <row r="2729" spans="2:4" x14ac:dyDescent="0.15">
      <c r="B2729" s="69"/>
      <c r="C2729" s="70"/>
      <c r="D2729" s="71"/>
    </row>
    <row r="2730" spans="2:4" x14ac:dyDescent="0.15">
      <c r="B2730" s="69"/>
      <c r="C2730" s="70"/>
      <c r="D2730" s="71"/>
    </row>
    <row r="2731" spans="2:4" x14ac:dyDescent="0.15">
      <c r="B2731" s="69"/>
      <c r="C2731" s="70"/>
      <c r="D2731" s="71"/>
    </row>
    <row r="2732" spans="2:4" x14ac:dyDescent="0.15">
      <c r="B2732" s="69"/>
      <c r="C2732" s="70"/>
      <c r="D2732" s="71"/>
    </row>
    <row r="2733" spans="2:4" x14ac:dyDescent="0.15">
      <c r="B2733" s="69"/>
      <c r="C2733" s="70"/>
      <c r="D2733" s="71"/>
    </row>
    <row r="2734" spans="2:4" x14ac:dyDescent="0.15">
      <c r="B2734" s="69"/>
      <c r="C2734" s="70"/>
      <c r="D2734" s="71"/>
    </row>
    <row r="2735" spans="2:4" x14ac:dyDescent="0.15">
      <c r="B2735" s="69"/>
      <c r="C2735" s="70"/>
      <c r="D2735" s="71"/>
    </row>
    <row r="2736" spans="2:4" x14ac:dyDescent="0.15">
      <c r="B2736" s="69"/>
      <c r="C2736" s="70"/>
      <c r="D2736" s="71"/>
    </row>
    <row r="2737" spans="2:4" x14ac:dyDescent="0.15">
      <c r="B2737" s="69"/>
      <c r="C2737" s="70"/>
      <c r="D2737" s="71"/>
    </row>
    <row r="2738" spans="2:4" x14ac:dyDescent="0.15">
      <c r="B2738" s="69"/>
      <c r="C2738" s="70"/>
      <c r="D2738" s="71"/>
    </row>
    <row r="2739" spans="2:4" x14ac:dyDescent="0.15">
      <c r="B2739" s="69"/>
      <c r="C2739" s="70"/>
      <c r="D2739" s="71"/>
    </row>
    <row r="2740" spans="2:4" x14ac:dyDescent="0.15">
      <c r="B2740" s="69"/>
      <c r="C2740" s="70"/>
      <c r="D2740" s="71"/>
    </row>
    <row r="2741" spans="2:4" x14ac:dyDescent="0.15">
      <c r="B2741" s="69"/>
      <c r="C2741" s="70"/>
      <c r="D2741" s="71"/>
    </row>
    <row r="2742" spans="2:4" x14ac:dyDescent="0.15">
      <c r="B2742" s="69"/>
      <c r="C2742" s="70"/>
      <c r="D2742" s="71"/>
    </row>
    <row r="2743" spans="2:4" x14ac:dyDescent="0.15">
      <c r="B2743" s="69"/>
      <c r="C2743" s="70"/>
      <c r="D2743" s="71"/>
    </row>
    <row r="2744" spans="2:4" x14ac:dyDescent="0.15">
      <c r="B2744" s="69"/>
      <c r="C2744" s="70"/>
      <c r="D2744" s="71"/>
    </row>
    <row r="2745" spans="2:4" x14ac:dyDescent="0.15">
      <c r="B2745" s="69"/>
      <c r="C2745" s="70"/>
      <c r="D2745" s="71"/>
    </row>
    <row r="2746" spans="2:4" x14ac:dyDescent="0.15">
      <c r="B2746" s="69"/>
      <c r="C2746" s="70"/>
      <c r="D2746" s="71"/>
    </row>
    <row r="2747" spans="2:4" x14ac:dyDescent="0.15">
      <c r="B2747" s="69"/>
      <c r="C2747" s="70"/>
      <c r="D2747" s="71"/>
    </row>
    <row r="2748" spans="2:4" x14ac:dyDescent="0.15">
      <c r="B2748" s="69"/>
      <c r="C2748" s="70"/>
      <c r="D2748" s="71"/>
    </row>
    <row r="2749" spans="2:4" x14ac:dyDescent="0.15">
      <c r="B2749" s="69"/>
      <c r="C2749" s="70"/>
      <c r="D2749" s="71"/>
    </row>
    <row r="2750" spans="2:4" x14ac:dyDescent="0.15">
      <c r="B2750" s="69"/>
      <c r="C2750" s="70"/>
      <c r="D2750" s="71"/>
    </row>
    <row r="2751" spans="2:4" x14ac:dyDescent="0.15">
      <c r="B2751" s="69"/>
      <c r="C2751" s="70"/>
      <c r="D2751" s="71"/>
    </row>
    <row r="2752" spans="2:4" x14ac:dyDescent="0.15">
      <c r="B2752" s="69"/>
      <c r="C2752" s="70"/>
      <c r="D2752" s="71"/>
    </row>
    <row r="2753" spans="2:4" x14ac:dyDescent="0.15">
      <c r="B2753" s="69"/>
      <c r="C2753" s="70"/>
      <c r="D2753" s="71"/>
    </row>
    <row r="2754" spans="2:4" x14ac:dyDescent="0.15">
      <c r="B2754" s="69"/>
      <c r="C2754" s="70"/>
      <c r="D2754" s="71"/>
    </row>
    <row r="2755" spans="2:4" x14ac:dyDescent="0.15">
      <c r="B2755" s="69"/>
      <c r="C2755" s="70"/>
      <c r="D2755" s="71"/>
    </row>
    <row r="2756" spans="2:4" x14ac:dyDescent="0.15">
      <c r="B2756" s="69"/>
      <c r="C2756" s="70"/>
      <c r="D2756" s="71"/>
    </row>
    <row r="2757" spans="2:4" x14ac:dyDescent="0.15">
      <c r="B2757" s="69"/>
      <c r="C2757" s="70"/>
      <c r="D2757" s="71"/>
    </row>
    <row r="2758" spans="2:4" x14ac:dyDescent="0.15">
      <c r="B2758" s="69"/>
      <c r="C2758" s="70"/>
      <c r="D2758" s="71"/>
    </row>
    <row r="2759" spans="2:4" x14ac:dyDescent="0.15">
      <c r="B2759" s="69"/>
      <c r="C2759" s="70"/>
      <c r="D2759" s="71"/>
    </row>
    <row r="2760" spans="2:4" x14ac:dyDescent="0.15">
      <c r="B2760" s="69"/>
      <c r="C2760" s="70"/>
      <c r="D2760" s="71"/>
    </row>
    <row r="2761" spans="2:4" x14ac:dyDescent="0.15">
      <c r="B2761" s="69"/>
      <c r="C2761" s="70"/>
      <c r="D2761" s="71"/>
    </row>
    <row r="2762" spans="2:4" x14ac:dyDescent="0.15">
      <c r="B2762" s="69"/>
      <c r="C2762" s="70"/>
      <c r="D2762" s="71"/>
    </row>
    <row r="2763" spans="2:4" x14ac:dyDescent="0.15">
      <c r="B2763" s="69"/>
      <c r="C2763" s="70"/>
      <c r="D2763" s="71"/>
    </row>
    <row r="2764" spans="2:4" x14ac:dyDescent="0.15">
      <c r="B2764" s="69"/>
      <c r="C2764" s="70"/>
      <c r="D2764" s="71"/>
    </row>
    <row r="2765" spans="2:4" x14ac:dyDescent="0.15">
      <c r="B2765" s="69"/>
      <c r="C2765" s="70"/>
      <c r="D2765" s="71"/>
    </row>
    <row r="2766" spans="2:4" x14ac:dyDescent="0.15">
      <c r="B2766" s="69"/>
      <c r="C2766" s="70"/>
      <c r="D2766" s="71"/>
    </row>
    <row r="2767" spans="2:4" x14ac:dyDescent="0.15">
      <c r="B2767" s="69"/>
      <c r="C2767" s="70"/>
      <c r="D2767" s="71"/>
    </row>
    <row r="2768" spans="2:4" x14ac:dyDescent="0.15">
      <c r="B2768" s="69"/>
      <c r="C2768" s="70"/>
      <c r="D2768" s="71"/>
    </row>
    <row r="2769" spans="2:4" x14ac:dyDescent="0.15">
      <c r="B2769" s="69"/>
      <c r="C2769" s="70"/>
      <c r="D2769" s="71"/>
    </row>
    <row r="2770" spans="2:4" x14ac:dyDescent="0.15">
      <c r="B2770" s="69"/>
      <c r="C2770" s="70"/>
      <c r="D2770" s="71"/>
    </row>
    <row r="2771" spans="2:4" x14ac:dyDescent="0.15">
      <c r="B2771" s="69"/>
      <c r="C2771" s="70"/>
      <c r="D2771" s="71"/>
    </row>
    <row r="2772" spans="2:4" x14ac:dyDescent="0.15">
      <c r="B2772" s="69"/>
      <c r="C2772" s="70"/>
      <c r="D2772" s="71"/>
    </row>
    <row r="2773" spans="2:4" x14ac:dyDescent="0.15">
      <c r="B2773" s="69"/>
      <c r="C2773" s="70"/>
      <c r="D2773" s="71"/>
    </row>
    <row r="2774" spans="2:4" x14ac:dyDescent="0.15">
      <c r="B2774" s="69"/>
      <c r="C2774" s="70"/>
      <c r="D2774" s="71"/>
    </row>
    <row r="2775" spans="2:4" x14ac:dyDescent="0.15">
      <c r="B2775" s="69"/>
      <c r="C2775" s="70"/>
      <c r="D2775" s="71"/>
    </row>
    <row r="2776" spans="2:4" x14ac:dyDescent="0.15">
      <c r="B2776" s="69"/>
      <c r="C2776" s="70"/>
      <c r="D2776" s="71"/>
    </row>
    <row r="2777" spans="2:4" x14ac:dyDescent="0.15">
      <c r="B2777" s="69"/>
      <c r="C2777" s="70"/>
      <c r="D2777" s="71"/>
    </row>
    <row r="2778" spans="2:4" x14ac:dyDescent="0.15">
      <c r="B2778" s="69"/>
      <c r="C2778" s="70"/>
      <c r="D2778" s="71"/>
    </row>
    <row r="2779" spans="2:4" x14ac:dyDescent="0.15">
      <c r="B2779" s="69"/>
      <c r="C2779" s="70"/>
      <c r="D2779" s="71"/>
    </row>
    <row r="2780" spans="2:4" x14ac:dyDescent="0.15">
      <c r="B2780" s="69"/>
      <c r="C2780" s="70"/>
      <c r="D2780" s="71"/>
    </row>
    <row r="2781" spans="2:4" x14ac:dyDescent="0.15">
      <c r="B2781" s="69"/>
      <c r="C2781" s="70"/>
      <c r="D2781" s="71"/>
    </row>
    <row r="2782" spans="2:4" x14ac:dyDescent="0.15">
      <c r="B2782" s="69"/>
      <c r="C2782" s="70"/>
      <c r="D2782" s="71"/>
    </row>
    <row r="2783" spans="2:4" x14ac:dyDescent="0.15">
      <c r="B2783" s="69"/>
      <c r="C2783" s="70"/>
      <c r="D2783" s="71"/>
    </row>
    <row r="2784" spans="2:4" x14ac:dyDescent="0.15">
      <c r="B2784" s="69"/>
      <c r="C2784" s="70"/>
      <c r="D2784" s="71"/>
    </row>
    <row r="2785" spans="2:4" x14ac:dyDescent="0.15">
      <c r="B2785" s="69"/>
      <c r="C2785" s="70"/>
      <c r="D2785" s="71"/>
    </row>
    <row r="2786" spans="2:4" x14ac:dyDescent="0.15">
      <c r="B2786" s="69"/>
      <c r="C2786" s="70"/>
      <c r="D2786" s="71"/>
    </row>
    <row r="2787" spans="2:4" x14ac:dyDescent="0.15">
      <c r="B2787" s="69"/>
      <c r="C2787" s="70"/>
      <c r="D2787" s="71"/>
    </row>
    <row r="2788" spans="2:4" x14ac:dyDescent="0.15">
      <c r="B2788" s="69"/>
      <c r="C2788" s="70"/>
      <c r="D2788" s="71"/>
    </row>
    <row r="2789" spans="2:4" x14ac:dyDescent="0.15">
      <c r="B2789" s="69"/>
      <c r="C2789" s="70"/>
      <c r="D2789" s="71"/>
    </row>
    <row r="2790" spans="2:4" x14ac:dyDescent="0.15">
      <c r="B2790" s="69"/>
      <c r="C2790" s="70"/>
      <c r="D2790" s="71"/>
    </row>
    <row r="2791" spans="2:4" x14ac:dyDescent="0.15">
      <c r="B2791" s="69"/>
      <c r="C2791" s="70"/>
      <c r="D2791" s="71"/>
    </row>
    <row r="2792" spans="2:4" x14ac:dyDescent="0.15">
      <c r="B2792" s="69"/>
      <c r="C2792" s="70"/>
      <c r="D2792" s="71"/>
    </row>
    <row r="2793" spans="2:4" x14ac:dyDescent="0.15">
      <c r="B2793" s="69"/>
      <c r="C2793" s="70"/>
      <c r="D2793" s="71"/>
    </row>
    <row r="2794" spans="2:4" x14ac:dyDescent="0.15">
      <c r="B2794" s="69"/>
      <c r="C2794" s="70"/>
      <c r="D2794" s="71"/>
    </row>
    <row r="2795" spans="2:4" x14ac:dyDescent="0.15">
      <c r="B2795" s="69"/>
      <c r="C2795" s="70"/>
      <c r="D2795" s="71"/>
    </row>
    <row r="2796" spans="2:4" x14ac:dyDescent="0.15">
      <c r="B2796" s="69"/>
      <c r="C2796" s="70"/>
      <c r="D2796" s="71"/>
    </row>
    <row r="2797" spans="2:4" x14ac:dyDescent="0.15">
      <c r="B2797" s="69"/>
      <c r="C2797" s="70"/>
      <c r="D2797" s="71"/>
    </row>
    <row r="2798" spans="2:4" x14ac:dyDescent="0.15">
      <c r="B2798" s="69"/>
      <c r="C2798" s="70"/>
      <c r="D2798" s="71"/>
    </row>
    <row r="2799" spans="2:4" x14ac:dyDescent="0.15">
      <c r="B2799" s="69"/>
      <c r="C2799" s="70"/>
      <c r="D2799" s="71"/>
    </row>
    <row r="2800" spans="2:4" x14ac:dyDescent="0.15">
      <c r="B2800" s="69"/>
      <c r="C2800" s="70"/>
      <c r="D2800" s="71"/>
    </row>
    <row r="2801" spans="2:4" x14ac:dyDescent="0.15">
      <c r="B2801" s="69"/>
      <c r="C2801" s="70"/>
      <c r="D2801" s="71"/>
    </row>
    <row r="2802" spans="2:4" x14ac:dyDescent="0.15">
      <c r="B2802" s="69"/>
      <c r="C2802" s="70"/>
      <c r="D2802" s="71"/>
    </row>
    <row r="2803" spans="2:4" x14ac:dyDescent="0.15">
      <c r="B2803" s="69"/>
      <c r="C2803" s="70"/>
      <c r="D2803" s="71"/>
    </row>
    <row r="2804" spans="2:4" x14ac:dyDescent="0.15">
      <c r="B2804" s="69"/>
      <c r="C2804" s="70"/>
      <c r="D2804" s="71"/>
    </row>
    <row r="2805" spans="2:4" x14ac:dyDescent="0.15">
      <c r="B2805" s="69"/>
      <c r="C2805" s="70"/>
      <c r="D2805" s="71"/>
    </row>
    <row r="2806" spans="2:4" x14ac:dyDescent="0.15">
      <c r="B2806" s="69"/>
      <c r="C2806" s="70"/>
      <c r="D2806" s="71"/>
    </row>
    <row r="2807" spans="2:4" x14ac:dyDescent="0.15">
      <c r="B2807" s="69"/>
      <c r="C2807" s="70"/>
      <c r="D2807" s="71"/>
    </row>
    <row r="2808" spans="2:4" x14ac:dyDescent="0.15">
      <c r="B2808" s="69"/>
      <c r="C2808" s="70"/>
      <c r="D2808" s="71"/>
    </row>
    <row r="2809" spans="2:4" x14ac:dyDescent="0.15">
      <c r="B2809" s="69"/>
      <c r="C2809" s="70"/>
      <c r="D2809" s="71"/>
    </row>
    <row r="2810" spans="2:4" x14ac:dyDescent="0.15">
      <c r="B2810" s="69"/>
      <c r="C2810" s="70"/>
      <c r="D2810" s="71"/>
    </row>
    <row r="2811" spans="2:4" x14ac:dyDescent="0.15">
      <c r="B2811" s="69"/>
      <c r="C2811" s="70"/>
      <c r="D2811" s="71"/>
    </row>
    <row r="2812" spans="2:4" x14ac:dyDescent="0.15">
      <c r="B2812" s="69"/>
      <c r="C2812" s="70"/>
      <c r="D2812" s="71"/>
    </row>
    <row r="2813" spans="2:4" x14ac:dyDescent="0.15">
      <c r="B2813" s="69"/>
      <c r="C2813" s="70"/>
      <c r="D2813" s="71"/>
    </row>
    <row r="2814" spans="2:4" x14ac:dyDescent="0.15">
      <c r="B2814" s="69"/>
      <c r="C2814" s="70"/>
      <c r="D2814" s="71"/>
    </row>
    <row r="2815" spans="2:4" x14ac:dyDescent="0.15">
      <c r="B2815" s="69"/>
      <c r="C2815" s="70"/>
      <c r="D2815" s="71"/>
    </row>
    <row r="2816" spans="2:4" x14ac:dyDescent="0.15">
      <c r="B2816" s="69"/>
      <c r="C2816" s="70"/>
      <c r="D2816" s="71"/>
    </row>
    <row r="2817" spans="2:4" x14ac:dyDescent="0.15">
      <c r="B2817" s="69"/>
      <c r="C2817" s="70"/>
      <c r="D2817" s="71"/>
    </row>
    <row r="2818" spans="2:4" x14ac:dyDescent="0.15">
      <c r="B2818" s="69"/>
      <c r="C2818" s="70"/>
      <c r="D2818" s="71"/>
    </row>
    <row r="2819" spans="2:4" x14ac:dyDescent="0.15">
      <c r="B2819" s="69"/>
      <c r="C2819" s="70"/>
      <c r="D2819" s="71"/>
    </row>
    <row r="2820" spans="2:4" x14ac:dyDescent="0.15">
      <c r="B2820" s="69"/>
      <c r="C2820" s="70"/>
      <c r="D2820" s="71"/>
    </row>
    <row r="2821" spans="2:4" x14ac:dyDescent="0.15">
      <c r="B2821" s="69"/>
      <c r="C2821" s="70"/>
      <c r="D2821" s="71"/>
    </row>
    <row r="2822" spans="2:4" x14ac:dyDescent="0.15">
      <c r="B2822" s="69"/>
      <c r="C2822" s="70"/>
      <c r="D2822" s="71"/>
    </row>
    <row r="2823" spans="2:4" x14ac:dyDescent="0.15">
      <c r="B2823" s="69"/>
      <c r="C2823" s="70"/>
      <c r="D2823" s="71"/>
    </row>
    <row r="2824" spans="2:4" x14ac:dyDescent="0.15">
      <c r="B2824" s="69"/>
      <c r="C2824" s="70"/>
      <c r="D2824" s="71"/>
    </row>
    <row r="2825" spans="2:4" x14ac:dyDescent="0.15">
      <c r="B2825" s="69"/>
      <c r="C2825" s="70"/>
      <c r="D2825" s="71"/>
    </row>
    <row r="2826" spans="2:4" x14ac:dyDescent="0.15">
      <c r="B2826" s="69"/>
      <c r="C2826" s="70"/>
      <c r="D2826" s="71"/>
    </row>
    <row r="2827" spans="2:4" x14ac:dyDescent="0.15">
      <c r="B2827" s="69"/>
      <c r="C2827" s="70"/>
      <c r="D2827" s="71"/>
    </row>
    <row r="2828" spans="2:4" x14ac:dyDescent="0.15">
      <c r="B2828" s="69"/>
      <c r="C2828" s="70"/>
      <c r="D2828" s="71"/>
    </row>
    <row r="2829" spans="2:4" x14ac:dyDescent="0.15">
      <c r="B2829" s="69"/>
      <c r="C2829" s="70"/>
      <c r="D2829" s="71"/>
    </row>
    <row r="2830" spans="2:4" x14ac:dyDescent="0.15">
      <c r="B2830" s="69"/>
      <c r="C2830" s="70"/>
      <c r="D2830" s="71"/>
    </row>
    <row r="2831" spans="2:4" x14ac:dyDescent="0.15">
      <c r="B2831" s="69"/>
      <c r="C2831" s="70"/>
      <c r="D2831" s="71"/>
    </row>
    <row r="2832" spans="2:4" x14ac:dyDescent="0.15">
      <c r="B2832" s="69"/>
      <c r="C2832" s="70"/>
      <c r="D2832" s="71"/>
    </row>
    <row r="2833" spans="2:4" x14ac:dyDescent="0.15">
      <c r="B2833" s="69"/>
      <c r="C2833" s="70"/>
      <c r="D2833" s="71"/>
    </row>
    <row r="2834" spans="2:4" x14ac:dyDescent="0.15">
      <c r="B2834" s="69"/>
      <c r="C2834" s="70"/>
      <c r="D2834" s="71"/>
    </row>
    <row r="2835" spans="2:4" x14ac:dyDescent="0.15">
      <c r="B2835" s="69"/>
      <c r="C2835" s="70"/>
      <c r="D2835" s="71"/>
    </row>
    <row r="2836" spans="2:4" x14ac:dyDescent="0.15">
      <c r="B2836" s="69"/>
      <c r="C2836" s="70"/>
      <c r="D2836" s="71"/>
    </row>
    <row r="2837" spans="2:4" x14ac:dyDescent="0.15">
      <c r="B2837" s="69"/>
      <c r="C2837" s="70"/>
      <c r="D2837" s="71"/>
    </row>
    <row r="2838" spans="2:4" x14ac:dyDescent="0.15">
      <c r="B2838" s="69"/>
      <c r="C2838" s="70"/>
      <c r="D2838" s="71"/>
    </row>
    <row r="2839" spans="2:4" x14ac:dyDescent="0.15">
      <c r="B2839" s="69"/>
      <c r="C2839" s="70"/>
      <c r="D2839" s="71"/>
    </row>
    <row r="2840" spans="2:4" x14ac:dyDescent="0.15">
      <c r="B2840" s="69"/>
      <c r="C2840" s="70"/>
      <c r="D2840" s="71"/>
    </row>
    <row r="2841" spans="2:4" x14ac:dyDescent="0.15">
      <c r="B2841" s="69"/>
      <c r="C2841" s="70"/>
      <c r="D2841" s="71"/>
    </row>
    <row r="2842" spans="2:4" x14ac:dyDescent="0.15">
      <c r="B2842" s="69"/>
      <c r="C2842" s="70"/>
      <c r="D2842" s="71"/>
    </row>
    <row r="2843" spans="2:4" x14ac:dyDescent="0.15">
      <c r="B2843" s="69"/>
      <c r="C2843" s="70"/>
      <c r="D2843" s="71"/>
    </row>
    <row r="2844" spans="2:4" x14ac:dyDescent="0.15">
      <c r="B2844" s="69"/>
      <c r="C2844" s="70"/>
      <c r="D2844" s="71"/>
    </row>
    <row r="2845" spans="2:4" x14ac:dyDescent="0.15">
      <c r="B2845" s="69"/>
      <c r="C2845" s="70"/>
      <c r="D2845" s="71"/>
    </row>
    <row r="2846" spans="2:4" x14ac:dyDescent="0.15">
      <c r="B2846" s="69"/>
      <c r="C2846" s="70"/>
      <c r="D2846" s="71"/>
    </row>
    <row r="2847" spans="2:4" x14ac:dyDescent="0.15">
      <c r="B2847" s="69"/>
      <c r="C2847" s="70"/>
      <c r="D2847" s="71"/>
    </row>
    <row r="2848" spans="2:4" x14ac:dyDescent="0.15">
      <c r="B2848" s="69"/>
      <c r="C2848" s="70"/>
      <c r="D2848" s="71"/>
    </row>
    <row r="2849" spans="2:4" x14ac:dyDescent="0.15">
      <c r="B2849" s="69"/>
      <c r="C2849" s="70"/>
      <c r="D2849" s="71"/>
    </row>
    <row r="2850" spans="2:4" x14ac:dyDescent="0.15">
      <c r="B2850" s="69"/>
      <c r="C2850" s="70"/>
      <c r="D2850" s="71"/>
    </row>
    <row r="2851" spans="2:4" x14ac:dyDescent="0.15">
      <c r="B2851" s="69"/>
      <c r="C2851" s="70"/>
      <c r="D2851" s="71"/>
    </row>
    <row r="2852" spans="2:4" x14ac:dyDescent="0.15">
      <c r="B2852" s="69"/>
      <c r="C2852" s="70"/>
      <c r="D2852" s="71"/>
    </row>
    <row r="2853" spans="2:4" x14ac:dyDescent="0.15">
      <c r="B2853" s="69"/>
      <c r="C2853" s="70"/>
      <c r="D2853" s="71"/>
    </row>
    <row r="2854" spans="2:4" x14ac:dyDescent="0.15">
      <c r="B2854" s="69"/>
      <c r="C2854" s="70"/>
      <c r="D2854" s="71"/>
    </row>
    <row r="2855" spans="2:4" x14ac:dyDescent="0.15">
      <c r="B2855" s="69"/>
      <c r="C2855" s="70"/>
      <c r="D2855" s="71"/>
    </row>
    <row r="2856" spans="2:4" x14ac:dyDescent="0.15">
      <c r="B2856" s="69"/>
      <c r="C2856" s="70"/>
      <c r="D2856" s="71"/>
    </row>
    <row r="2857" spans="2:4" x14ac:dyDescent="0.15">
      <c r="B2857" s="69"/>
      <c r="C2857" s="70"/>
      <c r="D2857" s="71"/>
    </row>
    <row r="2858" spans="2:4" x14ac:dyDescent="0.15">
      <c r="B2858" s="69"/>
      <c r="C2858" s="70"/>
      <c r="D2858" s="71"/>
    </row>
    <row r="2859" spans="2:4" x14ac:dyDescent="0.15">
      <c r="B2859" s="69"/>
      <c r="C2859" s="70"/>
      <c r="D2859" s="71"/>
    </row>
    <row r="2860" spans="2:4" x14ac:dyDescent="0.15">
      <c r="B2860" s="69"/>
      <c r="C2860" s="70"/>
      <c r="D2860" s="71"/>
    </row>
    <row r="2861" spans="2:4" x14ac:dyDescent="0.15">
      <c r="B2861" s="69"/>
      <c r="C2861" s="70"/>
      <c r="D2861" s="71"/>
    </row>
    <row r="2862" spans="2:4" x14ac:dyDescent="0.15">
      <c r="B2862" s="69"/>
      <c r="C2862" s="70"/>
      <c r="D2862" s="71"/>
    </row>
    <row r="2863" spans="2:4" x14ac:dyDescent="0.15">
      <c r="B2863" s="69"/>
      <c r="C2863" s="70"/>
      <c r="D2863" s="71"/>
    </row>
  </sheetData>
  <mergeCells count="11">
    <mergeCell ref="B13:D13"/>
    <mergeCell ref="G13:I13"/>
    <mergeCell ref="B14:D14"/>
    <mergeCell ref="G14:I14"/>
    <mergeCell ref="F16:O25"/>
    <mergeCell ref="B1:O3"/>
    <mergeCell ref="B4:O9"/>
    <mergeCell ref="B11:D11"/>
    <mergeCell ref="G11:I11"/>
    <mergeCell ref="B12:D12"/>
    <mergeCell ref="G12:I12"/>
  </mergeCells>
  <pageMargins left="0.75" right="0.75" top="1" bottom="1" header="0.5" footer="0.5"/>
  <pageSetup scale="69" fitToHeight="5" orientation="portrait"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8E7AF-14F1-48F9-A7B0-11ACDCF9F51B}">
  <sheetPr>
    <tabColor theme="9" tint="0.79998168889431442"/>
    <pageSetUpPr fitToPage="1"/>
  </sheetPr>
  <dimension ref="B1:O2863"/>
  <sheetViews>
    <sheetView topLeftCell="A245" workbookViewId="0">
      <selection activeCell="D270" sqref="D270"/>
    </sheetView>
  </sheetViews>
  <sheetFormatPr baseColWidth="10" defaultColWidth="9.1640625" defaultRowHeight="13" x14ac:dyDescent="0.15"/>
  <cols>
    <col min="1" max="1" width="6.83203125" style="63" customWidth="1"/>
    <col min="2" max="2" width="10" style="63" customWidth="1"/>
    <col min="3" max="3" width="11.33203125" style="63" customWidth="1"/>
    <col min="4" max="4" width="11.83203125" style="63" customWidth="1"/>
    <col min="5" max="9" width="9.1640625" style="63"/>
    <col min="10" max="10" width="10.6640625" style="63" customWidth="1"/>
    <col min="11" max="13" width="9.1640625" style="63"/>
    <col min="14" max="14" width="10.83203125" style="63" customWidth="1"/>
    <col min="15" max="15" width="19.5" style="63" customWidth="1"/>
    <col min="16" max="256" width="9.1640625" style="63"/>
    <col min="257" max="257" width="6.83203125" style="63" customWidth="1"/>
    <col min="258" max="258" width="10" style="63" customWidth="1"/>
    <col min="259" max="259" width="11.33203125" style="63" customWidth="1"/>
    <col min="260" max="260" width="11.83203125" style="63" customWidth="1"/>
    <col min="261" max="265" width="9.1640625" style="63"/>
    <col min="266" max="266" width="10.6640625" style="63" customWidth="1"/>
    <col min="267" max="269" width="9.1640625" style="63"/>
    <col min="270" max="270" width="10.83203125" style="63" customWidth="1"/>
    <col min="271" max="271" width="19.5" style="63" customWidth="1"/>
    <col min="272" max="512" width="9.1640625" style="63"/>
    <col min="513" max="513" width="6.83203125" style="63" customWidth="1"/>
    <col min="514" max="514" width="10" style="63" customWidth="1"/>
    <col min="515" max="515" width="11.33203125" style="63" customWidth="1"/>
    <col min="516" max="516" width="11.83203125" style="63" customWidth="1"/>
    <col min="517" max="521" width="9.1640625" style="63"/>
    <col min="522" max="522" width="10.6640625" style="63" customWidth="1"/>
    <col min="523" max="525" width="9.1640625" style="63"/>
    <col min="526" max="526" width="10.83203125" style="63" customWidth="1"/>
    <col min="527" max="527" width="19.5" style="63" customWidth="1"/>
    <col min="528" max="768" width="9.1640625" style="63"/>
    <col min="769" max="769" width="6.83203125" style="63" customWidth="1"/>
    <col min="770" max="770" width="10" style="63" customWidth="1"/>
    <col min="771" max="771" width="11.33203125" style="63" customWidth="1"/>
    <col min="772" max="772" width="11.83203125" style="63" customWidth="1"/>
    <col min="773" max="777" width="9.1640625" style="63"/>
    <col min="778" max="778" width="10.6640625" style="63" customWidth="1"/>
    <col min="779" max="781" width="9.1640625" style="63"/>
    <col min="782" max="782" width="10.83203125" style="63" customWidth="1"/>
    <col min="783" max="783" width="19.5" style="63" customWidth="1"/>
    <col min="784" max="1024" width="9.1640625" style="63"/>
    <col min="1025" max="1025" width="6.83203125" style="63" customWidth="1"/>
    <col min="1026" max="1026" width="10" style="63" customWidth="1"/>
    <col min="1027" max="1027" width="11.33203125" style="63" customWidth="1"/>
    <col min="1028" max="1028" width="11.83203125" style="63" customWidth="1"/>
    <col min="1029" max="1033" width="9.1640625" style="63"/>
    <col min="1034" max="1034" width="10.6640625" style="63" customWidth="1"/>
    <col min="1035" max="1037" width="9.1640625" style="63"/>
    <col min="1038" max="1038" width="10.83203125" style="63" customWidth="1"/>
    <col min="1039" max="1039" width="19.5" style="63" customWidth="1"/>
    <col min="1040" max="1280" width="9.1640625" style="63"/>
    <col min="1281" max="1281" width="6.83203125" style="63" customWidth="1"/>
    <col min="1282" max="1282" width="10" style="63" customWidth="1"/>
    <col min="1283" max="1283" width="11.33203125" style="63" customWidth="1"/>
    <col min="1284" max="1284" width="11.83203125" style="63" customWidth="1"/>
    <col min="1285" max="1289" width="9.1640625" style="63"/>
    <col min="1290" max="1290" width="10.6640625" style="63" customWidth="1"/>
    <col min="1291" max="1293" width="9.1640625" style="63"/>
    <col min="1294" max="1294" width="10.83203125" style="63" customWidth="1"/>
    <col min="1295" max="1295" width="19.5" style="63" customWidth="1"/>
    <col min="1296" max="1536" width="9.1640625" style="63"/>
    <col min="1537" max="1537" width="6.83203125" style="63" customWidth="1"/>
    <col min="1538" max="1538" width="10" style="63" customWidth="1"/>
    <col min="1539" max="1539" width="11.33203125" style="63" customWidth="1"/>
    <col min="1540" max="1540" width="11.83203125" style="63" customWidth="1"/>
    <col min="1541" max="1545" width="9.1640625" style="63"/>
    <col min="1546" max="1546" width="10.6640625" style="63" customWidth="1"/>
    <col min="1547" max="1549" width="9.1640625" style="63"/>
    <col min="1550" max="1550" width="10.83203125" style="63" customWidth="1"/>
    <col min="1551" max="1551" width="19.5" style="63" customWidth="1"/>
    <col min="1552" max="1792" width="9.1640625" style="63"/>
    <col min="1793" max="1793" width="6.83203125" style="63" customWidth="1"/>
    <col min="1794" max="1794" width="10" style="63" customWidth="1"/>
    <col min="1795" max="1795" width="11.33203125" style="63" customWidth="1"/>
    <col min="1796" max="1796" width="11.83203125" style="63" customWidth="1"/>
    <col min="1797" max="1801" width="9.1640625" style="63"/>
    <col min="1802" max="1802" width="10.6640625" style="63" customWidth="1"/>
    <col min="1803" max="1805" width="9.1640625" style="63"/>
    <col min="1806" max="1806" width="10.83203125" style="63" customWidth="1"/>
    <col min="1807" max="1807" width="19.5" style="63" customWidth="1"/>
    <col min="1808" max="2048" width="9.1640625" style="63"/>
    <col min="2049" max="2049" width="6.83203125" style="63" customWidth="1"/>
    <col min="2050" max="2050" width="10" style="63" customWidth="1"/>
    <col min="2051" max="2051" width="11.33203125" style="63" customWidth="1"/>
    <col min="2052" max="2052" width="11.83203125" style="63" customWidth="1"/>
    <col min="2053" max="2057" width="9.1640625" style="63"/>
    <col min="2058" max="2058" width="10.6640625" style="63" customWidth="1"/>
    <col min="2059" max="2061" width="9.1640625" style="63"/>
    <col min="2062" max="2062" width="10.83203125" style="63" customWidth="1"/>
    <col min="2063" max="2063" width="19.5" style="63" customWidth="1"/>
    <col min="2064" max="2304" width="9.1640625" style="63"/>
    <col min="2305" max="2305" width="6.83203125" style="63" customWidth="1"/>
    <col min="2306" max="2306" width="10" style="63" customWidth="1"/>
    <col min="2307" max="2307" width="11.33203125" style="63" customWidth="1"/>
    <col min="2308" max="2308" width="11.83203125" style="63" customWidth="1"/>
    <col min="2309" max="2313" width="9.1640625" style="63"/>
    <col min="2314" max="2314" width="10.6640625" style="63" customWidth="1"/>
    <col min="2315" max="2317" width="9.1640625" style="63"/>
    <col min="2318" max="2318" width="10.83203125" style="63" customWidth="1"/>
    <col min="2319" max="2319" width="19.5" style="63" customWidth="1"/>
    <col min="2320" max="2560" width="9.1640625" style="63"/>
    <col min="2561" max="2561" width="6.83203125" style="63" customWidth="1"/>
    <col min="2562" max="2562" width="10" style="63" customWidth="1"/>
    <col min="2563" max="2563" width="11.33203125" style="63" customWidth="1"/>
    <col min="2564" max="2564" width="11.83203125" style="63" customWidth="1"/>
    <col min="2565" max="2569" width="9.1640625" style="63"/>
    <col min="2570" max="2570" width="10.6640625" style="63" customWidth="1"/>
    <col min="2571" max="2573" width="9.1640625" style="63"/>
    <col min="2574" max="2574" width="10.83203125" style="63" customWidth="1"/>
    <col min="2575" max="2575" width="19.5" style="63" customWidth="1"/>
    <col min="2576" max="2816" width="9.1640625" style="63"/>
    <col min="2817" max="2817" width="6.83203125" style="63" customWidth="1"/>
    <col min="2818" max="2818" width="10" style="63" customWidth="1"/>
    <col min="2819" max="2819" width="11.33203125" style="63" customWidth="1"/>
    <col min="2820" max="2820" width="11.83203125" style="63" customWidth="1"/>
    <col min="2821" max="2825" width="9.1640625" style="63"/>
    <col min="2826" max="2826" width="10.6640625" style="63" customWidth="1"/>
    <col min="2827" max="2829" width="9.1640625" style="63"/>
    <col min="2830" max="2830" width="10.83203125" style="63" customWidth="1"/>
    <col min="2831" max="2831" width="19.5" style="63" customWidth="1"/>
    <col min="2832" max="3072" width="9.1640625" style="63"/>
    <col min="3073" max="3073" width="6.83203125" style="63" customWidth="1"/>
    <col min="3074" max="3074" width="10" style="63" customWidth="1"/>
    <col min="3075" max="3075" width="11.33203125" style="63" customWidth="1"/>
    <col min="3076" max="3076" width="11.83203125" style="63" customWidth="1"/>
    <col min="3077" max="3081" width="9.1640625" style="63"/>
    <col min="3082" max="3082" width="10.6640625" style="63" customWidth="1"/>
    <col min="3083" max="3085" width="9.1640625" style="63"/>
    <col min="3086" max="3086" width="10.83203125" style="63" customWidth="1"/>
    <col min="3087" max="3087" width="19.5" style="63" customWidth="1"/>
    <col min="3088" max="3328" width="9.1640625" style="63"/>
    <col min="3329" max="3329" width="6.83203125" style="63" customWidth="1"/>
    <col min="3330" max="3330" width="10" style="63" customWidth="1"/>
    <col min="3331" max="3331" width="11.33203125" style="63" customWidth="1"/>
    <col min="3332" max="3332" width="11.83203125" style="63" customWidth="1"/>
    <col min="3333" max="3337" width="9.1640625" style="63"/>
    <col min="3338" max="3338" width="10.6640625" style="63" customWidth="1"/>
    <col min="3339" max="3341" width="9.1640625" style="63"/>
    <col min="3342" max="3342" width="10.83203125" style="63" customWidth="1"/>
    <col min="3343" max="3343" width="19.5" style="63" customWidth="1"/>
    <col min="3344" max="3584" width="9.1640625" style="63"/>
    <col min="3585" max="3585" width="6.83203125" style="63" customWidth="1"/>
    <col min="3586" max="3586" width="10" style="63" customWidth="1"/>
    <col min="3587" max="3587" width="11.33203125" style="63" customWidth="1"/>
    <col min="3588" max="3588" width="11.83203125" style="63" customWidth="1"/>
    <col min="3589" max="3593" width="9.1640625" style="63"/>
    <col min="3594" max="3594" width="10.6640625" style="63" customWidth="1"/>
    <col min="3595" max="3597" width="9.1640625" style="63"/>
    <col min="3598" max="3598" width="10.83203125" style="63" customWidth="1"/>
    <col min="3599" max="3599" width="19.5" style="63" customWidth="1"/>
    <col min="3600" max="3840" width="9.1640625" style="63"/>
    <col min="3841" max="3841" width="6.83203125" style="63" customWidth="1"/>
    <col min="3842" max="3842" width="10" style="63" customWidth="1"/>
    <col min="3843" max="3843" width="11.33203125" style="63" customWidth="1"/>
    <col min="3844" max="3844" width="11.83203125" style="63" customWidth="1"/>
    <col min="3845" max="3849" width="9.1640625" style="63"/>
    <col min="3850" max="3850" width="10.6640625" style="63" customWidth="1"/>
    <col min="3851" max="3853" width="9.1640625" style="63"/>
    <col min="3854" max="3854" width="10.83203125" style="63" customWidth="1"/>
    <col min="3855" max="3855" width="19.5" style="63" customWidth="1"/>
    <col min="3856" max="4096" width="9.1640625" style="63"/>
    <col min="4097" max="4097" width="6.83203125" style="63" customWidth="1"/>
    <col min="4098" max="4098" width="10" style="63" customWidth="1"/>
    <col min="4099" max="4099" width="11.33203125" style="63" customWidth="1"/>
    <col min="4100" max="4100" width="11.83203125" style="63" customWidth="1"/>
    <col min="4101" max="4105" width="9.1640625" style="63"/>
    <col min="4106" max="4106" width="10.6640625" style="63" customWidth="1"/>
    <col min="4107" max="4109" width="9.1640625" style="63"/>
    <col min="4110" max="4110" width="10.83203125" style="63" customWidth="1"/>
    <col min="4111" max="4111" width="19.5" style="63" customWidth="1"/>
    <col min="4112" max="4352" width="9.1640625" style="63"/>
    <col min="4353" max="4353" width="6.83203125" style="63" customWidth="1"/>
    <col min="4354" max="4354" width="10" style="63" customWidth="1"/>
    <col min="4355" max="4355" width="11.33203125" style="63" customWidth="1"/>
    <col min="4356" max="4356" width="11.83203125" style="63" customWidth="1"/>
    <col min="4357" max="4361" width="9.1640625" style="63"/>
    <col min="4362" max="4362" width="10.6640625" style="63" customWidth="1"/>
    <col min="4363" max="4365" width="9.1640625" style="63"/>
    <col min="4366" max="4366" width="10.83203125" style="63" customWidth="1"/>
    <col min="4367" max="4367" width="19.5" style="63" customWidth="1"/>
    <col min="4368" max="4608" width="9.1640625" style="63"/>
    <col min="4609" max="4609" width="6.83203125" style="63" customWidth="1"/>
    <col min="4610" max="4610" width="10" style="63" customWidth="1"/>
    <col min="4611" max="4611" width="11.33203125" style="63" customWidth="1"/>
    <col min="4612" max="4612" width="11.83203125" style="63" customWidth="1"/>
    <col min="4613" max="4617" width="9.1640625" style="63"/>
    <col min="4618" max="4618" width="10.6640625" style="63" customWidth="1"/>
    <col min="4619" max="4621" width="9.1640625" style="63"/>
    <col min="4622" max="4622" width="10.83203125" style="63" customWidth="1"/>
    <col min="4623" max="4623" width="19.5" style="63" customWidth="1"/>
    <col min="4624" max="4864" width="9.1640625" style="63"/>
    <col min="4865" max="4865" width="6.83203125" style="63" customWidth="1"/>
    <col min="4866" max="4866" width="10" style="63" customWidth="1"/>
    <col min="4867" max="4867" width="11.33203125" style="63" customWidth="1"/>
    <col min="4868" max="4868" width="11.83203125" style="63" customWidth="1"/>
    <col min="4869" max="4873" width="9.1640625" style="63"/>
    <col min="4874" max="4874" width="10.6640625" style="63" customWidth="1"/>
    <col min="4875" max="4877" width="9.1640625" style="63"/>
    <col min="4878" max="4878" width="10.83203125" style="63" customWidth="1"/>
    <col min="4879" max="4879" width="19.5" style="63" customWidth="1"/>
    <col min="4880" max="5120" width="9.1640625" style="63"/>
    <col min="5121" max="5121" width="6.83203125" style="63" customWidth="1"/>
    <col min="5122" max="5122" width="10" style="63" customWidth="1"/>
    <col min="5123" max="5123" width="11.33203125" style="63" customWidth="1"/>
    <col min="5124" max="5124" width="11.83203125" style="63" customWidth="1"/>
    <col min="5125" max="5129" width="9.1640625" style="63"/>
    <col min="5130" max="5130" width="10.6640625" style="63" customWidth="1"/>
    <col min="5131" max="5133" width="9.1640625" style="63"/>
    <col min="5134" max="5134" width="10.83203125" style="63" customWidth="1"/>
    <col min="5135" max="5135" width="19.5" style="63" customWidth="1"/>
    <col min="5136" max="5376" width="9.1640625" style="63"/>
    <col min="5377" max="5377" width="6.83203125" style="63" customWidth="1"/>
    <col min="5378" max="5378" width="10" style="63" customWidth="1"/>
    <col min="5379" max="5379" width="11.33203125" style="63" customWidth="1"/>
    <col min="5380" max="5380" width="11.83203125" style="63" customWidth="1"/>
    <col min="5381" max="5385" width="9.1640625" style="63"/>
    <col min="5386" max="5386" width="10.6640625" style="63" customWidth="1"/>
    <col min="5387" max="5389" width="9.1640625" style="63"/>
    <col min="5390" max="5390" width="10.83203125" style="63" customWidth="1"/>
    <col min="5391" max="5391" width="19.5" style="63" customWidth="1"/>
    <col min="5392" max="5632" width="9.1640625" style="63"/>
    <col min="5633" max="5633" width="6.83203125" style="63" customWidth="1"/>
    <col min="5634" max="5634" width="10" style="63" customWidth="1"/>
    <col min="5635" max="5635" width="11.33203125" style="63" customWidth="1"/>
    <col min="5636" max="5636" width="11.83203125" style="63" customWidth="1"/>
    <col min="5637" max="5641" width="9.1640625" style="63"/>
    <col min="5642" max="5642" width="10.6640625" style="63" customWidth="1"/>
    <col min="5643" max="5645" width="9.1640625" style="63"/>
    <col min="5646" max="5646" width="10.83203125" style="63" customWidth="1"/>
    <col min="5647" max="5647" width="19.5" style="63" customWidth="1"/>
    <col min="5648" max="5888" width="9.1640625" style="63"/>
    <col min="5889" max="5889" width="6.83203125" style="63" customWidth="1"/>
    <col min="5890" max="5890" width="10" style="63" customWidth="1"/>
    <col min="5891" max="5891" width="11.33203125" style="63" customWidth="1"/>
    <col min="5892" max="5892" width="11.83203125" style="63" customWidth="1"/>
    <col min="5893" max="5897" width="9.1640625" style="63"/>
    <col min="5898" max="5898" width="10.6640625" style="63" customWidth="1"/>
    <col min="5899" max="5901" width="9.1640625" style="63"/>
    <col min="5902" max="5902" width="10.83203125" style="63" customWidth="1"/>
    <col min="5903" max="5903" width="19.5" style="63" customWidth="1"/>
    <col min="5904" max="6144" width="9.1640625" style="63"/>
    <col min="6145" max="6145" width="6.83203125" style="63" customWidth="1"/>
    <col min="6146" max="6146" width="10" style="63" customWidth="1"/>
    <col min="6147" max="6147" width="11.33203125" style="63" customWidth="1"/>
    <col min="6148" max="6148" width="11.83203125" style="63" customWidth="1"/>
    <col min="6149" max="6153" width="9.1640625" style="63"/>
    <col min="6154" max="6154" width="10.6640625" style="63" customWidth="1"/>
    <col min="6155" max="6157" width="9.1640625" style="63"/>
    <col min="6158" max="6158" width="10.83203125" style="63" customWidth="1"/>
    <col min="6159" max="6159" width="19.5" style="63" customWidth="1"/>
    <col min="6160" max="6400" width="9.1640625" style="63"/>
    <col min="6401" max="6401" width="6.83203125" style="63" customWidth="1"/>
    <col min="6402" max="6402" width="10" style="63" customWidth="1"/>
    <col min="6403" max="6403" width="11.33203125" style="63" customWidth="1"/>
    <col min="6404" max="6404" width="11.83203125" style="63" customWidth="1"/>
    <col min="6405" max="6409" width="9.1640625" style="63"/>
    <col min="6410" max="6410" width="10.6640625" style="63" customWidth="1"/>
    <col min="6411" max="6413" width="9.1640625" style="63"/>
    <col min="6414" max="6414" width="10.83203125" style="63" customWidth="1"/>
    <col min="6415" max="6415" width="19.5" style="63" customWidth="1"/>
    <col min="6416" max="6656" width="9.1640625" style="63"/>
    <col min="6657" max="6657" width="6.83203125" style="63" customWidth="1"/>
    <col min="6658" max="6658" width="10" style="63" customWidth="1"/>
    <col min="6659" max="6659" width="11.33203125" style="63" customWidth="1"/>
    <col min="6660" max="6660" width="11.83203125" style="63" customWidth="1"/>
    <col min="6661" max="6665" width="9.1640625" style="63"/>
    <col min="6666" max="6666" width="10.6640625" style="63" customWidth="1"/>
    <col min="6667" max="6669" width="9.1640625" style="63"/>
    <col min="6670" max="6670" width="10.83203125" style="63" customWidth="1"/>
    <col min="6671" max="6671" width="19.5" style="63" customWidth="1"/>
    <col min="6672" max="6912" width="9.1640625" style="63"/>
    <col min="6913" max="6913" width="6.83203125" style="63" customWidth="1"/>
    <col min="6914" max="6914" width="10" style="63" customWidth="1"/>
    <col min="6915" max="6915" width="11.33203125" style="63" customWidth="1"/>
    <col min="6916" max="6916" width="11.83203125" style="63" customWidth="1"/>
    <col min="6917" max="6921" width="9.1640625" style="63"/>
    <col min="6922" max="6922" width="10.6640625" style="63" customWidth="1"/>
    <col min="6923" max="6925" width="9.1640625" style="63"/>
    <col min="6926" max="6926" width="10.83203125" style="63" customWidth="1"/>
    <col min="6927" max="6927" width="19.5" style="63" customWidth="1"/>
    <col min="6928" max="7168" width="9.1640625" style="63"/>
    <col min="7169" max="7169" width="6.83203125" style="63" customWidth="1"/>
    <col min="7170" max="7170" width="10" style="63" customWidth="1"/>
    <col min="7171" max="7171" width="11.33203125" style="63" customWidth="1"/>
    <col min="7172" max="7172" width="11.83203125" style="63" customWidth="1"/>
    <col min="7173" max="7177" width="9.1640625" style="63"/>
    <col min="7178" max="7178" width="10.6640625" style="63" customWidth="1"/>
    <col min="7179" max="7181" width="9.1640625" style="63"/>
    <col min="7182" max="7182" width="10.83203125" style="63" customWidth="1"/>
    <col min="7183" max="7183" width="19.5" style="63" customWidth="1"/>
    <col min="7184" max="7424" width="9.1640625" style="63"/>
    <col min="7425" max="7425" width="6.83203125" style="63" customWidth="1"/>
    <col min="7426" max="7426" width="10" style="63" customWidth="1"/>
    <col min="7427" max="7427" width="11.33203125" style="63" customWidth="1"/>
    <col min="7428" max="7428" width="11.83203125" style="63" customWidth="1"/>
    <col min="7429" max="7433" width="9.1640625" style="63"/>
    <col min="7434" max="7434" width="10.6640625" style="63" customWidth="1"/>
    <col min="7435" max="7437" width="9.1640625" style="63"/>
    <col min="7438" max="7438" width="10.83203125" style="63" customWidth="1"/>
    <col min="7439" max="7439" width="19.5" style="63" customWidth="1"/>
    <col min="7440" max="7680" width="9.1640625" style="63"/>
    <col min="7681" max="7681" width="6.83203125" style="63" customWidth="1"/>
    <col min="7682" max="7682" width="10" style="63" customWidth="1"/>
    <col min="7683" max="7683" width="11.33203125" style="63" customWidth="1"/>
    <col min="7684" max="7684" width="11.83203125" style="63" customWidth="1"/>
    <col min="7685" max="7689" width="9.1640625" style="63"/>
    <col min="7690" max="7690" width="10.6640625" style="63" customWidth="1"/>
    <col min="7691" max="7693" width="9.1640625" style="63"/>
    <col min="7694" max="7694" width="10.83203125" style="63" customWidth="1"/>
    <col min="7695" max="7695" width="19.5" style="63" customWidth="1"/>
    <col min="7696" max="7936" width="9.1640625" style="63"/>
    <col min="7937" max="7937" width="6.83203125" style="63" customWidth="1"/>
    <col min="7938" max="7938" width="10" style="63" customWidth="1"/>
    <col min="7939" max="7939" width="11.33203125" style="63" customWidth="1"/>
    <col min="7940" max="7940" width="11.83203125" style="63" customWidth="1"/>
    <col min="7941" max="7945" width="9.1640625" style="63"/>
    <col min="7946" max="7946" width="10.6640625" style="63" customWidth="1"/>
    <col min="7947" max="7949" width="9.1640625" style="63"/>
    <col min="7950" max="7950" width="10.83203125" style="63" customWidth="1"/>
    <col min="7951" max="7951" width="19.5" style="63" customWidth="1"/>
    <col min="7952" max="8192" width="9.1640625" style="63"/>
    <col min="8193" max="8193" width="6.83203125" style="63" customWidth="1"/>
    <col min="8194" max="8194" width="10" style="63" customWidth="1"/>
    <col min="8195" max="8195" width="11.33203125" style="63" customWidth="1"/>
    <col min="8196" max="8196" width="11.83203125" style="63" customWidth="1"/>
    <col min="8197" max="8201" width="9.1640625" style="63"/>
    <col min="8202" max="8202" width="10.6640625" style="63" customWidth="1"/>
    <col min="8203" max="8205" width="9.1640625" style="63"/>
    <col min="8206" max="8206" width="10.83203125" style="63" customWidth="1"/>
    <col min="8207" max="8207" width="19.5" style="63" customWidth="1"/>
    <col min="8208" max="8448" width="9.1640625" style="63"/>
    <col min="8449" max="8449" width="6.83203125" style="63" customWidth="1"/>
    <col min="8450" max="8450" width="10" style="63" customWidth="1"/>
    <col min="8451" max="8451" width="11.33203125" style="63" customWidth="1"/>
    <col min="8452" max="8452" width="11.83203125" style="63" customWidth="1"/>
    <col min="8453" max="8457" width="9.1640625" style="63"/>
    <col min="8458" max="8458" width="10.6640625" style="63" customWidth="1"/>
    <col min="8459" max="8461" width="9.1640625" style="63"/>
    <col min="8462" max="8462" width="10.83203125" style="63" customWidth="1"/>
    <col min="8463" max="8463" width="19.5" style="63" customWidth="1"/>
    <col min="8464" max="8704" width="9.1640625" style="63"/>
    <col min="8705" max="8705" width="6.83203125" style="63" customWidth="1"/>
    <col min="8706" max="8706" width="10" style="63" customWidth="1"/>
    <col min="8707" max="8707" width="11.33203125" style="63" customWidth="1"/>
    <col min="8708" max="8708" width="11.83203125" style="63" customWidth="1"/>
    <col min="8709" max="8713" width="9.1640625" style="63"/>
    <col min="8714" max="8714" width="10.6640625" style="63" customWidth="1"/>
    <col min="8715" max="8717" width="9.1640625" style="63"/>
    <col min="8718" max="8718" width="10.83203125" style="63" customWidth="1"/>
    <col min="8719" max="8719" width="19.5" style="63" customWidth="1"/>
    <col min="8720" max="8960" width="9.1640625" style="63"/>
    <col min="8961" max="8961" width="6.83203125" style="63" customWidth="1"/>
    <col min="8962" max="8962" width="10" style="63" customWidth="1"/>
    <col min="8963" max="8963" width="11.33203125" style="63" customWidth="1"/>
    <col min="8964" max="8964" width="11.83203125" style="63" customWidth="1"/>
    <col min="8965" max="8969" width="9.1640625" style="63"/>
    <col min="8970" max="8970" width="10.6640625" style="63" customWidth="1"/>
    <col min="8971" max="8973" width="9.1640625" style="63"/>
    <col min="8974" max="8974" width="10.83203125" style="63" customWidth="1"/>
    <col min="8975" max="8975" width="19.5" style="63" customWidth="1"/>
    <col min="8976" max="9216" width="9.1640625" style="63"/>
    <col min="9217" max="9217" width="6.83203125" style="63" customWidth="1"/>
    <col min="9218" max="9218" width="10" style="63" customWidth="1"/>
    <col min="9219" max="9219" width="11.33203125" style="63" customWidth="1"/>
    <col min="9220" max="9220" width="11.83203125" style="63" customWidth="1"/>
    <col min="9221" max="9225" width="9.1640625" style="63"/>
    <col min="9226" max="9226" width="10.6640625" style="63" customWidth="1"/>
    <col min="9227" max="9229" width="9.1640625" style="63"/>
    <col min="9230" max="9230" width="10.83203125" style="63" customWidth="1"/>
    <col min="9231" max="9231" width="19.5" style="63" customWidth="1"/>
    <col min="9232" max="9472" width="9.1640625" style="63"/>
    <col min="9473" max="9473" width="6.83203125" style="63" customWidth="1"/>
    <col min="9474" max="9474" width="10" style="63" customWidth="1"/>
    <col min="9475" max="9475" width="11.33203125" style="63" customWidth="1"/>
    <col min="9476" max="9476" width="11.83203125" style="63" customWidth="1"/>
    <col min="9477" max="9481" width="9.1640625" style="63"/>
    <col min="9482" max="9482" width="10.6640625" style="63" customWidth="1"/>
    <col min="9483" max="9485" width="9.1640625" style="63"/>
    <col min="9486" max="9486" width="10.83203125" style="63" customWidth="1"/>
    <col min="9487" max="9487" width="19.5" style="63" customWidth="1"/>
    <col min="9488" max="9728" width="9.1640625" style="63"/>
    <col min="9729" max="9729" width="6.83203125" style="63" customWidth="1"/>
    <col min="9730" max="9730" width="10" style="63" customWidth="1"/>
    <col min="9731" max="9731" width="11.33203125" style="63" customWidth="1"/>
    <col min="9732" max="9732" width="11.83203125" style="63" customWidth="1"/>
    <col min="9733" max="9737" width="9.1640625" style="63"/>
    <col min="9738" max="9738" width="10.6640625" style="63" customWidth="1"/>
    <col min="9739" max="9741" width="9.1640625" style="63"/>
    <col min="9742" max="9742" width="10.83203125" style="63" customWidth="1"/>
    <col min="9743" max="9743" width="19.5" style="63" customWidth="1"/>
    <col min="9744" max="9984" width="9.1640625" style="63"/>
    <col min="9985" max="9985" width="6.83203125" style="63" customWidth="1"/>
    <col min="9986" max="9986" width="10" style="63" customWidth="1"/>
    <col min="9987" max="9987" width="11.33203125" style="63" customWidth="1"/>
    <col min="9988" max="9988" width="11.83203125" style="63" customWidth="1"/>
    <col min="9989" max="9993" width="9.1640625" style="63"/>
    <col min="9994" max="9994" width="10.6640625" style="63" customWidth="1"/>
    <col min="9995" max="9997" width="9.1640625" style="63"/>
    <col min="9998" max="9998" width="10.83203125" style="63" customWidth="1"/>
    <col min="9999" max="9999" width="19.5" style="63" customWidth="1"/>
    <col min="10000" max="10240" width="9.1640625" style="63"/>
    <col min="10241" max="10241" width="6.83203125" style="63" customWidth="1"/>
    <col min="10242" max="10242" width="10" style="63" customWidth="1"/>
    <col min="10243" max="10243" width="11.33203125" style="63" customWidth="1"/>
    <col min="10244" max="10244" width="11.83203125" style="63" customWidth="1"/>
    <col min="10245" max="10249" width="9.1640625" style="63"/>
    <col min="10250" max="10250" width="10.6640625" style="63" customWidth="1"/>
    <col min="10251" max="10253" width="9.1640625" style="63"/>
    <col min="10254" max="10254" width="10.83203125" style="63" customWidth="1"/>
    <col min="10255" max="10255" width="19.5" style="63" customWidth="1"/>
    <col min="10256" max="10496" width="9.1640625" style="63"/>
    <col min="10497" max="10497" width="6.83203125" style="63" customWidth="1"/>
    <col min="10498" max="10498" width="10" style="63" customWidth="1"/>
    <col min="10499" max="10499" width="11.33203125" style="63" customWidth="1"/>
    <col min="10500" max="10500" width="11.83203125" style="63" customWidth="1"/>
    <col min="10501" max="10505" width="9.1640625" style="63"/>
    <col min="10506" max="10506" width="10.6640625" style="63" customWidth="1"/>
    <col min="10507" max="10509" width="9.1640625" style="63"/>
    <col min="10510" max="10510" width="10.83203125" style="63" customWidth="1"/>
    <col min="10511" max="10511" width="19.5" style="63" customWidth="1"/>
    <col min="10512" max="10752" width="9.1640625" style="63"/>
    <col min="10753" max="10753" width="6.83203125" style="63" customWidth="1"/>
    <col min="10754" max="10754" width="10" style="63" customWidth="1"/>
    <col min="10755" max="10755" width="11.33203125" style="63" customWidth="1"/>
    <col min="10756" max="10756" width="11.83203125" style="63" customWidth="1"/>
    <col min="10757" max="10761" width="9.1640625" style="63"/>
    <col min="10762" max="10762" width="10.6640625" style="63" customWidth="1"/>
    <col min="10763" max="10765" width="9.1640625" style="63"/>
    <col min="10766" max="10766" width="10.83203125" style="63" customWidth="1"/>
    <col min="10767" max="10767" width="19.5" style="63" customWidth="1"/>
    <col min="10768" max="11008" width="9.1640625" style="63"/>
    <col min="11009" max="11009" width="6.83203125" style="63" customWidth="1"/>
    <col min="11010" max="11010" width="10" style="63" customWidth="1"/>
    <col min="11011" max="11011" width="11.33203125" style="63" customWidth="1"/>
    <col min="11012" max="11012" width="11.83203125" style="63" customWidth="1"/>
    <col min="11013" max="11017" width="9.1640625" style="63"/>
    <col min="11018" max="11018" width="10.6640625" style="63" customWidth="1"/>
    <col min="11019" max="11021" width="9.1640625" style="63"/>
    <col min="11022" max="11022" width="10.83203125" style="63" customWidth="1"/>
    <col min="11023" max="11023" width="19.5" style="63" customWidth="1"/>
    <col min="11024" max="11264" width="9.1640625" style="63"/>
    <col min="11265" max="11265" width="6.83203125" style="63" customWidth="1"/>
    <col min="11266" max="11266" width="10" style="63" customWidth="1"/>
    <col min="11267" max="11267" width="11.33203125" style="63" customWidth="1"/>
    <col min="11268" max="11268" width="11.83203125" style="63" customWidth="1"/>
    <col min="11269" max="11273" width="9.1640625" style="63"/>
    <col min="11274" max="11274" width="10.6640625" style="63" customWidth="1"/>
    <col min="11275" max="11277" width="9.1640625" style="63"/>
    <col min="11278" max="11278" width="10.83203125" style="63" customWidth="1"/>
    <col min="11279" max="11279" width="19.5" style="63" customWidth="1"/>
    <col min="11280" max="11520" width="9.1640625" style="63"/>
    <col min="11521" max="11521" width="6.83203125" style="63" customWidth="1"/>
    <col min="11522" max="11522" width="10" style="63" customWidth="1"/>
    <col min="11523" max="11523" width="11.33203125" style="63" customWidth="1"/>
    <col min="11524" max="11524" width="11.83203125" style="63" customWidth="1"/>
    <col min="11525" max="11529" width="9.1640625" style="63"/>
    <col min="11530" max="11530" width="10.6640625" style="63" customWidth="1"/>
    <col min="11531" max="11533" width="9.1640625" style="63"/>
    <col min="11534" max="11534" width="10.83203125" style="63" customWidth="1"/>
    <col min="11535" max="11535" width="19.5" style="63" customWidth="1"/>
    <col min="11536" max="11776" width="9.1640625" style="63"/>
    <col min="11777" max="11777" width="6.83203125" style="63" customWidth="1"/>
    <col min="11778" max="11778" width="10" style="63" customWidth="1"/>
    <col min="11779" max="11779" width="11.33203125" style="63" customWidth="1"/>
    <col min="11780" max="11780" width="11.83203125" style="63" customWidth="1"/>
    <col min="11781" max="11785" width="9.1640625" style="63"/>
    <col min="11786" max="11786" width="10.6640625" style="63" customWidth="1"/>
    <col min="11787" max="11789" width="9.1640625" style="63"/>
    <col min="11790" max="11790" width="10.83203125" style="63" customWidth="1"/>
    <col min="11791" max="11791" width="19.5" style="63" customWidth="1"/>
    <col min="11792" max="12032" width="9.1640625" style="63"/>
    <col min="12033" max="12033" width="6.83203125" style="63" customWidth="1"/>
    <col min="12034" max="12034" width="10" style="63" customWidth="1"/>
    <col min="12035" max="12035" width="11.33203125" style="63" customWidth="1"/>
    <col min="12036" max="12036" width="11.83203125" style="63" customWidth="1"/>
    <col min="12037" max="12041" width="9.1640625" style="63"/>
    <col min="12042" max="12042" width="10.6640625" style="63" customWidth="1"/>
    <col min="12043" max="12045" width="9.1640625" style="63"/>
    <col min="12046" max="12046" width="10.83203125" style="63" customWidth="1"/>
    <col min="12047" max="12047" width="19.5" style="63" customWidth="1"/>
    <col min="12048" max="12288" width="9.1640625" style="63"/>
    <col min="12289" max="12289" width="6.83203125" style="63" customWidth="1"/>
    <col min="12290" max="12290" width="10" style="63" customWidth="1"/>
    <col min="12291" max="12291" width="11.33203125" style="63" customWidth="1"/>
    <col min="12292" max="12292" width="11.83203125" style="63" customWidth="1"/>
    <col min="12293" max="12297" width="9.1640625" style="63"/>
    <col min="12298" max="12298" width="10.6640625" style="63" customWidth="1"/>
    <col min="12299" max="12301" width="9.1640625" style="63"/>
    <col min="12302" max="12302" width="10.83203125" style="63" customWidth="1"/>
    <col min="12303" max="12303" width="19.5" style="63" customWidth="1"/>
    <col min="12304" max="12544" width="9.1640625" style="63"/>
    <col min="12545" max="12545" width="6.83203125" style="63" customWidth="1"/>
    <col min="12546" max="12546" width="10" style="63" customWidth="1"/>
    <col min="12547" max="12547" width="11.33203125" style="63" customWidth="1"/>
    <col min="12548" max="12548" width="11.83203125" style="63" customWidth="1"/>
    <col min="12549" max="12553" width="9.1640625" style="63"/>
    <col min="12554" max="12554" width="10.6640625" style="63" customWidth="1"/>
    <col min="12555" max="12557" width="9.1640625" style="63"/>
    <col min="12558" max="12558" width="10.83203125" style="63" customWidth="1"/>
    <col min="12559" max="12559" width="19.5" style="63" customWidth="1"/>
    <col min="12560" max="12800" width="9.1640625" style="63"/>
    <col min="12801" max="12801" width="6.83203125" style="63" customWidth="1"/>
    <col min="12802" max="12802" width="10" style="63" customWidth="1"/>
    <col min="12803" max="12803" width="11.33203125" style="63" customWidth="1"/>
    <col min="12804" max="12804" width="11.83203125" style="63" customWidth="1"/>
    <col min="12805" max="12809" width="9.1640625" style="63"/>
    <col min="12810" max="12810" width="10.6640625" style="63" customWidth="1"/>
    <col min="12811" max="12813" width="9.1640625" style="63"/>
    <col min="12814" max="12814" width="10.83203125" style="63" customWidth="1"/>
    <col min="12815" max="12815" width="19.5" style="63" customWidth="1"/>
    <col min="12816" max="13056" width="9.1640625" style="63"/>
    <col min="13057" max="13057" width="6.83203125" style="63" customWidth="1"/>
    <col min="13058" max="13058" width="10" style="63" customWidth="1"/>
    <col min="13059" max="13059" width="11.33203125" style="63" customWidth="1"/>
    <col min="13060" max="13060" width="11.83203125" style="63" customWidth="1"/>
    <col min="13061" max="13065" width="9.1640625" style="63"/>
    <col min="13066" max="13066" width="10.6640625" style="63" customWidth="1"/>
    <col min="13067" max="13069" width="9.1640625" style="63"/>
    <col min="13070" max="13070" width="10.83203125" style="63" customWidth="1"/>
    <col min="13071" max="13071" width="19.5" style="63" customWidth="1"/>
    <col min="13072" max="13312" width="9.1640625" style="63"/>
    <col min="13313" max="13313" width="6.83203125" style="63" customWidth="1"/>
    <col min="13314" max="13314" width="10" style="63" customWidth="1"/>
    <col min="13315" max="13315" width="11.33203125" style="63" customWidth="1"/>
    <col min="13316" max="13316" width="11.83203125" style="63" customWidth="1"/>
    <col min="13317" max="13321" width="9.1640625" style="63"/>
    <col min="13322" max="13322" width="10.6640625" style="63" customWidth="1"/>
    <col min="13323" max="13325" width="9.1640625" style="63"/>
    <col min="13326" max="13326" width="10.83203125" style="63" customWidth="1"/>
    <col min="13327" max="13327" width="19.5" style="63" customWidth="1"/>
    <col min="13328" max="13568" width="9.1640625" style="63"/>
    <col min="13569" max="13569" width="6.83203125" style="63" customWidth="1"/>
    <col min="13570" max="13570" width="10" style="63" customWidth="1"/>
    <col min="13571" max="13571" width="11.33203125" style="63" customWidth="1"/>
    <col min="13572" max="13572" width="11.83203125" style="63" customWidth="1"/>
    <col min="13573" max="13577" width="9.1640625" style="63"/>
    <col min="13578" max="13578" width="10.6640625" style="63" customWidth="1"/>
    <col min="13579" max="13581" width="9.1640625" style="63"/>
    <col min="13582" max="13582" width="10.83203125" style="63" customWidth="1"/>
    <col min="13583" max="13583" width="19.5" style="63" customWidth="1"/>
    <col min="13584" max="13824" width="9.1640625" style="63"/>
    <col min="13825" max="13825" width="6.83203125" style="63" customWidth="1"/>
    <col min="13826" max="13826" width="10" style="63" customWidth="1"/>
    <col min="13827" max="13827" width="11.33203125" style="63" customWidth="1"/>
    <col min="13828" max="13828" width="11.83203125" style="63" customWidth="1"/>
    <col min="13829" max="13833" width="9.1640625" style="63"/>
    <col min="13834" max="13834" width="10.6640625" style="63" customWidth="1"/>
    <col min="13835" max="13837" width="9.1640625" style="63"/>
    <col min="13838" max="13838" width="10.83203125" style="63" customWidth="1"/>
    <col min="13839" max="13839" width="19.5" style="63" customWidth="1"/>
    <col min="13840" max="14080" width="9.1640625" style="63"/>
    <col min="14081" max="14081" width="6.83203125" style="63" customWidth="1"/>
    <col min="14082" max="14082" width="10" style="63" customWidth="1"/>
    <col min="14083" max="14083" width="11.33203125" style="63" customWidth="1"/>
    <col min="14084" max="14084" width="11.83203125" style="63" customWidth="1"/>
    <col min="14085" max="14089" width="9.1640625" style="63"/>
    <col min="14090" max="14090" width="10.6640625" style="63" customWidth="1"/>
    <col min="14091" max="14093" width="9.1640625" style="63"/>
    <col min="14094" max="14094" width="10.83203125" style="63" customWidth="1"/>
    <col min="14095" max="14095" width="19.5" style="63" customWidth="1"/>
    <col min="14096" max="14336" width="9.1640625" style="63"/>
    <col min="14337" max="14337" width="6.83203125" style="63" customWidth="1"/>
    <col min="14338" max="14338" width="10" style="63" customWidth="1"/>
    <col min="14339" max="14339" width="11.33203125" style="63" customWidth="1"/>
    <col min="14340" max="14340" width="11.83203125" style="63" customWidth="1"/>
    <col min="14341" max="14345" width="9.1640625" style="63"/>
    <col min="14346" max="14346" width="10.6640625" style="63" customWidth="1"/>
    <col min="14347" max="14349" width="9.1640625" style="63"/>
    <col min="14350" max="14350" width="10.83203125" style="63" customWidth="1"/>
    <col min="14351" max="14351" width="19.5" style="63" customWidth="1"/>
    <col min="14352" max="14592" width="9.1640625" style="63"/>
    <col min="14593" max="14593" width="6.83203125" style="63" customWidth="1"/>
    <col min="14594" max="14594" width="10" style="63" customWidth="1"/>
    <col min="14595" max="14595" width="11.33203125" style="63" customWidth="1"/>
    <col min="14596" max="14596" width="11.83203125" style="63" customWidth="1"/>
    <col min="14597" max="14601" width="9.1640625" style="63"/>
    <col min="14602" max="14602" width="10.6640625" style="63" customWidth="1"/>
    <col min="14603" max="14605" width="9.1640625" style="63"/>
    <col min="14606" max="14606" width="10.83203125" style="63" customWidth="1"/>
    <col min="14607" max="14607" width="19.5" style="63" customWidth="1"/>
    <col min="14608" max="14848" width="9.1640625" style="63"/>
    <col min="14849" max="14849" width="6.83203125" style="63" customWidth="1"/>
    <col min="14850" max="14850" width="10" style="63" customWidth="1"/>
    <col min="14851" max="14851" width="11.33203125" style="63" customWidth="1"/>
    <col min="14852" max="14852" width="11.83203125" style="63" customWidth="1"/>
    <col min="14853" max="14857" width="9.1640625" style="63"/>
    <col min="14858" max="14858" width="10.6640625" style="63" customWidth="1"/>
    <col min="14859" max="14861" width="9.1640625" style="63"/>
    <col min="14862" max="14862" width="10.83203125" style="63" customWidth="1"/>
    <col min="14863" max="14863" width="19.5" style="63" customWidth="1"/>
    <col min="14864" max="15104" width="9.1640625" style="63"/>
    <col min="15105" max="15105" width="6.83203125" style="63" customWidth="1"/>
    <col min="15106" max="15106" width="10" style="63" customWidth="1"/>
    <col min="15107" max="15107" width="11.33203125" style="63" customWidth="1"/>
    <col min="15108" max="15108" width="11.83203125" style="63" customWidth="1"/>
    <col min="15109" max="15113" width="9.1640625" style="63"/>
    <col min="15114" max="15114" width="10.6640625" style="63" customWidth="1"/>
    <col min="15115" max="15117" width="9.1640625" style="63"/>
    <col min="15118" max="15118" width="10.83203125" style="63" customWidth="1"/>
    <col min="15119" max="15119" width="19.5" style="63" customWidth="1"/>
    <col min="15120" max="15360" width="9.1640625" style="63"/>
    <col min="15361" max="15361" width="6.83203125" style="63" customWidth="1"/>
    <col min="15362" max="15362" width="10" style="63" customWidth="1"/>
    <col min="15363" max="15363" width="11.33203125" style="63" customWidth="1"/>
    <col min="15364" max="15364" width="11.83203125" style="63" customWidth="1"/>
    <col min="15365" max="15369" width="9.1640625" style="63"/>
    <col min="15370" max="15370" width="10.6640625" style="63" customWidth="1"/>
    <col min="15371" max="15373" width="9.1640625" style="63"/>
    <col min="15374" max="15374" width="10.83203125" style="63" customWidth="1"/>
    <col min="15375" max="15375" width="19.5" style="63" customWidth="1"/>
    <col min="15376" max="15616" width="9.1640625" style="63"/>
    <col min="15617" max="15617" width="6.83203125" style="63" customWidth="1"/>
    <col min="15618" max="15618" width="10" style="63" customWidth="1"/>
    <col min="15619" max="15619" width="11.33203125" style="63" customWidth="1"/>
    <col min="15620" max="15620" width="11.83203125" style="63" customWidth="1"/>
    <col min="15621" max="15625" width="9.1640625" style="63"/>
    <col min="15626" max="15626" width="10.6640625" style="63" customWidth="1"/>
    <col min="15627" max="15629" width="9.1640625" style="63"/>
    <col min="15630" max="15630" width="10.83203125" style="63" customWidth="1"/>
    <col min="15631" max="15631" width="19.5" style="63" customWidth="1"/>
    <col min="15632" max="15872" width="9.1640625" style="63"/>
    <col min="15873" max="15873" width="6.83203125" style="63" customWidth="1"/>
    <col min="15874" max="15874" width="10" style="63" customWidth="1"/>
    <col min="15875" max="15875" width="11.33203125" style="63" customWidth="1"/>
    <col min="15876" max="15876" width="11.83203125" style="63" customWidth="1"/>
    <col min="15877" max="15881" width="9.1640625" style="63"/>
    <col min="15882" max="15882" width="10.6640625" style="63" customWidth="1"/>
    <col min="15883" max="15885" width="9.1640625" style="63"/>
    <col min="15886" max="15886" width="10.83203125" style="63" customWidth="1"/>
    <col min="15887" max="15887" width="19.5" style="63" customWidth="1"/>
    <col min="15888" max="16128" width="9.1640625" style="63"/>
    <col min="16129" max="16129" width="6.83203125" style="63" customWidth="1"/>
    <col min="16130" max="16130" width="10" style="63" customWidth="1"/>
    <col min="16131" max="16131" width="11.33203125" style="63" customWidth="1"/>
    <col min="16132" max="16132" width="11.83203125" style="63" customWidth="1"/>
    <col min="16133" max="16137" width="9.1640625" style="63"/>
    <col min="16138" max="16138" width="10.6640625" style="63" customWidth="1"/>
    <col min="16139" max="16141" width="9.1640625" style="63"/>
    <col min="16142" max="16142" width="10.83203125" style="63" customWidth="1"/>
    <col min="16143" max="16143" width="19.5" style="63" customWidth="1"/>
    <col min="16144" max="16384" width="9.1640625" style="63"/>
  </cols>
  <sheetData>
    <row r="1" spans="2:15" ht="18" customHeight="1" x14ac:dyDescent="0.15">
      <c r="B1" s="113" t="s">
        <v>88</v>
      </c>
      <c r="C1" s="113"/>
      <c r="D1" s="113"/>
      <c r="E1" s="113"/>
      <c r="F1" s="113"/>
      <c r="G1" s="113"/>
      <c r="H1" s="113"/>
      <c r="I1" s="113"/>
      <c r="J1" s="113"/>
      <c r="K1" s="113"/>
      <c r="L1" s="113"/>
      <c r="M1" s="113"/>
      <c r="N1" s="113"/>
      <c r="O1" s="113"/>
    </row>
    <row r="2" spans="2:15" x14ac:dyDescent="0.15">
      <c r="B2" s="113"/>
      <c r="C2" s="113"/>
      <c r="D2" s="113"/>
      <c r="E2" s="113"/>
      <c r="F2" s="113"/>
      <c r="G2" s="113"/>
      <c r="H2" s="113"/>
      <c r="I2" s="113"/>
      <c r="J2" s="113"/>
      <c r="K2" s="113"/>
      <c r="L2" s="113"/>
      <c r="M2" s="113"/>
      <c r="N2" s="113"/>
      <c r="O2" s="113"/>
    </row>
    <row r="3" spans="2:15" x14ac:dyDescent="0.15">
      <c r="B3" s="113"/>
      <c r="C3" s="113"/>
      <c r="D3" s="113"/>
      <c r="E3" s="113"/>
      <c r="F3" s="113"/>
      <c r="G3" s="113"/>
      <c r="H3" s="113"/>
      <c r="I3" s="113"/>
      <c r="J3" s="113"/>
      <c r="K3" s="113"/>
      <c r="L3" s="113"/>
      <c r="M3" s="113"/>
      <c r="N3" s="113"/>
      <c r="O3" s="113"/>
    </row>
    <row r="4" spans="2:15" ht="21" customHeight="1" x14ac:dyDescent="0.15">
      <c r="B4" s="114" t="s">
        <v>89</v>
      </c>
      <c r="C4" s="114"/>
      <c r="D4" s="114"/>
      <c r="E4" s="114"/>
      <c r="F4" s="114"/>
      <c r="G4" s="114"/>
      <c r="H4" s="114"/>
      <c r="I4" s="114"/>
      <c r="J4" s="114"/>
      <c r="K4" s="114"/>
      <c r="L4" s="114"/>
      <c r="M4" s="114"/>
      <c r="N4" s="114"/>
      <c r="O4" s="114"/>
    </row>
    <row r="5" spans="2:15" ht="19.5" customHeight="1" x14ac:dyDescent="0.15">
      <c r="B5" s="114"/>
      <c r="C5" s="114"/>
      <c r="D5" s="114"/>
      <c r="E5" s="114"/>
      <c r="F5" s="114"/>
      <c r="G5" s="114"/>
      <c r="H5" s="114"/>
      <c r="I5" s="114"/>
      <c r="J5" s="114"/>
      <c r="K5" s="114"/>
      <c r="L5" s="114"/>
      <c r="M5" s="114"/>
      <c r="N5" s="114"/>
      <c r="O5" s="114"/>
    </row>
    <row r="6" spans="2:15" ht="18" customHeight="1" x14ac:dyDescent="0.15">
      <c r="B6" s="114"/>
      <c r="C6" s="114"/>
      <c r="D6" s="114"/>
      <c r="E6" s="114"/>
      <c r="F6" s="114"/>
      <c r="G6" s="114"/>
      <c r="H6" s="114"/>
      <c r="I6" s="114"/>
      <c r="J6" s="114"/>
      <c r="K6" s="114"/>
      <c r="L6" s="114"/>
      <c r="M6" s="114"/>
      <c r="N6" s="114"/>
      <c r="O6" s="114"/>
    </row>
    <row r="7" spans="2:15" ht="19.5" customHeight="1" x14ac:dyDescent="0.15">
      <c r="B7" s="114"/>
      <c r="C7" s="114"/>
      <c r="D7" s="114"/>
      <c r="E7" s="114"/>
      <c r="F7" s="114"/>
      <c r="G7" s="114"/>
      <c r="H7" s="114"/>
      <c r="I7" s="114"/>
      <c r="J7" s="114"/>
      <c r="K7" s="114"/>
      <c r="L7" s="114"/>
      <c r="M7" s="114"/>
      <c r="N7" s="114"/>
      <c r="O7" s="114"/>
    </row>
    <row r="8" spans="2:15" ht="20.25" customHeight="1" x14ac:dyDescent="0.15">
      <c r="B8" s="114"/>
      <c r="C8" s="114"/>
      <c r="D8" s="114"/>
      <c r="E8" s="114"/>
      <c r="F8" s="114"/>
      <c r="G8" s="114"/>
      <c r="H8" s="114"/>
      <c r="I8" s="114"/>
      <c r="J8" s="114"/>
      <c r="K8" s="114"/>
      <c r="L8" s="114"/>
      <c r="M8" s="114"/>
      <c r="N8" s="114"/>
      <c r="O8" s="114"/>
    </row>
    <row r="9" spans="2:15" ht="15" customHeight="1" x14ac:dyDescent="0.15">
      <c r="B9" s="114"/>
      <c r="C9" s="114"/>
      <c r="D9" s="114"/>
      <c r="E9" s="114"/>
      <c r="F9" s="114"/>
      <c r="G9" s="114"/>
      <c r="H9" s="114"/>
      <c r="I9" s="114"/>
      <c r="J9" s="114"/>
      <c r="K9" s="114"/>
      <c r="L9" s="114"/>
      <c r="M9" s="114"/>
      <c r="N9" s="114"/>
      <c r="O9" s="114"/>
    </row>
    <row r="11" spans="2:15" ht="14.25" customHeight="1" x14ac:dyDescent="0.15">
      <c r="B11" s="115" t="s">
        <v>90</v>
      </c>
      <c r="C11" s="115"/>
      <c r="D11" s="115"/>
      <c r="E11" s="64" t="s">
        <v>102</v>
      </c>
      <c r="G11" s="115" t="s">
        <v>91</v>
      </c>
      <c r="H11" s="115"/>
      <c r="I11" s="115"/>
      <c r="J11" s="64">
        <v>252</v>
      </c>
    </row>
    <row r="12" spans="2:15" ht="14.25" customHeight="1" x14ac:dyDescent="0.15">
      <c r="B12" s="115" t="s">
        <v>92</v>
      </c>
      <c r="C12" s="115"/>
      <c r="D12" s="115"/>
      <c r="E12" s="65">
        <v>5.6135250516413139E-3</v>
      </c>
      <c r="G12" s="115" t="s">
        <v>93</v>
      </c>
      <c r="H12" s="115"/>
      <c r="I12" s="115"/>
      <c r="J12" s="64">
        <v>252</v>
      </c>
    </row>
    <row r="13" spans="2:15" ht="14.25" customHeight="1" x14ac:dyDescent="0.15">
      <c r="B13" s="115" t="s">
        <v>94</v>
      </c>
      <c r="C13" s="115"/>
      <c r="D13" s="115"/>
      <c r="E13" s="65">
        <v>0.99438647494835886</v>
      </c>
      <c r="G13" s="115" t="s">
        <v>95</v>
      </c>
      <c r="H13" s="115"/>
      <c r="I13" s="115"/>
      <c r="J13" s="64">
        <v>1</v>
      </c>
    </row>
    <row r="14" spans="2:15" ht="14.25" customHeight="1" x14ac:dyDescent="0.15">
      <c r="B14" s="115" t="s">
        <v>96</v>
      </c>
      <c r="C14" s="115"/>
      <c r="D14" s="115"/>
      <c r="E14" s="65">
        <v>3.3081757107338415E-7</v>
      </c>
      <c r="G14" s="115" t="s">
        <v>97</v>
      </c>
      <c r="H14" s="115"/>
      <c r="I14" s="115"/>
      <c r="J14" s="66" t="b">
        <v>0</v>
      </c>
    </row>
    <row r="16" spans="2:15" ht="12.75" customHeight="1" x14ac:dyDescent="0.15">
      <c r="B16" s="67" t="s">
        <v>98</v>
      </c>
      <c r="C16" s="68" t="s">
        <v>99</v>
      </c>
      <c r="D16" s="67" t="s">
        <v>100</v>
      </c>
      <c r="F16" s="116" t="s">
        <v>101</v>
      </c>
      <c r="G16" s="116"/>
      <c r="H16" s="116"/>
      <c r="I16" s="116"/>
      <c r="J16" s="116"/>
      <c r="K16" s="116"/>
      <c r="L16" s="116"/>
      <c r="M16" s="116"/>
      <c r="N16" s="116"/>
      <c r="O16" s="116"/>
    </row>
    <row r="17" spans="2:15" ht="12.75" customHeight="1" x14ac:dyDescent="0.15">
      <c r="B17" s="69">
        <v>0</v>
      </c>
      <c r="C17" s="70">
        <v>146.505066</v>
      </c>
      <c r="D17" s="69"/>
      <c r="F17" s="116"/>
      <c r="G17" s="116"/>
      <c r="H17" s="116"/>
      <c r="I17" s="116"/>
      <c r="J17" s="116"/>
      <c r="K17" s="116"/>
      <c r="L17" s="116"/>
      <c r="M17" s="116"/>
      <c r="N17" s="116"/>
      <c r="O17" s="116"/>
    </row>
    <row r="18" spans="2:15" ht="12.75" customHeight="1" x14ac:dyDescent="0.15">
      <c r="B18" s="69">
        <v>1</v>
      </c>
      <c r="C18" s="70">
        <v>144.98335299999999</v>
      </c>
      <c r="D18" s="69"/>
      <c r="F18" s="116"/>
      <c r="G18" s="116"/>
      <c r="H18" s="116"/>
      <c r="I18" s="116"/>
      <c r="J18" s="116"/>
      <c r="K18" s="116"/>
      <c r="L18" s="116"/>
      <c r="M18" s="116"/>
      <c r="N18" s="116"/>
      <c r="O18" s="116"/>
    </row>
    <row r="19" spans="2:15" ht="12.75" customHeight="1" x14ac:dyDescent="0.15">
      <c r="B19" s="69">
        <v>2</v>
      </c>
      <c r="C19" s="70">
        <v>145.31500199999999</v>
      </c>
      <c r="D19" s="71">
        <v>0.18491645614557867</v>
      </c>
      <c r="F19" s="116"/>
      <c r="G19" s="116"/>
      <c r="H19" s="116"/>
      <c r="I19" s="116"/>
      <c r="J19" s="116"/>
      <c r="K19" s="116"/>
      <c r="L19" s="116"/>
      <c r="M19" s="116"/>
      <c r="N19" s="116"/>
      <c r="O19" s="116"/>
    </row>
    <row r="20" spans="2:15" ht="12.75" customHeight="1" x14ac:dyDescent="0.15">
      <c r="B20" s="69">
        <v>3</v>
      </c>
      <c r="C20" s="70">
        <v>145.8125</v>
      </c>
      <c r="D20" s="71">
        <v>0.18464262132985376</v>
      </c>
      <c r="F20" s="116"/>
      <c r="G20" s="116"/>
      <c r="H20" s="116"/>
      <c r="I20" s="116"/>
      <c r="J20" s="116"/>
      <c r="K20" s="116"/>
      <c r="L20" s="116"/>
      <c r="M20" s="116"/>
      <c r="N20" s="116"/>
      <c r="O20" s="116"/>
    </row>
    <row r="21" spans="2:15" ht="12.75" customHeight="1" x14ac:dyDescent="0.15">
      <c r="B21" s="69">
        <v>4</v>
      </c>
      <c r="C21" s="70">
        <v>142.78855899999999</v>
      </c>
      <c r="D21" s="71">
        <v>0.18439470228586366</v>
      </c>
      <c r="F21" s="116"/>
      <c r="G21" s="116"/>
      <c r="H21" s="116"/>
      <c r="I21" s="116"/>
      <c r="J21" s="116"/>
      <c r="K21" s="116"/>
      <c r="L21" s="116"/>
      <c r="M21" s="116"/>
      <c r="N21" s="116"/>
      <c r="O21" s="116"/>
    </row>
    <row r="22" spans="2:15" ht="12.75" customHeight="1" x14ac:dyDescent="0.15">
      <c r="B22" s="69">
        <v>5</v>
      </c>
      <c r="C22" s="70">
        <v>143.754257</v>
      </c>
      <c r="D22" s="71">
        <v>0.18578259393213112</v>
      </c>
      <c r="F22" s="116"/>
      <c r="G22" s="116"/>
      <c r="H22" s="116"/>
      <c r="I22" s="116"/>
      <c r="J22" s="116"/>
      <c r="K22" s="116"/>
      <c r="L22" s="116"/>
      <c r="M22" s="116"/>
      <c r="N22" s="116"/>
      <c r="O22" s="116"/>
    </row>
    <row r="23" spans="2:15" ht="12.75" customHeight="1" x14ac:dyDescent="0.15">
      <c r="B23" s="69">
        <v>6</v>
      </c>
      <c r="C23" s="70">
        <v>143.61769100000001</v>
      </c>
      <c r="D23" s="71">
        <v>0.18565843822127379</v>
      </c>
      <c r="F23" s="116"/>
      <c r="G23" s="116"/>
      <c r="H23" s="116"/>
      <c r="I23" s="116"/>
      <c r="J23" s="116"/>
      <c r="K23" s="116"/>
      <c r="L23" s="116"/>
      <c r="M23" s="116"/>
      <c r="N23" s="116"/>
      <c r="O23" s="116"/>
    </row>
    <row r="24" spans="2:15" ht="12.75" customHeight="1" x14ac:dyDescent="0.15">
      <c r="B24" s="69">
        <v>7</v>
      </c>
      <c r="C24" s="70">
        <v>143.44210799999999</v>
      </c>
      <c r="D24" s="71">
        <v>0.1853650632962221</v>
      </c>
      <c r="F24" s="116"/>
      <c r="G24" s="116"/>
      <c r="H24" s="116"/>
      <c r="I24" s="116"/>
      <c r="J24" s="116"/>
      <c r="K24" s="116"/>
      <c r="L24" s="116"/>
      <c r="M24" s="116"/>
      <c r="N24" s="116"/>
      <c r="O24" s="116"/>
    </row>
    <row r="25" spans="2:15" ht="12.75" customHeight="1" x14ac:dyDescent="0.15">
      <c r="B25" s="69">
        <v>8</v>
      </c>
      <c r="C25" s="70">
        <v>143.939606</v>
      </c>
      <c r="D25" s="71">
        <v>0.18507514100050718</v>
      </c>
      <c r="F25" s="116"/>
      <c r="G25" s="116"/>
      <c r="H25" s="116"/>
      <c r="I25" s="116"/>
      <c r="J25" s="116"/>
      <c r="K25" s="116"/>
      <c r="L25" s="116"/>
      <c r="M25" s="116"/>
      <c r="N25" s="116"/>
      <c r="O25" s="116"/>
    </row>
    <row r="26" spans="2:15" x14ac:dyDescent="0.15">
      <c r="B26" s="69">
        <v>9</v>
      </c>
      <c r="C26" s="70">
        <v>145.110153</v>
      </c>
      <c r="D26" s="71">
        <v>0.18482654662162867</v>
      </c>
    </row>
    <row r="27" spans="2:15" x14ac:dyDescent="0.15">
      <c r="B27" s="69">
        <v>10</v>
      </c>
      <c r="C27" s="70">
        <v>144.52487199999999</v>
      </c>
      <c r="D27" s="71">
        <v>0.18478434039830355</v>
      </c>
    </row>
    <row r="28" spans="2:15" x14ac:dyDescent="0.15">
      <c r="B28" s="69">
        <v>11</v>
      </c>
      <c r="C28" s="70">
        <v>142.739777</v>
      </c>
      <c r="D28" s="71">
        <v>0.1845536486154018</v>
      </c>
    </row>
    <row r="29" spans="2:15" x14ac:dyDescent="0.15">
      <c r="B29" s="69">
        <v>12</v>
      </c>
      <c r="C29" s="70">
        <v>143.217758</v>
      </c>
      <c r="D29" s="71">
        <v>0.18485325387216198</v>
      </c>
    </row>
    <row r="30" spans="2:15" x14ac:dyDescent="0.15">
      <c r="B30" s="69">
        <v>13</v>
      </c>
      <c r="C30" s="70">
        <v>141.63748200000001</v>
      </c>
      <c r="D30" s="71">
        <v>0.18460249907345327</v>
      </c>
    </row>
    <row r="31" spans="2:15" x14ac:dyDescent="0.15">
      <c r="B31" s="69">
        <v>14</v>
      </c>
      <c r="C31" s="70">
        <v>141.403412</v>
      </c>
      <c r="D31" s="71">
        <v>0.18478176359528187</v>
      </c>
    </row>
    <row r="32" spans="2:15" x14ac:dyDescent="0.15">
      <c r="B32" s="69">
        <v>15</v>
      </c>
      <c r="C32" s="70">
        <v>140.19380200000001</v>
      </c>
      <c r="D32" s="71">
        <v>0.18449895964474713</v>
      </c>
    </row>
    <row r="33" spans="2:4" x14ac:dyDescent="0.15">
      <c r="B33" s="69">
        <v>16</v>
      </c>
      <c r="C33" s="70">
        <v>140.301117</v>
      </c>
      <c r="D33" s="71">
        <v>0.18448999140240468</v>
      </c>
    </row>
    <row r="34" spans="2:4" x14ac:dyDescent="0.15">
      <c r="B34" s="69">
        <v>17</v>
      </c>
      <c r="C34" s="70">
        <v>140.91566499999999</v>
      </c>
      <c r="D34" s="71">
        <v>0.18420012527513233</v>
      </c>
    </row>
    <row r="35" spans="2:4" x14ac:dyDescent="0.15">
      <c r="B35" s="69">
        <v>18</v>
      </c>
      <c r="C35" s="70">
        <v>142.74954199999999</v>
      </c>
      <c r="D35" s="71">
        <v>0.18398263399317955</v>
      </c>
    </row>
    <row r="36" spans="2:4" x14ac:dyDescent="0.15">
      <c r="B36" s="69">
        <v>19</v>
      </c>
      <c r="C36" s="70">
        <v>142.817825</v>
      </c>
      <c r="D36" s="71">
        <v>0.18433519186196223</v>
      </c>
    </row>
    <row r="37" spans="2:4" x14ac:dyDescent="0.15">
      <c r="B37" s="69">
        <v>20</v>
      </c>
      <c r="C37" s="70">
        <v>145.58813499999999</v>
      </c>
      <c r="D37" s="71">
        <v>0.184044581399331</v>
      </c>
    </row>
    <row r="38" spans="2:4" x14ac:dyDescent="0.15">
      <c r="B38" s="69">
        <v>21</v>
      </c>
      <c r="C38" s="70">
        <v>145.15891999999999</v>
      </c>
      <c r="D38" s="71">
        <v>0.18516952069499043</v>
      </c>
    </row>
    <row r="39" spans="2:4" x14ac:dyDescent="0.15">
      <c r="B39" s="69">
        <v>22</v>
      </c>
      <c r="C39" s="70">
        <v>145.461319</v>
      </c>
      <c r="D39" s="71">
        <v>0.18490801435429088</v>
      </c>
    </row>
    <row r="40" spans="2:4" x14ac:dyDescent="0.15">
      <c r="B40" s="69">
        <v>23</v>
      </c>
      <c r="C40" s="70">
        <v>145.27597</v>
      </c>
      <c r="D40" s="71">
        <v>0.18463080543259211</v>
      </c>
    </row>
    <row r="41" spans="2:4" x14ac:dyDescent="0.15">
      <c r="B41" s="69">
        <v>24</v>
      </c>
      <c r="C41" s="70">
        <v>144.66145299999999</v>
      </c>
      <c r="D41" s="71">
        <v>0.18434436043239996</v>
      </c>
    </row>
    <row r="42" spans="2:4" x14ac:dyDescent="0.15">
      <c r="B42" s="69">
        <v>25</v>
      </c>
      <c r="C42" s="70">
        <v>143.52990700000001</v>
      </c>
      <c r="D42" s="71">
        <v>0.18412187433697649</v>
      </c>
    </row>
    <row r="43" spans="2:4" x14ac:dyDescent="0.15">
      <c r="B43" s="69">
        <v>26</v>
      </c>
      <c r="C43" s="70">
        <v>142.15448000000001</v>
      </c>
      <c r="D43" s="71">
        <v>0.18406835893201967</v>
      </c>
    </row>
    <row r="44" spans="2:4" x14ac:dyDescent="0.15">
      <c r="B44" s="69">
        <v>27</v>
      </c>
      <c r="C44" s="70">
        <v>142.856842</v>
      </c>
      <c r="D44" s="71">
        <v>0.18413444849866226</v>
      </c>
    </row>
    <row r="45" spans="2:4" x14ac:dyDescent="0.15">
      <c r="B45" s="69">
        <v>28</v>
      </c>
      <c r="C45" s="70">
        <v>141.37413000000001</v>
      </c>
      <c r="D45" s="71">
        <v>0.18393720443458828</v>
      </c>
    </row>
    <row r="46" spans="2:4" x14ac:dyDescent="0.15">
      <c r="B46" s="69">
        <v>29</v>
      </c>
      <c r="C46" s="70">
        <v>142.203262</v>
      </c>
      <c r="D46" s="71">
        <v>0.18406608363431784</v>
      </c>
    </row>
    <row r="47" spans="2:4" x14ac:dyDescent="0.15">
      <c r="B47" s="69">
        <v>30</v>
      </c>
      <c r="C47" s="70">
        <v>143.968872</v>
      </c>
      <c r="D47" s="71">
        <v>0.18390724321487356</v>
      </c>
    </row>
    <row r="48" spans="2:4" x14ac:dyDescent="0.15">
      <c r="B48" s="69">
        <v>31</v>
      </c>
      <c r="C48" s="70">
        <v>141.46191400000001</v>
      </c>
      <c r="D48" s="71">
        <v>0.18420309011893599</v>
      </c>
    </row>
    <row r="49" spans="2:4" x14ac:dyDescent="0.15">
      <c r="B49" s="69">
        <v>32</v>
      </c>
      <c r="C49" s="70">
        <v>140.24259900000001</v>
      </c>
      <c r="D49" s="71">
        <v>0.18509511088550451</v>
      </c>
    </row>
    <row r="50" spans="2:4" x14ac:dyDescent="0.15">
      <c r="B50" s="69">
        <v>33</v>
      </c>
      <c r="C50" s="70">
        <v>139.208618</v>
      </c>
      <c r="D50" s="71">
        <v>0.18508715614216495</v>
      </c>
    </row>
    <row r="51" spans="2:4" x14ac:dyDescent="0.15">
      <c r="B51" s="69">
        <v>34</v>
      </c>
      <c r="C51" s="70">
        <v>139.832886</v>
      </c>
      <c r="D51" s="71">
        <v>0.18500211841071015</v>
      </c>
    </row>
    <row r="52" spans="2:4" x14ac:dyDescent="0.15">
      <c r="B52" s="69">
        <v>35</v>
      </c>
      <c r="C52" s="70">
        <v>140.42248499999999</v>
      </c>
      <c r="D52" s="71">
        <v>0.18478458575387471</v>
      </c>
    </row>
    <row r="53" spans="2:4" x14ac:dyDescent="0.15">
      <c r="B53" s="69">
        <v>36</v>
      </c>
      <c r="C53" s="70">
        <v>142.584351</v>
      </c>
      <c r="D53" s="71">
        <v>0.18455914332487031</v>
      </c>
    </row>
    <row r="54" spans="2:4" x14ac:dyDescent="0.15">
      <c r="B54" s="69">
        <v>37</v>
      </c>
      <c r="C54" s="70">
        <v>142.260086</v>
      </c>
      <c r="D54" s="71">
        <v>0.18516056510738749</v>
      </c>
    </row>
    <row r="55" spans="2:4" x14ac:dyDescent="0.15">
      <c r="B55" s="69">
        <v>38</v>
      </c>
      <c r="C55" s="70">
        <v>143.12480199999999</v>
      </c>
      <c r="D55" s="71">
        <v>0.18488557909481468</v>
      </c>
    </row>
    <row r="56" spans="2:4" x14ac:dyDescent="0.15">
      <c r="B56" s="69">
        <v>39</v>
      </c>
      <c r="C56" s="70">
        <v>143.61615</v>
      </c>
      <c r="D56" s="71">
        <v>0.18473253062727527</v>
      </c>
    </row>
    <row r="57" spans="2:4" x14ac:dyDescent="0.15">
      <c r="B57" s="69">
        <v>40</v>
      </c>
      <c r="C57" s="70">
        <v>143.282028</v>
      </c>
      <c r="D57" s="71">
        <v>0.18448447352464706</v>
      </c>
    </row>
    <row r="58" spans="2:4" x14ac:dyDescent="0.15">
      <c r="B58" s="69">
        <v>41</v>
      </c>
      <c r="C58" s="70">
        <v>145.43408199999999</v>
      </c>
      <c r="D58" s="71">
        <v>0.18421321310449185</v>
      </c>
    </row>
    <row r="59" spans="2:4" x14ac:dyDescent="0.15">
      <c r="B59" s="69">
        <v>42</v>
      </c>
      <c r="C59" s="70">
        <v>145.28668200000001</v>
      </c>
      <c r="D59" s="71">
        <v>0.18477493711487183</v>
      </c>
    </row>
    <row r="60" spans="2:4" x14ac:dyDescent="0.15">
      <c r="B60" s="69">
        <v>43</v>
      </c>
      <c r="C60" s="70">
        <v>144.97221400000001</v>
      </c>
      <c r="D60" s="71">
        <v>0.18448561536379443</v>
      </c>
    </row>
    <row r="61" spans="2:4" x14ac:dyDescent="0.15">
      <c r="B61" s="69">
        <v>44</v>
      </c>
      <c r="C61" s="70">
        <v>143.380325</v>
      </c>
      <c r="D61" s="71">
        <v>0.18421154684093138</v>
      </c>
    </row>
    <row r="62" spans="2:4" x14ac:dyDescent="0.15">
      <c r="B62" s="69">
        <v>45</v>
      </c>
      <c r="C62" s="70">
        <v>142.77105700000001</v>
      </c>
      <c r="D62" s="71">
        <v>0.18438879880946407</v>
      </c>
    </row>
    <row r="63" spans="2:4" x14ac:dyDescent="0.15">
      <c r="B63" s="69">
        <v>46</v>
      </c>
      <c r="C63" s="70">
        <v>140.47163399999999</v>
      </c>
      <c r="D63" s="71">
        <v>0.18416674973475969</v>
      </c>
    </row>
    <row r="64" spans="2:4" x14ac:dyDescent="0.15">
      <c r="B64" s="69">
        <v>47</v>
      </c>
      <c r="C64" s="70">
        <v>138.55543499999999</v>
      </c>
      <c r="D64" s="71">
        <v>0.18488725947178189</v>
      </c>
    </row>
    <row r="65" spans="2:4" x14ac:dyDescent="0.15">
      <c r="B65" s="69">
        <v>48</v>
      </c>
      <c r="C65" s="70">
        <v>138.722488</v>
      </c>
      <c r="D65" s="71">
        <v>0.18531498888087436</v>
      </c>
    </row>
    <row r="66" spans="2:4" x14ac:dyDescent="0.15">
      <c r="B66" s="69">
        <v>49</v>
      </c>
      <c r="C66" s="70">
        <v>137.96582000000001</v>
      </c>
      <c r="D66" s="71">
        <v>0.18502509917032867</v>
      </c>
    </row>
    <row r="67" spans="2:4" x14ac:dyDescent="0.15">
      <c r="B67" s="69">
        <v>50</v>
      </c>
      <c r="C67" s="70">
        <v>138.31959499999999</v>
      </c>
      <c r="D67" s="71">
        <v>0.18484533142669821</v>
      </c>
    </row>
    <row r="68" spans="2:4" x14ac:dyDescent="0.15">
      <c r="B68" s="69">
        <v>51</v>
      </c>
      <c r="C68" s="70">
        <v>133.33750900000001</v>
      </c>
      <c r="D68" s="71">
        <v>0.18457691725456649</v>
      </c>
    </row>
    <row r="69" spans="2:4" x14ac:dyDescent="0.15">
      <c r="B69" s="69">
        <v>52</v>
      </c>
      <c r="C69" s="70">
        <v>135.03750600000001</v>
      </c>
      <c r="D69" s="71">
        <v>0.18937885673724913</v>
      </c>
    </row>
    <row r="70" spans="2:4" x14ac:dyDescent="0.15">
      <c r="B70" s="69">
        <v>53</v>
      </c>
      <c r="C70" s="70">
        <v>136.649078</v>
      </c>
      <c r="D70" s="71">
        <v>0.18966665801972302</v>
      </c>
    </row>
    <row r="71" spans="2:4" x14ac:dyDescent="0.15">
      <c r="B71" s="69">
        <v>54</v>
      </c>
      <c r="C71" s="70">
        <v>136.531158</v>
      </c>
      <c r="D71" s="71">
        <v>0.18987882593272493</v>
      </c>
    </row>
    <row r="72" spans="2:4" x14ac:dyDescent="0.15">
      <c r="B72" s="69">
        <v>55</v>
      </c>
      <c r="C72" s="70">
        <v>138.96814000000001</v>
      </c>
      <c r="D72" s="71">
        <v>0.18956792721971261</v>
      </c>
    </row>
    <row r="73" spans="2:4" x14ac:dyDescent="0.15">
      <c r="B73" s="69">
        <v>56</v>
      </c>
      <c r="C73" s="70">
        <v>140.52076700000001</v>
      </c>
      <c r="D73" s="71">
        <v>0.19042166847963204</v>
      </c>
    </row>
    <row r="74" spans="2:4" x14ac:dyDescent="0.15">
      <c r="B74" s="69">
        <v>57</v>
      </c>
      <c r="C74" s="70">
        <v>141.58204699999999</v>
      </c>
      <c r="D74" s="71">
        <v>0.19056457085405279</v>
      </c>
    </row>
    <row r="75" spans="2:4" x14ac:dyDescent="0.15">
      <c r="B75" s="69">
        <v>58</v>
      </c>
      <c r="C75" s="70">
        <v>141.513229</v>
      </c>
      <c r="D75" s="71">
        <v>0.19045852902461369</v>
      </c>
    </row>
    <row r="76" spans="2:4" x14ac:dyDescent="0.15">
      <c r="B76" s="69">
        <v>59</v>
      </c>
      <c r="C76" s="70">
        <v>142.21095299999999</v>
      </c>
      <c r="D76" s="71">
        <v>0.19014343044427948</v>
      </c>
    </row>
    <row r="77" spans="2:4" x14ac:dyDescent="0.15">
      <c r="B77" s="69">
        <v>60</v>
      </c>
      <c r="C77" s="70">
        <v>141.78839099999999</v>
      </c>
      <c r="D77" s="71">
        <v>0.18991881227496582</v>
      </c>
    </row>
    <row r="78" spans="2:4" x14ac:dyDescent="0.15">
      <c r="B78" s="69">
        <v>61</v>
      </c>
      <c r="C78" s="70">
        <v>143.89128099999999</v>
      </c>
      <c r="D78" s="71">
        <v>0.1896380053176572</v>
      </c>
    </row>
    <row r="79" spans="2:4" x14ac:dyDescent="0.15">
      <c r="B79" s="69">
        <v>62</v>
      </c>
      <c r="C79" s="70">
        <v>143.25254799999999</v>
      </c>
      <c r="D79" s="71">
        <v>0.19013330136365814</v>
      </c>
    </row>
    <row r="80" spans="2:4" x14ac:dyDescent="0.15">
      <c r="B80" s="69">
        <v>63</v>
      </c>
      <c r="C80" s="70">
        <v>145.86644000000001</v>
      </c>
      <c r="D80" s="71">
        <v>0.18989234918344017</v>
      </c>
    </row>
    <row r="81" spans="2:4" x14ac:dyDescent="0.15">
      <c r="B81" s="69">
        <v>64</v>
      </c>
      <c r="C81" s="70">
        <v>147.14392100000001</v>
      </c>
      <c r="D81" s="71">
        <v>0.19079461144765941</v>
      </c>
    </row>
    <row r="82" spans="2:4" x14ac:dyDescent="0.15">
      <c r="B82" s="69">
        <v>65</v>
      </c>
      <c r="C82" s="70">
        <v>148.824265</v>
      </c>
      <c r="D82" s="71">
        <v>0.19075943344093108</v>
      </c>
    </row>
    <row r="83" spans="2:4" x14ac:dyDescent="0.15">
      <c r="B83" s="69">
        <v>66</v>
      </c>
      <c r="C83" s="70">
        <v>150.17051699999999</v>
      </c>
      <c r="D83" s="71">
        <v>0.19092053467232115</v>
      </c>
    </row>
    <row r="84" spans="2:4" x14ac:dyDescent="0.15">
      <c r="B84" s="69">
        <v>67</v>
      </c>
      <c r="C84" s="70">
        <v>150.63235499999999</v>
      </c>
      <c r="D84" s="71">
        <v>0.19090342294493787</v>
      </c>
    </row>
    <row r="85" spans="2:4" x14ac:dyDescent="0.15">
      <c r="B85" s="69">
        <v>68</v>
      </c>
      <c r="C85" s="70">
        <v>150.31791699999999</v>
      </c>
      <c r="D85" s="71">
        <v>0.19062067468748203</v>
      </c>
    </row>
    <row r="86" spans="2:4" x14ac:dyDescent="0.15">
      <c r="B86" s="69">
        <v>69</v>
      </c>
      <c r="C86" s="70">
        <v>150.671661</v>
      </c>
      <c r="D86" s="71">
        <v>0.19032028330224987</v>
      </c>
    </row>
    <row r="87" spans="2:4" x14ac:dyDescent="0.15">
      <c r="B87" s="69">
        <v>70</v>
      </c>
      <c r="C87" s="70">
        <v>150.878006</v>
      </c>
      <c r="D87" s="71">
        <v>0.19002541934260647</v>
      </c>
    </row>
    <row r="88" spans="2:4" x14ac:dyDescent="0.15">
      <c r="B88" s="69">
        <v>71</v>
      </c>
      <c r="C88" s="70">
        <v>150.53410299999999</v>
      </c>
      <c r="D88" s="71">
        <v>0.18971814109126073</v>
      </c>
    </row>
    <row r="89" spans="2:4" x14ac:dyDescent="0.15">
      <c r="B89" s="69">
        <v>72</v>
      </c>
      <c r="C89" s="70">
        <v>150.878006</v>
      </c>
      <c r="D89" s="71">
        <v>0.18942454405971476</v>
      </c>
    </row>
    <row r="90" spans="2:4" x14ac:dyDescent="0.15">
      <c r="B90" s="69">
        <v>73</v>
      </c>
      <c r="C90" s="70">
        <v>151.64450099999999</v>
      </c>
      <c r="D90" s="71">
        <v>0.18913214321160771</v>
      </c>
    </row>
    <row r="91" spans="2:4" x14ac:dyDescent="0.15">
      <c r="B91" s="69">
        <v>74</v>
      </c>
      <c r="C91" s="70">
        <v>153.37397799999999</v>
      </c>
      <c r="D91" s="71">
        <v>0.18891759325609012</v>
      </c>
    </row>
    <row r="92" spans="2:4" x14ac:dyDescent="0.15">
      <c r="B92" s="69">
        <v>75</v>
      </c>
      <c r="C92" s="70">
        <v>154.12081900000001</v>
      </c>
      <c r="D92" s="71">
        <v>0.18908939193466254</v>
      </c>
    </row>
    <row r="93" spans="2:4" x14ac:dyDescent="0.15">
      <c r="B93" s="69">
        <v>76</v>
      </c>
      <c r="C93" s="70">
        <v>155.25086999999999</v>
      </c>
      <c r="D93" s="71">
        <v>0.18886723677167969</v>
      </c>
    </row>
    <row r="94" spans="2:4" x14ac:dyDescent="0.15">
      <c r="B94" s="69">
        <v>77</v>
      </c>
      <c r="C94" s="70">
        <v>155.23121599999999</v>
      </c>
      <c r="D94" s="71">
        <v>0.18875766994379339</v>
      </c>
    </row>
    <row r="95" spans="2:4" x14ac:dyDescent="0.15">
      <c r="B95" s="69">
        <v>78</v>
      </c>
      <c r="C95" s="70">
        <v>153.60000600000001</v>
      </c>
      <c r="D95" s="71">
        <v>0.18844850705035399</v>
      </c>
    </row>
    <row r="96" spans="2:4" x14ac:dyDescent="0.15">
      <c r="B96" s="69">
        <v>79</v>
      </c>
      <c r="C96" s="70">
        <v>154.071686</v>
      </c>
      <c r="D96" s="71">
        <v>0.18855958497092809</v>
      </c>
    </row>
    <row r="97" spans="2:4" x14ac:dyDescent="0.15">
      <c r="B97" s="69">
        <v>80</v>
      </c>
      <c r="C97" s="70">
        <v>155.77169799999999</v>
      </c>
      <c r="D97" s="71">
        <v>0.18828646990137604</v>
      </c>
    </row>
    <row r="98" spans="2:4" x14ac:dyDescent="0.15">
      <c r="B98" s="69">
        <v>81</v>
      </c>
      <c r="C98" s="70">
        <v>156.341644</v>
      </c>
      <c r="D98" s="71">
        <v>0.18843167009098097</v>
      </c>
    </row>
    <row r="99" spans="2:4" x14ac:dyDescent="0.15">
      <c r="B99" s="69">
        <v>82</v>
      </c>
      <c r="C99" s="70">
        <v>157.73701500000001</v>
      </c>
      <c r="D99" s="71">
        <v>0.18817388856127332</v>
      </c>
    </row>
    <row r="100" spans="2:4" x14ac:dyDescent="0.15">
      <c r="B100" s="69">
        <v>83</v>
      </c>
      <c r="C100" s="70">
        <v>158.26765399999999</v>
      </c>
      <c r="D100" s="71">
        <v>0.18816400880081682</v>
      </c>
    </row>
    <row r="101" spans="2:4" x14ac:dyDescent="0.15">
      <c r="B101" s="69">
        <v>84</v>
      </c>
      <c r="C101" s="70">
        <v>161.14686599999999</v>
      </c>
      <c r="D101" s="71">
        <v>0.18789961391227686</v>
      </c>
    </row>
    <row r="102" spans="2:4" x14ac:dyDescent="0.15">
      <c r="B102" s="69">
        <v>85</v>
      </c>
      <c r="C102" s="70">
        <v>162.36535599999999</v>
      </c>
      <c r="D102" s="71">
        <v>0.18881532354909947</v>
      </c>
    </row>
    <row r="103" spans="2:4" x14ac:dyDescent="0.15">
      <c r="B103" s="69">
        <v>86</v>
      </c>
      <c r="C103" s="70">
        <v>163.348007</v>
      </c>
      <c r="D103" s="71">
        <v>0.18871866668608275</v>
      </c>
    </row>
    <row r="104" spans="2:4" x14ac:dyDescent="0.15">
      <c r="B104" s="69">
        <v>87</v>
      </c>
      <c r="C104" s="70">
        <v>165.52950999999999</v>
      </c>
      <c r="D104" s="71">
        <v>0.18854622572423796</v>
      </c>
    </row>
    <row r="105" spans="2:4" x14ac:dyDescent="0.15">
      <c r="B105" s="69">
        <v>88</v>
      </c>
      <c r="C105" s="70">
        <v>163.66246000000001</v>
      </c>
      <c r="D105" s="71">
        <v>0.18889801273544071</v>
      </c>
    </row>
    <row r="106" spans="2:4" x14ac:dyDescent="0.15">
      <c r="B106" s="69">
        <v>89</v>
      </c>
      <c r="C106" s="70">
        <v>164.59599299999999</v>
      </c>
      <c r="D106" s="71">
        <v>0.18907020070395372</v>
      </c>
    </row>
    <row r="107" spans="2:4" x14ac:dyDescent="0.15">
      <c r="B107" s="69">
        <v>90</v>
      </c>
      <c r="C107" s="70">
        <v>164.497726</v>
      </c>
      <c r="D107" s="71">
        <v>0.18888091837175044</v>
      </c>
    </row>
    <row r="108" spans="2:4" x14ac:dyDescent="0.15">
      <c r="B108" s="69">
        <v>91</v>
      </c>
      <c r="C108" s="70">
        <v>165.47056599999999</v>
      </c>
      <c r="D108" s="71">
        <v>0.18857254237764187</v>
      </c>
    </row>
    <row r="109" spans="2:4" x14ac:dyDescent="0.15">
      <c r="B109" s="69">
        <v>92</v>
      </c>
      <c r="C109" s="70">
        <v>166.46305799999999</v>
      </c>
      <c r="D109" s="71">
        <v>0.18839464043661708</v>
      </c>
    </row>
    <row r="110" spans="2:4" x14ac:dyDescent="0.15">
      <c r="B110" s="69">
        <v>93</v>
      </c>
      <c r="C110" s="70">
        <v>167.34747300000001</v>
      </c>
      <c r="D110" s="71">
        <v>0.18822129697519005</v>
      </c>
    </row>
    <row r="111" spans="2:4" x14ac:dyDescent="0.15">
      <c r="B111" s="69">
        <v>94</v>
      </c>
      <c r="C111" s="70">
        <v>167.150925</v>
      </c>
      <c r="D111" s="71">
        <v>0.18801986855895705</v>
      </c>
    </row>
    <row r="112" spans="2:4" x14ac:dyDescent="0.15">
      <c r="B112" s="69">
        <v>95</v>
      </c>
      <c r="C112" s="70">
        <v>169.09660299999999</v>
      </c>
      <c r="D112" s="71">
        <v>0.18771879042097001</v>
      </c>
    </row>
    <row r="113" spans="2:4" x14ac:dyDescent="0.15">
      <c r="B113" s="69">
        <v>96</v>
      </c>
      <c r="C113" s="70">
        <v>168.35960399999999</v>
      </c>
      <c r="D113" s="71">
        <v>0.18791850428602944</v>
      </c>
    </row>
    <row r="114" spans="2:4" x14ac:dyDescent="0.15">
      <c r="B114" s="69">
        <v>97</v>
      </c>
      <c r="C114" s="70">
        <v>169.47685200000001</v>
      </c>
      <c r="D114" s="71">
        <v>0.18768454233486373</v>
      </c>
    </row>
    <row r="115" spans="2:4" x14ac:dyDescent="0.15">
      <c r="B115" s="69">
        <v>98</v>
      </c>
      <c r="C115" s="70">
        <v>170.32714799999999</v>
      </c>
      <c r="D115" s="71">
        <v>0.18754465953369606</v>
      </c>
    </row>
    <row r="116" spans="2:4" x14ac:dyDescent="0.15">
      <c r="B116" s="69">
        <v>99</v>
      </c>
      <c r="C116" s="70">
        <v>170.07998699999999</v>
      </c>
      <c r="D116" s="71">
        <v>0.18733486504988281</v>
      </c>
    </row>
    <row r="117" spans="2:4" x14ac:dyDescent="0.15">
      <c r="B117" s="69">
        <v>100</v>
      </c>
      <c r="C117" s="70">
        <v>168.735321</v>
      </c>
      <c r="D117" s="71">
        <v>0.18703929455575768</v>
      </c>
    </row>
    <row r="118" spans="2:4" x14ac:dyDescent="0.15">
      <c r="B118" s="69">
        <v>101</v>
      </c>
      <c r="C118" s="70">
        <v>169.091263</v>
      </c>
      <c r="D118" s="71">
        <v>0.18697542003215281</v>
      </c>
    </row>
    <row r="119" spans="2:4" x14ac:dyDescent="0.15">
      <c r="B119" s="69">
        <v>102</v>
      </c>
      <c r="C119" s="70">
        <v>168.379379</v>
      </c>
      <c r="D119" s="71">
        <v>0.1866901377294132</v>
      </c>
    </row>
    <row r="120" spans="2:4" x14ac:dyDescent="0.15">
      <c r="B120" s="69">
        <v>103</v>
      </c>
      <c r="C120" s="70">
        <v>167.143463</v>
      </c>
      <c r="D120" s="71">
        <v>0.18645670681762089</v>
      </c>
    </row>
    <row r="121" spans="2:4" x14ac:dyDescent="0.15">
      <c r="B121" s="69">
        <v>104</v>
      </c>
      <c r="C121" s="70">
        <v>166.095428</v>
      </c>
      <c r="D121" s="71">
        <v>0.18636278231385495</v>
      </c>
    </row>
    <row r="122" spans="2:4" x14ac:dyDescent="0.15">
      <c r="B122" s="69">
        <v>105</v>
      </c>
      <c r="C122" s="70">
        <v>165.205566</v>
      </c>
      <c r="D122" s="71">
        <v>0.18621347096398461</v>
      </c>
    </row>
    <row r="123" spans="2:4" x14ac:dyDescent="0.15">
      <c r="B123" s="69">
        <v>106</v>
      </c>
      <c r="C123" s="70">
        <v>165.53185999999999</v>
      </c>
      <c r="D123" s="71">
        <v>0.1860241748086828</v>
      </c>
    </row>
    <row r="124" spans="2:4" x14ac:dyDescent="0.15">
      <c r="B124" s="69">
        <v>107</v>
      </c>
      <c r="C124" s="70">
        <v>168.389252</v>
      </c>
      <c r="D124" s="71">
        <v>0.18574070921509436</v>
      </c>
    </row>
    <row r="125" spans="2:4" x14ac:dyDescent="0.15">
      <c r="B125" s="69">
        <v>108</v>
      </c>
      <c r="C125" s="70">
        <v>168.19151299999999</v>
      </c>
      <c r="D125" s="71">
        <v>0.1865574027354148</v>
      </c>
    </row>
    <row r="126" spans="2:4" x14ac:dyDescent="0.15">
      <c r="B126" s="69">
        <v>109</v>
      </c>
      <c r="C126" s="70">
        <v>167.08415199999999</v>
      </c>
      <c r="D126" s="71">
        <v>0.18626221383107563</v>
      </c>
    </row>
    <row r="127" spans="2:4" x14ac:dyDescent="0.15">
      <c r="B127" s="69">
        <v>110</v>
      </c>
      <c r="C127" s="70">
        <v>168.57711800000001</v>
      </c>
      <c r="D127" s="71">
        <v>0.18612885768708373</v>
      </c>
    </row>
    <row r="128" spans="2:4" x14ac:dyDescent="0.15">
      <c r="B128" s="69">
        <v>111</v>
      </c>
      <c r="C128" s="70">
        <v>170.98959400000001</v>
      </c>
      <c r="D128" s="71">
        <v>0.18613110059151539</v>
      </c>
    </row>
    <row r="129" spans="2:4" x14ac:dyDescent="0.15">
      <c r="B129" s="69">
        <v>112</v>
      </c>
      <c r="C129" s="70">
        <v>170.337051</v>
      </c>
      <c r="D129" s="71">
        <v>0.18659928169734274</v>
      </c>
    </row>
    <row r="130" spans="2:4" x14ac:dyDescent="0.15">
      <c r="B130" s="69">
        <v>113</v>
      </c>
      <c r="C130" s="70">
        <v>170.78196700000001</v>
      </c>
      <c r="D130" s="71">
        <v>0.18635417935246235</v>
      </c>
    </row>
    <row r="131" spans="2:4" x14ac:dyDescent="0.15">
      <c r="B131" s="69">
        <v>114</v>
      </c>
      <c r="C131" s="70">
        <v>174.282059</v>
      </c>
      <c r="D131" s="71">
        <v>0.18608042953053658</v>
      </c>
    </row>
    <row r="132" spans="2:4" x14ac:dyDescent="0.15">
      <c r="B132" s="69">
        <v>115</v>
      </c>
      <c r="C132" s="70">
        <v>172.393585</v>
      </c>
      <c r="D132" s="71">
        <v>0.1873422980953669</v>
      </c>
    </row>
    <row r="133" spans="2:4" x14ac:dyDescent="0.15">
      <c r="B133" s="69">
        <v>116</v>
      </c>
      <c r="C133" s="70">
        <v>171.770691</v>
      </c>
      <c r="D133" s="71">
        <v>0.18748705398993107</v>
      </c>
    </row>
    <row r="134" spans="2:4" x14ac:dyDescent="0.15">
      <c r="B134" s="69">
        <v>117</v>
      </c>
      <c r="C134" s="70">
        <v>172.75941499999999</v>
      </c>
      <c r="D134" s="71">
        <v>0.18723240439969985</v>
      </c>
    </row>
    <row r="135" spans="2:4" x14ac:dyDescent="0.15">
      <c r="B135" s="69">
        <v>118</v>
      </c>
      <c r="C135" s="70">
        <v>172.53201300000001</v>
      </c>
      <c r="D135" s="71">
        <v>0.18705387622043854</v>
      </c>
    </row>
    <row r="136" spans="2:4" x14ac:dyDescent="0.15">
      <c r="B136" s="69">
        <v>119</v>
      </c>
      <c r="C136" s="70">
        <v>173.12524400000001</v>
      </c>
      <c r="D136" s="71">
        <v>0.18675802625631102</v>
      </c>
    </row>
    <row r="137" spans="2:4" x14ac:dyDescent="0.15">
      <c r="B137" s="69">
        <v>120</v>
      </c>
      <c r="C137" s="70">
        <v>173.45150799999999</v>
      </c>
      <c r="D137" s="71">
        <v>0.18650147873544318</v>
      </c>
    </row>
    <row r="138" spans="2:4" x14ac:dyDescent="0.15">
      <c r="B138" s="69">
        <v>121</v>
      </c>
      <c r="C138" s="70">
        <v>172.82862900000001</v>
      </c>
      <c r="D138" s="71">
        <v>0.18621473643617797</v>
      </c>
    </row>
    <row r="139" spans="2:4" x14ac:dyDescent="0.15">
      <c r="B139" s="69">
        <v>122</v>
      </c>
      <c r="C139" s="70">
        <v>173.03625500000001</v>
      </c>
      <c r="D139" s="71">
        <v>0.18596491136534449</v>
      </c>
    </row>
    <row r="140" spans="2:4" x14ac:dyDescent="0.15">
      <c r="B140" s="69">
        <v>123</v>
      </c>
      <c r="C140" s="70">
        <v>173.80744899999999</v>
      </c>
      <c r="D140" s="71">
        <v>0.18567234899048149</v>
      </c>
    </row>
    <row r="141" spans="2:4" x14ac:dyDescent="0.15">
      <c r="B141" s="69">
        <v>124</v>
      </c>
      <c r="C141" s="70">
        <v>172.29470800000001</v>
      </c>
      <c r="D141" s="71">
        <v>0.18545090853905347</v>
      </c>
    </row>
    <row r="142" spans="2:4" x14ac:dyDescent="0.15">
      <c r="B142" s="69">
        <v>125</v>
      </c>
      <c r="C142" s="70">
        <v>174.04473899999999</v>
      </c>
      <c r="D142" s="71">
        <v>0.18544660708397601</v>
      </c>
    </row>
    <row r="143" spans="2:4" x14ac:dyDescent="0.15">
      <c r="B143" s="69">
        <v>126</v>
      </c>
      <c r="C143" s="70">
        <v>177.84144599999999</v>
      </c>
      <c r="D143" s="71">
        <v>0.18554038097532027</v>
      </c>
    </row>
    <row r="144" spans="2:4" x14ac:dyDescent="0.15">
      <c r="B144" s="69">
        <v>127</v>
      </c>
      <c r="C144" s="70">
        <v>177.01091</v>
      </c>
      <c r="D144" s="71">
        <v>0.187013718550916</v>
      </c>
    </row>
    <row r="145" spans="2:4" x14ac:dyDescent="0.15">
      <c r="B145" s="69">
        <v>128</v>
      </c>
      <c r="C145" s="70">
        <v>177.70301799999999</v>
      </c>
      <c r="D145" s="71">
        <v>0.18679444790895278</v>
      </c>
    </row>
    <row r="146" spans="2:4" x14ac:dyDescent="0.15">
      <c r="B146" s="69">
        <v>129</v>
      </c>
      <c r="C146" s="70">
        <v>178.85983300000001</v>
      </c>
      <c r="D146" s="71">
        <v>0.1865508131221173</v>
      </c>
    </row>
    <row r="147" spans="2:4" x14ac:dyDescent="0.15">
      <c r="B147" s="69">
        <v>130</v>
      </c>
      <c r="C147" s="70">
        <v>181.00535600000001</v>
      </c>
      <c r="D147" s="71">
        <v>0.18641023171926208</v>
      </c>
    </row>
    <row r="148" spans="2:4" x14ac:dyDescent="0.15">
      <c r="B148" s="69">
        <v>131</v>
      </c>
      <c r="C148" s="70">
        <v>181.91499300000001</v>
      </c>
      <c r="D148" s="71">
        <v>0.18664997978675096</v>
      </c>
    </row>
    <row r="149" spans="2:4" x14ac:dyDescent="0.15">
      <c r="B149" s="69">
        <v>132</v>
      </c>
      <c r="C149" s="70">
        <v>181.29208399999999</v>
      </c>
      <c r="D149" s="71">
        <v>0.18644453196181437</v>
      </c>
    </row>
    <row r="150" spans="2:4" x14ac:dyDescent="0.15">
      <c r="B150" s="69">
        <v>133</v>
      </c>
      <c r="C150" s="70">
        <v>181.38107299999999</v>
      </c>
      <c r="D150" s="71">
        <v>0.18618925277904924</v>
      </c>
    </row>
    <row r="151" spans="2:4" x14ac:dyDescent="0.15">
      <c r="B151" s="69">
        <v>134</v>
      </c>
      <c r="C151" s="70">
        <v>182.30058299999999</v>
      </c>
      <c r="D151" s="71">
        <v>0.18589121451608004</v>
      </c>
    </row>
    <row r="152" spans="2:4" x14ac:dyDescent="0.15">
      <c r="B152" s="69">
        <v>135</v>
      </c>
      <c r="C152" s="70">
        <v>183.961624</v>
      </c>
      <c r="D152" s="71">
        <v>0.1856908799316572</v>
      </c>
    </row>
    <row r="153" spans="2:4" x14ac:dyDescent="0.15">
      <c r="B153" s="69">
        <v>136</v>
      </c>
      <c r="C153" s="70">
        <v>183.20030199999999</v>
      </c>
      <c r="D153" s="71">
        <v>0.18570753474216162</v>
      </c>
    </row>
    <row r="154" spans="2:4" x14ac:dyDescent="0.15">
      <c r="B154" s="69">
        <v>137</v>
      </c>
      <c r="C154" s="70">
        <v>184.57463100000001</v>
      </c>
      <c r="D154" s="71">
        <v>0.18547611148421664</v>
      </c>
    </row>
    <row r="155" spans="2:4" x14ac:dyDescent="0.15">
      <c r="B155" s="69">
        <v>138</v>
      </c>
      <c r="C155" s="70">
        <v>186.423553</v>
      </c>
      <c r="D155" s="71">
        <v>0.18539325051798997</v>
      </c>
    </row>
    <row r="156" spans="2:4" x14ac:dyDescent="0.15">
      <c r="B156" s="69">
        <v>139</v>
      </c>
      <c r="C156" s="70">
        <v>187.39250200000001</v>
      </c>
      <c r="D156" s="71">
        <v>0.18547674211455023</v>
      </c>
    </row>
    <row r="157" spans="2:4" x14ac:dyDescent="0.15">
      <c r="B157" s="69">
        <v>140</v>
      </c>
      <c r="C157" s="70">
        <v>185.75122099999999</v>
      </c>
      <c r="D157" s="71">
        <v>0.18528327251319945</v>
      </c>
    </row>
    <row r="158" spans="2:4" x14ac:dyDescent="0.15">
      <c r="B158" s="69">
        <v>141</v>
      </c>
      <c r="C158" s="70">
        <v>186.097275</v>
      </c>
      <c r="D158" s="71">
        <v>0.18528362180868324</v>
      </c>
    </row>
    <row r="159" spans="2:4" x14ac:dyDescent="0.15">
      <c r="B159" s="69">
        <v>142</v>
      </c>
      <c r="C159" s="70">
        <v>186.166473</v>
      </c>
      <c r="D159" s="71">
        <v>0.18500155334700027</v>
      </c>
    </row>
    <row r="160" spans="2:4" x14ac:dyDescent="0.15">
      <c r="B160" s="69">
        <v>143</v>
      </c>
      <c r="C160" s="70">
        <v>187.699005</v>
      </c>
      <c r="D160" s="71">
        <v>0.18470790498317305</v>
      </c>
    </row>
    <row r="161" spans="2:4" x14ac:dyDescent="0.15">
      <c r="B161" s="69">
        <v>144</v>
      </c>
      <c r="C161" s="70">
        <v>189.22163399999999</v>
      </c>
      <c r="D161" s="71">
        <v>0.18467251976763088</v>
      </c>
    </row>
    <row r="162" spans="2:4" x14ac:dyDescent="0.15">
      <c r="B162" s="69">
        <v>145</v>
      </c>
      <c r="C162" s="70">
        <v>185.85008199999999</v>
      </c>
      <c r="D162" s="71">
        <v>0.18462990586693537</v>
      </c>
    </row>
    <row r="163" spans="2:4" x14ac:dyDescent="0.15">
      <c r="B163" s="69">
        <v>146</v>
      </c>
      <c r="C163" s="70">
        <v>188.15382399999999</v>
      </c>
      <c r="D163" s="71">
        <v>0.18557332783645533</v>
      </c>
    </row>
    <row r="164" spans="2:4" x14ac:dyDescent="0.15">
      <c r="B164" s="69">
        <v>147</v>
      </c>
      <c r="C164" s="70">
        <v>190.487213</v>
      </c>
      <c r="D164" s="71">
        <v>0.18585533571142684</v>
      </c>
    </row>
    <row r="165" spans="2:4" x14ac:dyDescent="0.15">
      <c r="B165" s="69">
        <v>148</v>
      </c>
      <c r="C165" s="70">
        <v>191.60446200000001</v>
      </c>
      <c r="D165" s="71">
        <v>0.18613587297980808</v>
      </c>
    </row>
    <row r="166" spans="2:4" x14ac:dyDescent="0.15">
      <c r="B166" s="69">
        <v>149</v>
      </c>
      <c r="C166" s="70">
        <v>194.115814</v>
      </c>
      <c r="D166" s="71">
        <v>0.18596725416258009</v>
      </c>
    </row>
    <row r="167" spans="2:4" x14ac:dyDescent="0.15">
      <c r="B167" s="69">
        <v>150</v>
      </c>
      <c r="C167" s="70">
        <v>196.81501800000001</v>
      </c>
      <c r="D167" s="71">
        <v>0.18631403609056885</v>
      </c>
    </row>
    <row r="168" spans="2:4" x14ac:dyDescent="0.15">
      <c r="B168" s="69">
        <v>151</v>
      </c>
      <c r="C168" s="70">
        <v>194.40254200000001</v>
      </c>
      <c r="D168" s="71">
        <v>0.18673828402705056</v>
      </c>
    </row>
    <row r="169" spans="2:4" x14ac:dyDescent="0.15">
      <c r="B169" s="69">
        <v>152</v>
      </c>
      <c r="C169" s="70">
        <v>192.622849</v>
      </c>
      <c r="D169" s="71">
        <v>0.1870133145177553</v>
      </c>
    </row>
    <row r="170" spans="2:4" x14ac:dyDescent="0.15">
      <c r="B170" s="69">
        <v>153</v>
      </c>
      <c r="C170" s="70">
        <v>193.52256800000001</v>
      </c>
      <c r="D170" s="71">
        <v>0.18703119730892309</v>
      </c>
    </row>
    <row r="171" spans="2:4" x14ac:dyDescent="0.15">
      <c r="B171" s="69">
        <v>154</v>
      </c>
      <c r="C171" s="70">
        <v>197.269836</v>
      </c>
      <c r="D171" s="71">
        <v>0.18681110546731111</v>
      </c>
    </row>
    <row r="172" spans="2:4" x14ac:dyDescent="0.15">
      <c r="B172" s="69">
        <v>155</v>
      </c>
      <c r="C172" s="70">
        <v>198.04104599999999</v>
      </c>
      <c r="D172" s="71">
        <v>0.18789933392775549</v>
      </c>
    </row>
    <row r="173" spans="2:4" x14ac:dyDescent="0.15">
      <c r="B173" s="69">
        <v>156</v>
      </c>
      <c r="C173" s="70">
        <v>196.696381</v>
      </c>
      <c r="D173" s="71">
        <v>0.18765092514451176</v>
      </c>
    </row>
    <row r="174" spans="2:4" x14ac:dyDescent="0.15">
      <c r="B174" s="69">
        <v>157</v>
      </c>
      <c r="C174" s="70">
        <v>196.617279</v>
      </c>
      <c r="D174" s="71">
        <v>0.18752127602417829</v>
      </c>
    </row>
    <row r="175" spans="2:4" x14ac:dyDescent="0.15">
      <c r="B175" s="69">
        <v>158</v>
      </c>
      <c r="C175" s="70">
        <v>196.06359900000001</v>
      </c>
      <c r="D175" s="71">
        <v>0.18721759688038345</v>
      </c>
    </row>
    <row r="176" spans="2:4" x14ac:dyDescent="0.15">
      <c r="B176" s="69">
        <v>159</v>
      </c>
      <c r="C176" s="70">
        <v>194.571854</v>
      </c>
      <c r="D176" s="71">
        <v>0.18694461130286033</v>
      </c>
    </row>
    <row r="177" spans="2:4" x14ac:dyDescent="0.15">
      <c r="B177" s="69">
        <v>160</v>
      </c>
      <c r="C177" s="70">
        <v>196.36193800000001</v>
      </c>
      <c r="D177" s="71">
        <v>0.18686355497460982</v>
      </c>
    </row>
    <row r="178" spans="2:4" x14ac:dyDescent="0.15">
      <c r="B178" s="69">
        <v>161</v>
      </c>
      <c r="C178" s="70">
        <v>197.38626099999999</v>
      </c>
      <c r="D178" s="71">
        <v>0.18687959854760777</v>
      </c>
    </row>
    <row r="179" spans="2:4" x14ac:dyDescent="0.15">
      <c r="B179" s="69">
        <v>162</v>
      </c>
      <c r="C179" s="70">
        <v>196.06358299999999</v>
      </c>
      <c r="D179" s="71">
        <v>0.1866804705445122</v>
      </c>
    </row>
    <row r="180" spans="2:4" x14ac:dyDescent="0.15">
      <c r="B180" s="69">
        <v>163</v>
      </c>
      <c r="C180" s="70">
        <v>194.392853</v>
      </c>
      <c r="D180" s="71">
        <v>0.18655102067383295</v>
      </c>
    </row>
    <row r="181" spans="2:4" x14ac:dyDescent="0.15">
      <c r="B181" s="69">
        <v>164</v>
      </c>
      <c r="C181" s="70">
        <v>194.353058</v>
      </c>
      <c r="D181" s="71">
        <v>0.1865285330468256</v>
      </c>
    </row>
    <row r="182" spans="2:4" x14ac:dyDescent="0.15">
      <c r="B182" s="69">
        <v>165</v>
      </c>
      <c r="C182" s="70">
        <v>181.782715</v>
      </c>
      <c r="D182" s="71">
        <v>0.18622837641969425</v>
      </c>
    </row>
    <row r="183" spans="2:4" x14ac:dyDescent="0.15">
      <c r="B183" s="69">
        <v>166</v>
      </c>
      <c r="C183" s="70">
        <v>181.882172</v>
      </c>
      <c r="D183" s="71">
        <v>0.20222306915757018</v>
      </c>
    </row>
    <row r="184" spans="2:4" x14ac:dyDescent="0.15">
      <c r="B184" s="69">
        <v>167</v>
      </c>
      <c r="C184" s="70">
        <v>179.803696</v>
      </c>
      <c r="D184" s="71">
        <v>0.20186232560683451</v>
      </c>
    </row>
    <row r="185" spans="2:4" x14ac:dyDescent="0.15">
      <c r="B185" s="69">
        <v>168</v>
      </c>
      <c r="C185" s="70">
        <v>179.08766199999999</v>
      </c>
      <c r="D185" s="71">
        <v>0.20196506978113263</v>
      </c>
    </row>
    <row r="186" spans="2:4" x14ac:dyDescent="0.15">
      <c r="B186" s="69">
        <v>169</v>
      </c>
      <c r="C186" s="70">
        <v>180.251205</v>
      </c>
      <c r="D186" s="71">
        <v>0.20166012004526765</v>
      </c>
    </row>
    <row r="187" spans="2:4" x14ac:dyDescent="0.15">
      <c r="B187" s="69">
        <v>170</v>
      </c>
      <c r="C187" s="70">
        <v>184.776138</v>
      </c>
      <c r="D187" s="71">
        <v>0.20144779317895764</v>
      </c>
    </row>
    <row r="188" spans="2:4" x14ac:dyDescent="0.15">
      <c r="B188" s="69">
        <v>171</v>
      </c>
      <c r="C188" s="70">
        <v>188.366241</v>
      </c>
      <c r="D188" s="71">
        <v>0.20323967397298265</v>
      </c>
    </row>
    <row r="189" spans="2:4" x14ac:dyDescent="0.15">
      <c r="B189" s="69">
        <v>172</v>
      </c>
      <c r="C189" s="70">
        <v>191.08119199999999</v>
      </c>
      <c r="D189" s="71">
        <v>0.20416092557131052</v>
      </c>
    </row>
    <row r="190" spans="2:4" x14ac:dyDescent="0.15">
      <c r="B190" s="69">
        <v>173</v>
      </c>
      <c r="C190" s="70">
        <v>192.01602199999999</v>
      </c>
      <c r="D190" s="71">
        <v>0.20450124016474178</v>
      </c>
    </row>
    <row r="191" spans="2:4" x14ac:dyDescent="0.15">
      <c r="B191" s="69">
        <v>174</v>
      </c>
      <c r="C191" s="70">
        <v>192.30441300000001</v>
      </c>
      <c r="D191" s="71">
        <v>0.20421325818316874</v>
      </c>
    </row>
    <row r="192" spans="2:4" x14ac:dyDescent="0.15">
      <c r="B192" s="69">
        <v>175</v>
      </c>
      <c r="C192" s="70">
        <v>192.423767</v>
      </c>
      <c r="D192" s="71">
        <v>0.20385167622837944</v>
      </c>
    </row>
    <row r="193" spans="2:4" x14ac:dyDescent="0.15">
      <c r="B193" s="69">
        <v>176</v>
      </c>
      <c r="C193" s="70">
        <v>192.21492000000001</v>
      </c>
      <c r="D193" s="71">
        <v>0.20348499609613924</v>
      </c>
    </row>
    <row r="194" spans="2:4" x14ac:dyDescent="0.15">
      <c r="B194" s="69">
        <v>177</v>
      </c>
      <c r="C194" s="70">
        <v>190.68341100000001</v>
      </c>
      <c r="D194" s="71">
        <v>0.20312248382355425</v>
      </c>
    </row>
    <row r="195" spans="2:4" x14ac:dyDescent="0.15">
      <c r="B195" s="69">
        <v>178</v>
      </c>
      <c r="C195" s="70">
        <v>190.80275</v>
      </c>
      <c r="D195" s="71">
        <v>0.20298036457118263</v>
      </c>
    </row>
    <row r="196" spans="2:4" x14ac:dyDescent="0.15">
      <c r="B196" s="69">
        <v>179</v>
      </c>
      <c r="C196" s="70">
        <v>190.60385099999999</v>
      </c>
      <c r="D196" s="71">
        <v>0.20261704064846564</v>
      </c>
    </row>
    <row r="197" spans="2:4" x14ac:dyDescent="0.15">
      <c r="B197" s="69">
        <v>180</v>
      </c>
      <c r="C197" s="70">
        <v>189.46017499999999</v>
      </c>
      <c r="D197" s="71">
        <v>0.20225754428806714</v>
      </c>
    </row>
    <row r="198" spans="2:4" x14ac:dyDescent="0.15">
      <c r="B198" s="69">
        <v>181</v>
      </c>
      <c r="C198" s="70">
        <v>190.941971</v>
      </c>
      <c r="D198" s="71">
        <v>0.20202247257021316</v>
      </c>
    </row>
    <row r="199" spans="2:4" x14ac:dyDescent="0.15">
      <c r="B199" s="69">
        <v>182</v>
      </c>
      <c r="C199" s="70">
        <v>190.693344</v>
      </c>
      <c r="D199" s="71">
        <v>0.20187421908521688</v>
      </c>
    </row>
    <row r="200" spans="2:4" x14ac:dyDescent="0.15">
      <c r="B200" s="69">
        <v>183</v>
      </c>
      <c r="C200" s="70">
        <v>194.571854</v>
      </c>
      <c r="D200" s="71">
        <v>0.20151972315671374</v>
      </c>
    </row>
    <row r="201" spans="2:4" x14ac:dyDescent="0.15">
      <c r="B201" s="69">
        <v>184</v>
      </c>
      <c r="C201" s="70">
        <v>196.41166699999999</v>
      </c>
      <c r="D201" s="71">
        <v>0.20258109891466602</v>
      </c>
    </row>
    <row r="202" spans="2:4" x14ac:dyDescent="0.15">
      <c r="B202" s="69">
        <v>185</v>
      </c>
      <c r="C202" s="70">
        <v>197.674667</v>
      </c>
      <c r="D202" s="71">
        <v>0.20252750046908746</v>
      </c>
    </row>
    <row r="203" spans="2:4" x14ac:dyDescent="0.15">
      <c r="B203" s="69">
        <v>186</v>
      </c>
      <c r="C203" s="70">
        <v>197.63488799999999</v>
      </c>
      <c r="D203" s="71">
        <v>0.20230823513707122</v>
      </c>
    </row>
    <row r="204" spans="2:4" x14ac:dyDescent="0.15">
      <c r="B204" s="69">
        <v>187</v>
      </c>
      <c r="C204" s="70">
        <v>200.39956699999999</v>
      </c>
      <c r="D204" s="71">
        <v>0.20194625890047052</v>
      </c>
    </row>
    <row r="205" spans="2:4" x14ac:dyDescent="0.15">
      <c r="B205" s="69">
        <v>188</v>
      </c>
      <c r="C205" s="70">
        <v>200.996262</v>
      </c>
      <c r="D205" s="71">
        <v>0.2022615196671981</v>
      </c>
    </row>
    <row r="206" spans="2:4" x14ac:dyDescent="0.15">
      <c r="B206" s="69">
        <v>189</v>
      </c>
      <c r="C206" s="70">
        <v>201.35427899999999</v>
      </c>
      <c r="D206" s="71">
        <v>0.20193054453239614</v>
      </c>
    </row>
    <row r="207" spans="2:4" x14ac:dyDescent="0.15">
      <c r="B207" s="69">
        <v>190</v>
      </c>
      <c r="C207" s="70">
        <v>203.661484</v>
      </c>
      <c r="D207" s="71">
        <v>0.20158098676678457</v>
      </c>
    </row>
    <row r="208" spans="2:4" x14ac:dyDescent="0.15">
      <c r="B208" s="69">
        <v>191</v>
      </c>
      <c r="C208" s="70">
        <v>194.50224299999999</v>
      </c>
      <c r="D208" s="71">
        <v>0.20167741874022174</v>
      </c>
    </row>
    <row r="209" spans="2:4" x14ac:dyDescent="0.15">
      <c r="B209" s="69">
        <v>192</v>
      </c>
      <c r="C209" s="70">
        <v>198.42053200000001</v>
      </c>
      <c r="D209" s="71">
        <v>0.20862443866101923</v>
      </c>
    </row>
    <row r="210" spans="2:4" x14ac:dyDescent="0.15">
      <c r="B210" s="69">
        <v>193</v>
      </c>
      <c r="C210" s="70">
        <v>197.21719400000001</v>
      </c>
      <c r="D210" s="71">
        <v>0.20958514488874672</v>
      </c>
    </row>
    <row r="211" spans="2:4" x14ac:dyDescent="0.15">
      <c r="B211" s="69">
        <v>194</v>
      </c>
      <c r="C211" s="70">
        <v>195.83485400000001</v>
      </c>
      <c r="D211" s="71">
        <v>0.20932048415667118</v>
      </c>
    </row>
    <row r="212" spans="2:4" x14ac:dyDescent="0.15">
      <c r="B212" s="69">
        <v>195</v>
      </c>
      <c r="C212" s="70">
        <v>199.603973</v>
      </c>
      <c r="D212" s="71">
        <v>0.20909917046144344</v>
      </c>
    </row>
    <row r="213" spans="2:4" x14ac:dyDescent="0.15">
      <c r="B213" s="69">
        <v>196</v>
      </c>
      <c r="C213" s="70">
        <v>198.40063499999999</v>
      </c>
      <c r="D213" s="71">
        <v>0.20993924648096238</v>
      </c>
    </row>
    <row r="214" spans="2:4" x14ac:dyDescent="0.15">
      <c r="B214" s="69">
        <v>197</v>
      </c>
      <c r="C214" s="70">
        <v>197.01829499999999</v>
      </c>
      <c r="D214" s="71">
        <v>0.20967156386585234</v>
      </c>
    </row>
    <row r="215" spans="2:4" x14ac:dyDescent="0.15">
      <c r="B215" s="69">
        <v>198</v>
      </c>
      <c r="C215" s="70">
        <v>198.231583</v>
      </c>
      <c r="D215" s="71">
        <v>0.20944665567603779</v>
      </c>
    </row>
    <row r="216" spans="2:4" x14ac:dyDescent="0.15">
      <c r="B216" s="69">
        <v>199</v>
      </c>
      <c r="C216" s="70">
        <v>201.513397</v>
      </c>
      <c r="D216" s="71">
        <v>0.20918492581975615</v>
      </c>
    </row>
    <row r="217" spans="2:4" x14ac:dyDescent="0.15">
      <c r="B217" s="69">
        <v>200</v>
      </c>
      <c r="C217" s="70">
        <v>200.70787000000001</v>
      </c>
      <c r="D217" s="71">
        <v>0.20970803038405222</v>
      </c>
    </row>
    <row r="218" spans="2:4" x14ac:dyDescent="0.15">
      <c r="B218" s="69">
        <v>201</v>
      </c>
      <c r="C218" s="70">
        <v>198.06251499999999</v>
      </c>
      <c r="D218" s="71">
        <v>0.20937203808762109</v>
      </c>
    </row>
    <row r="219" spans="2:4" x14ac:dyDescent="0.15">
      <c r="B219" s="69">
        <v>202</v>
      </c>
      <c r="C219" s="70">
        <v>196.17297400000001</v>
      </c>
      <c r="D219" s="71">
        <v>0.20957804372811301</v>
      </c>
    </row>
    <row r="220" spans="2:4" x14ac:dyDescent="0.15">
      <c r="B220" s="69">
        <v>203</v>
      </c>
      <c r="C220" s="70">
        <v>195.82492099999999</v>
      </c>
      <c r="D220" s="71">
        <v>0.20949880205368054</v>
      </c>
    </row>
    <row r="221" spans="2:4" x14ac:dyDescent="0.15">
      <c r="B221" s="69">
        <v>204</v>
      </c>
      <c r="C221" s="70">
        <v>198.84816000000001</v>
      </c>
      <c r="D221" s="71">
        <v>0.20912005824678392</v>
      </c>
    </row>
    <row r="222" spans="2:4" x14ac:dyDescent="0.15">
      <c r="B222" s="69">
        <v>205</v>
      </c>
      <c r="C222" s="70">
        <v>198.51004</v>
      </c>
      <c r="D222" s="71">
        <v>0.20952592453583463</v>
      </c>
    </row>
    <row r="223" spans="2:4" x14ac:dyDescent="0.15">
      <c r="B223" s="69">
        <v>206</v>
      </c>
      <c r="C223" s="70">
        <v>193.288971</v>
      </c>
      <c r="D223" s="71">
        <v>0.20914620760657832</v>
      </c>
    </row>
    <row r="224" spans="2:4" x14ac:dyDescent="0.15">
      <c r="B224" s="69">
        <v>207</v>
      </c>
      <c r="C224" s="70">
        <v>190.47456399999999</v>
      </c>
      <c r="D224" s="71">
        <v>0.21115135296874626</v>
      </c>
    </row>
    <row r="225" spans="2:4" x14ac:dyDescent="0.15">
      <c r="B225" s="69">
        <v>208</v>
      </c>
      <c r="C225" s="70">
        <v>192.59283400000001</v>
      </c>
      <c r="D225" s="71">
        <v>0.21147652554658622</v>
      </c>
    </row>
    <row r="226" spans="2:4" x14ac:dyDescent="0.15">
      <c r="B226" s="69">
        <v>209</v>
      </c>
      <c r="C226" s="70">
        <v>192.71215799999999</v>
      </c>
      <c r="D226" s="71">
        <v>0.2114891613756924</v>
      </c>
    </row>
    <row r="227" spans="2:4" x14ac:dyDescent="0.15">
      <c r="B227" s="69">
        <v>210</v>
      </c>
      <c r="C227" s="70">
        <v>193.90554800000001</v>
      </c>
      <c r="D227" s="71">
        <v>0.21109356744255872</v>
      </c>
    </row>
    <row r="228" spans="2:4" x14ac:dyDescent="0.15">
      <c r="B228" s="69">
        <v>211</v>
      </c>
      <c r="C228" s="70">
        <v>195.914413</v>
      </c>
      <c r="D228" s="71">
        <v>0.21082607199522232</v>
      </c>
    </row>
    <row r="229" spans="2:4" x14ac:dyDescent="0.15">
      <c r="B229" s="69">
        <v>212</v>
      </c>
      <c r="C229" s="70">
        <v>197.575211</v>
      </c>
      <c r="D229" s="71">
        <v>0.21078843060451197</v>
      </c>
    </row>
    <row r="230" spans="2:4" x14ac:dyDescent="0.15">
      <c r="B230" s="69">
        <v>213</v>
      </c>
      <c r="C230" s="70">
        <v>195.218277</v>
      </c>
      <c r="D230" s="71">
        <v>0.21063359542517571</v>
      </c>
    </row>
    <row r="231" spans="2:4" x14ac:dyDescent="0.15">
      <c r="B231" s="69">
        <v>214</v>
      </c>
      <c r="C231" s="70">
        <v>197.78405799999999</v>
      </c>
      <c r="D231" s="71">
        <v>0.21072390332590901</v>
      </c>
    </row>
    <row r="232" spans="2:4" x14ac:dyDescent="0.15">
      <c r="B232" s="69">
        <v>215</v>
      </c>
      <c r="C232" s="70">
        <v>196.978531</v>
      </c>
      <c r="D232" s="71">
        <v>0.2109024710702318</v>
      </c>
    </row>
    <row r="233" spans="2:4" x14ac:dyDescent="0.15">
      <c r="B233" s="69">
        <v>216</v>
      </c>
      <c r="C233" s="70">
        <v>196.34204099999999</v>
      </c>
      <c r="D233" s="71">
        <v>0.21056374362021052</v>
      </c>
    </row>
    <row r="234" spans="2:4" x14ac:dyDescent="0.15">
      <c r="B234" s="69">
        <v>217</v>
      </c>
      <c r="C234" s="70">
        <v>198.072464</v>
      </c>
      <c r="D234" s="71">
        <v>0.21020558197617031</v>
      </c>
    </row>
    <row r="235" spans="2:4" x14ac:dyDescent="0.15">
      <c r="B235" s="69">
        <v>218</v>
      </c>
      <c r="C235" s="70">
        <v>201.145432</v>
      </c>
      <c r="D235" s="71">
        <v>0.21007291487091012</v>
      </c>
    </row>
    <row r="236" spans="2:4" x14ac:dyDescent="0.15">
      <c r="B236" s="69">
        <v>219</v>
      </c>
      <c r="C236" s="70">
        <v>204.31785600000001</v>
      </c>
      <c r="D236" s="71">
        <v>0.21047933050045889</v>
      </c>
    </row>
    <row r="237" spans="2:4" x14ac:dyDescent="0.15">
      <c r="B237" s="69">
        <v>220</v>
      </c>
      <c r="C237" s="70">
        <v>207.67922999999999</v>
      </c>
      <c r="D237" s="71">
        <v>0.21090907766103542</v>
      </c>
    </row>
    <row r="238" spans="2:4" x14ac:dyDescent="0.15">
      <c r="B238" s="69">
        <v>221</v>
      </c>
      <c r="C238" s="70">
        <v>207.540009</v>
      </c>
      <c r="D238" s="71">
        <v>0.2114071202804122</v>
      </c>
    </row>
    <row r="239" spans="2:4" x14ac:dyDescent="0.15">
      <c r="B239" s="69">
        <v>222</v>
      </c>
      <c r="C239" s="70">
        <v>204.78999300000001</v>
      </c>
      <c r="D239" s="71">
        <v>0.21101205548688723</v>
      </c>
    </row>
    <row r="240" spans="2:4" x14ac:dyDescent="0.15">
      <c r="B240" s="69">
        <v>223</v>
      </c>
      <c r="C240" s="70">
        <v>205.16999799999999</v>
      </c>
      <c r="D240" s="71">
        <v>0.21121365724580626</v>
      </c>
    </row>
    <row r="241" spans="2:4" x14ac:dyDescent="0.15">
      <c r="B241" s="69">
        <v>224</v>
      </c>
      <c r="C241" s="70">
        <v>207.63000500000001</v>
      </c>
      <c r="D241" s="71">
        <v>0.21082934008354526</v>
      </c>
    </row>
    <row r="242" spans="2:4" x14ac:dyDescent="0.15">
      <c r="B242" s="69">
        <v>225</v>
      </c>
      <c r="C242" s="70">
        <v>207.800003</v>
      </c>
      <c r="D242" s="71">
        <v>0.21091186898783276</v>
      </c>
    </row>
    <row r="243" spans="2:4" x14ac:dyDescent="0.15">
      <c r="B243" s="69">
        <v>226</v>
      </c>
      <c r="C243" s="70">
        <v>207.449997</v>
      </c>
      <c r="D243" s="71">
        <v>0.21051940292789217</v>
      </c>
    </row>
    <row r="244" spans="2:4" x14ac:dyDescent="0.15">
      <c r="B244" s="69">
        <v>227</v>
      </c>
      <c r="C244" s="70">
        <v>204.94000199999999</v>
      </c>
      <c r="D244" s="71">
        <v>0.21013572399906449</v>
      </c>
    </row>
    <row r="245" spans="2:4" x14ac:dyDescent="0.15">
      <c r="B245" s="69">
        <v>228</v>
      </c>
      <c r="C245" s="70">
        <v>210.050003</v>
      </c>
      <c r="D245" s="71">
        <v>0.21024303495698077</v>
      </c>
    </row>
    <row r="246" spans="2:4" x14ac:dyDescent="0.15">
      <c r="B246" s="69">
        <v>229</v>
      </c>
      <c r="C246" s="70">
        <v>213.61999499999999</v>
      </c>
      <c r="D246" s="71">
        <v>0.2118853664895812</v>
      </c>
    </row>
    <row r="247" spans="2:4" x14ac:dyDescent="0.15">
      <c r="B247" s="69">
        <v>230</v>
      </c>
      <c r="C247" s="70">
        <v>216.86999499999999</v>
      </c>
      <c r="D247" s="71">
        <v>0.21243479000241641</v>
      </c>
    </row>
    <row r="248" spans="2:4" x14ac:dyDescent="0.15">
      <c r="B248" s="69">
        <v>231</v>
      </c>
      <c r="C248" s="70">
        <v>209.979996</v>
      </c>
      <c r="D248" s="71">
        <v>0.21279354632529277</v>
      </c>
    </row>
    <row r="249" spans="2:4" x14ac:dyDescent="0.15">
      <c r="B249" s="69">
        <v>232</v>
      </c>
      <c r="C249" s="70">
        <v>209.779999</v>
      </c>
      <c r="D249" s="71">
        <v>0.21583517439243755</v>
      </c>
    </row>
    <row r="250" spans="2:4" x14ac:dyDescent="0.15">
      <c r="B250" s="69">
        <v>233</v>
      </c>
      <c r="C250" s="70">
        <v>210.279999</v>
      </c>
      <c r="D250" s="71">
        <v>0.21542508671355629</v>
      </c>
    </row>
    <row r="251" spans="2:4" x14ac:dyDescent="0.15">
      <c r="B251" s="69">
        <v>234</v>
      </c>
      <c r="C251" s="70">
        <v>210.33000200000001</v>
      </c>
      <c r="D251" s="71">
        <v>0.21503218075669162</v>
      </c>
    </row>
    <row r="252" spans="2:4" x14ac:dyDescent="0.15">
      <c r="B252" s="69">
        <v>235</v>
      </c>
      <c r="C252" s="70">
        <v>208.58999600000001</v>
      </c>
      <c r="D252" s="71">
        <v>0.21462227722098359</v>
      </c>
    </row>
    <row r="253" spans="2:4" x14ac:dyDescent="0.15">
      <c r="B253" s="69">
        <v>236</v>
      </c>
      <c r="C253" s="70">
        <v>208.66999799999999</v>
      </c>
      <c r="D253" s="71">
        <v>0.21444144665903825</v>
      </c>
    </row>
    <row r="254" spans="2:4" x14ac:dyDescent="0.15">
      <c r="B254" s="69">
        <v>237</v>
      </c>
      <c r="C254" s="70">
        <v>212.240005</v>
      </c>
      <c r="D254" s="71">
        <v>0.21403403790344996</v>
      </c>
    </row>
    <row r="255" spans="2:4" x14ac:dyDescent="0.15">
      <c r="B255" s="69">
        <v>238</v>
      </c>
      <c r="C255" s="70">
        <v>210.85000600000001</v>
      </c>
      <c r="D255" s="71">
        <v>0.2145783160670871</v>
      </c>
    </row>
    <row r="256" spans="2:4" x14ac:dyDescent="0.15">
      <c r="B256" s="69">
        <v>239</v>
      </c>
      <c r="C256" s="70">
        <v>215.19000199999999</v>
      </c>
      <c r="D256" s="71">
        <v>0.21431245023623202</v>
      </c>
    </row>
    <row r="257" spans="2:4" x14ac:dyDescent="0.15">
      <c r="B257" s="69">
        <v>240</v>
      </c>
      <c r="C257" s="70">
        <v>212.800003</v>
      </c>
      <c r="D257" s="71">
        <v>0.21527328812152721</v>
      </c>
    </row>
    <row r="258" spans="2:4" x14ac:dyDescent="0.15">
      <c r="B258" s="69">
        <v>241</v>
      </c>
      <c r="C258" s="70">
        <v>207.96000699999999</v>
      </c>
      <c r="D258" s="71">
        <v>0.21527253447147188</v>
      </c>
    </row>
    <row r="259" spans="2:4" x14ac:dyDescent="0.15">
      <c r="B259" s="69">
        <v>242</v>
      </c>
      <c r="C259" s="70">
        <v>199.13999899999999</v>
      </c>
      <c r="D259" s="71">
        <v>0.21659701987763871</v>
      </c>
    </row>
    <row r="260" spans="2:4" x14ac:dyDescent="0.15">
      <c r="B260" s="69">
        <v>243</v>
      </c>
      <c r="C260" s="70">
        <v>194.89999399999999</v>
      </c>
      <c r="D260" s="71">
        <v>0.2222411656662939</v>
      </c>
    </row>
    <row r="261" spans="2:4" x14ac:dyDescent="0.15">
      <c r="B261" s="69">
        <v>244</v>
      </c>
      <c r="C261" s="70">
        <v>200.33999600000001</v>
      </c>
      <c r="D261" s="71">
        <v>0.22327663421001084</v>
      </c>
    </row>
    <row r="262" spans="2:4" x14ac:dyDescent="0.15">
      <c r="B262" s="69">
        <v>245</v>
      </c>
      <c r="C262" s="70">
        <v>200.39999399999999</v>
      </c>
      <c r="D262" s="71">
        <v>0.2252288923258754</v>
      </c>
    </row>
    <row r="263" spans="2:4" x14ac:dyDescent="0.15">
      <c r="B263" s="69">
        <v>246</v>
      </c>
      <c r="C263" s="70">
        <v>204.05999800000001</v>
      </c>
      <c r="D263" s="71">
        <v>0.22478163537350423</v>
      </c>
    </row>
    <row r="264" spans="2:4" x14ac:dyDescent="0.15">
      <c r="B264" s="69">
        <v>247</v>
      </c>
      <c r="C264" s="70">
        <v>205.800003</v>
      </c>
      <c r="D264" s="71">
        <v>0.22536612546212345</v>
      </c>
    </row>
    <row r="265" spans="2:4" x14ac:dyDescent="0.15">
      <c r="B265" s="69">
        <v>248</v>
      </c>
      <c r="C265" s="70">
        <v>206.19000199999999</v>
      </c>
      <c r="D265" s="71">
        <v>0.22514468691242331</v>
      </c>
    </row>
    <row r="266" spans="2:4" x14ac:dyDescent="0.15">
      <c r="B266" s="69">
        <v>249</v>
      </c>
      <c r="C266" s="70">
        <v>207.94000199999999</v>
      </c>
      <c r="D266" s="71">
        <v>0.22470873647838288</v>
      </c>
    </row>
    <row r="267" spans="2:4" x14ac:dyDescent="0.15">
      <c r="B267" s="69">
        <v>250</v>
      </c>
      <c r="C267" s="70">
        <v>210.240005</v>
      </c>
      <c r="D267" s="71">
        <v>0.22448825214202259</v>
      </c>
    </row>
    <row r="268" spans="2:4" x14ac:dyDescent="0.15">
      <c r="B268" s="69">
        <v>251</v>
      </c>
      <c r="C268" s="70">
        <v>211.550003</v>
      </c>
      <c r="D268" s="71">
        <v>0.22442508974760841</v>
      </c>
    </row>
    <row r="269" spans="2:4" x14ac:dyDescent="0.15">
      <c r="B269" s="69">
        <v>252</v>
      </c>
      <c r="C269" s="70">
        <v>213.970001</v>
      </c>
      <c r="D269" s="71">
        <v>0.22410228563347334</v>
      </c>
    </row>
    <row r="270" spans="2:4" x14ac:dyDescent="0.15">
      <c r="B270" s="69"/>
      <c r="C270" s="70"/>
      <c r="D270" s="71">
        <v>0.22409240506094683</v>
      </c>
    </row>
    <row r="271" spans="2:4" x14ac:dyDescent="0.15">
      <c r="B271" s="69"/>
      <c r="C271" s="70"/>
      <c r="D271" s="71"/>
    </row>
    <row r="272" spans="2:4" x14ac:dyDescent="0.15">
      <c r="B272" s="69"/>
      <c r="C272" s="70"/>
      <c r="D272" s="71"/>
    </row>
    <row r="273" spans="2:4" x14ac:dyDescent="0.15">
      <c r="B273" s="69"/>
      <c r="C273" s="70"/>
      <c r="D273" s="71"/>
    </row>
    <row r="274" spans="2:4" x14ac:dyDescent="0.15">
      <c r="B274" s="69"/>
      <c r="C274" s="70"/>
      <c r="D274" s="71"/>
    </row>
    <row r="275" spans="2:4" x14ac:dyDescent="0.15">
      <c r="B275" s="69"/>
      <c r="C275" s="70"/>
      <c r="D275" s="71"/>
    </row>
    <row r="276" spans="2:4" x14ac:dyDescent="0.15">
      <c r="B276" s="69"/>
      <c r="C276" s="70"/>
      <c r="D276" s="71"/>
    </row>
    <row r="277" spans="2:4" x14ac:dyDescent="0.15">
      <c r="B277" s="69"/>
      <c r="C277" s="70"/>
      <c r="D277" s="71"/>
    </row>
    <row r="278" spans="2:4" x14ac:dyDescent="0.15">
      <c r="B278" s="69"/>
      <c r="C278" s="70"/>
      <c r="D278" s="71"/>
    </row>
    <row r="279" spans="2:4" x14ac:dyDescent="0.15">
      <c r="B279" s="69"/>
      <c r="C279" s="70"/>
      <c r="D279" s="71"/>
    </row>
    <row r="280" spans="2:4" x14ac:dyDescent="0.15">
      <c r="B280" s="69"/>
      <c r="C280" s="70"/>
      <c r="D280" s="71"/>
    </row>
    <row r="281" spans="2:4" x14ac:dyDescent="0.15">
      <c r="B281" s="69"/>
      <c r="C281" s="70"/>
      <c r="D281" s="71"/>
    </row>
    <row r="282" spans="2:4" x14ac:dyDescent="0.15">
      <c r="B282" s="69"/>
      <c r="C282" s="70"/>
      <c r="D282" s="71"/>
    </row>
    <row r="283" spans="2:4" x14ac:dyDescent="0.15">
      <c r="B283" s="69"/>
      <c r="C283" s="70"/>
      <c r="D283" s="71"/>
    </row>
    <row r="284" spans="2:4" x14ac:dyDescent="0.15">
      <c r="B284" s="69"/>
      <c r="C284" s="70"/>
      <c r="D284" s="71"/>
    </row>
    <row r="285" spans="2:4" x14ac:dyDescent="0.15">
      <c r="B285" s="69"/>
      <c r="C285" s="70"/>
      <c r="D285" s="71"/>
    </row>
    <row r="286" spans="2:4" x14ac:dyDescent="0.15">
      <c r="B286" s="69"/>
      <c r="C286" s="70"/>
      <c r="D286" s="71"/>
    </row>
    <row r="287" spans="2:4" x14ac:dyDescent="0.15">
      <c r="B287" s="69"/>
      <c r="C287" s="70"/>
      <c r="D287" s="71"/>
    </row>
    <row r="288" spans="2:4" x14ac:dyDescent="0.15">
      <c r="B288" s="69"/>
      <c r="C288" s="70"/>
      <c r="D288" s="71"/>
    </row>
    <row r="289" spans="2:4" x14ac:dyDescent="0.15">
      <c r="B289" s="69"/>
      <c r="C289" s="70"/>
      <c r="D289" s="71"/>
    </row>
    <row r="290" spans="2:4" x14ac:dyDescent="0.15">
      <c r="B290" s="69"/>
      <c r="C290" s="70"/>
      <c r="D290" s="71"/>
    </row>
    <row r="291" spans="2:4" x14ac:dyDescent="0.15">
      <c r="B291" s="69"/>
      <c r="C291" s="70"/>
      <c r="D291" s="71"/>
    </row>
    <row r="292" spans="2:4" x14ac:dyDescent="0.15">
      <c r="B292" s="69"/>
      <c r="C292" s="70"/>
      <c r="D292" s="71"/>
    </row>
    <row r="293" spans="2:4" x14ac:dyDescent="0.15">
      <c r="B293" s="69"/>
      <c r="C293" s="70"/>
      <c r="D293" s="71"/>
    </row>
    <row r="294" spans="2:4" x14ac:dyDescent="0.15">
      <c r="B294" s="69"/>
      <c r="C294" s="70"/>
      <c r="D294" s="71"/>
    </row>
    <row r="295" spans="2:4" x14ac:dyDescent="0.15">
      <c r="B295" s="69"/>
      <c r="C295" s="70"/>
      <c r="D295" s="71"/>
    </row>
    <row r="296" spans="2:4" x14ac:dyDescent="0.15">
      <c r="B296" s="69"/>
      <c r="C296" s="70"/>
      <c r="D296" s="71"/>
    </row>
    <row r="297" spans="2:4" x14ac:dyDescent="0.15">
      <c r="B297" s="69"/>
      <c r="C297" s="70"/>
      <c r="D297" s="71"/>
    </row>
    <row r="298" spans="2:4" x14ac:dyDescent="0.15">
      <c r="B298" s="69"/>
      <c r="C298" s="70"/>
      <c r="D298" s="71"/>
    </row>
    <row r="299" spans="2:4" x14ac:dyDescent="0.15">
      <c r="B299" s="69"/>
      <c r="C299" s="70"/>
      <c r="D299" s="71"/>
    </row>
    <row r="300" spans="2:4" x14ac:dyDescent="0.15">
      <c r="B300" s="69"/>
      <c r="C300" s="70"/>
      <c r="D300" s="71"/>
    </row>
    <row r="301" spans="2:4" x14ac:dyDescent="0.15">
      <c r="B301" s="69"/>
      <c r="C301" s="70"/>
      <c r="D301" s="71"/>
    </row>
    <row r="302" spans="2:4" x14ac:dyDescent="0.15">
      <c r="B302" s="69"/>
      <c r="C302" s="70"/>
      <c r="D302" s="71"/>
    </row>
    <row r="303" spans="2:4" x14ac:dyDescent="0.15">
      <c r="B303" s="69"/>
      <c r="C303" s="70"/>
      <c r="D303" s="71"/>
    </row>
    <row r="304" spans="2:4" x14ac:dyDescent="0.15">
      <c r="B304" s="69"/>
      <c r="C304" s="70"/>
      <c r="D304" s="71"/>
    </row>
    <row r="305" spans="2:4" x14ac:dyDescent="0.15">
      <c r="B305" s="69"/>
      <c r="C305" s="70"/>
      <c r="D305" s="71"/>
    </row>
    <row r="306" spans="2:4" x14ac:dyDescent="0.15">
      <c r="B306" s="69"/>
      <c r="C306" s="70"/>
      <c r="D306" s="71"/>
    </row>
    <row r="307" spans="2:4" x14ac:dyDescent="0.15">
      <c r="B307" s="69"/>
      <c r="C307" s="70"/>
      <c r="D307" s="71"/>
    </row>
    <row r="308" spans="2:4" x14ac:dyDescent="0.15">
      <c r="B308" s="69"/>
      <c r="C308" s="70"/>
      <c r="D308" s="71"/>
    </row>
    <row r="309" spans="2:4" x14ac:dyDescent="0.15">
      <c r="B309" s="69"/>
      <c r="C309" s="70"/>
      <c r="D309" s="71"/>
    </row>
    <row r="310" spans="2:4" x14ac:dyDescent="0.15">
      <c r="B310" s="69"/>
      <c r="C310" s="70"/>
      <c r="D310" s="71"/>
    </row>
    <row r="311" spans="2:4" x14ac:dyDescent="0.15">
      <c r="B311" s="69"/>
      <c r="C311" s="70"/>
      <c r="D311" s="71"/>
    </row>
    <row r="312" spans="2:4" x14ac:dyDescent="0.15">
      <c r="B312" s="69"/>
      <c r="C312" s="70"/>
      <c r="D312" s="71"/>
    </row>
    <row r="313" spans="2:4" x14ac:dyDescent="0.15">
      <c r="B313" s="69"/>
      <c r="C313" s="70"/>
      <c r="D313" s="71"/>
    </row>
    <row r="314" spans="2:4" x14ac:dyDescent="0.15">
      <c r="B314" s="69"/>
      <c r="C314" s="70"/>
      <c r="D314" s="71"/>
    </row>
    <row r="315" spans="2:4" x14ac:dyDescent="0.15">
      <c r="B315" s="69"/>
      <c r="C315" s="70"/>
      <c r="D315" s="71"/>
    </row>
    <row r="316" spans="2:4" x14ac:dyDescent="0.15">
      <c r="B316" s="69"/>
      <c r="C316" s="70"/>
      <c r="D316" s="71"/>
    </row>
    <row r="317" spans="2:4" x14ac:dyDescent="0.15">
      <c r="B317" s="69"/>
      <c r="C317" s="70"/>
      <c r="D317" s="71"/>
    </row>
    <row r="318" spans="2:4" x14ac:dyDescent="0.15">
      <c r="B318" s="69"/>
      <c r="C318" s="70"/>
      <c r="D318" s="71"/>
    </row>
    <row r="319" spans="2:4" x14ac:dyDescent="0.15">
      <c r="B319" s="69"/>
      <c r="C319" s="70"/>
      <c r="D319" s="71"/>
    </row>
    <row r="320" spans="2:4" x14ac:dyDescent="0.15">
      <c r="B320" s="69"/>
      <c r="C320" s="70"/>
      <c r="D320" s="71"/>
    </row>
    <row r="321" spans="2:4" x14ac:dyDescent="0.15">
      <c r="B321" s="69"/>
      <c r="C321" s="70"/>
      <c r="D321" s="71"/>
    </row>
    <row r="322" spans="2:4" x14ac:dyDescent="0.15">
      <c r="B322" s="69"/>
      <c r="C322" s="70"/>
      <c r="D322" s="71"/>
    </row>
    <row r="323" spans="2:4" x14ac:dyDescent="0.15">
      <c r="B323" s="69"/>
      <c r="C323" s="70"/>
      <c r="D323" s="71"/>
    </row>
    <row r="324" spans="2:4" x14ac:dyDescent="0.15">
      <c r="B324" s="69"/>
      <c r="C324" s="70"/>
      <c r="D324" s="71"/>
    </row>
    <row r="325" spans="2:4" x14ac:dyDescent="0.15">
      <c r="B325" s="69"/>
      <c r="C325" s="70"/>
      <c r="D325" s="71"/>
    </row>
    <row r="326" spans="2:4" x14ac:dyDescent="0.15">
      <c r="B326" s="69"/>
      <c r="C326" s="70"/>
      <c r="D326" s="71"/>
    </row>
    <row r="327" spans="2:4" x14ac:dyDescent="0.15">
      <c r="B327" s="69"/>
      <c r="C327" s="70"/>
      <c r="D327" s="71"/>
    </row>
    <row r="328" spans="2:4" x14ac:dyDescent="0.15">
      <c r="B328" s="69"/>
      <c r="C328" s="70"/>
      <c r="D328" s="71"/>
    </row>
    <row r="329" spans="2:4" x14ac:dyDescent="0.15">
      <c r="B329" s="69"/>
      <c r="C329" s="70"/>
      <c r="D329" s="71"/>
    </row>
    <row r="330" spans="2:4" x14ac:dyDescent="0.15">
      <c r="B330" s="69"/>
      <c r="C330" s="70"/>
      <c r="D330" s="71"/>
    </row>
    <row r="331" spans="2:4" x14ac:dyDescent="0.15">
      <c r="B331" s="69"/>
      <c r="C331" s="70"/>
      <c r="D331" s="71"/>
    </row>
    <row r="332" spans="2:4" x14ac:dyDescent="0.15">
      <c r="B332" s="69"/>
      <c r="C332" s="70"/>
      <c r="D332" s="71"/>
    </row>
    <row r="333" spans="2:4" x14ac:dyDescent="0.15">
      <c r="B333" s="69"/>
      <c r="C333" s="70"/>
      <c r="D333" s="71"/>
    </row>
    <row r="334" spans="2:4" x14ac:dyDescent="0.15">
      <c r="B334" s="69"/>
      <c r="C334" s="70"/>
      <c r="D334" s="71"/>
    </row>
    <row r="335" spans="2:4" x14ac:dyDescent="0.15">
      <c r="B335" s="69"/>
      <c r="C335" s="70"/>
      <c r="D335" s="71"/>
    </row>
    <row r="336" spans="2:4" x14ac:dyDescent="0.15">
      <c r="B336" s="69"/>
      <c r="C336" s="70"/>
      <c r="D336" s="71"/>
    </row>
    <row r="337" spans="2:4" x14ac:dyDescent="0.15">
      <c r="B337" s="69"/>
      <c r="C337" s="70"/>
      <c r="D337" s="71"/>
    </row>
    <row r="338" spans="2:4" x14ac:dyDescent="0.15">
      <c r="B338" s="69"/>
      <c r="C338" s="70"/>
      <c r="D338" s="71"/>
    </row>
    <row r="339" spans="2:4" x14ac:dyDescent="0.15">
      <c r="B339" s="69"/>
      <c r="C339" s="70"/>
      <c r="D339" s="71"/>
    </row>
    <row r="340" spans="2:4" x14ac:dyDescent="0.15">
      <c r="B340" s="69"/>
      <c r="C340" s="70"/>
      <c r="D340" s="71"/>
    </row>
    <row r="341" spans="2:4" x14ac:dyDescent="0.15">
      <c r="B341" s="69"/>
      <c r="C341" s="70"/>
      <c r="D341" s="71"/>
    </row>
    <row r="342" spans="2:4" x14ac:dyDescent="0.15">
      <c r="B342" s="69"/>
      <c r="C342" s="70"/>
      <c r="D342" s="71"/>
    </row>
    <row r="343" spans="2:4" x14ac:dyDescent="0.15">
      <c r="B343" s="69"/>
      <c r="C343" s="70"/>
      <c r="D343" s="71"/>
    </row>
    <row r="344" spans="2:4" x14ac:dyDescent="0.15">
      <c r="B344" s="69"/>
      <c r="C344" s="70"/>
      <c r="D344" s="71"/>
    </row>
    <row r="345" spans="2:4" x14ac:dyDescent="0.15">
      <c r="B345" s="69"/>
      <c r="C345" s="70"/>
      <c r="D345" s="71"/>
    </row>
    <row r="346" spans="2:4" x14ac:dyDescent="0.15">
      <c r="B346" s="69"/>
      <c r="C346" s="70"/>
      <c r="D346" s="71"/>
    </row>
    <row r="347" spans="2:4" x14ac:dyDescent="0.15">
      <c r="B347" s="69"/>
      <c r="C347" s="70"/>
      <c r="D347" s="71"/>
    </row>
    <row r="348" spans="2:4" x14ac:dyDescent="0.15">
      <c r="B348" s="69"/>
      <c r="C348" s="70"/>
      <c r="D348" s="71"/>
    </row>
    <row r="349" spans="2:4" x14ac:dyDescent="0.15">
      <c r="B349" s="69"/>
      <c r="C349" s="70"/>
      <c r="D349" s="71"/>
    </row>
    <row r="350" spans="2:4" x14ac:dyDescent="0.15">
      <c r="B350" s="69"/>
      <c r="C350" s="70"/>
      <c r="D350" s="71"/>
    </row>
    <row r="351" spans="2:4" x14ac:dyDescent="0.15">
      <c r="B351" s="69"/>
      <c r="C351" s="70"/>
      <c r="D351" s="71"/>
    </row>
    <row r="352" spans="2:4" x14ac:dyDescent="0.15">
      <c r="B352" s="69"/>
      <c r="C352" s="70"/>
      <c r="D352" s="71"/>
    </row>
    <row r="353" spans="2:4" x14ac:dyDescent="0.15">
      <c r="B353" s="69"/>
      <c r="C353" s="70"/>
      <c r="D353" s="71"/>
    </row>
    <row r="354" spans="2:4" x14ac:dyDescent="0.15">
      <c r="B354" s="69"/>
      <c r="C354" s="70"/>
      <c r="D354" s="71"/>
    </row>
    <row r="355" spans="2:4" x14ac:dyDescent="0.15">
      <c r="B355" s="69"/>
      <c r="C355" s="70"/>
      <c r="D355" s="71"/>
    </row>
    <row r="356" spans="2:4" x14ac:dyDescent="0.15">
      <c r="B356" s="69"/>
      <c r="C356" s="70"/>
      <c r="D356" s="71"/>
    </row>
    <row r="357" spans="2:4" x14ac:dyDescent="0.15">
      <c r="B357" s="69"/>
      <c r="C357" s="70"/>
      <c r="D357" s="71"/>
    </row>
    <row r="358" spans="2:4" x14ac:dyDescent="0.15">
      <c r="B358" s="69"/>
      <c r="C358" s="70"/>
      <c r="D358" s="71"/>
    </row>
    <row r="359" spans="2:4" x14ac:dyDescent="0.15">
      <c r="B359" s="69"/>
      <c r="C359" s="70"/>
      <c r="D359" s="71"/>
    </row>
    <row r="360" spans="2:4" x14ac:dyDescent="0.15">
      <c r="B360" s="69"/>
      <c r="C360" s="70"/>
      <c r="D360" s="71"/>
    </row>
    <row r="361" spans="2:4" x14ac:dyDescent="0.15">
      <c r="B361" s="69"/>
      <c r="C361" s="70"/>
      <c r="D361" s="71"/>
    </row>
    <row r="362" spans="2:4" x14ac:dyDescent="0.15">
      <c r="B362" s="69"/>
      <c r="C362" s="70"/>
      <c r="D362" s="71"/>
    </row>
    <row r="363" spans="2:4" x14ac:dyDescent="0.15">
      <c r="B363" s="69"/>
      <c r="C363" s="70"/>
      <c r="D363" s="71"/>
    </row>
    <row r="364" spans="2:4" x14ac:dyDescent="0.15">
      <c r="B364" s="69"/>
      <c r="C364" s="70"/>
      <c r="D364" s="71"/>
    </row>
    <row r="365" spans="2:4" x14ac:dyDescent="0.15">
      <c r="B365" s="69"/>
      <c r="C365" s="70"/>
      <c r="D365" s="71"/>
    </row>
    <row r="366" spans="2:4" x14ac:dyDescent="0.15">
      <c r="B366" s="69"/>
      <c r="C366" s="70"/>
      <c r="D366" s="71"/>
    </row>
    <row r="367" spans="2:4" x14ac:dyDescent="0.15">
      <c r="B367" s="69"/>
      <c r="C367" s="70"/>
      <c r="D367" s="71"/>
    </row>
    <row r="368" spans="2:4" x14ac:dyDescent="0.15">
      <c r="B368" s="69"/>
      <c r="C368" s="70"/>
      <c r="D368" s="71"/>
    </row>
    <row r="369" spans="2:4" x14ac:dyDescent="0.15">
      <c r="B369" s="69"/>
      <c r="C369" s="70"/>
      <c r="D369" s="71"/>
    </row>
    <row r="370" spans="2:4" x14ac:dyDescent="0.15">
      <c r="B370" s="69"/>
      <c r="C370" s="70"/>
      <c r="D370" s="71"/>
    </row>
    <row r="371" spans="2:4" x14ac:dyDescent="0.15">
      <c r="B371" s="69"/>
      <c r="C371" s="70"/>
      <c r="D371" s="71"/>
    </row>
    <row r="372" spans="2:4" x14ac:dyDescent="0.15">
      <c r="B372" s="69"/>
      <c r="C372" s="70"/>
      <c r="D372" s="71"/>
    </row>
    <row r="373" spans="2:4" x14ac:dyDescent="0.15">
      <c r="B373" s="69"/>
      <c r="C373" s="70"/>
      <c r="D373" s="71"/>
    </row>
    <row r="374" spans="2:4" x14ac:dyDescent="0.15">
      <c r="B374" s="69"/>
      <c r="C374" s="70"/>
      <c r="D374" s="71"/>
    </row>
    <row r="375" spans="2:4" x14ac:dyDescent="0.15">
      <c r="B375" s="69"/>
      <c r="C375" s="70"/>
      <c r="D375" s="71"/>
    </row>
    <row r="376" spans="2:4" x14ac:dyDescent="0.15">
      <c r="B376" s="69"/>
      <c r="C376" s="70"/>
      <c r="D376" s="71"/>
    </row>
    <row r="377" spans="2:4" x14ac:dyDescent="0.15">
      <c r="B377" s="69"/>
      <c r="C377" s="70"/>
      <c r="D377" s="71"/>
    </row>
    <row r="378" spans="2:4" x14ac:dyDescent="0.15">
      <c r="B378" s="69"/>
      <c r="C378" s="70"/>
      <c r="D378" s="71"/>
    </row>
    <row r="379" spans="2:4" x14ac:dyDescent="0.15">
      <c r="B379" s="69"/>
      <c r="C379" s="70"/>
      <c r="D379" s="71"/>
    </row>
    <row r="380" spans="2:4" x14ac:dyDescent="0.15">
      <c r="B380" s="69"/>
      <c r="C380" s="70"/>
      <c r="D380" s="71"/>
    </row>
    <row r="381" spans="2:4" x14ac:dyDescent="0.15">
      <c r="B381" s="69"/>
      <c r="C381" s="70"/>
      <c r="D381" s="71"/>
    </row>
    <row r="382" spans="2:4" x14ac:dyDescent="0.15">
      <c r="B382" s="69"/>
      <c r="C382" s="70"/>
      <c r="D382" s="71"/>
    </row>
    <row r="383" spans="2:4" x14ac:dyDescent="0.15">
      <c r="B383" s="69"/>
      <c r="C383" s="70"/>
      <c r="D383" s="71"/>
    </row>
    <row r="384" spans="2:4" x14ac:dyDescent="0.15">
      <c r="B384" s="69"/>
      <c r="C384" s="70"/>
      <c r="D384" s="71"/>
    </row>
    <row r="385" spans="2:4" x14ac:dyDescent="0.15">
      <c r="B385" s="69"/>
      <c r="C385" s="70"/>
      <c r="D385" s="71"/>
    </row>
    <row r="386" spans="2:4" x14ac:dyDescent="0.15">
      <c r="B386" s="69"/>
      <c r="C386" s="70"/>
      <c r="D386" s="71"/>
    </row>
    <row r="387" spans="2:4" x14ac:dyDescent="0.15">
      <c r="B387" s="69"/>
      <c r="C387" s="70"/>
      <c r="D387" s="71"/>
    </row>
    <row r="388" spans="2:4" x14ac:dyDescent="0.15">
      <c r="B388" s="69"/>
      <c r="C388" s="70"/>
      <c r="D388" s="71"/>
    </row>
    <row r="389" spans="2:4" x14ac:dyDescent="0.15">
      <c r="B389" s="69"/>
      <c r="C389" s="70"/>
      <c r="D389" s="71"/>
    </row>
    <row r="390" spans="2:4" x14ac:dyDescent="0.15">
      <c r="B390" s="69"/>
      <c r="C390" s="70"/>
      <c r="D390" s="71"/>
    </row>
    <row r="391" spans="2:4" x14ac:dyDescent="0.15">
      <c r="B391" s="69"/>
      <c r="C391" s="70"/>
      <c r="D391" s="71"/>
    </row>
    <row r="392" spans="2:4" x14ac:dyDescent="0.15">
      <c r="B392" s="69"/>
      <c r="C392" s="70"/>
      <c r="D392" s="71"/>
    </row>
    <row r="393" spans="2:4" x14ac:dyDescent="0.15">
      <c r="B393" s="69"/>
      <c r="C393" s="70"/>
      <c r="D393" s="71"/>
    </row>
    <row r="394" spans="2:4" x14ac:dyDescent="0.15">
      <c r="B394" s="69"/>
      <c r="C394" s="70"/>
      <c r="D394" s="71"/>
    </row>
    <row r="395" spans="2:4" x14ac:dyDescent="0.15">
      <c r="B395" s="69"/>
      <c r="C395" s="70"/>
      <c r="D395" s="71"/>
    </row>
    <row r="396" spans="2:4" x14ac:dyDescent="0.15">
      <c r="B396" s="69"/>
      <c r="C396" s="70"/>
      <c r="D396" s="71"/>
    </row>
    <row r="397" spans="2:4" x14ac:dyDescent="0.15">
      <c r="B397" s="69"/>
      <c r="C397" s="70"/>
      <c r="D397" s="71"/>
    </row>
    <row r="398" spans="2:4" x14ac:dyDescent="0.15">
      <c r="B398" s="69"/>
      <c r="C398" s="70"/>
      <c r="D398" s="71"/>
    </row>
    <row r="399" spans="2:4" x14ac:dyDescent="0.15">
      <c r="B399" s="69"/>
      <c r="C399" s="70"/>
      <c r="D399" s="71"/>
    </row>
    <row r="400" spans="2:4" x14ac:dyDescent="0.15">
      <c r="B400" s="69"/>
      <c r="C400" s="70"/>
      <c r="D400" s="71"/>
    </row>
    <row r="401" spans="2:4" x14ac:dyDescent="0.15">
      <c r="B401" s="69"/>
      <c r="C401" s="70"/>
      <c r="D401" s="71"/>
    </row>
    <row r="402" spans="2:4" x14ac:dyDescent="0.15">
      <c r="B402" s="69"/>
      <c r="C402" s="70"/>
      <c r="D402" s="71"/>
    </row>
    <row r="403" spans="2:4" x14ac:dyDescent="0.15">
      <c r="B403" s="69"/>
      <c r="C403" s="70"/>
      <c r="D403" s="71"/>
    </row>
    <row r="404" spans="2:4" x14ac:dyDescent="0.15">
      <c r="B404" s="69"/>
      <c r="C404" s="70"/>
      <c r="D404" s="71"/>
    </row>
    <row r="405" spans="2:4" x14ac:dyDescent="0.15">
      <c r="B405" s="69"/>
      <c r="C405" s="70"/>
      <c r="D405" s="71"/>
    </row>
    <row r="406" spans="2:4" x14ac:dyDescent="0.15">
      <c r="B406" s="69"/>
      <c r="C406" s="70"/>
      <c r="D406" s="71"/>
    </row>
    <row r="407" spans="2:4" x14ac:dyDescent="0.15">
      <c r="B407" s="69"/>
      <c r="C407" s="70"/>
      <c r="D407" s="71"/>
    </row>
    <row r="408" spans="2:4" x14ac:dyDescent="0.15">
      <c r="B408" s="69"/>
      <c r="C408" s="70"/>
      <c r="D408" s="71"/>
    </row>
    <row r="409" spans="2:4" x14ac:dyDescent="0.15">
      <c r="B409" s="69"/>
      <c r="C409" s="70"/>
      <c r="D409" s="71"/>
    </row>
    <row r="410" spans="2:4" x14ac:dyDescent="0.15">
      <c r="B410" s="69"/>
      <c r="C410" s="70"/>
      <c r="D410" s="71"/>
    </row>
    <row r="411" spans="2:4" x14ac:dyDescent="0.15">
      <c r="B411" s="69"/>
      <c r="C411" s="70"/>
      <c r="D411" s="71"/>
    </row>
    <row r="412" spans="2:4" x14ac:dyDescent="0.15">
      <c r="B412" s="69"/>
      <c r="C412" s="70"/>
      <c r="D412" s="71"/>
    </row>
    <row r="413" spans="2:4" x14ac:dyDescent="0.15">
      <c r="B413" s="69"/>
      <c r="C413" s="70"/>
      <c r="D413" s="71"/>
    </row>
    <row r="414" spans="2:4" x14ac:dyDescent="0.15">
      <c r="B414" s="69"/>
      <c r="C414" s="70"/>
      <c r="D414" s="71"/>
    </row>
    <row r="415" spans="2:4" x14ac:dyDescent="0.15">
      <c r="B415" s="69"/>
      <c r="C415" s="70"/>
      <c r="D415" s="71"/>
    </row>
    <row r="416" spans="2:4" x14ac:dyDescent="0.15">
      <c r="B416" s="69"/>
      <c r="C416" s="70"/>
      <c r="D416" s="71"/>
    </row>
    <row r="417" spans="2:4" x14ac:dyDescent="0.15">
      <c r="B417" s="69"/>
      <c r="C417" s="70"/>
      <c r="D417" s="71"/>
    </row>
    <row r="418" spans="2:4" x14ac:dyDescent="0.15">
      <c r="B418" s="69"/>
      <c r="C418" s="70"/>
      <c r="D418" s="71"/>
    </row>
    <row r="419" spans="2:4" x14ac:dyDescent="0.15">
      <c r="B419" s="69"/>
      <c r="C419" s="70"/>
      <c r="D419" s="71"/>
    </row>
    <row r="420" spans="2:4" x14ac:dyDescent="0.15">
      <c r="B420" s="69"/>
      <c r="C420" s="70"/>
      <c r="D420" s="71"/>
    </row>
    <row r="421" spans="2:4" x14ac:dyDescent="0.15">
      <c r="B421" s="69"/>
      <c r="C421" s="70"/>
      <c r="D421" s="71"/>
    </row>
    <row r="422" spans="2:4" x14ac:dyDescent="0.15">
      <c r="B422" s="69"/>
      <c r="C422" s="70"/>
      <c r="D422" s="71"/>
    </row>
    <row r="423" spans="2:4" x14ac:dyDescent="0.15">
      <c r="B423" s="69"/>
      <c r="C423" s="70"/>
      <c r="D423" s="71"/>
    </row>
    <row r="424" spans="2:4" x14ac:dyDescent="0.15">
      <c r="B424" s="69"/>
      <c r="C424" s="70"/>
      <c r="D424" s="71"/>
    </row>
    <row r="425" spans="2:4" x14ac:dyDescent="0.15">
      <c r="B425" s="69"/>
      <c r="C425" s="70"/>
      <c r="D425" s="71"/>
    </row>
    <row r="426" spans="2:4" x14ac:dyDescent="0.15">
      <c r="B426" s="69"/>
      <c r="C426" s="70"/>
      <c r="D426" s="71"/>
    </row>
    <row r="427" spans="2:4" x14ac:dyDescent="0.15">
      <c r="B427" s="69"/>
      <c r="C427" s="70"/>
      <c r="D427" s="71"/>
    </row>
    <row r="428" spans="2:4" x14ac:dyDescent="0.15">
      <c r="B428" s="69"/>
      <c r="C428" s="70"/>
      <c r="D428" s="71"/>
    </row>
    <row r="429" spans="2:4" x14ac:dyDescent="0.15">
      <c r="B429" s="69"/>
      <c r="C429" s="70"/>
      <c r="D429" s="71"/>
    </row>
    <row r="430" spans="2:4" x14ac:dyDescent="0.15">
      <c r="B430" s="69"/>
      <c r="C430" s="70"/>
      <c r="D430" s="71"/>
    </row>
    <row r="431" spans="2:4" x14ac:dyDescent="0.15">
      <c r="B431" s="69"/>
      <c r="C431" s="70"/>
      <c r="D431" s="71"/>
    </row>
    <row r="432" spans="2:4" x14ac:dyDescent="0.15">
      <c r="B432" s="69"/>
      <c r="C432" s="70"/>
      <c r="D432" s="71"/>
    </row>
    <row r="433" spans="2:4" x14ac:dyDescent="0.15">
      <c r="B433" s="69"/>
      <c r="C433" s="70"/>
      <c r="D433" s="71"/>
    </row>
    <row r="434" spans="2:4" x14ac:dyDescent="0.15">
      <c r="B434" s="69"/>
      <c r="C434" s="70"/>
      <c r="D434" s="71"/>
    </row>
    <row r="435" spans="2:4" x14ac:dyDescent="0.15">
      <c r="B435" s="69"/>
      <c r="C435" s="70"/>
      <c r="D435" s="71"/>
    </row>
    <row r="436" spans="2:4" x14ac:dyDescent="0.15">
      <c r="B436" s="69"/>
      <c r="C436" s="70"/>
      <c r="D436" s="71"/>
    </row>
    <row r="437" spans="2:4" x14ac:dyDescent="0.15">
      <c r="B437" s="69"/>
      <c r="C437" s="70"/>
      <c r="D437" s="71"/>
    </row>
    <row r="438" spans="2:4" x14ac:dyDescent="0.15">
      <c r="B438" s="69"/>
      <c r="C438" s="70"/>
      <c r="D438" s="71"/>
    </row>
    <row r="439" spans="2:4" x14ac:dyDescent="0.15">
      <c r="B439" s="69"/>
      <c r="C439" s="70"/>
      <c r="D439" s="71"/>
    </row>
    <row r="440" spans="2:4" x14ac:dyDescent="0.15">
      <c r="B440" s="69"/>
      <c r="C440" s="70"/>
      <c r="D440" s="71"/>
    </row>
    <row r="441" spans="2:4" x14ac:dyDescent="0.15">
      <c r="B441" s="69"/>
      <c r="C441" s="70"/>
      <c r="D441" s="71"/>
    </row>
    <row r="442" spans="2:4" x14ac:dyDescent="0.15">
      <c r="B442" s="69"/>
      <c r="C442" s="70"/>
      <c r="D442" s="71"/>
    </row>
    <row r="443" spans="2:4" x14ac:dyDescent="0.15">
      <c r="B443" s="69"/>
      <c r="C443" s="70"/>
      <c r="D443" s="71"/>
    </row>
    <row r="444" spans="2:4" x14ac:dyDescent="0.15">
      <c r="B444" s="69"/>
      <c r="C444" s="70"/>
      <c r="D444" s="71"/>
    </row>
    <row r="445" spans="2:4" x14ac:dyDescent="0.15">
      <c r="B445" s="69"/>
      <c r="C445" s="70"/>
      <c r="D445" s="71"/>
    </row>
    <row r="446" spans="2:4" x14ac:dyDescent="0.15">
      <c r="B446" s="69"/>
      <c r="C446" s="70"/>
      <c r="D446" s="71"/>
    </row>
    <row r="447" spans="2:4" x14ac:dyDescent="0.15">
      <c r="B447" s="69"/>
      <c r="C447" s="70"/>
      <c r="D447" s="71"/>
    </row>
    <row r="448" spans="2:4" x14ac:dyDescent="0.15">
      <c r="B448" s="69"/>
      <c r="C448" s="70"/>
      <c r="D448" s="71"/>
    </row>
    <row r="449" spans="2:4" x14ac:dyDescent="0.15">
      <c r="B449" s="69"/>
      <c r="C449" s="70"/>
      <c r="D449" s="71"/>
    </row>
    <row r="450" spans="2:4" x14ac:dyDescent="0.15">
      <c r="B450" s="69"/>
      <c r="C450" s="70"/>
      <c r="D450" s="71"/>
    </row>
    <row r="451" spans="2:4" x14ac:dyDescent="0.15">
      <c r="B451" s="69"/>
      <c r="C451" s="70"/>
      <c r="D451" s="71"/>
    </row>
    <row r="452" spans="2:4" x14ac:dyDescent="0.15">
      <c r="B452" s="69"/>
      <c r="C452" s="70"/>
      <c r="D452" s="71"/>
    </row>
    <row r="453" spans="2:4" x14ac:dyDescent="0.15">
      <c r="B453" s="69"/>
      <c r="C453" s="70"/>
      <c r="D453" s="71"/>
    </row>
    <row r="454" spans="2:4" x14ac:dyDescent="0.15">
      <c r="B454" s="69"/>
      <c r="C454" s="70"/>
      <c r="D454" s="71"/>
    </row>
    <row r="455" spans="2:4" x14ac:dyDescent="0.15">
      <c r="B455" s="69"/>
      <c r="C455" s="70"/>
      <c r="D455" s="71"/>
    </row>
    <row r="456" spans="2:4" x14ac:dyDescent="0.15">
      <c r="B456" s="69"/>
      <c r="C456" s="70"/>
      <c r="D456" s="71"/>
    </row>
    <row r="457" spans="2:4" x14ac:dyDescent="0.15">
      <c r="B457" s="69"/>
      <c r="C457" s="70"/>
      <c r="D457" s="71"/>
    </row>
    <row r="458" spans="2:4" x14ac:dyDescent="0.15">
      <c r="B458" s="69"/>
      <c r="C458" s="70"/>
      <c r="D458" s="71"/>
    </row>
    <row r="459" spans="2:4" x14ac:dyDescent="0.15">
      <c r="B459" s="69"/>
      <c r="C459" s="70"/>
      <c r="D459" s="71"/>
    </row>
    <row r="460" spans="2:4" x14ac:dyDescent="0.15">
      <c r="B460" s="69"/>
      <c r="C460" s="70"/>
      <c r="D460" s="71"/>
    </row>
    <row r="461" spans="2:4" x14ac:dyDescent="0.15">
      <c r="B461" s="69"/>
      <c r="C461" s="70"/>
      <c r="D461" s="71"/>
    </row>
    <row r="462" spans="2:4" x14ac:dyDescent="0.15">
      <c r="B462" s="69"/>
      <c r="C462" s="70"/>
      <c r="D462" s="71"/>
    </row>
    <row r="463" spans="2:4" x14ac:dyDescent="0.15">
      <c r="B463" s="69"/>
      <c r="C463" s="70"/>
      <c r="D463" s="71"/>
    </row>
    <row r="464" spans="2:4" x14ac:dyDescent="0.15">
      <c r="B464" s="69"/>
      <c r="C464" s="70"/>
      <c r="D464" s="71"/>
    </row>
    <row r="465" spans="2:4" x14ac:dyDescent="0.15">
      <c r="B465" s="69"/>
      <c r="C465" s="70"/>
      <c r="D465" s="71"/>
    </row>
    <row r="466" spans="2:4" x14ac:dyDescent="0.15">
      <c r="B466" s="69"/>
      <c r="C466" s="70"/>
      <c r="D466" s="71"/>
    </row>
    <row r="467" spans="2:4" x14ac:dyDescent="0.15">
      <c r="B467" s="69"/>
      <c r="C467" s="70"/>
      <c r="D467" s="71"/>
    </row>
    <row r="468" spans="2:4" x14ac:dyDescent="0.15">
      <c r="B468" s="69"/>
      <c r="C468" s="70"/>
      <c r="D468" s="71"/>
    </row>
    <row r="469" spans="2:4" x14ac:dyDescent="0.15">
      <c r="B469" s="69"/>
      <c r="C469" s="70"/>
      <c r="D469" s="71"/>
    </row>
    <row r="470" spans="2:4" x14ac:dyDescent="0.15">
      <c r="B470" s="69"/>
      <c r="C470" s="70"/>
      <c r="D470" s="71"/>
    </row>
    <row r="471" spans="2:4" x14ac:dyDescent="0.15">
      <c r="B471" s="69"/>
      <c r="C471" s="70"/>
      <c r="D471" s="71"/>
    </row>
    <row r="472" spans="2:4" x14ac:dyDescent="0.15">
      <c r="B472" s="69"/>
      <c r="C472" s="70"/>
      <c r="D472" s="71"/>
    </row>
    <row r="473" spans="2:4" x14ac:dyDescent="0.15">
      <c r="B473" s="69"/>
      <c r="C473" s="70"/>
      <c r="D473" s="71"/>
    </row>
    <row r="474" spans="2:4" x14ac:dyDescent="0.15">
      <c r="B474" s="69"/>
      <c r="C474" s="70"/>
      <c r="D474" s="71"/>
    </row>
    <row r="475" spans="2:4" x14ac:dyDescent="0.15">
      <c r="B475" s="69"/>
      <c r="C475" s="70"/>
      <c r="D475" s="71"/>
    </row>
    <row r="476" spans="2:4" x14ac:dyDescent="0.15">
      <c r="B476" s="69"/>
      <c r="C476" s="70"/>
      <c r="D476" s="71"/>
    </row>
    <row r="477" spans="2:4" x14ac:dyDescent="0.15">
      <c r="B477" s="69"/>
      <c r="C477" s="70"/>
      <c r="D477" s="71"/>
    </row>
    <row r="478" spans="2:4" x14ac:dyDescent="0.15">
      <c r="B478" s="69"/>
      <c r="C478" s="70"/>
      <c r="D478" s="71"/>
    </row>
    <row r="479" spans="2:4" x14ac:dyDescent="0.15">
      <c r="B479" s="69"/>
      <c r="C479" s="70"/>
      <c r="D479" s="71"/>
    </row>
    <row r="480" spans="2:4" x14ac:dyDescent="0.15">
      <c r="B480" s="69"/>
      <c r="C480" s="70"/>
      <c r="D480" s="71"/>
    </row>
    <row r="481" spans="2:4" x14ac:dyDescent="0.15">
      <c r="B481" s="69"/>
      <c r="C481" s="70"/>
      <c r="D481" s="71"/>
    </row>
    <row r="482" spans="2:4" x14ac:dyDescent="0.15">
      <c r="B482" s="69"/>
      <c r="C482" s="70"/>
      <c r="D482" s="71"/>
    </row>
    <row r="483" spans="2:4" x14ac:dyDescent="0.15">
      <c r="B483" s="69"/>
      <c r="C483" s="70"/>
      <c r="D483" s="71"/>
    </row>
    <row r="484" spans="2:4" x14ac:dyDescent="0.15">
      <c r="B484" s="69"/>
      <c r="C484" s="70"/>
      <c r="D484" s="71"/>
    </row>
    <row r="485" spans="2:4" x14ac:dyDescent="0.15">
      <c r="B485" s="69"/>
      <c r="C485" s="70"/>
      <c r="D485" s="71"/>
    </row>
    <row r="486" spans="2:4" x14ac:dyDescent="0.15">
      <c r="B486" s="69"/>
      <c r="C486" s="70"/>
      <c r="D486" s="71"/>
    </row>
    <row r="487" spans="2:4" x14ac:dyDescent="0.15">
      <c r="B487" s="69"/>
      <c r="C487" s="70"/>
      <c r="D487" s="71"/>
    </row>
    <row r="488" spans="2:4" x14ac:dyDescent="0.15">
      <c r="B488" s="69"/>
      <c r="C488" s="70"/>
      <c r="D488" s="71"/>
    </row>
    <row r="489" spans="2:4" x14ac:dyDescent="0.15">
      <c r="B489" s="69"/>
      <c r="C489" s="70"/>
      <c r="D489" s="71"/>
    </row>
    <row r="490" spans="2:4" x14ac:dyDescent="0.15">
      <c r="B490" s="69"/>
      <c r="C490" s="70"/>
      <c r="D490" s="71"/>
    </row>
    <row r="491" spans="2:4" x14ac:dyDescent="0.15">
      <c r="B491" s="69"/>
      <c r="C491" s="70"/>
      <c r="D491" s="71"/>
    </row>
    <row r="492" spans="2:4" x14ac:dyDescent="0.15">
      <c r="B492" s="69"/>
      <c r="C492" s="70"/>
      <c r="D492" s="71"/>
    </row>
    <row r="493" spans="2:4" x14ac:dyDescent="0.15">
      <c r="B493" s="69"/>
      <c r="C493" s="70"/>
      <c r="D493" s="71"/>
    </row>
    <row r="494" spans="2:4" x14ac:dyDescent="0.15">
      <c r="B494" s="69"/>
      <c r="C494" s="70"/>
      <c r="D494" s="71"/>
    </row>
    <row r="495" spans="2:4" x14ac:dyDescent="0.15">
      <c r="B495" s="69"/>
      <c r="C495" s="70"/>
      <c r="D495" s="71"/>
    </row>
    <row r="496" spans="2:4" x14ac:dyDescent="0.15">
      <c r="B496" s="69"/>
      <c r="C496" s="70"/>
      <c r="D496" s="71"/>
    </row>
    <row r="497" spans="2:4" x14ac:dyDescent="0.15">
      <c r="B497" s="69"/>
      <c r="C497" s="70"/>
      <c r="D497" s="71"/>
    </row>
    <row r="498" spans="2:4" x14ac:dyDescent="0.15">
      <c r="B498" s="69"/>
      <c r="C498" s="70"/>
      <c r="D498" s="71"/>
    </row>
    <row r="499" spans="2:4" x14ac:dyDescent="0.15">
      <c r="B499" s="69"/>
      <c r="C499" s="70"/>
      <c r="D499" s="71"/>
    </row>
    <row r="500" spans="2:4" x14ac:dyDescent="0.15">
      <c r="B500" s="69"/>
      <c r="C500" s="70"/>
      <c r="D500" s="71"/>
    </row>
    <row r="501" spans="2:4" x14ac:dyDescent="0.15">
      <c r="B501" s="69"/>
      <c r="C501" s="70"/>
      <c r="D501" s="71"/>
    </row>
    <row r="502" spans="2:4" x14ac:dyDescent="0.15">
      <c r="B502" s="69"/>
      <c r="C502" s="70"/>
      <c r="D502" s="71"/>
    </row>
    <row r="503" spans="2:4" x14ac:dyDescent="0.15">
      <c r="B503" s="69"/>
      <c r="C503" s="70"/>
      <c r="D503" s="71"/>
    </row>
    <row r="504" spans="2:4" x14ac:dyDescent="0.15">
      <c r="B504" s="69"/>
      <c r="C504" s="70"/>
      <c r="D504" s="71"/>
    </row>
    <row r="505" spans="2:4" x14ac:dyDescent="0.15">
      <c r="B505" s="69"/>
      <c r="C505" s="70"/>
      <c r="D505" s="71"/>
    </row>
    <row r="506" spans="2:4" x14ac:dyDescent="0.15">
      <c r="B506" s="69"/>
      <c r="C506" s="70"/>
      <c r="D506" s="71"/>
    </row>
    <row r="507" spans="2:4" x14ac:dyDescent="0.15">
      <c r="B507" s="69"/>
      <c r="C507" s="70"/>
      <c r="D507" s="71"/>
    </row>
    <row r="508" spans="2:4" x14ac:dyDescent="0.15">
      <c r="B508" s="69"/>
      <c r="C508" s="70"/>
      <c r="D508" s="71"/>
    </row>
    <row r="509" spans="2:4" x14ac:dyDescent="0.15">
      <c r="B509" s="69"/>
      <c r="C509" s="70"/>
      <c r="D509" s="71"/>
    </row>
    <row r="510" spans="2:4" x14ac:dyDescent="0.15">
      <c r="B510" s="69"/>
      <c r="C510" s="70"/>
      <c r="D510" s="71"/>
    </row>
    <row r="511" spans="2:4" x14ac:dyDescent="0.15">
      <c r="B511" s="69"/>
      <c r="C511" s="70"/>
      <c r="D511" s="71"/>
    </row>
    <row r="512" spans="2:4" x14ac:dyDescent="0.15">
      <c r="B512" s="69"/>
      <c r="C512" s="70"/>
      <c r="D512" s="71"/>
    </row>
    <row r="513" spans="2:4" x14ac:dyDescent="0.15">
      <c r="B513" s="69"/>
      <c r="C513" s="70"/>
      <c r="D513" s="71"/>
    </row>
    <row r="514" spans="2:4" x14ac:dyDescent="0.15">
      <c r="B514" s="69"/>
      <c r="C514" s="70"/>
      <c r="D514" s="71"/>
    </row>
    <row r="515" spans="2:4" x14ac:dyDescent="0.15">
      <c r="B515" s="69"/>
      <c r="C515" s="70"/>
      <c r="D515" s="71"/>
    </row>
    <row r="516" spans="2:4" x14ac:dyDescent="0.15">
      <c r="B516" s="69"/>
      <c r="C516" s="70"/>
      <c r="D516" s="71"/>
    </row>
    <row r="517" spans="2:4" x14ac:dyDescent="0.15">
      <c r="B517" s="69"/>
      <c r="C517" s="70"/>
      <c r="D517" s="71"/>
    </row>
    <row r="518" spans="2:4" x14ac:dyDescent="0.15">
      <c r="B518" s="69"/>
      <c r="C518" s="70"/>
      <c r="D518" s="71"/>
    </row>
    <row r="519" spans="2:4" x14ac:dyDescent="0.15">
      <c r="B519" s="69"/>
      <c r="C519" s="70"/>
      <c r="D519" s="71"/>
    </row>
    <row r="520" spans="2:4" x14ac:dyDescent="0.15">
      <c r="B520" s="69"/>
      <c r="C520" s="70"/>
      <c r="D520" s="71"/>
    </row>
    <row r="521" spans="2:4" x14ac:dyDescent="0.15">
      <c r="B521" s="69"/>
      <c r="C521" s="70"/>
      <c r="D521" s="71"/>
    </row>
    <row r="522" spans="2:4" x14ac:dyDescent="0.15">
      <c r="B522" s="69"/>
      <c r="C522" s="70"/>
      <c r="D522" s="71"/>
    </row>
    <row r="523" spans="2:4" x14ac:dyDescent="0.15">
      <c r="B523" s="69"/>
      <c r="C523" s="70"/>
      <c r="D523" s="71"/>
    </row>
    <row r="524" spans="2:4" x14ac:dyDescent="0.15">
      <c r="B524" s="69"/>
      <c r="C524" s="70"/>
      <c r="D524" s="71"/>
    </row>
    <row r="525" spans="2:4" x14ac:dyDescent="0.15">
      <c r="B525" s="69"/>
      <c r="C525" s="70"/>
      <c r="D525" s="71"/>
    </row>
    <row r="526" spans="2:4" x14ac:dyDescent="0.15">
      <c r="B526" s="69"/>
      <c r="C526" s="70"/>
      <c r="D526" s="71"/>
    </row>
    <row r="527" spans="2:4" x14ac:dyDescent="0.15">
      <c r="B527" s="69"/>
      <c r="C527" s="70"/>
      <c r="D527" s="71"/>
    </row>
    <row r="528" spans="2:4" x14ac:dyDescent="0.15">
      <c r="B528" s="69"/>
      <c r="C528" s="70"/>
      <c r="D528" s="71"/>
    </row>
    <row r="529" spans="2:4" x14ac:dyDescent="0.15">
      <c r="B529" s="69"/>
      <c r="C529" s="70"/>
      <c r="D529" s="71"/>
    </row>
    <row r="530" spans="2:4" x14ac:dyDescent="0.15">
      <c r="B530" s="69"/>
      <c r="C530" s="70"/>
      <c r="D530" s="71"/>
    </row>
    <row r="531" spans="2:4" x14ac:dyDescent="0.15">
      <c r="B531" s="69"/>
      <c r="C531" s="70"/>
      <c r="D531" s="71"/>
    </row>
    <row r="532" spans="2:4" x14ac:dyDescent="0.15">
      <c r="B532" s="69"/>
      <c r="C532" s="70"/>
      <c r="D532" s="71"/>
    </row>
    <row r="533" spans="2:4" x14ac:dyDescent="0.15">
      <c r="B533" s="69"/>
      <c r="C533" s="70"/>
      <c r="D533" s="71"/>
    </row>
    <row r="534" spans="2:4" x14ac:dyDescent="0.15">
      <c r="B534" s="69"/>
      <c r="C534" s="70"/>
      <c r="D534" s="71"/>
    </row>
    <row r="535" spans="2:4" x14ac:dyDescent="0.15">
      <c r="B535" s="69"/>
      <c r="C535" s="70"/>
      <c r="D535" s="71"/>
    </row>
    <row r="536" spans="2:4" x14ac:dyDescent="0.15">
      <c r="B536" s="69"/>
      <c r="C536" s="70"/>
      <c r="D536" s="71"/>
    </row>
    <row r="537" spans="2:4" x14ac:dyDescent="0.15">
      <c r="B537" s="69"/>
      <c r="C537" s="70"/>
      <c r="D537" s="71"/>
    </row>
    <row r="538" spans="2:4" x14ac:dyDescent="0.15">
      <c r="B538" s="69"/>
      <c r="C538" s="70"/>
      <c r="D538" s="71"/>
    </row>
    <row r="539" spans="2:4" x14ac:dyDescent="0.15">
      <c r="B539" s="69"/>
      <c r="C539" s="70"/>
      <c r="D539" s="71"/>
    </row>
    <row r="540" spans="2:4" x14ac:dyDescent="0.15">
      <c r="B540" s="69"/>
      <c r="C540" s="70"/>
      <c r="D540" s="71"/>
    </row>
    <row r="541" spans="2:4" x14ac:dyDescent="0.15">
      <c r="B541" s="69"/>
      <c r="C541" s="70"/>
      <c r="D541" s="71"/>
    </row>
    <row r="542" spans="2:4" x14ac:dyDescent="0.15">
      <c r="B542" s="69"/>
      <c r="C542" s="70"/>
      <c r="D542" s="71"/>
    </row>
    <row r="543" spans="2:4" x14ac:dyDescent="0.15">
      <c r="B543" s="69"/>
      <c r="C543" s="70"/>
      <c r="D543" s="71"/>
    </row>
    <row r="544" spans="2:4" x14ac:dyDescent="0.15">
      <c r="B544" s="69"/>
      <c r="C544" s="70"/>
      <c r="D544" s="71"/>
    </row>
    <row r="545" spans="2:4" x14ac:dyDescent="0.15">
      <c r="B545" s="69"/>
      <c r="C545" s="70"/>
      <c r="D545" s="71"/>
    </row>
    <row r="546" spans="2:4" x14ac:dyDescent="0.15">
      <c r="B546" s="69"/>
      <c r="C546" s="70"/>
      <c r="D546" s="71"/>
    </row>
    <row r="547" spans="2:4" x14ac:dyDescent="0.15">
      <c r="B547" s="69"/>
      <c r="C547" s="70"/>
      <c r="D547" s="71"/>
    </row>
    <row r="548" spans="2:4" x14ac:dyDescent="0.15">
      <c r="B548" s="69"/>
      <c r="C548" s="70"/>
      <c r="D548" s="71"/>
    </row>
    <row r="549" spans="2:4" x14ac:dyDescent="0.15">
      <c r="B549" s="69"/>
      <c r="C549" s="70"/>
      <c r="D549" s="71"/>
    </row>
    <row r="550" spans="2:4" x14ac:dyDescent="0.15">
      <c r="B550" s="69"/>
      <c r="C550" s="70"/>
      <c r="D550" s="71"/>
    </row>
    <row r="551" spans="2:4" x14ac:dyDescent="0.15">
      <c r="B551" s="69"/>
      <c r="C551" s="70"/>
      <c r="D551" s="71"/>
    </row>
    <row r="552" spans="2:4" x14ac:dyDescent="0.15">
      <c r="B552" s="69"/>
      <c r="C552" s="70"/>
      <c r="D552" s="71"/>
    </row>
    <row r="553" spans="2:4" x14ac:dyDescent="0.15">
      <c r="B553" s="69"/>
      <c r="C553" s="70"/>
      <c r="D553" s="71"/>
    </row>
    <row r="554" spans="2:4" x14ac:dyDescent="0.15">
      <c r="B554" s="69"/>
      <c r="C554" s="70"/>
      <c r="D554" s="71"/>
    </row>
    <row r="555" spans="2:4" x14ac:dyDescent="0.15">
      <c r="B555" s="69"/>
      <c r="C555" s="70"/>
      <c r="D555" s="71"/>
    </row>
    <row r="556" spans="2:4" x14ac:dyDescent="0.15">
      <c r="B556" s="69"/>
      <c r="C556" s="70"/>
      <c r="D556" s="71"/>
    </row>
    <row r="557" spans="2:4" x14ac:dyDescent="0.15">
      <c r="B557" s="69"/>
      <c r="C557" s="70"/>
      <c r="D557" s="71"/>
    </row>
    <row r="558" spans="2:4" x14ac:dyDescent="0.15">
      <c r="B558" s="69"/>
      <c r="C558" s="70"/>
      <c r="D558" s="71"/>
    </row>
    <row r="559" spans="2:4" x14ac:dyDescent="0.15">
      <c r="B559" s="69"/>
      <c r="C559" s="70"/>
      <c r="D559" s="71"/>
    </row>
    <row r="560" spans="2:4" x14ac:dyDescent="0.15">
      <c r="B560" s="69"/>
      <c r="C560" s="70"/>
      <c r="D560" s="71"/>
    </row>
    <row r="561" spans="2:4" x14ac:dyDescent="0.15">
      <c r="B561" s="69"/>
      <c r="C561" s="70"/>
      <c r="D561" s="71"/>
    </row>
    <row r="562" spans="2:4" x14ac:dyDescent="0.15">
      <c r="B562" s="69"/>
      <c r="C562" s="70"/>
      <c r="D562" s="71"/>
    </row>
    <row r="563" spans="2:4" x14ac:dyDescent="0.15">
      <c r="B563" s="69"/>
      <c r="C563" s="70"/>
      <c r="D563" s="71"/>
    </row>
    <row r="564" spans="2:4" x14ac:dyDescent="0.15">
      <c r="B564" s="69"/>
      <c r="C564" s="70"/>
      <c r="D564" s="71"/>
    </row>
    <row r="565" spans="2:4" x14ac:dyDescent="0.15">
      <c r="B565" s="69"/>
      <c r="C565" s="70"/>
      <c r="D565" s="71"/>
    </row>
    <row r="566" spans="2:4" x14ac:dyDescent="0.15">
      <c r="B566" s="69"/>
      <c r="C566" s="70"/>
      <c r="D566" s="71"/>
    </row>
    <row r="567" spans="2:4" x14ac:dyDescent="0.15">
      <c r="B567" s="69"/>
      <c r="C567" s="70"/>
      <c r="D567" s="71"/>
    </row>
    <row r="568" spans="2:4" x14ac:dyDescent="0.15">
      <c r="B568" s="69"/>
      <c r="C568" s="70"/>
      <c r="D568" s="71"/>
    </row>
    <row r="569" spans="2:4" x14ac:dyDescent="0.15">
      <c r="B569" s="69"/>
      <c r="C569" s="70"/>
      <c r="D569" s="71"/>
    </row>
    <row r="570" spans="2:4" x14ac:dyDescent="0.15">
      <c r="B570" s="69"/>
      <c r="C570" s="70"/>
      <c r="D570" s="71"/>
    </row>
    <row r="571" spans="2:4" x14ac:dyDescent="0.15">
      <c r="B571" s="69"/>
      <c r="C571" s="70"/>
      <c r="D571" s="71"/>
    </row>
    <row r="572" spans="2:4" x14ac:dyDescent="0.15">
      <c r="B572" s="69"/>
      <c r="C572" s="70"/>
      <c r="D572" s="71"/>
    </row>
    <row r="573" spans="2:4" x14ac:dyDescent="0.15">
      <c r="B573" s="69"/>
      <c r="C573" s="70"/>
      <c r="D573" s="71"/>
    </row>
    <row r="574" spans="2:4" x14ac:dyDescent="0.15">
      <c r="B574" s="69"/>
      <c r="C574" s="70"/>
      <c r="D574" s="71"/>
    </row>
    <row r="575" spans="2:4" x14ac:dyDescent="0.15">
      <c r="B575" s="69"/>
      <c r="C575" s="70"/>
      <c r="D575" s="71"/>
    </row>
    <row r="576" spans="2:4" x14ac:dyDescent="0.15">
      <c r="B576" s="69"/>
      <c r="C576" s="70"/>
      <c r="D576" s="71"/>
    </row>
    <row r="577" spans="2:4" x14ac:dyDescent="0.15">
      <c r="B577" s="69"/>
      <c r="C577" s="70"/>
      <c r="D577" s="71"/>
    </row>
    <row r="578" spans="2:4" x14ac:dyDescent="0.15">
      <c r="B578" s="69"/>
      <c r="C578" s="70"/>
      <c r="D578" s="71"/>
    </row>
    <row r="579" spans="2:4" x14ac:dyDescent="0.15">
      <c r="B579" s="69"/>
      <c r="C579" s="70"/>
      <c r="D579" s="71"/>
    </row>
    <row r="580" spans="2:4" x14ac:dyDescent="0.15">
      <c r="B580" s="69"/>
      <c r="C580" s="70"/>
      <c r="D580" s="71"/>
    </row>
    <row r="581" spans="2:4" x14ac:dyDescent="0.15">
      <c r="B581" s="69"/>
      <c r="C581" s="70"/>
      <c r="D581" s="71"/>
    </row>
    <row r="582" spans="2:4" x14ac:dyDescent="0.15">
      <c r="B582" s="69"/>
      <c r="C582" s="70"/>
      <c r="D582" s="71"/>
    </row>
    <row r="583" spans="2:4" x14ac:dyDescent="0.15">
      <c r="B583" s="69"/>
      <c r="C583" s="70"/>
      <c r="D583" s="71"/>
    </row>
    <row r="584" spans="2:4" x14ac:dyDescent="0.15">
      <c r="B584" s="69"/>
      <c r="C584" s="70"/>
      <c r="D584" s="71"/>
    </row>
    <row r="585" spans="2:4" x14ac:dyDescent="0.15">
      <c r="B585" s="69"/>
      <c r="C585" s="70"/>
      <c r="D585" s="71"/>
    </row>
    <row r="586" spans="2:4" x14ac:dyDescent="0.15">
      <c r="B586" s="69"/>
      <c r="C586" s="70"/>
      <c r="D586" s="71"/>
    </row>
    <row r="587" spans="2:4" x14ac:dyDescent="0.15">
      <c r="B587" s="69"/>
      <c r="C587" s="70"/>
      <c r="D587" s="71"/>
    </row>
    <row r="588" spans="2:4" x14ac:dyDescent="0.15">
      <c r="B588" s="69"/>
      <c r="C588" s="70"/>
      <c r="D588" s="71"/>
    </row>
    <row r="589" spans="2:4" x14ac:dyDescent="0.15">
      <c r="B589" s="69"/>
      <c r="C589" s="70"/>
      <c r="D589" s="71"/>
    </row>
    <row r="590" spans="2:4" x14ac:dyDescent="0.15">
      <c r="B590" s="69"/>
      <c r="C590" s="70"/>
      <c r="D590" s="71"/>
    </row>
    <row r="591" spans="2:4" x14ac:dyDescent="0.15">
      <c r="B591" s="69"/>
      <c r="C591" s="70"/>
      <c r="D591" s="71"/>
    </row>
    <row r="592" spans="2:4" x14ac:dyDescent="0.15">
      <c r="B592" s="69"/>
      <c r="C592" s="70"/>
      <c r="D592" s="71"/>
    </row>
    <row r="593" spans="2:4" x14ac:dyDescent="0.15">
      <c r="B593" s="69"/>
      <c r="C593" s="70"/>
      <c r="D593" s="71"/>
    </row>
    <row r="594" spans="2:4" x14ac:dyDescent="0.15">
      <c r="B594" s="69"/>
      <c r="C594" s="70"/>
      <c r="D594" s="71"/>
    </row>
    <row r="595" spans="2:4" x14ac:dyDescent="0.15">
      <c r="B595" s="69"/>
      <c r="C595" s="70"/>
      <c r="D595" s="71"/>
    </row>
    <row r="596" spans="2:4" x14ac:dyDescent="0.15">
      <c r="B596" s="69"/>
      <c r="C596" s="70"/>
      <c r="D596" s="71"/>
    </row>
    <row r="597" spans="2:4" x14ac:dyDescent="0.15">
      <c r="B597" s="69"/>
      <c r="C597" s="70"/>
      <c r="D597" s="71"/>
    </row>
    <row r="598" spans="2:4" x14ac:dyDescent="0.15">
      <c r="B598" s="69"/>
      <c r="C598" s="70"/>
      <c r="D598" s="71"/>
    </row>
    <row r="599" spans="2:4" x14ac:dyDescent="0.15">
      <c r="B599" s="69"/>
      <c r="C599" s="70"/>
      <c r="D599" s="71"/>
    </row>
    <row r="600" spans="2:4" x14ac:dyDescent="0.15">
      <c r="B600" s="69"/>
      <c r="C600" s="70"/>
      <c r="D600" s="71"/>
    </row>
    <row r="601" spans="2:4" x14ac:dyDescent="0.15">
      <c r="B601" s="69"/>
      <c r="C601" s="70"/>
      <c r="D601" s="71"/>
    </row>
    <row r="602" spans="2:4" x14ac:dyDescent="0.15">
      <c r="B602" s="69"/>
      <c r="C602" s="70"/>
      <c r="D602" s="71"/>
    </row>
    <row r="603" spans="2:4" x14ac:dyDescent="0.15">
      <c r="B603" s="69"/>
      <c r="C603" s="70"/>
      <c r="D603" s="71"/>
    </row>
    <row r="604" spans="2:4" x14ac:dyDescent="0.15">
      <c r="B604" s="69"/>
      <c r="C604" s="70"/>
      <c r="D604" s="71"/>
    </row>
    <row r="605" spans="2:4" x14ac:dyDescent="0.15">
      <c r="B605" s="69"/>
      <c r="C605" s="70"/>
      <c r="D605" s="71"/>
    </row>
    <row r="606" spans="2:4" x14ac:dyDescent="0.15">
      <c r="B606" s="69"/>
      <c r="C606" s="70"/>
      <c r="D606" s="71"/>
    </row>
    <row r="607" spans="2:4" x14ac:dyDescent="0.15">
      <c r="B607" s="69"/>
      <c r="C607" s="70"/>
      <c r="D607" s="71"/>
    </row>
    <row r="608" spans="2:4" x14ac:dyDescent="0.15">
      <c r="B608" s="69"/>
      <c r="C608" s="70"/>
      <c r="D608" s="71"/>
    </row>
    <row r="609" spans="2:4" x14ac:dyDescent="0.15">
      <c r="B609" s="69"/>
      <c r="C609" s="70"/>
      <c r="D609" s="71"/>
    </row>
    <row r="610" spans="2:4" x14ac:dyDescent="0.15">
      <c r="B610" s="69"/>
      <c r="C610" s="70"/>
      <c r="D610" s="71"/>
    </row>
    <row r="611" spans="2:4" x14ac:dyDescent="0.15">
      <c r="B611" s="69"/>
      <c r="C611" s="70"/>
      <c r="D611" s="71"/>
    </row>
    <row r="612" spans="2:4" x14ac:dyDescent="0.15">
      <c r="B612" s="69"/>
      <c r="C612" s="70"/>
      <c r="D612" s="71"/>
    </row>
    <row r="613" spans="2:4" x14ac:dyDescent="0.15">
      <c r="B613" s="69"/>
      <c r="C613" s="70"/>
      <c r="D613" s="71"/>
    </row>
    <row r="614" spans="2:4" x14ac:dyDescent="0.15">
      <c r="B614" s="69"/>
      <c r="C614" s="70"/>
      <c r="D614" s="71"/>
    </row>
    <row r="615" spans="2:4" x14ac:dyDescent="0.15">
      <c r="B615" s="69"/>
      <c r="C615" s="70"/>
      <c r="D615" s="71"/>
    </row>
    <row r="616" spans="2:4" x14ac:dyDescent="0.15">
      <c r="B616" s="69"/>
      <c r="C616" s="70"/>
      <c r="D616" s="71"/>
    </row>
    <row r="617" spans="2:4" x14ac:dyDescent="0.15">
      <c r="B617" s="69"/>
      <c r="C617" s="70"/>
      <c r="D617" s="71"/>
    </row>
    <row r="618" spans="2:4" x14ac:dyDescent="0.15">
      <c r="B618" s="69"/>
      <c r="C618" s="70"/>
      <c r="D618" s="71"/>
    </row>
    <row r="619" spans="2:4" x14ac:dyDescent="0.15">
      <c r="B619" s="69"/>
      <c r="C619" s="70"/>
      <c r="D619" s="71"/>
    </row>
    <row r="620" spans="2:4" x14ac:dyDescent="0.15">
      <c r="B620" s="69"/>
      <c r="C620" s="70"/>
      <c r="D620" s="71"/>
    </row>
    <row r="621" spans="2:4" x14ac:dyDescent="0.15">
      <c r="B621" s="69"/>
      <c r="C621" s="70"/>
      <c r="D621" s="71"/>
    </row>
    <row r="622" spans="2:4" x14ac:dyDescent="0.15">
      <c r="B622" s="69"/>
      <c r="C622" s="70"/>
      <c r="D622" s="71"/>
    </row>
    <row r="623" spans="2:4" x14ac:dyDescent="0.15">
      <c r="B623" s="69"/>
      <c r="C623" s="70"/>
      <c r="D623" s="71"/>
    </row>
    <row r="624" spans="2:4" x14ac:dyDescent="0.15">
      <c r="B624" s="69"/>
      <c r="C624" s="70"/>
      <c r="D624" s="71"/>
    </row>
    <row r="625" spans="2:4" x14ac:dyDescent="0.15">
      <c r="B625" s="69"/>
      <c r="C625" s="70"/>
      <c r="D625" s="71"/>
    </row>
    <row r="626" spans="2:4" x14ac:dyDescent="0.15">
      <c r="B626" s="69"/>
      <c r="C626" s="70"/>
      <c r="D626" s="71"/>
    </row>
    <row r="627" spans="2:4" x14ac:dyDescent="0.15">
      <c r="B627" s="69"/>
      <c r="C627" s="70"/>
      <c r="D627" s="71"/>
    </row>
    <row r="628" spans="2:4" x14ac:dyDescent="0.15">
      <c r="B628" s="69"/>
      <c r="C628" s="70"/>
      <c r="D628" s="71"/>
    </row>
    <row r="629" spans="2:4" x14ac:dyDescent="0.15">
      <c r="B629" s="69"/>
      <c r="C629" s="70"/>
      <c r="D629" s="71"/>
    </row>
    <row r="630" spans="2:4" x14ac:dyDescent="0.15">
      <c r="B630" s="69"/>
      <c r="C630" s="70"/>
      <c r="D630" s="71"/>
    </row>
    <row r="631" spans="2:4" x14ac:dyDescent="0.15">
      <c r="B631" s="69"/>
      <c r="C631" s="70"/>
      <c r="D631" s="71"/>
    </row>
    <row r="632" spans="2:4" x14ac:dyDescent="0.15">
      <c r="B632" s="69"/>
      <c r="C632" s="70"/>
      <c r="D632" s="71"/>
    </row>
    <row r="633" spans="2:4" x14ac:dyDescent="0.15">
      <c r="B633" s="69"/>
      <c r="C633" s="70"/>
      <c r="D633" s="71"/>
    </row>
    <row r="634" spans="2:4" x14ac:dyDescent="0.15">
      <c r="B634" s="69"/>
      <c r="C634" s="70"/>
      <c r="D634" s="71"/>
    </row>
    <row r="635" spans="2:4" x14ac:dyDescent="0.15">
      <c r="B635" s="69"/>
      <c r="C635" s="70"/>
      <c r="D635" s="71"/>
    </row>
    <row r="636" spans="2:4" x14ac:dyDescent="0.15">
      <c r="B636" s="69"/>
      <c r="C636" s="70"/>
      <c r="D636" s="71"/>
    </row>
    <row r="637" spans="2:4" x14ac:dyDescent="0.15">
      <c r="B637" s="69"/>
      <c r="C637" s="70"/>
      <c r="D637" s="71"/>
    </row>
    <row r="638" spans="2:4" x14ac:dyDescent="0.15">
      <c r="B638" s="69"/>
      <c r="C638" s="70"/>
      <c r="D638" s="71"/>
    </row>
    <row r="639" spans="2:4" x14ac:dyDescent="0.15">
      <c r="B639" s="69"/>
      <c r="C639" s="70"/>
      <c r="D639" s="71"/>
    </row>
    <row r="640" spans="2:4" x14ac:dyDescent="0.15">
      <c r="B640" s="69"/>
      <c r="C640" s="70"/>
      <c r="D640" s="71"/>
    </row>
    <row r="641" spans="2:4" x14ac:dyDescent="0.15">
      <c r="B641" s="69"/>
      <c r="C641" s="70"/>
      <c r="D641" s="71"/>
    </row>
    <row r="642" spans="2:4" x14ac:dyDescent="0.15">
      <c r="B642" s="69"/>
      <c r="C642" s="70"/>
      <c r="D642" s="71"/>
    </row>
    <row r="643" spans="2:4" x14ac:dyDescent="0.15">
      <c r="B643" s="69"/>
      <c r="C643" s="70"/>
      <c r="D643" s="71"/>
    </row>
    <row r="644" spans="2:4" x14ac:dyDescent="0.15">
      <c r="B644" s="69"/>
      <c r="C644" s="70"/>
      <c r="D644" s="71"/>
    </row>
    <row r="645" spans="2:4" x14ac:dyDescent="0.15">
      <c r="B645" s="69"/>
      <c r="C645" s="70"/>
      <c r="D645" s="71"/>
    </row>
    <row r="646" spans="2:4" x14ac:dyDescent="0.15">
      <c r="B646" s="69"/>
      <c r="C646" s="70"/>
      <c r="D646" s="71"/>
    </row>
    <row r="647" spans="2:4" x14ac:dyDescent="0.15">
      <c r="B647" s="69"/>
      <c r="C647" s="70"/>
      <c r="D647" s="71"/>
    </row>
    <row r="648" spans="2:4" x14ac:dyDescent="0.15">
      <c r="B648" s="69"/>
      <c r="C648" s="70"/>
      <c r="D648" s="71"/>
    </row>
    <row r="649" spans="2:4" x14ac:dyDescent="0.15">
      <c r="B649" s="69"/>
      <c r="C649" s="70"/>
      <c r="D649" s="71"/>
    </row>
    <row r="650" spans="2:4" x14ac:dyDescent="0.15">
      <c r="B650" s="69"/>
      <c r="C650" s="70"/>
      <c r="D650" s="71"/>
    </row>
    <row r="651" spans="2:4" x14ac:dyDescent="0.15">
      <c r="B651" s="69"/>
      <c r="C651" s="70"/>
      <c r="D651" s="71"/>
    </row>
    <row r="652" spans="2:4" x14ac:dyDescent="0.15">
      <c r="B652" s="69"/>
      <c r="C652" s="70"/>
      <c r="D652" s="71"/>
    </row>
    <row r="653" spans="2:4" x14ac:dyDescent="0.15">
      <c r="B653" s="69"/>
      <c r="C653" s="70"/>
      <c r="D653" s="71"/>
    </row>
    <row r="654" spans="2:4" x14ac:dyDescent="0.15">
      <c r="B654" s="69"/>
      <c r="C654" s="70"/>
      <c r="D654" s="71"/>
    </row>
    <row r="655" spans="2:4" x14ac:dyDescent="0.15">
      <c r="B655" s="69"/>
      <c r="C655" s="70"/>
      <c r="D655" s="71"/>
    </row>
    <row r="656" spans="2:4" x14ac:dyDescent="0.15">
      <c r="B656" s="69"/>
      <c r="C656" s="70"/>
      <c r="D656" s="71"/>
    </row>
    <row r="657" spans="2:4" x14ac:dyDescent="0.15">
      <c r="B657" s="69"/>
      <c r="C657" s="70"/>
      <c r="D657" s="71"/>
    </row>
    <row r="658" spans="2:4" x14ac:dyDescent="0.15">
      <c r="B658" s="69"/>
      <c r="C658" s="70"/>
      <c r="D658" s="71"/>
    </row>
    <row r="659" spans="2:4" x14ac:dyDescent="0.15">
      <c r="B659" s="69"/>
      <c r="C659" s="70"/>
      <c r="D659" s="71"/>
    </row>
    <row r="660" spans="2:4" x14ac:dyDescent="0.15">
      <c r="B660" s="69"/>
      <c r="C660" s="70"/>
      <c r="D660" s="71"/>
    </row>
    <row r="661" spans="2:4" x14ac:dyDescent="0.15">
      <c r="B661" s="69"/>
      <c r="C661" s="70"/>
      <c r="D661" s="71"/>
    </row>
    <row r="662" spans="2:4" x14ac:dyDescent="0.15">
      <c r="B662" s="69"/>
      <c r="C662" s="70"/>
      <c r="D662" s="71"/>
    </row>
    <row r="663" spans="2:4" x14ac:dyDescent="0.15">
      <c r="B663" s="69"/>
      <c r="C663" s="70"/>
      <c r="D663" s="71"/>
    </row>
    <row r="664" spans="2:4" x14ac:dyDescent="0.15">
      <c r="B664" s="69"/>
      <c r="C664" s="70"/>
      <c r="D664" s="71"/>
    </row>
    <row r="665" spans="2:4" x14ac:dyDescent="0.15">
      <c r="B665" s="69"/>
      <c r="C665" s="70"/>
      <c r="D665" s="71"/>
    </row>
    <row r="666" spans="2:4" x14ac:dyDescent="0.15">
      <c r="B666" s="69"/>
      <c r="C666" s="70"/>
      <c r="D666" s="71"/>
    </row>
    <row r="667" spans="2:4" x14ac:dyDescent="0.15">
      <c r="B667" s="69"/>
      <c r="C667" s="70"/>
      <c r="D667" s="71"/>
    </row>
    <row r="668" spans="2:4" x14ac:dyDescent="0.15">
      <c r="B668" s="69"/>
      <c r="C668" s="70"/>
      <c r="D668" s="71"/>
    </row>
    <row r="669" spans="2:4" x14ac:dyDescent="0.15">
      <c r="B669" s="69"/>
      <c r="C669" s="70"/>
      <c r="D669" s="71"/>
    </row>
    <row r="670" spans="2:4" x14ac:dyDescent="0.15">
      <c r="B670" s="69"/>
      <c r="C670" s="70"/>
      <c r="D670" s="71"/>
    </row>
    <row r="671" spans="2:4" x14ac:dyDescent="0.15">
      <c r="B671" s="69"/>
      <c r="C671" s="70"/>
      <c r="D671" s="71"/>
    </row>
    <row r="672" spans="2:4" x14ac:dyDescent="0.15">
      <c r="B672" s="69"/>
      <c r="C672" s="70"/>
      <c r="D672" s="71"/>
    </row>
    <row r="673" spans="2:4" x14ac:dyDescent="0.15">
      <c r="B673" s="69"/>
      <c r="C673" s="70"/>
      <c r="D673" s="71"/>
    </row>
    <row r="674" spans="2:4" x14ac:dyDescent="0.15">
      <c r="B674" s="69"/>
      <c r="C674" s="70"/>
      <c r="D674" s="71"/>
    </row>
    <row r="675" spans="2:4" x14ac:dyDescent="0.15">
      <c r="B675" s="69"/>
      <c r="C675" s="70"/>
      <c r="D675" s="71"/>
    </row>
    <row r="676" spans="2:4" x14ac:dyDescent="0.15">
      <c r="B676" s="69"/>
      <c r="C676" s="70"/>
      <c r="D676" s="71"/>
    </row>
    <row r="677" spans="2:4" x14ac:dyDescent="0.15">
      <c r="B677" s="69"/>
      <c r="C677" s="70"/>
      <c r="D677" s="71"/>
    </row>
    <row r="678" spans="2:4" x14ac:dyDescent="0.15">
      <c r="B678" s="69"/>
      <c r="C678" s="70"/>
      <c r="D678" s="71"/>
    </row>
    <row r="679" spans="2:4" x14ac:dyDescent="0.15">
      <c r="B679" s="69"/>
      <c r="C679" s="70"/>
      <c r="D679" s="71"/>
    </row>
    <row r="680" spans="2:4" x14ac:dyDescent="0.15">
      <c r="B680" s="69"/>
      <c r="C680" s="70"/>
      <c r="D680" s="71"/>
    </row>
    <row r="681" spans="2:4" x14ac:dyDescent="0.15">
      <c r="B681" s="69"/>
      <c r="C681" s="70"/>
      <c r="D681" s="71"/>
    </row>
    <row r="682" spans="2:4" x14ac:dyDescent="0.15">
      <c r="B682" s="69"/>
      <c r="C682" s="70"/>
      <c r="D682" s="71"/>
    </row>
    <row r="683" spans="2:4" x14ac:dyDescent="0.15">
      <c r="B683" s="69"/>
      <c r="C683" s="70"/>
      <c r="D683" s="71"/>
    </row>
    <row r="684" spans="2:4" x14ac:dyDescent="0.15">
      <c r="B684" s="69"/>
      <c r="C684" s="70"/>
      <c r="D684" s="71"/>
    </row>
    <row r="685" spans="2:4" x14ac:dyDescent="0.15">
      <c r="B685" s="69"/>
      <c r="C685" s="70"/>
      <c r="D685" s="71"/>
    </row>
    <row r="686" spans="2:4" x14ac:dyDescent="0.15">
      <c r="B686" s="69"/>
      <c r="C686" s="70"/>
      <c r="D686" s="71"/>
    </row>
    <row r="687" spans="2:4" x14ac:dyDescent="0.15">
      <c r="B687" s="69"/>
      <c r="C687" s="70"/>
      <c r="D687" s="71"/>
    </row>
    <row r="688" spans="2:4" x14ac:dyDescent="0.15">
      <c r="B688" s="69"/>
      <c r="C688" s="70"/>
      <c r="D688" s="71"/>
    </row>
    <row r="689" spans="2:4" x14ac:dyDescent="0.15">
      <c r="B689" s="69"/>
      <c r="C689" s="70"/>
      <c r="D689" s="71"/>
    </row>
    <row r="690" spans="2:4" x14ac:dyDescent="0.15">
      <c r="B690" s="69"/>
      <c r="C690" s="70"/>
      <c r="D690" s="71"/>
    </row>
    <row r="691" spans="2:4" x14ac:dyDescent="0.15">
      <c r="B691" s="69"/>
      <c r="C691" s="70"/>
      <c r="D691" s="71"/>
    </row>
    <row r="692" spans="2:4" x14ac:dyDescent="0.15">
      <c r="B692" s="69"/>
      <c r="C692" s="70"/>
      <c r="D692" s="71"/>
    </row>
    <row r="693" spans="2:4" x14ac:dyDescent="0.15">
      <c r="B693" s="69"/>
      <c r="C693" s="70"/>
      <c r="D693" s="71"/>
    </row>
    <row r="694" spans="2:4" x14ac:dyDescent="0.15">
      <c r="B694" s="69"/>
      <c r="C694" s="70"/>
      <c r="D694" s="71"/>
    </row>
    <row r="695" spans="2:4" x14ac:dyDescent="0.15">
      <c r="B695" s="69"/>
      <c r="C695" s="70"/>
      <c r="D695" s="71"/>
    </row>
    <row r="696" spans="2:4" x14ac:dyDescent="0.15">
      <c r="B696" s="69"/>
      <c r="C696" s="70"/>
      <c r="D696" s="71"/>
    </row>
    <row r="697" spans="2:4" x14ac:dyDescent="0.15">
      <c r="B697" s="69"/>
      <c r="C697" s="70"/>
      <c r="D697" s="71"/>
    </row>
    <row r="698" spans="2:4" x14ac:dyDescent="0.15">
      <c r="B698" s="69"/>
      <c r="C698" s="70"/>
      <c r="D698" s="71"/>
    </row>
    <row r="699" spans="2:4" x14ac:dyDescent="0.15">
      <c r="B699" s="69"/>
      <c r="C699" s="70"/>
      <c r="D699" s="71"/>
    </row>
    <row r="700" spans="2:4" x14ac:dyDescent="0.15">
      <c r="B700" s="69"/>
      <c r="C700" s="70"/>
      <c r="D700" s="71"/>
    </row>
    <row r="701" spans="2:4" x14ac:dyDescent="0.15">
      <c r="B701" s="69"/>
      <c r="C701" s="70"/>
      <c r="D701" s="71"/>
    </row>
    <row r="702" spans="2:4" x14ac:dyDescent="0.15">
      <c r="B702" s="69"/>
      <c r="C702" s="70"/>
      <c r="D702" s="71"/>
    </row>
    <row r="703" spans="2:4" x14ac:dyDescent="0.15">
      <c r="B703" s="69"/>
      <c r="C703" s="70"/>
      <c r="D703" s="71"/>
    </row>
    <row r="704" spans="2:4" x14ac:dyDescent="0.15">
      <c r="B704" s="69"/>
      <c r="C704" s="70"/>
      <c r="D704" s="71"/>
    </row>
    <row r="705" spans="2:4" x14ac:dyDescent="0.15">
      <c r="B705" s="69"/>
      <c r="C705" s="70"/>
      <c r="D705" s="71"/>
    </row>
    <row r="706" spans="2:4" x14ac:dyDescent="0.15">
      <c r="B706" s="69"/>
      <c r="C706" s="70"/>
      <c r="D706" s="71"/>
    </row>
    <row r="707" spans="2:4" x14ac:dyDescent="0.15">
      <c r="B707" s="69"/>
      <c r="C707" s="70"/>
      <c r="D707" s="71"/>
    </row>
    <row r="708" spans="2:4" x14ac:dyDescent="0.15">
      <c r="B708" s="69"/>
      <c r="C708" s="70"/>
      <c r="D708" s="71"/>
    </row>
    <row r="709" spans="2:4" x14ac:dyDescent="0.15">
      <c r="B709" s="69"/>
      <c r="C709" s="70"/>
      <c r="D709" s="71"/>
    </row>
    <row r="710" spans="2:4" x14ac:dyDescent="0.15">
      <c r="B710" s="69"/>
      <c r="C710" s="70"/>
      <c r="D710" s="71"/>
    </row>
    <row r="711" spans="2:4" x14ac:dyDescent="0.15">
      <c r="B711" s="69"/>
      <c r="C711" s="70"/>
      <c r="D711" s="71"/>
    </row>
    <row r="712" spans="2:4" x14ac:dyDescent="0.15">
      <c r="B712" s="69"/>
      <c r="C712" s="70"/>
      <c r="D712" s="71"/>
    </row>
    <row r="713" spans="2:4" x14ac:dyDescent="0.15">
      <c r="B713" s="69"/>
      <c r="C713" s="70"/>
      <c r="D713" s="71"/>
    </row>
    <row r="714" spans="2:4" x14ac:dyDescent="0.15">
      <c r="B714" s="69"/>
      <c r="C714" s="70"/>
      <c r="D714" s="71"/>
    </row>
    <row r="715" spans="2:4" x14ac:dyDescent="0.15">
      <c r="B715" s="69"/>
      <c r="C715" s="70"/>
      <c r="D715" s="71"/>
    </row>
    <row r="716" spans="2:4" x14ac:dyDescent="0.15">
      <c r="B716" s="69"/>
      <c r="C716" s="70"/>
      <c r="D716" s="71"/>
    </row>
    <row r="717" spans="2:4" x14ac:dyDescent="0.15">
      <c r="B717" s="69"/>
      <c r="C717" s="70"/>
      <c r="D717" s="71"/>
    </row>
    <row r="718" spans="2:4" x14ac:dyDescent="0.15">
      <c r="B718" s="69"/>
      <c r="C718" s="70"/>
      <c r="D718" s="71"/>
    </row>
    <row r="719" spans="2:4" x14ac:dyDescent="0.15">
      <c r="B719" s="69"/>
      <c r="C719" s="70"/>
      <c r="D719" s="71"/>
    </row>
    <row r="720" spans="2:4" x14ac:dyDescent="0.15">
      <c r="B720" s="69"/>
      <c r="C720" s="70"/>
      <c r="D720" s="71"/>
    </row>
    <row r="721" spans="2:4" x14ac:dyDescent="0.15">
      <c r="B721" s="69"/>
      <c r="C721" s="70"/>
      <c r="D721" s="71"/>
    </row>
    <row r="722" spans="2:4" x14ac:dyDescent="0.15">
      <c r="B722" s="69"/>
      <c r="C722" s="70"/>
      <c r="D722" s="71"/>
    </row>
    <row r="723" spans="2:4" x14ac:dyDescent="0.15">
      <c r="B723" s="69"/>
      <c r="C723" s="70"/>
      <c r="D723" s="71"/>
    </row>
    <row r="724" spans="2:4" x14ac:dyDescent="0.15">
      <c r="B724" s="69"/>
      <c r="C724" s="70"/>
      <c r="D724" s="71"/>
    </row>
    <row r="725" spans="2:4" x14ac:dyDescent="0.15">
      <c r="B725" s="69"/>
      <c r="C725" s="70"/>
      <c r="D725" s="71"/>
    </row>
    <row r="726" spans="2:4" x14ac:dyDescent="0.15">
      <c r="B726" s="69"/>
      <c r="C726" s="70"/>
      <c r="D726" s="71"/>
    </row>
    <row r="727" spans="2:4" x14ac:dyDescent="0.15">
      <c r="B727" s="69"/>
      <c r="C727" s="70"/>
      <c r="D727" s="71"/>
    </row>
    <row r="728" spans="2:4" x14ac:dyDescent="0.15">
      <c r="B728" s="69"/>
      <c r="C728" s="70"/>
      <c r="D728" s="71"/>
    </row>
    <row r="729" spans="2:4" x14ac:dyDescent="0.15">
      <c r="B729" s="69"/>
      <c r="C729" s="70"/>
      <c r="D729" s="71"/>
    </row>
    <row r="730" spans="2:4" x14ac:dyDescent="0.15">
      <c r="B730" s="69"/>
      <c r="C730" s="70"/>
      <c r="D730" s="71"/>
    </row>
    <row r="731" spans="2:4" x14ac:dyDescent="0.15">
      <c r="B731" s="69"/>
      <c r="C731" s="70"/>
      <c r="D731" s="71"/>
    </row>
    <row r="732" spans="2:4" x14ac:dyDescent="0.15">
      <c r="B732" s="69"/>
      <c r="C732" s="70"/>
      <c r="D732" s="71"/>
    </row>
    <row r="733" spans="2:4" x14ac:dyDescent="0.15">
      <c r="B733" s="69"/>
      <c r="C733" s="70"/>
      <c r="D733" s="71"/>
    </row>
    <row r="734" spans="2:4" x14ac:dyDescent="0.15">
      <c r="B734" s="69"/>
      <c r="C734" s="70"/>
      <c r="D734" s="71"/>
    </row>
    <row r="735" spans="2:4" x14ac:dyDescent="0.15">
      <c r="B735" s="69"/>
      <c r="C735" s="70"/>
      <c r="D735" s="71"/>
    </row>
    <row r="736" spans="2:4" x14ac:dyDescent="0.15">
      <c r="B736" s="69"/>
      <c r="C736" s="70"/>
      <c r="D736" s="71"/>
    </row>
    <row r="737" spans="2:4" x14ac:dyDescent="0.15">
      <c r="B737" s="69"/>
      <c r="C737" s="70"/>
      <c r="D737" s="71"/>
    </row>
    <row r="738" spans="2:4" x14ac:dyDescent="0.15">
      <c r="B738" s="69"/>
      <c r="C738" s="70"/>
      <c r="D738" s="71"/>
    </row>
    <row r="739" spans="2:4" x14ac:dyDescent="0.15">
      <c r="B739" s="69"/>
      <c r="C739" s="70"/>
      <c r="D739" s="71"/>
    </row>
    <row r="740" spans="2:4" x14ac:dyDescent="0.15">
      <c r="B740" s="69"/>
      <c r="C740" s="70"/>
      <c r="D740" s="71"/>
    </row>
    <row r="741" spans="2:4" x14ac:dyDescent="0.15">
      <c r="B741" s="69"/>
      <c r="C741" s="70"/>
      <c r="D741" s="71"/>
    </row>
    <row r="742" spans="2:4" x14ac:dyDescent="0.15">
      <c r="B742" s="69"/>
      <c r="C742" s="70"/>
      <c r="D742" s="71"/>
    </row>
    <row r="743" spans="2:4" x14ac:dyDescent="0.15">
      <c r="B743" s="69"/>
      <c r="C743" s="70"/>
      <c r="D743" s="71"/>
    </row>
    <row r="744" spans="2:4" x14ac:dyDescent="0.15">
      <c r="B744" s="69"/>
      <c r="C744" s="70"/>
      <c r="D744" s="71"/>
    </row>
    <row r="745" spans="2:4" x14ac:dyDescent="0.15">
      <c r="B745" s="69"/>
      <c r="C745" s="70"/>
      <c r="D745" s="71"/>
    </row>
    <row r="746" spans="2:4" x14ac:dyDescent="0.15">
      <c r="B746" s="69"/>
      <c r="C746" s="70"/>
      <c r="D746" s="71"/>
    </row>
    <row r="747" spans="2:4" x14ac:dyDescent="0.15">
      <c r="B747" s="69"/>
      <c r="C747" s="70"/>
      <c r="D747" s="71"/>
    </row>
    <row r="748" spans="2:4" x14ac:dyDescent="0.15">
      <c r="B748" s="69"/>
      <c r="C748" s="70"/>
      <c r="D748" s="71"/>
    </row>
    <row r="749" spans="2:4" x14ac:dyDescent="0.15">
      <c r="B749" s="69"/>
      <c r="C749" s="70"/>
      <c r="D749" s="71"/>
    </row>
    <row r="750" spans="2:4" x14ac:dyDescent="0.15">
      <c r="B750" s="69"/>
      <c r="C750" s="70"/>
      <c r="D750" s="71"/>
    </row>
    <row r="751" spans="2:4" x14ac:dyDescent="0.15">
      <c r="B751" s="69"/>
      <c r="C751" s="70"/>
      <c r="D751" s="71"/>
    </row>
    <row r="752" spans="2:4" x14ac:dyDescent="0.15">
      <c r="B752" s="69"/>
      <c r="C752" s="70"/>
      <c r="D752" s="71"/>
    </row>
    <row r="753" spans="2:4" x14ac:dyDescent="0.15">
      <c r="B753" s="69"/>
      <c r="C753" s="70"/>
      <c r="D753" s="71"/>
    </row>
    <row r="754" spans="2:4" x14ac:dyDescent="0.15">
      <c r="B754" s="69"/>
      <c r="C754" s="70"/>
      <c r="D754" s="71"/>
    </row>
    <row r="755" spans="2:4" x14ac:dyDescent="0.15">
      <c r="B755" s="69"/>
      <c r="C755" s="70"/>
      <c r="D755" s="71"/>
    </row>
    <row r="756" spans="2:4" x14ac:dyDescent="0.15">
      <c r="B756" s="69"/>
      <c r="C756" s="70"/>
      <c r="D756" s="71"/>
    </row>
    <row r="757" spans="2:4" x14ac:dyDescent="0.15">
      <c r="B757" s="69"/>
      <c r="C757" s="70"/>
      <c r="D757" s="71"/>
    </row>
    <row r="758" spans="2:4" x14ac:dyDescent="0.15">
      <c r="B758" s="69"/>
      <c r="C758" s="70"/>
      <c r="D758" s="71"/>
    </row>
    <row r="759" spans="2:4" x14ac:dyDescent="0.15">
      <c r="B759" s="69"/>
      <c r="C759" s="70"/>
      <c r="D759" s="71"/>
    </row>
    <row r="760" spans="2:4" x14ac:dyDescent="0.15">
      <c r="B760" s="69"/>
      <c r="C760" s="70"/>
      <c r="D760" s="71"/>
    </row>
    <row r="761" spans="2:4" x14ac:dyDescent="0.15">
      <c r="B761" s="69"/>
      <c r="C761" s="70"/>
      <c r="D761" s="71"/>
    </row>
    <row r="762" spans="2:4" x14ac:dyDescent="0.15">
      <c r="B762" s="69"/>
      <c r="C762" s="70"/>
      <c r="D762" s="71"/>
    </row>
    <row r="763" spans="2:4" x14ac:dyDescent="0.15">
      <c r="B763" s="69"/>
      <c r="C763" s="70"/>
      <c r="D763" s="71"/>
    </row>
    <row r="764" spans="2:4" x14ac:dyDescent="0.15">
      <c r="B764" s="69"/>
      <c r="C764" s="70"/>
      <c r="D764" s="71"/>
    </row>
    <row r="765" spans="2:4" x14ac:dyDescent="0.15">
      <c r="B765" s="69"/>
      <c r="C765" s="70"/>
      <c r="D765" s="71"/>
    </row>
    <row r="766" spans="2:4" x14ac:dyDescent="0.15">
      <c r="B766" s="69"/>
      <c r="C766" s="70"/>
      <c r="D766" s="71"/>
    </row>
    <row r="767" spans="2:4" x14ac:dyDescent="0.15">
      <c r="B767" s="69"/>
      <c r="C767" s="70"/>
      <c r="D767" s="71"/>
    </row>
    <row r="768" spans="2:4" x14ac:dyDescent="0.15">
      <c r="B768" s="69"/>
      <c r="C768" s="70"/>
      <c r="D768" s="71"/>
    </row>
    <row r="769" spans="2:4" x14ac:dyDescent="0.15">
      <c r="B769" s="69"/>
      <c r="C769" s="70"/>
      <c r="D769" s="71"/>
    </row>
    <row r="770" spans="2:4" x14ac:dyDescent="0.15">
      <c r="B770" s="69"/>
      <c r="C770" s="70"/>
      <c r="D770" s="71"/>
    </row>
    <row r="771" spans="2:4" x14ac:dyDescent="0.15">
      <c r="B771" s="69"/>
      <c r="C771" s="70"/>
      <c r="D771" s="71"/>
    </row>
    <row r="772" spans="2:4" x14ac:dyDescent="0.15">
      <c r="B772" s="69"/>
      <c r="C772" s="70"/>
      <c r="D772" s="71"/>
    </row>
    <row r="773" spans="2:4" x14ac:dyDescent="0.15">
      <c r="B773" s="69"/>
      <c r="C773" s="70"/>
      <c r="D773" s="71"/>
    </row>
    <row r="774" spans="2:4" x14ac:dyDescent="0.15">
      <c r="B774" s="69"/>
      <c r="C774" s="70"/>
      <c r="D774" s="71"/>
    </row>
    <row r="775" spans="2:4" x14ac:dyDescent="0.15">
      <c r="B775" s="69"/>
      <c r="C775" s="70"/>
      <c r="D775" s="71"/>
    </row>
    <row r="776" spans="2:4" x14ac:dyDescent="0.15">
      <c r="B776" s="69"/>
      <c r="C776" s="70"/>
      <c r="D776" s="71"/>
    </row>
    <row r="777" spans="2:4" x14ac:dyDescent="0.15">
      <c r="B777" s="69"/>
      <c r="C777" s="70"/>
      <c r="D777" s="71"/>
    </row>
    <row r="778" spans="2:4" x14ac:dyDescent="0.15">
      <c r="B778" s="69"/>
      <c r="C778" s="70"/>
      <c r="D778" s="71"/>
    </row>
    <row r="779" spans="2:4" x14ac:dyDescent="0.15">
      <c r="B779" s="69"/>
      <c r="C779" s="70"/>
      <c r="D779" s="71"/>
    </row>
    <row r="780" spans="2:4" x14ac:dyDescent="0.15">
      <c r="B780" s="69"/>
      <c r="C780" s="70"/>
      <c r="D780" s="71"/>
    </row>
    <row r="781" spans="2:4" x14ac:dyDescent="0.15">
      <c r="B781" s="69"/>
      <c r="C781" s="70"/>
      <c r="D781" s="71"/>
    </row>
    <row r="782" spans="2:4" x14ac:dyDescent="0.15">
      <c r="B782" s="69"/>
      <c r="C782" s="70"/>
      <c r="D782" s="71"/>
    </row>
    <row r="783" spans="2:4" x14ac:dyDescent="0.15">
      <c r="B783" s="69"/>
      <c r="C783" s="70"/>
      <c r="D783" s="71"/>
    </row>
    <row r="784" spans="2:4" x14ac:dyDescent="0.15">
      <c r="B784" s="69"/>
      <c r="C784" s="70"/>
      <c r="D784" s="71"/>
    </row>
    <row r="785" spans="2:4" x14ac:dyDescent="0.15">
      <c r="B785" s="69"/>
      <c r="C785" s="70"/>
      <c r="D785" s="71"/>
    </row>
    <row r="786" spans="2:4" x14ac:dyDescent="0.15">
      <c r="B786" s="69"/>
      <c r="C786" s="70"/>
      <c r="D786" s="71"/>
    </row>
    <row r="787" spans="2:4" x14ac:dyDescent="0.15">
      <c r="B787" s="69"/>
      <c r="C787" s="70"/>
      <c r="D787" s="71"/>
    </row>
    <row r="788" spans="2:4" x14ac:dyDescent="0.15">
      <c r="B788" s="69"/>
      <c r="C788" s="70"/>
      <c r="D788" s="71"/>
    </row>
    <row r="789" spans="2:4" x14ac:dyDescent="0.15">
      <c r="B789" s="69"/>
      <c r="C789" s="70"/>
      <c r="D789" s="71"/>
    </row>
    <row r="790" spans="2:4" x14ac:dyDescent="0.15">
      <c r="B790" s="69"/>
      <c r="C790" s="70"/>
      <c r="D790" s="71"/>
    </row>
    <row r="791" spans="2:4" x14ac:dyDescent="0.15">
      <c r="B791" s="69"/>
      <c r="C791" s="70"/>
      <c r="D791" s="71"/>
    </row>
    <row r="792" spans="2:4" x14ac:dyDescent="0.15">
      <c r="B792" s="69"/>
      <c r="C792" s="70"/>
      <c r="D792" s="71"/>
    </row>
    <row r="793" spans="2:4" x14ac:dyDescent="0.15">
      <c r="B793" s="69"/>
      <c r="C793" s="70"/>
      <c r="D793" s="71"/>
    </row>
    <row r="794" spans="2:4" x14ac:dyDescent="0.15">
      <c r="B794" s="69"/>
      <c r="C794" s="70"/>
      <c r="D794" s="71"/>
    </row>
    <row r="795" spans="2:4" x14ac:dyDescent="0.15">
      <c r="B795" s="69"/>
      <c r="C795" s="70"/>
      <c r="D795" s="71"/>
    </row>
    <row r="796" spans="2:4" x14ac:dyDescent="0.15">
      <c r="B796" s="69"/>
      <c r="C796" s="70"/>
      <c r="D796" s="71"/>
    </row>
    <row r="797" spans="2:4" x14ac:dyDescent="0.15">
      <c r="B797" s="69"/>
      <c r="C797" s="70"/>
      <c r="D797" s="71"/>
    </row>
    <row r="798" spans="2:4" x14ac:dyDescent="0.15">
      <c r="B798" s="69"/>
      <c r="C798" s="70"/>
      <c r="D798" s="71"/>
    </row>
    <row r="799" spans="2:4" x14ac:dyDescent="0.15">
      <c r="B799" s="69"/>
      <c r="C799" s="70"/>
      <c r="D799" s="71"/>
    </row>
    <row r="800" spans="2:4" x14ac:dyDescent="0.15">
      <c r="B800" s="69"/>
      <c r="C800" s="70"/>
      <c r="D800" s="71"/>
    </row>
    <row r="801" spans="2:4" x14ac:dyDescent="0.15">
      <c r="B801" s="69"/>
      <c r="C801" s="70"/>
      <c r="D801" s="71"/>
    </row>
    <row r="802" spans="2:4" x14ac:dyDescent="0.15">
      <c r="B802" s="69"/>
      <c r="C802" s="70"/>
      <c r="D802" s="71"/>
    </row>
    <row r="803" spans="2:4" x14ac:dyDescent="0.15">
      <c r="B803" s="69"/>
      <c r="C803" s="70"/>
      <c r="D803" s="71"/>
    </row>
    <row r="804" spans="2:4" x14ac:dyDescent="0.15">
      <c r="B804" s="69"/>
      <c r="C804" s="70"/>
      <c r="D804" s="71"/>
    </row>
    <row r="805" spans="2:4" x14ac:dyDescent="0.15">
      <c r="B805" s="69"/>
      <c r="C805" s="70"/>
      <c r="D805" s="71"/>
    </row>
    <row r="806" spans="2:4" x14ac:dyDescent="0.15">
      <c r="B806" s="69"/>
      <c r="C806" s="70"/>
      <c r="D806" s="71"/>
    </row>
    <row r="807" spans="2:4" x14ac:dyDescent="0.15">
      <c r="B807" s="69"/>
      <c r="C807" s="70"/>
      <c r="D807" s="71"/>
    </row>
    <row r="808" spans="2:4" x14ac:dyDescent="0.15">
      <c r="B808" s="69"/>
      <c r="C808" s="70"/>
      <c r="D808" s="71"/>
    </row>
    <row r="809" spans="2:4" x14ac:dyDescent="0.15">
      <c r="B809" s="69"/>
      <c r="C809" s="70"/>
      <c r="D809" s="71"/>
    </row>
    <row r="810" spans="2:4" x14ac:dyDescent="0.15">
      <c r="B810" s="69"/>
      <c r="C810" s="70"/>
      <c r="D810" s="71"/>
    </row>
    <row r="811" spans="2:4" x14ac:dyDescent="0.15">
      <c r="B811" s="69"/>
      <c r="C811" s="70"/>
      <c r="D811" s="71"/>
    </row>
    <row r="812" spans="2:4" x14ac:dyDescent="0.15">
      <c r="B812" s="69"/>
      <c r="C812" s="70"/>
      <c r="D812" s="71"/>
    </row>
    <row r="813" spans="2:4" x14ac:dyDescent="0.15">
      <c r="B813" s="69"/>
      <c r="C813" s="70"/>
      <c r="D813" s="71"/>
    </row>
    <row r="814" spans="2:4" x14ac:dyDescent="0.15">
      <c r="B814" s="69"/>
      <c r="C814" s="70"/>
      <c r="D814" s="71"/>
    </row>
    <row r="815" spans="2:4" x14ac:dyDescent="0.15">
      <c r="B815" s="69"/>
      <c r="C815" s="70"/>
      <c r="D815" s="71"/>
    </row>
    <row r="816" spans="2:4" x14ac:dyDescent="0.15">
      <c r="B816" s="69"/>
      <c r="C816" s="70"/>
      <c r="D816" s="71"/>
    </row>
    <row r="817" spans="2:4" x14ac:dyDescent="0.15">
      <c r="B817" s="69"/>
      <c r="C817" s="70"/>
      <c r="D817" s="71"/>
    </row>
    <row r="818" spans="2:4" x14ac:dyDescent="0.15">
      <c r="B818" s="69"/>
      <c r="C818" s="70"/>
      <c r="D818" s="71"/>
    </row>
    <row r="819" spans="2:4" x14ac:dyDescent="0.15">
      <c r="B819" s="69"/>
      <c r="C819" s="70"/>
      <c r="D819" s="71"/>
    </row>
    <row r="820" spans="2:4" x14ac:dyDescent="0.15">
      <c r="B820" s="69"/>
      <c r="C820" s="70"/>
      <c r="D820" s="71"/>
    </row>
    <row r="821" spans="2:4" x14ac:dyDescent="0.15">
      <c r="B821" s="69"/>
      <c r="C821" s="70"/>
      <c r="D821" s="71"/>
    </row>
    <row r="822" spans="2:4" x14ac:dyDescent="0.15">
      <c r="B822" s="69"/>
      <c r="C822" s="70"/>
      <c r="D822" s="71"/>
    </row>
    <row r="823" spans="2:4" x14ac:dyDescent="0.15">
      <c r="B823" s="69"/>
      <c r="C823" s="70"/>
      <c r="D823" s="71"/>
    </row>
    <row r="824" spans="2:4" x14ac:dyDescent="0.15">
      <c r="B824" s="69"/>
      <c r="C824" s="70"/>
      <c r="D824" s="71"/>
    </row>
    <row r="825" spans="2:4" x14ac:dyDescent="0.15">
      <c r="B825" s="69"/>
      <c r="C825" s="70"/>
      <c r="D825" s="71"/>
    </row>
    <row r="826" spans="2:4" x14ac:dyDescent="0.15">
      <c r="B826" s="69"/>
      <c r="C826" s="70"/>
      <c r="D826" s="71"/>
    </row>
    <row r="827" spans="2:4" x14ac:dyDescent="0.15">
      <c r="B827" s="69"/>
      <c r="C827" s="70"/>
      <c r="D827" s="71"/>
    </row>
    <row r="828" spans="2:4" x14ac:dyDescent="0.15">
      <c r="B828" s="69"/>
      <c r="C828" s="70"/>
      <c r="D828" s="71"/>
    </row>
    <row r="829" spans="2:4" x14ac:dyDescent="0.15">
      <c r="B829" s="69"/>
      <c r="C829" s="70"/>
      <c r="D829" s="71"/>
    </row>
    <row r="830" spans="2:4" x14ac:dyDescent="0.15">
      <c r="B830" s="69"/>
      <c r="C830" s="70"/>
      <c r="D830" s="71"/>
    </row>
    <row r="831" spans="2:4" x14ac:dyDescent="0.15">
      <c r="B831" s="69"/>
      <c r="C831" s="70"/>
      <c r="D831" s="71"/>
    </row>
    <row r="832" spans="2:4" x14ac:dyDescent="0.15">
      <c r="B832" s="69"/>
      <c r="C832" s="70"/>
      <c r="D832" s="71"/>
    </row>
    <row r="833" spans="2:4" x14ac:dyDescent="0.15">
      <c r="B833" s="69"/>
      <c r="C833" s="70"/>
      <c r="D833" s="71"/>
    </row>
    <row r="834" spans="2:4" x14ac:dyDescent="0.15">
      <c r="B834" s="69"/>
      <c r="C834" s="70"/>
      <c r="D834" s="71"/>
    </row>
    <row r="835" spans="2:4" x14ac:dyDescent="0.15">
      <c r="B835" s="69"/>
      <c r="C835" s="70"/>
      <c r="D835" s="71"/>
    </row>
    <row r="836" spans="2:4" x14ac:dyDescent="0.15">
      <c r="B836" s="69"/>
      <c r="C836" s="70"/>
      <c r="D836" s="71"/>
    </row>
    <row r="837" spans="2:4" x14ac:dyDescent="0.15">
      <c r="B837" s="69"/>
      <c r="C837" s="70"/>
      <c r="D837" s="71"/>
    </row>
    <row r="838" spans="2:4" x14ac:dyDescent="0.15">
      <c r="B838" s="69"/>
      <c r="C838" s="70"/>
      <c r="D838" s="71"/>
    </row>
    <row r="839" spans="2:4" x14ac:dyDescent="0.15">
      <c r="B839" s="69"/>
      <c r="C839" s="70"/>
      <c r="D839" s="71"/>
    </row>
    <row r="840" spans="2:4" x14ac:dyDescent="0.15">
      <c r="B840" s="69"/>
      <c r="C840" s="70"/>
      <c r="D840" s="71"/>
    </row>
    <row r="841" spans="2:4" x14ac:dyDescent="0.15">
      <c r="B841" s="69"/>
      <c r="C841" s="70"/>
      <c r="D841" s="71"/>
    </row>
    <row r="842" spans="2:4" x14ac:dyDescent="0.15">
      <c r="B842" s="69"/>
      <c r="C842" s="70"/>
      <c r="D842" s="71"/>
    </row>
    <row r="843" spans="2:4" x14ac:dyDescent="0.15">
      <c r="B843" s="69"/>
      <c r="C843" s="70"/>
      <c r="D843" s="71"/>
    </row>
    <row r="844" spans="2:4" x14ac:dyDescent="0.15">
      <c r="B844" s="69"/>
      <c r="C844" s="70"/>
      <c r="D844" s="71"/>
    </row>
    <row r="845" spans="2:4" x14ac:dyDescent="0.15">
      <c r="B845" s="69"/>
      <c r="C845" s="70"/>
      <c r="D845" s="71"/>
    </row>
    <row r="846" spans="2:4" x14ac:dyDescent="0.15">
      <c r="B846" s="69"/>
      <c r="C846" s="70"/>
      <c r="D846" s="71"/>
    </row>
    <row r="847" spans="2:4" x14ac:dyDescent="0.15">
      <c r="B847" s="69"/>
      <c r="C847" s="70"/>
      <c r="D847" s="71"/>
    </row>
    <row r="848" spans="2:4" x14ac:dyDescent="0.15">
      <c r="B848" s="69"/>
      <c r="C848" s="70"/>
      <c r="D848" s="71"/>
    </row>
    <row r="849" spans="2:4" x14ac:dyDescent="0.15">
      <c r="B849" s="69"/>
      <c r="C849" s="70"/>
      <c r="D849" s="71"/>
    </row>
    <row r="850" spans="2:4" x14ac:dyDescent="0.15">
      <c r="B850" s="69"/>
      <c r="C850" s="70"/>
      <c r="D850" s="71"/>
    </row>
    <row r="851" spans="2:4" x14ac:dyDescent="0.15">
      <c r="B851" s="69"/>
      <c r="C851" s="70"/>
      <c r="D851" s="71"/>
    </row>
    <row r="852" spans="2:4" x14ac:dyDescent="0.15">
      <c r="B852" s="69"/>
      <c r="C852" s="70"/>
      <c r="D852" s="71"/>
    </row>
    <row r="853" spans="2:4" x14ac:dyDescent="0.15">
      <c r="B853" s="69"/>
      <c r="C853" s="70"/>
      <c r="D853" s="71"/>
    </row>
    <row r="854" spans="2:4" x14ac:dyDescent="0.15">
      <c r="B854" s="69"/>
      <c r="C854" s="70"/>
      <c r="D854" s="71"/>
    </row>
    <row r="855" spans="2:4" x14ac:dyDescent="0.15">
      <c r="B855" s="69"/>
      <c r="C855" s="70"/>
      <c r="D855" s="71"/>
    </row>
    <row r="856" spans="2:4" x14ac:dyDescent="0.15">
      <c r="B856" s="69"/>
      <c r="C856" s="70"/>
      <c r="D856" s="71"/>
    </row>
    <row r="857" spans="2:4" x14ac:dyDescent="0.15">
      <c r="B857" s="69"/>
      <c r="C857" s="70"/>
      <c r="D857" s="71"/>
    </row>
    <row r="858" spans="2:4" x14ac:dyDescent="0.15">
      <c r="B858" s="69"/>
      <c r="C858" s="70"/>
      <c r="D858" s="71"/>
    </row>
    <row r="859" spans="2:4" x14ac:dyDescent="0.15">
      <c r="B859" s="69"/>
      <c r="C859" s="70"/>
      <c r="D859" s="71"/>
    </row>
    <row r="860" spans="2:4" x14ac:dyDescent="0.15">
      <c r="B860" s="69"/>
      <c r="C860" s="70"/>
      <c r="D860" s="71"/>
    </row>
    <row r="861" spans="2:4" x14ac:dyDescent="0.15">
      <c r="B861" s="69"/>
      <c r="C861" s="70"/>
      <c r="D861" s="71"/>
    </row>
    <row r="862" spans="2:4" x14ac:dyDescent="0.15">
      <c r="B862" s="69"/>
      <c r="C862" s="70"/>
      <c r="D862" s="71"/>
    </row>
    <row r="863" spans="2:4" x14ac:dyDescent="0.15">
      <c r="B863" s="69"/>
      <c r="C863" s="70"/>
      <c r="D863" s="71"/>
    </row>
    <row r="864" spans="2:4" x14ac:dyDescent="0.15">
      <c r="B864" s="69"/>
      <c r="C864" s="70"/>
      <c r="D864" s="71"/>
    </row>
    <row r="865" spans="2:4" x14ac:dyDescent="0.15">
      <c r="B865" s="69"/>
      <c r="C865" s="70"/>
      <c r="D865" s="71"/>
    </row>
    <row r="866" spans="2:4" x14ac:dyDescent="0.15">
      <c r="B866" s="69"/>
      <c r="C866" s="70"/>
      <c r="D866" s="71"/>
    </row>
    <row r="867" spans="2:4" x14ac:dyDescent="0.15">
      <c r="B867" s="69"/>
      <c r="C867" s="70"/>
      <c r="D867" s="71"/>
    </row>
    <row r="868" spans="2:4" x14ac:dyDescent="0.15">
      <c r="B868" s="69"/>
      <c r="C868" s="70"/>
      <c r="D868" s="71"/>
    </row>
    <row r="869" spans="2:4" x14ac:dyDescent="0.15">
      <c r="B869" s="69"/>
      <c r="C869" s="70"/>
      <c r="D869" s="71"/>
    </row>
    <row r="870" spans="2:4" x14ac:dyDescent="0.15">
      <c r="B870" s="69"/>
      <c r="C870" s="70"/>
      <c r="D870" s="71"/>
    </row>
    <row r="871" spans="2:4" x14ac:dyDescent="0.15">
      <c r="B871" s="69"/>
      <c r="C871" s="70"/>
      <c r="D871" s="71"/>
    </row>
    <row r="872" spans="2:4" x14ac:dyDescent="0.15">
      <c r="B872" s="69"/>
      <c r="C872" s="70"/>
      <c r="D872" s="71"/>
    </row>
    <row r="873" spans="2:4" x14ac:dyDescent="0.15">
      <c r="B873" s="69"/>
      <c r="C873" s="70"/>
      <c r="D873" s="71"/>
    </row>
    <row r="874" spans="2:4" x14ac:dyDescent="0.15">
      <c r="B874" s="69"/>
      <c r="C874" s="70"/>
      <c r="D874" s="71"/>
    </row>
    <row r="875" spans="2:4" x14ac:dyDescent="0.15">
      <c r="B875" s="69"/>
      <c r="C875" s="70"/>
      <c r="D875" s="71"/>
    </row>
    <row r="876" spans="2:4" x14ac:dyDescent="0.15">
      <c r="B876" s="69"/>
      <c r="C876" s="70"/>
      <c r="D876" s="71"/>
    </row>
    <row r="877" spans="2:4" x14ac:dyDescent="0.15">
      <c r="B877" s="69"/>
      <c r="C877" s="70"/>
      <c r="D877" s="71"/>
    </row>
    <row r="878" spans="2:4" x14ac:dyDescent="0.15">
      <c r="B878" s="69"/>
      <c r="C878" s="70"/>
      <c r="D878" s="71"/>
    </row>
    <row r="879" spans="2:4" x14ac:dyDescent="0.15">
      <c r="B879" s="69"/>
      <c r="C879" s="70"/>
      <c r="D879" s="71"/>
    </row>
    <row r="880" spans="2:4" x14ac:dyDescent="0.15">
      <c r="B880" s="69"/>
      <c r="C880" s="70"/>
      <c r="D880" s="71"/>
    </row>
    <row r="881" spans="2:4" x14ac:dyDescent="0.15">
      <c r="B881" s="69"/>
      <c r="C881" s="70"/>
      <c r="D881" s="71"/>
    </row>
    <row r="882" spans="2:4" x14ac:dyDescent="0.15">
      <c r="B882" s="69"/>
      <c r="C882" s="70"/>
      <c r="D882" s="71"/>
    </row>
    <row r="883" spans="2:4" x14ac:dyDescent="0.15">
      <c r="B883" s="69"/>
      <c r="C883" s="70"/>
      <c r="D883" s="71"/>
    </row>
    <row r="884" spans="2:4" x14ac:dyDescent="0.15">
      <c r="B884" s="69"/>
      <c r="C884" s="70"/>
      <c r="D884" s="71"/>
    </row>
    <row r="885" spans="2:4" x14ac:dyDescent="0.15">
      <c r="B885" s="69"/>
      <c r="C885" s="70"/>
      <c r="D885" s="71"/>
    </row>
    <row r="886" spans="2:4" x14ac:dyDescent="0.15">
      <c r="B886" s="69"/>
      <c r="C886" s="70"/>
      <c r="D886" s="71"/>
    </row>
    <row r="887" spans="2:4" x14ac:dyDescent="0.15">
      <c r="B887" s="69"/>
      <c r="C887" s="70"/>
      <c r="D887" s="71"/>
    </row>
    <row r="888" spans="2:4" x14ac:dyDescent="0.15">
      <c r="B888" s="69"/>
      <c r="C888" s="70"/>
      <c r="D888" s="71"/>
    </row>
    <row r="889" spans="2:4" x14ac:dyDescent="0.15">
      <c r="B889" s="69"/>
      <c r="C889" s="70"/>
      <c r="D889" s="71"/>
    </row>
    <row r="890" spans="2:4" x14ac:dyDescent="0.15">
      <c r="B890" s="69"/>
      <c r="C890" s="70"/>
      <c r="D890" s="71"/>
    </row>
    <row r="891" spans="2:4" x14ac:dyDescent="0.15">
      <c r="B891" s="69"/>
      <c r="C891" s="70"/>
      <c r="D891" s="71"/>
    </row>
    <row r="892" spans="2:4" x14ac:dyDescent="0.15">
      <c r="B892" s="69"/>
      <c r="C892" s="70"/>
      <c r="D892" s="71"/>
    </row>
    <row r="893" spans="2:4" x14ac:dyDescent="0.15">
      <c r="B893" s="69"/>
      <c r="C893" s="70"/>
      <c r="D893" s="71"/>
    </row>
    <row r="894" spans="2:4" x14ac:dyDescent="0.15">
      <c r="B894" s="69"/>
      <c r="C894" s="70"/>
      <c r="D894" s="71"/>
    </row>
    <row r="895" spans="2:4" x14ac:dyDescent="0.15">
      <c r="B895" s="69"/>
      <c r="C895" s="70"/>
      <c r="D895" s="71"/>
    </row>
    <row r="896" spans="2:4" x14ac:dyDescent="0.15">
      <c r="B896" s="69"/>
      <c r="C896" s="70"/>
      <c r="D896" s="71"/>
    </row>
    <row r="897" spans="2:4" x14ac:dyDescent="0.15">
      <c r="B897" s="69"/>
      <c r="C897" s="70"/>
      <c r="D897" s="71"/>
    </row>
    <row r="898" spans="2:4" x14ac:dyDescent="0.15">
      <c r="B898" s="69"/>
      <c r="C898" s="70"/>
      <c r="D898" s="71"/>
    </row>
    <row r="899" spans="2:4" x14ac:dyDescent="0.15">
      <c r="B899" s="69"/>
      <c r="C899" s="70"/>
      <c r="D899" s="71"/>
    </row>
    <row r="900" spans="2:4" x14ac:dyDescent="0.15">
      <c r="B900" s="69"/>
      <c r="C900" s="70"/>
      <c r="D900" s="71"/>
    </row>
    <row r="901" spans="2:4" x14ac:dyDescent="0.15">
      <c r="B901" s="69"/>
      <c r="C901" s="70"/>
      <c r="D901" s="71"/>
    </row>
    <row r="902" spans="2:4" x14ac:dyDescent="0.15">
      <c r="B902" s="69"/>
      <c r="C902" s="70"/>
      <c r="D902" s="71"/>
    </row>
    <row r="903" spans="2:4" x14ac:dyDescent="0.15">
      <c r="B903" s="69"/>
      <c r="C903" s="70"/>
      <c r="D903" s="71"/>
    </row>
    <row r="904" spans="2:4" x14ac:dyDescent="0.15">
      <c r="B904" s="69"/>
      <c r="C904" s="70"/>
      <c r="D904" s="71"/>
    </row>
    <row r="905" spans="2:4" x14ac:dyDescent="0.15">
      <c r="B905" s="69"/>
      <c r="C905" s="70"/>
      <c r="D905" s="71"/>
    </row>
    <row r="906" spans="2:4" x14ac:dyDescent="0.15">
      <c r="B906" s="69"/>
      <c r="C906" s="70"/>
      <c r="D906" s="71"/>
    </row>
    <row r="907" spans="2:4" x14ac:dyDescent="0.15">
      <c r="B907" s="69"/>
      <c r="C907" s="70"/>
      <c r="D907" s="71"/>
    </row>
    <row r="908" spans="2:4" x14ac:dyDescent="0.15">
      <c r="B908" s="69"/>
      <c r="C908" s="70"/>
      <c r="D908" s="71"/>
    </row>
    <row r="909" spans="2:4" x14ac:dyDescent="0.15">
      <c r="B909" s="69"/>
      <c r="C909" s="70"/>
      <c r="D909" s="71"/>
    </row>
    <row r="910" spans="2:4" x14ac:dyDescent="0.15">
      <c r="B910" s="69"/>
      <c r="C910" s="70"/>
      <c r="D910" s="71"/>
    </row>
    <row r="911" spans="2:4" x14ac:dyDescent="0.15">
      <c r="B911" s="69"/>
      <c r="C911" s="70"/>
      <c r="D911" s="71"/>
    </row>
    <row r="912" spans="2:4" x14ac:dyDescent="0.15">
      <c r="B912" s="69"/>
      <c r="C912" s="70"/>
      <c r="D912" s="71"/>
    </row>
    <row r="913" spans="2:4" x14ac:dyDescent="0.15">
      <c r="B913" s="69"/>
      <c r="C913" s="70"/>
      <c r="D913" s="71"/>
    </row>
    <row r="914" spans="2:4" x14ac:dyDescent="0.15">
      <c r="B914" s="69"/>
      <c r="C914" s="70"/>
      <c r="D914" s="71"/>
    </row>
    <row r="915" spans="2:4" x14ac:dyDescent="0.15">
      <c r="B915" s="69"/>
      <c r="C915" s="70"/>
      <c r="D915" s="71"/>
    </row>
    <row r="916" spans="2:4" x14ac:dyDescent="0.15">
      <c r="B916" s="69"/>
      <c r="C916" s="70"/>
      <c r="D916" s="71"/>
    </row>
    <row r="917" spans="2:4" x14ac:dyDescent="0.15">
      <c r="B917" s="69"/>
      <c r="C917" s="70"/>
      <c r="D917" s="71"/>
    </row>
    <row r="918" spans="2:4" x14ac:dyDescent="0.15">
      <c r="B918" s="69"/>
      <c r="C918" s="70"/>
      <c r="D918" s="71"/>
    </row>
    <row r="919" spans="2:4" x14ac:dyDescent="0.15">
      <c r="B919" s="69"/>
      <c r="C919" s="70"/>
      <c r="D919" s="71"/>
    </row>
    <row r="920" spans="2:4" x14ac:dyDescent="0.15">
      <c r="B920" s="69"/>
      <c r="C920" s="70"/>
      <c r="D920" s="71"/>
    </row>
    <row r="921" spans="2:4" x14ac:dyDescent="0.15">
      <c r="B921" s="69"/>
      <c r="C921" s="70"/>
      <c r="D921" s="71"/>
    </row>
    <row r="922" spans="2:4" x14ac:dyDescent="0.15">
      <c r="B922" s="69"/>
      <c r="C922" s="70"/>
      <c r="D922" s="71"/>
    </row>
    <row r="923" spans="2:4" x14ac:dyDescent="0.15">
      <c r="B923" s="69"/>
      <c r="C923" s="70"/>
      <c r="D923" s="71"/>
    </row>
    <row r="924" spans="2:4" x14ac:dyDescent="0.15">
      <c r="B924" s="69"/>
      <c r="C924" s="70"/>
      <c r="D924" s="71"/>
    </row>
    <row r="925" spans="2:4" x14ac:dyDescent="0.15">
      <c r="B925" s="69"/>
      <c r="C925" s="70"/>
      <c r="D925" s="71"/>
    </row>
    <row r="926" spans="2:4" x14ac:dyDescent="0.15">
      <c r="B926" s="69"/>
      <c r="C926" s="70"/>
      <c r="D926" s="71"/>
    </row>
    <row r="927" spans="2:4" x14ac:dyDescent="0.15">
      <c r="B927" s="69"/>
      <c r="C927" s="70"/>
      <c r="D927" s="71"/>
    </row>
    <row r="928" spans="2:4" x14ac:dyDescent="0.15">
      <c r="B928" s="69"/>
      <c r="C928" s="70"/>
      <c r="D928" s="71"/>
    </row>
    <row r="929" spans="2:4" x14ac:dyDescent="0.15">
      <c r="B929" s="69"/>
      <c r="C929" s="70"/>
      <c r="D929" s="71"/>
    </row>
    <row r="930" spans="2:4" x14ac:dyDescent="0.15">
      <c r="B930" s="69"/>
      <c r="C930" s="70"/>
      <c r="D930" s="71"/>
    </row>
    <row r="931" spans="2:4" x14ac:dyDescent="0.15">
      <c r="B931" s="69"/>
      <c r="C931" s="70"/>
      <c r="D931" s="71"/>
    </row>
    <row r="932" spans="2:4" x14ac:dyDescent="0.15">
      <c r="B932" s="69"/>
      <c r="C932" s="70"/>
      <c r="D932" s="71"/>
    </row>
    <row r="933" spans="2:4" x14ac:dyDescent="0.15">
      <c r="B933" s="69"/>
      <c r="C933" s="70"/>
      <c r="D933" s="71"/>
    </row>
    <row r="934" spans="2:4" x14ac:dyDescent="0.15">
      <c r="B934" s="69"/>
      <c r="C934" s="70"/>
      <c r="D934" s="71"/>
    </row>
    <row r="935" spans="2:4" x14ac:dyDescent="0.15">
      <c r="B935" s="69"/>
      <c r="C935" s="70"/>
      <c r="D935" s="71"/>
    </row>
    <row r="936" spans="2:4" x14ac:dyDescent="0.15">
      <c r="B936" s="69"/>
      <c r="C936" s="70"/>
      <c r="D936" s="71"/>
    </row>
    <row r="937" spans="2:4" x14ac:dyDescent="0.15">
      <c r="B937" s="69"/>
      <c r="C937" s="70"/>
      <c r="D937" s="71"/>
    </row>
    <row r="938" spans="2:4" x14ac:dyDescent="0.15">
      <c r="B938" s="69"/>
      <c r="C938" s="70"/>
      <c r="D938" s="71"/>
    </row>
    <row r="939" spans="2:4" x14ac:dyDescent="0.15">
      <c r="B939" s="69"/>
      <c r="C939" s="70"/>
      <c r="D939" s="71"/>
    </row>
    <row r="940" spans="2:4" x14ac:dyDescent="0.15">
      <c r="B940" s="69"/>
      <c r="C940" s="70"/>
      <c r="D940" s="71"/>
    </row>
    <row r="941" spans="2:4" x14ac:dyDescent="0.15">
      <c r="B941" s="69"/>
      <c r="C941" s="70"/>
      <c r="D941" s="71"/>
    </row>
    <row r="942" spans="2:4" x14ac:dyDescent="0.15">
      <c r="B942" s="69"/>
      <c r="C942" s="70"/>
      <c r="D942" s="71"/>
    </row>
    <row r="943" spans="2:4" x14ac:dyDescent="0.15">
      <c r="B943" s="69"/>
      <c r="C943" s="70"/>
      <c r="D943" s="71"/>
    </row>
    <row r="944" spans="2:4" x14ac:dyDescent="0.15">
      <c r="B944" s="69"/>
      <c r="C944" s="70"/>
      <c r="D944" s="71"/>
    </row>
    <row r="945" spans="2:4" x14ac:dyDescent="0.15">
      <c r="B945" s="69"/>
      <c r="C945" s="70"/>
      <c r="D945" s="71"/>
    </row>
    <row r="946" spans="2:4" x14ac:dyDescent="0.15">
      <c r="B946" s="69"/>
      <c r="C946" s="70"/>
      <c r="D946" s="71"/>
    </row>
    <row r="947" spans="2:4" x14ac:dyDescent="0.15">
      <c r="B947" s="69"/>
      <c r="C947" s="70"/>
      <c r="D947" s="71"/>
    </row>
    <row r="948" spans="2:4" x14ac:dyDescent="0.15">
      <c r="B948" s="69"/>
      <c r="C948" s="70"/>
      <c r="D948" s="71"/>
    </row>
    <row r="949" spans="2:4" x14ac:dyDescent="0.15">
      <c r="B949" s="69"/>
      <c r="C949" s="70"/>
      <c r="D949" s="71"/>
    </row>
    <row r="950" spans="2:4" x14ac:dyDescent="0.15">
      <c r="B950" s="69"/>
      <c r="C950" s="70"/>
      <c r="D950" s="71"/>
    </row>
    <row r="951" spans="2:4" x14ac:dyDescent="0.15">
      <c r="B951" s="69"/>
      <c r="C951" s="70"/>
      <c r="D951" s="71"/>
    </row>
    <row r="952" spans="2:4" x14ac:dyDescent="0.15">
      <c r="B952" s="69"/>
      <c r="C952" s="70"/>
      <c r="D952" s="71"/>
    </row>
    <row r="953" spans="2:4" x14ac:dyDescent="0.15">
      <c r="B953" s="69"/>
      <c r="C953" s="70"/>
      <c r="D953" s="71"/>
    </row>
    <row r="954" spans="2:4" x14ac:dyDescent="0.15">
      <c r="B954" s="69"/>
      <c r="C954" s="70"/>
      <c r="D954" s="71"/>
    </row>
    <row r="955" spans="2:4" x14ac:dyDescent="0.15">
      <c r="B955" s="69"/>
      <c r="C955" s="70"/>
      <c r="D955" s="71"/>
    </row>
    <row r="956" spans="2:4" x14ac:dyDescent="0.15">
      <c r="B956" s="69"/>
      <c r="C956" s="70"/>
      <c r="D956" s="71"/>
    </row>
    <row r="957" spans="2:4" x14ac:dyDescent="0.15">
      <c r="B957" s="69"/>
      <c r="C957" s="70"/>
      <c r="D957" s="71"/>
    </row>
    <row r="958" spans="2:4" x14ac:dyDescent="0.15">
      <c r="B958" s="69"/>
      <c r="C958" s="70"/>
      <c r="D958" s="71"/>
    </row>
    <row r="959" spans="2:4" x14ac:dyDescent="0.15">
      <c r="B959" s="69"/>
      <c r="C959" s="70"/>
      <c r="D959" s="71"/>
    </row>
    <row r="960" spans="2:4" x14ac:dyDescent="0.15">
      <c r="B960" s="69"/>
      <c r="C960" s="70"/>
      <c r="D960" s="71"/>
    </row>
    <row r="961" spans="2:4" x14ac:dyDescent="0.15">
      <c r="B961" s="69"/>
      <c r="C961" s="70"/>
      <c r="D961" s="71"/>
    </row>
    <row r="962" spans="2:4" x14ac:dyDescent="0.15">
      <c r="B962" s="69"/>
      <c r="C962" s="70"/>
      <c r="D962" s="71"/>
    </row>
    <row r="963" spans="2:4" x14ac:dyDescent="0.15">
      <c r="B963" s="69"/>
      <c r="C963" s="70"/>
      <c r="D963" s="71"/>
    </row>
    <row r="964" spans="2:4" x14ac:dyDescent="0.15">
      <c r="B964" s="69"/>
      <c r="C964" s="70"/>
      <c r="D964" s="71"/>
    </row>
    <row r="965" spans="2:4" x14ac:dyDescent="0.15">
      <c r="B965" s="69"/>
      <c r="C965" s="70"/>
      <c r="D965" s="71"/>
    </row>
    <row r="966" spans="2:4" x14ac:dyDescent="0.15">
      <c r="B966" s="69"/>
      <c r="C966" s="70"/>
      <c r="D966" s="71"/>
    </row>
    <row r="967" spans="2:4" x14ac:dyDescent="0.15">
      <c r="B967" s="69"/>
      <c r="C967" s="70"/>
      <c r="D967" s="71"/>
    </row>
    <row r="968" spans="2:4" x14ac:dyDescent="0.15">
      <c r="B968" s="69"/>
      <c r="C968" s="70"/>
      <c r="D968" s="71"/>
    </row>
    <row r="969" spans="2:4" x14ac:dyDescent="0.15">
      <c r="B969" s="69"/>
      <c r="C969" s="70"/>
      <c r="D969" s="71"/>
    </row>
    <row r="970" spans="2:4" x14ac:dyDescent="0.15">
      <c r="B970" s="69"/>
      <c r="C970" s="70"/>
      <c r="D970" s="71"/>
    </row>
    <row r="971" spans="2:4" x14ac:dyDescent="0.15">
      <c r="B971" s="69"/>
      <c r="C971" s="70"/>
      <c r="D971" s="71"/>
    </row>
    <row r="972" spans="2:4" x14ac:dyDescent="0.15">
      <c r="B972" s="69"/>
      <c r="C972" s="70"/>
      <c r="D972" s="71"/>
    </row>
    <row r="973" spans="2:4" x14ac:dyDescent="0.15">
      <c r="B973" s="69"/>
      <c r="C973" s="70"/>
      <c r="D973" s="71"/>
    </row>
    <row r="974" spans="2:4" x14ac:dyDescent="0.15">
      <c r="B974" s="69"/>
      <c r="C974" s="70"/>
      <c r="D974" s="71"/>
    </row>
    <row r="975" spans="2:4" x14ac:dyDescent="0.15">
      <c r="B975" s="69"/>
      <c r="C975" s="70"/>
      <c r="D975" s="71"/>
    </row>
    <row r="976" spans="2:4" x14ac:dyDescent="0.15">
      <c r="B976" s="69"/>
      <c r="C976" s="70"/>
      <c r="D976" s="71"/>
    </row>
    <row r="977" spans="2:4" x14ac:dyDescent="0.15">
      <c r="B977" s="69"/>
      <c r="C977" s="70"/>
      <c r="D977" s="71"/>
    </row>
    <row r="978" spans="2:4" x14ac:dyDescent="0.15">
      <c r="B978" s="69"/>
      <c r="C978" s="70"/>
      <c r="D978" s="71"/>
    </row>
    <row r="979" spans="2:4" x14ac:dyDescent="0.15">
      <c r="B979" s="69"/>
      <c r="C979" s="70"/>
      <c r="D979" s="71"/>
    </row>
    <row r="980" spans="2:4" x14ac:dyDescent="0.15">
      <c r="B980" s="69"/>
      <c r="C980" s="70"/>
      <c r="D980" s="71"/>
    </row>
    <row r="981" spans="2:4" x14ac:dyDescent="0.15">
      <c r="B981" s="69"/>
      <c r="C981" s="70"/>
      <c r="D981" s="71"/>
    </row>
    <row r="982" spans="2:4" x14ac:dyDescent="0.15">
      <c r="B982" s="69"/>
      <c r="C982" s="70"/>
      <c r="D982" s="71"/>
    </row>
    <row r="983" spans="2:4" x14ac:dyDescent="0.15">
      <c r="B983" s="69"/>
      <c r="C983" s="70"/>
      <c r="D983" s="71"/>
    </row>
    <row r="984" spans="2:4" x14ac:dyDescent="0.15">
      <c r="B984" s="69"/>
      <c r="C984" s="70"/>
      <c r="D984" s="71"/>
    </row>
    <row r="985" spans="2:4" x14ac:dyDescent="0.15">
      <c r="B985" s="69"/>
      <c r="C985" s="70"/>
      <c r="D985" s="71"/>
    </row>
    <row r="986" spans="2:4" x14ac:dyDescent="0.15">
      <c r="B986" s="69"/>
      <c r="C986" s="70"/>
      <c r="D986" s="71"/>
    </row>
    <row r="987" spans="2:4" x14ac:dyDescent="0.15">
      <c r="B987" s="69"/>
      <c r="C987" s="70"/>
      <c r="D987" s="71"/>
    </row>
    <row r="988" spans="2:4" x14ac:dyDescent="0.15">
      <c r="B988" s="69"/>
      <c r="C988" s="70"/>
      <c r="D988" s="71"/>
    </row>
    <row r="989" spans="2:4" x14ac:dyDescent="0.15">
      <c r="B989" s="69"/>
      <c r="C989" s="70"/>
      <c r="D989" s="71"/>
    </row>
    <row r="990" spans="2:4" x14ac:dyDescent="0.15">
      <c r="B990" s="69"/>
      <c r="C990" s="70"/>
      <c r="D990" s="71"/>
    </row>
    <row r="991" spans="2:4" x14ac:dyDescent="0.15">
      <c r="B991" s="69"/>
      <c r="C991" s="70"/>
      <c r="D991" s="71"/>
    </row>
    <row r="992" spans="2:4" x14ac:dyDescent="0.15">
      <c r="B992" s="69"/>
      <c r="C992" s="70"/>
      <c r="D992" s="71"/>
    </row>
    <row r="993" spans="2:4" x14ac:dyDescent="0.15">
      <c r="B993" s="69"/>
      <c r="C993" s="70"/>
      <c r="D993" s="71"/>
    </row>
    <row r="994" spans="2:4" x14ac:dyDescent="0.15">
      <c r="B994" s="69"/>
      <c r="C994" s="70"/>
      <c r="D994" s="71"/>
    </row>
    <row r="995" spans="2:4" x14ac:dyDescent="0.15">
      <c r="B995" s="69"/>
      <c r="C995" s="70"/>
      <c r="D995" s="71"/>
    </row>
    <row r="996" spans="2:4" x14ac:dyDescent="0.15">
      <c r="B996" s="69"/>
      <c r="C996" s="70"/>
      <c r="D996" s="71"/>
    </row>
    <row r="997" spans="2:4" x14ac:dyDescent="0.15">
      <c r="B997" s="69"/>
      <c r="C997" s="70"/>
      <c r="D997" s="71"/>
    </row>
    <row r="998" spans="2:4" x14ac:dyDescent="0.15">
      <c r="B998" s="69"/>
      <c r="C998" s="70"/>
      <c r="D998" s="71"/>
    </row>
    <row r="999" spans="2:4" x14ac:dyDescent="0.15">
      <c r="B999" s="69"/>
      <c r="C999" s="70"/>
      <c r="D999" s="71"/>
    </row>
    <row r="1000" spans="2:4" x14ac:dyDescent="0.15">
      <c r="B1000" s="69"/>
      <c r="C1000" s="70"/>
      <c r="D1000" s="71"/>
    </row>
    <row r="1001" spans="2:4" x14ac:dyDescent="0.15">
      <c r="B1001" s="69"/>
      <c r="C1001" s="70"/>
      <c r="D1001" s="71"/>
    </row>
    <row r="1002" spans="2:4" x14ac:dyDescent="0.15">
      <c r="B1002" s="69"/>
      <c r="C1002" s="70"/>
      <c r="D1002" s="71"/>
    </row>
    <row r="1003" spans="2:4" x14ac:dyDescent="0.15">
      <c r="B1003" s="69"/>
      <c r="C1003" s="70"/>
      <c r="D1003" s="71"/>
    </row>
    <row r="1004" spans="2:4" x14ac:dyDescent="0.15">
      <c r="B1004" s="69"/>
      <c r="C1004" s="70"/>
      <c r="D1004" s="71"/>
    </row>
    <row r="1005" spans="2:4" x14ac:dyDescent="0.15">
      <c r="B1005" s="69"/>
      <c r="C1005" s="70"/>
      <c r="D1005" s="71"/>
    </row>
    <row r="1006" spans="2:4" x14ac:dyDescent="0.15">
      <c r="B1006" s="69"/>
      <c r="C1006" s="70"/>
      <c r="D1006" s="71"/>
    </row>
    <row r="1007" spans="2:4" x14ac:dyDescent="0.15">
      <c r="B1007" s="69"/>
      <c r="C1007" s="70"/>
      <c r="D1007" s="71"/>
    </row>
    <row r="1008" spans="2:4" x14ac:dyDescent="0.15">
      <c r="B1008" s="69"/>
      <c r="C1008" s="70"/>
      <c r="D1008" s="71"/>
    </row>
    <row r="1009" spans="2:4" x14ac:dyDescent="0.15">
      <c r="B1009" s="69"/>
      <c r="C1009" s="70"/>
      <c r="D1009" s="71"/>
    </row>
    <row r="1010" spans="2:4" x14ac:dyDescent="0.15">
      <c r="B1010" s="69"/>
      <c r="C1010" s="70"/>
      <c r="D1010" s="71"/>
    </row>
    <row r="1011" spans="2:4" x14ac:dyDescent="0.15">
      <c r="B1011" s="69"/>
      <c r="C1011" s="70"/>
      <c r="D1011" s="71"/>
    </row>
    <row r="1012" spans="2:4" x14ac:dyDescent="0.15">
      <c r="B1012" s="69"/>
      <c r="C1012" s="70"/>
      <c r="D1012" s="71"/>
    </row>
    <row r="1013" spans="2:4" x14ac:dyDescent="0.15">
      <c r="B1013" s="69"/>
      <c r="C1013" s="70"/>
      <c r="D1013" s="71"/>
    </row>
    <row r="1014" spans="2:4" x14ac:dyDescent="0.15">
      <c r="B1014" s="69"/>
      <c r="C1014" s="70"/>
      <c r="D1014" s="71"/>
    </row>
    <row r="1015" spans="2:4" x14ac:dyDescent="0.15">
      <c r="B1015" s="69"/>
      <c r="C1015" s="70"/>
      <c r="D1015" s="71"/>
    </row>
    <row r="1016" spans="2:4" x14ac:dyDescent="0.15">
      <c r="B1016" s="69"/>
      <c r="C1016" s="70"/>
      <c r="D1016" s="71"/>
    </row>
    <row r="1017" spans="2:4" x14ac:dyDescent="0.15">
      <c r="B1017" s="69"/>
      <c r="C1017" s="70"/>
      <c r="D1017" s="71"/>
    </row>
    <row r="1018" spans="2:4" x14ac:dyDescent="0.15">
      <c r="B1018" s="69"/>
      <c r="C1018" s="70"/>
      <c r="D1018" s="71"/>
    </row>
    <row r="1019" spans="2:4" x14ac:dyDescent="0.15">
      <c r="B1019" s="69"/>
      <c r="C1019" s="70"/>
      <c r="D1019" s="71"/>
    </row>
    <row r="1020" spans="2:4" x14ac:dyDescent="0.15">
      <c r="B1020" s="69"/>
      <c r="C1020" s="70"/>
      <c r="D1020" s="71"/>
    </row>
    <row r="1021" spans="2:4" x14ac:dyDescent="0.15">
      <c r="B1021" s="69"/>
      <c r="C1021" s="70"/>
      <c r="D1021" s="71"/>
    </row>
    <row r="1022" spans="2:4" x14ac:dyDescent="0.15">
      <c r="B1022" s="69"/>
      <c r="C1022" s="70"/>
      <c r="D1022" s="71"/>
    </row>
    <row r="1023" spans="2:4" x14ac:dyDescent="0.15">
      <c r="B1023" s="69"/>
      <c r="C1023" s="70"/>
      <c r="D1023" s="71"/>
    </row>
    <row r="1024" spans="2:4" x14ac:dyDescent="0.15">
      <c r="B1024" s="69"/>
      <c r="C1024" s="70"/>
      <c r="D1024" s="71"/>
    </row>
    <row r="1025" spans="2:4" x14ac:dyDescent="0.15">
      <c r="B1025" s="69"/>
      <c r="C1025" s="70"/>
      <c r="D1025" s="71"/>
    </row>
    <row r="1026" spans="2:4" x14ac:dyDescent="0.15">
      <c r="B1026" s="69"/>
      <c r="C1026" s="70"/>
      <c r="D1026" s="71"/>
    </row>
    <row r="1027" spans="2:4" x14ac:dyDescent="0.15">
      <c r="B1027" s="69"/>
      <c r="C1027" s="70"/>
      <c r="D1027" s="71"/>
    </row>
    <row r="1028" spans="2:4" x14ac:dyDescent="0.15">
      <c r="B1028" s="69"/>
      <c r="C1028" s="70"/>
      <c r="D1028" s="71"/>
    </row>
    <row r="1029" spans="2:4" x14ac:dyDescent="0.15">
      <c r="B1029" s="69"/>
      <c r="C1029" s="70"/>
      <c r="D1029" s="71"/>
    </row>
    <row r="1030" spans="2:4" x14ac:dyDescent="0.15">
      <c r="B1030" s="69"/>
      <c r="C1030" s="70"/>
      <c r="D1030" s="71"/>
    </row>
    <row r="1031" spans="2:4" x14ac:dyDescent="0.15">
      <c r="B1031" s="69"/>
      <c r="C1031" s="70"/>
      <c r="D1031" s="71"/>
    </row>
    <row r="1032" spans="2:4" x14ac:dyDescent="0.15">
      <c r="B1032" s="69"/>
      <c r="C1032" s="70"/>
      <c r="D1032" s="71"/>
    </row>
    <row r="1033" spans="2:4" x14ac:dyDescent="0.15">
      <c r="B1033" s="69"/>
      <c r="C1033" s="70"/>
      <c r="D1033" s="71"/>
    </row>
    <row r="1034" spans="2:4" x14ac:dyDescent="0.15">
      <c r="B1034" s="69"/>
      <c r="C1034" s="70"/>
      <c r="D1034" s="71"/>
    </row>
    <row r="1035" spans="2:4" x14ac:dyDescent="0.15">
      <c r="B1035" s="69"/>
      <c r="C1035" s="70"/>
      <c r="D1035" s="71"/>
    </row>
    <row r="1036" spans="2:4" x14ac:dyDescent="0.15">
      <c r="B1036" s="69"/>
      <c r="C1036" s="70"/>
      <c r="D1036" s="71"/>
    </row>
    <row r="1037" spans="2:4" x14ac:dyDescent="0.15">
      <c r="B1037" s="69"/>
      <c r="C1037" s="70"/>
      <c r="D1037" s="71"/>
    </row>
    <row r="1038" spans="2:4" x14ac:dyDescent="0.15">
      <c r="B1038" s="69"/>
      <c r="C1038" s="70"/>
      <c r="D1038" s="71"/>
    </row>
    <row r="1039" spans="2:4" x14ac:dyDescent="0.15">
      <c r="B1039" s="69"/>
      <c r="C1039" s="70"/>
      <c r="D1039" s="71"/>
    </row>
    <row r="1040" spans="2:4" x14ac:dyDescent="0.15">
      <c r="B1040" s="69"/>
      <c r="C1040" s="70"/>
      <c r="D1040" s="71"/>
    </row>
    <row r="1041" spans="2:4" x14ac:dyDescent="0.15">
      <c r="B1041" s="69"/>
      <c r="C1041" s="70"/>
      <c r="D1041" s="71"/>
    </row>
    <row r="1042" spans="2:4" x14ac:dyDescent="0.15">
      <c r="B1042" s="69"/>
      <c r="C1042" s="70"/>
      <c r="D1042" s="71"/>
    </row>
    <row r="1043" spans="2:4" x14ac:dyDescent="0.15">
      <c r="B1043" s="69"/>
      <c r="C1043" s="70"/>
      <c r="D1043" s="71"/>
    </row>
    <row r="1044" spans="2:4" x14ac:dyDescent="0.15">
      <c r="B1044" s="69"/>
      <c r="C1044" s="70"/>
      <c r="D1044" s="71"/>
    </row>
    <row r="1045" spans="2:4" x14ac:dyDescent="0.15">
      <c r="B1045" s="69"/>
      <c r="C1045" s="70"/>
      <c r="D1045" s="71"/>
    </row>
    <row r="1046" spans="2:4" x14ac:dyDescent="0.15">
      <c r="B1046" s="69"/>
      <c r="C1046" s="70"/>
      <c r="D1046" s="71"/>
    </row>
    <row r="1047" spans="2:4" x14ac:dyDescent="0.15">
      <c r="B1047" s="69"/>
      <c r="C1047" s="70"/>
      <c r="D1047" s="71"/>
    </row>
    <row r="1048" spans="2:4" x14ac:dyDescent="0.15">
      <c r="B1048" s="69"/>
      <c r="C1048" s="70"/>
      <c r="D1048" s="71"/>
    </row>
    <row r="1049" spans="2:4" x14ac:dyDescent="0.15">
      <c r="B1049" s="69"/>
      <c r="C1049" s="70"/>
      <c r="D1049" s="71"/>
    </row>
    <row r="1050" spans="2:4" x14ac:dyDescent="0.15">
      <c r="B1050" s="69"/>
      <c r="C1050" s="70"/>
      <c r="D1050" s="71"/>
    </row>
    <row r="1051" spans="2:4" x14ac:dyDescent="0.15">
      <c r="B1051" s="69"/>
      <c r="C1051" s="70"/>
      <c r="D1051" s="71"/>
    </row>
    <row r="1052" spans="2:4" x14ac:dyDescent="0.15">
      <c r="B1052" s="69"/>
      <c r="C1052" s="70"/>
      <c r="D1052" s="71"/>
    </row>
    <row r="1053" spans="2:4" x14ac:dyDescent="0.15">
      <c r="B1053" s="69"/>
      <c r="C1053" s="70"/>
      <c r="D1053" s="71"/>
    </row>
    <row r="1054" spans="2:4" x14ac:dyDescent="0.15">
      <c r="B1054" s="69"/>
      <c r="C1054" s="70"/>
      <c r="D1054" s="71"/>
    </row>
    <row r="1055" spans="2:4" x14ac:dyDescent="0.15">
      <c r="B1055" s="69"/>
      <c r="C1055" s="70"/>
      <c r="D1055" s="71"/>
    </row>
    <row r="1056" spans="2:4" x14ac:dyDescent="0.15">
      <c r="B1056" s="69"/>
      <c r="C1056" s="70"/>
      <c r="D1056" s="71"/>
    </row>
    <row r="1057" spans="2:4" x14ac:dyDescent="0.15">
      <c r="B1057" s="69"/>
      <c r="C1057" s="70"/>
      <c r="D1057" s="71"/>
    </row>
    <row r="1058" spans="2:4" x14ac:dyDescent="0.15">
      <c r="B1058" s="69"/>
      <c r="C1058" s="70"/>
      <c r="D1058" s="71"/>
    </row>
    <row r="1059" spans="2:4" x14ac:dyDescent="0.15">
      <c r="B1059" s="69"/>
      <c r="C1059" s="70"/>
      <c r="D1059" s="71"/>
    </row>
    <row r="1060" spans="2:4" x14ac:dyDescent="0.15">
      <c r="B1060" s="69"/>
      <c r="C1060" s="70"/>
      <c r="D1060" s="71"/>
    </row>
    <row r="1061" spans="2:4" x14ac:dyDescent="0.15">
      <c r="B1061" s="69"/>
      <c r="C1061" s="70"/>
      <c r="D1061" s="71"/>
    </row>
    <row r="1062" spans="2:4" x14ac:dyDescent="0.15">
      <c r="B1062" s="69"/>
      <c r="C1062" s="70"/>
      <c r="D1062" s="71"/>
    </row>
    <row r="1063" spans="2:4" x14ac:dyDescent="0.15">
      <c r="B1063" s="69"/>
      <c r="C1063" s="70"/>
      <c r="D1063" s="71"/>
    </row>
    <row r="1064" spans="2:4" x14ac:dyDescent="0.15">
      <c r="B1064" s="69"/>
      <c r="C1064" s="70"/>
      <c r="D1064" s="71"/>
    </row>
    <row r="1065" spans="2:4" x14ac:dyDescent="0.15">
      <c r="B1065" s="69"/>
      <c r="C1065" s="70"/>
      <c r="D1065" s="71"/>
    </row>
    <row r="1066" spans="2:4" x14ac:dyDescent="0.15">
      <c r="B1066" s="69"/>
      <c r="C1066" s="70"/>
      <c r="D1066" s="71"/>
    </row>
    <row r="1067" spans="2:4" x14ac:dyDescent="0.15">
      <c r="B1067" s="69"/>
      <c r="C1067" s="70"/>
      <c r="D1067" s="71"/>
    </row>
    <row r="1068" spans="2:4" x14ac:dyDescent="0.15">
      <c r="B1068" s="69"/>
      <c r="C1068" s="70"/>
      <c r="D1068" s="71"/>
    </row>
    <row r="1069" spans="2:4" x14ac:dyDescent="0.15">
      <c r="B1069" s="69"/>
      <c r="C1069" s="70"/>
      <c r="D1069" s="71"/>
    </row>
    <row r="1070" spans="2:4" x14ac:dyDescent="0.15">
      <c r="B1070" s="69"/>
      <c r="C1070" s="70"/>
      <c r="D1070" s="71"/>
    </row>
    <row r="1071" spans="2:4" x14ac:dyDescent="0.15">
      <c r="B1071" s="69"/>
      <c r="C1071" s="70"/>
      <c r="D1071" s="71"/>
    </row>
    <row r="1072" spans="2:4" x14ac:dyDescent="0.15">
      <c r="B1072" s="69"/>
      <c r="C1072" s="70"/>
      <c r="D1072" s="71"/>
    </row>
    <row r="1073" spans="2:4" x14ac:dyDescent="0.15">
      <c r="B1073" s="69"/>
      <c r="C1073" s="70"/>
      <c r="D1073" s="71"/>
    </row>
    <row r="1074" spans="2:4" x14ac:dyDescent="0.15">
      <c r="B1074" s="69"/>
      <c r="C1074" s="70"/>
      <c r="D1074" s="71"/>
    </row>
    <row r="1075" spans="2:4" x14ac:dyDescent="0.15">
      <c r="B1075" s="69"/>
      <c r="C1075" s="70"/>
      <c r="D1075" s="71"/>
    </row>
    <row r="1076" spans="2:4" x14ac:dyDescent="0.15">
      <c r="B1076" s="69"/>
      <c r="C1076" s="70"/>
      <c r="D1076" s="71"/>
    </row>
    <row r="1077" spans="2:4" x14ac:dyDescent="0.15">
      <c r="B1077" s="69"/>
      <c r="C1077" s="70"/>
      <c r="D1077" s="71"/>
    </row>
    <row r="1078" spans="2:4" x14ac:dyDescent="0.15">
      <c r="B1078" s="69"/>
      <c r="C1078" s="70"/>
      <c r="D1078" s="71"/>
    </row>
    <row r="1079" spans="2:4" x14ac:dyDescent="0.15">
      <c r="B1079" s="69"/>
      <c r="C1079" s="70"/>
      <c r="D1079" s="71"/>
    </row>
    <row r="1080" spans="2:4" x14ac:dyDescent="0.15">
      <c r="B1080" s="69"/>
      <c r="C1080" s="70"/>
      <c r="D1080" s="71"/>
    </row>
    <row r="1081" spans="2:4" x14ac:dyDescent="0.15">
      <c r="B1081" s="69"/>
      <c r="C1081" s="70"/>
      <c r="D1081" s="71"/>
    </row>
    <row r="1082" spans="2:4" x14ac:dyDescent="0.15">
      <c r="B1082" s="69"/>
      <c r="C1082" s="70"/>
      <c r="D1082" s="71"/>
    </row>
    <row r="1083" spans="2:4" x14ac:dyDescent="0.15">
      <c r="B1083" s="69"/>
      <c r="C1083" s="70"/>
      <c r="D1083" s="71"/>
    </row>
    <row r="1084" spans="2:4" x14ac:dyDescent="0.15">
      <c r="B1084" s="69"/>
      <c r="C1084" s="70"/>
      <c r="D1084" s="71"/>
    </row>
    <row r="1085" spans="2:4" x14ac:dyDescent="0.15">
      <c r="B1085" s="69"/>
      <c r="C1085" s="70"/>
      <c r="D1085" s="71"/>
    </row>
    <row r="1086" spans="2:4" x14ac:dyDescent="0.15">
      <c r="B1086" s="69"/>
      <c r="C1086" s="70"/>
      <c r="D1086" s="71"/>
    </row>
    <row r="1087" spans="2:4" x14ac:dyDescent="0.15">
      <c r="B1087" s="69"/>
      <c r="C1087" s="70"/>
      <c r="D1087" s="71"/>
    </row>
    <row r="1088" spans="2:4" x14ac:dyDescent="0.15">
      <c r="B1088" s="69"/>
      <c r="C1088" s="70"/>
      <c r="D1088" s="71"/>
    </row>
    <row r="1089" spans="2:4" x14ac:dyDescent="0.15">
      <c r="B1089" s="69"/>
      <c r="C1089" s="70"/>
      <c r="D1089" s="71"/>
    </row>
    <row r="1090" spans="2:4" x14ac:dyDescent="0.15">
      <c r="B1090" s="69"/>
      <c r="C1090" s="70"/>
      <c r="D1090" s="71"/>
    </row>
    <row r="1091" spans="2:4" x14ac:dyDescent="0.15">
      <c r="B1091" s="69"/>
      <c r="C1091" s="70"/>
      <c r="D1091" s="71"/>
    </row>
    <row r="1092" spans="2:4" x14ac:dyDescent="0.15">
      <c r="B1092" s="69"/>
      <c r="C1092" s="70"/>
      <c r="D1092" s="71"/>
    </row>
    <row r="1093" spans="2:4" x14ac:dyDescent="0.15">
      <c r="B1093" s="69"/>
      <c r="C1093" s="70"/>
      <c r="D1093" s="71"/>
    </row>
    <row r="1094" spans="2:4" x14ac:dyDescent="0.15">
      <c r="B1094" s="69"/>
      <c r="C1094" s="70"/>
      <c r="D1094" s="71"/>
    </row>
    <row r="1095" spans="2:4" x14ac:dyDescent="0.15">
      <c r="B1095" s="69"/>
      <c r="C1095" s="70"/>
      <c r="D1095" s="71"/>
    </row>
    <row r="1096" spans="2:4" x14ac:dyDescent="0.15">
      <c r="B1096" s="69"/>
      <c r="C1096" s="70"/>
      <c r="D1096" s="71"/>
    </row>
    <row r="1097" spans="2:4" x14ac:dyDescent="0.15">
      <c r="B1097" s="69"/>
      <c r="C1097" s="70"/>
      <c r="D1097" s="71"/>
    </row>
    <row r="1098" spans="2:4" x14ac:dyDescent="0.15">
      <c r="B1098" s="69"/>
      <c r="C1098" s="70"/>
      <c r="D1098" s="71"/>
    </row>
    <row r="1099" spans="2:4" x14ac:dyDescent="0.15">
      <c r="B1099" s="69"/>
      <c r="C1099" s="70"/>
      <c r="D1099" s="71"/>
    </row>
    <row r="1100" spans="2:4" x14ac:dyDescent="0.15">
      <c r="B1100" s="69"/>
      <c r="C1100" s="70"/>
      <c r="D1100" s="71"/>
    </row>
    <row r="1101" spans="2:4" x14ac:dyDescent="0.15">
      <c r="B1101" s="69"/>
      <c r="C1101" s="70"/>
      <c r="D1101" s="71"/>
    </row>
    <row r="1102" spans="2:4" x14ac:dyDescent="0.15">
      <c r="B1102" s="69"/>
      <c r="C1102" s="70"/>
      <c r="D1102" s="71"/>
    </row>
    <row r="1103" spans="2:4" x14ac:dyDescent="0.15">
      <c r="B1103" s="69"/>
      <c r="C1103" s="70"/>
      <c r="D1103" s="71"/>
    </row>
    <row r="1104" spans="2:4" x14ac:dyDescent="0.15">
      <c r="B1104" s="69"/>
      <c r="C1104" s="70"/>
      <c r="D1104" s="71"/>
    </row>
    <row r="1105" spans="2:4" x14ac:dyDescent="0.15">
      <c r="B1105" s="69"/>
      <c r="C1105" s="70"/>
      <c r="D1105" s="71"/>
    </row>
    <row r="1106" spans="2:4" x14ac:dyDescent="0.15">
      <c r="B1106" s="69"/>
      <c r="C1106" s="70"/>
      <c r="D1106" s="71"/>
    </row>
    <row r="1107" spans="2:4" x14ac:dyDescent="0.15">
      <c r="B1107" s="69"/>
      <c r="C1107" s="70"/>
      <c r="D1107" s="71"/>
    </row>
    <row r="1108" spans="2:4" x14ac:dyDescent="0.15">
      <c r="B1108" s="69"/>
      <c r="C1108" s="70"/>
      <c r="D1108" s="71"/>
    </row>
    <row r="1109" spans="2:4" x14ac:dyDescent="0.15">
      <c r="B1109" s="69"/>
      <c r="C1109" s="70"/>
      <c r="D1109" s="71"/>
    </row>
    <row r="1110" spans="2:4" x14ac:dyDescent="0.15">
      <c r="B1110" s="69"/>
      <c r="C1110" s="70"/>
      <c r="D1110" s="71"/>
    </row>
    <row r="1111" spans="2:4" x14ac:dyDescent="0.15">
      <c r="B1111" s="69"/>
      <c r="C1111" s="70"/>
      <c r="D1111" s="71"/>
    </row>
    <row r="1112" spans="2:4" x14ac:dyDescent="0.15">
      <c r="B1112" s="69"/>
      <c r="C1112" s="70"/>
      <c r="D1112" s="71"/>
    </row>
    <row r="1113" spans="2:4" x14ac:dyDescent="0.15">
      <c r="B1113" s="69"/>
      <c r="C1113" s="70"/>
      <c r="D1113" s="71"/>
    </row>
    <row r="1114" spans="2:4" x14ac:dyDescent="0.15">
      <c r="B1114" s="69"/>
      <c r="C1114" s="70"/>
      <c r="D1114" s="71"/>
    </row>
    <row r="1115" spans="2:4" x14ac:dyDescent="0.15">
      <c r="B1115" s="69"/>
      <c r="C1115" s="70"/>
      <c r="D1115" s="71"/>
    </row>
    <row r="1116" spans="2:4" x14ac:dyDescent="0.15">
      <c r="B1116" s="69"/>
      <c r="C1116" s="70"/>
      <c r="D1116" s="71"/>
    </row>
    <row r="1117" spans="2:4" x14ac:dyDescent="0.15">
      <c r="B1117" s="69"/>
      <c r="C1117" s="70"/>
      <c r="D1117" s="71"/>
    </row>
    <row r="1118" spans="2:4" x14ac:dyDescent="0.15">
      <c r="B1118" s="69"/>
      <c r="C1118" s="70"/>
      <c r="D1118" s="71"/>
    </row>
    <row r="1119" spans="2:4" x14ac:dyDescent="0.15">
      <c r="B1119" s="69"/>
      <c r="C1119" s="70"/>
      <c r="D1119" s="71"/>
    </row>
    <row r="1120" spans="2:4" x14ac:dyDescent="0.15">
      <c r="B1120" s="69"/>
      <c r="C1120" s="70"/>
      <c r="D1120" s="71"/>
    </row>
    <row r="1121" spans="2:4" x14ac:dyDescent="0.15">
      <c r="B1121" s="69"/>
      <c r="C1121" s="70"/>
      <c r="D1121" s="71"/>
    </row>
    <row r="1122" spans="2:4" x14ac:dyDescent="0.15">
      <c r="B1122" s="69"/>
      <c r="C1122" s="70"/>
      <c r="D1122" s="71"/>
    </row>
    <row r="1123" spans="2:4" x14ac:dyDescent="0.15">
      <c r="B1123" s="69"/>
      <c r="C1123" s="70"/>
      <c r="D1123" s="71"/>
    </row>
    <row r="1124" spans="2:4" x14ac:dyDescent="0.15">
      <c r="B1124" s="69"/>
      <c r="C1124" s="70"/>
      <c r="D1124" s="71"/>
    </row>
    <row r="1125" spans="2:4" x14ac:dyDescent="0.15">
      <c r="B1125" s="69"/>
      <c r="C1125" s="70"/>
      <c r="D1125" s="71"/>
    </row>
    <row r="1126" spans="2:4" x14ac:dyDescent="0.15">
      <c r="B1126" s="69"/>
      <c r="C1126" s="70"/>
      <c r="D1126" s="71"/>
    </row>
    <row r="1127" spans="2:4" x14ac:dyDescent="0.15">
      <c r="B1127" s="69"/>
      <c r="C1127" s="70"/>
      <c r="D1127" s="71"/>
    </row>
    <row r="1128" spans="2:4" x14ac:dyDescent="0.15">
      <c r="B1128" s="69"/>
      <c r="C1128" s="70"/>
      <c r="D1128" s="71"/>
    </row>
    <row r="1129" spans="2:4" x14ac:dyDescent="0.15">
      <c r="B1129" s="69"/>
      <c r="C1129" s="70"/>
      <c r="D1129" s="71"/>
    </row>
    <row r="1130" spans="2:4" x14ac:dyDescent="0.15">
      <c r="B1130" s="69"/>
      <c r="C1130" s="70"/>
      <c r="D1130" s="71"/>
    </row>
    <row r="1131" spans="2:4" x14ac:dyDescent="0.15">
      <c r="B1131" s="69"/>
      <c r="C1131" s="70"/>
      <c r="D1131" s="71"/>
    </row>
    <row r="1132" spans="2:4" x14ac:dyDescent="0.15">
      <c r="B1132" s="69"/>
      <c r="C1132" s="70"/>
      <c r="D1132" s="71"/>
    </row>
    <row r="1133" spans="2:4" x14ac:dyDescent="0.15">
      <c r="B1133" s="69"/>
      <c r="C1133" s="70"/>
      <c r="D1133" s="71"/>
    </row>
    <row r="1134" spans="2:4" x14ac:dyDescent="0.15">
      <c r="B1134" s="69"/>
      <c r="C1134" s="70"/>
      <c r="D1134" s="71"/>
    </row>
    <row r="1135" spans="2:4" x14ac:dyDescent="0.15">
      <c r="B1135" s="69"/>
      <c r="C1135" s="70"/>
      <c r="D1135" s="71"/>
    </row>
    <row r="1136" spans="2:4" x14ac:dyDescent="0.15">
      <c r="B1136" s="69"/>
      <c r="C1136" s="70"/>
      <c r="D1136" s="71"/>
    </row>
    <row r="1137" spans="2:4" x14ac:dyDescent="0.15">
      <c r="B1137" s="69"/>
      <c r="C1137" s="70"/>
      <c r="D1137" s="71"/>
    </row>
    <row r="1138" spans="2:4" x14ac:dyDescent="0.15">
      <c r="B1138" s="69"/>
      <c r="C1138" s="70"/>
      <c r="D1138" s="71"/>
    </row>
    <row r="1139" spans="2:4" x14ac:dyDescent="0.15">
      <c r="B1139" s="69"/>
      <c r="C1139" s="70"/>
      <c r="D1139" s="71"/>
    </row>
    <row r="1140" spans="2:4" x14ac:dyDescent="0.15">
      <c r="B1140" s="69"/>
      <c r="C1140" s="70"/>
      <c r="D1140" s="71"/>
    </row>
    <row r="1141" spans="2:4" x14ac:dyDescent="0.15">
      <c r="B1141" s="69"/>
      <c r="C1141" s="70"/>
      <c r="D1141" s="71"/>
    </row>
    <row r="1142" spans="2:4" x14ac:dyDescent="0.15">
      <c r="B1142" s="69"/>
      <c r="C1142" s="70"/>
      <c r="D1142" s="71"/>
    </row>
    <row r="1143" spans="2:4" x14ac:dyDescent="0.15">
      <c r="B1143" s="69"/>
      <c r="C1143" s="70"/>
      <c r="D1143" s="71"/>
    </row>
    <row r="1144" spans="2:4" x14ac:dyDescent="0.15">
      <c r="B1144" s="69"/>
      <c r="C1144" s="70"/>
      <c r="D1144" s="71"/>
    </row>
    <row r="1145" spans="2:4" x14ac:dyDescent="0.15">
      <c r="B1145" s="69"/>
      <c r="C1145" s="70"/>
      <c r="D1145" s="71"/>
    </row>
    <row r="1146" spans="2:4" x14ac:dyDescent="0.15">
      <c r="B1146" s="69"/>
      <c r="C1146" s="70"/>
      <c r="D1146" s="71"/>
    </row>
    <row r="1147" spans="2:4" x14ac:dyDescent="0.15">
      <c r="B1147" s="69"/>
      <c r="C1147" s="70"/>
      <c r="D1147" s="71"/>
    </row>
    <row r="1148" spans="2:4" x14ac:dyDescent="0.15">
      <c r="B1148" s="69"/>
      <c r="C1148" s="70"/>
      <c r="D1148" s="71"/>
    </row>
    <row r="1149" spans="2:4" x14ac:dyDescent="0.15">
      <c r="B1149" s="69"/>
      <c r="C1149" s="70"/>
      <c r="D1149" s="71"/>
    </row>
    <row r="1150" spans="2:4" x14ac:dyDescent="0.15">
      <c r="B1150" s="69"/>
      <c r="C1150" s="70"/>
      <c r="D1150" s="71"/>
    </row>
    <row r="1151" spans="2:4" x14ac:dyDescent="0.15">
      <c r="B1151" s="69"/>
      <c r="C1151" s="70"/>
      <c r="D1151" s="71"/>
    </row>
    <row r="1152" spans="2:4" x14ac:dyDescent="0.15">
      <c r="B1152" s="69"/>
      <c r="C1152" s="70"/>
      <c r="D1152" s="71"/>
    </row>
    <row r="1153" spans="2:4" x14ac:dyDescent="0.15">
      <c r="B1153" s="69"/>
      <c r="C1153" s="70"/>
      <c r="D1153" s="71"/>
    </row>
    <row r="1154" spans="2:4" x14ac:dyDescent="0.15">
      <c r="B1154" s="69"/>
      <c r="C1154" s="70"/>
      <c r="D1154" s="71"/>
    </row>
    <row r="1155" spans="2:4" x14ac:dyDescent="0.15">
      <c r="B1155" s="69"/>
      <c r="C1155" s="70"/>
      <c r="D1155" s="71"/>
    </row>
    <row r="1156" spans="2:4" x14ac:dyDescent="0.15">
      <c r="B1156" s="69"/>
      <c r="C1156" s="70"/>
      <c r="D1156" s="71"/>
    </row>
    <row r="1157" spans="2:4" x14ac:dyDescent="0.15">
      <c r="B1157" s="69"/>
      <c r="C1157" s="70"/>
      <c r="D1157" s="71"/>
    </row>
    <row r="1158" spans="2:4" x14ac:dyDescent="0.15">
      <c r="B1158" s="69"/>
      <c r="C1158" s="70"/>
      <c r="D1158" s="71"/>
    </row>
    <row r="1159" spans="2:4" x14ac:dyDescent="0.15">
      <c r="B1159" s="69"/>
      <c r="C1159" s="70"/>
      <c r="D1159" s="71"/>
    </row>
    <row r="1160" spans="2:4" x14ac:dyDescent="0.15">
      <c r="B1160" s="69"/>
      <c r="C1160" s="70"/>
      <c r="D1160" s="71"/>
    </row>
    <row r="1161" spans="2:4" x14ac:dyDescent="0.15">
      <c r="B1161" s="69"/>
      <c r="C1161" s="70"/>
      <c r="D1161" s="71"/>
    </row>
    <row r="1162" spans="2:4" x14ac:dyDescent="0.15">
      <c r="B1162" s="69"/>
      <c r="C1162" s="70"/>
      <c r="D1162" s="71"/>
    </row>
    <row r="1163" spans="2:4" x14ac:dyDescent="0.15">
      <c r="B1163" s="69"/>
      <c r="C1163" s="70"/>
      <c r="D1163" s="71"/>
    </row>
    <row r="1164" spans="2:4" x14ac:dyDescent="0.15">
      <c r="B1164" s="69"/>
      <c r="C1164" s="70"/>
      <c r="D1164" s="71"/>
    </row>
    <row r="1165" spans="2:4" x14ac:dyDescent="0.15">
      <c r="B1165" s="69"/>
      <c r="C1165" s="70"/>
      <c r="D1165" s="71"/>
    </row>
    <row r="1166" spans="2:4" x14ac:dyDescent="0.15">
      <c r="B1166" s="69"/>
      <c r="C1166" s="70"/>
      <c r="D1166" s="71"/>
    </row>
    <row r="1167" spans="2:4" x14ac:dyDescent="0.15">
      <c r="B1167" s="69"/>
      <c r="C1167" s="70"/>
      <c r="D1167" s="71"/>
    </row>
    <row r="1168" spans="2:4" x14ac:dyDescent="0.15">
      <c r="B1168" s="69"/>
      <c r="C1168" s="70"/>
      <c r="D1168" s="71"/>
    </row>
    <row r="1169" spans="2:4" x14ac:dyDescent="0.15">
      <c r="B1169" s="69"/>
      <c r="C1169" s="70"/>
      <c r="D1169" s="71"/>
    </row>
    <row r="1170" spans="2:4" x14ac:dyDescent="0.15">
      <c r="B1170" s="69"/>
      <c r="C1170" s="70"/>
      <c r="D1170" s="71"/>
    </row>
    <row r="1171" spans="2:4" x14ac:dyDescent="0.15">
      <c r="B1171" s="69"/>
      <c r="C1171" s="70"/>
      <c r="D1171" s="71"/>
    </row>
    <row r="1172" spans="2:4" x14ac:dyDescent="0.15">
      <c r="B1172" s="69"/>
      <c r="C1172" s="70"/>
      <c r="D1172" s="71"/>
    </row>
    <row r="1173" spans="2:4" x14ac:dyDescent="0.15">
      <c r="B1173" s="69"/>
      <c r="C1173" s="70"/>
      <c r="D1173" s="71"/>
    </row>
    <row r="1174" spans="2:4" x14ac:dyDescent="0.15">
      <c r="B1174" s="69"/>
      <c r="C1174" s="70"/>
      <c r="D1174" s="71"/>
    </row>
    <row r="1175" spans="2:4" x14ac:dyDescent="0.15">
      <c r="B1175" s="69"/>
      <c r="C1175" s="70"/>
      <c r="D1175" s="71"/>
    </row>
    <row r="1176" spans="2:4" x14ac:dyDescent="0.15">
      <c r="B1176" s="69"/>
      <c r="C1176" s="70"/>
      <c r="D1176" s="71"/>
    </row>
    <row r="1177" spans="2:4" x14ac:dyDescent="0.15">
      <c r="B1177" s="69"/>
      <c r="C1177" s="70"/>
      <c r="D1177" s="71"/>
    </row>
    <row r="1178" spans="2:4" x14ac:dyDescent="0.15">
      <c r="B1178" s="69"/>
      <c r="C1178" s="70"/>
      <c r="D1178" s="71"/>
    </row>
    <row r="1179" spans="2:4" x14ac:dyDescent="0.15">
      <c r="B1179" s="69"/>
      <c r="C1179" s="70"/>
      <c r="D1179" s="71"/>
    </row>
    <row r="1180" spans="2:4" x14ac:dyDescent="0.15">
      <c r="B1180" s="69"/>
      <c r="C1180" s="70"/>
      <c r="D1180" s="71"/>
    </row>
    <row r="1181" spans="2:4" x14ac:dyDescent="0.15">
      <c r="B1181" s="69"/>
      <c r="C1181" s="70"/>
      <c r="D1181" s="71"/>
    </row>
    <row r="1182" spans="2:4" x14ac:dyDescent="0.15">
      <c r="B1182" s="69"/>
      <c r="C1182" s="70"/>
      <c r="D1182" s="71"/>
    </row>
    <row r="1183" spans="2:4" x14ac:dyDescent="0.15">
      <c r="B1183" s="69"/>
      <c r="C1183" s="70"/>
      <c r="D1183" s="71"/>
    </row>
    <row r="1184" spans="2:4" x14ac:dyDescent="0.15">
      <c r="B1184" s="69"/>
      <c r="C1184" s="70"/>
      <c r="D1184" s="71"/>
    </row>
    <row r="1185" spans="2:4" x14ac:dyDescent="0.15">
      <c r="B1185" s="69"/>
      <c r="C1185" s="70"/>
      <c r="D1185" s="71"/>
    </row>
    <row r="1186" spans="2:4" x14ac:dyDescent="0.15">
      <c r="B1186" s="69"/>
      <c r="C1186" s="70"/>
      <c r="D1186" s="71"/>
    </row>
    <row r="1187" spans="2:4" x14ac:dyDescent="0.15">
      <c r="B1187" s="69"/>
      <c r="C1187" s="70"/>
      <c r="D1187" s="71"/>
    </row>
    <row r="1188" spans="2:4" x14ac:dyDescent="0.15">
      <c r="B1188" s="69"/>
      <c r="C1188" s="70"/>
      <c r="D1188" s="71"/>
    </row>
    <row r="1189" spans="2:4" x14ac:dyDescent="0.15">
      <c r="B1189" s="69"/>
      <c r="C1189" s="70"/>
      <c r="D1189" s="71"/>
    </row>
    <row r="1190" spans="2:4" x14ac:dyDescent="0.15">
      <c r="B1190" s="69"/>
      <c r="C1190" s="70"/>
      <c r="D1190" s="71"/>
    </row>
    <row r="1191" spans="2:4" x14ac:dyDescent="0.15">
      <c r="B1191" s="69"/>
      <c r="C1191" s="70"/>
      <c r="D1191" s="71"/>
    </row>
    <row r="1192" spans="2:4" x14ac:dyDescent="0.15">
      <c r="B1192" s="69"/>
      <c r="C1192" s="70"/>
      <c r="D1192" s="71"/>
    </row>
    <row r="1193" spans="2:4" x14ac:dyDescent="0.15">
      <c r="B1193" s="69"/>
      <c r="C1193" s="70"/>
      <c r="D1193" s="71"/>
    </row>
    <row r="1194" spans="2:4" x14ac:dyDescent="0.15">
      <c r="B1194" s="69"/>
      <c r="C1194" s="70"/>
      <c r="D1194" s="71"/>
    </row>
    <row r="1195" spans="2:4" x14ac:dyDescent="0.15">
      <c r="B1195" s="69"/>
      <c r="C1195" s="70"/>
      <c r="D1195" s="71"/>
    </row>
    <row r="1196" spans="2:4" x14ac:dyDescent="0.15">
      <c r="B1196" s="69"/>
      <c r="C1196" s="70"/>
      <c r="D1196" s="71"/>
    </row>
    <row r="1197" spans="2:4" x14ac:dyDescent="0.15">
      <c r="B1197" s="69"/>
      <c r="C1197" s="70"/>
      <c r="D1197" s="71"/>
    </row>
    <row r="1198" spans="2:4" x14ac:dyDescent="0.15">
      <c r="B1198" s="69"/>
      <c r="C1198" s="70"/>
      <c r="D1198" s="71"/>
    </row>
    <row r="1199" spans="2:4" x14ac:dyDescent="0.15">
      <c r="B1199" s="69"/>
      <c r="C1199" s="70"/>
      <c r="D1199" s="71"/>
    </row>
    <row r="1200" spans="2:4" x14ac:dyDescent="0.15">
      <c r="B1200" s="69"/>
      <c r="C1200" s="70"/>
      <c r="D1200" s="71"/>
    </row>
    <row r="1201" spans="2:4" x14ac:dyDescent="0.15">
      <c r="B1201" s="69"/>
      <c r="C1201" s="70"/>
      <c r="D1201" s="71"/>
    </row>
    <row r="1202" spans="2:4" x14ac:dyDescent="0.15">
      <c r="B1202" s="69"/>
      <c r="C1202" s="70"/>
      <c r="D1202" s="71"/>
    </row>
    <row r="1203" spans="2:4" x14ac:dyDescent="0.15">
      <c r="B1203" s="69"/>
      <c r="C1203" s="70"/>
      <c r="D1203" s="71"/>
    </row>
    <row r="1204" spans="2:4" x14ac:dyDescent="0.15">
      <c r="B1204" s="69"/>
      <c r="C1204" s="70"/>
      <c r="D1204" s="71"/>
    </row>
    <row r="1205" spans="2:4" x14ac:dyDescent="0.15">
      <c r="B1205" s="69"/>
      <c r="C1205" s="70"/>
      <c r="D1205" s="71"/>
    </row>
    <row r="1206" spans="2:4" x14ac:dyDescent="0.15">
      <c r="B1206" s="69"/>
      <c r="C1206" s="70"/>
      <c r="D1206" s="71"/>
    </row>
    <row r="1207" spans="2:4" x14ac:dyDescent="0.15">
      <c r="B1207" s="69"/>
      <c r="C1207" s="70"/>
      <c r="D1207" s="71"/>
    </row>
    <row r="1208" spans="2:4" x14ac:dyDescent="0.15">
      <c r="B1208" s="69"/>
      <c r="C1208" s="70"/>
      <c r="D1208" s="71"/>
    </row>
    <row r="1209" spans="2:4" x14ac:dyDescent="0.15">
      <c r="B1209" s="69"/>
      <c r="C1209" s="70"/>
      <c r="D1209" s="71"/>
    </row>
    <row r="1210" spans="2:4" x14ac:dyDescent="0.15">
      <c r="B1210" s="69"/>
      <c r="C1210" s="70"/>
      <c r="D1210" s="71"/>
    </row>
    <row r="1211" spans="2:4" x14ac:dyDescent="0.15">
      <c r="B1211" s="69"/>
      <c r="C1211" s="70"/>
      <c r="D1211" s="71"/>
    </row>
    <row r="1212" spans="2:4" x14ac:dyDescent="0.15">
      <c r="B1212" s="69"/>
      <c r="C1212" s="70"/>
      <c r="D1212" s="71"/>
    </row>
    <row r="1213" spans="2:4" x14ac:dyDescent="0.15">
      <c r="B1213" s="69"/>
      <c r="C1213" s="70"/>
      <c r="D1213" s="71"/>
    </row>
    <row r="1214" spans="2:4" x14ac:dyDescent="0.15">
      <c r="B1214" s="69"/>
      <c r="C1214" s="70"/>
      <c r="D1214" s="71"/>
    </row>
    <row r="1215" spans="2:4" x14ac:dyDescent="0.15">
      <c r="B1215" s="69"/>
      <c r="C1215" s="70"/>
      <c r="D1215" s="71"/>
    </row>
    <row r="1216" spans="2:4" x14ac:dyDescent="0.15">
      <c r="B1216" s="69"/>
      <c r="C1216" s="70"/>
      <c r="D1216" s="71"/>
    </row>
    <row r="1217" spans="2:4" x14ac:dyDescent="0.15">
      <c r="B1217" s="69"/>
      <c r="C1217" s="70"/>
      <c r="D1217" s="71"/>
    </row>
    <row r="1218" spans="2:4" x14ac:dyDescent="0.15">
      <c r="B1218" s="69"/>
      <c r="C1218" s="70"/>
      <c r="D1218" s="71"/>
    </row>
    <row r="1219" spans="2:4" x14ac:dyDescent="0.15">
      <c r="B1219" s="69"/>
      <c r="C1219" s="70"/>
      <c r="D1219" s="71"/>
    </row>
    <row r="1220" spans="2:4" x14ac:dyDescent="0.15">
      <c r="B1220" s="69"/>
      <c r="C1220" s="70"/>
      <c r="D1220" s="71"/>
    </row>
    <row r="1221" spans="2:4" x14ac:dyDescent="0.15">
      <c r="B1221" s="69"/>
      <c r="C1221" s="70"/>
      <c r="D1221" s="71"/>
    </row>
    <row r="1222" spans="2:4" x14ac:dyDescent="0.15">
      <c r="B1222" s="69"/>
      <c r="C1222" s="70"/>
      <c r="D1222" s="71"/>
    </row>
    <row r="1223" spans="2:4" x14ac:dyDescent="0.15">
      <c r="B1223" s="69"/>
      <c r="C1223" s="70"/>
      <c r="D1223" s="71"/>
    </row>
    <row r="1224" spans="2:4" x14ac:dyDescent="0.15">
      <c r="B1224" s="69"/>
      <c r="C1224" s="70"/>
      <c r="D1224" s="71"/>
    </row>
    <row r="1225" spans="2:4" x14ac:dyDescent="0.15">
      <c r="B1225" s="69"/>
      <c r="C1225" s="70"/>
      <c r="D1225" s="71"/>
    </row>
    <row r="1226" spans="2:4" x14ac:dyDescent="0.15">
      <c r="B1226" s="69"/>
      <c r="C1226" s="70"/>
      <c r="D1226" s="71"/>
    </row>
    <row r="1227" spans="2:4" x14ac:dyDescent="0.15">
      <c r="B1227" s="69"/>
      <c r="C1227" s="70"/>
      <c r="D1227" s="71"/>
    </row>
    <row r="1228" spans="2:4" x14ac:dyDescent="0.15">
      <c r="B1228" s="69"/>
      <c r="C1228" s="70"/>
      <c r="D1228" s="71"/>
    </row>
    <row r="1229" spans="2:4" x14ac:dyDescent="0.15">
      <c r="B1229" s="69"/>
      <c r="C1229" s="70"/>
      <c r="D1229" s="71"/>
    </row>
    <row r="1230" spans="2:4" x14ac:dyDescent="0.15">
      <c r="B1230" s="69"/>
      <c r="C1230" s="70"/>
      <c r="D1230" s="71"/>
    </row>
    <row r="1231" spans="2:4" x14ac:dyDescent="0.15">
      <c r="B1231" s="69"/>
      <c r="C1231" s="70"/>
      <c r="D1231" s="71"/>
    </row>
    <row r="1232" spans="2:4" x14ac:dyDescent="0.15">
      <c r="B1232" s="69"/>
      <c r="C1232" s="70"/>
      <c r="D1232" s="71"/>
    </row>
    <row r="1233" spans="2:4" x14ac:dyDescent="0.15">
      <c r="B1233" s="69"/>
      <c r="C1233" s="70"/>
      <c r="D1233" s="71"/>
    </row>
    <row r="1234" spans="2:4" x14ac:dyDescent="0.15">
      <c r="B1234" s="69"/>
      <c r="C1234" s="70"/>
      <c r="D1234" s="71"/>
    </row>
    <row r="1235" spans="2:4" x14ac:dyDescent="0.15">
      <c r="B1235" s="69"/>
      <c r="C1235" s="70"/>
      <c r="D1235" s="71"/>
    </row>
    <row r="1236" spans="2:4" x14ac:dyDescent="0.15">
      <c r="B1236" s="69"/>
      <c r="C1236" s="70"/>
      <c r="D1236" s="71"/>
    </row>
    <row r="1237" spans="2:4" x14ac:dyDescent="0.15">
      <c r="B1237" s="69"/>
      <c r="C1237" s="70"/>
      <c r="D1237" s="71"/>
    </row>
    <row r="1238" spans="2:4" x14ac:dyDescent="0.15">
      <c r="B1238" s="69"/>
      <c r="C1238" s="70"/>
      <c r="D1238" s="71"/>
    </row>
    <row r="1239" spans="2:4" x14ac:dyDescent="0.15">
      <c r="B1239" s="69"/>
      <c r="C1239" s="70"/>
      <c r="D1239" s="71"/>
    </row>
    <row r="1240" spans="2:4" x14ac:dyDescent="0.15">
      <c r="B1240" s="69"/>
      <c r="C1240" s="70"/>
      <c r="D1240" s="71"/>
    </row>
    <row r="1241" spans="2:4" x14ac:dyDescent="0.15">
      <c r="B1241" s="69"/>
      <c r="C1241" s="70"/>
      <c r="D1241" s="71"/>
    </row>
    <row r="1242" spans="2:4" x14ac:dyDescent="0.15">
      <c r="B1242" s="69"/>
      <c r="C1242" s="70"/>
      <c r="D1242" s="71"/>
    </row>
    <row r="1243" spans="2:4" x14ac:dyDescent="0.15">
      <c r="B1243" s="69"/>
      <c r="C1243" s="70"/>
      <c r="D1243" s="71"/>
    </row>
    <row r="1244" spans="2:4" x14ac:dyDescent="0.15">
      <c r="B1244" s="69"/>
      <c r="C1244" s="70"/>
      <c r="D1244" s="71"/>
    </row>
    <row r="1245" spans="2:4" x14ac:dyDescent="0.15">
      <c r="B1245" s="69"/>
      <c r="C1245" s="70"/>
      <c r="D1245" s="71"/>
    </row>
    <row r="1246" spans="2:4" x14ac:dyDescent="0.15">
      <c r="B1246" s="69"/>
      <c r="C1246" s="70"/>
      <c r="D1246" s="71"/>
    </row>
    <row r="1247" spans="2:4" x14ac:dyDescent="0.15">
      <c r="B1247" s="69"/>
      <c r="C1247" s="70"/>
      <c r="D1247" s="71"/>
    </row>
    <row r="1248" spans="2:4" x14ac:dyDescent="0.15">
      <c r="B1248" s="69"/>
      <c r="C1248" s="70"/>
      <c r="D1248" s="71"/>
    </row>
    <row r="1249" spans="2:4" x14ac:dyDescent="0.15">
      <c r="B1249" s="69"/>
      <c r="C1249" s="70"/>
      <c r="D1249" s="71"/>
    </row>
    <row r="1250" spans="2:4" x14ac:dyDescent="0.15">
      <c r="B1250" s="69"/>
      <c r="C1250" s="70"/>
      <c r="D1250" s="71"/>
    </row>
    <row r="1251" spans="2:4" x14ac:dyDescent="0.15">
      <c r="B1251" s="69"/>
      <c r="C1251" s="70"/>
      <c r="D1251" s="71"/>
    </row>
    <row r="1252" spans="2:4" x14ac:dyDescent="0.15">
      <c r="B1252" s="69"/>
      <c r="C1252" s="70"/>
      <c r="D1252" s="71"/>
    </row>
    <row r="1253" spans="2:4" x14ac:dyDescent="0.15">
      <c r="B1253" s="69"/>
      <c r="C1253" s="70"/>
      <c r="D1253" s="71"/>
    </row>
    <row r="1254" spans="2:4" x14ac:dyDescent="0.15">
      <c r="B1254" s="69"/>
      <c r="C1254" s="70"/>
      <c r="D1254" s="71"/>
    </row>
    <row r="1255" spans="2:4" x14ac:dyDescent="0.15">
      <c r="B1255" s="69"/>
      <c r="C1255" s="70"/>
      <c r="D1255" s="71"/>
    </row>
    <row r="1256" spans="2:4" x14ac:dyDescent="0.15">
      <c r="B1256" s="69"/>
      <c r="C1256" s="70"/>
      <c r="D1256" s="71"/>
    </row>
    <row r="1257" spans="2:4" x14ac:dyDescent="0.15">
      <c r="B1257" s="69"/>
      <c r="C1257" s="70"/>
      <c r="D1257" s="71"/>
    </row>
    <row r="1258" spans="2:4" x14ac:dyDescent="0.15">
      <c r="B1258" s="69"/>
      <c r="C1258" s="70"/>
      <c r="D1258" s="71"/>
    </row>
    <row r="1259" spans="2:4" x14ac:dyDescent="0.15">
      <c r="B1259" s="69"/>
      <c r="C1259" s="70"/>
      <c r="D1259" s="71"/>
    </row>
    <row r="1260" spans="2:4" x14ac:dyDescent="0.15">
      <c r="B1260" s="69"/>
      <c r="C1260" s="70"/>
      <c r="D1260" s="71"/>
    </row>
    <row r="1261" spans="2:4" x14ac:dyDescent="0.15">
      <c r="B1261" s="69"/>
      <c r="C1261" s="70"/>
      <c r="D1261" s="71"/>
    </row>
    <row r="1262" spans="2:4" x14ac:dyDescent="0.15">
      <c r="B1262" s="69"/>
      <c r="C1262" s="70"/>
      <c r="D1262" s="71"/>
    </row>
    <row r="1263" spans="2:4" x14ac:dyDescent="0.15">
      <c r="B1263" s="69"/>
      <c r="C1263" s="70"/>
      <c r="D1263" s="71"/>
    </row>
    <row r="1264" spans="2:4" x14ac:dyDescent="0.15">
      <c r="B1264" s="69"/>
      <c r="C1264" s="70"/>
      <c r="D1264" s="71"/>
    </row>
    <row r="1265" spans="2:4" x14ac:dyDescent="0.15">
      <c r="B1265" s="69"/>
      <c r="C1265" s="70"/>
      <c r="D1265" s="71"/>
    </row>
    <row r="1266" spans="2:4" x14ac:dyDescent="0.15">
      <c r="B1266" s="69"/>
      <c r="C1266" s="70"/>
      <c r="D1266" s="71"/>
    </row>
    <row r="1267" spans="2:4" x14ac:dyDescent="0.15">
      <c r="B1267" s="69"/>
      <c r="C1267" s="70"/>
      <c r="D1267" s="71"/>
    </row>
    <row r="1268" spans="2:4" x14ac:dyDescent="0.15">
      <c r="B1268" s="69"/>
      <c r="C1268" s="70"/>
      <c r="D1268" s="71"/>
    </row>
    <row r="1269" spans="2:4" x14ac:dyDescent="0.15">
      <c r="B1269" s="69"/>
      <c r="C1269" s="70"/>
      <c r="D1269" s="71"/>
    </row>
    <row r="1270" spans="2:4" x14ac:dyDescent="0.15">
      <c r="B1270" s="69"/>
      <c r="C1270" s="70"/>
      <c r="D1270" s="71"/>
    </row>
    <row r="1271" spans="2:4" x14ac:dyDescent="0.15">
      <c r="B1271" s="69"/>
      <c r="C1271" s="70"/>
      <c r="D1271" s="71"/>
    </row>
    <row r="1272" spans="2:4" x14ac:dyDescent="0.15">
      <c r="B1272" s="69"/>
      <c r="C1272" s="70"/>
      <c r="D1272" s="71"/>
    </row>
    <row r="1273" spans="2:4" x14ac:dyDescent="0.15">
      <c r="B1273" s="69"/>
      <c r="C1273" s="70"/>
      <c r="D1273" s="71"/>
    </row>
    <row r="1274" spans="2:4" x14ac:dyDescent="0.15">
      <c r="B1274" s="69"/>
      <c r="C1274" s="70"/>
      <c r="D1274" s="71"/>
    </row>
    <row r="1275" spans="2:4" x14ac:dyDescent="0.15">
      <c r="B1275" s="69"/>
      <c r="C1275" s="70"/>
      <c r="D1275" s="71"/>
    </row>
    <row r="1276" spans="2:4" x14ac:dyDescent="0.15">
      <c r="B1276" s="69"/>
      <c r="C1276" s="70"/>
      <c r="D1276" s="71"/>
    </row>
    <row r="1277" spans="2:4" x14ac:dyDescent="0.15">
      <c r="B1277" s="69"/>
      <c r="C1277" s="70"/>
      <c r="D1277" s="71"/>
    </row>
    <row r="1278" spans="2:4" x14ac:dyDescent="0.15">
      <c r="B1278" s="69"/>
      <c r="C1278" s="70"/>
      <c r="D1278" s="71"/>
    </row>
    <row r="1279" spans="2:4" x14ac:dyDescent="0.15">
      <c r="B1279" s="69"/>
      <c r="C1279" s="70"/>
      <c r="D1279" s="71"/>
    </row>
    <row r="1280" spans="2:4" x14ac:dyDescent="0.15">
      <c r="B1280" s="69"/>
      <c r="C1280" s="70"/>
      <c r="D1280" s="71"/>
    </row>
    <row r="1281" spans="2:4" x14ac:dyDescent="0.15">
      <c r="B1281" s="69"/>
      <c r="C1281" s="70"/>
      <c r="D1281" s="71"/>
    </row>
    <row r="1282" spans="2:4" x14ac:dyDescent="0.15">
      <c r="B1282" s="69"/>
      <c r="C1282" s="70"/>
      <c r="D1282" s="71"/>
    </row>
    <row r="1283" spans="2:4" x14ac:dyDescent="0.15">
      <c r="B1283" s="69"/>
      <c r="C1283" s="70"/>
      <c r="D1283" s="71"/>
    </row>
    <row r="1284" spans="2:4" x14ac:dyDescent="0.15">
      <c r="B1284" s="69"/>
      <c r="C1284" s="70"/>
      <c r="D1284" s="71"/>
    </row>
    <row r="1285" spans="2:4" x14ac:dyDescent="0.15">
      <c r="B1285" s="69"/>
      <c r="C1285" s="70"/>
      <c r="D1285" s="71"/>
    </row>
    <row r="1286" spans="2:4" x14ac:dyDescent="0.15">
      <c r="B1286" s="69"/>
      <c r="C1286" s="70"/>
      <c r="D1286" s="71"/>
    </row>
    <row r="1287" spans="2:4" x14ac:dyDescent="0.15">
      <c r="B1287" s="69"/>
      <c r="C1287" s="70"/>
      <c r="D1287" s="71"/>
    </row>
    <row r="1288" spans="2:4" x14ac:dyDescent="0.15">
      <c r="B1288" s="69"/>
      <c r="C1288" s="70"/>
      <c r="D1288" s="71"/>
    </row>
    <row r="1289" spans="2:4" x14ac:dyDescent="0.15">
      <c r="B1289" s="69"/>
      <c r="C1289" s="70"/>
      <c r="D1289" s="71"/>
    </row>
    <row r="1290" spans="2:4" x14ac:dyDescent="0.15">
      <c r="B1290" s="69"/>
      <c r="C1290" s="70"/>
      <c r="D1290" s="71"/>
    </row>
    <row r="1291" spans="2:4" x14ac:dyDescent="0.15">
      <c r="B1291" s="69"/>
      <c r="C1291" s="70"/>
      <c r="D1291" s="71"/>
    </row>
    <row r="1292" spans="2:4" x14ac:dyDescent="0.15">
      <c r="B1292" s="69"/>
      <c r="C1292" s="70"/>
      <c r="D1292" s="71"/>
    </row>
    <row r="1293" spans="2:4" x14ac:dyDescent="0.15">
      <c r="B1293" s="69"/>
      <c r="C1293" s="70"/>
      <c r="D1293" s="71"/>
    </row>
    <row r="1294" spans="2:4" x14ac:dyDescent="0.15">
      <c r="B1294" s="69"/>
      <c r="C1294" s="70"/>
      <c r="D1294" s="71"/>
    </row>
    <row r="1295" spans="2:4" x14ac:dyDescent="0.15">
      <c r="B1295" s="69"/>
      <c r="C1295" s="70"/>
      <c r="D1295" s="71"/>
    </row>
    <row r="1296" spans="2:4" x14ac:dyDescent="0.15">
      <c r="B1296" s="69"/>
      <c r="C1296" s="70"/>
      <c r="D1296" s="71"/>
    </row>
    <row r="1297" spans="2:4" x14ac:dyDescent="0.15">
      <c r="B1297" s="69"/>
      <c r="C1297" s="70"/>
      <c r="D1297" s="71"/>
    </row>
    <row r="1298" spans="2:4" x14ac:dyDescent="0.15">
      <c r="B1298" s="69"/>
      <c r="C1298" s="70"/>
      <c r="D1298" s="71"/>
    </row>
    <row r="1299" spans="2:4" x14ac:dyDescent="0.15">
      <c r="B1299" s="69"/>
      <c r="C1299" s="70"/>
      <c r="D1299" s="71"/>
    </row>
    <row r="1300" spans="2:4" x14ac:dyDescent="0.15">
      <c r="B1300" s="69"/>
      <c r="C1300" s="70"/>
      <c r="D1300" s="71"/>
    </row>
    <row r="1301" spans="2:4" x14ac:dyDescent="0.15">
      <c r="B1301" s="69"/>
      <c r="C1301" s="70"/>
      <c r="D1301" s="71"/>
    </row>
    <row r="1302" spans="2:4" x14ac:dyDescent="0.15">
      <c r="B1302" s="69"/>
      <c r="C1302" s="70"/>
      <c r="D1302" s="71"/>
    </row>
    <row r="1303" spans="2:4" x14ac:dyDescent="0.15">
      <c r="B1303" s="69"/>
      <c r="C1303" s="70"/>
      <c r="D1303" s="71"/>
    </row>
    <row r="1304" spans="2:4" x14ac:dyDescent="0.15">
      <c r="B1304" s="69"/>
      <c r="C1304" s="70"/>
      <c r="D1304" s="71"/>
    </row>
    <row r="1305" spans="2:4" x14ac:dyDescent="0.15">
      <c r="B1305" s="69"/>
      <c r="C1305" s="70"/>
      <c r="D1305" s="71"/>
    </row>
    <row r="1306" spans="2:4" x14ac:dyDescent="0.15">
      <c r="B1306" s="69"/>
      <c r="C1306" s="70"/>
      <c r="D1306" s="71"/>
    </row>
    <row r="1307" spans="2:4" x14ac:dyDescent="0.15">
      <c r="B1307" s="69"/>
      <c r="C1307" s="70"/>
      <c r="D1307" s="71"/>
    </row>
    <row r="1308" spans="2:4" x14ac:dyDescent="0.15">
      <c r="B1308" s="69"/>
      <c r="C1308" s="70"/>
      <c r="D1308" s="71"/>
    </row>
    <row r="1309" spans="2:4" x14ac:dyDescent="0.15">
      <c r="B1309" s="69"/>
      <c r="C1309" s="70"/>
      <c r="D1309" s="71"/>
    </row>
    <row r="1310" spans="2:4" x14ac:dyDescent="0.15">
      <c r="B1310" s="69"/>
      <c r="C1310" s="70"/>
      <c r="D1310" s="71"/>
    </row>
    <row r="1311" spans="2:4" x14ac:dyDescent="0.15">
      <c r="B1311" s="69"/>
      <c r="C1311" s="70"/>
      <c r="D1311" s="71"/>
    </row>
    <row r="1312" spans="2:4" x14ac:dyDescent="0.15">
      <c r="B1312" s="69"/>
      <c r="C1312" s="70"/>
      <c r="D1312" s="71"/>
    </row>
    <row r="1313" spans="2:4" x14ac:dyDescent="0.15">
      <c r="B1313" s="69"/>
      <c r="C1313" s="70"/>
      <c r="D1313" s="71"/>
    </row>
    <row r="1314" spans="2:4" x14ac:dyDescent="0.15">
      <c r="B1314" s="69"/>
      <c r="C1314" s="70"/>
      <c r="D1314" s="71"/>
    </row>
    <row r="1315" spans="2:4" x14ac:dyDescent="0.15">
      <c r="B1315" s="69"/>
      <c r="C1315" s="70"/>
      <c r="D1315" s="71"/>
    </row>
    <row r="1316" spans="2:4" x14ac:dyDescent="0.15">
      <c r="B1316" s="69"/>
      <c r="C1316" s="70"/>
      <c r="D1316" s="71"/>
    </row>
    <row r="1317" spans="2:4" x14ac:dyDescent="0.15">
      <c r="B1317" s="69"/>
      <c r="C1317" s="70"/>
      <c r="D1317" s="71"/>
    </row>
    <row r="1318" spans="2:4" x14ac:dyDescent="0.15">
      <c r="B1318" s="69"/>
      <c r="C1318" s="70"/>
      <c r="D1318" s="71"/>
    </row>
    <row r="1319" spans="2:4" x14ac:dyDescent="0.15">
      <c r="B1319" s="69"/>
      <c r="C1319" s="70"/>
      <c r="D1319" s="71"/>
    </row>
    <row r="1320" spans="2:4" x14ac:dyDescent="0.15">
      <c r="B1320" s="69"/>
      <c r="C1320" s="70"/>
      <c r="D1320" s="71"/>
    </row>
    <row r="1321" spans="2:4" x14ac:dyDescent="0.15">
      <c r="B1321" s="69"/>
      <c r="C1321" s="70"/>
      <c r="D1321" s="71"/>
    </row>
    <row r="1322" spans="2:4" x14ac:dyDescent="0.15">
      <c r="B1322" s="69"/>
      <c r="C1322" s="70"/>
      <c r="D1322" s="71"/>
    </row>
    <row r="1323" spans="2:4" x14ac:dyDescent="0.15">
      <c r="B1323" s="69"/>
      <c r="C1323" s="70"/>
      <c r="D1323" s="71"/>
    </row>
    <row r="1324" spans="2:4" x14ac:dyDescent="0.15">
      <c r="B1324" s="69"/>
      <c r="C1324" s="70"/>
      <c r="D1324" s="71"/>
    </row>
    <row r="1325" spans="2:4" x14ac:dyDescent="0.15">
      <c r="B1325" s="69"/>
      <c r="C1325" s="70"/>
      <c r="D1325" s="71"/>
    </row>
    <row r="1326" spans="2:4" x14ac:dyDescent="0.15">
      <c r="B1326" s="69"/>
      <c r="C1326" s="70"/>
      <c r="D1326" s="71"/>
    </row>
    <row r="1327" spans="2:4" x14ac:dyDescent="0.15">
      <c r="B1327" s="69"/>
      <c r="C1327" s="70"/>
      <c r="D1327" s="71"/>
    </row>
    <row r="1328" spans="2:4" x14ac:dyDescent="0.15">
      <c r="B1328" s="69"/>
      <c r="C1328" s="70"/>
      <c r="D1328" s="71"/>
    </row>
    <row r="1329" spans="2:4" x14ac:dyDescent="0.15">
      <c r="B1329" s="69"/>
      <c r="C1329" s="70"/>
      <c r="D1329" s="71"/>
    </row>
    <row r="1330" spans="2:4" x14ac:dyDescent="0.15">
      <c r="B1330" s="69"/>
      <c r="C1330" s="70"/>
      <c r="D1330" s="71"/>
    </row>
    <row r="1331" spans="2:4" x14ac:dyDescent="0.15">
      <c r="B1331" s="69"/>
      <c r="C1331" s="70"/>
      <c r="D1331" s="71"/>
    </row>
    <row r="1332" spans="2:4" x14ac:dyDescent="0.15">
      <c r="B1332" s="69"/>
      <c r="C1332" s="70"/>
      <c r="D1332" s="71"/>
    </row>
    <row r="1333" spans="2:4" x14ac:dyDescent="0.15">
      <c r="B1333" s="69"/>
      <c r="C1333" s="70"/>
      <c r="D1333" s="71"/>
    </row>
    <row r="1334" spans="2:4" x14ac:dyDescent="0.15">
      <c r="B1334" s="69"/>
      <c r="C1334" s="70"/>
      <c r="D1334" s="71"/>
    </row>
    <row r="1335" spans="2:4" x14ac:dyDescent="0.15">
      <c r="B1335" s="69"/>
      <c r="C1335" s="70"/>
      <c r="D1335" s="71"/>
    </row>
    <row r="1336" spans="2:4" x14ac:dyDescent="0.15">
      <c r="B1336" s="69"/>
      <c r="C1336" s="70"/>
      <c r="D1336" s="71"/>
    </row>
    <row r="1337" spans="2:4" x14ac:dyDescent="0.15">
      <c r="B1337" s="69"/>
      <c r="C1337" s="70"/>
      <c r="D1337" s="71"/>
    </row>
    <row r="1338" spans="2:4" x14ac:dyDescent="0.15">
      <c r="B1338" s="69"/>
      <c r="C1338" s="70"/>
      <c r="D1338" s="71"/>
    </row>
    <row r="1339" spans="2:4" x14ac:dyDescent="0.15">
      <c r="B1339" s="69"/>
      <c r="C1339" s="70"/>
      <c r="D1339" s="71"/>
    </row>
    <row r="1340" spans="2:4" x14ac:dyDescent="0.15">
      <c r="B1340" s="69"/>
      <c r="C1340" s="70"/>
      <c r="D1340" s="71"/>
    </row>
    <row r="1341" spans="2:4" x14ac:dyDescent="0.15">
      <c r="B1341" s="69"/>
      <c r="C1341" s="70"/>
      <c r="D1341" s="71"/>
    </row>
    <row r="1342" spans="2:4" x14ac:dyDescent="0.15">
      <c r="B1342" s="69"/>
      <c r="C1342" s="70"/>
      <c r="D1342" s="71"/>
    </row>
    <row r="1343" spans="2:4" x14ac:dyDescent="0.15">
      <c r="B1343" s="69"/>
      <c r="C1343" s="70"/>
      <c r="D1343" s="71"/>
    </row>
    <row r="1344" spans="2:4" x14ac:dyDescent="0.15">
      <c r="B1344" s="69"/>
      <c r="C1344" s="70"/>
      <c r="D1344" s="71"/>
    </row>
    <row r="1345" spans="2:4" x14ac:dyDescent="0.15">
      <c r="B1345" s="69"/>
      <c r="C1345" s="70"/>
      <c r="D1345" s="71"/>
    </row>
    <row r="1346" spans="2:4" x14ac:dyDescent="0.15">
      <c r="B1346" s="69"/>
      <c r="C1346" s="70"/>
      <c r="D1346" s="71"/>
    </row>
    <row r="1347" spans="2:4" x14ac:dyDescent="0.15">
      <c r="B1347" s="69"/>
      <c r="C1347" s="70"/>
      <c r="D1347" s="71"/>
    </row>
    <row r="1348" spans="2:4" x14ac:dyDescent="0.15">
      <c r="B1348" s="69"/>
      <c r="C1348" s="70"/>
      <c r="D1348" s="71"/>
    </row>
    <row r="1349" spans="2:4" x14ac:dyDescent="0.15">
      <c r="B1349" s="69"/>
      <c r="C1349" s="70"/>
      <c r="D1349" s="71"/>
    </row>
    <row r="1350" spans="2:4" x14ac:dyDescent="0.15">
      <c r="B1350" s="69"/>
      <c r="C1350" s="70"/>
      <c r="D1350" s="71"/>
    </row>
    <row r="1351" spans="2:4" x14ac:dyDescent="0.15">
      <c r="B1351" s="69"/>
      <c r="C1351" s="70"/>
      <c r="D1351" s="71"/>
    </row>
    <row r="1352" spans="2:4" x14ac:dyDescent="0.15">
      <c r="B1352" s="69"/>
      <c r="C1352" s="70"/>
      <c r="D1352" s="71"/>
    </row>
    <row r="1353" spans="2:4" x14ac:dyDescent="0.15">
      <c r="B1353" s="69"/>
      <c r="C1353" s="70"/>
      <c r="D1353" s="71"/>
    </row>
    <row r="1354" spans="2:4" x14ac:dyDescent="0.15">
      <c r="B1354" s="69"/>
      <c r="C1354" s="70"/>
      <c r="D1354" s="71"/>
    </row>
    <row r="1355" spans="2:4" x14ac:dyDescent="0.15">
      <c r="B1355" s="69"/>
      <c r="C1355" s="70"/>
      <c r="D1355" s="71"/>
    </row>
    <row r="1356" spans="2:4" x14ac:dyDescent="0.15">
      <c r="B1356" s="69"/>
      <c r="C1356" s="70"/>
      <c r="D1356" s="71"/>
    </row>
    <row r="1357" spans="2:4" x14ac:dyDescent="0.15">
      <c r="B1357" s="69"/>
      <c r="C1357" s="70"/>
      <c r="D1357" s="71"/>
    </row>
    <row r="1358" spans="2:4" x14ac:dyDescent="0.15">
      <c r="B1358" s="69"/>
      <c r="C1358" s="70"/>
      <c r="D1358" s="71"/>
    </row>
    <row r="1359" spans="2:4" x14ac:dyDescent="0.15">
      <c r="B1359" s="69"/>
      <c r="C1359" s="70"/>
      <c r="D1359" s="71"/>
    </row>
    <row r="1360" spans="2:4" x14ac:dyDescent="0.15">
      <c r="B1360" s="69"/>
      <c r="C1360" s="70"/>
      <c r="D1360" s="71"/>
    </row>
    <row r="1361" spans="2:4" x14ac:dyDescent="0.15">
      <c r="B1361" s="69"/>
      <c r="C1361" s="70"/>
      <c r="D1361" s="71"/>
    </row>
    <row r="1362" spans="2:4" x14ac:dyDescent="0.15">
      <c r="B1362" s="69"/>
      <c r="C1362" s="70"/>
      <c r="D1362" s="71"/>
    </row>
    <row r="1363" spans="2:4" x14ac:dyDescent="0.15">
      <c r="B1363" s="69"/>
      <c r="C1363" s="70"/>
      <c r="D1363" s="71"/>
    </row>
    <row r="1364" spans="2:4" x14ac:dyDescent="0.15">
      <c r="B1364" s="69"/>
      <c r="C1364" s="70"/>
      <c r="D1364" s="71"/>
    </row>
    <row r="1365" spans="2:4" x14ac:dyDescent="0.15">
      <c r="B1365" s="69"/>
      <c r="C1365" s="70"/>
      <c r="D1365" s="71"/>
    </row>
    <row r="1366" spans="2:4" x14ac:dyDescent="0.15">
      <c r="B1366" s="69"/>
      <c r="C1366" s="70"/>
      <c r="D1366" s="71"/>
    </row>
    <row r="1367" spans="2:4" x14ac:dyDescent="0.15">
      <c r="B1367" s="69"/>
      <c r="C1367" s="70"/>
      <c r="D1367" s="71"/>
    </row>
    <row r="1368" spans="2:4" x14ac:dyDescent="0.15">
      <c r="B1368" s="69"/>
      <c r="C1368" s="70"/>
      <c r="D1368" s="71"/>
    </row>
    <row r="1369" spans="2:4" x14ac:dyDescent="0.15">
      <c r="B1369" s="69"/>
      <c r="C1369" s="70"/>
      <c r="D1369" s="71"/>
    </row>
    <row r="1370" spans="2:4" x14ac:dyDescent="0.15">
      <c r="B1370" s="69"/>
      <c r="C1370" s="70"/>
      <c r="D1370" s="71"/>
    </row>
    <row r="1371" spans="2:4" x14ac:dyDescent="0.15">
      <c r="B1371" s="69"/>
      <c r="C1371" s="70"/>
      <c r="D1371" s="71"/>
    </row>
    <row r="1372" spans="2:4" x14ac:dyDescent="0.15">
      <c r="B1372" s="69"/>
      <c r="C1372" s="70"/>
      <c r="D1372" s="71"/>
    </row>
    <row r="1373" spans="2:4" x14ac:dyDescent="0.15">
      <c r="B1373" s="69"/>
      <c r="C1373" s="70"/>
      <c r="D1373" s="71"/>
    </row>
    <row r="1374" spans="2:4" x14ac:dyDescent="0.15">
      <c r="B1374" s="69"/>
      <c r="C1374" s="70"/>
      <c r="D1374" s="71"/>
    </row>
    <row r="1375" spans="2:4" x14ac:dyDescent="0.15">
      <c r="B1375" s="69"/>
      <c r="C1375" s="70"/>
      <c r="D1375" s="71"/>
    </row>
    <row r="1376" spans="2:4" x14ac:dyDescent="0.15">
      <c r="B1376" s="69"/>
      <c r="C1376" s="70"/>
      <c r="D1376" s="71"/>
    </row>
    <row r="1377" spans="2:4" x14ac:dyDescent="0.15">
      <c r="B1377" s="69"/>
      <c r="C1377" s="70"/>
      <c r="D1377" s="71"/>
    </row>
    <row r="1378" spans="2:4" x14ac:dyDescent="0.15">
      <c r="B1378" s="69"/>
      <c r="C1378" s="70"/>
      <c r="D1378" s="71"/>
    </row>
    <row r="1379" spans="2:4" x14ac:dyDescent="0.15">
      <c r="B1379" s="69"/>
      <c r="C1379" s="70"/>
      <c r="D1379" s="71"/>
    </row>
    <row r="1380" spans="2:4" x14ac:dyDescent="0.15">
      <c r="B1380" s="69"/>
      <c r="C1380" s="70"/>
      <c r="D1380" s="71"/>
    </row>
    <row r="1381" spans="2:4" x14ac:dyDescent="0.15">
      <c r="B1381" s="69"/>
      <c r="C1381" s="70"/>
      <c r="D1381" s="71"/>
    </row>
    <row r="1382" spans="2:4" x14ac:dyDescent="0.15">
      <c r="B1382" s="69"/>
      <c r="C1382" s="70"/>
      <c r="D1382" s="71"/>
    </row>
    <row r="1383" spans="2:4" x14ac:dyDescent="0.15">
      <c r="B1383" s="69"/>
      <c r="C1383" s="70"/>
      <c r="D1383" s="71"/>
    </row>
    <row r="1384" spans="2:4" x14ac:dyDescent="0.15">
      <c r="B1384" s="69"/>
      <c r="C1384" s="70"/>
      <c r="D1384" s="71"/>
    </row>
    <row r="1385" spans="2:4" x14ac:dyDescent="0.15">
      <c r="B1385" s="69"/>
      <c r="C1385" s="70"/>
      <c r="D1385" s="71"/>
    </row>
    <row r="1386" spans="2:4" x14ac:dyDescent="0.15">
      <c r="B1386" s="69"/>
      <c r="C1386" s="70"/>
      <c r="D1386" s="71"/>
    </row>
    <row r="1387" spans="2:4" x14ac:dyDescent="0.15">
      <c r="B1387" s="69"/>
      <c r="C1387" s="70"/>
      <c r="D1387" s="71"/>
    </row>
    <row r="1388" spans="2:4" x14ac:dyDescent="0.15">
      <c r="B1388" s="69"/>
      <c r="C1388" s="70"/>
      <c r="D1388" s="71"/>
    </row>
    <row r="1389" spans="2:4" x14ac:dyDescent="0.15">
      <c r="B1389" s="69"/>
      <c r="C1389" s="70"/>
      <c r="D1389" s="71"/>
    </row>
    <row r="1390" spans="2:4" x14ac:dyDescent="0.15">
      <c r="B1390" s="69"/>
      <c r="C1390" s="70"/>
      <c r="D1390" s="71"/>
    </row>
    <row r="1391" spans="2:4" x14ac:dyDescent="0.15">
      <c r="B1391" s="69"/>
      <c r="C1391" s="70"/>
      <c r="D1391" s="71"/>
    </row>
    <row r="1392" spans="2:4" x14ac:dyDescent="0.15">
      <c r="B1392" s="69"/>
      <c r="C1392" s="70"/>
      <c r="D1392" s="71"/>
    </row>
    <row r="1393" spans="2:4" x14ac:dyDescent="0.15">
      <c r="B1393" s="69"/>
      <c r="C1393" s="70"/>
      <c r="D1393" s="71"/>
    </row>
    <row r="1394" spans="2:4" x14ac:dyDescent="0.15">
      <c r="B1394" s="69"/>
      <c r="C1394" s="70"/>
      <c r="D1394" s="71"/>
    </row>
    <row r="1395" spans="2:4" x14ac:dyDescent="0.15">
      <c r="B1395" s="69"/>
      <c r="C1395" s="70"/>
      <c r="D1395" s="71"/>
    </row>
    <row r="1396" spans="2:4" x14ac:dyDescent="0.15">
      <c r="B1396" s="69"/>
      <c r="C1396" s="70"/>
      <c r="D1396" s="71"/>
    </row>
    <row r="1397" spans="2:4" x14ac:dyDescent="0.15">
      <c r="B1397" s="69"/>
      <c r="C1397" s="70"/>
      <c r="D1397" s="71"/>
    </row>
    <row r="1398" spans="2:4" x14ac:dyDescent="0.15">
      <c r="B1398" s="69"/>
      <c r="C1398" s="70"/>
      <c r="D1398" s="71"/>
    </row>
    <row r="1399" spans="2:4" x14ac:dyDescent="0.15">
      <c r="B1399" s="69"/>
      <c r="C1399" s="70"/>
      <c r="D1399" s="71"/>
    </row>
    <row r="1400" spans="2:4" x14ac:dyDescent="0.15">
      <c r="B1400" s="69"/>
      <c r="C1400" s="70"/>
      <c r="D1400" s="71"/>
    </row>
    <row r="1401" spans="2:4" x14ac:dyDescent="0.15">
      <c r="B1401" s="69"/>
      <c r="C1401" s="70"/>
      <c r="D1401" s="71"/>
    </row>
    <row r="1402" spans="2:4" x14ac:dyDescent="0.15">
      <c r="B1402" s="69"/>
      <c r="C1402" s="70"/>
      <c r="D1402" s="71"/>
    </row>
    <row r="1403" spans="2:4" x14ac:dyDescent="0.15">
      <c r="B1403" s="69"/>
      <c r="C1403" s="70"/>
      <c r="D1403" s="71"/>
    </row>
    <row r="1404" spans="2:4" x14ac:dyDescent="0.15">
      <c r="B1404" s="69"/>
      <c r="C1404" s="70"/>
      <c r="D1404" s="71"/>
    </row>
    <row r="1405" spans="2:4" x14ac:dyDescent="0.15">
      <c r="B1405" s="69"/>
      <c r="C1405" s="70"/>
      <c r="D1405" s="71"/>
    </row>
    <row r="1406" spans="2:4" x14ac:dyDescent="0.15">
      <c r="B1406" s="69"/>
      <c r="C1406" s="70"/>
      <c r="D1406" s="71"/>
    </row>
    <row r="1407" spans="2:4" x14ac:dyDescent="0.15">
      <c r="B1407" s="69"/>
      <c r="C1407" s="70"/>
      <c r="D1407" s="71"/>
    </row>
    <row r="1408" spans="2:4" x14ac:dyDescent="0.15">
      <c r="B1408" s="69"/>
      <c r="C1408" s="70"/>
      <c r="D1408" s="71"/>
    </row>
    <row r="1409" spans="2:4" x14ac:dyDescent="0.15">
      <c r="B1409" s="69"/>
      <c r="C1409" s="70"/>
      <c r="D1409" s="71"/>
    </row>
    <row r="1410" spans="2:4" x14ac:dyDescent="0.15">
      <c r="B1410" s="69"/>
      <c r="C1410" s="70"/>
      <c r="D1410" s="71"/>
    </row>
    <row r="1411" spans="2:4" x14ac:dyDescent="0.15">
      <c r="B1411" s="69"/>
      <c r="C1411" s="70"/>
      <c r="D1411" s="71"/>
    </row>
    <row r="1412" spans="2:4" x14ac:dyDescent="0.15">
      <c r="B1412" s="69"/>
      <c r="C1412" s="70"/>
      <c r="D1412" s="71"/>
    </row>
    <row r="1413" spans="2:4" x14ac:dyDescent="0.15">
      <c r="B1413" s="69"/>
      <c r="C1413" s="70"/>
      <c r="D1413" s="71"/>
    </row>
    <row r="1414" spans="2:4" x14ac:dyDescent="0.15">
      <c r="B1414" s="69"/>
      <c r="C1414" s="70"/>
      <c r="D1414" s="71"/>
    </row>
    <row r="1415" spans="2:4" x14ac:dyDescent="0.15">
      <c r="B1415" s="69"/>
      <c r="C1415" s="70"/>
      <c r="D1415" s="71"/>
    </row>
    <row r="1416" spans="2:4" x14ac:dyDescent="0.15">
      <c r="B1416" s="69"/>
      <c r="C1416" s="70"/>
      <c r="D1416" s="71"/>
    </row>
    <row r="1417" spans="2:4" x14ac:dyDescent="0.15">
      <c r="B1417" s="69"/>
      <c r="C1417" s="70"/>
      <c r="D1417" s="71"/>
    </row>
    <row r="1418" spans="2:4" x14ac:dyDescent="0.15">
      <c r="B1418" s="69"/>
      <c r="C1418" s="70"/>
      <c r="D1418" s="71"/>
    </row>
    <row r="1419" spans="2:4" x14ac:dyDescent="0.15">
      <c r="B1419" s="69"/>
      <c r="C1419" s="70"/>
      <c r="D1419" s="71"/>
    </row>
    <row r="1420" spans="2:4" x14ac:dyDescent="0.15">
      <c r="B1420" s="69"/>
      <c r="C1420" s="70"/>
      <c r="D1420" s="71"/>
    </row>
    <row r="1421" spans="2:4" x14ac:dyDescent="0.15">
      <c r="B1421" s="69"/>
      <c r="C1421" s="70"/>
      <c r="D1421" s="71"/>
    </row>
    <row r="1422" spans="2:4" x14ac:dyDescent="0.15">
      <c r="B1422" s="69"/>
      <c r="C1422" s="70"/>
      <c r="D1422" s="71"/>
    </row>
    <row r="1423" spans="2:4" x14ac:dyDescent="0.15">
      <c r="B1423" s="69"/>
      <c r="C1423" s="70"/>
      <c r="D1423" s="71"/>
    </row>
    <row r="1424" spans="2:4" x14ac:dyDescent="0.15">
      <c r="B1424" s="69"/>
      <c r="C1424" s="70"/>
      <c r="D1424" s="71"/>
    </row>
    <row r="1425" spans="2:4" x14ac:dyDescent="0.15">
      <c r="B1425" s="69"/>
      <c r="C1425" s="70"/>
      <c r="D1425" s="71"/>
    </row>
    <row r="1426" spans="2:4" x14ac:dyDescent="0.15">
      <c r="B1426" s="69"/>
      <c r="C1426" s="70"/>
      <c r="D1426" s="71"/>
    </row>
    <row r="1427" spans="2:4" x14ac:dyDescent="0.15">
      <c r="B1427" s="69"/>
      <c r="C1427" s="70"/>
      <c r="D1427" s="71"/>
    </row>
    <row r="1428" spans="2:4" x14ac:dyDescent="0.15">
      <c r="B1428" s="69"/>
      <c r="C1428" s="70"/>
      <c r="D1428" s="71"/>
    </row>
    <row r="1429" spans="2:4" x14ac:dyDescent="0.15">
      <c r="B1429" s="69"/>
      <c r="C1429" s="70"/>
      <c r="D1429" s="71"/>
    </row>
    <row r="1430" spans="2:4" x14ac:dyDescent="0.15">
      <c r="B1430" s="69"/>
      <c r="C1430" s="70"/>
      <c r="D1430" s="71"/>
    </row>
    <row r="1431" spans="2:4" x14ac:dyDescent="0.15">
      <c r="B1431" s="69"/>
      <c r="C1431" s="70"/>
      <c r="D1431" s="71"/>
    </row>
    <row r="1432" spans="2:4" x14ac:dyDescent="0.15">
      <c r="B1432" s="69"/>
      <c r="C1432" s="70"/>
      <c r="D1432" s="71"/>
    </row>
    <row r="1433" spans="2:4" x14ac:dyDescent="0.15">
      <c r="B1433" s="69"/>
      <c r="C1433" s="70"/>
      <c r="D1433" s="71"/>
    </row>
    <row r="1434" spans="2:4" x14ac:dyDescent="0.15">
      <c r="B1434" s="69"/>
      <c r="C1434" s="70"/>
      <c r="D1434" s="71"/>
    </row>
    <row r="1435" spans="2:4" x14ac:dyDescent="0.15">
      <c r="B1435" s="69"/>
      <c r="C1435" s="70"/>
      <c r="D1435" s="71"/>
    </row>
    <row r="1436" spans="2:4" x14ac:dyDescent="0.15">
      <c r="B1436" s="69"/>
      <c r="C1436" s="70"/>
      <c r="D1436" s="71"/>
    </row>
    <row r="1437" spans="2:4" x14ac:dyDescent="0.15">
      <c r="B1437" s="69"/>
      <c r="C1437" s="70"/>
      <c r="D1437" s="71"/>
    </row>
    <row r="1438" spans="2:4" x14ac:dyDescent="0.15">
      <c r="B1438" s="69"/>
      <c r="C1438" s="70"/>
      <c r="D1438" s="71"/>
    </row>
    <row r="1439" spans="2:4" x14ac:dyDescent="0.15">
      <c r="B1439" s="69"/>
      <c r="C1439" s="70"/>
      <c r="D1439" s="71"/>
    </row>
    <row r="1440" spans="2:4" x14ac:dyDescent="0.15">
      <c r="B1440" s="69"/>
      <c r="C1440" s="70"/>
      <c r="D1440" s="71"/>
    </row>
    <row r="1441" spans="2:4" x14ac:dyDescent="0.15">
      <c r="B1441" s="69"/>
      <c r="C1441" s="70"/>
      <c r="D1441" s="71"/>
    </row>
    <row r="1442" spans="2:4" x14ac:dyDescent="0.15">
      <c r="B1442" s="69"/>
      <c r="C1442" s="70"/>
      <c r="D1442" s="71"/>
    </row>
    <row r="1443" spans="2:4" x14ac:dyDescent="0.15">
      <c r="B1443" s="69"/>
      <c r="C1443" s="70"/>
      <c r="D1443" s="71"/>
    </row>
    <row r="1444" spans="2:4" x14ac:dyDescent="0.15">
      <c r="B1444" s="69"/>
      <c r="C1444" s="70"/>
      <c r="D1444" s="71"/>
    </row>
    <row r="1445" spans="2:4" x14ac:dyDescent="0.15">
      <c r="B1445" s="69"/>
      <c r="C1445" s="70"/>
      <c r="D1445" s="71"/>
    </row>
    <row r="1446" spans="2:4" x14ac:dyDescent="0.15">
      <c r="B1446" s="69"/>
      <c r="C1446" s="70"/>
      <c r="D1446" s="71"/>
    </row>
    <row r="1447" spans="2:4" x14ac:dyDescent="0.15">
      <c r="B1447" s="69"/>
      <c r="C1447" s="70"/>
      <c r="D1447" s="71"/>
    </row>
    <row r="1448" spans="2:4" x14ac:dyDescent="0.15">
      <c r="B1448" s="69"/>
      <c r="C1448" s="70"/>
      <c r="D1448" s="71"/>
    </row>
    <row r="1449" spans="2:4" x14ac:dyDescent="0.15">
      <c r="B1449" s="69"/>
      <c r="C1449" s="70"/>
      <c r="D1449" s="71"/>
    </row>
    <row r="1450" spans="2:4" x14ac:dyDescent="0.15">
      <c r="B1450" s="69"/>
      <c r="C1450" s="70"/>
      <c r="D1450" s="71"/>
    </row>
    <row r="1451" spans="2:4" x14ac:dyDescent="0.15">
      <c r="B1451" s="69"/>
      <c r="C1451" s="70"/>
      <c r="D1451" s="71"/>
    </row>
    <row r="1452" spans="2:4" x14ac:dyDescent="0.15">
      <c r="B1452" s="69"/>
      <c r="C1452" s="70"/>
      <c r="D1452" s="71"/>
    </row>
    <row r="1453" spans="2:4" x14ac:dyDescent="0.15">
      <c r="B1453" s="69"/>
      <c r="C1453" s="70"/>
      <c r="D1453" s="71"/>
    </row>
    <row r="1454" spans="2:4" x14ac:dyDescent="0.15">
      <c r="B1454" s="69"/>
      <c r="C1454" s="70"/>
      <c r="D1454" s="71"/>
    </row>
    <row r="1455" spans="2:4" x14ac:dyDescent="0.15">
      <c r="B1455" s="69"/>
      <c r="C1455" s="70"/>
      <c r="D1455" s="71"/>
    </row>
    <row r="1456" spans="2:4" x14ac:dyDescent="0.15">
      <c r="B1456" s="69"/>
      <c r="C1456" s="70"/>
      <c r="D1456" s="71"/>
    </row>
    <row r="1457" spans="2:4" x14ac:dyDescent="0.15">
      <c r="B1457" s="69"/>
      <c r="C1457" s="70"/>
      <c r="D1457" s="71"/>
    </row>
    <row r="1458" spans="2:4" x14ac:dyDescent="0.15">
      <c r="B1458" s="69"/>
      <c r="C1458" s="70"/>
      <c r="D1458" s="71"/>
    </row>
    <row r="1459" spans="2:4" x14ac:dyDescent="0.15">
      <c r="B1459" s="69"/>
      <c r="C1459" s="70"/>
      <c r="D1459" s="71"/>
    </row>
    <row r="1460" spans="2:4" x14ac:dyDescent="0.15">
      <c r="B1460" s="69"/>
      <c r="C1460" s="70"/>
      <c r="D1460" s="71"/>
    </row>
    <row r="1461" spans="2:4" x14ac:dyDescent="0.15">
      <c r="B1461" s="69"/>
      <c r="C1461" s="70"/>
      <c r="D1461" s="71"/>
    </row>
    <row r="1462" spans="2:4" x14ac:dyDescent="0.15">
      <c r="B1462" s="69"/>
      <c r="C1462" s="70"/>
      <c r="D1462" s="71"/>
    </row>
    <row r="1463" spans="2:4" x14ac:dyDescent="0.15">
      <c r="B1463" s="69"/>
      <c r="C1463" s="70"/>
      <c r="D1463" s="71"/>
    </row>
    <row r="1464" spans="2:4" x14ac:dyDescent="0.15">
      <c r="B1464" s="69"/>
      <c r="C1464" s="70"/>
      <c r="D1464" s="71"/>
    </row>
    <row r="1465" spans="2:4" x14ac:dyDescent="0.15">
      <c r="B1465" s="69"/>
      <c r="C1465" s="70"/>
      <c r="D1465" s="71"/>
    </row>
    <row r="1466" spans="2:4" x14ac:dyDescent="0.15">
      <c r="B1466" s="69"/>
      <c r="C1466" s="70"/>
      <c r="D1466" s="71"/>
    </row>
    <row r="1467" spans="2:4" x14ac:dyDescent="0.15">
      <c r="B1467" s="69"/>
      <c r="C1467" s="70"/>
      <c r="D1467" s="71"/>
    </row>
    <row r="1468" spans="2:4" x14ac:dyDescent="0.15">
      <c r="B1468" s="69"/>
      <c r="C1468" s="70"/>
      <c r="D1468" s="71"/>
    </row>
    <row r="1469" spans="2:4" x14ac:dyDescent="0.15">
      <c r="B1469" s="69"/>
      <c r="C1469" s="70"/>
      <c r="D1469" s="71"/>
    </row>
    <row r="1470" spans="2:4" x14ac:dyDescent="0.15">
      <c r="B1470" s="69"/>
      <c r="C1470" s="70"/>
      <c r="D1470" s="71"/>
    </row>
    <row r="1471" spans="2:4" x14ac:dyDescent="0.15">
      <c r="B1471" s="69"/>
      <c r="C1471" s="70"/>
      <c r="D1471" s="71"/>
    </row>
    <row r="1472" spans="2:4" x14ac:dyDescent="0.15">
      <c r="B1472" s="69"/>
      <c r="C1472" s="70"/>
      <c r="D1472" s="71"/>
    </row>
    <row r="1473" spans="2:4" x14ac:dyDescent="0.15">
      <c r="B1473" s="69"/>
      <c r="C1473" s="70"/>
      <c r="D1473" s="71"/>
    </row>
    <row r="1474" spans="2:4" x14ac:dyDescent="0.15">
      <c r="B1474" s="69"/>
      <c r="C1474" s="70"/>
      <c r="D1474" s="71"/>
    </row>
    <row r="1475" spans="2:4" x14ac:dyDescent="0.15">
      <c r="B1475" s="69"/>
      <c r="C1475" s="70"/>
      <c r="D1475" s="71"/>
    </row>
    <row r="1476" spans="2:4" x14ac:dyDescent="0.15">
      <c r="B1476" s="69"/>
      <c r="C1476" s="70"/>
      <c r="D1476" s="71"/>
    </row>
    <row r="1477" spans="2:4" x14ac:dyDescent="0.15">
      <c r="B1477" s="69"/>
      <c r="C1477" s="70"/>
      <c r="D1477" s="71"/>
    </row>
    <row r="1478" spans="2:4" x14ac:dyDescent="0.15">
      <c r="B1478" s="69"/>
      <c r="C1478" s="70"/>
      <c r="D1478" s="71"/>
    </row>
    <row r="1479" spans="2:4" x14ac:dyDescent="0.15">
      <c r="B1479" s="69"/>
      <c r="C1479" s="70"/>
      <c r="D1479" s="71"/>
    </row>
    <row r="1480" spans="2:4" x14ac:dyDescent="0.15">
      <c r="B1480" s="69"/>
      <c r="C1480" s="70"/>
      <c r="D1480" s="71"/>
    </row>
    <row r="1481" spans="2:4" x14ac:dyDescent="0.15">
      <c r="B1481" s="69"/>
      <c r="C1481" s="70"/>
      <c r="D1481" s="71"/>
    </row>
    <row r="1482" spans="2:4" x14ac:dyDescent="0.15">
      <c r="B1482" s="69"/>
      <c r="C1482" s="70"/>
      <c r="D1482" s="71"/>
    </row>
    <row r="1483" spans="2:4" x14ac:dyDescent="0.15">
      <c r="B1483" s="69"/>
      <c r="C1483" s="70"/>
      <c r="D1483" s="71"/>
    </row>
    <row r="1484" spans="2:4" x14ac:dyDescent="0.15">
      <c r="B1484" s="69"/>
      <c r="C1484" s="70"/>
      <c r="D1484" s="71"/>
    </row>
    <row r="1485" spans="2:4" x14ac:dyDescent="0.15">
      <c r="B1485" s="69"/>
      <c r="C1485" s="70"/>
      <c r="D1485" s="71"/>
    </row>
    <row r="1486" spans="2:4" x14ac:dyDescent="0.15">
      <c r="B1486" s="69"/>
      <c r="C1486" s="70"/>
      <c r="D1486" s="71"/>
    </row>
    <row r="1487" spans="2:4" x14ac:dyDescent="0.15">
      <c r="B1487" s="69"/>
      <c r="C1487" s="70"/>
      <c r="D1487" s="71"/>
    </row>
    <row r="1488" spans="2:4" x14ac:dyDescent="0.15">
      <c r="B1488" s="69"/>
      <c r="C1488" s="70"/>
      <c r="D1488" s="71"/>
    </row>
    <row r="1489" spans="2:4" x14ac:dyDescent="0.15">
      <c r="B1489" s="69"/>
      <c r="C1489" s="70"/>
      <c r="D1489" s="71"/>
    </row>
    <row r="1490" spans="2:4" x14ac:dyDescent="0.15">
      <c r="B1490" s="69"/>
      <c r="C1490" s="70"/>
      <c r="D1490" s="71"/>
    </row>
    <row r="1491" spans="2:4" x14ac:dyDescent="0.15">
      <c r="B1491" s="69"/>
      <c r="C1491" s="70"/>
      <c r="D1491" s="71"/>
    </row>
    <row r="1492" spans="2:4" x14ac:dyDescent="0.15">
      <c r="B1492" s="69"/>
      <c r="C1492" s="70"/>
      <c r="D1492" s="71"/>
    </row>
    <row r="1493" spans="2:4" x14ac:dyDescent="0.15">
      <c r="B1493" s="69"/>
      <c r="C1493" s="70"/>
      <c r="D1493" s="71"/>
    </row>
    <row r="1494" spans="2:4" x14ac:dyDescent="0.15">
      <c r="B1494" s="69"/>
      <c r="C1494" s="70"/>
      <c r="D1494" s="71"/>
    </row>
    <row r="1495" spans="2:4" x14ac:dyDescent="0.15">
      <c r="B1495" s="69"/>
      <c r="C1495" s="70"/>
      <c r="D1495" s="71"/>
    </row>
    <row r="1496" spans="2:4" x14ac:dyDescent="0.15">
      <c r="B1496" s="69"/>
      <c r="C1496" s="70"/>
      <c r="D1496" s="71"/>
    </row>
    <row r="1497" spans="2:4" x14ac:dyDescent="0.15">
      <c r="B1497" s="69"/>
      <c r="C1497" s="70"/>
      <c r="D1497" s="71"/>
    </row>
    <row r="1498" spans="2:4" x14ac:dyDescent="0.15">
      <c r="B1498" s="69"/>
      <c r="C1498" s="70"/>
      <c r="D1498" s="71"/>
    </row>
    <row r="1499" spans="2:4" x14ac:dyDescent="0.15">
      <c r="B1499" s="69"/>
      <c r="C1499" s="70"/>
      <c r="D1499" s="71"/>
    </row>
    <row r="1500" spans="2:4" x14ac:dyDescent="0.15">
      <c r="B1500" s="69"/>
      <c r="C1500" s="70"/>
      <c r="D1500" s="71"/>
    </row>
    <row r="1501" spans="2:4" x14ac:dyDescent="0.15">
      <c r="B1501" s="69"/>
      <c r="C1501" s="70"/>
      <c r="D1501" s="71"/>
    </row>
    <row r="1502" spans="2:4" x14ac:dyDescent="0.15">
      <c r="B1502" s="69"/>
      <c r="C1502" s="70"/>
      <c r="D1502" s="71"/>
    </row>
    <row r="1503" spans="2:4" x14ac:dyDescent="0.15">
      <c r="B1503" s="69"/>
      <c r="C1503" s="70"/>
      <c r="D1503" s="71"/>
    </row>
    <row r="1504" spans="2:4" x14ac:dyDescent="0.15">
      <c r="B1504" s="69"/>
      <c r="C1504" s="70"/>
      <c r="D1504" s="71"/>
    </row>
    <row r="1505" spans="2:4" x14ac:dyDescent="0.15">
      <c r="B1505" s="69"/>
      <c r="C1505" s="70"/>
      <c r="D1505" s="71"/>
    </row>
    <row r="1506" spans="2:4" x14ac:dyDescent="0.15">
      <c r="B1506" s="69"/>
      <c r="C1506" s="70"/>
      <c r="D1506" s="71"/>
    </row>
    <row r="1507" spans="2:4" x14ac:dyDescent="0.15">
      <c r="B1507" s="69"/>
      <c r="C1507" s="70"/>
      <c r="D1507" s="71"/>
    </row>
    <row r="1508" spans="2:4" x14ac:dyDescent="0.15">
      <c r="B1508" s="69"/>
      <c r="C1508" s="70"/>
      <c r="D1508" s="71"/>
    </row>
    <row r="1509" spans="2:4" x14ac:dyDescent="0.15">
      <c r="B1509" s="69"/>
      <c r="C1509" s="70"/>
      <c r="D1509" s="71"/>
    </row>
    <row r="1510" spans="2:4" x14ac:dyDescent="0.15">
      <c r="B1510" s="69"/>
      <c r="C1510" s="70"/>
      <c r="D1510" s="71"/>
    </row>
    <row r="1511" spans="2:4" x14ac:dyDescent="0.15">
      <c r="B1511" s="69"/>
      <c r="C1511" s="70"/>
      <c r="D1511" s="71"/>
    </row>
    <row r="1512" spans="2:4" x14ac:dyDescent="0.15">
      <c r="B1512" s="69"/>
      <c r="C1512" s="70"/>
      <c r="D1512" s="71"/>
    </row>
    <row r="1513" spans="2:4" x14ac:dyDescent="0.15">
      <c r="B1513" s="69"/>
      <c r="C1513" s="70"/>
      <c r="D1513" s="71"/>
    </row>
    <row r="1514" spans="2:4" x14ac:dyDescent="0.15">
      <c r="B1514" s="69"/>
      <c r="C1514" s="70"/>
      <c r="D1514" s="71"/>
    </row>
    <row r="1515" spans="2:4" x14ac:dyDescent="0.15">
      <c r="B1515" s="69"/>
      <c r="C1515" s="70"/>
      <c r="D1515" s="71"/>
    </row>
    <row r="1516" spans="2:4" x14ac:dyDescent="0.15">
      <c r="B1516" s="69"/>
      <c r="C1516" s="70"/>
      <c r="D1516" s="71"/>
    </row>
    <row r="1517" spans="2:4" x14ac:dyDescent="0.15">
      <c r="B1517" s="69"/>
      <c r="C1517" s="70"/>
      <c r="D1517" s="71"/>
    </row>
    <row r="1518" spans="2:4" x14ac:dyDescent="0.15">
      <c r="B1518" s="69"/>
      <c r="C1518" s="70"/>
      <c r="D1518" s="71"/>
    </row>
    <row r="1519" spans="2:4" x14ac:dyDescent="0.15">
      <c r="B1519" s="69"/>
      <c r="C1519" s="70"/>
      <c r="D1519" s="71"/>
    </row>
    <row r="1520" spans="2:4" x14ac:dyDescent="0.15">
      <c r="B1520" s="69"/>
      <c r="C1520" s="70"/>
      <c r="D1520" s="71"/>
    </row>
    <row r="1521" spans="2:4" x14ac:dyDescent="0.15">
      <c r="B1521" s="69"/>
      <c r="C1521" s="70"/>
      <c r="D1521" s="71"/>
    </row>
    <row r="1522" spans="2:4" x14ac:dyDescent="0.15">
      <c r="B1522" s="69"/>
      <c r="C1522" s="70"/>
      <c r="D1522" s="71"/>
    </row>
    <row r="1523" spans="2:4" x14ac:dyDescent="0.15">
      <c r="B1523" s="69"/>
      <c r="C1523" s="70"/>
      <c r="D1523" s="71"/>
    </row>
    <row r="1524" spans="2:4" x14ac:dyDescent="0.15">
      <c r="B1524" s="69"/>
      <c r="C1524" s="70"/>
      <c r="D1524" s="71"/>
    </row>
    <row r="1525" spans="2:4" x14ac:dyDescent="0.15">
      <c r="B1525" s="69"/>
      <c r="C1525" s="70"/>
      <c r="D1525" s="71"/>
    </row>
    <row r="1526" spans="2:4" x14ac:dyDescent="0.15">
      <c r="B1526" s="69"/>
      <c r="C1526" s="70"/>
      <c r="D1526" s="71"/>
    </row>
    <row r="1527" spans="2:4" x14ac:dyDescent="0.15">
      <c r="B1527" s="69"/>
      <c r="C1527" s="70"/>
      <c r="D1527" s="71"/>
    </row>
    <row r="1528" spans="2:4" x14ac:dyDescent="0.15">
      <c r="B1528" s="69"/>
      <c r="C1528" s="70"/>
      <c r="D1528" s="71"/>
    </row>
    <row r="1529" spans="2:4" x14ac:dyDescent="0.15">
      <c r="B1529" s="69"/>
      <c r="C1529" s="70"/>
      <c r="D1529" s="71"/>
    </row>
    <row r="1530" spans="2:4" x14ac:dyDescent="0.15">
      <c r="B1530" s="69"/>
      <c r="C1530" s="70"/>
      <c r="D1530" s="71"/>
    </row>
    <row r="1531" spans="2:4" x14ac:dyDescent="0.15">
      <c r="B1531" s="69"/>
      <c r="C1531" s="70"/>
      <c r="D1531" s="71"/>
    </row>
    <row r="1532" spans="2:4" x14ac:dyDescent="0.15">
      <c r="B1532" s="69"/>
      <c r="C1532" s="70"/>
      <c r="D1532" s="71"/>
    </row>
    <row r="1533" spans="2:4" x14ac:dyDescent="0.15">
      <c r="B1533" s="69"/>
      <c r="C1533" s="70"/>
      <c r="D1533" s="71"/>
    </row>
    <row r="1534" spans="2:4" x14ac:dyDescent="0.15">
      <c r="B1534" s="69"/>
      <c r="C1534" s="70"/>
      <c r="D1534" s="71"/>
    </row>
    <row r="1535" spans="2:4" x14ac:dyDescent="0.15">
      <c r="B1535" s="69"/>
      <c r="C1535" s="70"/>
      <c r="D1535" s="71"/>
    </row>
    <row r="1536" spans="2:4" x14ac:dyDescent="0.15">
      <c r="B1536" s="69"/>
      <c r="C1536" s="70"/>
      <c r="D1536" s="71"/>
    </row>
    <row r="1537" spans="2:4" x14ac:dyDescent="0.15">
      <c r="B1537" s="69"/>
      <c r="C1537" s="70"/>
      <c r="D1537" s="71"/>
    </row>
    <row r="1538" spans="2:4" x14ac:dyDescent="0.15">
      <c r="B1538" s="69"/>
      <c r="C1538" s="70"/>
      <c r="D1538" s="71"/>
    </row>
    <row r="1539" spans="2:4" x14ac:dyDescent="0.15">
      <c r="B1539" s="69"/>
      <c r="C1539" s="70"/>
      <c r="D1539" s="71"/>
    </row>
    <row r="1540" spans="2:4" x14ac:dyDescent="0.15">
      <c r="B1540" s="69"/>
      <c r="C1540" s="70"/>
      <c r="D1540" s="71"/>
    </row>
    <row r="1541" spans="2:4" x14ac:dyDescent="0.15">
      <c r="B1541" s="69"/>
      <c r="C1541" s="70"/>
      <c r="D1541" s="71"/>
    </row>
    <row r="1542" spans="2:4" x14ac:dyDescent="0.15">
      <c r="B1542" s="69"/>
      <c r="C1542" s="70"/>
      <c r="D1542" s="71"/>
    </row>
    <row r="1543" spans="2:4" x14ac:dyDescent="0.15">
      <c r="B1543" s="69"/>
      <c r="C1543" s="70"/>
      <c r="D1543" s="71"/>
    </row>
    <row r="1544" spans="2:4" x14ac:dyDescent="0.15">
      <c r="B1544" s="69"/>
      <c r="C1544" s="70"/>
      <c r="D1544" s="71"/>
    </row>
    <row r="1545" spans="2:4" x14ac:dyDescent="0.15">
      <c r="B1545" s="69"/>
      <c r="C1545" s="70"/>
      <c r="D1545" s="71"/>
    </row>
    <row r="1546" spans="2:4" x14ac:dyDescent="0.15">
      <c r="B1546" s="69"/>
      <c r="C1546" s="70"/>
      <c r="D1546" s="71"/>
    </row>
    <row r="1547" spans="2:4" x14ac:dyDescent="0.15">
      <c r="B1547" s="69"/>
      <c r="C1547" s="70"/>
      <c r="D1547" s="71"/>
    </row>
    <row r="1548" spans="2:4" x14ac:dyDescent="0.15">
      <c r="B1548" s="69"/>
      <c r="C1548" s="70"/>
      <c r="D1548" s="71"/>
    </row>
    <row r="1549" spans="2:4" x14ac:dyDescent="0.15">
      <c r="B1549" s="69"/>
      <c r="C1549" s="70"/>
      <c r="D1549" s="71"/>
    </row>
    <row r="1550" spans="2:4" x14ac:dyDescent="0.15">
      <c r="B1550" s="69"/>
      <c r="C1550" s="70"/>
      <c r="D1550" s="71"/>
    </row>
    <row r="1551" spans="2:4" x14ac:dyDescent="0.15">
      <c r="B1551" s="69"/>
      <c r="C1551" s="70"/>
      <c r="D1551" s="71"/>
    </row>
    <row r="1552" spans="2:4" x14ac:dyDescent="0.15">
      <c r="B1552" s="69"/>
      <c r="C1552" s="70"/>
      <c r="D1552" s="71"/>
    </row>
    <row r="1553" spans="2:4" x14ac:dyDescent="0.15">
      <c r="B1553" s="69"/>
      <c r="C1553" s="70"/>
      <c r="D1553" s="71"/>
    </row>
    <row r="1554" spans="2:4" x14ac:dyDescent="0.15">
      <c r="B1554" s="69"/>
      <c r="C1554" s="70"/>
      <c r="D1554" s="71"/>
    </row>
    <row r="1555" spans="2:4" x14ac:dyDescent="0.15">
      <c r="B1555" s="69"/>
      <c r="C1555" s="70"/>
      <c r="D1555" s="71"/>
    </row>
    <row r="1556" spans="2:4" x14ac:dyDescent="0.15">
      <c r="B1556" s="69"/>
      <c r="C1556" s="70"/>
      <c r="D1556" s="71"/>
    </row>
    <row r="1557" spans="2:4" x14ac:dyDescent="0.15">
      <c r="B1557" s="69"/>
      <c r="C1557" s="70"/>
      <c r="D1557" s="71"/>
    </row>
    <row r="1558" spans="2:4" x14ac:dyDescent="0.15">
      <c r="B1558" s="69"/>
      <c r="C1558" s="70"/>
      <c r="D1558" s="71"/>
    </row>
    <row r="1559" spans="2:4" x14ac:dyDescent="0.15">
      <c r="B1559" s="69"/>
      <c r="C1559" s="70"/>
      <c r="D1559" s="71"/>
    </row>
    <row r="1560" spans="2:4" x14ac:dyDescent="0.15">
      <c r="B1560" s="69"/>
      <c r="C1560" s="70"/>
      <c r="D1560" s="71"/>
    </row>
    <row r="1561" spans="2:4" x14ac:dyDescent="0.15">
      <c r="B1561" s="69"/>
      <c r="C1561" s="70"/>
      <c r="D1561" s="71"/>
    </row>
    <row r="1562" spans="2:4" x14ac:dyDescent="0.15">
      <c r="B1562" s="69"/>
      <c r="C1562" s="70"/>
      <c r="D1562" s="71"/>
    </row>
    <row r="1563" spans="2:4" x14ac:dyDescent="0.15">
      <c r="B1563" s="69"/>
      <c r="C1563" s="70"/>
      <c r="D1563" s="71"/>
    </row>
    <row r="1564" spans="2:4" x14ac:dyDescent="0.15">
      <c r="B1564" s="69"/>
      <c r="C1564" s="70"/>
      <c r="D1564" s="71"/>
    </row>
    <row r="1565" spans="2:4" x14ac:dyDescent="0.15">
      <c r="B1565" s="69"/>
      <c r="C1565" s="70"/>
      <c r="D1565" s="71"/>
    </row>
    <row r="1566" spans="2:4" x14ac:dyDescent="0.15">
      <c r="B1566" s="69"/>
      <c r="C1566" s="70"/>
      <c r="D1566" s="71"/>
    </row>
    <row r="1567" spans="2:4" x14ac:dyDescent="0.15">
      <c r="B1567" s="69"/>
      <c r="C1567" s="70"/>
      <c r="D1567" s="71"/>
    </row>
    <row r="1568" spans="2:4" x14ac:dyDescent="0.15">
      <c r="B1568" s="69"/>
      <c r="C1568" s="70"/>
      <c r="D1568" s="71"/>
    </row>
    <row r="1569" spans="2:4" x14ac:dyDescent="0.15">
      <c r="B1569" s="69"/>
      <c r="C1569" s="70"/>
      <c r="D1569" s="71"/>
    </row>
    <row r="1570" spans="2:4" x14ac:dyDescent="0.15">
      <c r="B1570" s="69"/>
      <c r="C1570" s="70"/>
      <c r="D1570" s="71"/>
    </row>
    <row r="1571" spans="2:4" x14ac:dyDescent="0.15">
      <c r="B1571" s="69"/>
      <c r="C1571" s="70"/>
      <c r="D1571" s="71"/>
    </row>
    <row r="1572" spans="2:4" x14ac:dyDescent="0.15">
      <c r="B1572" s="69"/>
      <c r="C1572" s="70"/>
      <c r="D1572" s="71"/>
    </row>
    <row r="1573" spans="2:4" x14ac:dyDescent="0.15">
      <c r="B1573" s="69"/>
      <c r="C1573" s="70"/>
      <c r="D1573" s="71"/>
    </row>
    <row r="1574" spans="2:4" x14ac:dyDescent="0.15">
      <c r="B1574" s="69"/>
      <c r="C1574" s="70"/>
      <c r="D1574" s="71"/>
    </row>
    <row r="1575" spans="2:4" x14ac:dyDescent="0.15">
      <c r="B1575" s="69"/>
      <c r="C1575" s="70"/>
      <c r="D1575" s="71"/>
    </row>
    <row r="1576" spans="2:4" x14ac:dyDescent="0.15">
      <c r="B1576" s="69"/>
      <c r="C1576" s="70"/>
      <c r="D1576" s="71"/>
    </row>
    <row r="1577" spans="2:4" x14ac:dyDescent="0.15">
      <c r="B1577" s="69"/>
      <c r="C1577" s="70"/>
      <c r="D1577" s="71"/>
    </row>
    <row r="1578" spans="2:4" x14ac:dyDescent="0.15">
      <c r="B1578" s="69"/>
      <c r="C1578" s="70"/>
      <c r="D1578" s="71"/>
    </row>
    <row r="1579" spans="2:4" x14ac:dyDescent="0.15">
      <c r="B1579" s="69"/>
      <c r="C1579" s="70"/>
      <c r="D1579" s="71"/>
    </row>
    <row r="1580" spans="2:4" x14ac:dyDescent="0.15">
      <c r="B1580" s="69"/>
      <c r="C1580" s="70"/>
      <c r="D1580" s="71"/>
    </row>
    <row r="1581" spans="2:4" x14ac:dyDescent="0.15">
      <c r="B1581" s="69"/>
      <c r="C1581" s="70"/>
      <c r="D1581" s="71"/>
    </row>
    <row r="1582" spans="2:4" x14ac:dyDescent="0.15">
      <c r="B1582" s="69"/>
      <c r="C1582" s="70"/>
      <c r="D1582" s="71"/>
    </row>
    <row r="1583" spans="2:4" x14ac:dyDescent="0.15">
      <c r="B1583" s="69"/>
      <c r="C1583" s="70"/>
      <c r="D1583" s="71"/>
    </row>
    <row r="1584" spans="2:4" x14ac:dyDescent="0.15">
      <c r="B1584" s="69"/>
      <c r="C1584" s="70"/>
      <c r="D1584" s="71"/>
    </row>
    <row r="1585" spans="2:4" x14ac:dyDescent="0.15">
      <c r="B1585" s="69"/>
      <c r="C1585" s="70"/>
      <c r="D1585" s="71"/>
    </row>
    <row r="1586" spans="2:4" x14ac:dyDescent="0.15">
      <c r="B1586" s="69"/>
      <c r="C1586" s="70"/>
      <c r="D1586" s="71"/>
    </row>
    <row r="1587" spans="2:4" x14ac:dyDescent="0.15">
      <c r="B1587" s="69"/>
      <c r="C1587" s="70"/>
      <c r="D1587" s="71"/>
    </row>
    <row r="1588" spans="2:4" x14ac:dyDescent="0.15">
      <c r="B1588" s="69"/>
      <c r="C1588" s="70"/>
      <c r="D1588" s="71"/>
    </row>
    <row r="1589" spans="2:4" x14ac:dyDescent="0.15">
      <c r="B1589" s="69"/>
      <c r="C1589" s="70"/>
      <c r="D1589" s="71"/>
    </row>
    <row r="1590" spans="2:4" x14ac:dyDescent="0.15">
      <c r="B1590" s="69"/>
      <c r="C1590" s="70"/>
      <c r="D1590" s="71"/>
    </row>
    <row r="1591" spans="2:4" x14ac:dyDescent="0.15">
      <c r="B1591" s="69"/>
      <c r="C1591" s="70"/>
      <c r="D1591" s="71"/>
    </row>
    <row r="1592" spans="2:4" x14ac:dyDescent="0.15">
      <c r="B1592" s="69"/>
      <c r="C1592" s="70"/>
      <c r="D1592" s="71"/>
    </row>
    <row r="1593" spans="2:4" x14ac:dyDescent="0.15">
      <c r="B1593" s="69"/>
      <c r="C1593" s="70"/>
      <c r="D1593" s="71"/>
    </row>
    <row r="1594" spans="2:4" x14ac:dyDescent="0.15">
      <c r="B1594" s="69"/>
      <c r="C1594" s="70"/>
      <c r="D1594" s="71"/>
    </row>
    <row r="1595" spans="2:4" x14ac:dyDescent="0.15">
      <c r="B1595" s="69"/>
      <c r="C1595" s="70"/>
      <c r="D1595" s="71"/>
    </row>
    <row r="1596" spans="2:4" x14ac:dyDescent="0.15">
      <c r="B1596" s="69"/>
      <c r="C1596" s="70"/>
      <c r="D1596" s="71"/>
    </row>
    <row r="1597" spans="2:4" x14ac:dyDescent="0.15">
      <c r="B1597" s="69"/>
      <c r="C1597" s="70"/>
      <c r="D1597" s="71"/>
    </row>
    <row r="1598" spans="2:4" x14ac:dyDescent="0.15">
      <c r="B1598" s="69"/>
      <c r="C1598" s="70"/>
      <c r="D1598" s="71"/>
    </row>
    <row r="1599" spans="2:4" x14ac:dyDescent="0.15">
      <c r="B1599" s="69"/>
      <c r="C1599" s="70"/>
      <c r="D1599" s="71"/>
    </row>
    <row r="1600" spans="2:4" x14ac:dyDescent="0.15">
      <c r="B1600" s="69"/>
      <c r="C1600" s="70"/>
      <c r="D1600" s="71"/>
    </row>
    <row r="1601" spans="2:4" x14ac:dyDescent="0.15">
      <c r="B1601" s="69"/>
      <c r="C1601" s="70"/>
      <c r="D1601" s="71"/>
    </row>
    <row r="1602" spans="2:4" x14ac:dyDescent="0.15">
      <c r="B1602" s="69"/>
      <c r="C1602" s="70"/>
      <c r="D1602" s="71"/>
    </row>
    <row r="1603" spans="2:4" x14ac:dyDescent="0.15">
      <c r="B1603" s="69"/>
      <c r="C1603" s="70"/>
      <c r="D1603" s="71"/>
    </row>
    <row r="1604" spans="2:4" x14ac:dyDescent="0.15">
      <c r="B1604" s="69"/>
      <c r="C1604" s="70"/>
      <c r="D1604" s="71"/>
    </row>
    <row r="1605" spans="2:4" x14ac:dyDescent="0.15">
      <c r="B1605" s="69"/>
      <c r="C1605" s="70"/>
      <c r="D1605" s="71"/>
    </row>
    <row r="1606" spans="2:4" x14ac:dyDescent="0.15">
      <c r="B1606" s="69"/>
      <c r="C1606" s="70"/>
      <c r="D1606" s="71"/>
    </row>
    <row r="1607" spans="2:4" x14ac:dyDescent="0.15">
      <c r="B1607" s="69"/>
      <c r="C1607" s="70"/>
      <c r="D1607" s="71"/>
    </row>
    <row r="1608" spans="2:4" x14ac:dyDescent="0.15">
      <c r="B1608" s="69"/>
      <c r="C1608" s="70"/>
      <c r="D1608" s="71"/>
    </row>
    <row r="1609" spans="2:4" x14ac:dyDescent="0.15">
      <c r="B1609" s="69"/>
      <c r="C1609" s="70"/>
      <c r="D1609" s="71"/>
    </row>
    <row r="1610" spans="2:4" x14ac:dyDescent="0.15">
      <c r="B1610" s="69"/>
      <c r="C1610" s="70"/>
      <c r="D1610" s="71"/>
    </row>
    <row r="1611" spans="2:4" x14ac:dyDescent="0.15">
      <c r="B1611" s="69"/>
      <c r="C1611" s="70"/>
      <c r="D1611" s="71"/>
    </row>
    <row r="1612" spans="2:4" x14ac:dyDescent="0.15">
      <c r="B1612" s="69"/>
      <c r="C1612" s="70"/>
      <c r="D1612" s="71"/>
    </row>
    <row r="1613" spans="2:4" x14ac:dyDescent="0.15">
      <c r="B1613" s="69"/>
      <c r="C1613" s="70"/>
      <c r="D1613" s="71"/>
    </row>
    <row r="1614" spans="2:4" x14ac:dyDescent="0.15">
      <c r="B1614" s="69"/>
      <c r="C1614" s="70"/>
      <c r="D1614" s="71"/>
    </row>
    <row r="1615" spans="2:4" x14ac:dyDescent="0.15">
      <c r="B1615" s="69"/>
      <c r="C1615" s="70"/>
      <c r="D1615" s="71"/>
    </row>
    <row r="1616" spans="2:4" x14ac:dyDescent="0.15">
      <c r="B1616" s="69"/>
      <c r="C1616" s="70"/>
      <c r="D1616" s="71"/>
    </row>
    <row r="1617" spans="2:4" x14ac:dyDescent="0.15">
      <c r="B1617" s="69"/>
      <c r="C1617" s="70"/>
      <c r="D1617" s="71"/>
    </row>
    <row r="1618" spans="2:4" x14ac:dyDescent="0.15">
      <c r="B1618" s="69"/>
      <c r="C1618" s="70"/>
      <c r="D1618" s="71"/>
    </row>
    <row r="1619" spans="2:4" x14ac:dyDescent="0.15">
      <c r="B1619" s="69"/>
      <c r="C1619" s="70"/>
      <c r="D1619" s="71"/>
    </row>
    <row r="1620" spans="2:4" x14ac:dyDescent="0.15">
      <c r="B1620" s="69"/>
      <c r="C1620" s="70"/>
      <c r="D1620" s="71"/>
    </row>
    <row r="1621" spans="2:4" x14ac:dyDescent="0.15">
      <c r="B1621" s="69"/>
      <c r="C1621" s="70"/>
      <c r="D1621" s="71"/>
    </row>
    <row r="1622" spans="2:4" x14ac:dyDescent="0.15">
      <c r="B1622" s="69"/>
      <c r="C1622" s="70"/>
      <c r="D1622" s="71"/>
    </row>
    <row r="1623" spans="2:4" x14ac:dyDescent="0.15">
      <c r="B1623" s="69"/>
      <c r="C1623" s="70"/>
      <c r="D1623" s="71"/>
    </row>
    <row r="1624" spans="2:4" x14ac:dyDescent="0.15">
      <c r="B1624" s="69"/>
      <c r="C1624" s="70"/>
      <c r="D1624" s="71"/>
    </row>
    <row r="1625" spans="2:4" x14ac:dyDescent="0.15">
      <c r="B1625" s="69"/>
      <c r="C1625" s="70"/>
      <c r="D1625" s="71"/>
    </row>
    <row r="1626" spans="2:4" x14ac:dyDescent="0.15">
      <c r="B1626" s="69"/>
      <c r="C1626" s="70"/>
      <c r="D1626" s="71"/>
    </row>
    <row r="1627" spans="2:4" x14ac:dyDescent="0.15">
      <c r="B1627" s="69"/>
      <c r="C1627" s="70"/>
      <c r="D1627" s="71"/>
    </row>
    <row r="1628" spans="2:4" x14ac:dyDescent="0.15">
      <c r="B1628" s="69"/>
      <c r="C1628" s="70"/>
      <c r="D1628" s="71"/>
    </row>
    <row r="1629" spans="2:4" x14ac:dyDescent="0.15">
      <c r="B1629" s="69"/>
      <c r="C1629" s="70"/>
      <c r="D1629" s="71"/>
    </row>
    <row r="1630" spans="2:4" x14ac:dyDescent="0.15">
      <c r="B1630" s="69"/>
      <c r="C1630" s="70"/>
      <c r="D1630" s="71"/>
    </row>
    <row r="1631" spans="2:4" x14ac:dyDescent="0.15">
      <c r="B1631" s="69"/>
      <c r="C1631" s="70"/>
      <c r="D1631" s="71"/>
    </row>
    <row r="1632" spans="2:4" x14ac:dyDescent="0.15">
      <c r="B1632" s="69"/>
      <c r="C1632" s="70"/>
      <c r="D1632" s="71"/>
    </row>
    <row r="1633" spans="2:4" x14ac:dyDescent="0.15">
      <c r="B1633" s="69"/>
      <c r="C1633" s="70"/>
      <c r="D1633" s="71"/>
    </row>
    <row r="1634" spans="2:4" x14ac:dyDescent="0.15">
      <c r="B1634" s="69"/>
      <c r="C1634" s="70"/>
      <c r="D1634" s="71"/>
    </row>
    <row r="1635" spans="2:4" x14ac:dyDescent="0.15">
      <c r="B1635" s="69"/>
      <c r="C1635" s="70"/>
      <c r="D1635" s="71"/>
    </row>
    <row r="1636" spans="2:4" x14ac:dyDescent="0.15">
      <c r="B1636" s="69"/>
      <c r="C1636" s="70"/>
      <c r="D1636" s="71"/>
    </row>
    <row r="1637" spans="2:4" x14ac:dyDescent="0.15">
      <c r="B1637" s="69"/>
      <c r="C1637" s="70"/>
      <c r="D1637" s="71"/>
    </row>
    <row r="1638" spans="2:4" x14ac:dyDescent="0.15">
      <c r="B1638" s="69"/>
      <c r="C1638" s="70"/>
      <c r="D1638" s="71"/>
    </row>
    <row r="1639" spans="2:4" x14ac:dyDescent="0.15">
      <c r="B1639" s="69"/>
      <c r="C1639" s="70"/>
      <c r="D1639" s="71"/>
    </row>
    <row r="1640" spans="2:4" x14ac:dyDescent="0.15">
      <c r="B1640" s="69"/>
      <c r="C1640" s="70"/>
      <c r="D1640" s="71"/>
    </row>
    <row r="1641" spans="2:4" x14ac:dyDescent="0.15">
      <c r="B1641" s="69"/>
      <c r="C1641" s="70"/>
      <c r="D1641" s="71"/>
    </row>
    <row r="1642" spans="2:4" x14ac:dyDescent="0.15">
      <c r="B1642" s="69"/>
      <c r="C1642" s="70"/>
      <c r="D1642" s="71"/>
    </row>
    <row r="1643" spans="2:4" x14ac:dyDescent="0.15">
      <c r="B1643" s="69"/>
      <c r="C1643" s="70"/>
      <c r="D1643" s="71"/>
    </row>
    <row r="1644" spans="2:4" x14ac:dyDescent="0.15">
      <c r="B1644" s="69"/>
      <c r="C1644" s="70"/>
      <c r="D1644" s="71"/>
    </row>
    <row r="1645" spans="2:4" x14ac:dyDescent="0.15">
      <c r="B1645" s="69"/>
      <c r="C1645" s="70"/>
      <c r="D1645" s="71"/>
    </row>
    <row r="1646" spans="2:4" x14ac:dyDescent="0.15">
      <c r="B1646" s="69"/>
      <c r="C1646" s="70"/>
      <c r="D1646" s="71"/>
    </row>
    <row r="1647" spans="2:4" x14ac:dyDescent="0.15">
      <c r="B1647" s="69"/>
      <c r="C1647" s="70"/>
      <c r="D1647" s="71"/>
    </row>
    <row r="1648" spans="2:4" x14ac:dyDescent="0.15">
      <c r="B1648" s="69"/>
      <c r="C1648" s="70"/>
      <c r="D1648" s="71"/>
    </row>
    <row r="1649" spans="2:4" x14ac:dyDescent="0.15">
      <c r="B1649" s="69"/>
      <c r="C1649" s="70"/>
      <c r="D1649" s="71"/>
    </row>
    <row r="1650" spans="2:4" x14ac:dyDescent="0.15">
      <c r="B1650" s="69"/>
      <c r="C1650" s="70"/>
      <c r="D1650" s="71"/>
    </row>
    <row r="1651" spans="2:4" x14ac:dyDescent="0.15">
      <c r="B1651" s="69"/>
      <c r="C1651" s="70"/>
      <c r="D1651" s="71"/>
    </row>
    <row r="1652" spans="2:4" x14ac:dyDescent="0.15">
      <c r="B1652" s="69"/>
      <c r="C1652" s="70"/>
      <c r="D1652" s="71"/>
    </row>
    <row r="1653" spans="2:4" x14ac:dyDescent="0.15">
      <c r="B1653" s="69"/>
      <c r="C1653" s="70"/>
      <c r="D1653" s="71"/>
    </row>
    <row r="1654" spans="2:4" x14ac:dyDescent="0.15">
      <c r="B1654" s="69"/>
      <c r="C1654" s="70"/>
      <c r="D1654" s="71"/>
    </row>
    <row r="1655" spans="2:4" x14ac:dyDescent="0.15">
      <c r="B1655" s="69"/>
      <c r="C1655" s="70"/>
      <c r="D1655" s="71"/>
    </row>
    <row r="1656" spans="2:4" x14ac:dyDescent="0.15">
      <c r="B1656" s="69"/>
      <c r="C1656" s="70"/>
      <c r="D1656" s="71"/>
    </row>
    <row r="1657" spans="2:4" x14ac:dyDescent="0.15">
      <c r="B1657" s="69"/>
      <c r="C1657" s="70"/>
      <c r="D1657" s="71"/>
    </row>
    <row r="1658" spans="2:4" x14ac:dyDescent="0.15">
      <c r="B1658" s="69"/>
      <c r="C1658" s="70"/>
      <c r="D1658" s="71"/>
    </row>
    <row r="1659" spans="2:4" x14ac:dyDescent="0.15">
      <c r="B1659" s="69"/>
      <c r="C1659" s="70"/>
      <c r="D1659" s="71"/>
    </row>
    <row r="1660" spans="2:4" x14ac:dyDescent="0.15">
      <c r="B1660" s="69"/>
      <c r="C1660" s="70"/>
      <c r="D1660" s="71"/>
    </row>
    <row r="1661" spans="2:4" x14ac:dyDescent="0.15">
      <c r="B1661" s="69"/>
      <c r="C1661" s="70"/>
      <c r="D1661" s="71"/>
    </row>
    <row r="1662" spans="2:4" x14ac:dyDescent="0.15">
      <c r="B1662" s="69"/>
      <c r="C1662" s="70"/>
      <c r="D1662" s="71"/>
    </row>
    <row r="1663" spans="2:4" x14ac:dyDescent="0.15">
      <c r="B1663" s="69"/>
      <c r="C1663" s="70"/>
      <c r="D1663" s="71"/>
    </row>
    <row r="1664" spans="2:4" x14ac:dyDescent="0.15">
      <c r="B1664" s="69"/>
      <c r="C1664" s="70"/>
      <c r="D1664" s="71"/>
    </row>
    <row r="1665" spans="2:4" x14ac:dyDescent="0.15">
      <c r="B1665" s="69"/>
      <c r="C1665" s="70"/>
      <c r="D1665" s="71"/>
    </row>
    <row r="1666" spans="2:4" x14ac:dyDescent="0.15">
      <c r="B1666" s="69"/>
      <c r="C1666" s="70"/>
      <c r="D1666" s="71"/>
    </row>
    <row r="1667" spans="2:4" x14ac:dyDescent="0.15">
      <c r="B1667" s="69"/>
      <c r="C1667" s="70"/>
      <c r="D1667" s="71"/>
    </row>
    <row r="1668" spans="2:4" x14ac:dyDescent="0.15">
      <c r="B1668" s="69"/>
      <c r="C1668" s="70"/>
      <c r="D1668" s="71"/>
    </row>
    <row r="1669" spans="2:4" x14ac:dyDescent="0.15">
      <c r="B1669" s="69"/>
      <c r="C1669" s="70"/>
      <c r="D1669" s="71"/>
    </row>
    <row r="1670" spans="2:4" x14ac:dyDescent="0.15">
      <c r="B1670" s="69"/>
      <c r="C1670" s="70"/>
      <c r="D1670" s="71"/>
    </row>
    <row r="1671" spans="2:4" x14ac:dyDescent="0.15">
      <c r="B1671" s="69"/>
      <c r="C1671" s="70"/>
      <c r="D1671" s="71"/>
    </row>
    <row r="1672" spans="2:4" x14ac:dyDescent="0.15">
      <c r="B1672" s="69"/>
      <c r="C1672" s="70"/>
      <c r="D1672" s="71"/>
    </row>
    <row r="1673" spans="2:4" x14ac:dyDescent="0.15">
      <c r="B1673" s="69"/>
      <c r="C1673" s="70"/>
      <c r="D1673" s="71"/>
    </row>
    <row r="1674" spans="2:4" x14ac:dyDescent="0.15">
      <c r="B1674" s="69"/>
      <c r="C1674" s="70"/>
      <c r="D1674" s="71"/>
    </row>
    <row r="1675" spans="2:4" x14ac:dyDescent="0.15">
      <c r="B1675" s="69"/>
      <c r="C1675" s="70"/>
      <c r="D1675" s="71"/>
    </row>
    <row r="1676" spans="2:4" x14ac:dyDescent="0.15">
      <c r="B1676" s="69"/>
      <c r="C1676" s="70"/>
      <c r="D1676" s="71"/>
    </row>
    <row r="1677" spans="2:4" x14ac:dyDescent="0.15">
      <c r="B1677" s="69"/>
      <c r="C1677" s="70"/>
      <c r="D1677" s="71"/>
    </row>
    <row r="1678" spans="2:4" x14ac:dyDescent="0.15">
      <c r="B1678" s="69"/>
      <c r="C1678" s="70"/>
      <c r="D1678" s="71"/>
    </row>
    <row r="1679" spans="2:4" x14ac:dyDescent="0.15">
      <c r="B1679" s="69"/>
      <c r="C1679" s="70"/>
      <c r="D1679" s="71"/>
    </row>
    <row r="1680" spans="2:4" x14ac:dyDescent="0.15">
      <c r="B1680" s="69"/>
      <c r="C1680" s="70"/>
      <c r="D1680" s="71"/>
    </row>
    <row r="1681" spans="2:4" x14ac:dyDescent="0.15">
      <c r="B1681" s="69"/>
      <c r="C1681" s="70"/>
      <c r="D1681" s="71"/>
    </row>
    <row r="1682" spans="2:4" x14ac:dyDescent="0.15">
      <c r="B1682" s="69"/>
      <c r="C1682" s="70"/>
      <c r="D1682" s="71"/>
    </row>
    <row r="1683" spans="2:4" x14ac:dyDescent="0.15">
      <c r="B1683" s="69"/>
      <c r="C1683" s="70"/>
      <c r="D1683" s="71"/>
    </row>
    <row r="1684" spans="2:4" x14ac:dyDescent="0.15">
      <c r="B1684" s="69"/>
      <c r="C1684" s="70"/>
      <c r="D1684" s="71"/>
    </row>
    <row r="1685" spans="2:4" x14ac:dyDescent="0.15">
      <c r="B1685" s="69"/>
      <c r="C1685" s="70"/>
      <c r="D1685" s="71"/>
    </row>
    <row r="1686" spans="2:4" x14ac:dyDescent="0.15">
      <c r="B1686" s="69"/>
      <c r="C1686" s="70"/>
      <c r="D1686" s="71"/>
    </row>
    <row r="1687" spans="2:4" x14ac:dyDescent="0.15">
      <c r="B1687" s="69"/>
      <c r="C1687" s="70"/>
      <c r="D1687" s="71"/>
    </row>
    <row r="1688" spans="2:4" x14ac:dyDescent="0.15">
      <c r="B1688" s="69"/>
      <c r="C1688" s="70"/>
      <c r="D1688" s="71"/>
    </row>
    <row r="1689" spans="2:4" x14ac:dyDescent="0.15">
      <c r="B1689" s="69"/>
      <c r="C1689" s="70"/>
      <c r="D1689" s="71"/>
    </row>
    <row r="1690" spans="2:4" x14ac:dyDescent="0.15">
      <c r="B1690" s="69"/>
      <c r="C1690" s="70"/>
      <c r="D1690" s="71"/>
    </row>
    <row r="1691" spans="2:4" x14ac:dyDescent="0.15">
      <c r="B1691" s="69"/>
      <c r="C1691" s="70"/>
      <c r="D1691" s="71"/>
    </row>
    <row r="1692" spans="2:4" x14ac:dyDescent="0.15">
      <c r="B1692" s="69"/>
      <c r="C1692" s="70"/>
      <c r="D1692" s="71"/>
    </row>
    <row r="1693" spans="2:4" x14ac:dyDescent="0.15">
      <c r="B1693" s="69"/>
      <c r="C1693" s="70"/>
      <c r="D1693" s="71"/>
    </row>
    <row r="1694" spans="2:4" x14ac:dyDescent="0.15">
      <c r="B1694" s="69"/>
      <c r="C1694" s="70"/>
      <c r="D1694" s="71"/>
    </row>
    <row r="1695" spans="2:4" x14ac:dyDescent="0.15">
      <c r="B1695" s="69"/>
      <c r="C1695" s="70"/>
      <c r="D1695" s="71"/>
    </row>
    <row r="1696" spans="2:4" x14ac:dyDescent="0.15">
      <c r="B1696" s="69"/>
      <c r="C1696" s="70"/>
      <c r="D1696" s="71"/>
    </row>
    <row r="1697" spans="2:4" x14ac:dyDescent="0.15">
      <c r="B1697" s="69"/>
      <c r="C1697" s="70"/>
      <c r="D1697" s="71"/>
    </row>
    <row r="1698" spans="2:4" x14ac:dyDescent="0.15">
      <c r="B1698" s="69"/>
      <c r="C1698" s="70"/>
      <c r="D1698" s="71"/>
    </row>
    <row r="1699" spans="2:4" x14ac:dyDescent="0.15">
      <c r="B1699" s="69"/>
      <c r="C1699" s="70"/>
      <c r="D1699" s="71"/>
    </row>
    <row r="1700" spans="2:4" x14ac:dyDescent="0.15">
      <c r="B1700" s="69"/>
      <c r="C1700" s="70"/>
      <c r="D1700" s="71"/>
    </row>
    <row r="1701" spans="2:4" x14ac:dyDescent="0.15">
      <c r="B1701" s="69"/>
      <c r="C1701" s="70"/>
      <c r="D1701" s="71"/>
    </row>
    <row r="1702" spans="2:4" x14ac:dyDescent="0.15">
      <c r="B1702" s="69"/>
      <c r="C1702" s="70"/>
      <c r="D1702" s="71"/>
    </row>
    <row r="1703" spans="2:4" x14ac:dyDescent="0.15">
      <c r="B1703" s="69"/>
      <c r="C1703" s="70"/>
      <c r="D1703" s="71"/>
    </row>
    <row r="1704" spans="2:4" x14ac:dyDescent="0.15">
      <c r="B1704" s="69"/>
      <c r="C1704" s="70"/>
      <c r="D1704" s="71"/>
    </row>
    <row r="1705" spans="2:4" x14ac:dyDescent="0.15">
      <c r="B1705" s="69"/>
      <c r="C1705" s="70"/>
      <c r="D1705" s="71"/>
    </row>
    <row r="1706" spans="2:4" x14ac:dyDescent="0.15">
      <c r="B1706" s="69"/>
      <c r="C1706" s="70"/>
      <c r="D1706" s="71"/>
    </row>
    <row r="1707" spans="2:4" x14ac:dyDescent="0.15">
      <c r="B1707" s="69"/>
      <c r="C1707" s="70"/>
      <c r="D1707" s="71"/>
    </row>
    <row r="1708" spans="2:4" x14ac:dyDescent="0.15">
      <c r="B1708" s="69"/>
      <c r="C1708" s="70"/>
      <c r="D1708" s="71"/>
    </row>
    <row r="1709" spans="2:4" x14ac:dyDescent="0.15">
      <c r="B1709" s="69"/>
      <c r="C1709" s="70"/>
      <c r="D1709" s="71"/>
    </row>
    <row r="1710" spans="2:4" x14ac:dyDescent="0.15">
      <c r="B1710" s="69"/>
      <c r="C1710" s="70"/>
      <c r="D1710" s="71"/>
    </row>
    <row r="1711" spans="2:4" x14ac:dyDescent="0.15">
      <c r="B1711" s="69"/>
      <c r="C1711" s="70"/>
      <c r="D1711" s="71"/>
    </row>
    <row r="1712" spans="2:4" x14ac:dyDescent="0.15">
      <c r="B1712" s="69"/>
      <c r="C1712" s="70"/>
      <c r="D1712" s="71"/>
    </row>
    <row r="1713" spans="2:4" x14ac:dyDescent="0.15">
      <c r="B1713" s="69"/>
      <c r="C1713" s="70"/>
      <c r="D1713" s="71"/>
    </row>
    <row r="1714" spans="2:4" x14ac:dyDescent="0.15">
      <c r="B1714" s="69"/>
      <c r="C1714" s="70"/>
      <c r="D1714" s="71"/>
    </row>
    <row r="1715" spans="2:4" x14ac:dyDescent="0.15">
      <c r="B1715" s="69"/>
      <c r="C1715" s="70"/>
      <c r="D1715" s="71"/>
    </row>
    <row r="1716" spans="2:4" x14ac:dyDescent="0.15">
      <c r="B1716" s="69"/>
      <c r="C1716" s="70"/>
      <c r="D1716" s="71"/>
    </row>
    <row r="1717" spans="2:4" x14ac:dyDescent="0.15">
      <c r="B1717" s="69"/>
      <c r="C1717" s="70"/>
      <c r="D1717" s="71"/>
    </row>
    <row r="1718" spans="2:4" x14ac:dyDescent="0.15">
      <c r="B1718" s="69"/>
      <c r="C1718" s="70"/>
      <c r="D1718" s="71"/>
    </row>
    <row r="1719" spans="2:4" x14ac:dyDescent="0.15">
      <c r="B1719" s="69"/>
      <c r="C1719" s="70"/>
      <c r="D1719" s="71"/>
    </row>
    <row r="1720" spans="2:4" x14ac:dyDescent="0.15">
      <c r="B1720" s="69"/>
      <c r="C1720" s="70"/>
      <c r="D1720" s="71"/>
    </row>
    <row r="1721" spans="2:4" x14ac:dyDescent="0.15">
      <c r="B1721" s="69"/>
      <c r="C1721" s="70"/>
      <c r="D1721" s="71"/>
    </row>
    <row r="1722" spans="2:4" x14ac:dyDescent="0.15">
      <c r="B1722" s="69"/>
      <c r="C1722" s="70"/>
      <c r="D1722" s="71"/>
    </row>
    <row r="1723" spans="2:4" x14ac:dyDescent="0.15">
      <c r="B1723" s="69"/>
      <c r="C1723" s="70"/>
      <c r="D1723" s="71"/>
    </row>
    <row r="1724" spans="2:4" x14ac:dyDescent="0.15">
      <c r="B1724" s="69"/>
      <c r="C1724" s="70"/>
      <c r="D1724" s="71"/>
    </row>
    <row r="1725" spans="2:4" x14ac:dyDescent="0.15">
      <c r="B1725" s="69"/>
      <c r="C1725" s="70"/>
      <c r="D1725" s="71"/>
    </row>
    <row r="1726" spans="2:4" x14ac:dyDescent="0.15">
      <c r="B1726" s="69"/>
      <c r="C1726" s="70"/>
      <c r="D1726" s="71"/>
    </row>
    <row r="1727" spans="2:4" x14ac:dyDescent="0.15">
      <c r="B1727" s="69"/>
      <c r="C1727" s="70"/>
      <c r="D1727" s="71"/>
    </row>
    <row r="1728" spans="2:4" x14ac:dyDescent="0.15">
      <c r="B1728" s="69"/>
      <c r="C1728" s="70"/>
      <c r="D1728" s="71"/>
    </row>
    <row r="1729" spans="2:4" x14ac:dyDescent="0.15">
      <c r="B1729" s="69"/>
      <c r="C1729" s="70"/>
      <c r="D1729" s="71"/>
    </row>
    <row r="1730" spans="2:4" x14ac:dyDescent="0.15">
      <c r="B1730" s="69"/>
      <c r="C1730" s="70"/>
      <c r="D1730" s="71"/>
    </row>
    <row r="1731" spans="2:4" x14ac:dyDescent="0.15">
      <c r="B1731" s="69"/>
      <c r="C1731" s="70"/>
      <c r="D1731" s="71"/>
    </row>
    <row r="1732" spans="2:4" x14ac:dyDescent="0.15">
      <c r="B1732" s="69"/>
      <c r="C1732" s="70"/>
      <c r="D1732" s="71"/>
    </row>
    <row r="1733" spans="2:4" x14ac:dyDescent="0.15">
      <c r="B1733" s="69"/>
      <c r="C1733" s="70"/>
      <c r="D1733" s="71"/>
    </row>
    <row r="1734" spans="2:4" x14ac:dyDescent="0.15">
      <c r="B1734" s="69"/>
      <c r="C1734" s="70"/>
      <c r="D1734" s="71"/>
    </row>
    <row r="1735" spans="2:4" x14ac:dyDescent="0.15">
      <c r="B1735" s="69"/>
      <c r="C1735" s="70"/>
      <c r="D1735" s="71"/>
    </row>
    <row r="1736" spans="2:4" x14ac:dyDescent="0.15">
      <c r="B1736" s="69"/>
      <c r="C1736" s="70"/>
      <c r="D1736" s="71"/>
    </row>
    <row r="1737" spans="2:4" x14ac:dyDescent="0.15">
      <c r="B1737" s="69"/>
      <c r="C1737" s="70"/>
      <c r="D1737" s="71"/>
    </row>
    <row r="1738" spans="2:4" x14ac:dyDescent="0.15">
      <c r="B1738" s="69"/>
      <c r="C1738" s="70"/>
      <c r="D1738" s="71"/>
    </row>
    <row r="1739" spans="2:4" x14ac:dyDescent="0.15">
      <c r="B1739" s="69"/>
      <c r="C1739" s="70"/>
      <c r="D1739" s="71"/>
    </row>
    <row r="1740" spans="2:4" x14ac:dyDescent="0.15">
      <c r="B1740" s="69"/>
      <c r="C1740" s="70"/>
      <c r="D1740" s="71"/>
    </row>
    <row r="1741" spans="2:4" x14ac:dyDescent="0.15">
      <c r="B1741" s="69"/>
      <c r="C1741" s="70"/>
      <c r="D1741" s="71"/>
    </row>
    <row r="1742" spans="2:4" x14ac:dyDescent="0.15">
      <c r="B1742" s="69"/>
      <c r="C1742" s="70"/>
      <c r="D1742" s="71"/>
    </row>
    <row r="1743" spans="2:4" x14ac:dyDescent="0.15">
      <c r="B1743" s="69"/>
      <c r="C1743" s="70"/>
      <c r="D1743" s="71"/>
    </row>
    <row r="1744" spans="2:4" x14ac:dyDescent="0.15">
      <c r="B1744" s="69"/>
      <c r="C1744" s="70"/>
      <c r="D1744" s="71"/>
    </row>
    <row r="1745" spans="2:4" x14ac:dyDescent="0.15">
      <c r="B1745" s="69"/>
      <c r="C1745" s="70"/>
      <c r="D1745" s="71"/>
    </row>
    <row r="1746" spans="2:4" x14ac:dyDescent="0.15">
      <c r="B1746" s="69"/>
      <c r="C1746" s="70"/>
      <c r="D1746" s="71"/>
    </row>
    <row r="1747" spans="2:4" x14ac:dyDescent="0.15">
      <c r="B1747" s="69"/>
      <c r="C1747" s="70"/>
      <c r="D1747" s="71"/>
    </row>
    <row r="1748" spans="2:4" x14ac:dyDescent="0.15">
      <c r="B1748" s="69"/>
      <c r="C1748" s="70"/>
      <c r="D1748" s="71"/>
    </row>
    <row r="1749" spans="2:4" x14ac:dyDescent="0.15">
      <c r="B1749" s="69"/>
      <c r="C1749" s="70"/>
      <c r="D1749" s="71"/>
    </row>
    <row r="1750" spans="2:4" x14ac:dyDescent="0.15">
      <c r="B1750" s="69"/>
      <c r="C1750" s="70"/>
      <c r="D1750" s="71"/>
    </row>
    <row r="1751" spans="2:4" x14ac:dyDescent="0.15">
      <c r="B1751" s="69"/>
      <c r="C1751" s="70"/>
      <c r="D1751" s="71"/>
    </row>
    <row r="1752" spans="2:4" x14ac:dyDescent="0.15">
      <c r="B1752" s="69"/>
      <c r="C1752" s="70"/>
      <c r="D1752" s="71"/>
    </row>
    <row r="1753" spans="2:4" x14ac:dyDescent="0.15">
      <c r="B1753" s="69"/>
      <c r="C1753" s="70"/>
      <c r="D1753" s="71"/>
    </row>
    <row r="1754" spans="2:4" x14ac:dyDescent="0.15">
      <c r="B1754" s="69"/>
      <c r="C1754" s="70"/>
      <c r="D1754" s="71"/>
    </row>
    <row r="1755" spans="2:4" x14ac:dyDescent="0.15">
      <c r="B1755" s="69"/>
      <c r="C1755" s="70"/>
      <c r="D1755" s="71"/>
    </row>
    <row r="1756" spans="2:4" x14ac:dyDescent="0.15">
      <c r="B1756" s="69"/>
      <c r="C1756" s="70"/>
      <c r="D1756" s="71"/>
    </row>
    <row r="1757" spans="2:4" x14ac:dyDescent="0.15">
      <c r="B1757" s="69"/>
      <c r="C1757" s="70"/>
      <c r="D1757" s="71"/>
    </row>
    <row r="1758" spans="2:4" x14ac:dyDescent="0.15">
      <c r="B1758" s="69"/>
      <c r="C1758" s="70"/>
      <c r="D1758" s="71"/>
    </row>
    <row r="1759" spans="2:4" x14ac:dyDescent="0.15">
      <c r="B1759" s="69"/>
      <c r="C1759" s="70"/>
      <c r="D1759" s="71"/>
    </row>
    <row r="1760" spans="2:4" x14ac:dyDescent="0.15">
      <c r="B1760" s="69"/>
      <c r="C1760" s="70"/>
      <c r="D1760" s="71"/>
    </row>
    <row r="1761" spans="2:4" x14ac:dyDescent="0.15">
      <c r="B1761" s="69"/>
      <c r="C1761" s="70"/>
      <c r="D1761" s="71"/>
    </row>
    <row r="1762" spans="2:4" x14ac:dyDescent="0.15">
      <c r="B1762" s="69"/>
      <c r="C1762" s="70"/>
      <c r="D1762" s="71"/>
    </row>
    <row r="1763" spans="2:4" x14ac:dyDescent="0.15">
      <c r="B1763" s="69"/>
      <c r="C1763" s="70"/>
      <c r="D1763" s="71"/>
    </row>
    <row r="1764" spans="2:4" x14ac:dyDescent="0.15">
      <c r="B1764" s="69"/>
      <c r="C1764" s="70"/>
      <c r="D1764" s="71"/>
    </row>
    <row r="1765" spans="2:4" x14ac:dyDescent="0.15">
      <c r="B1765" s="69"/>
      <c r="C1765" s="70"/>
      <c r="D1765" s="71"/>
    </row>
    <row r="1766" spans="2:4" x14ac:dyDescent="0.15">
      <c r="B1766" s="69"/>
      <c r="C1766" s="70"/>
      <c r="D1766" s="71"/>
    </row>
    <row r="1767" spans="2:4" x14ac:dyDescent="0.15">
      <c r="B1767" s="69"/>
      <c r="C1767" s="70"/>
      <c r="D1767" s="71"/>
    </row>
    <row r="1768" spans="2:4" x14ac:dyDescent="0.15">
      <c r="B1768" s="69"/>
      <c r="C1768" s="70"/>
      <c r="D1768" s="71"/>
    </row>
    <row r="1769" spans="2:4" x14ac:dyDescent="0.15">
      <c r="B1769" s="69"/>
      <c r="C1769" s="70"/>
      <c r="D1769" s="71"/>
    </row>
    <row r="1770" spans="2:4" x14ac:dyDescent="0.15">
      <c r="B1770" s="69"/>
      <c r="C1770" s="70"/>
      <c r="D1770" s="71"/>
    </row>
    <row r="1771" spans="2:4" x14ac:dyDescent="0.15">
      <c r="B1771" s="69"/>
      <c r="C1771" s="70"/>
      <c r="D1771" s="71"/>
    </row>
    <row r="1772" spans="2:4" x14ac:dyDescent="0.15">
      <c r="B1772" s="69"/>
      <c r="C1772" s="70"/>
      <c r="D1772" s="71"/>
    </row>
    <row r="1773" spans="2:4" x14ac:dyDescent="0.15">
      <c r="B1773" s="69"/>
      <c r="C1773" s="70"/>
      <c r="D1773" s="71"/>
    </row>
    <row r="1774" spans="2:4" x14ac:dyDescent="0.15">
      <c r="B1774" s="69"/>
      <c r="C1774" s="70"/>
      <c r="D1774" s="71"/>
    </row>
    <row r="1775" spans="2:4" x14ac:dyDescent="0.15">
      <c r="B1775" s="69"/>
      <c r="C1775" s="70"/>
      <c r="D1775" s="71"/>
    </row>
    <row r="1776" spans="2:4" x14ac:dyDescent="0.15">
      <c r="B1776" s="69"/>
      <c r="C1776" s="70"/>
      <c r="D1776" s="71"/>
    </row>
    <row r="1777" spans="2:4" x14ac:dyDescent="0.15">
      <c r="B1777" s="69"/>
      <c r="C1777" s="70"/>
      <c r="D1777" s="71"/>
    </row>
    <row r="1778" spans="2:4" x14ac:dyDescent="0.15">
      <c r="B1778" s="69"/>
      <c r="C1778" s="70"/>
      <c r="D1778" s="71"/>
    </row>
    <row r="1779" spans="2:4" x14ac:dyDescent="0.15">
      <c r="B1779" s="69"/>
      <c r="C1779" s="70"/>
      <c r="D1779" s="71"/>
    </row>
    <row r="1780" spans="2:4" x14ac:dyDescent="0.15">
      <c r="B1780" s="69"/>
      <c r="C1780" s="70"/>
      <c r="D1780" s="71"/>
    </row>
    <row r="1781" spans="2:4" x14ac:dyDescent="0.15">
      <c r="B1781" s="69"/>
      <c r="C1781" s="70"/>
      <c r="D1781" s="71"/>
    </row>
    <row r="1782" spans="2:4" x14ac:dyDescent="0.15">
      <c r="B1782" s="69"/>
      <c r="C1782" s="70"/>
      <c r="D1782" s="71"/>
    </row>
    <row r="1783" spans="2:4" x14ac:dyDescent="0.15">
      <c r="B1783" s="69"/>
      <c r="C1783" s="70"/>
      <c r="D1783" s="71"/>
    </row>
    <row r="1784" spans="2:4" x14ac:dyDescent="0.15">
      <c r="B1784" s="69"/>
      <c r="C1784" s="70"/>
      <c r="D1784" s="71"/>
    </row>
    <row r="1785" spans="2:4" x14ac:dyDescent="0.15">
      <c r="B1785" s="69"/>
      <c r="C1785" s="70"/>
      <c r="D1785" s="71"/>
    </row>
    <row r="1786" spans="2:4" x14ac:dyDescent="0.15">
      <c r="B1786" s="69"/>
      <c r="C1786" s="70"/>
      <c r="D1786" s="71"/>
    </row>
    <row r="1787" spans="2:4" x14ac:dyDescent="0.15">
      <c r="B1787" s="69"/>
      <c r="C1787" s="70"/>
      <c r="D1787" s="71"/>
    </row>
    <row r="1788" spans="2:4" x14ac:dyDescent="0.15">
      <c r="B1788" s="69"/>
      <c r="C1788" s="70"/>
      <c r="D1788" s="71"/>
    </row>
    <row r="1789" spans="2:4" x14ac:dyDescent="0.15">
      <c r="B1789" s="69"/>
      <c r="C1789" s="70"/>
      <c r="D1789" s="71"/>
    </row>
    <row r="1790" spans="2:4" x14ac:dyDescent="0.15">
      <c r="B1790" s="69"/>
      <c r="C1790" s="70"/>
      <c r="D1790" s="71"/>
    </row>
    <row r="1791" spans="2:4" x14ac:dyDescent="0.15">
      <c r="B1791" s="69"/>
      <c r="C1791" s="70"/>
      <c r="D1791" s="71"/>
    </row>
    <row r="1792" spans="2:4" x14ac:dyDescent="0.15">
      <c r="B1792" s="69"/>
      <c r="C1792" s="70"/>
      <c r="D1792" s="71"/>
    </row>
    <row r="1793" spans="2:4" x14ac:dyDescent="0.15">
      <c r="B1793" s="69"/>
      <c r="C1793" s="70"/>
      <c r="D1793" s="71"/>
    </row>
    <row r="1794" spans="2:4" x14ac:dyDescent="0.15">
      <c r="B1794" s="69"/>
      <c r="C1794" s="70"/>
      <c r="D1794" s="71"/>
    </row>
    <row r="1795" spans="2:4" x14ac:dyDescent="0.15">
      <c r="B1795" s="69"/>
      <c r="C1795" s="70"/>
      <c r="D1795" s="71"/>
    </row>
    <row r="1796" spans="2:4" x14ac:dyDescent="0.15">
      <c r="B1796" s="69"/>
      <c r="C1796" s="70"/>
      <c r="D1796" s="71"/>
    </row>
    <row r="1797" spans="2:4" x14ac:dyDescent="0.15">
      <c r="B1797" s="69"/>
      <c r="C1797" s="70"/>
      <c r="D1797" s="71"/>
    </row>
    <row r="1798" spans="2:4" x14ac:dyDescent="0.15">
      <c r="B1798" s="69"/>
      <c r="C1798" s="70"/>
      <c r="D1798" s="71"/>
    </row>
    <row r="1799" spans="2:4" x14ac:dyDescent="0.15">
      <c r="B1799" s="69"/>
      <c r="C1799" s="70"/>
      <c r="D1799" s="71"/>
    </row>
    <row r="1800" spans="2:4" x14ac:dyDescent="0.15">
      <c r="B1800" s="69"/>
      <c r="C1800" s="70"/>
      <c r="D1800" s="71"/>
    </row>
    <row r="1801" spans="2:4" x14ac:dyDescent="0.15">
      <c r="B1801" s="69"/>
      <c r="C1801" s="70"/>
      <c r="D1801" s="71"/>
    </row>
    <row r="1802" spans="2:4" x14ac:dyDescent="0.15">
      <c r="B1802" s="69"/>
      <c r="C1802" s="70"/>
      <c r="D1802" s="71"/>
    </row>
    <row r="1803" spans="2:4" x14ac:dyDescent="0.15">
      <c r="B1803" s="69"/>
      <c r="C1803" s="70"/>
      <c r="D1803" s="71"/>
    </row>
    <row r="1804" spans="2:4" x14ac:dyDescent="0.15">
      <c r="B1804" s="69"/>
      <c r="C1804" s="70"/>
      <c r="D1804" s="71"/>
    </row>
    <row r="1805" spans="2:4" x14ac:dyDescent="0.15">
      <c r="B1805" s="69"/>
      <c r="C1805" s="70"/>
      <c r="D1805" s="71"/>
    </row>
    <row r="1806" spans="2:4" x14ac:dyDescent="0.15">
      <c r="B1806" s="69"/>
      <c r="C1806" s="70"/>
      <c r="D1806" s="71"/>
    </row>
    <row r="1807" spans="2:4" x14ac:dyDescent="0.15">
      <c r="B1807" s="69"/>
      <c r="C1807" s="70"/>
      <c r="D1807" s="71"/>
    </row>
    <row r="1808" spans="2:4" x14ac:dyDescent="0.15">
      <c r="B1808" s="69"/>
      <c r="C1808" s="70"/>
      <c r="D1808" s="71"/>
    </row>
    <row r="1809" spans="2:4" x14ac:dyDescent="0.15">
      <c r="B1809" s="69"/>
      <c r="C1809" s="70"/>
      <c r="D1809" s="71"/>
    </row>
    <row r="1810" spans="2:4" x14ac:dyDescent="0.15">
      <c r="B1810" s="69"/>
      <c r="C1810" s="70"/>
      <c r="D1810" s="71"/>
    </row>
    <row r="1811" spans="2:4" x14ac:dyDescent="0.15">
      <c r="B1811" s="69"/>
      <c r="C1811" s="70"/>
      <c r="D1811" s="71"/>
    </row>
    <row r="1812" spans="2:4" x14ac:dyDescent="0.15">
      <c r="B1812" s="69"/>
      <c r="C1812" s="70"/>
      <c r="D1812" s="71"/>
    </row>
    <row r="1813" spans="2:4" x14ac:dyDescent="0.15">
      <c r="B1813" s="69"/>
      <c r="C1813" s="70"/>
      <c r="D1813" s="71"/>
    </row>
    <row r="1814" spans="2:4" x14ac:dyDescent="0.15">
      <c r="B1814" s="69"/>
      <c r="C1814" s="70"/>
      <c r="D1814" s="71"/>
    </row>
    <row r="1815" spans="2:4" x14ac:dyDescent="0.15">
      <c r="B1815" s="69"/>
      <c r="C1815" s="70"/>
      <c r="D1815" s="71"/>
    </row>
    <row r="1816" spans="2:4" x14ac:dyDescent="0.15">
      <c r="B1816" s="69"/>
      <c r="C1816" s="70"/>
      <c r="D1816" s="71"/>
    </row>
    <row r="1817" spans="2:4" x14ac:dyDescent="0.15">
      <c r="B1817" s="69"/>
      <c r="C1817" s="70"/>
      <c r="D1817" s="71"/>
    </row>
    <row r="1818" spans="2:4" x14ac:dyDescent="0.15">
      <c r="B1818" s="69"/>
      <c r="C1818" s="70"/>
      <c r="D1818" s="71"/>
    </row>
    <row r="1819" spans="2:4" x14ac:dyDescent="0.15">
      <c r="B1819" s="69"/>
      <c r="C1819" s="70"/>
      <c r="D1819" s="71"/>
    </row>
    <row r="1820" spans="2:4" x14ac:dyDescent="0.15">
      <c r="B1820" s="69"/>
      <c r="C1820" s="70"/>
      <c r="D1820" s="71"/>
    </row>
    <row r="1821" spans="2:4" x14ac:dyDescent="0.15">
      <c r="B1821" s="69"/>
      <c r="C1821" s="70"/>
      <c r="D1821" s="71"/>
    </row>
    <row r="1822" spans="2:4" x14ac:dyDescent="0.15">
      <c r="B1822" s="69"/>
      <c r="C1822" s="70"/>
      <c r="D1822" s="71"/>
    </row>
    <row r="1823" spans="2:4" x14ac:dyDescent="0.15">
      <c r="B1823" s="69"/>
      <c r="C1823" s="70"/>
      <c r="D1823" s="71"/>
    </row>
    <row r="1824" spans="2:4" x14ac:dyDescent="0.15">
      <c r="B1824" s="69"/>
      <c r="C1824" s="70"/>
      <c r="D1824" s="71"/>
    </row>
    <row r="1825" spans="2:4" x14ac:dyDescent="0.15">
      <c r="B1825" s="69"/>
      <c r="C1825" s="70"/>
      <c r="D1825" s="71"/>
    </row>
    <row r="1826" spans="2:4" x14ac:dyDescent="0.15">
      <c r="B1826" s="69"/>
      <c r="C1826" s="70"/>
      <c r="D1826" s="71"/>
    </row>
    <row r="1827" spans="2:4" x14ac:dyDescent="0.15">
      <c r="B1827" s="69"/>
      <c r="C1827" s="70"/>
      <c r="D1827" s="71"/>
    </row>
    <row r="1828" spans="2:4" x14ac:dyDescent="0.15">
      <c r="B1828" s="69"/>
      <c r="C1828" s="70"/>
      <c r="D1828" s="71"/>
    </row>
    <row r="1829" spans="2:4" x14ac:dyDescent="0.15">
      <c r="B1829" s="69"/>
      <c r="C1829" s="70"/>
      <c r="D1829" s="71"/>
    </row>
    <row r="1830" spans="2:4" x14ac:dyDescent="0.15">
      <c r="B1830" s="69"/>
      <c r="C1830" s="70"/>
      <c r="D1830" s="71"/>
    </row>
    <row r="1831" spans="2:4" x14ac:dyDescent="0.15">
      <c r="B1831" s="69"/>
      <c r="C1831" s="70"/>
      <c r="D1831" s="71"/>
    </row>
    <row r="1832" spans="2:4" x14ac:dyDescent="0.15">
      <c r="B1832" s="69"/>
      <c r="C1832" s="70"/>
      <c r="D1832" s="71"/>
    </row>
    <row r="1833" spans="2:4" x14ac:dyDescent="0.15">
      <c r="B1833" s="69"/>
      <c r="C1833" s="70"/>
      <c r="D1833" s="71"/>
    </row>
    <row r="1834" spans="2:4" x14ac:dyDescent="0.15">
      <c r="B1834" s="69"/>
      <c r="C1834" s="70"/>
      <c r="D1834" s="71"/>
    </row>
    <row r="1835" spans="2:4" x14ac:dyDescent="0.15">
      <c r="B1835" s="69"/>
      <c r="C1835" s="70"/>
      <c r="D1835" s="71"/>
    </row>
    <row r="1836" spans="2:4" x14ac:dyDescent="0.15">
      <c r="B1836" s="69"/>
      <c r="C1836" s="70"/>
      <c r="D1836" s="71"/>
    </row>
    <row r="1837" spans="2:4" x14ac:dyDescent="0.15">
      <c r="B1837" s="69"/>
      <c r="C1837" s="70"/>
      <c r="D1837" s="71"/>
    </row>
    <row r="1838" spans="2:4" x14ac:dyDescent="0.15">
      <c r="B1838" s="69"/>
      <c r="C1838" s="70"/>
      <c r="D1838" s="71"/>
    </row>
    <row r="1839" spans="2:4" x14ac:dyDescent="0.15">
      <c r="B1839" s="69"/>
      <c r="C1839" s="70"/>
      <c r="D1839" s="71"/>
    </row>
    <row r="1840" spans="2:4" x14ac:dyDescent="0.15">
      <c r="B1840" s="69"/>
      <c r="C1840" s="70"/>
      <c r="D1840" s="71"/>
    </row>
    <row r="1841" spans="2:4" x14ac:dyDescent="0.15">
      <c r="B1841" s="69"/>
      <c r="C1841" s="70"/>
      <c r="D1841" s="71"/>
    </row>
    <row r="1842" spans="2:4" x14ac:dyDescent="0.15">
      <c r="B1842" s="69"/>
      <c r="C1842" s="70"/>
      <c r="D1842" s="71"/>
    </row>
    <row r="1843" spans="2:4" x14ac:dyDescent="0.15">
      <c r="B1843" s="69"/>
      <c r="C1843" s="70"/>
      <c r="D1843" s="71"/>
    </row>
    <row r="1844" spans="2:4" x14ac:dyDescent="0.15">
      <c r="B1844" s="69"/>
      <c r="C1844" s="70"/>
      <c r="D1844" s="71"/>
    </row>
    <row r="1845" spans="2:4" x14ac:dyDescent="0.15">
      <c r="B1845" s="69"/>
      <c r="C1845" s="70"/>
      <c r="D1845" s="71"/>
    </row>
    <row r="1846" spans="2:4" x14ac:dyDescent="0.15">
      <c r="B1846" s="69"/>
      <c r="C1846" s="70"/>
      <c r="D1846" s="71"/>
    </row>
    <row r="1847" spans="2:4" x14ac:dyDescent="0.15">
      <c r="B1847" s="69"/>
      <c r="C1847" s="70"/>
      <c r="D1847" s="71"/>
    </row>
    <row r="1848" spans="2:4" x14ac:dyDescent="0.15">
      <c r="B1848" s="69"/>
      <c r="C1848" s="70"/>
      <c r="D1848" s="71"/>
    </row>
    <row r="1849" spans="2:4" x14ac:dyDescent="0.15">
      <c r="B1849" s="69"/>
      <c r="C1849" s="70"/>
      <c r="D1849" s="71"/>
    </row>
    <row r="1850" spans="2:4" x14ac:dyDescent="0.15">
      <c r="B1850" s="69"/>
      <c r="C1850" s="70"/>
      <c r="D1850" s="71"/>
    </row>
    <row r="1851" spans="2:4" x14ac:dyDescent="0.15">
      <c r="B1851" s="69"/>
      <c r="C1851" s="70"/>
      <c r="D1851" s="71"/>
    </row>
    <row r="1852" spans="2:4" x14ac:dyDescent="0.15">
      <c r="B1852" s="69"/>
      <c r="C1852" s="70"/>
      <c r="D1852" s="71"/>
    </row>
    <row r="1853" spans="2:4" x14ac:dyDescent="0.15">
      <c r="B1853" s="69"/>
      <c r="C1853" s="70"/>
      <c r="D1853" s="71"/>
    </row>
    <row r="1854" spans="2:4" x14ac:dyDescent="0.15">
      <c r="B1854" s="69"/>
      <c r="C1854" s="70"/>
      <c r="D1854" s="71"/>
    </row>
    <row r="1855" spans="2:4" x14ac:dyDescent="0.15">
      <c r="B1855" s="69"/>
      <c r="C1855" s="70"/>
      <c r="D1855" s="71"/>
    </row>
    <row r="1856" spans="2:4" x14ac:dyDescent="0.15">
      <c r="B1856" s="69"/>
      <c r="C1856" s="70"/>
      <c r="D1856" s="71"/>
    </row>
    <row r="1857" spans="2:4" x14ac:dyDescent="0.15">
      <c r="B1857" s="69"/>
      <c r="C1857" s="70"/>
      <c r="D1857" s="71"/>
    </row>
    <row r="1858" spans="2:4" x14ac:dyDescent="0.15">
      <c r="B1858" s="69"/>
      <c r="C1858" s="70"/>
      <c r="D1858" s="71"/>
    </row>
    <row r="1859" spans="2:4" x14ac:dyDescent="0.15">
      <c r="B1859" s="69"/>
      <c r="C1859" s="70"/>
      <c r="D1859" s="71"/>
    </row>
    <row r="1860" spans="2:4" x14ac:dyDescent="0.15">
      <c r="B1860" s="69"/>
      <c r="C1860" s="70"/>
      <c r="D1860" s="71"/>
    </row>
    <row r="1861" spans="2:4" x14ac:dyDescent="0.15">
      <c r="B1861" s="69"/>
      <c r="C1861" s="70"/>
      <c r="D1861" s="71"/>
    </row>
    <row r="1862" spans="2:4" x14ac:dyDescent="0.15">
      <c r="B1862" s="69"/>
      <c r="C1862" s="70"/>
      <c r="D1862" s="71"/>
    </row>
    <row r="1863" spans="2:4" x14ac:dyDescent="0.15">
      <c r="B1863" s="69"/>
      <c r="C1863" s="70"/>
      <c r="D1863" s="71"/>
    </row>
    <row r="1864" spans="2:4" x14ac:dyDescent="0.15">
      <c r="B1864" s="69"/>
      <c r="C1864" s="70"/>
      <c r="D1864" s="71"/>
    </row>
    <row r="1865" spans="2:4" x14ac:dyDescent="0.15">
      <c r="B1865" s="69"/>
      <c r="C1865" s="70"/>
      <c r="D1865" s="71"/>
    </row>
    <row r="1866" spans="2:4" x14ac:dyDescent="0.15">
      <c r="B1866" s="69"/>
      <c r="C1866" s="70"/>
      <c r="D1866" s="71"/>
    </row>
    <row r="1867" spans="2:4" x14ac:dyDescent="0.15">
      <c r="B1867" s="69"/>
      <c r="C1867" s="70"/>
      <c r="D1867" s="71"/>
    </row>
    <row r="1868" spans="2:4" x14ac:dyDescent="0.15">
      <c r="B1868" s="69"/>
      <c r="C1868" s="70"/>
      <c r="D1868" s="71"/>
    </row>
    <row r="1869" spans="2:4" x14ac:dyDescent="0.15">
      <c r="B1869" s="69"/>
      <c r="C1869" s="70"/>
      <c r="D1869" s="71"/>
    </row>
    <row r="1870" spans="2:4" x14ac:dyDescent="0.15">
      <c r="B1870" s="69"/>
      <c r="C1870" s="70"/>
      <c r="D1870" s="71"/>
    </row>
    <row r="1871" spans="2:4" x14ac:dyDescent="0.15">
      <c r="B1871" s="69"/>
      <c r="C1871" s="70"/>
      <c r="D1871" s="71"/>
    </row>
    <row r="1872" spans="2:4" x14ac:dyDescent="0.15">
      <c r="B1872" s="69"/>
      <c r="C1872" s="70"/>
      <c r="D1872" s="71"/>
    </row>
    <row r="1873" spans="2:4" x14ac:dyDescent="0.15">
      <c r="B1873" s="69"/>
      <c r="C1873" s="70"/>
      <c r="D1873" s="71"/>
    </row>
    <row r="1874" spans="2:4" x14ac:dyDescent="0.15">
      <c r="B1874" s="69"/>
      <c r="C1874" s="70"/>
      <c r="D1874" s="71"/>
    </row>
    <row r="1875" spans="2:4" x14ac:dyDescent="0.15">
      <c r="B1875" s="69"/>
      <c r="C1875" s="70"/>
      <c r="D1875" s="71"/>
    </row>
    <row r="1876" spans="2:4" x14ac:dyDescent="0.15">
      <c r="B1876" s="69"/>
      <c r="C1876" s="70"/>
      <c r="D1876" s="71"/>
    </row>
    <row r="1877" spans="2:4" x14ac:dyDescent="0.15">
      <c r="B1877" s="69"/>
      <c r="C1877" s="70"/>
      <c r="D1877" s="71"/>
    </row>
    <row r="1878" spans="2:4" x14ac:dyDescent="0.15">
      <c r="B1878" s="69"/>
      <c r="C1878" s="70"/>
      <c r="D1878" s="71"/>
    </row>
    <row r="1879" spans="2:4" x14ac:dyDescent="0.15">
      <c r="B1879" s="69"/>
      <c r="C1879" s="70"/>
      <c r="D1879" s="71"/>
    </row>
    <row r="1880" spans="2:4" x14ac:dyDescent="0.15">
      <c r="B1880" s="69"/>
      <c r="C1880" s="70"/>
      <c r="D1880" s="71"/>
    </row>
    <row r="1881" spans="2:4" x14ac:dyDescent="0.15">
      <c r="B1881" s="69"/>
      <c r="C1881" s="70"/>
      <c r="D1881" s="71"/>
    </row>
    <row r="1882" spans="2:4" x14ac:dyDescent="0.15">
      <c r="B1882" s="69"/>
      <c r="C1882" s="70"/>
      <c r="D1882" s="71"/>
    </row>
    <row r="1883" spans="2:4" x14ac:dyDescent="0.15">
      <c r="B1883" s="69"/>
      <c r="C1883" s="70"/>
      <c r="D1883" s="71"/>
    </row>
    <row r="1884" spans="2:4" x14ac:dyDescent="0.15">
      <c r="B1884" s="69"/>
      <c r="C1884" s="70"/>
      <c r="D1884" s="71"/>
    </row>
    <row r="1885" spans="2:4" x14ac:dyDescent="0.15">
      <c r="B1885" s="69"/>
      <c r="C1885" s="70"/>
      <c r="D1885" s="71"/>
    </row>
    <row r="1886" spans="2:4" x14ac:dyDescent="0.15">
      <c r="B1886" s="69"/>
      <c r="C1886" s="70"/>
      <c r="D1886" s="71"/>
    </row>
    <row r="1887" spans="2:4" x14ac:dyDescent="0.15">
      <c r="B1887" s="69"/>
      <c r="C1887" s="70"/>
      <c r="D1887" s="71"/>
    </row>
    <row r="1888" spans="2:4" x14ac:dyDescent="0.15">
      <c r="B1888" s="69"/>
      <c r="C1888" s="70"/>
      <c r="D1888" s="71"/>
    </row>
    <row r="1889" spans="2:4" x14ac:dyDescent="0.15">
      <c r="B1889" s="69"/>
      <c r="C1889" s="70"/>
      <c r="D1889" s="71"/>
    </row>
    <row r="1890" spans="2:4" x14ac:dyDescent="0.15">
      <c r="B1890" s="69"/>
      <c r="C1890" s="70"/>
      <c r="D1890" s="71"/>
    </row>
    <row r="1891" spans="2:4" x14ac:dyDescent="0.15">
      <c r="B1891" s="69"/>
      <c r="C1891" s="70"/>
      <c r="D1891" s="71"/>
    </row>
    <row r="1892" spans="2:4" x14ac:dyDescent="0.15">
      <c r="B1892" s="69"/>
      <c r="C1892" s="70"/>
      <c r="D1892" s="71"/>
    </row>
    <row r="1893" spans="2:4" x14ac:dyDescent="0.15">
      <c r="B1893" s="69"/>
      <c r="C1893" s="70"/>
      <c r="D1893" s="71"/>
    </row>
    <row r="1894" spans="2:4" x14ac:dyDescent="0.15">
      <c r="B1894" s="69"/>
      <c r="C1894" s="70"/>
      <c r="D1894" s="71"/>
    </row>
    <row r="1895" spans="2:4" x14ac:dyDescent="0.15">
      <c r="B1895" s="69"/>
      <c r="C1895" s="70"/>
      <c r="D1895" s="71"/>
    </row>
    <row r="1896" spans="2:4" x14ac:dyDescent="0.15">
      <c r="B1896" s="69"/>
      <c r="C1896" s="70"/>
      <c r="D1896" s="71"/>
    </row>
    <row r="1897" spans="2:4" x14ac:dyDescent="0.15">
      <c r="B1897" s="69"/>
      <c r="C1897" s="70"/>
      <c r="D1897" s="71"/>
    </row>
    <row r="1898" spans="2:4" x14ac:dyDescent="0.15">
      <c r="B1898" s="69"/>
      <c r="C1898" s="70"/>
      <c r="D1898" s="71"/>
    </row>
    <row r="1899" spans="2:4" x14ac:dyDescent="0.15">
      <c r="B1899" s="69"/>
      <c r="C1899" s="70"/>
      <c r="D1899" s="71"/>
    </row>
    <row r="1900" spans="2:4" x14ac:dyDescent="0.15">
      <c r="B1900" s="69"/>
      <c r="C1900" s="70"/>
      <c r="D1900" s="71"/>
    </row>
    <row r="1901" spans="2:4" x14ac:dyDescent="0.15">
      <c r="B1901" s="69"/>
      <c r="C1901" s="70"/>
      <c r="D1901" s="71"/>
    </row>
    <row r="1902" spans="2:4" x14ac:dyDescent="0.15">
      <c r="B1902" s="69"/>
      <c r="C1902" s="70"/>
      <c r="D1902" s="71"/>
    </row>
    <row r="1903" spans="2:4" x14ac:dyDescent="0.15">
      <c r="B1903" s="69"/>
      <c r="C1903" s="70"/>
      <c r="D1903" s="71"/>
    </row>
    <row r="1904" spans="2:4" x14ac:dyDescent="0.15">
      <c r="B1904" s="69"/>
      <c r="C1904" s="70"/>
      <c r="D1904" s="71"/>
    </row>
    <row r="1905" spans="2:4" x14ac:dyDescent="0.15">
      <c r="B1905" s="69"/>
      <c r="C1905" s="70"/>
      <c r="D1905" s="71"/>
    </row>
    <row r="1906" spans="2:4" x14ac:dyDescent="0.15">
      <c r="B1906" s="69"/>
      <c r="C1906" s="70"/>
      <c r="D1906" s="71"/>
    </row>
    <row r="1907" spans="2:4" x14ac:dyDescent="0.15">
      <c r="B1907" s="69"/>
      <c r="C1907" s="70"/>
      <c r="D1907" s="71"/>
    </row>
    <row r="1908" spans="2:4" x14ac:dyDescent="0.15">
      <c r="B1908" s="69"/>
      <c r="C1908" s="70"/>
      <c r="D1908" s="71"/>
    </row>
    <row r="1909" spans="2:4" x14ac:dyDescent="0.15">
      <c r="B1909" s="69"/>
      <c r="C1909" s="70"/>
      <c r="D1909" s="71"/>
    </row>
    <row r="1910" spans="2:4" x14ac:dyDescent="0.15">
      <c r="B1910" s="69"/>
      <c r="C1910" s="70"/>
      <c r="D1910" s="71"/>
    </row>
    <row r="1911" spans="2:4" x14ac:dyDescent="0.15">
      <c r="B1911" s="69"/>
      <c r="C1911" s="70"/>
      <c r="D1911" s="71"/>
    </row>
    <row r="1912" spans="2:4" x14ac:dyDescent="0.15">
      <c r="B1912" s="69"/>
      <c r="C1912" s="70"/>
      <c r="D1912" s="71"/>
    </row>
    <row r="1913" spans="2:4" x14ac:dyDescent="0.15">
      <c r="B1913" s="69"/>
      <c r="C1913" s="70"/>
      <c r="D1913" s="71"/>
    </row>
    <row r="1914" spans="2:4" x14ac:dyDescent="0.15">
      <c r="B1914" s="69"/>
      <c r="C1914" s="70"/>
      <c r="D1914" s="71"/>
    </row>
    <row r="1915" spans="2:4" x14ac:dyDescent="0.15">
      <c r="B1915" s="69"/>
      <c r="C1915" s="70"/>
      <c r="D1915" s="71"/>
    </row>
    <row r="1916" spans="2:4" x14ac:dyDescent="0.15">
      <c r="B1916" s="69"/>
      <c r="C1916" s="70"/>
      <c r="D1916" s="71"/>
    </row>
    <row r="1917" spans="2:4" x14ac:dyDescent="0.15">
      <c r="B1917" s="69"/>
      <c r="C1917" s="70"/>
      <c r="D1917" s="71"/>
    </row>
    <row r="1918" spans="2:4" x14ac:dyDescent="0.15">
      <c r="B1918" s="69"/>
      <c r="C1918" s="70"/>
      <c r="D1918" s="71"/>
    </row>
    <row r="1919" spans="2:4" x14ac:dyDescent="0.15">
      <c r="B1919" s="69"/>
      <c r="C1919" s="70"/>
      <c r="D1919" s="71"/>
    </row>
    <row r="1920" spans="2:4" x14ac:dyDescent="0.15">
      <c r="B1920" s="69"/>
      <c r="C1920" s="70"/>
      <c r="D1920" s="71"/>
    </row>
    <row r="1921" spans="2:4" x14ac:dyDescent="0.15">
      <c r="B1921" s="69"/>
      <c r="C1921" s="70"/>
      <c r="D1921" s="71"/>
    </row>
    <row r="1922" spans="2:4" x14ac:dyDescent="0.15">
      <c r="B1922" s="69"/>
      <c r="C1922" s="70"/>
      <c r="D1922" s="71"/>
    </row>
    <row r="1923" spans="2:4" x14ac:dyDescent="0.15">
      <c r="B1923" s="69"/>
      <c r="C1923" s="70"/>
      <c r="D1923" s="71"/>
    </row>
    <row r="1924" spans="2:4" x14ac:dyDescent="0.15">
      <c r="B1924" s="69"/>
      <c r="C1924" s="70"/>
      <c r="D1924" s="71"/>
    </row>
    <row r="1925" spans="2:4" x14ac:dyDescent="0.15">
      <c r="B1925" s="69"/>
      <c r="C1925" s="70"/>
      <c r="D1925" s="71"/>
    </row>
    <row r="1926" spans="2:4" x14ac:dyDescent="0.15">
      <c r="B1926" s="69"/>
      <c r="C1926" s="70"/>
      <c r="D1926" s="71"/>
    </row>
    <row r="1927" spans="2:4" x14ac:dyDescent="0.15">
      <c r="B1927" s="69"/>
      <c r="C1927" s="70"/>
      <c r="D1927" s="71"/>
    </row>
    <row r="1928" spans="2:4" x14ac:dyDescent="0.15">
      <c r="B1928" s="69"/>
      <c r="C1928" s="70"/>
      <c r="D1928" s="71"/>
    </row>
    <row r="1929" spans="2:4" x14ac:dyDescent="0.15">
      <c r="B1929" s="69"/>
      <c r="C1929" s="70"/>
      <c r="D1929" s="71"/>
    </row>
    <row r="1930" spans="2:4" x14ac:dyDescent="0.15">
      <c r="B1930" s="69"/>
      <c r="C1930" s="70"/>
      <c r="D1930" s="71"/>
    </row>
    <row r="1931" spans="2:4" x14ac:dyDescent="0.15">
      <c r="B1931" s="69"/>
      <c r="C1931" s="70"/>
      <c r="D1931" s="71"/>
    </row>
    <row r="1932" spans="2:4" x14ac:dyDescent="0.15">
      <c r="B1932" s="69"/>
      <c r="C1932" s="70"/>
      <c r="D1932" s="71"/>
    </row>
    <row r="1933" spans="2:4" x14ac:dyDescent="0.15">
      <c r="B1933" s="69"/>
      <c r="C1933" s="70"/>
      <c r="D1933" s="71"/>
    </row>
    <row r="1934" spans="2:4" x14ac:dyDescent="0.15">
      <c r="B1934" s="69"/>
      <c r="C1934" s="70"/>
      <c r="D1934" s="71"/>
    </row>
    <row r="1935" spans="2:4" x14ac:dyDescent="0.15">
      <c r="B1935" s="69"/>
      <c r="C1935" s="70"/>
      <c r="D1935" s="71"/>
    </row>
    <row r="1936" spans="2:4" x14ac:dyDescent="0.15">
      <c r="B1936" s="69"/>
      <c r="C1936" s="70"/>
      <c r="D1936" s="71"/>
    </row>
    <row r="1937" spans="2:4" x14ac:dyDescent="0.15">
      <c r="B1937" s="69"/>
      <c r="C1937" s="70"/>
      <c r="D1937" s="71"/>
    </row>
    <row r="1938" spans="2:4" x14ac:dyDescent="0.15">
      <c r="B1938" s="69"/>
      <c r="C1938" s="70"/>
      <c r="D1938" s="71"/>
    </row>
    <row r="1939" spans="2:4" x14ac:dyDescent="0.15">
      <c r="B1939" s="69"/>
      <c r="C1939" s="70"/>
      <c r="D1939" s="71"/>
    </row>
    <row r="1940" spans="2:4" x14ac:dyDescent="0.15">
      <c r="B1940" s="69"/>
      <c r="C1940" s="70"/>
      <c r="D1940" s="71"/>
    </row>
    <row r="1941" spans="2:4" x14ac:dyDescent="0.15">
      <c r="B1941" s="69"/>
      <c r="C1941" s="70"/>
      <c r="D1941" s="71"/>
    </row>
    <row r="1942" spans="2:4" x14ac:dyDescent="0.15">
      <c r="B1942" s="69"/>
      <c r="C1942" s="70"/>
      <c r="D1942" s="71"/>
    </row>
    <row r="1943" spans="2:4" x14ac:dyDescent="0.15">
      <c r="B1943" s="69"/>
      <c r="C1943" s="70"/>
      <c r="D1943" s="71"/>
    </row>
    <row r="1944" spans="2:4" x14ac:dyDescent="0.15">
      <c r="B1944" s="69"/>
      <c r="C1944" s="70"/>
      <c r="D1944" s="71"/>
    </row>
    <row r="1945" spans="2:4" x14ac:dyDescent="0.15">
      <c r="B1945" s="69"/>
      <c r="C1945" s="70"/>
      <c r="D1945" s="71"/>
    </row>
    <row r="1946" spans="2:4" x14ac:dyDescent="0.15">
      <c r="B1946" s="69"/>
      <c r="C1946" s="70"/>
      <c r="D1946" s="71"/>
    </row>
    <row r="1947" spans="2:4" x14ac:dyDescent="0.15">
      <c r="B1947" s="69"/>
      <c r="C1947" s="70"/>
      <c r="D1947" s="71"/>
    </row>
    <row r="1948" spans="2:4" x14ac:dyDescent="0.15">
      <c r="B1948" s="69"/>
      <c r="C1948" s="70"/>
      <c r="D1948" s="71"/>
    </row>
    <row r="1949" spans="2:4" x14ac:dyDescent="0.15">
      <c r="B1949" s="69"/>
      <c r="C1949" s="70"/>
      <c r="D1949" s="71"/>
    </row>
    <row r="1950" spans="2:4" x14ac:dyDescent="0.15">
      <c r="B1950" s="69"/>
      <c r="C1950" s="70"/>
      <c r="D1950" s="71"/>
    </row>
    <row r="1951" spans="2:4" x14ac:dyDescent="0.15">
      <c r="B1951" s="69"/>
      <c r="C1951" s="70"/>
      <c r="D1951" s="71"/>
    </row>
    <row r="1952" spans="2:4" x14ac:dyDescent="0.15">
      <c r="B1952" s="69"/>
      <c r="C1952" s="70"/>
      <c r="D1952" s="71"/>
    </row>
    <row r="1953" spans="2:4" x14ac:dyDescent="0.15">
      <c r="B1953" s="69"/>
      <c r="C1953" s="70"/>
      <c r="D1953" s="71"/>
    </row>
    <row r="1954" spans="2:4" x14ac:dyDescent="0.15">
      <c r="B1954" s="69"/>
      <c r="C1954" s="70"/>
      <c r="D1954" s="71"/>
    </row>
    <row r="1955" spans="2:4" x14ac:dyDescent="0.15">
      <c r="B1955" s="69"/>
      <c r="C1955" s="70"/>
      <c r="D1955" s="71"/>
    </row>
    <row r="1956" spans="2:4" x14ac:dyDescent="0.15">
      <c r="B1956" s="69"/>
      <c r="C1956" s="70"/>
      <c r="D1956" s="71"/>
    </row>
    <row r="1957" spans="2:4" x14ac:dyDescent="0.15">
      <c r="B1957" s="69"/>
      <c r="C1957" s="70"/>
      <c r="D1957" s="71"/>
    </row>
    <row r="1958" spans="2:4" x14ac:dyDescent="0.15">
      <c r="B1958" s="69"/>
      <c r="C1958" s="70"/>
      <c r="D1958" s="71"/>
    </row>
    <row r="1959" spans="2:4" x14ac:dyDescent="0.15">
      <c r="B1959" s="69"/>
      <c r="C1959" s="70"/>
      <c r="D1959" s="71"/>
    </row>
    <row r="1960" spans="2:4" x14ac:dyDescent="0.15">
      <c r="B1960" s="69"/>
      <c r="C1960" s="70"/>
      <c r="D1960" s="71"/>
    </row>
    <row r="1961" spans="2:4" x14ac:dyDescent="0.15">
      <c r="B1961" s="69"/>
      <c r="C1961" s="70"/>
      <c r="D1961" s="71"/>
    </row>
    <row r="1962" spans="2:4" x14ac:dyDescent="0.15">
      <c r="B1962" s="69"/>
      <c r="C1962" s="70"/>
      <c r="D1962" s="71"/>
    </row>
    <row r="1963" spans="2:4" x14ac:dyDescent="0.15">
      <c r="B1963" s="69"/>
      <c r="C1963" s="70"/>
      <c r="D1963" s="71"/>
    </row>
    <row r="1964" spans="2:4" x14ac:dyDescent="0.15">
      <c r="B1964" s="69"/>
      <c r="C1964" s="70"/>
      <c r="D1964" s="71"/>
    </row>
    <row r="1965" spans="2:4" x14ac:dyDescent="0.15">
      <c r="B1965" s="69"/>
      <c r="C1965" s="70"/>
      <c r="D1965" s="71"/>
    </row>
    <row r="1966" spans="2:4" x14ac:dyDescent="0.15">
      <c r="B1966" s="69"/>
      <c r="C1966" s="70"/>
      <c r="D1966" s="71"/>
    </row>
    <row r="1967" spans="2:4" x14ac:dyDescent="0.15">
      <c r="B1967" s="69"/>
      <c r="C1967" s="70"/>
      <c r="D1967" s="71"/>
    </row>
    <row r="1968" spans="2:4" x14ac:dyDescent="0.15">
      <c r="B1968" s="69"/>
      <c r="C1968" s="70"/>
      <c r="D1968" s="71"/>
    </row>
    <row r="1969" spans="2:4" x14ac:dyDescent="0.15">
      <c r="B1969" s="69"/>
      <c r="C1969" s="70"/>
      <c r="D1969" s="71"/>
    </row>
    <row r="1970" spans="2:4" x14ac:dyDescent="0.15">
      <c r="B1970" s="69"/>
      <c r="C1970" s="70"/>
      <c r="D1970" s="71"/>
    </row>
    <row r="1971" spans="2:4" x14ac:dyDescent="0.15">
      <c r="B1971" s="69"/>
      <c r="C1971" s="70"/>
      <c r="D1971" s="71"/>
    </row>
    <row r="1972" spans="2:4" x14ac:dyDescent="0.15">
      <c r="B1972" s="69"/>
      <c r="C1972" s="70"/>
      <c r="D1972" s="71"/>
    </row>
    <row r="1973" spans="2:4" x14ac:dyDescent="0.15">
      <c r="B1973" s="69"/>
      <c r="C1973" s="70"/>
      <c r="D1973" s="71"/>
    </row>
    <row r="1974" spans="2:4" x14ac:dyDescent="0.15">
      <c r="B1974" s="69"/>
      <c r="C1974" s="70"/>
      <c r="D1974" s="71"/>
    </row>
    <row r="1975" spans="2:4" x14ac:dyDescent="0.15">
      <c r="B1975" s="69"/>
      <c r="C1975" s="70"/>
      <c r="D1975" s="71"/>
    </row>
    <row r="1976" spans="2:4" x14ac:dyDescent="0.15">
      <c r="B1976" s="69"/>
      <c r="C1976" s="70"/>
      <c r="D1976" s="71"/>
    </row>
    <row r="1977" spans="2:4" x14ac:dyDescent="0.15">
      <c r="B1977" s="69"/>
      <c r="C1977" s="70"/>
      <c r="D1977" s="71"/>
    </row>
    <row r="1978" spans="2:4" x14ac:dyDescent="0.15">
      <c r="B1978" s="69"/>
      <c r="C1978" s="70"/>
      <c r="D1978" s="71"/>
    </row>
    <row r="1979" spans="2:4" x14ac:dyDescent="0.15">
      <c r="B1979" s="69"/>
      <c r="C1979" s="70"/>
      <c r="D1979" s="71"/>
    </row>
    <row r="1980" spans="2:4" x14ac:dyDescent="0.15">
      <c r="B1980" s="69"/>
      <c r="C1980" s="70"/>
      <c r="D1980" s="71"/>
    </row>
    <row r="1981" spans="2:4" x14ac:dyDescent="0.15">
      <c r="B1981" s="69"/>
      <c r="C1981" s="70"/>
      <c r="D1981" s="71"/>
    </row>
    <row r="1982" spans="2:4" x14ac:dyDescent="0.15">
      <c r="B1982" s="69"/>
      <c r="C1982" s="70"/>
      <c r="D1982" s="71"/>
    </row>
    <row r="1983" spans="2:4" x14ac:dyDescent="0.15">
      <c r="B1983" s="69"/>
      <c r="C1983" s="70"/>
      <c r="D1983" s="71"/>
    </row>
    <row r="1984" spans="2:4" x14ac:dyDescent="0.15">
      <c r="B1984" s="69"/>
      <c r="C1984" s="70"/>
      <c r="D1984" s="71"/>
    </row>
    <row r="1985" spans="2:4" x14ac:dyDescent="0.15">
      <c r="B1985" s="69"/>
      <c r="C1985" s="70"/>
      <c r="D1985" s="71"/>
    </row>
    <row r="1986" spans="2:4" x14ac:dyDescent="0.15">
      <c r="B1986" s="69"/>
      <c r="C1986" s="70"/>
      <c r="D1986" s="71"/>
    </row>
    <row r="1987" spans="2:4" x14ac:dyDescent="0.15">
      <c r="B1987" s="69"/>
      <c r="C1987" s="70"/>
      <c r="D1987" s="71"/>
    </row>
    <row r="1988" spans="2:4" x14ac:dyDescent="0.15">
      <c r="B1988" s="69"/>
      <c r="C1988" s="70"/>
      <c r="D1988" s="71"/>
    </row>
    <row r="1989" spans="2:4" x14ac:dyDescent="0.15">
      <c r="B1989" s="69"/>
      <c r="C1989" s="70"/>
      <c r="D1989" s="71"/>
    </row>
    <row r="1990" spans="2:4" x14ac:dyDescent="0.15">
      <c r="B1990" s="69"/>
      <c r="C1990" s="70"/>
      <c r="D1990" s="71"/>
    </row>
    <row r="1991" spans="2:4" x14ac:dyDescent="0.15">
      <c r="B1991" s="69"/>
      <c r="C1991" s="70"/>
      <c r="D1991" s="71"/>
    </row>
    <row r="1992" spans="2:4" x14ac:dyDescent="0.15">
      <c r="B1992" s="69"/>
      <c r="C1992" s="70"/>
      <c r="D1992" s="71"/>
    </row>
    <row r="1993" spans="2:4" x14ac:dyDescent="0.15">
      <c r="B1993" s="69"/>
      <c r="C1993" s="70"/>
      <c r="D1993" s="71"/>
    </row>
    <row r="1994" spans="2:4" x14ac:dyDescent="0.15">
      <c r="B1994" s="69"/>
      <c r="C1994" s="70"/>
      <c r="D1994" s="71"/>
    </row>
    <row r="1995" spans="2:4" x14ac:dyDescent="0.15">
      <c r="B1995" s="69"/>
      <c r="C1995" s="70"/>
      <c r="D1995" s="71"/>
    </row>
    <row r="1996" spans="2:4" x14ac:dyDescent="0.15">
      <c r="B1996" s="69"/>
      <c r="C1996" s="70"/>
      <c r="D1996" s="71"/>
    </row>
    <row r="1997" spans="2:4" x14ac:dyDescent="0.15">
      <c r="B1997" s="69"/>
      <c r="C1997" s="70"/>
      <c r="D1997" s="71"/>
    </row>
    <row r="1998" spans="2:4" x14ac:dyDescent="0.15">
      <c r="B1998" s="69"/>
      <c r="C1998" s="70"/>
      <c r="D1998" s="71"/>
    </row>
    <row r="1999" spans="2:4" x14ac:dyDescent="0.15">
      <c r="B1999" s="69"/>
      <c r="C1999" s="70"/>
      <c r="D1999" s="71"/>
    </row>
    <row r="2000" spans="2:4" x14ac:dyDescent="0.15">
      <c r="B2000" s="69"/>
      <c r="C2000" s="70"/>
      <c r="D2000" s="71"/>
    </row>
    <row r="2001" spans="2:4" x14ac:dyDescent="0.15">
      <c r="B2001" s="69"/>
      <c r="C2001" s="70"/>
      <c r="D2001" s="71"/>
    </row>
    <row r="2002" spans="2:4" x14ac:dyDescent="0.15">
      <c r="B2002" s="69"/>
      <c r="C2002" s="70"/>
      <c r="D2002" s="71"/>
    </row>
    <row r="2003" spans="2:4" x14ac:dyDescent="0.15">
      <c r="B2003" s="69"/>
      <c r="C2003" s="70"/>
      <c r="D2003" s="71"/>
    </row>
    <row r="2004" spans="2:4" x14ac:dyDescent="0.15">
      <c r="B2004" s="69"/>
      <c r="C2004" s="70"/>
      <c r="D2004" s="71"/>
    </row>
    <row r="2005" spans="2:4" x14ac:dyDescent="0.15">
      <c r="B2005" s="69"/>
      <c r="C2005" s="70"/>
      <c r="D2005" s="71"/>
    </row>
    <row r="2006" spans="2:4" x14ac:dyDescent="0.15">
      <c r="B2006" s="69"/>
      <c r="C2006" s="70"/>
      <c r="D2006" s="71"/>
    </row>
    <row r="2007" spans="2:4" x14ac:dyDescent="0.15">
      <c r="B2007" s="69"/>
      <c r="C2007" s="70"/>
      <c r="D2007" s="71"/>
    </row>
    <row r="2008" spans="2:4" x14ac:dyDescent="0.15">
      <c r="B2008" s="69"/>
      <c r="C2008" s="70"/>
      <c r="D2008" s="71"/>
    </row>
    <row r="2009" spans="2:4" x14ac:dyDescent="0.15">
      <c r="B2009" s="69"/>
      <c r="C2009" s="70"/>
      <c r="D2009" s="71"/>
    </row>
    <row r="2010" spans="2:4" x14ac:dyDescent="0.15">
      <c r="B2010" s="69"/>
      <c r="C2010" s="70"/>
      <c r="D2010" s="71"/>
    </row>
    <row r="2011" spans="2:4" x14ac:dyDescent="0.15">
      <c r="B2011" s="69"/>
      <c r="C2011" s="70"/>
      <c r="D2011" s="71"/>
    </row>
    <row r="2012" spans="2:4" x14ac:dyDescent="0.15">
      <c r="B2012" s="69"/>
      <c r="C2012" s="70"/>
      <c r="D2012" s="71"/>
    </row>
    <row r="2013" spans="2:4" x14ac:dyDescent="0.15">
      <c r="B2013" s="69"/>
      <c r="C2013" s="70"/>
      <c r="D2013" s="71"/>
    </row>
    <row r="2014" spans="2:4" x14ac:dyDescent="0.15">
      <c r="B2014" s="69"/>
      <c r="C2014" s="70"/>
      <c r="D2014" s="71"/>
    </row>
    <row r="2015" spans="2:4" x14ac:dyDescent="0.15">
      <c r="B2015" s="69"/>
      <c r="C2015" s="70"/>
      <c r="D2015" s="71"/>
    </row>
    <row r="2016" spans="2:4" x14ac:dyDescent="0.15">
      <c r="B2016" s="69"/>
      <c r="C2016" s="70"/>
      <c r="D2016" s="71"/>
    </row>
    <row r="2017" spans="2:4" x14ac:dyDescent="0.15">
      <c r="B2017" s="69"/>
      <c r="C2017" s="70"/>
      <c r="D2017" s="71"/>
    </row>
    <row r="2018" spans="2:4" x14ac:dyDescent="0.15">
      <c r="B2018" s="69"/>
      <c r="C2018" s="70"/>
      <c r="D2018" s="71"/>
    </row>
    <row r="2019" spans="2:4" x14ac:dyDescent="0.15">
      <c r="B2019" s="69"/>
      <c r="C2019" s="70"/>
      <c r="D2019" s="71"/>
    </row>
    <row r="2020" spans="2:4" x14ac:dyDescent="0.15">
      <c r="B2020" s="69"/>
      <c r="C2020" s="70"/>
      <c r="D2020" s="71"/>
    </row>
    <row r="2021" spans="2:4" x14ac:dyDescent="0.15">
      <c r="B2021" s="69"/>
      <c r="C2021" s="70"/>
      <c r="D2021" s="71"/>
    </row>
    <row r="2022" spans="2:4" x14ac:dyDescent="0.15">
      <c r="B2022" s="69"/>
      <c r="C2022" s="70"/>
      <c r="D2022" s="71"/>
    </row>
    <row r="2023" spans="2:4" x14ac:dyDescent="0.15">
      <c r="B2023" s="69"/>
      <c r="C2023" s="70"/>
      <c r="D2023" s="71"/>
    </row>
    <row r="2024" spans="2:4" x14ac:dyDescent="0.15">
      <c r="B2024" s="69"/>
      <c r="C2024" s="70"/>
      <c r="D2024" s="71"/>
    </row>
    <row r="2025" spans="2:4" x14ac:dyDescent="0.15">
      <c r="B2025" s="69"/>
      <c r="C2025" s="70"/>
      <c r="D2025" s="71"/>
    </row>
    <row r="2026" spans="2:4" x14ac:dyDescent="0.15">
      <c r="B2026" s="69"/>
      <c r="C2026" s="70"/>
      <c r="D2026" s="71"/>
    </row>
    <row r="2027" spans="2:4" x14ac:dyDescent="0.15">
      <c r="B2027" s="69"/>
      <c r="C2027" s="70"/>
      <c r="D2027" s="71"/>
    </row>
    <row r="2028" spans="2:4" x14ac:dyDescent="0.15">
      <c r="B2028" s="69"/>
      <c r="C2028" s="70"/>
      <c r="D2028" s="71"/>
    </row>
    <row r="2029" spans="2:4" x14ac:dyDescent="0.15">
      <c r="B2029" s="69"/>
      <c r="C2029" s="70"/>
      <c r="D2029" s="71"/>
    </row>
    <row r="2030" spans="2:4" x14ac:dyDescent="0.15">
      <c r="B2030" s="69"/>
      <c r="C2030" s="70"/>
      <c r="D2030" s="71"/>
    </row>
    <row r="2031" spans="2:4" x14ac:dyDescent="0.15">
      <c r="B2031" s="69"/>
      <c r="C2031" s="70"/>
      <c r="D2031" s="71"/>
    </row>
    <row r="2032" spans="2:4" x14ac:dyDescent="0.15">
      <c r="B2032" s="69"/>
      <c r="C2032" s="70"/>
      <c r="D2032" s="71"/>
    </row>
    <row r="2033" spans="2:4" x14ac:dyDescent="0.15">
      <c r="B2033" s="69"/>
      <c r="C2033" s="70"/>
      <c r="D2033" s="71"/>
    </row>
    <row r="2034" spans="2:4" x14ac:dyDescent="0.15">
      <c r="B2034" s="69"/>
      <c r="C2034" s="70"/>
      <c r="D2034" s="71"/>
    </row>
    <row r="2035" spans="2:4" x14ac:dyDescent="0.15">
      <c r="B2035" s="69"/>
      <c r="C2035" s="70"/>
      <c r="D2035" s="71"/>
    </row>
    <row r="2036" spans="2:4" x14ac:dyDescent="0.15">
      <c r="B2036" s="69"/>
      <c r="C2036" s="70"/>
      <c r="D2036" s="71"/>
    </row>
    <row r="2037" spans="2:4" x14ac:dyDescent="0.15">
      <c r="B2037" s="69"/>
      <c r="C2037" s="70"/>
      <c r="D2037" s="71"/>
    </row>
    <row r="2038" spans="2:4" x14ac:dyDescent="0.15">
      <c r="B2038" s="69"/>
      <c r="C2038" s="70"/>
      <c r="D2038" s="71"/>
    </row>
    <row r="2039" spans="2:4" x14ac:dyDescent="0.15">
      <c r="B2039" s="69"/>
      <c r="C2039" s="70"/>
      <c r="D2039" s="71"/>
    </row>
    <row r="2040" spans="2:4" x14ac:dyDescent="0.15">
      <c r="B2040" s="69"/>
      <c r="C2040" s="70"/>
      <c r="D2040" s="71"/>
    </row>
    <row r="2041" spans="2:4" x14ac:dyDescent="0.15">
      <c r="B2041" s="69"/>
      <c r="C2041" s="70"/>
      <c r="D2041" s="71"/>
    </row>
    <row r="2042" spans="2:4" x14ac:dyDescent="0.15">
      <c r="B2042" s="69"/>
      <c r="C2042" s="70"/>
      <c r="D2042" s="71"/>
    </row>
    <row r="2043" spans="2:4" x14ac:dyDescent="0.15">
      <c r="B2043" s="69"/>
      <c r="C2043" s="70"/>
      <c r="D2043" s="71"/>
    </row>
    <row r="2044" spans="2:4" x14ac:dyDescent="0.15">
      <c r="B2044" s="69"/>
      <c r="C2044" s="70"/>
      <c r="D2044" s="71"/>
    </row>
    <row r="2045" spans="2:4" x14ac:dyDescent="0.15">
      <c r="B2045" s="69"/>
      <c r="C2045" s="70"/>
      <c r="D2045" s="71"/>
    </row>
    <row r="2046" spans="2:4" x14ac:dyDescent="0.15">
      <c r="B2046" s="69"/>
      <c r="C2046" s="70"/>
      <c r="D2046" s="71"/>
    </row>
    <row r="2047" spans="2:4" x14ac:dyDescent="0.15">
      <c r="B2047" s="69"/>
      <c r="C2047" s="70"/>
      <c r="D2047" s="71"/>
    </row>
    <row r="2048" spans="2:4" x14ac:dyDescent="0.15">
      <c r="B2048" s="69"/>
      <c r="C2048" s="70"/>
      <c r="D2048" s="71"/>
    </row>
    <row r="2049" spans="2:4" x14ac:dyDescent="0.15">
      <c r="B2049" s="69"/>
      <c r="C2049" s="70"/>
      <c r="D2049" s="71"/>
    </row>
    <row r="2050" spans="2:4" x14ac:dyDescent="0.15">
      <c r="B2050" s="69"/>
      <c r="C2050" s="70"/>
      <c r="D2050" s="71"/>
    </row>
    <row r="2051" spans="2:4" x14ac:dyDescent="0.15">
      <c r="B2051" s="69"/>
      <c r="C2051" s="70"/>
      <c r="D2051" s="71"/>
    </row>
    <row r="2052" spans="2:4" x14ac:dyDescent="0.15">
      <c r="B2052" s="69"/>
      <c r="C2052" s="70"/>
      <c r="D2052" s="71"/>
    </row>
    <row r="2053" spans="2:4" x14ac:dyDescent="0.15">
      <c r="B2053" s="69"/>
      <c r="C2053" s="70"/>
      <c r="D2053" s="71"/>
    </row>
    <row r="2054" spans="2:4" x14ac:dyDescent="0.15">
      <c r="B2054" s="69"/>
      <c r="C2054" s="70"/>
      <c r="D2054" s="71"/>
    </row>
    <row r="2055" spans="2:4" x14ac:dyDescent="0.15">
      <c r="B2055" s="69"/>
      <c r="C2055" s="70"/>
      <c r="D2055" s="71"/>
    </row>
    <row r="2056" spans="2:4" x14ac:dyDescent="0.15">
      <c r="B2056" s="69"/>
      <c r="C2056" s="70"/>
      <c r="D2056" s="71"/>
    </row>
    <row r="2057" spans="2:4" x14ac:dyDescent="0.15">
      <c r="B2057" s="69"/>
      <c r="C2057" s="70"/>
      <c r="D2057" s="71"/>
    </row>
    <row r="2058" spans="2:4" x14ac:dyDescent="0.15">
      <c r="B2058" s="69"/>
      <c r="C2058" s="70"/>
      <c r="D2058" s="71"/>
    </row>
    <row r="2059" spans="2:4" x14ac:dyDescent="0.15">
      <c r="B2059" s="69"/>
      <c r="C2059" s="70"/>
      <c r="D2059" s="71"/>
    </row>
    <row r="2060" spans="2:4" x14ac:dyDescent="0.15">
      <c r="B2060" s="69"/>
      <c r="C2060" s="70"/>
      <c r="D2060" s="71"/>
    </row>
    <row r="2061" spans="2:4" x14ac:dyDescent="0.15">
      <c r="B2061" s="69"/>
      <c r="C2061" s="70"/>
      <c r="D2061" s="71"/>
    </row>
    <row r="2062" spans="2:4" x14ac:dyDescent="0.15">
      <c r="B2062" s="69"/>
      <c r="C2062" s="70"/>
      <c r="D2062" s="71"/>
    </row>
    <row r="2063" spans="2:4" x14ac:dyDescent="0.15">
      <c r="B2063" s="69"/>
      <c r="C2063" s="70"/>
      <c r="D2063" s="71"/>
    </row>
    <row r="2064" spans="2:4" x14ac:dyDescent="0.15">
      <c r="B2064" s="69"/>
      <c r="C2064" s="70"/>
      <c r="D2064" s="71"/>
    </row>
    <row r="2065" spans="2:4" x14ac:dyDescent="0.15">
      <c r="B2065" s="69"/>
      <c r="C2065" s="70"/>
      <c r="D2065" s="71"/>
    </row>
    <row r="2066" spans="2:4" x14ac:dyDescent="0.15">
      <c r="B2066" s="69"/>
      <c r="C2066" s="70"/>
      <c r="D2066" s="71"/>
    </row>
    <row r="2067" spans="2:4" x14ac:dyDescent="0.15">
      <c r="B2067" s="69"/>
      <c r="C2067" s="70"/>
      <c r="D2067" s="71"/>
    </row>
    <row r="2068" spans="2:4" x14ac:dyDescent="0.15">
      <c r="B2068" s="69"/>
      <c r="C2068" s="70"/>
      <c r="D2068" s="71"/>
    </row>
    <row r="2069" spans="2:4" x14ac:dyDescent="0.15">
      <c r="B2069" s="69"/>
      <c r="C2069" s="70"/>
      <c r="D2069" s="71"/>
    </row>
    <row r="2070" spans="2:4" x14ac:dyDescent="0.15">
      <c r="B2070" s="69"/>
      <c r="C2070" s="70"/>
      <c r="D2070" s="71"/>
    </row>
    <row r="2071" spans="2:4" x14ac:dyDescent="0.15">
      <c r="B2071" s="69"/>
      <c r="C2071" s="70"/>
      <c r="D2071" s="71"/>
    </row>
    <row r="2072" spans="2:4" x14ac:dyDescent="0.15">
      <c r="B2072" s="69"/>
      <c r="C2072" s="70"/>
      <c r="D2072" s="71"/>
    </row>
    <row r="2073" spans="2:4" x14ac:dyDescent="0.15">
      <c r="B2073" s="69"/>
      <c r="C2073" s="70"/>
      <c r="D2073" s="71"/>
    </row>
    <row r="2074" spans="2:4" x14ac:dyDescent="0.15">
      <c r="B2074" s="69"/>
      <c r="C2074" s="70"/>
      <c r="D2074" s="71"/>
    </row>
    <row r="2075" spans="2:4" x14ac:dyDescent="0.15">
      <c r="B2075" s="69"/>
      <c r="C2075" s="70"/>
      <c r="D2075" s="71"/>
    </row>
    <row r="2076" spans="2:4" x14ac:dyDescent="0.15">
      <c r="B2076" s="69"/>
      <c r="C2076" s="70"/>
      <c r="D2076" s="71"/>
    </row>
    <row r="2077" spans="2:4" x14ac:dyDescent="0.15">
      <c r="B2077" s="69"/>
      <c r="C2077" s="70"/>
      <c r="D2077" s="71"/>
    </row>
    <row r="2078" spans="2:4" x14ac:dyDescent="0.15">
      <c r="B2078" s="69"/>
      <c r="C2078" s="70"/>
      <c r="D2078" s="71"/>
    </row>
    <row r="2079" spans="2:4" x14ac:dyDescent="0.15">
      <c r="B2079" s="69"/>
      <c r="C2079" s="70"/>
      <c r="D2079" s="71"/>
    </row>
    <row r="2080" spans="2:4" x14ac:dyDescent="0.15">
      <c r="B2080" s="69"/>
      <c r="C2080" s="70"/>
      <c r="D2080" s="71"/>
    </row>
    <row r="2081" spans="2:4" x14ac:dyDescent="0.15">
      <c r="B2081" s="69"/>
      <c r="C2081" s="70"/>
      <c r="D2081" s="71"/>
    </row>
    <row r="2082" spans="2:4" x14ac:dyDescent="0.15">
      <c r="B2082" s="69"/>
      <c r="C2082" s="70"/>
      <c r="D2082" s="71"/>
    </row>
    <row r="2083" spans="2:4" x14ac:dyDescent="0.15">
      <c r="B2083" s="69"/>
      <c r="C2083" s="70"/>
      <c r="D2083" s="71"/>
    </row>
    <row r="2084" spans="2:4" x14ac:dyDescent="0.15">
      <c r="B2084" s="69"/>
      <c r="C2084" s="70"/>
      <c r="D2084" s="71"/>
    </row>
    <row r="2085" spans="2:4" x14ac:dyDescent="0.15">
      <c r="B2085" s="69"/>
      <c r="C2085" s="70"/>
      <c r="D2085" s="71"/>
    </row>
    <row r="2086" spans="2:4" x14ac:dyDescent="0.15">
      <c r="B2086" s="69"/>
      <c r="C2086" s="70"/>
      <c r="D2086" s="71"/>
    </row>
    <row r="2087" spans="2:4" x14ac:dyDescent="0.15">
      <c r="B2087" s="69"/>
      <c r="C2087" s="70"/>
      <c r="D2087" s="71"/>
    </row>
    <row r="2088" spans="2:4" x14ac:dyDescent="0.15">
      <c r="B2088" s="69"/>
      <c r="C2088" s="70"/>
      <c r="D2088" s="71"/>
    </row>
    <row r="2089" spans="2:4" x14ac:dyDescent="0.15">
      <c r="B2089" s="69"/>
      <c r="C2089" s="70"/>
      <c r="D2089" s="71"/>
    </row>
    <row r="2090" spans="2:4" x14ac:dyDescent="0.15">
      <c r="B2090" s="69"/>
      <c r="C2090" s="70"/>
      <c r="D2090" s="71"/>
    </row>
    <row r="2091" spans="2:4" x14ac:dyDescent="0.15">
      <c r="B2091" s="69"/>
      <c r="C2091" s="70"/>
      <c r="D2091" s="71"/>
    </row>
    <row r="2092" spans="2:4" x14ac:dyDescent="0.15">
      <c r="B2092" s="69"/>
      <c r="C2092" s="70"/>
      <c r="D2092" s="71"/>
    </row>
    <row r="2093" spans="2:4" x14ac:dyDescent="0.15">
      <c r="B2093" s="69"/>
      <c r="C2093" s="70"/>
      <c r="D2093" s="71"/>
    </row>
    <row r="2094" spans="2:4" x14ac:dyDescent="0.15">
      <c r="B2094" s="69"/>
      <c r="C2094" s="70"/>
      <c r="D2094" s="71"/>
    </row>
    <row r="2095" spans="2:4" x14ac:dyDescent="0.15">
      <c r="B2095" s="69"/>
      <c r="C2095" s="70"/>
      <c r="D2095" s="71"/>
    </row>
    <row r="2096" spans="2:4" x14ac:dyDescent="0.15">
      <c r="B2096" s="69"/>
      <c r="C2096" s="70"/>
      <c r="D2096" s="71"/>
    </row>
    <row r="2097" spans="2:4" x14ac:dyDescent="0.15">
      <c r="B2097" s="69"/>
      <c r="C2097" s="70"/>
      <c r="D2097" s="71"/>
    </row>
    <row r="2098" spans="2:4" x14ac:dyDescent="0.15">
      <c r="B2098" s="69"/>
      <c r="C2098" s="70"/>
      <c r="D2098" s="71"/>
    </row>
    <row r="2099" spans="2:4" x14ac:dyDescent="0.15">
      <c r="B2099" s="69"/>
      <c r="C2099" s="70"/>
      <c r="D2099" s="71"/>
    </row>
    <row r="2100" spans="2:4" x14ac:dyDescent="0.15">
      <c r="B2100" s="69"/>
      <c r="C2100" s="70"/>
      <c r="D2100" s="71"/>
    </row>
    <row r="2101" spans="2:4" x14ac:dyDescent="0.15">
      <c r="B2101" s="69"/>
      <c r="C2101" s="70"/>
      <c r="D2101" s="71"/>
    </row>
    <row r="2102" spans="2:4" x14ac:dyDescent="0.15">
      <c r="B2102" s="69"/>
      <c r="C2102" s="70"/>
      <c r="D2102" s="71"/>
    </row>
    <row r="2103" spans="2:4" x14ac:dyDescent="0.15">
      <c r="B2103" s="69"/>
      <c r="C2103" s="70"/>
      <c r="D2103" s="71"/>
    </row>
    <row r="2104" spans="2:4" x14ac:dyDescent="0.15">
      <c r="B2104" s="69"/>
      <c r="C2104" s="70"/>
      <c r="D2104" s="71"/>
    </row>
    <row r="2105" spans="2:4" x14ac:dyDescent="0.15">
      <c r="B2105" s="69"/>
      <c r="C2105" s="70"/>
      <c r="D2105" s="71"/>
    </row>
    <row r="2106" spans="2:4" x14ac:dyDescent="0.15">
      <c r="B2106" s="69"/>
      <c r="C2106" s="70"/>
      <c r="D2106" s="71"/>
    </row>
    <row r="2107" spans="2:4" x14ac:dyDescent="0.15">
      <c r="B2107" s="69"/>
      <c r="C2107" s="70"/>
      <c r="D2107" s="71"/>
    </row>
    <row r="2108" spans="2:4" x14ac:dyDescent="0.15">
      <c r="B2108" s="69"/>
      <c r="C2108" s="70"/>
      <c r="D2108" s="71"/>
    </row>
    <row r="2109" spans="2:4" x14ac:dyDescent="0.15">
      <c r="B2109" s="69"/>
      <c r="C2109" s="70"/>
      <c r="D2109" s="71"/>
    </row>
    <row r="2110" spans="2:4" x14ac:dyDescent="0.15">
      <c r="B2110" s="69"/>
      <c r="C2110" s="70"/>
      <c r="D2110" s="71"/>
    </row>
    <row r="2111" spans="2:4" x14ac:dyDescent="0.15">
      <c r="B2111" s="69"/>
      <c r="C2111" s="70"/>
      <c r="D2111" s="71"/>
    </row>
    <row r="2112" spans="2:4" x14ac:dyDescent="0.15">
      <c r="B2112" s="69"/>
      <c r="C2112" s="70"/>
      <c r="D2112" s="71"/>
    </row>
    <row r="2113" spans="2:4" x14ac:dyDescent="0.15">
      <c r="B2113" s="69"/>
      <c r="C2113" s="70"/>
      <c r="D2113" s="71"/>
    </row>
    <row r="2114" spans="2:4" x14ac:dyDescent="0.15">
      <c r="B2114" s="69"/>
      <c r="C2114" s="70"/>
      <c r="D2114" s="71"/>
    </row>
    <row r="2115" spans="2:4" x14ac:dyDescent="0.15">
      <c r="B2115" s="69"/>
      <c r="C2115" s="70"/>
      <c r="D2115" s="71"/>
    </row>
    <row r="2116" spans="2:4" x14ac:dyDescent="0.15">
      <c r="B2116" s="69"/>
      <c r="C2116" s="70"/>
      <c r="D2116" s="71"/>
    </row>
    <row r="2117" spans="2:4" x14ac:dyDescent="0.15">
      <c r="B2117" s="69"/>
      <c r="C2117" s="70"/>
      <c r="D2117" s="71"/>
    </row>
    <row r="2118" spans="2:4" x14ac:dyDescent="0.15">
      <c r="B2118" s="69"/>
      <c r="C2118" s="70"/>
      <c r="D2118" s="71"/>
    </row>
    <row r="2119" spans="2:4" x14ac:dyDescent="0.15">
      <c r="B2119" s="69"/>
      <c r="C2119" s="70"/>
      <c r="D2119" s="71"/>
    </row>
    <row r="2120" spans="2:4" x14ac:dyDescent="0.15">
      <c r="B2120" s="69"/>
      <c r="C2120" s="70"/>
      <c r="D2120" s="71"/>
    </row>
    <row r="2121" spans="2:4" x14ac:dyDescent="0.15">
      <c r="B2121" s="69"/>
      <c r="C2121" s="70"/>
      <c r="D2121" s="71"/>
    </row>
    <row r="2122" spans="2:4" x14ac:dyDescent="0.15">
      <c r="B2122" s="69"/>
      <c r="C2122" s="70"/>
      <c r="D2122" s="71"/>
    </row>
    <row r="2123" spans="2:4" x14ac:dyDescent="0.15">
      <c r="B2123" s="69"/>
      <c r="C2123" s="70"/>
      <c r="D2123" s="71"/>
    </row>
    <row r="2124" spans="2:4" x14ac:dyDescent="0.15">
      <c r="B2124" s="69"/>
      <c r="C2124" s="70"/>
      <c r="D2124" s="71"/>
    </row>
    <row r="2125" spans="2:4" x14ac:dyDescent="0.15">
      <c r="B2125" s="69"/>
      <c r="C2125" s="70"/>
      <c r="D2125" s="71"/>
    </row>
    <row r="2126" spans="2:4" x14ac:dyDescent="0.15">
      <c r="B2126" s="69"/>
      <c r="C2126" s="70"/>
      <c r="D2126" s="71"/>
    </row>
    <row r="2127" spans="2:4" x14ac:dyDescent="0.15">
      <c r="B2127" s="69"/>
      <c r="C2127" s="70"/>
      <c r="D2127" s="71"/>
    </row>
    <row r="2128" spans="2:4" x14ac:dyDescent="0.15">
      <c r="B2128" s="69"/>
      <c r="C2128" s="70"/>
      <c r="D2128" s="71"/>
    </row>
    <row r="2129" spans="2:4" x14ac:dyDescent="0.15">
      <c r="B2129" s="69"/>
      <c r="C2129" s="70"/>
      <c r="D2129" s="71"/>
    </row>
    <row r="2130" spans="2:4" x14ac:dyDescent="0.15">
      <c r="B2130" s="69"/>
      <c r="C2130" s="70"/>
      <c r="D2130" s="71"/>
    </row>
    <row r="2131" spans="2:4" x14ac:dyDescent="0.15">
      <c r="B2131" s="69"/>
      <c r="C2131" s="70"/>
      <c r="D2131" s="71"/>
    </row>
    <row r="2132" spans="2:4" x14ac:dyDescent="0.15">
      <c r="B2132" s="69"/>
      <c r="C2132" s="70"/>
      <c r="D2132" s="71"/>
    </row>
    <row r="2133" spans="2:4" x14ac:dyDescent="0.15">
      <c r="B2133" s="69"/>
      <c r="C2133" s="70"/>
      <c r="D2133" s="71"/>
    </row>
    <row r="2134" spans="2:4" x14ac:dyDescent="0.15">
      <c r="B2134" s="69"/>
      <c r="C2134" s="70"/>
      <c r="D2134" s="71"/>
    </row>
    <row r="2135" spans="2:4" x14ac:dyDescent="0.15">
      <c r="B2135" s="69"/>
      <c r="C2135" s="70"/>
      <c r="D2135" s="71"/>
    </row>
    <row r="2136" spans="2:4" x14ac:dyDescent="0.15">
      <c r="B2136" s="69"/>
      <c r="C2136" s="70"/>
      <c r="D2136" s="71"/>
    </row>
    <row r="2137" spans="2:4" x14ac:dyDescent="0.15">
      <c r="B2137" s="69"/>
      <c r="C2137" s="70"/>
      <c r="D2137" s="71"/>
    </row>
    <row r="2138" spans="2:4" x14ac:dyDescent="0.15">
      <c r="B2138" s="69"/>
      <c r="C2138" s="70"/>
      <c r="D2138" s="71"/>
    </row>
    <row r="2139" spans="2:4" x14ac:dyDescent="0.15">
      <c r="B2139" s="69"/>
      <c r="C2139" s="70"/>
      <c r="D2139" s="71"/>
    </row>
    <row r="2140" spans="2:4" x14ac:dyDescent="0.15">
      <c r="B2140" s="69"/>
      <c r="C2140" s="70"/>
      <c r="D2140" s="71"/>
    </row>
    <row r="2141" spans="2:4" x14ac:dyDescent="0.15">
      <c r="B2141" s="69"/>
      <c r="C2141" s="70"/>
      <c r="D2141" s="71"/>
    </row>
    <row r="2142" spans="2:4" x14ac:dyDescent="0.15">
      <c r="B2142" s="69"/>
      <c r="C2142" s="70"/>
      <c r="D2142" s="71"/>
    </row>
    <row r="2143" spans="2:4" x14ac:dyDescent="0.15">
      <c r="B2143" s="69"/>
      <c r="C2143" s="70"/>
      <c r="D2143" s="71"/>
    </row>
    <row r="2144" spans="2:4" x14ac:dyDescent="0.15">
      <c r="B2144" s="69"/>
      <c r="C2144" s="70"/>
      <c r="D2144" s="71"/>
    </row>
    <row r="2145" spans="2:4" x14ac:dyDescent="0.15">
      <c r="B2145" s="69"/>
      <c r="C2145" s="70"/>
      <c r="D2145" s="71"/>
    </row>
    <row r="2146" spans="2:4" x14ac:dyDescent="0.15">
      <c r="B2146" s="69"/>
      <c r="C2146" s="70"/>
      <c r="D2146" s="71"/>
    </row>
    <row r="2147" spans="2:4" x14ac:dyDescent="0.15">
      <c r="B2147" s="69"/>
      <c r="C2147" s="70"/>
      <c r="D2147" s="71"/>
    </row>
    <row r="2148" spans="2:4" x14ac:dyDescent="0.15">
      <c r="B2148" s="69"/>
      <c r="C2148" s="70"/>
      <c r="D2148" s="71"/>
    </row>
    <row r="2149" spans="2:4" x14ac:dyDescent="0.15">
      <c r="B2149" s="69"/>
      <c r="C2149" s="70"/>
      <c r="D2149" s="71"/>
    </row>
    <row r="2150" spans="2:4" x14ac:dyDescent="0.15">
      <c r="B2150" s="69"/>
      <c r="C2150" s="70"/>
      <c r="D2150" s="71"/>
    </row>
    <row r="2151" spans="2:4" x14ac:dyDescent="0.15">
      <c r="B2151" s="69"/>
      <c r="C2151" s="70"/>
      <c r="D2151" s="71"/>
    </row>
    <row r="2152" spans="2:4" x14ac:dyDescent="0.15">
      <c r="B2152" s="69"/>
      <c r="C2152" s="70"/>
      <c r="D2152" s="71"/>
    </row>
    <row r="2153" spans="2:4" x14ac:dyDescent="0.15">
      <c r="B2153" s="69"/>
      <c r="C2153" s="70"/>
      <c r="D2153" s="71"/>
    </row>
    <row r="2154" spans="2:4" x14ac:dyDescent="0.15">
      <c r="B2154" s="69"/>
      <c r="C2154" s="70"/>
      <c r="D2154" s="71"/>
    </row>
    <row r="2155" spans="2:4" x14ac:dyDescent="0.15">
      <c r="B2155" s="69"/>
      <c r="C2155" s="70"/>
      <c r="D2155" s="71"/>
    </row>
    <row r="2156" spans="2:4" x14ac:dyDescent="0.15">
      <c r="B2156" s="69"/>
      <c r="C2156" s="70"/>
      <c r="D2156" s="71"/>
    </row>
    <row r="2157" spans="2:4" x14ac:dyDescent="0.15">
      <c r="B2157" s="69"/>
      <c r="C2157" s="70"/>
      <c r="D2157" s="71"/>
    </row>
    <row r="2158" spans="2:4" x14ac:dyDescent="0.15">
      <c r="B2158" s="69"/>
      <c r="C2158" s="70"/>
      <c r="D2158" s="71"/>
    </row>
    <row r="2159" spans="2:4" x14ac:dyDescent="0.15">
      <c r="B2159" s="69"/>
      <c r="C2159" s="70"/>
      <c r="D2159" s="71"/>
    </row>
    <row r="2160" spans="2:4" x14ac:dyDescent="0.15">
      <c r="B2160" s="69"/>
      <c r="C2160" s="70"/>
      <c r="D2160" s="71"/>
    </row>
    <row r="2161" spans="2:4" x14ac:dyDescent="0.15">
      <c r="B2161" s="69"/>
      <c r="C2161" s="70"/>
      <c r="D2161" s="71"/>
    </row>
    <row r="2162" spans="2:4" x14ac:dyDescent="0.15">
      <c r="B2162" s="69"/>
      <c r="C2162" s="70"/>
      <c r="D2162" s="71"/>
    </row>
    <row r="2163" spans="2:4" x14ac:dyDescent="0.15">
      <c r="B2163" s="69"/>
      <c r="C2163" s="70"/>
      <c r="D2163" s="71"/>
    </row>
    <row r="2164" spans="2:4" x14ac:dyDescent="0.15">
      <c r="B2164" s="69"/>
      <c r="C2164" s="70"/>
      <c r="D2164" s="71"/>
    </row>
    <row r="2165" spans="2:4" x14ac:dyDescent="0.15">
      <c r="B2165" s="69"/>
      <c r="C2165" s="70"/>
      <c r="D2165" s="71"/>
    </row>
    <row r="2166" spans="2:4" x14ac:dyDescent="0.15">
      <c r="B2166" s="69"/>
      <c r="C2166" s="70"/>
      <c r="D2166" s="71"/>
    </row>
    <row r="2167" spans="2:4" x14ac:dyDescent="0.15">
      <c r="B2167" s="69"/>
      <c r="C2167" s="70"/>
      <c r="D2167" s="71"/>
    </row>
    <row r="2168" spans="2:4" x14ac:dyDescent="0.15">
      <c r="B2168" s="69"/>
      <c r="C2168" s="70"/>
      <c r="D2168" s="71"/>
    </row>
    <row r="2169" spans="2:4" x14ac:dyDescent="0.15">
      <c r="B2169" s="69"/>
      <c r="C2169" s="70"/>
      <c r="D2169" s="71"/>
    </row>
    <row r="2170" spans="2:4" x14ac:dyDescent="0.15">
      <c r="B2170" s="69"/>
      <c r="C2170" s="70"/>
      <c r="D2170" s="71"/>
    </row>
    <row r="2171" spans="2:4" x14ac:dyDescent="0.15">
      <c r="B2171" s="69"/>
      <c r="C2171" s="70"/>
      <c r="D2171" s="71"/>
    </row>
    <row r="2172" spans="2:4" x14ac:dyDescent="0.15">
      <c r="B2172" s="69"/>
      <c r="C2172" s="70"/>
      <c r="D2172" s="71"/>
    </row>
    <row r="2173" spans="2:4" x14ac:dyDescent="0.15">
      <c r="B2173" s="69"/>
      <c r="C2173" s="70"/>
      <c r="D2173" s="71"/>
    </row>
    <row r="2174" spans="2:4" x14ac:dyDescent="0.15">
      <c r="B2174" s="69"/>
      <c r="C2174" s="70"/>
      <c r="D2174" s="71"/>
    </row>
    <row r="2175" spans="2:4" x14ac:dyDescent="0.15">
      <c r="B2175" s="69"/>
      <c r="C2175" s="70"/>
      <c r="D2175" s="71"/>
    </row>
    <row r="2176" spans="2:4" x14ac:dyDescent="0.15">
      <c r="B2176" s="69"/>
      <c r="C2176" s="70"/>
      <c r="D2176" s="71"/>
    </row>
    <row r="2177" spans="2:4" x14ac:dyDescent="0.15">
      <c r="B2177" s="69"/>
      <c r="C2177" s="70"/>
      <c r="D2177" s="71"/>
    </row>
    <row r="2178" spans="2:4" x14ac:dyDescent="0.15">
      <c r="B2178" s="69"/>
      <c r="C2178" s="70"/>
      <c r="D2178" s="71"/>
    </row>
    <row r="2179" spans="2:4" x14ac:dyDescent="0.15">
      <c r="B2179" s="69"/>
      <c r="C2179" s="70"/>
      <c r="D2179" s="71"/>
    </row>
    <row r="2180" spans="2:4" x14ac:dyDescent="0.15">
      <c r="B2180" s="69"/>
      <c r="C2180" s="70"/>
      <c r="D2180" s="71"/>
    </row>
    <row r="2181" spans="2:4" x14ac:dyDescent="0.15">
      <c r="B2181" s="69"/>
      <c r="C2181" s="70"/>
      <c r="D2181" s="71"/>
    </row>
    <row r="2182" spans="2:4" x14ac:dyDescent="0.15">
      <c r="B2182" s="69"/>
      <c r="C2182" s="70"/>
      <c r="D2182" s="71"/>
    </row>
    <row r="2183" spans="2:4" x14ac:dyDescent="0.15">
      <c r="B2183" s="69"/>
      <c r="C2183" s="70"/>
      <c r="D2183" s="71"/>
    </row>
    <row r="2184" spans="2:4" x14ac:dyDescent="0.15">
      <c r="B2184" s="69"/>
      <c r="C2184" s="70"/>
      <c r="D2184" s="71"/>
    </row>
    <row r="2185" spans="2:4" x14ac:dyDescent="0.15">
      <c r="B2185" s="69"/>
      <c r="C2185" s="70"/>
      <c r="D2185" s="71"/>
    </row>
    <row r="2186" spans="2:4" x14ac:dyDescent="0.15">
      <c r="B2186" s="69"/>
      <c r="C2186" s="70"/>
      <c r="D2186" s="71"/>
    </row>
    <row r="2187" spans="2:4" x14ac:dyDescent="0.15">
      <c r="B2187" s="69"/>
      <c r="C2187" s="70"/>
      <c r="D2187" s="71"/>
    </row>
    <row r="2188" spans="2:4" x14ac:dyDescent="0.15">
      <c r="B2188" s="69"/>
      <c r="C2188" s="70"/>
      <c r="D2188" s="71"/>
    </row>
    <row r="2189" spans="2:4" x14ac:dyDescent="0.15">
      <c r="B2189" s="69"/>
      <c r="C2189" s="70"/>
      <c r="D2189" s="71"/>
    </row>
    <row r="2190" spans="2:4" x14ac:dyDescent="0.15">
      <c r="B2190" s="69"/>
      <c r="C2190" s="70"/>
      <c r="D2190" s="71"/>
    </row>
    <row r="2191" spans="2:4" x14ac:dyDescent="0.15">
      <c r="B2191" s="69"/>
      <c r="C2191" s="70"/>
      <c r="D2191" s="71"/>
    </row>
    <row r="2192" spans="2:4" x14ac:dyDescent="0.15">
      <c r="B2192" s="69"/>
      <c r="C2192" s="70"/>
      <c r="D2192" s="71"/>
    </row>
    <row r="2193" spans="2:4" x14ac:dyDescent="0.15">
      <c r="B2193" s="69"/>
      <c r="C2193" s="70"/>
      <c r="D2193" s="71"/>
    </row>
    <row r="2194" spans="2:4" x14ac:dyDescent="0.15">
      <c r="B2194" s="69"/>
      <c r="C2194" s="70"/>
      <c r="D2194" s="71"/>
    </row>
    <row r="2195" spans="2:4" x14ac:dyDescent="0.15">
      <c r="B2195" s="69"/>
      <c r="C2195" s="70"/>
      <c r="D2195" s="71"/>
    </row>
    <row r="2196" spans="2:4" x14ac:dyDescent="0.15">
      <c r="B2196" s="69"/>
      <c r="C2196" s="70"/>
      <c r="D2196" s="71"/>
    </row>
    <row r="2197" spans="2:4" x14ac:dyDescent="0.15">
      <c r="B2197" s="69"/>
      <c r="C2197" s="70"/>
      <c r="D2197" s="71"/>
    </row>
    <row r="2198" spans="2:4" x14ac:dyDescent="0.15">
      <c r="B2198" s="69"/>
      <c r="C2198" s="70"/>
      <c r="D2198" s="71"/>
    </row>
    <row r="2199" spans="2:4" x14ac:dyDescent="0.15">
      <c r="B2199" s="69"/>
      <c r="C2199" s="70"/>
      <c r="D2199" s="71"/>
    </row>
    <row r="2200" spans="2:4" x14ac:dyDescent="0.15">
      <c r="B2200" s="69"/>
      <c r="C2200" s="70"/>
      <c r="D2200" s="71"/>
    </row>
    <row r="2201" spans="2:4" x14ac:dyDescent="0.15">
      <c r="B2201" s="69"/>
      <c r="C2201" s="70"/>
      <c r="D2201" s="71"/>
    </row>
    <row r="2202" spans="2:4" x14ac:dyDescent="0.15">
      <c r="B2202" s="69"/>
      <c r="C2202" s="70"/>
      <c r="D2202" s="71"/>
    </row>
    <row r="2203" spans="2:4" x14ac:dyDescent="0.15">
      <c r="B2203" s="69"/>
      <c r="C2203" s="70"/>
      <c r="D2203" s="71"/>
    </row>
    <row r="2204" spans="2:4" x14ac:dyDescent="0.15">
      <c r="B2204" s="69"/>
      <c r="C2204" s="70"/>
      <c r="D2204" s="71"/>
    </row>
    <row r="2205" spans="2:4" x14ac:dyDescent="0.15">
      <c r="B2205" s="69"/>
      <c r="C2205" s="70"/>
      <c r="D2205" s="71"/>
    </row>
    <row r="2206" spans="2:4" x14ac:dyDescent="0.15">
      <c r="B2206" s="69"/>
      <c r="C2206" s="70"/>
      <c r="D2206" s="71"/>
    </row>
    <row r="2207" spans="2:4" x14ac:dyDescent="0.15">
      <c r="B2207" s="69"/>
      <c r="C2207" s="70"/>
      <c r="D2207" s="71"/>
    </row>
    <row r="2208" spans="2:4" x14ac:dyDescent="0.15">
      <c r="B2208" s="69"/>
      <c r="C2208" s="70"/>
      <c r="D2208" s="71"/>
    </row>
    <row r="2209" spans="2:4" x14ac:dyDescent="0.15">
      <c r="B2209" s="69"/>
      <c r="C2209" s="70"/>
      <c r="D2209" s="71"/>
    </row>
    <row r="2210" spans="2:4" x14ac:dyDescent="0.15">
      <c r="B2210" s="69"/>
      <c r="C2210" s="70"/>
      <c r="D2210" s="71"/>
    </row>
    <row r="2211" spans="2:4" x14ac:dyDescent="0.15">
      <c r="B2211" s="69"/>
      <c r="C2211" s="70"/>
      <c r="D2211" s="71"/>
    </row>
    <row r="2212" spans="2:4" x14ac:dyDescent="0.15">
      <c r="B2212" s="69"/>
      <c r="C2212" s="70"/>
      <c r="D2212" s="71"/>
    </row>
    <row r="2213" spans="2:4" x14ac:dyDescent="0.15">
      <c r="B2213" s="69"/>
      <c r="C2213" s="70"/>
      <c r="D2213" s="71"/>
    </row>
    <row r="2214" spans="2:4" x14ac:dyDescent="0.15">
      <c r="B2214" s="69"/>
      <c r="C2214" s="70"/>
      <c r="D2214" s="71"/>
    </row>
    <row r="2215" spans="2:4" x14ac:dyDescent="0.15">
      <c r="B2215" s="69"/>
      <c r="C2215" s="70"/>
      <c r="D2215" s="71"/>
    </row>
    <row r="2216" spans="2:4" x14ac:dyDescent="0.15">
      <c r="B2216" s="69"/>
      <c r="C2216" s="70"/>
      <c r="D2216" s="71"/>
    </row>
    <row r="2217" spans="2:4" x14ac:dyDescent="0.15">
      <c r="B2217" s="69"/>
      <c r="C2217" s="70"/>
      <c r="D2217" s="71"/>
    </row>
    <row r="2218" spans="2:4" x14ac:dyDescent="0.15">
      <c r="B2218" s="69"/>
      <c r="C2218" s="70"/>
      <c r="D2218" s="71"/>
    </row>
    <row r="2219" spans="2:4" x14ac:dyDescent="0.15">
      <c r="B2219" s="69"/>
      <c r="C2219" s="70"/>
      <c r="D2219" s="71"/>
    </row>
    <row r="2220" spans="2:4" x14ac:dyDescent="0.15">
      <c r="B2220" s="69"/>
      <c r="C2220" s="70"/>
      <c r="D2220" s="71"/>
    </row>
    <row r="2221" spans="2:4" x14ac:dyDescent="0.15">
      <c r="B2221" s="69"/>
      <c r="C2221" s="70"/>
      <c r="D2221" s="71"/>
    </row>
    <row r="2222" spans="2:4" x14ac:dyDescent="0.15">
      <c r="B2222" s="69"/>
      <c r="C2222" s="70"/>
      <c r="D2222" s="71"/>
    </row>
    <row r="2223" spans="2:4" x14ac:dyDescent="0.15">
      <c r="B2223" s="69"/>
      <c r="C2223" s="70"/>
      <c r="D2223" s="71"/>
    </row>
    <row r="2224" spans="2:4" x14ac:dyDescent="0.15">
      <c r="B2224" s="69"/>
      <c r="C2224" s="70"/>
      <c r="D2224" s="71"/>
    </row>
    <row r="2225" spans="2:4" x14ac:dyDescent="0.15">
      <c r="B2225" s="69"/>
      <c r="C2225" s="70"/>
      <c r="D2225" s="71"/>
    </row>
    <row r="2226" spans="2:4" x14ac:dyDescent="0.15">
      <c r="B2226" s="69"/>
      <c r="C2226" s="70"/>
      <c r="D2226" s="71"/>
    </row>
    <row r="2227" spans="2:4" x14ac:dyDescent="0.15">
      <c r="B2227" s="69"/>
      <c r="C2227" s="70"/>
      <c r="D2227" s="71"/>
    </row>
    <row r="2228" spans="2:4" x14ac:dyDescent="0.15">
      <c r="B2228" s="69"/>
      <c r="C2228" s="70"/>
      <c r="D2228" s="71"/>
    </row>
    <row r="2229" spans="2:4" x14ac:dyDescent="0.15">
      <c r="B2229" s="69"/>
      <c r="C2229" s="70"/>
      <c r="D2229" s="71"/>
    </row>
    <row r="2230" spans="2:4" x14ac:dyDescent="0.15">
      <c r="B2230" s="69"/>
      <c r="C2230" s="70"/>
      <c r="D2230" s="71"/>
    </row>
    <row r="2231" spans="2:4" x14ac:dyDescent="0.15">
      <c r="B2231" s="69"/>
      <c r="C2231" s="70"/>
      <c r="D2231" s="71"/>
    </row>
    <row r="2232" spans="2:4" x14ac:dyDescent="0.15">
      <c r="B2232" s="69"/>
      <c r="C2232" s="70"/>
      <c r="D2232" s="71"/>
    </row>
    <row r="2233" spans="2:4" x14ac:dyDescent="0.15">
      <c r="B2233" s="69"/>
      <c r="C2233" s="70"/>
      <c r="D2233" s="71"/>
    </row>
    <row r="2234" spans="2:4" x14ac:dyDescent="0.15">
      <c r="B2234" s="69"/>
      <c r="C2234" s="70"/>
      <c r="D2234" s="71"/>
    </row>
    <row r="2235" spans="2:4" x14ac:dyDescent="0.15">
      <c r="B2235" s="69"/>
      <c r="C2235" s="70"/>
      <c r="D2235" s="71"/>
    </row>
    <row r="2236" spans="2:4" x14ac:dyDescent="0.15">
      <c r="B2236" s="69"/>
      <c r="C2236" s="70"/>
      <c r="D2236" s="71"/>
    </row>
    <row r="2237" spans="2:4" x14ac:dyDescent="0.15">
      <c r="B2237" s="69"/>
      <c r="C2237" s="70"/>
      <c r="D2237" s="71"/>
    </row>
    <row r="2238" spans="2:4" x14ac:dyDescent="0.15">
      <c r="B2238" s="69"/>
      <c r="C2238" s="70"/>
      <c r="D2238" s="71"/>
    </row>
    <row r="2239" spans="2:4" x14ac:dyDescent="0.15">
      <c r="B2239" s="69"/>
      <c r="C2239" s="70"/>
      <c r="D2239" s="71"/>
    </row>
    <row r="2240" spans="2:4" x14ac:dyDescent="0.15">
      <c r="B2240" s="69"/>
      <c r="C2240" s="70"/>
      <c r="D2240" s="71"/>
    </row>
    <row r="2241" spans="2:4" x14ac:dyDescent="0.15">
      <c r="B2241" s="69"/>
      <c r="C2241" s="70"/>
      <c r="D2241" s="71"/>
    </row>
    <row r="2242" spans="2:4" x14ac:dyDescent="0.15">
      <c r="B2242" s="69"/>
      <c r="C2242" s="70"/>
      <c r="D2242" s="71"/>
    </row>
    <row r="2243" spans="2:4" x14ac:dyDescent="0.15">
      <c r="B2243" s="69"/>
      <c r="C2243" s="70"/>
      <c r="D2243" s="71"/>
    </row>
    <row r="2244" spans="2:4" x14ac:dyDescent="0.15">
      <c r="B2244" s="69"/>
      <c r="C2244" s="70"/>
      <c r="D2244" s="71"/>
    </row>
    <row r="2245" spans="2:4" x14ac:dyDescent="0.15">
      <c r="B2245" s="69"/>
      <c r="C2245" s="70"/>
      <c r="D2245" s="71"/>
    </row>
    <row r="2246" spans="2:4" x14ac:dyDescent="0.15">
      <c r="B2246" s="69"/>
      <c r="C2246" s="70"/>
      <c r="D2246" s="71"/>
    </row>
    <row r="2247" spans="2:4" x14ac:dyDescent="0.15">
      <c r="B2247" s="69"/>
      <c r="C2247" s="70"/>
      <c r="D2247" s="71"/>
    </row>
    <row r="2248" spans="2:4" x14ac:dyDescent="0.15">
      <c r="B2248" s="69"/>
      <c r="C2248" s="70"/>
      <c r="D2248" s="71"/>
    </row>
    <row r="2249" spans="2:4" x14ac:dyDescent="0.15">
      <c r="B2249" s="69"/>
      <c r="C2249" s="70"/>
      <c r="D2249" s="71"/>
    </row>
    <row r="2250" spans="2:4" x14ac:dyDescent="0.15">
      <c r="B2250" s="69"/>
      <c r="C2250" s="70"/>
      <c r="D2250" s="71"/>
    </row>
    <row r="2251" spans="2:4" x14ac:dyDescent="0.15">
      <c r="B2251" s="69"/>
      <c r="C2251" s="70"/>
      <c r="D2251" s="71"/>
    </row>
    <row r="2252" spans="2:4" x14ac:dyDescent="0.15">
      <c r="B2252" s="69"/>
      <c r="C2252" s="70"/>
      <c r="D2252" s="71"/>
    </row>
    <row r="2253" spans="2:4" x14ac:dyDescent="0.15">
      <c r="B2253" s="69"/>
      <c r="C2253" s="70"/>
      <c r="D2253" s="71"/>
    </row>
    <row r="2254" spans="2:4" x14ac:dyDescent="0.15">
      <c r="B2254" s="69"/>
      <c r="C2254" s="70"/>
      <c r="D2254" s="71"/>
    </row>
    <row r="2255" spans="2:4" x14ac:dyDescent="0.15">
      <c r="B2255" s="69"/>
      <c r="C2255" s="70"/>
      <c r="D2255" s="71"/>
    </row>
    <row r="2256" spans="2:4" x14ac:dyDescent="0.15">
      <c r="B2256" s="69"/>
      <c r="C2256" s="70"/>
      <c r="D2256" s="71"/>
    </row>
    <row r="2257" spans="2:4" x14ac:dyDescent="0.15">
      <c r="B2257" s="69"/>
      <c r="C2257" s="70"/>
      <c r="D2257" s="71"/>
    </row>
    <row r="2258" spans="2:4" x14ac:dyDescent="0.15">
      <c r="B2258" s="69"/>
      <c r="C2258" s="70"/>
      <c r="D2258" s="71"/>
    </row>
    <row r="2259" spans="2:4" x14ac:dyDescent="0.15">
      <c r="B2259" s="69"/>
      <c r="C2259" s="70"/>
      <c r="D2259" s="71"/>
    </row>
    <row r="2260" spans="2:4" x14ac:dyDescent="0.15">
      <c r="B2260" s="69"/>
      <c r="C2260" s="70"/>
      <c r="D2260" s="71"/>
    </row>
    <row r="2261" spans="2:4" x14ac:dyDescent="0.15">
      <c r="B2261" s="69"/>
      <c r="C2261" s="70"/>
      <c r="D2261" s="71"/>
    </row>
    <row r="2262" spans="2:4" x14ac:dyDescent="0.15">
      <c r="B2262" s="69"/>
      <c r="C2262" s="70"/>
      <c r="D2262" s="71"/>
    </row>
    <row r="2263" spans="2:4" x14ac:dyDescent="0.15">
      <c r="B2263" s="69"/>
      <c r="C2263" s="70"/>
      <c r="D2263" s="71"/>
    </row>
    <row r="2264" spans="2:4" x14ac:dyDescent="0.15">
      <c r="B2264" s="69"/>
      <c r="C2264" s="70"/>
      <c r="D2264" s="71"/>
    </row>
    <row r="2265" spans="2:4" x14ac:dyDescent="0.15">
      <c r="B2265" s="69"/>
      <c r="C2265" s="70"/>
      <c r="D2265" s="71"/>
    </row>
    <row r="2266" spans="2:4" x14ac:dyDescent="0.15">
      <c r="B2266" s="69"/>
      <c r="C2266" s="70"/>
      <c r="D2266" s="71"/>
    </row>
    <row r="2267" spans="2:4" x14ac:dyDescent="0.15">
      <c r="B2267" s="69"/>
      <c r="C2267" s="70"/>
      <c r="D2267" s="71"/>
    </row>
    <row r="2268" spans="2:4" x14ac:dyDescent="0.15">
      <c r="B2268" s="69"/>
      <c r="C2268" s="70"/>
      <c r="D2268" s="71"/>
    </row>
    <row r="2269" spans="2:4" x14ac:dyDescent="0.15">
      <c r="B2269" s="69"/>
      <c r="C2269" s="70"/>
      <c r="D2269" s="71"/>
    </row>
    <row r="2270" spans="2:4" x14ac:dyDescent="0.15">
      <c r="B2270" s="69"/>
      <c r="C2270" s="70"/>
      <c r="D2270" s="71"/>
    </row>
    <row r="2271" spans="2:4" x14ac:dyDescent="0.15">
      <c r="B2271" s="69"/>
      <c r="C2271" s="70"/>
      <c r="D2271" s="71"/>
    </row>
    <row r="2272" spans="2:4" x14ac:dyDescent="0.15">
      <c r="B2272" s="69"/>
      <c r="C2272" s="70"/>
      <c r="D2272" s="71"/>
    </row>
    <row r="2273" spans="2:4" x14ac:dyDescent="0.15">
      <c r="B2273" s="69"/>
      <c r="C2273" s="70"/>
      <c r="D2273" s="71"/>
    </row>
    <row r="2274" spans="2:4" x14ac:dyDescent="0.15">
      <c r="B2274" s="69"/>
      <c r="C2274" s="70"/>
      <c r="D2274" s="71"/>
    </row>
    <row r="2275" spans="2:4" x14ac:dyDescent="0.15">
      <c r="B2275" s="69"/>
      <c r="C2275" s="70"/>
      <c r="D2275" s="71"/>
    </row>
    <row r="2276" spans="2:4" x14ac:dyDescent="0.15">
      <c r="B2276" s="69"/>
      <c r="C2276" s="70"/>
      <c r="D2276" s="71"/>
    </row>
    <row r="2277" spans="2:4" x14ac:dyDescent="0.15">
      <c r="B2277" s="69"/>
      <c r="C2277" s="70"/>
      <c r="D2277" s="71"/>
    </row>
    <row r="2278" spans="2:4" x14ac:dyDescent="0.15">
      <c r="B2278" s="69"/>
      <c r="C2278" s="70"/>
      <c r="D2278" s="71"/>
    </row>
    <row r="2279" spans="2:4" x14ac:dyDescent="0.15">
      <c r="B2279" s="69"/>
      <c r="C2279" s="70"/>
      <c r="D2279" s="71"/>
    </row>
    <row r="2280" spans="2:4" x14ac:dyDescent="0.15">
      <c r="B2280" s="69"/>
      <c r="C2280" s="70"/>
      <c r="D2280" s="71"/>
    </row>
    <row r="2281" spans="2:4" x14ac:dyDescent="0.15">
      <c r="B2281" s="69"/>
      <c r="C2281" s="70"/>
      <c r="D2281" s="71"/>
    </row>
    <row r="2282" spans="2:4" x14ac:dyDescent="0.15">
      <c r="B2282" s="69"/>
      <c r="C2282" s="70"/>
      <c r="D2282" s="71"/>
    </row>
    <row r="2283" spans="2:4" x14ac:dyDescent="0.15">
      <c r="B2283" s="69"/>
      <c r="C2283" s="70"/>
      <c r="D2283" s="71"/>
    </row>
    <row r="2284" spans="2:4" x14ac:dyDescent="0.15">
      <c r="B2284" s="69"/>
      <c r="C2284" s="70"/>
      <c r="D2284" s="71"/>
    </row>
    <row r="2285" spans="2:4" x14ac:dyDescent="0.15">
      <c r="B2285" s="69"/>
      <c r="C2285" s="70"/>
      <c r="D2285" s="71"/>
    </row>
    <row r="2286" spans="2:4" x14ac:dyDescent="0.15">
      <c r="B2286" s="69"/>
      <c r="C2286" s="70"/>
      <c r="D2286" s="71"/>
    </row>
    <row r="2287" spans="2:4" x14ac:dyDescent="0.15">
      <c r="B2287" s="69"/>
      <c r="C2287" s="70"/>
      <c r="D2287" s="71"/>
    </row>
    <row r="2288" spans="2:4" x14ac:dyDescent="0.15">
      <c r="B2288" s="69"/>
      <c r="C2288" s="70"/>
      <c r="D2288" s="71"/>
    </row>
    <row r="2289" spans="2:4" x14ac:dyDescent="0.15">
      <c r="B2289" s="69"/>
      <c r="C2289" s="70"/>
      <c r="D2289" s="71"/>
    </row>
    <row r="2290" spans="2:4" x14ac:dyDescent="0.15">
      <c r="B2290" s="69"/>
      <c r="C2290" s="70"/>
      <c r="D2290" s="71"/>
    </row>
    <row r="2291" spans="2:4" x14ac:dyDescent="0.15">
      <c r="B2291" s="69"/>
      <c r="C2291" s="70"/>
      <c r="D2291" s="71"/>
    </row>
    <row r="2292" spans="2:4" x14ac:dyDescent="0.15">
      <c r="B2292" s="69"/>
      <c r="C2292" s="70"/>
      <c r="D2292" s="71"/>
    </row>
    <row r="2293" spans="2:4" x14ac:dyDescent="0.15">
      <c r="B2293" s="69"/>
      <c r="C2293" s="70"/>
      <c r="D2293" s="71"/>
    </row>
    <row r="2294" spans="2:4" x14ac:dyDescent="0.15">
      <c r="B2294" s="69"/>
      <c r="C2294" s="70"/>
      <c r="D2294" s="71"/>
    </row>
    <row r="2295" spans="2:4" x14ac:dyDescent="0.15">
      <c r="B2295" s="69"/>
      <c r="C2295" s="70"/>
      <c r="D2295" s="71"/>
    </row>
    <row r="2296" spans="2:4" x14ac:dyDescent="0.15">
      <c r="B2296" s="69"/>
      <c r="C2296" s="70"/>
      <c r="D2296" s="71"/>
    </row>
    <row r="2297" spans="2:4" x14ac:dyDescent="0.15">
      <c r="B2297" s="69"/>
      <c r="C2297" s="70"/>
      <c r="D2297" s="71"/>
    </row>
    <row r="2298" spans="2:4" x14ac:dyDescent="0.15">
      <c r="B2298" s="69"/>
      <c r="C2298" s="70"/>
      <c r="D2298" s="71"/>
    </row>
    <row r="2299" spans="2:4" x14ac:dyDescent="0.15">
      <c r="B2299" s="69"/>
      <c r="C2299" s="70"/>
      <c r="D2299" s="71"/>
    </row>
    <row r="2300" spans="2:4" x14ac:dyDescent="0.15">
      <c r="B2300" s="69"/>
      <c r="C2300" s="70"/>
      <c r="D2300" s="71"/>
    </row>
    <row r="2301" spans="2:4" x14ac:dyDescent="0.15">
      <c r="B2301" s="69"/>
      <c r="C2301" s="70"/>
      <c r="D2301" s="71"/>
    </row>
    <row r="2302" spans="2:4" x14ac:dyDescent="0.15">
      <c r="B2302" s="69"/>
      <c r="C2302" s="70"/>
      <c r="D2302" s="71"/>
    </row>
    <row r="2303" spans="2:4" x14ac:dyDescent="0.15">
      <c r="B2303" s="69"/>
      <c r="C2303" s="70"/>
      <c r="D2303" s="71"/>
    </row>
    <row r="2304" spans="2:4" x14ac:dyDescent="0.15">
      <c r="B2304" s="69"/>
      <c r="C2304" s="70"/>
      <c r="D2304" s="71"/>
    </row>
    <row r="2305" spans="2:4" x14ac:dyDescent="0.15">
      <c r="B2305" s="69"/>
      <c r="C2305" s="70"/>
      <c r="D2305" s="71"/>
    </row>
    <row r="2306" spans="2:4" x14ac:dyDescent="0.15">
      <c r="B2306" s="69"/>
      <c r="C2306" s="70"/>
      <c r="D2306" s="71"/>
    </row>
    <row r="2307" spans="2:4" x14ac:dyDescent="0.15">
      <c r="B2307" s="69"/>
      <c r="C2307" s="70"/>
      <c r="D2307" s="71"/>
    </row>
    <row r="2308" spans="2:4" x14ac:dyDescent="0.15">
      <c r="B2308" s="69"/>
      <c r="C2308" s="70"/>
      <c r="D2308" s="71"/>
    </row>
    <row r="2309" spans="2:4" x14ac:dyDescent="0.15">
      <c r="B2309" s="69"/>
      <c r="C2309" s="70"/>
      <c r="D2309" s="71"/>
    </row>
    <row r="2310" spans="2:4" x14ac:dyDescent="0.15">
      <c r="B2310" s="69"/>
      <c r="C2310" s="70"/>
      <c r="D2310" s="71"/>
    </row>
    <row r="2311" spans="2:4" x14ac:dyDescent="0.15">
      <c r="B2311" s="69"/>
      <c r="C2311" s="70"/>
      <c r="D2311" s="71"/>
    </row>
    <row r="2312" spans="2:4" x14ac:dyDescent="0.15">
      <c r="B2312" s="69"/>
      <c r="C2312" s="70"/>
      <c r="D2312" s="71"/>
    </row>
    <row r="2313" spans="2:4" x14ac:dyDescent="0.15">
      <c r="B2313" s="69"/>
      <c r="C2313" s="70"/>
      <c r="D2313" s="71"/>
    </row>
    <row r="2314" spans="2:4" x14ac:dyDescent="0.15">
      <c r="B2314" s="69"/>
      <c r="C2314" s="70"/>
      <c r="D2314" s="71"/>
    </row>
    <row r="2315" spans="2:4" x14ac:dyDescent="0.15">
      <c r="B2315" s="69"/>
      <c r="C2315" s="70"/>
      <c r="D2315" s="71"/>
    </row>
    <row r="2316" spans="2:4" x14ac:dyDescent="0.15">
      <c r="B2316" s="69"/>
      <c r="C2316" s="70"/>
      <c r="D2316" s="71"/>
    </row>
    <row r="2317" spans="2:4" x14ac:dyDescent="0.15">
      <c r="B2317" s="69"/>
      <c r="C2317" s="70"/>
      <c r="D2317" s="71"/>
    </row>
    <row r="2318" spans="2:4" x14ac:dyDescent="0.15">
      <c r="B2318" s="69"/>
      <c r="C2318" s="70"/>
      <c r="D2318" s="71"/>
    </row>
    <row r="2319" spans="2:4" x14ac:dyDescent="0.15">
      <c r="B2319" s="69"/>
      <c r="C2319" s="70"/>
      <c r="D2319" s="71"/>
    </row>
    <row r="2320" spans="2:4" x14ac:dyDescent="0.15">
      <c r="B2320" s="69"/>
      <c r="C2320" s="70"/>
      <c r="D2320" s="71"/>
    </row>
    <row r="2321" spans="2:4" x14ac:dyDescent="0.15">
      <c r="B2321" s="69"/>
      <c r="C2321" s="70"/>
      <c r="D2321" s="71"/>
    </row>
    <row r="2322" spans="2:4" x14ac:dyDescent="0.15">
      <c r="B2322" s="69"/>
      <c r="C2322" s="70"/>
      <c r="D2322" s="71"/>
    </row>
    <row r="2323" spans="2:4" x14ac:dyDescent="0.15">
      <c r="B2323" s="69"/>
      <c r="C2323" s="70"/>
      <c r="D2323" s="71"/>
    </row>
    <row r="2324" spans="2:4" x14ac:dyDescent="0.15">
      <c r="B2324" s="69"/>
      <c r="C2324" s="70"/>
      <c r="D2324" s="71"/>
    </row>
    <row r="2325" spans="2:4" x14ac:dyDescent="0.15">
      <c r="B2325" s="69"/>
      <c r="C2325" s="70"/>
      <c r="D2325" s="71"/>
    </row>
    <row r="2326" spans="2:4" x14ac:dyDescent="0.15">
      <c r="B2326" s="69"/>
      <c r="C2326" s="70"/>
      <c r="D2326" s="71"/>
    </row>
    <row r="2327" spans="2:4" x14ac:dyDescent="0.15">
      <c r="B2327" s="69"/>
      <c r="C2327" s="70"/>
      <c r="D2327" s="71"/>
    </row>
    <row r="2328" spans="2:4" x14ac:dyDescent="0.15">
      <c r="B2328" s="69"/>
      <c r="C2328" s="70"/>
      <c r="D2328" s="71"/>
    </row>
    <row r="2329" spans="2:4" x14ac:dyDescent="0.15">
      <c r="B2329" s="69"/>
      <c r="C2329" s="70"/>
      <c r="D2329" s="71"/>
    </row>
    <row r="2330" spans="2:4" x14ac:dyDescent="0.15">
      <c r="B2330" s="69"/>
      <c r="C2330" s="70"/>
      <c r="D2330" s="71"/>
    </row>
    <row r="2331" spans="2:4" x14ac:dyDescent="0.15">
      <c r="B2331" s="69"/>
      <c r="C2331" s="70"/>
      <c r="D2331" s="71"/>
    </row>
    <row r="2332" spans="2:4" x14ac:dyDescent="0.15">
      <c r="B2332" s="69"/>
      <c r="C2332" s="70"/>
      <c r="D2332" s="71"/>
    </row>
    <row r="2333" spans="2:4" x14ac:dyDescent="0.15">
      <c r="B2333" s="69"/>
      <c r="C2333" s="70"/>
      <c r="D2333" s="71"/>
    </row>
    <row r="2334" spans="2:4" x14ac:dyDescent="0.15">
      <c r="B2334" s="69"/>
      <c r="C2334" s="70"/>
      <c r="D2334" s="71"/>
    </row>
    <row r="2335" spans="2:4" x14ac:dyDescent="0.15">
      <c r="B2335" s="69"/>
      <c r="C2335" s="70"/>
      <c r="D2335" s="71"/>
    </row>
    <row r="2336" spans="2:4" x14ac:dyDescent="0.15">
      <c r="B2336" s="69"/>
      <c r="C2336" s="70"/>
      <c r="D2336" s="71"/>
    </row>
    <row r="2337" spans="2:4" x14ac:dyDescent="0.15">
      <c r="B2337" s="69"/>
      <c r="C2337" s="70"/>
      <c r="D2337" s="71"/>
    </row>
    <row r="2338" spans="2:4" x14ac:dyDescent="0.15">
      <c r="B2338" s="69"/>
      <c r="C2338" s="70"/>
      <c r="D2338" s="71"/>
    </row>
    <row r="2339" spans="2:4" x14ac:dyDescent="0.15">
      <c r="B2339" s="69"/>
      <c r="C2339" s="70"/>
      <c r="D2339" s="71"/>
    </row>
    <row r="2340" spans="2:4" x14ac:dyDescent="0.15">
      <c r="B2340" s="69"/>
      <c r="C2340" s="70"/>
      <c r="D2340" s="71"/>
    </row>
    <row r="2341" spans="2:4" x14ac:dyDescent="0.15">
      <c r="B2341" s="69"/>
      <c r="C2341" s="70"/>
      <c r="D2341" s="71"/>
    </row>
    <row r="2342" spans="2:4" x14ac:dyDescent="0.15">
      <c r="B2342" s="69"/>
      <c r="C2342" s="70"/>
      <c r="D2342" s="71"/>
    </row>
    <row r="2343" spans="2:4" x14ac:dyDescent="0.15">
      <c r="B2343" s="69"/>
      <c r="C2343" s="70"/>
      <c r="D2343" s="71"/>
    </row>
    <row r="2344" spans="2:4" x14ac:dyDescent="0.15">
      <c r="B2344" s="69"/>
      <c r="C2344" s="70"/>
      <c r="D2344" s="71"/>
    </row>
    <row r="2345" spans="2:4" x14ac:dyDescent="0.15">
      <c r="B2345" s="69"/>
      <c r="C2345" s="70"/>
      <c r="D2345" s="71"/>
    </row>
    <row r="2346" spans="2:4" x14ac:dyDescent="0.15">
      <c r="B2346" s="69"/>
      <c r="C2346" s="70"/>
      <c r="D2346" s="71"/>
    </row>
    <row r="2347" spans="2:4" x14ac:dyDescent="0.15">
      <c r="B2347" s="69"/>
      <c r="C2347" s="70"/>
      <c r="D2347" s="71"/>
    </row>
    <row r="2348" spans="2:4" x14ac:dyDescent="0.15">
      <c r="B2348" s="69"/>
      <c r="C2348" s="70"/>
      <c r="D2348" s="71"/>
    </row>
    <row r="2349" spans="2:4" x14ac:dyDescent="0.15">
      <c r="B2349" s="69"/>
      <c r="C2349" s="70"/>
      <c r="D2349" s="71"/>
    </row>
    <row r="2350" spans="2:4" x14ac:dyDescent="0.15">
      <c r="B2350" s="69"/>
      <c r="C2350" s="70"/>
      <c r="D2350" s="71"/>
    </row>
    <row r="2351" spans="2:4" x14ac:dyDescent="0.15">
      <c r="B2351" s="69"/>
      <c r="C2351" s="70"/>
      <c r="D2351" s="71"/>
    </row>
    <row r="2352" spans="2:4" x14ac:dyDescent="0.15">
      <c r="B2352" s="69"/>
      <c r="C2352" s="70"/>
      <c r="D2352" s="71"/>
    </row>
    <row r="2353" spans="2:4" x14ac:dyDescent="0.15">
      <c r="B2353" s="69"/>
      <c r="C2353" s="70"/>
      <c r="D2353" s="71"/>
    </row>
    <row r="2354" spans="2:4" x14ac:dyDescent="0.15">
      <c r="B2354" s="69"/>
      <c r="C2354" s="70"/>
      <c r="D2354" s="71"/>
    </row>
    <row r="2355" spans="2:4" x14ac:dyDescent="0.15">
      <c r="B2355" s="69"/>
      <c r="C2355" s="70"/>
      <c r="D2355" s="71"/>
    </row>
    <row r="2356" spans="2:4" x14ac:dyDescent="0.15">
      <c r="B2356" s="69"/>
      <c r="C2356" s="70"/>
      <c r="D2356" s="71"/>
    </row>
    <row r="2357" spans="2:4" x14ac:dyDescent="0.15">
      <c r="B2357" s="69"/>
      <c r="C2357" s="70"/>
      <c r="D2357" s="71"/>
    </row>
    <row r="2358" spans="2:4" x14ac:dyDescent="0.15">
      <c r="B2358" s="69"/>
      <c r="C2358" s="70"/>
      <c r="D2358" s="71"/>
    </row>
    <row r="2359" spans="2:4" x14ac:dyDescent="0.15">
      <c r="B2359" s="69"/>
      <c r="C2359" s="70"/>
      <c r="D2359" s="71"/>
    </row>
    <row r="2360" spans="2:4" x14ac:dyDescent="0.15">
      <c r="B2360" s="69"/>
      <c r="C2360" s="70"/>
      <c r="D2360" s="71"/>
    </row>
    <row r="2361" spans="2:4" x14ac:dyDescent="0.15">
      <c r="B2361" s="69"/>
      <c r="C2361" s="70"/>
      <c r="D2361" s="71"/>
    </row>
    <row r="2362" spans="2:4" x14ac:dyDescent="0.15">
      <c r="B2362" s="69"/>
      <c r="C2362" s="70"/>
      <c r="D2362" s="71"/>
    </row>
    <row r="2363" spans="2:4" x14ac:dyDescent="0.15">
      <c r="B2363" s="69"/>
      <c r="C2363" s="70"/>
      <c r="D2363" s="71"/>
    </row>
    <row r="2364" spans="2:4" x14ac:dyDescent="0.15">
      <c r="B2364" s="69"/>
      <c r="C2364" s="70"/>
      <c r="D2364" s="71"/>
    </row>
    <row r="2365" spans="2:4" x14ac:dyDescent="0.15">
      <c r="B2365" s="69"/>
      <c r="C2365" s="70"/>
      <c r="D2365" s="71"/>
    </row>
    <row r="2366" spans="2:4" x14ac:dyDescent="0.15">
      <c r="B2366" s="69"/>
      <c r="C2366" s="70"/>
      <c r="D2366" s="71"/>
    </row>
    <row r="2367" spans="2:4" x14ac:dyDescent="0.15">
      <c r="B2367" s="69"/>
      <c r="C2367" s="70"/>
      <c r="D2367" s="71"/>
    </row>
    <row r="2368" spans="2:4" x14ac:dyDescent="0.15">
      <c r="B2368" s="69"/>
      <c r="C2368" s="70"/>
      <c r="D2368" s="71"/>
    </row>
    <row r="2369" spans="2:4" x14ac:dyDescent="0.15">
      <c r="B2369" s="69"/>
      <c r="C2369" s="70"/>
      <c r="D2369" s="71"/>
    </row>
    <row r="2370" spans="2:4" x14ac:dyDescent="0.15">
      <c r="B2370" s="69"/>
      <c r="C2370" s="70"/>
      <c r="D2370" s="71"/>
    </row>
    <row r="2371" spans="2:4" x14ac:dyDescent="0.15">
      <c r="B2371" s="69"/>
      <c r="C2371" s="70"/>
      <c r="D2371" s="71"/>
    </row>
    <row r="2372" spans="2:4" x14ac:dyDescent="0.15">
      <c r="B2372" s="69"/>
      <c r="C2372" s="70"/>
      <c r="D2372" s="71"/>
    </row>
    <row r="2373" spans="2:4" x14ac:dyDescent="0.15">
      <c r="B2373" s="69"/>
      <c r="C2373" s="70"/>
      <c r="D2373" s="71"/>
    </row>
    <row r="2374" spans="2:4" x14ac:dyDescent="0.15">
      <c r="B2374" s="69"/>
      <c r="C2374" s="70"/>
      <c r="D2374" s="71"/>
    </row>
    <row r="2375" spans="2:4" x14ac:dyDescent="0.15">
      <c r="B2375" s="69"/>
      <c r="C2375" s="70"/>
      <c r="D2375" s="71"/>
    </row>
    <row r="2376" spans="2:4" x14ac:dyDescent="0.15">
      <c r="B2376" s="69"/>
      <c r="C2376" s="70"/>
      <c r="D2376" s="71"/>
    </row>
    <row r="2377" spans="2:4" x14ac:dyDescent="0.15">
      <c r="B2377" s="69"/>
      <c r="C2377" s="70"/>
      <c r="D2377" s="71"/>
    </row>
    <row r="2378" spans="2:4" x14ac:dyDescent="0.15">
      <c r="B2378" s="69"/>
      <c r="C2378" s="70"/>
      <c r="D2378" s="71"/>
    </row>
    <row r="2379" spans="2:4" x14ac:dyDescent="0.15">
      <c r="B2379" s="69"/>
      <c r="C2379" s="70"/>
      <c r="D2379" s="71"/>
    </row>
    <row r="2380" spans="2:4" x14ac:dyDescent="0.15">
      <c r="B2380" s="69"/>
      <c r="C2380" s="70"/>
      <c r="D2380" s="71"/>
    </row>
    <row r="2381" spans="2:4" x14ac:dyDescent="0.15">
      <c r="B2381" s="69"/>
      <c r="C2381" s="70"/>
      <c r="D2381" s="71"/>
    </row>
    <row r="2382" spans="2:4" x14ac:dyDescent="0.15">
      <c r="B2382" s="69"/>
      <c r="C2382" s="70"/>
      <c r="D2382" s="71"/>
    </row>
    <row r="2383" spans="2:4" x14ac:dyDescent="0.15">
      <c r="B2383" s="69"/>
      <c r="C2383" s="70"/>
      <c r="D2383" s="71"/>
    </row>
    <row r="2384" spans="2:4" x14ac:dyDescent="0.15">
      <c r="B2384" s="69"/>
      <c r="C2384" s="70"/>
      <c r="D2384" s="71"/>
    </row>
    <row r="2385" spans="2:4" x14ac:dyDescent="0.15">
      <c r="B2385" s="69"/>
      <c r="C2385" s="70"/>
      <c r="D2385" s="71"/>
    </row>
    <row r="2386" spans="2:4" x14ac:dyDescent="0.15">
      <c r="B2386" s="69"/>
      <c r="C2386" s="70"/>
      <c r="D2386" s="71"/>
    </row>
    <row r="2387" spans="2:4" x14ac:dyDescent="0.15">
      <c r="B2387" s="69"/>
      <c r="C2387" s="70"/>
      <c r="D2387" s="71"/>
    </row>
    <row r="2388" spans="2:4" x14ac:dyDescent="0.15">
      <c r="B2388" s="69"/>
      <c r="C2388" s="70"/>
      <c r="D2388" s="71"/>
    </row>
    <row r="2389" spans="2:4" x14ac:dyDescent="0.15">
      <c r="B2389" s="69"/>
      <c r="C2389" s="70"/>
      <c r="D2389" s="71"/>
    </row>
    <row r="2390" spans="2:4" x14ac:dyDescent="0.15">
      <c r="B2390" s="69"/>
      <c r="C2390" s="70"/>
      <c r="D2390" s="71"/>
    </row>
    <row r="2391" spans="2:4" x14ac:dyDescent="0.15">
      <c r="B2391" s="69"/>
      <c r="C2391" s="70"/>
      <c r="D2391" s="71"/>
    </row>
    <row r="2392" spans="2:4" x14ac:dyDescent="0.15">
      <c r="B2392" s="69"/>
      <c r="C2392" s="70"/>
      <c r="D2392" s="71"/>
    </row>
    <row r="2393" spans="2:4" x14ac:dyDescent="0.15">
      <c r="B2393" s="69"/>
      <c r="C2393" s="70"/>
      <c r="D2393" s="71"/>
    </row>
    <row r="2394" spans="2:4" x14ac:dyDescent="0.15">
      <c r="B2394" s="69"/>
      <c r="C2394" s="70"/>
      <c r="D2394" s="71"/>
    </row>
    <row r="2395" spans="2:4" x14ac:dyDescent="0.15">
      <c r="B2395" s="69"/>
      <c r="C2395" s="70"/>
      <c r="D2395" s="71"/>
    </row>
    <row r="2396" spans="2:4" x14ac:dyDescent="0.15">
      <c r="B2396" s="69"/>
      <c r="C2396" s="70"/>
      <c r="D2396" s="71"/>
    </row>
    <row r="2397" spans="2:4" x14ac:dyDescent="0.15">
      <c r="B2397" s="69"/>
      <c r="C2397" s="70"/>
      <c r="D2397" s="71"/>
    </row>
    <row r="2398" spans="2:4" x14ac:dyDescent="0.15">
      <c r="B2398" s="69"/>
      <c r="C2398" s="70"/>
      <c r="D2398" s="71"/>
    </row>
    <row r="2399" spans="2:4" x14ac:dyDescent="0.15">
      <c r="B2399" s="69"/>
      <c r="C2399" s="70"/>
      <c r="D2399" s="71"/>
    </row>
    <row r="2400" spans="2:4" x14ac:dyDescent="0.15">
      <c r="B2400" s="69"/>
      <c r="C2400" s="70"/>
      <c r="D2400" s="71"/>
    </row>
    <row r="2401" spans="2:4" x14ac:dyDescent="0.15">
      <c r="B2401" s="69"/>
      <c r="C2401" s="70"/>
      <c r="D2401" s="71"/>
    </row>
    <row r="2402" spans="2:4" x14ac:dyDescent="0.15">
      <c r="B2402" s="69"/>
      <c r="C2402" s="70"/>
      <c r="D2402" s="71"/>
    </row>
    <row r="2403" spans="2:4" x14ac:dyDescent="0.15">
      <c r="B2403" s="69"/>
      <c r="C2403" s="70"/>
      <c r="D2403" s="71"/>
    </row>
    <row r="2404" spans="2:4" x14ac:dyDescent="0.15">
      <c r="B2404" s="69"/>
      <c r="C2404" s="70"/>
      <c r="D2404" s="71"/>
    </row>
    <row r="2405" spans="2:4" x14ac:dyDescent="0.15">
      <c r="B2405" s="69"/>
      <c r="C2405" s="70"/>
      <c r="D2405" s="71"/>
    </row>
    <row r="2406" spans="2:4" x14ac:dyDescent="0.15">
      <c r="B2406" s="69"/>
      <c r="C2406" s="70"/>
      <c r="D2406" s="71"/>
    </row>
    <row r="2407" spans="2:4" x14ac:dyDescent="0.15">
      <c r="B2407" s="69"/>
      <c r="C2407" s="70"/>
      <c r="D2407" s="71"/>
    </row>
    <row r="2408" spans="2:4" x14ac:dyDescent="0.15">
      <c r="B2408" s="69"/>
      <c r="C2408" s="70"/>
      <c r="D2408" s="71"/>
    </row>
    <row r="2409" spans="2:4" x14ac:dyDescent="0.15">
      <c r="B2409" s="69"/>
      <c r="C2409" s="70"/>
      <c r="D2409" s="71"/>
    </row>
    <row r="2410" spans="2:4" x14ac:dyDescent="0.15">
      <c r="B2410" s="69"/>
      <c r="C2410" s="70"/>
      <c r="D2410" s="71"/>
    </row>
    <row r="2411" spans="2:4" x14ac:dyDescent="0.15">
      <c r="B2411" s="69"/>
      <c r="C2411" s="70"/>
      <c r="D2411" s="71"/>
    </row>
    <row r="2412" spans="2:4" x14ac:dyDescent="0.15">
      <c r="B2412" s="69"/>
      <c r="C2412" s="70"/>
      <c r="D2412" s="71"/>
    </row>
    <row r="2413" spans="2:4" x14ac:dyDescent="0.15">
      <c r="B2413" s="69"/>
      <c r="C2413" s="70"/>
      <c r="D2413" s="71"/>
    </row>
    <row r="2414" spans="2:4" x14ac:dyDescent="0.15">
      <c r="B2414" s="69"/>
      <c r="C2414" s="70"/>
      <c r="D2414" s="71"/>
    </row>
    <row r="2415" spans="2:4" x14ac:dyDescent="0.15">
      <c r="B2415" s="69"/>
      <c r="C2415" s="70"/>
      <c r="D2415" s="71"/>
    </row>
    <row r="2416" spans="2:4" x14ac:dyDescent="0.15">
      <c r="B2416" s="69"/>
      <c r="C2416" s="70"/>
      <c r="D2416" s="71"/>
    </row>
    <row r="2417" spans="2:4" x14ac:dyDescent="0.15">
      <c r="B2417" s="69"/>
      <c r="C2417" s="70"/>
      <c r="D2417" s="71"/>
    </row>
    <row r="2418" spans="2:4" x14ac:dyDescent="0.15">
      <c r="B2418" s="69"/>
      <c r="C2418" s="70"/>
      <c r="D2418" s="71"/>
    </row>
    <row r="2419" spans="2:4" x14ac:dyDescent="0.15">
      <c r="B2419" s="69"/>
      <c r="C2419" s="70"/>
      <c r="D2419" s="71"/>
    </row>
    <row r="2420" spans="2:4" x14ac:dyDescent="0.15">
      <c r="B2420" s="69"/>
      <c r="C2420" s="70"/>
      <c r="D2420" s="71"/>
    </row>
    <row r="2421" spans="2:4" x14ac:dyDescent="0.15">
      <c r="B2421" s="69"/>
      <c r="C2421" s="70"/>
      <c r="D2421" s="71"/>
    </row>
    <row r="2422" spans="2:4" x14ac:dyDescent="0.15">
      <c r="B2422" s="69"/>
      <c r="C2422" s="70"/>
      <c r="D2422" s="71"/>
    </row>
    <row r="2423" spans="2:4" x14ac:dyDescent="0.15">
      <c r="B2423" s="69"/>
      <c r="C2423" s="70"/>
      <c r="D2423" s="71"/>
    </row>
    <row r="2424" spans="2:4" x14ac:dyDescent="0.15">
      <c r="B2424" s="69"/>
      <c r="C2424" s="70"/>
      <c r="D2424" s="71"/>
    </row>
    <row r="2425" spans="2:4" x14ac:dyDescent="0.15">
      <c r="B2425" s="69"/>
      <c r="C2425" s="70"/>
      <c r="D2425" s="71"/>
    </row>
    <row r="2426" spans="2:4" x14ac:dyDescent="0.15">
      <c r="B2426" s="69"/>
      <c r="C2426" s="70"/>
      <c r="D2426" s="71"/>
    </row>
    <row r="2427" spans="2:4" x14ac:dyDescent="0.15">
      <c r="B2427" s="69"/>
      <c r="C2427" s="70"/>
      <c r="D2427" s="71"/>
    </row>
    <row r="2428" spans="2:4" x14ac:dyDescent="0.15">
      <c r="B2428" s="69"/>
      <c r="C2428" s="70"/>
      <c r="D2428" s="71"/>
    </row>
    <row r="2429" spans="2:4" x14ac:dyDescent="0.15">
      <c r="B2429" s="69"/>
      <c r="C2429" s="70"/>
      <c r="D2429" s="71"/>
    </row>
    <row r="2430" spans="2:4" x14ac:dyDescent="0.15">
      <c r="B2430" s="69"/>
      <c r="C2430" s="70"/>
      <c r="D2430" s="71"/>
    </row>
    <row r="2431" spans="2:4" x14ac:dyDescent="0.15">
      <c r="B2431" s="69"/>
      <c r="C2431" s="70"/>
      <c r="D2431" s="71"/>
    </row>
    <row r="2432" spans="2:4" x14ac:dyDescent="0.15">
      <c r="B2432" s="69"/>
      <c r="C2432" s="70"/>
      <c r="D2432" s="71"/>
    </row>
    <row r="2433" spans="2:4" x14ac:dyDescent="0.15">
      <c r="B2433" s="69"/>
      <c r="C2433" s="70"/>
      <c r="D2433" s="71"/>
    </row>
    <row r="2434" spans="2:4" x14ac:dyDescent="0.15">
      <c r="B2434" s="69"/>
      <c r="C2434" s="70"/>
      <c r="D2434" s="71"/>
    </row>
    <row r="2435" spans="2:4" x14ac:dyDescent="0.15">
      <c r="B2435" s="69"/>
      <c r="C2435" s="70"/>
      <c r="D2435" s="71"/>
    </row>
    <row r="2436" spans="2:4" x14ac:dyDescent="0.15">
      <c r="B2436" s="69"/>
      <c r="C2436" s="70"/>
      <c r="D2436" s="71"/>
    </row>
    <row r="2437" spans="2:4" x14ac:dyDescent="0.15">
      <c r="B2437" s="69"/>
      <c r="C2437" s="70"/>
      <c r="D2437" s="71"/>
    </row>
    <row r="2438" spans="2:4" x14ac:dyDescent="0.15">
      <c r="B2438" s="69"/>
      <c r="C2438" s="70"/>
      <c r="D2438" s="71"/>
    </row>
    <row r="2439" spans="2:4" x14ac:dyDescent="0.15">
      <c r="B2439" s="69"/>
      <c r="C2439" s="70"/>
      <c r="D2439" s="71"/>
    </row>
    <row r="2440" spans="2:4" x14ac:dyDescent="0.15">
      <c r="B2440" s="69"/>
      <c r="C2440" s="70"/>
      <c r="D2440" s="71"/>
    </row>
    <row r="2441" spans="2:4" x14ac:dyDescent="0.15">
      <c r="B2441" s="69"/>
      <c r="C2441" s="70"/>
      <c r="D2441" s="71"/>
    </row>
    <row r="2442" spans="2:4" x14ac:dyDescent="0.15">
      <c r="B2442" s="69"/>
      <c r="C2442" s="70"/>
      <c r="D2442" s="71"/>
    </row>
    <row r="2443" spans="2:4" x14ac:dyDescent="0.15">
      <c r="B2443" s="69"/>
      <c r="C2443" s="70"/>
      <c r="D2443" s="71"/>
    </row>
    <row r="2444" spans="2:4" x14ac:dyDescent="0.15">
      <c r="B2444" s="69"/>
      <c r="C2444" s="70"/>
      <c r="D2444" s="71"/>
    </row>
    <row r="2445" spans="2:4" x14ac:dyDescent="0.15">
      <c r="B2445" s="69"/>
      <c r="C2445" s="70"/>
      <c r="D2445" s="71"/>
    </row>
    <row r="2446" spans="2:4" x14ac:dyDescent="0.15">
      <c r="B2446" s="69"/>
      <c r="C2446" s="70"/>
      <c r="D2446" s="71"/>
    </row>
    <row r="2447" spans="2:4" x14ac:dyDescent="0.15">
      <c r="B2447" s="69"/>
      <c r="C2447" s="70"/>
      <c r="D2447" s="71"/>
    </row>
    <row r="2448" spans="2:4" x14ac:dyDescent="0.15">
      <c r="B2448" s="69"/>
      <c r="C2448" s="70"/>
      <c r="D2448" s="71"/>
    </row>
    <row r="2449" spans="2:4" x14ac:dyDescent="0.15">
      <c r="B2449" s="69"/>
      <c r="C2449" s="70"/>
      <c r="D2449" s="71"/>
    </row>
    <row r="2450" spans="2:4" x14ac:dyDescent="0.15">
      <c r="B2450" s="69"/>
      <c r="C2450" s="70"/>
      <c r="D2450" s="71"/>
    </row>
    <row r="2451" spans="2:4" x14ac:dyDescent="0.15">
      <c r="B2451" s="69"/>
      <c r="C2451" s="70"/>
      <c r="D2451" s="71"/>
    </row>
    <row r="2452" spans="2:4" x14ac:dyDescent="0.15">
      <c r="B2452" s="69"/>
      <c r="C2452" s="70"/>
      <c r="D2452" s="71"/>
    </row>
    <row r="2453" spans="2:4" x14ac:dyDescent="0.15">
      <c r="B2453" s="69"/>
      <c r="C2453" s="70"/>
      <c r="D2453" s="71"/>
    </row>
    <row r="2454" spans="2:4" x14ac:dyDescent="0.15">
      <c r="B2454" s="69"/>
      <c r="C2454" s="70"/>
      <c r="D2454" s="71"/>
    </row>
    <row r="2455" spans="2:4" x14ac:dyDescent="0.15">
      <c r="B2455" s="69"/>
      <c r="C2455" s="70"/>
      <c r="D2455" s="71"/>
    </row>
    <row r="2456" spans="2:4" x14ac:dyDescent="0.15">
      <c r="B2456" s="69"/>
      <c r="C2456" s="70"/>
      <c r="D2456" s="71"/>
    </row>
    <row r="2457" spans="2:4" x14ac:dyDescent="0.15">
      <c r="B2457" s="69"/>
      <c r="C2457" s="70"/>
      <c r="D2457" s="71"/>
    </row>
    <row r="2458" spans="2:4" x14ac:dyDescent="0.15">
      <c r="B2458" s="69"/>
      <c r="C2458" s="70"/>
      <c r="D2458" s="71"/>
    </row>
    <row r="2459" spans="2:4" x14ac:dyDescent="0.15">
      <c r="B2459" s="69"/>
      <c r="C2459" s="70"/>
      <c r="D2459" s="71"/>
    </row>
    <row r="2460" spans="2:4" x14ac:dyDescent="0.15">
      <c r="B2460" s="69"/>
      <c r="C2460" s="70"/>
      <c r="D2460" s="71"/>
    </row>
    <row r="2461" spans="2:4" x14ac:dyDescent="0.15">
      <c r="B2461" s="69"/>
      <c r="C2461" s="70"/>
      <c r="D2461" s="71"/>
    </row>
    <row r="2462" spans="2:4" x14ac:dyDescent="0.15">
      <c r="B2462" s="69"/>
      <c r="C2462" s="70"/>
      <c r="D2462" s="71"/>
    </row>
    <row r="2463" spans="2:4" x14ac:dyDescent="0.15">
      <c r="B2463" s="69"/>
      <c r="C2463" s="70"/>
      <c r="D2463" s="71"/>
    </row>
    <row r="2464" spans="2:4" x14ac:dyDescent="0.15">
      <c r="B2464" s="69"/>
      <c r="C2464" s="70"/>
      <c r="D2464" s="71"/>
    </row>
    <row r="2465" spans="2:4" x14ac:dyDescent="0.15">
      <c r="B2465" s="69"/>
      <c r="C2465" s="70"/>
      <c r="D2465" s="71"/>
    </row>
    <row r="2466" spans="2:4" x14ac:dyDescent="0.15">
      <c r="B2466" s="69"/>
      <c r="C2466" s="70"/>
      <c r="D2466" s="71"/>
    </row>
    <row r="2467" spans="2:4" x14ac:dyDescent="0.15">
      <c r="B2467" s="69"/>
      <c r="C2467" s="70"/>
      <c r="D2467" s="71"/>
    </row>
    <row r="2468" spans="2:4" x14ac:dyDescent="0.15">
      <c r="B2468" s="69"/>
      <c r="C2468" s="70"/>
      <c r="D2468" s="71"/>
    </row>
    <row r="2469" spans="2:4" x14ac:dyDescent="0.15">
      <c r="B2469" s="69"/>
      <c r="C2469" s="70"/>
      <c r="D2469" s="71"/>
    </row>
    <row r="2470" spans="2:4" x14ac:dyDescent="0.15">
      <c r="B2470" s="69"/>
      <c r="C2470" s="70"/>
      <c r="D2470" s="71"/>
    </row>
    <row r="2471" spans="2:4" x14ac:dyDescent="0.15">
      <c r="B2471" s="69"/>
      <c r="C2471" s="70"/>
      <c r="D2471" s="71"/>
    </row>
    <row r="2472" spans="2:4" x14ac:dyDescent="0.15">
      <c r="B2472" s="69"/>
      <c r="C2472" s="70"/>
      <c r="D2472" s="71"/>
    </row>
    <row r="2473" spans="2:4" x14ac:dyDescent="0.15">
      <c r="B2473" s="69"/>
      <c r="C2473" s="70"/>
      <c r="D2473" s="71"/>
    </row>
    <row r="2474" spans="2:4" x14ac:dyDescent="0.15">
      <c r="B2474" s="69"/>
      <c r="C2474" s="70"/>
      <c r="D2474" s="71"/>
    </row>
    <row r="2475" spans="2:4" x14ac:dyDescent="0.15">
      <c r="B2475" s="69"/>
      <c r="C2475" s="70"/>
      <c r="D2475" s="71"/>
    </row>
    <row r="2476" spans="2:4" x14ac:dyDescent="0.15">
      <c r="B2476" s="69"/>
      <c r="C2476" s="70"/>
      <c r="D2476" s="71"/>
    </row>
    <row r="2477" spans="2:4" x14ac:dyDescent="0.15">
      <c r="B2477" s="69"/>
      <c r="C2477" s="70"/>
      <c r="D2477" s="71"/>
    </row>
    <row r="2478" spans="2:4" x14ac:dyDescent="0.15">
      <c r="B2478" s="69"/>
      <c r="C2478" s="70"/>
      <c r="D2478" s="71"/>
    </row>
    <row r="2479" spans="2:4" x14ac:dyDescent="0.15">
      <c r="B2479" s="69"/>
      <c r="C2479" s="70"/>
      <c r="D2479" s="71"/>
    </row>
    <row r="2480" spans="2:4" x14ac:dyDescent="0.15">
      <c r="B2480" s="69"/>
      <c r="C2480" s="70"/>
      <c r="D2480" s="71"/>
    </row>
    <row r="2481" spans="2:4" x14ac:dyDescent="0.15">
      <c r="B2481" s="69"/>
      <c r="C2481" s="70"/>
      <c r="D2481" s="71"/>
    </row>
    <row r="2482" spans="2:4" x14ac:dyDescent="0.15">
      <c r="B2482" s="69"/>
      <c r="C2482" s="70"/>
      <c r="D2482" s="71"/>
    </row>
    <row r="2483" spans="2:4" x14ac:dyDescent="0.15">
      <c r="B2483" s="69"/>
      <c r="C2483" s="70"/>
      <c r="D2483" s="71"/>
    </row>
    <row r="2484" spans="2:4" x14ac:dyDescent="0.15">
      <c r="B2484" s="69"/>
      <c r="C2484" s="70"/>
      <c r="D2484" s="71"/>
    </row>
    <row r="2485" spans="2:4" x14ac:dyDescent="0.15">
      <c r="B2485" s="69"/>
      <c r="C2485" s="70"/>
      <c r="D2485" s="71"/>
    </row>
    <row r="2486" spans="2:4" x14ac:dyDescent="0.15">
      <c r="B2486" s="69"/>
      <c r="C2486" s="70"/>
      <c r="D2486" s="71"/>
    </row>
    <row r="2487" spans="2:4" x14ac:dyDescent="0.15">
      <c r="B2487" s="69"/>
      <c r="C2487" s="70"/>
      <c r="D2487" s="71"/>
    </row>
    <row r="2488" spans="2:4" x14ac:dyDescent="0.15">
      <c r="B2488" s="69"/>
      <c r="C2488" s="70"/>
      <c r="D2488" s="71"/>
    </row>
    <row r="2489" spans="2:4" x14ac:dyDescent="0.15">
      <c r="B2489" s="69"/>
      <c r="C2489" s="70"/>
      <c r="D2489" s="71"/>
    </row>
    <row r="2490" spans="2:4" x14ac:dyDescent="0.15">
      <c r="B2490" s="69"/>
      <c r="C2490" s="70"/>
      <c r="D2490" s="71"/>
    </row>
    <row r="2491" spans="2:4" x14ac:dyDescent="0.15">
      <c r="B2491" s="69"/>
      <c r="C2491" s="70"/>
      <c r="D2491" s="71"/>
    </row>
    <row r="2492" spans="2:4" x14ac:dyDescent="0.15">
      <c r="B2492" s="69"/>
      <c r="C2492" s="70"/>
      <c r="D2492" s="71"/>
    </row>
    <row r="2493" spans="2:4" x14ac:dyDescent="0.15">
      <c r="B2493" s="69"/>
      <c r="C2493" s="70"/>
      <c r="D2493" s="71"/>
    </row>
    <row r="2494" spans="2:4" x14ac:dyDescent="0.15">
      <c r="B2494" s="69"/>
      <c r="C2494" s="70"/>
      <c r="D2494" s="71"/>
    </row>
    <row r="2495" spans="2:4" x14ac:dyDescent="0.15">
      <c r="B2495" s="69"/>
      <c r="C2495" s="70"/>
      <c r="D2495" s="71"/>
    </row>
    <row r="2496" spans="2:4" x14ac:dyDescent="0.15">
      <c r="B2496" s="69"/>
      <c r="C2496" s="70"/>
      <c r="D2496" s="71"/>
    </row>
    <row r="2497" spans="2:4" x14ac:dyDescent="0.15">
      <c r="B2497" s="69"/>
      <c r="C2497" s="70"/>
      <c r="D2497" s="71"/>
    </row>
    <row r="2498" spans="2:4" x14ac:dyDescent="0.15">
      <c r="B2498" s="69"/>
      <c r="C2498" s="70"/>
      <c r="D2498" s="71"/>
    </row>
    <row r="2499" spans="2:4" x14ac:dyDescent="0.15">
      <c r="B2499" s="69"/>
      <c r="C2499" s="70"/>
      <c r="D2499" s="71"/>
    </row>
    <row r="2500" spans="2:4" x14ac:dyDescent="0.15">
      <c r="B2500" s="69"/>
      <c r="C2500" s="70"/>
      <c r="D2500" s="71"/>
    </row>
    <row r="2501" spans="2:4" x14ac:dyDescent="0.15">
      <c r="B2501" s="69"/>
      <c r="C2501" s="70"/>
      <c r="D2501" s="71"/>
    </row>
    <row r="2502" spans="2:4" x14ac:dyDescent="0.15">
      <c r="B2502" s="69"/>
      <c r="C2502" s="70"/>
      <c r="D2502" s="71"/>
    </row>
    <row r="2503" spans="2:4" x14ac:dyDescent="0.15">
      <c r="B2503" s="69"/>
      <c r="C2503" s="70"/>
      <c r="D2503" s="71"/>
    </row>
    <row r="2504" spans="2:4" x14ac:dyDescent="0.15">
      <c r="B2504" s="69"/>
      <c r="C2504" s="70"/>
      <c r="D2504" s="71"/>
    </row>
    <row r="2505" spans="2:4" x14ac:dyDescent="0.15">
      <c r="B2505" s="69"/>
      <c r="C2505" s="70"/>
      <c r="D2505" s="71"/>
    </row>
    <row r="2506" spans="2:4" x14ac:dyDescent="0.15">
      <c r="B2506" s="69"/>
      <c r="C2506" s="70"/>
      <c r="D2506" s="71"/>
    </row>
    <row r="2507" spans="2:4" x14ac:dyDescent="0.15">
      <c r="B2507" s="69"/>
      <c r="C2507" s="70"/>
      <c r="D2507" s="71"/>
    </row>
    <row r="2508" spans="2:4" x14ac:dyDescent="0.15">
      <c r="B2508" s="69"/>
      <c r="C2508" s="70"/>
      <c r="D2508" s="71"/>
    </row>
    <row r="2509" spans="2:4" x14ac:dyDescent="0.15">
      <c r="B2509" s="69"/>
      <c r="C2509" s="70"/>
      <c r="D2509" s="71"/>
    </row>
    <row r="2510" spans="2:4" x14ac:dyDescent="0.15">
      <c r="B2510" s="69"/>
      <c r="C2510" s="70"/>
      <c r="D2510" s="71"/>
    </row>
    <row r="2511" spans="2:4" x14ac:dyDescent="0.15">
      <c r="B2511" s="69"/>
      <c r="C2511" s="70"/>
      <c r="D2511" s="71"/>
    </row>
    <row r="2512" spans="2:4" x14ac:dyDescent="0.15">
      <c r="B2512" s="69"/>
      <c r="C2512" s="70"/>
      <c r="D2512" s="71"/>
    </row>
    <row r="2513" spans="2:4" x14ac:dyDescent="0.15">
      <c r="B2513" s="69"/>
      <c r="C2513" s="70"/>
      <c r="D2513" s="71"/>
    </row>
    <row r="2514" spans="2:4" x14ac:dyDescent="0.15">
      <c r="B2514" s="69"/>
      <c r="C2514" s="70"/>
      <c r="D2514" s="71"/>
    </row>
    <row r="2515" spans="2:4" x14ac:dyDescent="0.15">
      <c r="B2515" s="69"/>
      <c r="C2515" s="70"/>
      <c r="D2515" s="71"/>
    </row>
    <row r="2516" spans="2:4" x14ac:dyDescent="0.15">
      <c r="B2516" s="69"/>
      <c r="C2516" s="70"/>
      <c r="D2516" s="71"/>
    </row>
    <row r="2517" spans="2:4" x14ac:dyDescent="0.15">
      <c r="B2517" s="69"/>
      <c r="C2517" s="70"/>
      <c r="D2517" s="71"/>
    </row>
    <row r="2518" spans="2:4" x14ac:dyDescent="0.15">
      <c r="B2518" s="69"/>
      <c r="C2518" s="70"/>
      <c r="D2518" s="71"/>
    </row>
    <row r="2519" spans="2:4" x14ac:dyDescent="0.15">
      <c r="B2519" s="69"/>
      <c r="C2519" s="70"/>
      <c r="D2519" s="71"/>
    </row>
    <row r="2520" spans="2:4" x14ac:dyDescent="0.15">
      <c r="B2520" s="69"/>
      <c r="C2520" s="70"/>
      <c r="D2520" s="71"/>
    </row>
    <row r="2521" spans="2:4" x14ac:dyDescent="0.15">
      <c r="B2521" s="69"/>
      <c r="C2521" s="70"/>
      <c r="D2521" s="71"/>
    </row>
    <row r="2522" spans="2:4" x14ac:dyDescent="0.15">
      <c r="B2522" s="69"/>
      <c r="C2522" s="70"/>
      <c r="D2522" s="71"/>
    </row>
    <row r="2523" spans="2:4" x14ac:dyDescent="0.15">
      <c r="B2523" s="69"/>
      <c r="C2523" s="70"/>
      <c r="D2523" s="71"/>
    </row>
    <row r="2524" spans="2:4" x14ac:dyDescent="0.15">
      <c r="B2524" s="69"/>
      <c r="C2524" s="70"/>
      <c r="D2524" s="71"/>
    </row>
    <row r="2525" spans="2:4" x14ac:dyDescent="0.15">
      <c r="B2525" s="69"/>
      <c r="C2525" s="70"/>
      <c r="D2525" s="71"/>
    </row>
    <row r="2526" spans="2:4" x14ac:dyDescent="0.15">
      <c r="B2526" s="69"/>
      <c r="C2526" s="70"/>
      <c r="D2526" s="71"/>
    </row>
    <row r="2527" spans="2:4" x14ac:dyDescent="0.15">
      <c r="B2527" s="69"/>
      <c r="C2527" s="70"/>
      <c r="D2527" s="71"/>
    </row>
    <row r="2528" spans="2:4" x14ac:dyDescent="0.15">
      <c r="B2528" s="69"/>
      <c r="C2528" s="70"/>
      <c r="D2528" s="71"/>
    </row>
    <row r="2529" spans="2:4" x14ac:dyDescent="0.15">
      <c r="B2529" s="69"/>
      <c r="C2529" s="70"/>
      <c r="D2529" s="71"/>
    </row>
    <row r="2530" spans="2:4" x14ac:dyDescent="0.15">
      <c r="B2530" s="69"/>
      <c r="C2530" s="70"/>
      <c r="D2530" s="71"/>
    </row>
    <row r="2531" spans="2:4" x14ac:dyDescent="0.15">
      <c r="B2531" s="69"/>
      <c r="C2531" s="70"/>
      <c r="D2531" s="71"/>
    </row>
    <row r="2532" spans="2:4" x14ac:dyDescent="0.15">
      <c r="B2532" s="69"/>
      <c r="C2532" s="70"/>
      <c r="D2532" s="71"/>
    </row>
    <row r="2533" spans="2:4" x14ac:dyDescent="0.15">
      <c r="B2533" s="69"/>
      <c r="C2533" s="70"/>
      <c r="D2533" s="71"/>
    </row>
    <row r="2534" spans="2:4" x14ac:dyDescent="0.15">
      <c r="B2534" s="69"/>
      <c r="C2534" s="70"/>
      <c r="D2534" s="71"/>
    </row>
    <row r="2535" spans="2:4" x14ac:dyDescent="0.15">
      <c r="B2535" s="69"/>
      <c r="C2535" s="70"/>
      <c r="D2535" s="71"/>
    </row>
    <row r="2536" spans="2:4" x14ac:dyDescent="0.15">
      <c r="B2536" s="69"/>
      <c r="C2536" s="70"/>
      <c r="D2536" s="71"/>
    </row>
    <row r="2537" spans="2:4" x14ac:dyDescent="0.15">
      <c r="B2537" s="69"/>
      <c r="C2537" s="70"/>
      <c r="D2537" s="71"/>
    </row>
    <row r="2538" spans="2:4" x14ac:dyDescent="0.15">
      <c r="B2538" s="69"/>
      <c r="C2538" s="70"/>
      <c r="D2538" s="71"/>
    </row>
    <row r="2539" spans="2:4" x14ac:dyDescent="0.15">
      <c r="B2539" s="69"/>
      <c r="C2539" s="70"/>
      <c r="D2539" s="71"/>
    </row>
    <row r="2540" spans="2:4" x14ac:dyDescent="0.15">
      <c r="B2540" s="69"/>
      <c r="C2540" s="70"/>
      <c r="D2540" s="71"/>
    </row>
    <row r="2541" spans="2:4" x14ac:dyDescent="0.15">
      <c r="B2541" s="69"/>
      <c r="C2541" s="70"/>
      <c r="D2541" s="71"/>
    </row>
    <row r="2542" spans="2:4" x14ac:dyDescent="0.15">
      <c r="B2542" s="69"/>
      <c r="C2542" s="70"/>
      <c r="D2542" s="71"/>
    </row>
    <row r="2543" spans="2:4" x14ac:dyDescent="0.15">
      <c r="B2543" s="69"/>
      <c r="C2543" s="70"/>
      <c r="D2543" s="71"/>
    </row>
    <row r="2544" spans="2:4" x14ac:dyDescent="0.15">
      <c r="B2544" s="69"/>
      <c r="C2544" s="70"/>
      <c r="D2544" s="71"/>
    </row>
    <row r="2545" spans="2:4" x14ac:dyDescent="0.15">
      <c r="B2545" s="69"/>
      <c r="C2545" s="70"/>
      <c r="D2545" s="71"/>
    </row>
    <row r="2546" spans="2:4" x14ac:dyDescent="0.15">
      <c r="B2546" s="69"/>
      <c r="C2546" s="70"/>
      <c r="D2546" s="71"/>
    </row>
    <row r="2547" spans="2:4" x14ac:dyDescent="0.15">
      <c r="B2547" s="69"/>
      <c r="C2547" s="70"/>
      <c r="D2547" s="71"/>
    </row>
    <row r="2548" spans="2:4" x14ac:dyDescent="0.15">
      <c r="B2548" s="69"/>
      <c r="C2548" s="70"/>
      <c r="D2548" s="71"/>
    </row>
    <row r="2549" spans="2:4" x14ac:dyDescent="0.15">
      <c r="B2549" s="69"/>
      <c r="C2549" s="70"/>
      <c r="D2549" s="71"/>
    </row>
    <row r="2550" spans="2:4" x14ac:dyDescent="0.15">
      <c r="B2550" s="69"/>
      <c r="C2550" s="70"/>
      <c r="D2550" s="71"/>
    </row>
    <row r="2551" spans="2:4" x14ac:dyDescent="0.15">
      <c r="B2551" s="69"/>
      <c r="C2551" s="70"/>
      <c r="D2551" s="71"/>
    </row>
    <row r="2552" spans="2:4" x14ac:dyDescent="0.15">
      <c r="B2552" s="69"/>
      <c r="C2552" s="70"/>
      <c r="D2552" s="71"/>
    </row>
    <row r="2553" spans="2:4" x14ac:dyDescent="0.15">
      <c r="B2553" s="69"/>
      <c r="C2553" s="70"/>
      <c r="D2553" s="71"/>
    </row>
    <row r="2554" spans="2:4" x14ac:dyDescent="0.15">
      <c r="B2554" s="69"/>
      <c r="C2554" s="70"/>
      <c r="D2554" s="71"/>
    </row>
    <row r="2555" spans="2:4" x14ac:dyDescent="0.15">
      <c r="B2555" s="69"/>
      <c r="C2555" s="70"/>
      <c r="D2555" s="71"/>
    </row>
    <row r="2556" spans="2:4" x14ac:dyDescent="0.15">
      <c r="B2556" s="69"/>
      <c r="C2556" s="70"/>
      <c r="D2556" s="71"/>
    </row>
    <row r="2557" spans="2:4" x14ac:dyDescent="0.15">
      <c r="B2557" s="69"/>
      <c r="C2557" s="70"/>
      <c r="D2557" s="71"/>
    </row>
    <row r="2558" spans="2:4" x14ac:dyDescent="0.15">
      <c r="B2558" s="69"/>
      <c r="C2558" s="70"/>
      <c r="D2558" s="71"/>
    </row>
    <row r="2559" spans="2:4" x14ac:dyDescent="0.15">
      <c r="B2559" s="69"/>
      <c r="C2559" s="70"/>
      <c r="D2559" s="71"/>
    </row>
    <row r="2560" spans="2:4" x14ac:dyDescent="0.15">
      <c r="B2560" s="69"/>
      <c r="C2560" s="70"/>
      <c r="D2560" s="71"/>
    </row>
    <row r="2561" spans="2:4" x14ac:dyDescent="0.15">
      <c r="B2561" s="69"/>
      <c r="C2561" s="70"/>
      <c r="D2561" s="71"/>
    </row>
    <row r="2562" spans="2:4" x14ac:dyDescent="0.15">
      <c r="B2562" s="69"/>
      <c r="C2562" s="70"/>
      <c r="D2562" s="71"/>
    </row>
    <row r="2563" spans="2:4" x14ac:dyDescent="0.15">
      <c r="B2563" s="69"/>
      <c r="C2563" s="70"/>
      <c r="D2563" s="71"/>
    </row>
    <row r="2564" spans="2:4" x14ac:dyDescent="0.15">
      <c r="B2564" s="69"/>
      <c r="C2564" s="70"/>
      <c r="D2564" s="71"/>
    </row>
    <row r="2565" spans="2:4" x14ac:dyDescent="0.15">
      <c r="B2565" s="69"/>
      <c r="C2565" s="70"/>
      <c r="D2565" s="71"/>
    </row>
    <row r="2566" spans="2:4" x14ac:dyDescent="0.15">
      <c r="B2566" s="69"/>
      <c r="C2566" s="70"/>
      <c r="D2566" s="71"/>
    </row>
    <row r="2567" spans="2:4" x14ac:dyDescent="0.15">
      <c r="B2567" s="69"/>
      <c r="C2567" s="70"/>
      <c r="D2567" s="71"/>
    </row>
    <row r="2568" spans="2:4" x14ac:dyDescent="0.15">
      <c r="B2568" s="69"/>
      <c r="C2568" s="70"/>
      <c r="D2568" s="71"/>
    </row>
    <row r="2569" spans="2:4" x14ac:dyDescent="0.15">
      <c r="B2569" s="69"/>
      <c r="C2569" s="70"/>
      <c r="D2569" s="71"/>
    </row>
    <row r="2570" spans="2:4" x14ac:dyDescent="0.15">
      <c r="B2570" s="69"/>
      <c r="C2570" s="70"/>
      <c r="D2570" s="71"/>
    </row>
    <row r="2571" spans="2:4" x14ac:dyDescent="0.15">
      <c r="B2571" s="69"/>
      <c r="C2571" s="70"/>
      <c r="D2571" s="71"/>
    </row>
    <row r="2572" spans="2:4" x14ac:dyDescent="0.15">
      <c r="B2572" s="69"/>
      <c r="C2572" s="70"/>
      <c r="D2572" s="71"/>
    </row>
    <row r="2573" spans="2:4" x14ac:dyDescent="0.15">
      <c r="B2573" s="69"/>
      <c r="C2573" s="70"/>
      <c r="D2573" s="71"/>
    </row>
    <row r="2574" spans="2:4" x14ac:dyDescent="0.15">
      <c r="B2574" s="69"/>
      <c r="C2574" s="70"/>
      <c r="D2574" s="71"/>
    </row>
    <row r="2575" spans="2:4" x14ac:dyDescent="0.15">
      <c r="B2575" s="69"/>
      <c r="C2575" s="70"/>
      <c r="D2575" s="71"/>
    </row>
    <row r="2576" spans="2:4" x14ac:dyDescent="0.15">
      <c r="B2576" s="69"/>
      <c r="C2576" s="70"/>
      <c r="D2576" s="71"/>
    </row>
    <row r="2577" spans="2:4" x14ac:dyDescent="0.15">
      <c r="B2577" s="69"/>
      <c r="C2577" s="70"/>
      <c r="D2577" s="71"/>
    </row>
    <row r="2578" spans="2:4" x14ac:dyDescent="0.15">
      <c r="B2578" s="69"/>
      <c r="C2578" s="70"/>
      <c r="D2578" s="71"/>
    </row>
    <row r="2579" spans="2:4" x14ac:dyDescent="0.15">
      <c r="B2579" s="69"/>
      <c r="C2579" s="70"/>
      <c r="D2579" s="71"/>
    </row>
    <row r="2580" spans="2:4" x14ac:dyDescent="0.15">
      <c r="B2580" s="69"/>
      <c r="C2580" s="70"/>
      <c r="D2580" s="71"/>
    </row>
    <row r="2581" spans="2:4" x14ac:dyDescent="0.15">
      <c r="B2581" s="69"/>
      <c r="C2581" s="70"/>
      <c r="D2581" s="71"/>
    </row>
    <row r="2582" spans="2:4" x14ac:dyDescent="0.15">
      <c r="B2582" s="69"/>
      <c r="C2582" s="70"/>
      <c r="D2582" s="71"/>
    </row>
    <row r="2583" spans="2:4" x14ac:dyDescent="0.15">
      <c r="B2583" s="69"/>
      <c r="C2583" s="70"/>
      <c r="D2583" s="71"/>
    </row>
    <row r="2584" spans="2:4" x14ac:dyDescent="0.15">
      <c r="B2584" s="69"/>
      <c r="C2584" s="70"/>
      <c r="D2584" s="71"/>
    </row>
    <row r="2585" spans="2:4" x14ac:dyDescent="0.15">
      <c r="B2585" s="69"/>
      <c r="C2585" s="70"/>
      <c r="D2585" s="71"/>
    </row>
    <row r="2586" spans="2:4" x14ac:dyDescent="0.15">
      <c r="B2586" s="69"/>
      <c r="C2586" s="70"/>
      <c r="D2586" s="71"/>
    </row>
    <row r="2587" spans="2:4" x14ac:dyDescent="0.15">
      <c r="B2587" s="69"/>
      <c r="C2587" s="70"/>
      <c r="D2587" s="71"/>
    </row>
    <row r="2588" spans="2:4" x14ac:dyDescent="0.15">
      <c r="B2588" s="69"/>
      <c r="C2588" s="70"/>
      <c r="D2588" s="71"/>
    </row>
    <row r="2589" spans="2:4" x14ac:dyDescent="0.15">
      <c r="B2589" s="69"/>
      <c r="C2589" s="70"/>
      <c r="D2589" s="71"/>
    </row>
    <row r="2590" spans="2:4" x14ac:dyDescent="0.15">
      <c r="B2590" s="69"/>
      <c r="C2590" s="70"/>
      <c r="D2590" s="71"/>
    </row>
    <row r="2591" spans="2:4" x14ac:dyDescent="0.15">
      <c r="B2591" s="69"/>
      <c r="C2591" s="70"/>
      <c r="D2591" s="71"/>
    </row>
    <row r="2592" spans="2:4" x14ac:dyDescent="0.15">
      <c r="B2592" s="69"/>
      <c r="C2592" s="70"/>
      <c r="D2592" s="71"/>
    </row>
    <row r="2593" spans="2:4" x14ac:dyDescent="0.15">
      <c r="B2593" s="69"/>
      <c r="C2593" s="70"/>
      <c r="D2593" s="71"/>
    </row>
    <row r="2594" spans="2:4" x14ac:dyDescent="0.15">
      <c r="B2594" s="69"/>
      <c r="C2594" s="70"/>
      <c r="D2594" s="71"/>
    </row>
    <row r="2595" spans="2:4" x14ac:dyDescent="0.15">
      <c r="B2595" s="69"/>
      <c r="C2595" s="70"/>
      <c r="D2595" s="71"/>
    </row>
    <row r="2596" spans="2:4" x14ac:dyDescent="0.15">
      <c r="B2596" s="69"/>
      <c r="C2596" s="70"/>
      <c r="D2596" s="71"/>
    </row>
    <row r="2597" spans="2:4" x14ac:dyDescent="0.15">
      <c r="B2597" s="69"/>
      <c r="C2597" s="70"/>
      <c r="D2597" s="71"/>
    </row>
    <row r="2598" spans="2:4" x14ac:dyDescent="0.15">
      <c r="B2598" s="69"/>
      <c r="C2598" s="70"/>
      <c r="D2598" s="71"/>
    </row>
    <row r="2599" spans="2:4" x14ac:dyDescent="0.15">
      <c r="B2599" s="69"/>
      <c r="C2599" s="70"/>
      <c r="D2599" s="71"/>
    </row>
    <row r="2600" spans="2:4" x14ac:dyDescent="0.15">
      <c r="B2600" s="69"/>
      <c r="C2600" s="70"/>
      <c r="D2600" s="71"/>
    </row>
    <row r="2601" spans="2:4" x14ac:dyDescent="0.15">
      <c r="B2601" s="69"/>
      <c r="C2601" s="70"/>
      <c r="D2601" s="71"/>
    </row>
    <row r="2602" spans="2:4" x14ac:dyDescent="0.15">
      <c r="B2602" s="69"/>
      <c r="C2602" s="70"/>
      <c r="D2602" s="71"/>
    </row>
    <row r="2603" spans="2:4" x14ac:dyDescent="0.15">
      <c r="B2603" s="69"/>
      <c r="C2603" s="70"/>
      <c r="D2603" s="71"/>
    </row>
    <row r="2604" spans="2:4" x14ac:dyDescent="0.15">
      <c r="B2604" s="69"/>
      <c r="C2604" s="70"/>
      <c r="D2604" s="71"/>
    </row>
    <row r="2605" spans="2:4" x14ac:dyDescent="0.15">
      <c r="B2605" s="69"/>
      <c r="C2605" s="70"/>
      <c r="D2605" s="71"/>
    </row>
    <row r="2606" spans="2:4" x14ac:dyDescent="0.15">
      <c r="B2606" s="69"/>
      <c r="C2606" s="70"/>
      <c r="D2606" s="71"/>
    </row>
    <row r="2607" spans="2:4" x14ac:dyDescent="0.15">
      <c r="B2607" s="69"/>
      <c r="C2607" s="70"/>
      <c r="D2607" s="71"/>
    </row>
    <row r="2608" spans="2:4" x14ac:dyDescent="0.15">
      <c r="B2608" s="69"/>
      <c r="C2608" s="70"/>
      <c r="D2608" s="71"/>
    </row>
    <row r="2609" spans="2:4" x14ac:dyDescent="0.15">
      <c r="B2609" s="69"/>
      <c r="C2609" s="70"/>
      <c r="D2609" s="71"/>
    </row>
    <row r="2610" spans="2:4" x14ac:dyDescent="0.15">
      <c r="B2610" s="69"/>
      <c r="C2610" s="70"/>
      <c r="D2610" s="71"/>
    </row>
    <row r="2611" spans="2:4" x14ac:dyDescent="0.15">
      <c r="B2611" s="69"/>
      <c r="C2611" s="70"/>
      <c r="D2611" s="71"/>
    </row>
    <row r="2612" spans="2:4" x14ac:dyDescent="0.15">
      <c r="B2612" s="69"/>
      <c r="C2612" s="70"/>
      <c r="D2612" s="71"/>
    </row>
    <row r="2613" spans="2:4" x14ac:dyDescent="0.15">
      <c r="B2613" s="69"/>
      <c r="C2613" s="70"/>
      <c r="D2613" s="71"/>
    </row>
    <row r="2614" spans="2:4" x14ac:dyDescent="0.15">
      <c r="B2614" s="69"/>
      <c r="C2614" s="70"/>
      <c r="D2614" s="71"/>
    </row>
    <row r="2615" spans="2:4" x14ac:dyDescent="0.15">
      <c r="B2615" s="69"/>
      <c r="C2615" s="70"/>
      <c r="D2615" s="71"/>
    </row>
    <row r="2616" spans="2:4" x14ac:dyDescent="0.15">
      <c r="B2616" s="69"/>
      <c r="C2616" s="70"/>
      <c r="D2616" s="71"/>
    </row>
    <row r="2617" spans="2:4" x14ac:dyDescent="0.15">
      <c r="B2617" s="69"/>
      <c r="C2617" s="70"/>
      <c r="D2617" s="71"/>
    </row>
    <row r="2618" spans="2:4" x14ac:dyDescent="0.15">
      <c r="B2618" s="69"/>
      <c r="C2618" s="70"/>
      <c r="D2618" s="71"/>
    </row>
    <row r="2619" spans="2:4" x14ac:dyDescent="0.15">
      <c r="B2619" s="69"/>
      <c r="C2619" s="70"/>
      <c r="D2619" s="71"/>
    </row>
    <row r="2620" spans="2:4" x14ac:dyDescent="0.15">
      <c r="B2620" s="69"/>
      <c r="C2620" s="70"/>
      <c r="D2620" s="71"/>
    </row>
    <row r="2621" spans="2:4" x14ac:dyDescent="0.15">
      <c r="B2621" s="69"/>
      <c r="C2621" s="70"/>
      <c r="D2621" s="71"/>
    </row>
    <row r="2622" spans="2:4" x14ac:dyDescent="0.15">
      <c r="B2622" s="69"/>
      <c r="C2622" s="70"/>
      <c r="D2622" s="71"/>
    </row>
    <row r="2623" spans="2:4" x14ac:dyDescent="0.15">
      <c r="B2623" s="69"/>
      <c r="C2623" s="70"/>
      <c r="D2623" s="71"/>
    </row>
    <row r="2624" spans="2:4" x14ac:dyDescent="0.15">
      <c r="B2624" s="69"/>
      <c r="C2624" s="70"/>
      <c r="D2624" s="71"/>
    </row>
    <row r="2625" spans="2:4" x14ac:dyDescent="0.15">
      <c r="B2625" s="69"/>
      <c r="C2625" s="70"/>
      <c r="D2625" s="71"/>
    </row>
    <row r="2626" spans="2:4" x14ac:dyDescent="0.15">
      <c r="B2626" s="69"/>
      <c r="C2626" s="70"/>
      <c r="D2626" s="71"/>
    </row>
    <row r="2627" spans="2:4" x14ac:dyDescent="0.15">
      <c r="B2627" s="69"/>
      <c r="C2627" s="70"/>
      <c r="D2627" s="71"/>
    </row>
    <row r="2628" spans="2:4" x14ac:dyDescent="0.15">
      <c r="B2628" s="69"/>
      <c r="C2628" s="70"/>
      <c r="D2628" s="71"/>
    </row>
    <row r="2629" spans="2:4" x14ac:dyDescent="0.15">
      <c r="B2629" s="69"/>
      <c r="C2629" s="70"/>
      <c r="D2629" s="71"/>
    </row>
    <row r="2630" spans="2:4" x14ac:dyDescent="0.15">
      <c r="B2630" s="69"/>
      <c r="C2630" s="70"/>
      <c r="D2630" s="71"/>
    </row>
    <row r="2631" spans="2:4" x14ac:dyDescent="0.15">
      <c r="B2631" s="69"/>
      <c r="C2631" s="70"/>
      <c r="D2631" s="71"/>
    </row>
    <row r="2632" spans="2:4" x14ac:dyDescent="0.15">
      <c r="B2632" s="69"/>
      <c r="C2632" s="70"/>
      <c r="D2632" s="71"/>
    </row>
    <row r="2633" spans="2:4" x14ac:dyDescent="0.15">
      <c r="B2633" s="69"/>
      <c r="C2633" s="70"/>
      <c r="D2633" s="71"/>
    </row>
    <row r="2634" spans="2:4" x14ac:dyDescent="0.15">
      <c r="B2634" s="69"/>
      <c r="C2634" s="70"/>
      <c r="D2634" s="71"/>
    </row>
    <row r="2635" spans="2:4" x14ac:dyDescent="0.15">
      <c r="B2635" s="69"/>
      <c r="C2635" s="70"/>
      <c r="D2635" s="71"/>
    </row>
    <row r="2636" spans="2:4" x14ac:dyDescent="0.15">
      <c r="B2636" s="69"/>
      <c r="C2636" s="70"/>
      <c r="D2636" s="71"/>
    </row>
    <row r="2637" spans="2:4" x14ac:dyDescent="0.15">
      <c r="B2637" s="69"/>
      <c r="C2637" s="70"/>
      <c r="D2637" s="71"/>
    </row>
    <row r="2638" spans="2:4" x14ac:dyDescent="0.15">
      <c r="B2638" s="69"/>
      <c r="C2638" s="70"/>
      <c r="D2638" s="71"/>
    </row>
    <row r="2639" spans="2:4" x14ac:dyDescent="0.15">
      <c r="B2639" s="69"/>
      <c r="C2639" s="70"/>
      <c r="D2639" s="71"/>
    </row>
    <row r="2640" spans="2:4" x14ac:dyDescent="0.15">
      <c r="B2640" s="69"/>
      <c r="C2640" s="70"/>
      <c r="D2640" s="71"/>
    </row>
    <row r="2641" spans="2:4" x14ac:dyDescent="0.15">
      <c r="B2641" s="69"/>
      <c r="C2641" s="70"/>
      <c r="D2641" s="71"/>
    </row>
    <row r="2642" spans="2:4" x14ac:dyDescent="0.15">
      <c r="B2642" s="69"/>
      <c r="C2642" s="70"/>
      <c r="D2642" s="71"/>
    </row>
    <row r="2643" spans="2:4" x14ac:dyDescent="0.15">
      <c r="B2643" s="69"/>
      <c r="C2643" s="70"/>
      <c r="D2643" s="71"/>
    </row>
    <row r="2644" spans="2:4" x14ac:dyDescent="0.15">
      <c r="B2644" s="69"/>
      <c r="C2644" s="70"/>
      <c r="D2644" s="71"/>
    </row>
    <row r="2645" spans="2:4" x14ac:dyDescent="0.15">
      <c r="B2645" s="69"/>
      <c r="C2645" s="70"/>
      <c r="D2645" s="71"/>
    </row>
    <row r="2646" spans="2:4" x14ac:dyDescent="0.15">
      <c r="B2646" s="69"/>
      <c r="C2646" s="70"/>
      <c r="D2646" s="71"/>
    </row>
    <row r="2647" spans="2:4" x14ac:dyDescent="0.15">
      <c r="B2647" s="69"/>
      <c r="C2647" s="70"/>
      <c r="D2647" s="71"/>
    </row>
    <row r="2648" spans="2:4" x14ac:dyDescent="0.15">
      <c r="B2648" s="69"/>
      <c r="C2648" s="70"/>
      <c r="D2648" s="71"/>
    </row>
    <row r="2649" spans="2:4" x14ac:dyDescent="0.15">
      <c r="B2649" s="69"/>
      <c r="C2649" s="70"/>
      <c r="D2649" s="71"/>
    </row>
    <row r="2650" spans="2:4" x14ac:dyDescent="0.15">
      <c r="B2650" s="69"/>
      <c r="C2650" s="70"/>
      <c r="D2650" s="71"/>
    </row>
    <row r="2651" spans="2:4" x14ac:dyDescent="0.15">
      <c r="B2651" s="69"/>
      <c r="C2651" s="70"/>
      <c r="D2651" s="71"/>
    </row>
    <row r="2652" spans="2:4" x14ac:dyDescent="0.15">
      <c r="B2652" s="69"/>
      <c r="C2652" s="70"/>
      <c r="D2652" s="71"/>
    </row>
    <row r="2653" spans="2:4" x14ac:dyDescent="0.15">
      <c r="B2653" s="69"/>
      <c r="C2653" s="70"/>
      <c r="D2653" s="71"/>
    </row>
    <row r="2654" spans="2:4" x14ac:dyDescent="0.15">
      <c r="B2654" s="69"/>
      <c r="C2654" s="70"/>
      <c r="D2654" s="71"/>
    </row>
    <row r="2655" spans="2:4" x14ac:dyDescent="0.15">
      <c r="B2655" s="69"/>
      <c r="C2655" s="70"/>
      <c r="D2655" s="71"/>
    </row>
    <row r="2656" spans="2:4" x14ac:dyDescent="0.15">
      <c r="B2656" s="69"/>
      <c r="C2656" s="70"/>
      <c r="D2656" s="71"/>
    </row>
    <row r="2657" spans="2:4" x14ac:dyDescent="0.15">
      <c r="B2657" s="69"/>
      <c r="C2657" s="70"/>
      <c r="D2657" s="71"/>
    </row>
    <row r="2658" spans="2:4" x14ac:dyDescent="0.15">
      <c r="B2658" s="69"/>
      <c r="C2658" s="70"/>
      <c r="D2658" s="71"/>
    </row>
    <row r="2659" spans="2:4" x14ac:dyDescent="0.15">
      <c r="B2659" s="69"/>
      <c r="C2659" s="70"/>
      <c r="D2659" s="71"/>
    </row>
    <row r="2660" spans="2:4" x14ac:dyDescent="0.15">
      <c r="B2660" s="69"/>
      <c r="C2660" s="70"/>
      <c r="D2660" s="71"/>
    </row>
    <row r="2661" spans="2:4" x14ac:dyDescent="0.15">
      <c r="B2661" s="69"/>
      <c r="C2661" s="70"/>
      <c r="D2661" s="71"/>
    </row>
    <row r="2662" spans="2:4" x14ac:dyDescent="0.15">
      <c r="B2662" s="69"/>
      <c r="C2662" s="70"/>
      <c r="D2662" s="71"/>
    </row>
    <row r="2663" spans="2:4" x14ac:dyDescent="0.15">
      <c r="B2663" s="69"/>
      <c r="C2663" s="70"/>
      <c r="D2663" s="71"/>
    </row>
    <row r="2664" spans="2:4" x14ac:dyDescent="0.15">
      <c r="B2664" s="69"/>
      <c r="C2664" s="70"/>
      <c r="D2664" s="71"/>
    </row>
    <row r="2665" spans="2:4" x14ac:dyDescent="0.15">
      <c r="B2665" s="69"/>
      <c r="C2665" s="70"/>
      <c r="D2665" s="71"/>
    </row>
    <row r="2666" spans="2:4" x14ac:dyDescent="0.15">
      <c r="B2666" s="69"/>
      <c r="C2666" s="70"/>
      <c r="D2666" s="71"/>
    </row>
    <row r="2667" spans="2:4" x14ac:dyDescent="0.15">
      <c r="B2667" s="69"/>
      <c r="C2667" s="70"/>
      <c r="D2667" s="71"/>
    </row>
    <row r="2668" spans="2:4" x14ac:dyDescent="0.15">
      <c r="B2668" s="69"/>
      <c r="C2668" s="70"/>
      <c r="D2668" s="71"/>
    </row>
    <row r="2669" spans="2:4" x14ac:dyDescent="0.15">
      <c r="B2669" s="69"/>
      <c r="C2669" s="70"/>
      <c r="D2669" s="71"/>
    </row>
    <row r="2670" spans="2:4" x14ac:dyDescent="0.15">
      <c r="B2670" s="69"/>
      <c r="C2670" s="70"/>
      <c r="D2670" s="71"/>
    </row>
    <row r="2671" spans="2:4" x14ac:dyDescent="0.15">
      <c r="B2671" s="69"/>
      <c r="C2671" s="70"/>
      <c r="D2671" s="71"/>
    </row>
    <row r="2672" spans="2:4" x14ac:dyDescent="0.15">
      <c r="B2672" s="69"/>
      <c r="C2672" s="70"/>
      <c r="D2672" s="71"/>
    </row>
    <row r="2673" spans="2:4" x14ac:dyDescent="0.15">
      <c r="B2673" s="69"/>
      <c r="C2673" s="70"/>
      <c r="D2673" s="71"/>
    </row>
    <row r="2674" spans="2:4" x14ac:dyDescent="0.15">
      <c r="B2674" s="69"/>
      <c r="C2674" s="70"/>
      <c r="D2674" s="71"/>
    </row>
    <row r="2675" spans="2:4" x14ac:dyDescent="0.15">
      <c r="B2675" s="69"/>
      <c r="C2675" s="70"/>
      <c r="D2675" s="71"/>
    </row>
    <row r="2676" spans="2:4" x14ac:dyDescent="0.15">
      <c r="B2676" s="69"/>
      <c r="C2676" s="70"/>
      <c r="D2676" s="71"/>
    </row>
    <row r="2677" spans="2:4" x14ac:dyDescent="0.15">
      <c r="B2677" s="69"/>
      <c r="C2677" s="70"/>
      <c r="D2677" s="71"/>
    </row>
    <row r="2678" spans="2:4" x14ac:dyDescent="0.15">
      <c r="B2678" s="69"/>
      <c r="C2678" s="70"/>
      <c r="D2678" s="71"/>
    </row>
    <row r="2679" spans="2:4" x14ac:dyDescent="0.15">
      <c r="B2679" s="69"/>
      <c r="C2679" s="70"/>
      <c r="D2679" s="71"/>
    </row>
    <row r="2680" spans="2:4" x14ac:dyDescent="0.15">
      <c r="B2680" s="69"/>
      <c r="C2680" s="70"/>
      <c r="D2680" s="71"/>
    </row>
    <row r="2681" spans="2:4" x14ac:dyDescent="0.15">
      <c r="B2681" s="69"/>
      <c r="C2681" s="70"/>
      <c r="D2681" s="71"/>
    </row>
    <row r="2682" spans="2:4" x14ac:dyDescent="0.15">
      <c r="B2682" s="69"/>
      <c r="C2682" s="70"/>
      <c r="D2682" s="71"/>
    </row>
    <row r="2683" spans="2:4" x14ac:dyDescent="0.15">
      <c r="B2683" s="69"/>
      <c r="C2683" s="70"/>
      <c r="D2683" s="71"/>
    </row>
    <row r="2684" spans="2:4" x14ac:dyDescent="0.15">
      <c r="B2684" s="69"/>
      <c r="C2684" s="70"/>
      <c r="D2684" s="71"/>
    </row>
    <row r="2685" spans="2:4" x14ac:dyDescent="0.15">
      <c r="B2685" s="69"/>
      <c r="C2685" s="70"/>
      <c r="D2685" s="71"/>
    </row>
    <row r="2686" spans="2:4" x14ac:dyDescent="0.15">
      <c r="B2686" s="69"/>
      <c r="C2686" s="70"/>
      <c r="D2686" s="71"/>
    </row>
    <row r="2687" spans="2:4" x14ac:dyDescent="0.15">
      <c r="B2687" s="69"/>
      <c r="C2687" s="70"/>
      <c r="D2687" s="71"/>
    </row>
    <row r="2688" spans="2:4" x14ac:dyDescent="0.15">
      <c r="B2688" s="69"/>
      <c r="C2688" s="70"/>
      <c r="D2688" s="71"/>
    </row>
    <row r="2689" spans="2:4" x14ac:dyDescent="0.15">
      <c r="B2689" s="69"/>
      <c r="C2689" s="70"/>
      <c r="D2689" s="71"/>
    </row>
    <row r="2690" spans="2:4" x14ac:dyDescent="0.15">
      <c r="B2690" s="69"/>
      <c r="C2690" s="70"/>
      <c r="D2690" s="71"/>
    </row>
    <row r="2691" spans="2:4" x14ac:dyDescent="0.15">
      <c r="B2691" s="69"/>
      <c r="C2691" s="70"/>
      <c r="D2691" s="71"/>
    </row>
    <row r="2692" spans="2:4" x14ac:dyDescent="0.15">
      <c r="B2692" s="69"/>
      <c r="C2692" s="70"/>
      <c r="D2692" s="71"/>
    </row>
    <row r="2693" spans="2:4" x14ac:dyDescent="0.15">
      <c r="B2693" s="69"/>
      <c r="C2693" s="70"/>
      <c r="D2693" s="71"/>
    </row>
    <row r="2694" spans="2:4" x14ac:dyDescent="0.15">
      <c r="B2694" s="69"/>
      <c r="C2694" s="70"/>
      <c r="D2694" s="71"/>
    </row>
    <row r="2695" spans="2:4" x14ac:dyDescent="0.15">
      <c r="B2695" s="69"/>
      <c r="C2695" s="70"/>
      <c r="D2695" s="71"/>
    </row>
    <row r="2696" spans="2:4" x14ac:dyDescent="0.15">
      <c r="B2696" s="69"/>
      <c r="C2696" s="70"/>
      <c r="D2696" s="71"/>
    </row>
    <row r="2697" spans="2:4" x14ac:dyDescent="0.15">
      <c r="B2697" s="69"/>
      <c r="C2697" s="70"/>
      <c r="D2697" s="71"/>
    </row>
    <row r="2698" spans="2:4" x14ac:dyDescent="0.15">
      <c r="B2698" s="69"/>
      <c r="C2698" s="70"/>
      <c r="D2698" s="71"/>
    </row>
    <row r="2699" spans="2:4" x14ac:dyDescent="0.15">
      <c r="B2699" s="69"/>
      <c r="C2699" s="70"/>
      <c r="D2699" s="71"/>
    </row>
    <row r="2700" spans="2:4" x14ac:dyDescent="0.15">
      <c r="B2700" s="69"/>
      <c r="C2700" s="70"/>
      <c r="D2700" s="71"/>
    </row>
    <row r="2701" spans="2:4" x14ac:dyDescent="0.15">
      <c r="B2701" s="69"/>
      <c r="C2701" s="70"/>
      <c r="D2701" s="71"/>
    </row>
    <row r="2702" spans="2:4" x14ac:dyDescent="0.15">
      <c r="B2702" s="69"/>
      <c r="C2702" s="70"/>
      <c r="D2702" s="71"/>
    </row>
    <row r="2703" spans="2:4" x14ac:dyDescent="0.15">
      <c r="B2703" s="69"/>
      <c r="C2703" s="70"/>
      <c r="D2703" s="71"/>
    </row>
    <row r="2704" spans="2:4" x14ac:dyDescent="0.15">
      <c r="B2704" s="69"/>
      <c r="C2704" s="70"/>
      <c r="D2704" s="71"/>
    </row>
    <row r="2705" spans="2:4" x14ac:dyDescent="0.15">
      <c r="B2705" s="69"/>
      <c r="C2705" s="70"/>
      <c r="D2705" s="71"/>
    </row>
    <row r="2706" spans="2:4" x14ac:dyDescent="0.15">
      <c r="B2706" s="69"/>
      <c r="C2706" s="70"/>
      <c r="D2706" s="71"/>
    </row>
    <row r="2707" spans="2:4" x14ac:dyDescent="0.15">
      <c r="B2707" s="69"/>
      <c r="C2707" s="70"/>
      <c r="D2707" s="71"/>
    </row>
    <row r="2708" spans="2:4" x14ac:dyDescent="0.15">
      <c r="B2708" s="69"/>
      <c r="C2708" s="70"/>
      <c r="D2708" s="71"/>
    </row>
    <row r="2709" spans="2:4" x14ac:dyDescent="0.15">
      <c r="B2709" s="69"/>
      <c r="C2709" s="70"/>
      <c r="D2709" s="71"/>
    </row>
    <row r="2710" spans="2:4" x14ac:dyDescent="0.15">
      <c r="B2710" s="69"/>
      <c r="C2710" s="70"/>
      <c r="D2710" s="71"/>
    </row>
    <row r="2711" spans="2:4" x14ac:dyDescent="0.15">
      <c r="B2711" s="69"/>
      <c r="C2711" s="70"/>
      <c r="D2711" s="71"/>
    </row>
    <row r="2712" spans="2:4" x14ac:dyDescent="0.15">
      <c r="B2712" s="69"/>
      <c r="C2712" s="70"/>
      <c r="D2712" s="71"/>
    </row>
    <row r="2713" spans="2:4" x14ac:dyDescent="0.15">
      <c r="B2713" s="69"/>
      <c r="C2713" s="70"/>
      <c r="D2713" s="71"/>
    </row>
    <row r="2714" spans="2:4" x14ac:dyDescent="0.15">
      <c r="B2714" s="69"/>
      <c r="C2714" s="70"/>
      <c r="D2714" s="71"/>
    </row>
    <row r="2715" spans="2:4" x14ac:dyDescent="0.15">
      <c r="B2715" s="69"/>
      <c r="C2715" s="70"/>
      <c r="D2715" s="71"/>
    </row>
    <row r="2716" spans="2:4" x14ac:dyDescent="0.15">
      <c r="B2716" s="69"/>
      <c r="C2716" s="70"/>
      <c r="D2716" s="71"/>
    </row>
    <row r="2717" spans="2:4" x14ac:dyDescent="0.15">
      <c r="B2717" s="69"/>
      <c r="C2717" s="70"/>
      <c r="D2717" s="71"/>
    </row>
    <row r="2718" spans="2:4" x14ac:dyDescent="0.15">
      <c r="B2718" s="69"/>
      <c r="C2718" s="70"/>
      <c r="D2718" s="71"/>
    </row>
    <row r="2719" spans="2:4" x14ac:dyDescent="0.15">
      <c r="B2719" s="69"/>
      <c r="C2719" s="70"/>
      <c r="D2719" s="71"/>
    </row>
    <row r="2720" spans="2:4" x14ac:dyDescent="0.15">
      <c r="B2720" s="69"/>
      <c r="C2720" s="70"/>
      <c r="D2720" s="71"/>
    </row>
    <row r="2721" spans="2:4" x14ac:dyDescent="0.15">
      <c r="B2721" s="69"/>
      <c r="C2721" s="70"/>
      <c r="D2721" s="71"/>
    </row>
    <row r="2722" spans="2:4" x14ac:dyDescent="0.15">
      <c r="B2722" s="69"/>
      <c r="C2722" s="70"/>
      <c r="D2722" s="71"/>
    </row>
    <row r="2723" spans="2:4" x14ac:dyDescent="0.15">
      <c r="B2723" s="69"/>
      <c r="C2723" s="70"/>
      <c r="D2723" s="71"/>
    </row>
    <row r="2724" spans="2:4" x14ac:dyDescent="0.15">
      <c r="B2724" s="69"/>
      <c r="C2724" s="70"/>
      <c r="D2724" s="71"/>
    </row>
    <row r="2725" spans="2:4" x14ac:dyDescent="0.15">
      <c r="B2725" s="69"/>
      <c r="C2725" s="70"/>
      <c r="D2725" s="71"/>
    </row>
    <row r="2726" spans="2:4" x14ac:dyDescent="0.15">
      <c r="B2726" s="69"/>
      <c r="C2726" s="70"/>
      <c r="D2726" s="71"/>
    </row>
    <row r="2727" spans="2:4" x14ac:dyDescent="0.15">
      <c r="B2727" s="69"/>
      <c r="C2727" s="70"/>
      <c r="D2727" s="71"/>
    </row>
    <row r="2728" spans="2:4" x14ac:dyDescent="0.15">
      <c r="B2728" s="69"/>
      <c r="C2728" s="70"/>
      <c r="D2728" s="71"/>
    </row>
    <row r="2729" spans="2:4" x14ac:dyDescent="0.15">
      <c r="B2729" s="69"/>
      <c r="C2729" s="70"/>
      <c r="D2729" s="71"/>
    </row>
    <row r="2730" spans="2:4" x14ac:dyDescent="0.15">
      <c r="B2730" s="69"/>
      <c r="C2730" s="70"/>
      <c r="D2730" s="71"/>
    </row>
    <row r="2731" spans="2:4" x14ac:dyDescent="0.15">
      <c r="B2731" s="69"/>
      <c r="C2731" s="70"/>
      <c r="D2731" s="71"/>
    </row>
    <row r="2732" spans="2:4" x14ac:dyDescent="0.15">
      <c r="B2732" s="69"/>
      <c r="C2732" s="70"/>
      <c r="D2732" s="71"/>
    </row>
    <row r="2733" spans="2:4" x14ac:dyDescent="0.15">
      <c r="B2733" s="69"/>
      <c r="C2733" s="70"/>
      <c r="D2733" s="71"/>
    </row>
    <row r="2734" spans="2:4" x14ac:dyDescent="0.15">
      <c r="B2734" s="69"/>
      <c r="C2734" s="70"/>
      <c r="D2734" s="71"/>
    </row>
    <row r="2735" spans="2:4" x14ac:dyDescent="0.15">
      <c r="B2735" s="69"/>
      <c r="C2735" s="70"/>
      <c r="D2735" s="71"/>
    </row>
    <row r="2736" spans="2:4" x14ac:dyDescent="0.15">
      <c r="B2736" s="69"/>
      <c r="C2736" s="70"/>
      <c r="D2736" s="71"/>
    </row>
    <row r="2737" spans="2:4" x14ac:dyDescent="0.15">
      <c r="B2737" s="69"/>
      <c r="C2737" s="70"/>
      <c r="D2737" s="71"/>
    </row>
    <row r="2738" spans="2:4" x14ac:dyDescent="0.15">
      <c r="B2738" s="69"/>
      <c r="C2738" s="70"/>
      <c r="D2738" s="71"/>
    </row>
    <row r="2739" spans="2:4" x14ac:dyDescent="0.15">
      <c r="B2739" s="69"/>
      <c r="C2739" s="70"/>
      <c r="D2739" s="71"/>
    </row>
    <row r="2740" spans="2:4" x14ac:dyDescent="0.15">
      <c r="B2740" s="69"/>
      <c r="C2740" s="70"/>
      <c r="D2740" s="71"/>
    </row>
    <row r="2741" spans="2:4" x14ac:dyDescent="0.15">
      <c r="B2741" s="69"/>
      <c r="C2741" s="70"/>
      <c r="D2741" s="71"/>
    </row>
    <row r="2742" spans="2:4" x14ac:dyDescent="0.15">
      <c r="B2742" s="69"/>
      <c r="C2742" s="70"/>
      <c r="D2742" s="71"/>
    </row>
    <row r="2743" spans="2:4" x14ac:dyDescent="0.15">
      <c r="B2743" s="69"/>
      <c r="C2743" s="70"/>
      <c r="D2743" s="71"/>
    </row>
    <row r="2744" spans="2:4" x14ac:dyDescent="0.15">
      <c r="B2744" s="69"/>
      <c r="C2744" s="70"/>
      <c r="D2744" s="71"/>
    </row>
    <row r="2745" spans="2:4" x14ac:dyDescent="0.15">
      <c r="B2745" s="69"/>
      <c r="C2745" s="70"/>
      <c r="D2745" s="71"/>
    </row>
    <row r="2746" spans="2:4" x14ac:dyDescent="0.15">
      <c r="B2746" s="69"/>
      <c r="C2746" s="70"/>
      <c r="D2746" s="71"/>
    </row>
    <row r="2747" spans="2:4" x14ac:dyDescent="0.15">
      <c r="B2747" s="69"/>
      <c r="C2747" s="70"/>
      <c r="D2747" s="71"/>
    </row>
    <row r="2748" spans="2:4" x14ac:dyDescent="0.15">
      <c r="B2748" s="69"/>
      <c r="C2748" s="70"/>
      <c r="D2748" s="71"/>
    </row>
    <row r="2749" spans="2:4" x14ac:dyDescent="0.15">
      <c r="B2749" s="69"/>
      <c r="C2749" s="70"/>
      <c r="D2749" s="71"/>
    </row>
    <row r="2750" spans="2:4" x14ac:dyDescent="0.15">
      <c r="B2750" s="69"/>
      <c r="C2750" s="70"/>
      <c r="D2750" s="71"/>
    </row>
    <row r="2751" spans="2:4" x14ac:dyDescent="0.15">
      <c r="B2751" s="69"/>
      <c r="C2751" s="70"/>
      <c r="D2751" s="71"/>
    </row>
    <row r="2752" spans="2:4" x14ac:dyDescent="0.15">
      <c r="B2752" s="69"/>
      <c r="C2752" s="70"/>
      <c r="D2752" s="71"/>
    </row>
    <row r="2753" spans="2:4" x14ac:dyDescent="0.15">
      <c r="B2753" s="69"/>
      <c r="C2753" s="70"/>
      <c r="D2753" s="71"/>
    </row>
    <row r="2754" spans="2:4" x14ac:dyDescent="0.15">
      <c r="B2754" s="69"/>
      <c r="C2754" s="70"/>
      <c r="D2754" s="71"/>
    </row>
    <row r="2755" spans="2:4" x14ac:dyDescent="0.15">
      <c r="B2755" s="69"/>
      <c r="C2755" s="70"/>
      <c r="D2755" s="71"/>
    </row>
    <row r="2756" spans="2:4" x14ac:dyDescent="0.15">
      <c r="B2756" s="69"/>
      <c r="C2756" s="70"/>
      <c r="D2756" s="71"/>
    </row>
    <row r="2757" spans="2:4" x14ac:dyDescent="0.15">
      <c r="B2757" s="69"/>
      <c r="C2757" s="70"/>
      <c r="D2757" s="71"/>
    </row>
    <row r="2758" spans="2:4" x14ac:dyDescent="0.15">
      <c r="B2758" s="69"/>
      <c r="C2758" s="70"/>
      <c r="D2758" s="71"/>
    </row>
    <row r="2759" spans="2:4" x14ac:dyDescent="0.15">
      <c r="B2759" s="69"/>
      <c r="C2759" s="70"/>
      <c r="D2759" s="71"/>
    </row>
    <row r="2760" spans="2:4" x14ac:dyDescent="0.15">
      <c r="B2760" s="69"/>
      <c r="C2760" s="70"/>
      <c r="D2760" s="71"/>
    </row>
    <row r="2761" spans="2:4" x14ac:dyDescent="0.15">
      <c r="B2761" s="69"/>
      <c r="C2761" s="70"/>
      <c r="D2761" s="71"/>
    </row>
    <row r="2762" spans="2:4" x14ac:dyDescent="0.15">
      <c r="B2762" s="69"/>
      <c r="C2762" s="70"/>
      <c r="D2762" s="71"/>
    </row>
    <row r="2763" spans="2:4" x14ac:dyDescent="0.15">
      <c r="B2763" s="69"/>
      <c r="C2763" s="70"/>
      <c r="D2763" s="71"/>
    </row>
    <row r="2764" spans="2:4" x14ac:dyDescent="0.15">
      <c r="B2764" s="69"/>
      <c r="C2764" s="70"/>
      <c r="D2764" s="71"/>
    </row>
    <row r="2765" spans="2:4" x14ac:dyDescent="0.15">
      <c r="B2765" s="69"/>
      <c r="C2765" s="70"/>
      <c r="D2765" s="71"/>
    </row>
    <row r="2766" spans="2:4" x14ac:dyDescent="0.15">
      <c r="B2766" s="69"/>
      <c r="C2766" s="70"/>
      <c r="D2766" s="71"/>
    </row>
    <row r="2767" spans="2:4" x14ac:dyDescent="0.15">
      <c r="B2767" s="69"/>
      <c r="C2767" s="70"/>
      <c r="D2767" s="71"/>
    </row>
    <row r="2768" spans="2:4" x14ac:dyDescent="0.15">
      <c r="B2768" s="69"/>
      <c r="C2768" s="70"/>
      <c r="D2768" s="71"/>
    </row>
    <row r="2769" spans="2:4" x14ac:dyDescent="0.15">
      <c r="B2769" s="69"/>
      <c r="C2769" s="70"/>
      <c r="D2769" s="71"/>
    </row>
    <row r="2770" spans="2:4" x14ac:dyDescent="0.15">
      <c r="B2770" s="69"/>
      <c r="C2770" s="70"/>
      <c r="D2770" s="71"/>
    </row>
    <row r="2771" spans="2:4" x14ac:dyDescent="0.15">
      <c r="B2771" s="69"/>
      <c r="C2771" s="70"/>
      <c r="D2771" s="71"/>
    </row>
    <row r="2772" spans="2:4" x14ac:dyDescent="0.15">
      <c r="B2772" s="69"/>
      <c r="C2772" s="70"/>
      <c r="D2772" s="71"/>
    </row>
    <row r="2773" spans="2:4" x14ac:dyDescent="0.15">
      <c r="B2773" s="69"/>
      <c r="C2773" s="70"/>
      <c r="D2773" s="71"/>
    </row>
    <row r="2774" spans="2:4" x14ac:dyDescent="0.15">
      <c r="B2774" s="69"/>
      <c r="C2774" s="70"/>
      <c r="D2774" s="71"/>
    </row>
    <row r="2775" spans="2:4" x14ac:dyDescent="0.15">
      <c r="B2775" s="69"/>
      <c r="C2775" s="70"/>
      <c r="D2775" s="71"/>
    </row>
    <row r="2776" spans="2:4" x14ac:dyDescent="0.15">
      <c r="B2776" s="69"/>
      <c r="C2776" s="70"/>
      <c r="D2776" s="71"/>
    </row>
    <row r="2777" spans="2:4" x14ac:dyDescent="0.15">
      <c r="B2777" s="69"/>
      <c r="C2777" s="70"/>
      <c r="D2777" s="71"/>
    </row>
    <row r="2778" spans="2:4" x14ac:dyDescent="0.15">
      <c r="B2778" s="69"/>
      <c r="C2778" s="70"/>
      <c r="D2778" s="71"/>
    </row>
    <row r="2779" spans="2:4" x14ac:dyDescent="0.15">
      <c r="B2779" s="69"/>
      <c r="C2779" s="70"/>
      <c r="D2779" s="71"/>
    </row>
    <row r="2780" spans="2:4" x14ac:dyDescent="0.15">
      <c r="B2780" s="69"/>
      <c r="C2780" s="70"/>
      <c r="D2780" s="71"/>
    </row>
    <row r="2781" spans="2:4" x14ac:dyDescent="0.15">
      <c r="B2781" s="69"/>
      <c r="C2781" s="70"/>
      <c r="D2781" s="71"/>
    </row>
    <row r="2782" spans="2:4" x14ac:dyDescent="0.15">
      <c r="B2782" s="69"/>
      <c r="C2782" s="70"/>
      <c r="D2782" s="71"/>
    </row>
    <row r="2783" spans="2:4" x14ac:dyDescent="0.15">
      <c r="B2783" s="69"/>
      <c r="C2783" s="70"/>
      <c r="D2783" s="71"/>
    </row>
    <row r="2784" spans="2:4" x14ac:dyDescent="0.15">
      <c r="B2784" s="69"/>
      <c r="C2784" s="70"/>
      <c r="D2784" s="71"/>
    </row>
    <row r="2785" spans="2:4" x14ac:dyDescent="0.15">
      <c r="B2785" s="69"/>
      <c r="C2785" s="70"/>
      <c r="D2785" s="71"/>
    </row>
    <row r="2786" spans="2:4" x14ac:dyDescent="0.15">
      <c r="B2786" s="69"/>
      <c r="C2786" s="70"/>
      <c r="D2786" s="71"/>
    </row>
    <row r="2787" spans="2:4" x14ac:dyDescent="0.15">
      <c r="B2787" s="69"/>
      <c r="C2787" s="70"/>
      <c r="D2787" s="71"/>
    </row>
    <row r="2788" spans="2:4" x14ac:dyDescent="0.15">
      <c r="B2788" s="69"/>
      <c r="C2788" s="70"/>
      <c r="D2788" s="71"/>
    </row>
    <row r="2789" spans="2:4" x14ac:dyDescent="0.15">
      <c r="B2789" s="69"/>
      <c r="C2789" s="70"/>
      <c r="D2789" s="71"/>
    </row>
    <row r="2790" spans="2:4" x14ac:dyDescent="0.15">
      <c r="B2790" s="69"/>
      <c r="C2790" s="70"/>
      <c r="D2790" s="71"/>
    </row>
    <row r="2791" spans="2:4" x14ac:dyDescent="0.15">
      <c r="B2791" s="69"/>
      <c r="C2791" s="70"/>
      <c r="D2791" s="71"/>
    </row>
    <row r="2792" spans="2:4" x14ac:dyDescent="0.15">
      <c r="B2792" s="69"/>
      <c r="C2792" s="70"/>
      <c r="D2792" s="71"/>
    </row>
    <row r="2793" spans="2:4" x14ac:dyDescent="0.15">
      <c r="B2793" s="69"/>
      <c r="C2793" s="70"/>
      <c r="D2793" s="71"/>
    </row>
    <row r="2794" spans="2:4" x14ac:dyDescent="0.15">
      <c r="B2794" s="69"/>
      <c r="C2794" s="70"/>
      <c r="D2794" s="71"/>
    </row>
    <row r="2795" spans="2:4" x14ac:dyDescent="0.15">
      <c r="B2795" s="69"/>
      <c r="C2795" s="70"/>
      <c r="D2795" s="71"/>
    </row>
    <row r="2796" spans="2:4" x14ac:dyDescent="0.15">
      <c r="B2796" s="69"/>
      <c r="C2796" s="70"/>
      <c r="D2796" s="71"/>
    </row>
    <row r="2797" spans="2:4" x14ac:dyDescent="0.15">
      <c r="B2797" s="69"/>
      <c r="C2797" s="70"/>
      <c r="D2797" s="71"/>
    </row>
    <row r="2798" spans="2:4" x14ac:dyDescent="0.15">
      <c r="B2798" s="69"/>
      <c r="C2798" s="70"/>
      <c r="D2798" s="71"/>
    </row>
    <row r="2799" spans="2:4" x14ac:dyDescent="0.15">
      <c r="B2799" s="69"/>
      <c r="C2799" s="70"/>
      <c r="D2799" s="71"/>
    </row>
    <row r="2800" spans="2:4" x14ac:dyDescent="0.15">
      <c r="B2800" s="69"/>
      <c r="C2800" s="70"/>
      <c r="D2800" s="71"/>
    </row>
    <row r="2801" spans="2:4" x14ac:dyDescent="0.15">
      <c r="B2801" s="69"/>
      <c r="C2801" s="70"/>
      <c r="D2801" s="71"/>
    </row>
    <row r="2802" spans="2:4" x14ac:dyDescent="0.15">
      <c r="B2802" s="69"/>
      <c r="C2802" s="70"/>
      <c r="D2802" s="71"/>
    </row>
    <row r="2803" spans="2:4" x14ac:dyDescent="0.15">
      <c r="B2803" s="69"/>
      <c r="C2803" s="70"/>
      <c r="D2803" s="71"/>
    </row>
    <row r="2804" spans="2:4" x14ac:dyDescent="0.15">
      <c r="B2804" s="69"/>
      <c r="C2804" s="70"/>
      <c r="D2804" s="71"/>
    </row>
    <row r="2805" spans="2:4" x14ac:dyDescent="0.15">
      <c r="B2805" s="69"/>
      <c r="C2805" s="70"/>
      <c r="D2805" s="71"/>
    </row>
    <row r="2806" spans="2:4" x14ac:dyDescent="0.15">
      <c r="B2806" s="69"/>
      <c r="C2806" s="70"/>
      <c r="D2806" s="71"/>
    </row>
    <row r="2807" spans="2:4" x14ac:dyDescent="0.15">
      <c r="B2807" s="69"/>
      <c r="C2807" s="70"/>
      <c r="D2807" s="71"/>
    </row>
    <row r="2808" spans="2:4" x14ac:dyDescent="0.15">
      <c r="B2808" s="69"/>
      <c r="C2808" s="70"/>
      <c r="D2808" s="71"/>
    </row>
    <row r="2809" spans="2:4" x14ac:dyDescent="0.15">
      <c r="B2809" s="69"/>
      <c r="C2809" s="70"/>
      <c r="D2809" s="71"/>
    </row>
    <row r="2810" spans="2:4" x14ac:dyDescent="0.15">
      <c r="B2810" s="69"/>
      <c r="C2810" s="70"/>
      <c r="D2810" s="71"/>
    </row>
    <row r="2811" spans="2:4" x14ac:dyDescent="0.15">
      <c r="B2811" s="69"/>
      <c r="C2811" s="70"/>
      <c r="D2811" s="71"/>
    </row>
    <row r="2812" spans="2:4" x14ac:dyDescent="0.15">
      <c r="B2812" s="69"/>
      <c r="C2812" s="70"/>
      <c r="D2812" s="71"/>
    </row>
    <row r="2813" spans="2:4" x14ac:dyDescent="0.15">
      <c r="B2813" s="69"/>
      <c r="C2813" s="70"/>
      <c r="D2813" s="71"/>
    </row>
    <row r="2814" spans="2:4" x14ac:dyDescent="0.15">
      <c r="B2814" s="69"/>
      <c r="C2814" s="70"/>
      <c r="D2814" s="71"/>
    </row>
    <row r="2815" spans="2:4" x14ac:dyDescent="0.15">
      <c r="B2815" s="69"/>
      <c r="C2815" s="70"/>
      <c r="D2815" s="71"/>
    </row>
    <row r="2816" spans="2:4" x14ac:dyDescent="0.15">
      <c r="B2816" s="69"/>
      <c r="C2816" s="70"/>
      <c r="D2816" s="71"/>
    </row>
    <row r="2817" spans="2:4" x14ac:dyDescent="0.15">
      <c r="B2817" s="69"/>
      <c r="C2817" s="70"/>
      <c r="D2817" s="71"/>
    </row>
    <row r="2818" spans="2:4" x14ac:dyDescent="0.15">
      <c r="B2818" s="69"/>
      <c r="C2818" s="70"/>
      <c r="D2818" s="71"/>
    </row>
    <row r="2819" spans="2:4" x14ac:dyDescent="0.15">
      <c r="B2819" s="69"/>
      <c r="C2819" s="70"/>
      <c r="D2819" s="71"/>
    </row>
    <row r="2820" spans="2:4" x14ac:dyDescent="0.15">
      <c r="B2820" s="69"/>
      <c r="C2820" s="70"/>
      <c r="D2820" s="71"/>
    </row>
    <row r="2821" spans="2:4" x14ac:dyDescent="0.15">
      <c r="B2821" s="69"/>
      <c r="C2821" s="70"/>
      <c r="D2821" s="71"/>
    </row>
    <row r="2822" spans="2:4" x14ac:dyDescent="0.15">
      <c r="B2822" s="69"/>
      <c r="C2822" s="70"/>
      <c r="D2822" s="71"/>
    </row>
    <row r="2823" spans="2:4" x14ac:dyDescent="0.15">
      <c r="B2823" s="69"/>
      <c r="C2823" s="70"/>
      <c r="D2823" s="71"/>
    </row>
    <row r="2824" spans="2:4" x14ac:dyDescent="0.15">
      <c r="B2824" s="69"/>
      <c r="C2824" s="70"/>
      <c r="D2824" s="71"/>
    </row>
    <row r="2825" spans="2:4" x14ac:dyDescent="0.15">
      <c r="B2825" s="69"/>
      <c r="C2825" s="70"/>
      <c r="D2825" s="71"/>
    </row>
    <row r="2826" spans="2:4" x14ac:dyDescent="0.15">
      <c r="B2826" s="69"/>
      <c r="C2826" s="70"/>
      <c r="D2826" s="71"/>
    </row>
    <row r="2827" spans="2:4" x14ac:dyDescent="0.15">
      <c r="B2827" s="69"/>
      <c r="C2827" s="70"/>
      <c r="D2827" s="71"/>
    </row>
    <row r="2828" spans="2:4" x14ac:dyDescent="0.15">
      <c r="B2828" s="69"/>
      <c r="C2828" s="70"/>
      <c r="D2828" s="71"/>
    </row>
    <row r="2829" spans="2:4" x14ac:dyDescent="0.15">
      <c r="B2829" s="69"/>
      <c r="C2829" s="70"/>
      <c r="D2829" s="71"/>
    </row>
    <row r="2830" spans="2:4" x14ac:dyDescent="0.15">
      <c r="B2830" s="69"/>
      <c r="C2830" s="70"/>
      <c r="D2830" s="71"/>
    </row>
    <row r="2831" spans="2:4" x14ac:dyDescent="0.15">
      <c r="B2831" s="69"/>
      <c r="C2831" s="70"/>
      <c r="D2831" s="71"/>
    </row>
    <row r="2832" spans="2:4" x14ac:dyDescent="0.15">
      <c r="B2832" s="69"/>
      <c r="C2832" s="70"/>
      <c r="D2832" s="71"/>
    </row>
    <row r="2833" spans="2:4" x14ac:dyDescent="0.15">
      <c r="B2833" s="69"/>
      <c r="C2833" s="70"/>
      <c r="D2833" s="71"/>
    </row>
    <row r="2834" spans="2:4" x14ac:dyDescent="0.15">
      <c r="B2834" s="69"/>
      <c r="C2834" s="70"/>
      <c r="D2834" s="71"/>
    </row>
    <row r="2835" spans="2:4" x14ac:dyDescent="0.15">
      <c r="B2835" s="69"/>
      <c r="C2835" s="70"/>
      <c r="D2835" s="71"/>
    </row>
    <row r="2836" spans="2:4" x14ac:dyDescent="0.15">
      <c r="B2836" s="69"/>
      <c r="C2836" s="70"/>
      <c r="D2836" s="71"/>
    </row>
    <row r="2837" spans="2:4" x14ac:dyDescent="0.15">
      <c r="B2837" s="69"/>
      <c r="C2837" s="70"/>
      <c r="D2837" s="71"/>
    </row>
    <row r="2838" spans="2:4" x14ac:dyDescent="0.15">
      <c r="B2838" s="69"/>
      <c r="C2838" s="70"/>
      <c r="D2838" s="71"/>
    </row>
    <row r="2839" spans="2:4" x14ac:dyDescent="0.15">
      <c r="B2839" s="69"/>
      <c r="C2839" s="70"/>
      <c r="D2839" s="71"/>
    </row>
    <row r="2840" spans="2:4" x14ac:dyDescent="0.15">
      <c r="B2840" s="69"/>
      <c r="C2840" s="70"/>
      <c r="D2840" s="71"/>
    </row>
    <row r="2841" spans="2:4" x14ac:dyDescent="0.15">
      <c r="B2841" s="69"/>
      <c r="C2841" s="70"/>
      <c r="D2841" s="71"/>
    </row>
    <row r="2842" spans="2:4" x14ac:dyDescent="0.15">
      <c r="B2842" s="69"/>
      <c r="C2842" s="70"/>
      <c r="D2842" s="71"/>
    </row>
    <row r="2843" spans="2:4" x14ac:dyDescent="0.15">
      <c r="B2843" s="69"/>
      <c r="C2843" s="70"/>
      <c r="D2843" s="71"/>
    </row>
    <row r="2844" spans="2:4" x14ac:dyDescent="0.15">
      <c r="B2844" s="69"/>
      <c r="C2844" s="70"/>
      <c r="D2844" s="71"/>
    </row>
    <row r="2845" spans="2:4" x14ac:dyDescent="0.15">
      <c r="B2845" s="69"/>
      <c r="C2845" s="70"/>
      <c r="D2845" s="71"/>
    </row>
    <row r="2846" spans="2:4" x14ac:dyDescent="0.15">
      <c r="B2846" s="69"/>
      <c r="C2846" s="70"/>
      <c r="D2846" s="71"/>
    </row>
    <row r="2847" spans="2:4" x14ac:dyDescent="0.15">
      <c r="B2847" s="69"/>
      <c r="C2847" s="70"/>
      <c r="D2847" s="71"/>
    </row>
    <row r="2848" spans="2:4" x14ac:dyDescent="0.15">
      <c r="B2848" s="69"/>
      <c r="C2848" s="70"/>
      <c r="D2848" s="71"/>
    </row>
    <row r="2849" spans="2:4" x14ac:dyDescent="0.15">
      <c r="B2849" s="69"/>
      <c r="C2849" s="70"/>
      <c r="D2849" s="71"/>
    </row>
    <row r="2850" spans="2:4" x14ac:dyDescent="0.15">
      <c r="B2850" s="69"/>
      <c r="C2850" s="70"/>
      <c r="D2850" s="71"/>
    </row>
    <row r="2851" spans="2:4" x14ac:dyDescent="0.15">
      <c r="B2851" s="69"/>
      <c r="C2851" s="70"/>
      <c r="D2851" s="71"/>
    </row>
    <row r="2852" spans="2:4" x14ac:dyDescent="0.15">
      <c r="B2852" s="69"/>
      <c r="C2852" s="70"/>
      <c r="D2852" s="71"/>
    </row>
    <row r="2853" spans="2:4" x14ac:dyDescent="0.15">
      <c r="B2853" s="69"/>
      <c r="C2853" s="70"/>
      <c r="D2853" s="71"/>
    </row>
    <row r="2854" spans="2:4" x14ac:dyDescent="0.15">
      <c r="B2854" s="69"/>
      <c r="C2854" s="70"/>
      <c r="D2854" s="71"/>
    </row>
    <row r="2855" spans="2:4" x14ac:dyDescent="0.15">
      <c r="B2855" s="69"/>
      <c r="C2855" s="70"/>
      <c r="D2855" s="71"/>
    </row>
    <row r="2856" spans="2:4" x14ac:dyDescent="0.15">
      <c r="B2856" s="69"/>
      <c r="C2856" s="70"/>
      <c r="D2856" s="71"/>
    </row>
    <row r="2857" spans="2:4" x14ac:dyDescent="0.15">
      <c r="B2857" s="69"/>
      <c r="C2857" s="70"/>
      <c r="D2857" s="71"/>
    </row>
    <row r="2858" spans="2:4" x14ac:dyDescent="0.15">
      <c r="B2858" s="69"/>
      <c r="C2858" s="70"/>
      <c r="D2858" s="71"/>
    </row>
    <row r="2859" spans="2:4" x14ac:dyDescent="0.15">
      <c r="B2859" s="69"/>
      <c r="C2859" s="70"/>
      <c r="D2859" s="71"/>
    </row>
    <row r="2860" spans="2:4" x14ac:dyDescent="0.15">
      <c r="B2860" s="69"/>
      <c r="C2860" s="70"/>
      <c r="D2860" s="71"/>
    </row>
    <row r="2861" spans="2:4" x14ac:dyDescent="0.15">
      <c r="B2861" s="69"/>
      <c r="C2861" s="70"/>
      <c r="D2861" s="71"/>
    </row>
    <row r="2862" spans="2:4" x14ac:dyDescent="0.15">
      <c r="B2862" s="69"/>
      <c r="C2862" s="70"/>
      <c r="D2862" s="71"/>
    </row>
    <row r="2863" spans="2:4" x14ac:dyDescent="0.15">
      <c r="B2863" s="69"/>
      <c r="C2863" s="70"/>
      <c r="D2863" s="71"/>
    </row>
  </sheetData>
  <mergeCells count="11">
    <mergeCell ref="B13:D13"/>
    <mergeCell ref="G13:I13"/>
    <mergeCell ref="B14:D14"/>
    <mergeCell ref="G14:I14"/>
    <mergeCell ref="F16:O25"/>
    <mergeCell ref="B1:O3"/>
    <mergeCell ref="B4:O9"/>
    <mergeCell ref="B11:D11"/>
    <mergeCell ref="G11:I11"/>
    <mergeCell ref="B12:D12"/>
    <mergeCell ref="G12:I12"/>
  </mergeCells>
  <pageMargins left="0.75" right="0.75" top="1" bottom="1" header="0.5" footer="0.5"/>
  <pageSetup scale="69" fitToHeight="5" orientation="portrait"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63682-663F-4ABF-811E-8B18E4C32AD0}">
  <sheetPr>
    <tabColor theme="9" tint="0.79998168889431442"/>
    <pageSetUpPr fitToPage="1"/>
  </sheetPr>
  <dimension ref="B1:O2863"/>
  <sheetViews>
    <sheetView topLeftCell="A255" workbookViewId="0">
      <selection activeCell="F26" sqref="F26"/>
    </sheetView>
  </sheetViews>
  <sheetFormatPr baseColWidth="10" defaultColWidth="9.1640625" defaultRowHeight="13" x14ac:dyDescent="0.15"/>
  <cols>
    <col min="1" max="1" width="6.83203125" style="63" customWidth="1"/>
    <col min="2" max="2" width="10" style="63" customWidth="1"/>
    <col min="3" max="3" width="11.33203125" style="63" customWidth="1"/>
    <col min="4" max="4" width="11.83203125" style="63" customWidth="1"/>
    <col min="5" max="9" width="9.1640625" style="63"/>
    <col min="10" max="10" width="10.6640625" style="63" customWidth="1"/>
    <col min="11" max="13" width="9.1640625" style="63"/>
    <col min="14" max="14" width="10.83203125" style="63" customWidth="1"/>
    <col min="15" max="15" width="19.5" style="63" customWidth="1"/>
    <col min="16" max="256" width="9.1640625" style="63"/>
    <col min="257" max="257" width="6.83203125" style="63" customWidth="1"/>
    <col min="258" max="258" width="10" style="63" customWidth="1"/>
    <col min="259" max="259" width="11.33203125" style="63" customWidth="1"/>
    <col min="260" max="260" width="11.83203125" style="63" customWidth="1"/>
    <col min="261" max="265" width="9.1640625" style="63"/>
    <col min="266" max="266" width="10.6640625" style="63" customWidth="1"/>
    <col min="267" max="269" width="9.1640625" style="63"/>
    <col min="270" max="270" width="10.83203125" style="63" customWidth="1"/>
    <col min="271" max="271" width="19.5" style="63" customWidth="1"/>
    <col min="272" max="512" width="9.1640625" style="63"/>
    <col min="513" max="513" width="6.83203125" style="63" customWidth="1"/>
    <col min="514" max="514" width="10" style="63" customWidth="1"/>
    <col min="515" max="515" width="11.33203125" style="63" customWidth="1"/>
    <col min="516" max="516" width="11.83203125" style="63" customWidth="1"/>
    <col min="517" max="521" width="9.1640625" style="63"/>
    <col min="522" max="522" width="10.6640625" style="63" customWidth="1"/>
    <col min="523" max="525" width="9.1640625" style="63"/>
    <col min="526" max="526" width="10.83203125" style="63" customWidth="1"/>
    <col min="527" max="527" width="19.5" style="63" customWidth="1"/>
    <col min="528" max="768" width="9.1640625" style="63"/>
    <col min="769" max="769" width="6.83203125" style="63" customWidth="1"/>
    <col min="770" max="770" width="10" style="63" customWidth="1"/>
    <col min="771" max="771" width="11.33203125" style="63" customWidth="1"/>
    <col min="772" max="772" width="11.83203125" style="63" customWidth="1"/>
    <col min="773" max="777" width="9.1640625" style="63"/>
    <col min="778" max="778" width="10.6640625" style="63" customWidth="1"/>
    <col min="779" max="781" width="9.1640625" style="63"/>
    <col min="782" max="782" width="10.83203125" style="63" customWidth="1"/>
    <col min="783" max="783" width="19.5" style="63" customWidth="1"/>
    <col min="784" max="1024" width="9.1640625" style="63"/>
    <col min="1025" max="1025" width="6.83203125" style="63" customWidth="1"/>
    <col min="1026" max="1026" width="10" style="63" customWidth="1"/>
    <col min="1027" max="1027" width="11.33203125" style="63" customWidth="1"/>
    <col min="1028" max="1028" width="11.83203125" style="63" customWidth="1"/>
    <col min="1029" max="1033" width="9.1640625" style="63"/>
    <col min="1034" max="1034" width="10.6640625" style="63" customWidth="1"/>
    <col min="1035" max="1037" width="9.1640625" style="63"/>
    <col min="1038" max="1038" width="10.83203125" style="63" customWidth="1"/>
    <col min="1039" max="1039" width="19.5" style="63" customWidth="1"/>
    <col min="1040" max="1280" width="9.1640625" style="63"/>
    <col min="1281" max="1281" width="6.83203125" style="63" customWidth="1"/>
    <col min="1282" max="1282" width="10" style="63" customWidth="1"/>
    <col min="1283" max="1283" width="11.33203125" style="63" customWidth="1"/>
    <col min="1284" max="1284" width="11.83203125" style="63" customWidth="1"/>
    <col min="1285" max="1289" width="9.1640625" style="63"/>
    <col min="1290" max="1290" width="10.6640625" style="63" customWidth="1"/>
    <col min="1291" max="1293" width="9.1640625" style="63"/>
    <col min="1294" max="1294" width="10.83203125" style="63" customWidth="1"/>
    <col min="1295" max="1295" width="19.5" style="63" customWidth="1"/>
    <col min="1296" max="1536" width="9.1640625" style="63"/>
    <col min="1537" max="1537" width="6.83203125" style="63" customWidth="1"/>
    <col min="1538" max="1538" width="10" style="63" customWidth="1"/>
    <col min="1539" max="1539" width="11.33203125" style="63" customWidth="1"/>
    <col min="1540" max="1540" width="11.83203125" style="63" customWidth="1"/>
    <col min="1541" max="1545" width="9.1640625" style="63"/>
    <col min="1546" max="1546" width="10.6640625" style="63" customWidth="1"/>
    <col min="1547" max="1549" width="9.1640625" style="63"/>
    <col min="1550" max="1550" width="10.83203125" style="63" customWidth="1"/>
    <col min="1551" max="1551" width="19.5" style="63" customWidth="1"/>
    <col min="1552" max="1792" width="9.1640625" style="63"/>
    <col min="1793" max="1793" width="6.83203125" style="63" customWidth="1"/>
    <col min="1794" max="1794" width="10" style="63" customWidth="1"/>
    <col min="1795" max="1795" width="11.33203125" style="63" customWidth="1"/>
    <col min="1796" max="1796" width="11.83203125" style="63" customWidth="1"/>
    <col min="1797" max="1801" width="9.1640625" style="63"/>
    <col min="1802" max="1802" width="10.6640625" style="63" customWidth="1"/>
    <col min="1803" max="1805" width="9.1640625" style="63"/>
    <col min="1806" max="1806" width="10.83203125" style="63" customWidth="1"/>
    <col min="1807" max="1807" width="19.5" style="63" customWidth="1"/>
    <col min="1808" max="2048" width="9.1640625" style="63"/>
    <col min="2049" max="2049" width="6.83203125" style="63" customWidth="1"/>
    <col min="2050" max="2050" width="10" style="63" customWidth="1"/>
    <col min="2051" max="2051" width="11.33203125" style="63" customWidth="1"/>
    <col min="2052" max="2052" width="11.83203125" style="63" customWidth="1"/>
    <col min="2053" max="2057" width="9.1640625" style="63"/>
    <col min="2058" max="2058" width="10.6640625" style="63" customWidth="1"/>
    <col min="2059" max="2061" width="9.1640625" style="63"/>
    <col min="2062" max="2062" width="10.83203125" style="63" customWidth="1"/>
    <col min="2063" max="2063" width="19.5" style="63" customWidth="1"/>
    <col min="2064" max="2304" width="9.1640625" style="63"/>
    <col min="2305" max="2305" width="6.83203125" style="63" customWidth="1"/>
    <col min="2306" max="2306" width="10" style="63" customWidth="1"/>
    <col min="2307" max="2307" width="11.33203125" style="63" customWidth="1"/>
    <col min="2308" max="2308" width="11.83203125" style="63" customWidth="1"/>
    <col min="2309" max="2313" width="9.1640625" style="63"/>
    <col min="2314" max="2314" width="10.6640625" style="63" customWidth="1"/>
    <col min="2315" max="2317" width="9.1640625" style="63"/>
    <col min="2318" max="2318" width="10.83203125" style="63" customWidth="1"/>
    <col min="2319" max="2319" width="19.5" style="63" customWidth="1"/>
    <col min="2320" max="2560" width="9.1640625" style="63"/>
    <col min="2561" max="2561" width="6.83203125" style="63" customWidth="1"/>
    <col min="2562" max="2562" width="10" style="63" customWidth="1"/>
    <col min="2563" max="2563" width="11.33203125" style="63" customWidth="1"/>
    <col min="2564" max="2564" width="11.83203125" style="63" customWidth="1"/>
    <col min="2565" max="2569" width="9.1640625" style="63"/>
    <col min="2570" max="2570" width="10.6640625" style="63" customWidth="1"/>
    <col min="2571" max="2573" width="9.1640625" style="63"/>
    <col min="2574" max="2574" width="10.83203125" style="63" customWidth="1"/>
    <col min="2575" max="2575" width="19.5" style="63" customWidth="1"/>
    <col min="2576" max="2816" width="9.1640625" style="63"/>
    <col min="2817" max="2817" width="6.83203125" style="63" customWidth="1"/>
    <col min="2818" max="2818" width="10" style="63" customWidth="1"/>
    <col min="2819" max="2819" width="11.33203125" style="63" customWidth="1"/>
    <col min="2820" max="2820" width="11.83203125" style="63" customWidth="1"/>
    <col min="2821" max="2825" width="9.1640625" style="63"/>
    <col min="2826" max="2826" width="10.6640625" style="63" customWidth="1"/>
    <col min="2827" max="2829" width="9.1640625" style="63"/>
    <col min="2830" max="2830" width="10.83203125" style="63" customWidth="1"/>
    <col min="2831" max="2831" width="19.5" style="63" customWidth="1"/>
    <col min="2832" max="3072" width="9.1640625" style="63"/>
    <col min="3073" max="3073" width="6.83203125" style="63" customWidth="1"/>
    <col min="3074" max="3074" width="10" style="63" customWidth="1"/>
    <col min="3075" max="3075" width="11.33203125" style="63" customWidth="1"/>
    <col min="3076" max="3076" width="11.83203125" style="63" customWidth="1"/>
    <col min="3077" max="3081" width="9.1640625" style="63"/>
    <col min="3082" max="3082" width="10.6640625" style="63" customWidth="1"/>
    <col min="3083" max="3085" width="9.1640625" style="63"/>
    <col min="3086" max="3086" width="10.83203125" style="63" customWidth="1"/>
    <col min="3087" max="3087" width="19.5" style="63" customWidth="1"/>
    <col min="3088" max="3328" width="9.1640625" style="63"/>
    <col min="3329" max="3329" width="6.83203125" style="63" customWidth="1"/>
    <col min="3330" max="3330" width="10" style="63" customWidth="1"/>
    <col min="3331" max="3331" width="11.33203125" style="63" customWidth="1"/>
    <col min="3332" max="3332" width="11.83203125" style="63" customWidth="1"/>
    <col min="3333" max="3337" width="9.1640625" style="63"/>
    <col min="3338" max="3338" width="10.6640625" style="63" customWidth="1"/>
    <col min="3339" max="3341" width="9.1640625" style="63"/>
    <col min="3342" max="3342" width="10.83203125" style="63" customWidth="1"/>
    <col min="3343" max="3343" width="19.5" style="63" customWidth="1"/>
    <col min="3344" max="3584" width="9.1640625" style="63"/>
    <col min="3585" max="3585" width="6.83203125" style="63" customWidth="1"/>
    <col min="3586" max="3586" width="10" style="63" customWidth="1"/>
    <col min="3587" max="3587" width="11.33203125" style="63" customWidth="1"/>
    <col min="3588" max="3588" width="11.83203125" style="63" customWidth="1"/>
    <col min="3589" max="3593" width="9.1640625" style="63"/>
    <col min="3594" max="3594" width="10.6640625" style="63" customWidth="1"/>
    <col min="3595" max="3597" width="9.1640625" style="63"/>
    <col min="3598" max="3598" width="10.83203125" style="63" customWidth="1"/>
    <col min="3599" max="3599" width="19.5" style="63" customWidth="1"/>
    <col min="3600" max="3840" width="9.1640625" style="63"/>
    <col min="3841" max="3841" width="6.83203125" style="63" customWidth="1"/>
    <col min="3842" max="3842" width="10" style="63" customWidth="1"/>
    <col min="3843" max="3843" width="11.33203125" style="63" customWidth="1"/>
    <col min="3844" max="3844" width="11.83203125" style="63" customWidth="1"/>
    <col min="3845" max="3849" width="9.1640625" style="63"/>
    <col min="3850" max="3850" width="10.6640625" style="63" customWidth="1"/>
    <col min="3851" max="3853" width="9.1640625" style="63"/>
    <col min="3854" max="3854" width="10.83203125" style="63" customWidth="1"/>
    <col min="3855" max="3855" width="19.5" style="63" customWidth="1"/>
    <col min="3856" max="4096" width="9.1640625" style="63"/>
    <col min="4097" max="4097" width="6.83203125" style="63" customWidth="1"/>
    <col min="4098" max="4098" width="10" style="63" customWidth="1"/>
    <col min="4099" max="4099" width="11.33203125" style="63" customWidth="1"/>
    <col min="4100" max="4100" width="11.83203125" style="63" customWidth="1"/>
    <col min="4101" max="4105" width="9.1640625" style="63"/>
    <col min="4106" max="4106" width="10.6640625" style="63" customWidth="1"/>
    <col min="4107" max="4109" width="9.1640625" style="63"/>
    <col min="4110" max="4110" width="10.83203125" style="63" customWidth="1"/>
    <col min="4111" max="4111" width="19.5" style="63" customWidth="1"/>
    <col min="4112" max="4352" width="9.1640625" style="63"/>
    <col min="4353" max="4353" width="6.83203125" style="63" customWidth="1"/>
    <col min="4354" max="4354" width="10" style="63" customWidth="1"/>
    <col min="4355" max="4355" width="11.33203125" style="63" customWidth="1"/>
    <col min="4356" max="4356" width="11.83203125" style="63" customWidth="1"/>
    <col min="4357" max="4361" width="9.1640625" style="63"/>
    <col min="4362" max="4362" width="10.6640625" style="63" customWidth="1"/>
    <col min="4363" max="4365" width="9.1640625" style="63"/>
    <col min="4366" max="4366" width="10.83203125" style="63" customWidth="1"/>
    <col min="4367" max="4367" width="19.5" style="63" customWidth="1"/>
    <col min="4368" max="4608" width="9.1640625" style="63"/>
    <col min="4609" max="4609" width="6.83203125" style="63" customWidth="1"/>
    <col min="4610" max="4610" width="10" style="63" customWidth="1"/>
    <col min="4611" max="4611" width="11.33203125" style="63" customWidth="1"/>
    <col min="4612" max="4612" width="11.83203125" style="63" customWidth="1"/>
    <col min="4613" max="4617" width="9.1640625" style="63"/>
    <col min="4618" max="4618" width="10.6640625" style="63" customWidth="1"/>
    <col min="4619" max="4621" width="9.1640625" style="63"/>
    <col min="4622" max="4622" width="10.83203125" style="63" customWidth="1"/>
    <col min="4623" max="4623" width="19.5" style="63" customWidth="1"/>
    <col min="4624" max="4864" width="9.1640625" style="63"/>
    <col min="4865" max="4865" width="6.83203125" style="63" customWidth="1"/>
    <col min="4866" max="4866" width="10" style="63" customWidth="1"/>
    <col min="4867" max="4867" width="11.33203125" style="63" customWidth="1"/>
    <col min="4868" max="4868" width="11.83203125" style="63" customWidth="1"/>
    <col min="4869" max="4873" width="9.1640625" style="63"/>
    <col min="4874" max="4874" width="10.6640625" style="63" customWidth="1"/>
    <col min="4875" max="4877" width="9.1640625" style="63"/>
    <col min="4878" max="4878" width="10.83203125" style="63" customWidth="1"/>
    <col min="4879" max="4879" width="19.5" style="63" customWidth="1"/>
    <col min="4880" max="5120" width="9.1640625" style="63"/>
    <col min="5121" max="5121" width="6.83203125" style="63" customWidth="1"/>
    <col min="5122" max="5122" width="10" style="63" customWidth="1"/>
    <col min="5123" max="5123" width="11.33203125" style="63" customWidth="1"/>
    <col min="5124" max="5124" width="11.83203125" style="63" customWidth="1"/>
    <col min="5125" max="5129" width="9.1640625" style="63"/>
    <col min="5130" max="5130" width="10.6640625" style="63" customWidth="1"/>
    <col min="5131" max="5133" width="9.1640625" style="63"/>
    <col min="5134" max="5134" width="10.83203125" style="63" customWidth="1"/>
    <col min="5135" max="5135" width="19.5" style="63" customWidth="1"/>
    <col min="5136" max="5376" width="9.1640625" style="63"/>
    <col min="5377" max="5377" width="6.83203125" style="63" customWidth="1"/>
    <col min="5378" max="5378" width="10" style="63" customWidth="1"/>
    <col min="5379" max="5379" width="11.33203125" style="63" customWidth="1"/>
    <col min="5380" max="5380" width="11.83203125" style="63" customWidth="1"/>
    <col min="5381" max="5385" width="9.1640625" style="63"/>
    <col min="5386" max="5386" width="10.6640625" style="63" customWidth="1"/>
    <col min="5387" max="5389" width="9.1640625" style="63"/>
    <col min="5390" max="5390" width="10.83203125" style="63" customWidth="1"/>
    <col min="5391" max="5391" width="19.5" style="63" customWidth="1"/>
    <col min="5392" max="5632" width="9.1640625" style="63"/>
    <col min="5633" max="5633" width="6.83203125" style="63" customWidth="1"/>
    <col min="5634" max="5634" width="10" style="63" customWidth="1"/>
    <col min="5635" max="5635" width="11.33203125" style="63" customWidth="1"/>
    <col min="5636" max="5636" width="11.83203125" style="63" customWidth="1"/>
    <col min="5637" max="5641" width="9.1640625" style="63"/>
    <col min="5642" max="5642" width="10.6640625" style="63" customWidth="1"/>
    <col min="5643" max="5645" width="9.1640625" style="63"/>
    <col min="5646" max="5646" width="10.83203125" style="63" customWidth="1"/>
    <col min="5647" max="5647" width="19.5" style="63" customWidth="1"/>
    <col min="5648" max="5888" width="9.1640625" style="63"/>
    <col min="5889" max="5889" width="6.83203125" style="63" customWidth="1"/>
    <col min="5890" max="5890" width="10" style="63" customWidth="1"/>
    <col min="5891" max="5891" width="11.33203125" style="63" customWidth="1"/>
    <col min="5892" max="5892" width="11.83203125" style="63" customWidth="1"/>
    <col min="5893" max="5897" width="9.1640625" style="63"/>
    <col min="5898" max="5898" width="10.6640625" style="63" customWidth="1"/>
    <col min="5899" max="5901" width="9.1640625" style="63"/>
    <col min="5902" max="5902" width="10.83203125" style="63" customWidth="1"/>
    <col min="5903" max="5903" width="19.5" style="63" customWidth="1"/>
    <col min="5904" max="6144" width="9.1640625" style="63"/>
    <col min="6145" max="6145" width="6.83203125" style="63" customWidth="1"/>
    <col min="6146" max="6146" width="10" style="63" customWidth="1"/>
    <col min="6147" max="6147" width="11.33203125" style="63" customWidth="1"/>
    <col min="6148" max="6148" width="11.83203125" style="63" customWidth="1"/>
    <col min="6149" max="6153" width="9.1640625" style="63"/>
    <col min="6154" max="6154" width="10.6640625" style="63" customWidth="1"/>
    <col min="6155" max="6157" width="9.1640625" style="63"/>
    <col min="6158" max="6158" width="10.83203125" style="63" customWidth="1"/>
    <col min="6159" max="6159" width="19.5" style="63" customWidth="1"/>
    <col min="6160" max="6400" width="9.1640625" style="63"/>
    <col min="6401" max="6401" width="6.83203125" style="63" customWidth="1"/>
    <col min="6402" max="6402" width="10" style="63" customWidth="1"/>
    <col min="6403" max="6403" width="11.33203125" style="63" customWidth="1"/>
    <col min="6404" max="6404" width="11.83203125" style="63" customWidth="1"/>
    <col min="6405" max="6409" width="9.1640625" style="63"/>
    <col min="6410" max="6410" width="10.6640625" style="63" customWidth="1"/>
    <col min="6411" max="6413" width="9.1640625" style="63"/>
    <col min="6414" max="6414" width="10.83203125" style="63" customWidth="1"/>
    <col min="6415" max="6415" width="19.5" style="63" customWidth="1"/>
    <col min="6416" max="6656" width="9.1640625" style="63"/>
    <col min="6657" max="6657" width="6.83203125" style="63" customWidth="1"/>
    <col min="6658" max="6658" width="10" style="63" customWidth="1"/>
    <col min="6659" max="6659" width="11.33203125" style="63" customWidth="1"/>
    <col min="6660" max="6660" width="11.83203125" style="63" customWidth="1"/>
    <col min="6661" max="6665" width="9.1640625" style="63"/>
    <col min="6666" max="6666" width="10.6640625" style="63" customWidth="1"/>
    <col min="6667" max="6669" width="9.1640625" style="63"/>
    <col min="6670" max="6670" width="10.83203125" style="63" customWidth="1"/>
    <col min="6671" max="6671" width="19.5" style="63" customWidth="1"/>
    <col min="6672" max="6912" width="9.1640625" style="63"/>
    <col min="6913" max="6913" width="6.83203125" style="63" customWidth="1"/>
    <col min="6914" max="6914" width="10" style="63" customWidth="1"/>
    <col min="6915" max="6915" width="11.33203125" style="63" customWidth="1"/>
    <col min="6916" max="6916" width="11.83203125" style="63" customWidth="1"/>
    <col min="6917" max="6921" width="9.1640625" style="63"/>
    <col min="6922" max="6922" width="10.6640625" style="63" customWidth="1"/>
    <col min="6923" max="6925" width="9.1640625" style="63"/>
    <col min="6926" max="6926" width="10.83203125" style="63" customWidth="1"/>
    <col min="6927" max="6927" width="19.5" style="63" customWidth="1"/>
    <col min="6928" max="7168" width="9.1640625" style="63"/>
    <col min="7169" max="7169" width="6.83203125" style="63" customWidth="1"/>
    <col min="7170" max="7170" width="10" style="63" customWidth="1"/>
    <col min="7171" max="7171" width="11.33203125" style="63" customWidth="1"/>
    <col min="7172" max="7172" width="11.83203125" style="63" customWidth="1"/>
    <col min="7173" max="7177" width="9.1640625" style="63"/>
    <col min="7178" max="7178" width="10.6640625" style="63" customWidth="1"/>
    <col min="7179" max="7181" width="9.1640625" style="63"/>
    <col min="7182" max="7182" width="10.83203125" style="63" customWidth="1"/>
    <col min="7183" max="7183" width="19.5" style="63" customWidth="1"/>
    <col min="7184" max="7424" width="9.1640625" style="63"/>
    <col min="7425" max="7425" width="6.83203125" style="63" customWidth="1"/>
    <col min="7426" max="7426" width="10" style="63" customWidth="1"/>
    <col min="7427" max="7427" width="11.33203125" style="63" customWidth="1"/>
    <col min="7428" max="7428" width="11.83203125" style="63" customWidth="1"/>
    <col min="7429" max="7433" width="9.1640625" style="63"/>
    <col min="7434" max="7434" width="10.6640625" style="63" customWidth="1"/>
    <col min="7435" max="7437" width="9.1640625" style="63"/>
    <col min="7438" max="7438" width="10.83203125" style="63" customWidth="1"/>
    <col min="7439" max="7439" width="19.5" style="63" customWidth="1"/>
    <col min="7440" max="7680" width="9.1640625" style="63"/>
    <col min="7681" max="7681" width="6.83203125" style="63" customWidth="1"/>
    <col min="7682" max="7682" width="10" style="63" customWidth="1"/>
    <col min="7683" max="7683" width="11.33203125" style="63" customWidth="1"/>
    <col min="7684" max="7684" width="11.83203125" style="63" customWidth="1"/>
    <col min="7685" max="7689" width="9.1640625" style="63"/>
    <col min="7690" max="7690" width="10.6640625" style="63" customWidth="1"/>
    <col min="7691" max="7693" width="9.1640625" style="63"/>
    <col min="7694" max="7694" width="10.83203125" style="63" customWidth="1"/>
    <col min="7695" max="7695" width="19.5" style="63" customWidth="1"/>
    <col min="7696" max="7936" width="9.1640625" style="63"/>
    <col min="7937" max="7937" width="6.83203125" style="63" customWidth="1"/>
    <col min="7938" max="7938" width="10" style="63" customWidth="1"/>
    <col min="7939" max="7939" width="11.33203125" style="63" customWidth="1"/>
    <col min="7940" max="7940" width="11.83203125" style="63" customWidth="1"/>
    <col min="7941" max="7945" width="9.1640625" style="63"/>
    <col min="7946" max="7946" width="10.6640625" style="63" customWidth="1"/>
    <col min="7947" max="7949" width="9.1640625" style="63"/>
    <col min="7950" max="7950" width="10.83203125" style="63" customWidth="1"/>
    <col min="7951" max="7951" width="19.5" style="63" customWidth="1"/>
    <col min="7952" max="8192" width="9.1640625" style="63"/>
    <col min="8193" max="8193" width="6.83203125" style="63" customWidth="1"/>
    <col min="8194" max="8194" width="10" style="63" customWidth="1"/>
    <col min="8195" max="8195" width="11.33203125" style="63" customWidth="1"/>
    <col min="8196" max="8196" width="11.83203125" style="63" customWidth="1"/>
    <col min="8197" max="8201" width="9.1640625" style="63"/>
    <col min="8202" max="8202" width="10.6640625" style="63" customWidth="1"/>
    <col min="8203" max="8205" width="9.1640625" style="63"/>
    <col min="8206" max="8206" width="10.83203125" style="63" customWidth="1"/>
    <col min="8207" max="8207" width="19.5" style="63" customWidth="1"/>
    <col min="8208" max="8448" width="9.1640625" style="63"/>
    <col min="8449" max="8449" width="6.83203125" style="63" customWidth="1"/>
    <col min="8450" max="8450" width="10" style="63" customWidth="1"/>
    <col min="8451" max="8451" width="11.33203125" style="63" customWidth="1"/>
    <col min="8452" max="8452" width="11.83203125" style="63" customWidth="1"/>
    <col min="8453" max="8457" width="9.1640625" style="63"/>
    <col min="8458" max="8458" width="10.6640625" style="63" customWidth="1"/>
    <col min="8459" max="8461" width="9.1640625" style="63"/>
    <col min="8462" max="8462" width="10.83203125" style="63" customWidth="1"/>
    <col min="8463" max="8463" width="19.5" style="63" customWidth="1"/>
    <col min="8464" max="8704" width="9.1640625" style="63"/>
    <col min="8705" max="8705" width="6.83203125" style="63" customWidth="1"/>
    <col min="8706" max="8706" width="10" style="63" customWidth="1"/>
    <col min="8707" max="8707" width="11.33203125" style="63" customWidth="1"/>
    <col min="8708" max="8708" width="11.83203125" style="63" customWidth="1"/>
    <col min="8709" max="8713" width="9.1640625" style="63"/>
    <col min="8714" max="8714" width="10.6640625" style="63" customWidth="1"/>
    <col min="8715" max="8717" width="9.1640625" style="63"/>
    <col min="8718" max="8718" width="10.83203125" style="63" customWidth="1"/>
    <col min="8719" max="8719" width="19.5" style="63" customWidth="1"/>
    <col min="8720" max="8960" width="9.1640625" style="63"/>
    <col min="8961" max="8961" width="6.83203125" style="63" customWidth="1"/>
    <col min="8962" max="8962" width="10" style="63" customWidth="1"/>
    <col min="8963" max="8963" width="11.33203125" style="63" customWidth="1"/>
    <col min="8964" max="8964" width="11.83203125" style="63" customWidth="1"/>
    <col min="8965" max="8969" width="9.1640625" style="63"/>
    <col min="8970" max="8970" width="10.6640625" style="63" customWidth="1"/>
    <col min="8971" max="8973" width="9.1640625" style="63"/>
    <col min="8974" max="8974" width="10.83203125" style="63" customWidth="1"/>
    <col min="8975" max="8975" width="19.5" style="63" customWidth="1"/>
    <col min="8976" max="9216" width="9.1640625" style="63"/>
    <col min="9217" max="9217" width="6.83203125" style="63" customWidth="1"/>
    <col min="9218" max="9218" width="10" style="63" customWidth="1"/>
    <col min="9219" max="9219" width="11.33203125" style="63" customWidth="1"/>
    <col min="9220" max="9220" width="11.83203125" style="63" customWidth="1"/>
    <col min="9221" max="9225" width="9.1640625" style="63"/>
    <col min="9226" max="9226" width="10.6640625" style="63" customWidth="1"/>
    <col min="9227" max="9229" width="9.1640625" style="63"/>
    <col min="9230" max="9230" width="10.83203125" style="63" customWidth="1"/>
    <col min="9231" max="9231" width="19.5" style="63" customWidth="1"/>
    <col min="9232" max="9472" width="9.1640625" style="63"/>
    <col min="9473" max="9473" width="6.83203125" style="63" customWidth="1"/>
    <col min="9474" max="9474" width="10" style="63" customWidth="1"/>
    <col min="9475" max="9475" width="11.33203125" style="63" customWidth="1"/>
    <col min="9476" max="9476" width="11.83203125" style="63" customWidth="1"/>
    <col min="9477" max="9481" width="9.1640625" style="63"/>
    <col min="9482" max="9482" width="10.6640625" style="63" customWidth="1"/>
    <col min="9483" max="9485" width="9.1640625" style="63"/>
    <col min="9486" max="9486" width="10.83203125" style="63" customWidth="1"/>
    <col min="9487" max="9487" width="19.5" style="63" customWidth="1"/>
    <col min="9488" max="9728" width="9.1640625" style="63"/>
    <col min="9729" max="9729" width="6.83203125" style="63" customWidth="1"/>
    <col min="9730" max="9730" width="10" style="63" customWidth="1"/>
    <col min="9731" max="9731" width="11.33203125" style="63" customWidth="1"/>
    <col min="9732" max="9732" width="11.83203125" style="63" customWidth="1"/>
    <col min="9733" max="9737" width="9.1640625" style="63"/>
    <col min="9738" max="9738" width="10.6640625" style="63" customWidth="1"/>
    <col min="9739" max="9741" width="9.1640625" style="63"/>
    <col min="9742" max="9742" width="10.83203125" style="63" customWidth="1"/>
    <col min="9743" max="9743" width="19.5" style="63" customWidth="1"/>
    <col min="9744" max="9984" width="9.1640625" style="63"/>
    <col min="9985" max="9985" width="6.83203125" style="63" customWidth="1"/>
    <col min="9986" max="9986" width="10" style="63" customWidth="1"/>
    <col min="9987" max="9987" width="11.33203125" style="63" customWidth="1"/>
    <col min="9988" max="9988" width="11.83203125" style="63" customWidth="1"/>
    <col min="9989" max="9993" width="9.1640625" style="63"/>
    <col min="9994" max="9994" width="10.6640625" style="63" customWidth="1"/>
    <col min="9995" max="9997" width="9.1640625" style="63"/>
    <col min="9998" max="9998" width="10.83203125" style="63" customWidth="1"/>
    <col min="9999" max="9999" width="19.5" style="63" customWidth="1"/>
    <col min="10000" max="10240" width="9.1640625" style="63"/>
    <col min="10241" max="10241" width="6.83203125" style="63" customWidth="1"/>
    <col min="10242" max="10242" width="10" style="63" customWidth="1"/>
    <col min="10243" max="10243" width="11.33203125" style="63" customWidth="1"/>
    <col min="10244" max="10244" width="11.83203125" style="63" customWidth="1"/>
    <col min="10245" max="10249" width="9.1640625" style="63"/>
    <col min="10250" max="10250" width="10.6640625" style="63" customWidth="1"/>
    <col min="10251" max="10253" width="9.1640625" style="63"/>
    <col min="10254" max="10254" width="10.83203125" style="63" customWidth="1"/>
    <col min="10255" max="10255" width="19.5" style="63" customWidth="1"/>
    <col min="10256" max="10496" width="9.1640625" style="63"/>
    <col min="10497" max="10497" width="6.83203125" style="63" customWidth="1"/>
    <col min="10498" max="10498" width="10" style="63" customWidth="1"/>
    <col min="10499" max="10499" width="11.33203125" style="63" customWidth="1"/>
    <col min="10500" max="10500" width="11.83203125" style="63" customWidth="1"/>
    <col min="10501" max="10505" width="9.1640625" style="63"/>
    <col min="10506" max="10506" width="10.6640625" style="63" customWidth="1"/>
    <col min="10507" max="10509" width="9.1640625" style="63"/>
    <col min="10510" max="10510" width="10.83203125" style="63" customWidth="1"/>
    <col min="10511" max="10511" width="19.5" style="63" customWidth="1"/>
    <col min="10512" max="10752" width="9.1640625" style="63"/>
    <col min="10753" max="10753" width="6.83203125" style="63" customWidth="1"/>
    <col min="10754" max="10754" width="10" style="63" customWidth="1"/>
    <col min="10755" max="10755" width="11.33203125" style="63" customWidth="1"/>
    <col min="10756" max="10756" width="11.83203125" style="63" customWidth="1"/>
    <col min="10757" max="10761" width="9.1640625" style="63"/>
    <col min="10762" max="10762" width="10.6640625" style="63" customWidth="1"/>
    <col min="10763" max="10765" width="9.1640625" style="63"/>
    <col min="10766" max="10766" width="10.83203125" style="63" customWidth="1"/>
    <col min="10767" max="10767" width="19.5" style="63" customWidth="1"/>
    <col min="10768" max="11008" width="9.1640625" style="63"/>
    <col min="11009" max="11009" width="6.83203125" style="63" customWidth="1"/>
    <col min="11010" max="11010" width="10" style="63" customWidth="1"/>
    <col min="11011" max="11011" width="11.33203125" style="63" customWidth="1"/>
    <col min="11012" max="11012" width="11.83203125" style="63" customWidth="1"/>
    <col min="11013" max="11017" width="9.1640625" style="63"/>
    <col min="11018" max="11018" width="10.6640625" style="63" customWidth="1"/>
    <col min="11019" max="11021" width="9.1640625" style="63"/>
    <col min="11022" max="11022" width="10.83203125" style="63" customWidth="1"/>
    <col min="11023" max="11023" width="19.5" style="63" customWidth="1"/>
    <col min="11024" max="11264" width="9.1640625" style="63"/>
    <col min="11265" max="11265" width="6.83203125" style="63" customWidth="1"/>
    <col min="11266" max="11266" width="10" style="63" customWidth="1"/>
    <col min="11267" max="11267" width="11.33203125" style="63" customWidth="1"/>
    <col min="11268" max="11268" width="11.83203125" style="63" customWidth="1"/>
    <col min="11269" max="11273" width="9.1640625" style="63"/>
    <col min="11274" max="11274" width="10.6640625" style="63" customWidth="1"/>
    <col min="11275" max="11277" width="9.1640625" style="63"/>
    <col min="11278" max="11278" width="10.83203125" style="63" customWidth="1"/>
    <col min="11279" max="11279" width="19.5" style="63" customWidth="1"/>
    <col min="11280" max="11520" width="9.1640625" style="63"/>
    <col min="11521" max="11521" width="6.83203125" style="63" customWidth="1"/>
    <col min="11522" max="11522" width="10" style="63" customWidth="1"/>
    <col min="11523" max="11523" width="11.33203125" style="63" customWidth="1"/>
    <col min="11524" max="11524" width="11.83203125" style="63" customWidth="1"/>
    <col min="11525" max="11529" width="9.1640625" style="63"/>
    <col min="11530" max="11530" width="10.6640625" style="63" customWidth="1"/>
    <col min="11531" max="11533" width="9.1640625" style="63"/>
    <col min="11534" max="11534" width="10.83203125" style="63" customWidth="1"/>
    <col min="11535" max="11535" width="19.5" style="63" customWidth="1"/>
    <col min="11536" max="11776" width="9.1640625" style="63"/>
    <col min="11777" max="11777" width="6.83203125" style="63" customWidth="1"/>
    <col min="11778" max="11778" width="10" style="63" customWidth="1"/>
    <col min="11779" max="11779" width="11.33203125" style="63" customWidth="1"/>
    <col min="11780" max="11780" width="11.83203125" style="63" customWidth="1"/>
    <col min="11781" max="11785" width="9.1640625" style="63"/>
    <col min="11786" max="11786" width="10.6640625" style="63" customWidth="1"/>
    <col min="11787" max="11789" width="9.1640625" style="63"/>
    <col min="11790" max="11790" width="10.83203125" style="63" customWidth="1"/>
    <col min="11791" max="11791" width="19.5" style="63" customWidth="1"/>
    <col min="11792" max="12032" width="9.1640625" style="63"/>
    <col min="12033" max="12033" width="6.83203125" style="63" customWidth="1"/>
    <col min="12034" max="12034" width="10" style="63" customWidth="1"/>
    <col min="12035" max="12035" width="11.33203125" style="63" customWidth="1"/>
    <col min="12036" max="12036" width="11.83203125" style="63" customWidth="1"/>
    <col min="12037" max="12041" width="9.1640625" style="63"/>
    <col min="12042" max="12042" width="10.6640625" style="63" customWidth="1"/>
    <col min="12043" max="12045" width="9.1640625" style="63"/>
    <col min="12046" max="12046" width="10.83203125" style="63" customWidth="1"/>
    <col min="12047" max="12047" width="19.5" style="63" customWidth="1"/>
    <col min="12048" max="12288" width="9.1640625" style="63"/>
    <col min="12289" max="12289" width="6.83203125" style="63" customWidth="1"/>
    <col min="12290" max="12290" width="10" style="63" customWidth="1"/>
    <col min="12291" max="12291" width="11.33203125" style="63" customWidth="1"/>
    <col min="12292" max="12292" width="11.83203125" style="63" customWidth="1"/>
    <col min="12293" max="12297" width="9.1640625" style="63"/>
    <col min="12298" max="12298" width="10.6640625" style="63" customWidth="1"/>
    <col min="12299" max="12301" width="9.1640625" style="63"/>
    <col min="12302" max="12302" width="10.83203125" style="63" customWidth="1"/>
    <col min="12303" max="12303" width="19.5" style="63" customWidth="1"/>
    <col min="12304" max="12544" width="9.1640625" style="63"/>
    <col min="12545" max="12545" width="6.83203125" style="63" customWidth="1"/>
    <col min="12546" max="12546" width="10" style="63" customWidth="1"/>
    <col min="12547" max="12547" width="11.33203125" style="63" customWidth="1"/>
    <col min="12548" max="12548" width="11.83203125" style="63" customWidth="1"/>
    <col min="12549" max="12553" width="9.1640625" style="63"/>
    <col min="12554" max="12554" width="10.6640625" style="63" customWidth="1"/>
    <col min="12555" max="12557" width="9.1640625" style="63"/>
    <col min="12558" max="12558" width="10.83203125" style="63" customWidth="1"/>
    <col min="12559" max="12559" width="19.5" style="63" customWidth="1"/>
    <col min="12560" max="12800" width="9.1640625" style="63"/>
    <col min="12801" max="12801" width="6.83203125" style="63" customWidth="1"/>
    <col min="12802" max="12802" width="10" style="63" customWidth="1"/>
    <col min="12803" max="12803" width="11.33203125" style="63" customWidth="1"/>
    <col min="12804" max="12804" width="11.83203125" style="63" customWidth="1"/>
    <col min="12805" max="12809" width="9.1640625" style="63"/>
    <col min="12810" max="12810" width="10.6640625" style="63" customWidth="1"/>
    <col min="12811" max="12813" width="9.1640625" style="63"/>
    <col min="12814" max="12814" width="10.83203125" style="63" customWidth="1"/>
    <col min="12815" max="12815" width="19.5" style="63" customWidth="1"/>
    <col min="12816" max="13056" width="9.1640625" style="63"/>
    <col min="13057" max="13057" width="6.83203125" style="63" customWidth="1"/>
    <col min="13058" max="13058" width="10" style="63" customWidth="1"/>
    <col min="13059" max="13059" width="11.33203125" style="63" customWidth="1"/>
    <col min="13060" max="13060" width="11.83203125" style="63" customWidth="1"/>
    <col min="13061" max="13065" width="9.1640625" style="63"/>
    <col min="13066" max="13066" width="10.6640625" style="63" customWidth="1"/>
    <col min="13067" max="13069" width="9.1640625" style="63"/>
    <col min="13070" max="13070" width="10.83203125" style="63" customWidth="1"/>
    <col min="13071" max="13071" width="19.5" style="63" customWidth="1"/>
    <col min="13072" max="13312" width="9.1640625" style="63"/>
    <col min="13313" max="13313" width="6.83203125" style="63" customWidth="1"/>
    <col min="13314" max="13314" width="10" style="63" customWidth="1"/>
    <col min="13315" max="13315" width="11.33203125" style="63" customWidth="1"/>
    <col min="13316" max="13316" width="11.83203125" style="63" customWidth="1"/>
    <col min="13317" max="13321" width="9.1640625" style="63"/>
    <col min="13322" max="13322" width="10.6640625" style="63" customWidth="1"/>
    <col min="13323" max="13325" width="9.1640625" style="63"/>
    <col min="13326" max="13326" width="10.83203125" style="63" customWidth="1"/>
    <col min="13327" max="13327" width="19.5" style="63" customWidth="1"/>
    <col min="13328" max="13568" width="9.1640625" style="63"/>
    <col min="13569" max="13569" width="6.83203125" style="63" customWidth="1"/>
    <col min="13570" max="13570" width="10" style="63" customWidth="1"/>
    <col min="13571" max="13571" width="11.33203125" style="63" customWidth="1"/>
    <col min="13572" max="13572" width="11.83203125" style="63" customWidth="1"/>
    <col min="13573" max="13577" width="9.1640625" style="63"/>
    <col min="13578" max="13578" width="10.6640625" style="63" customWidth="1"/>
    <col min="13579" max="13581" width="9.1640625" style="63"/>
    <col min="13582" max="13582" width="10.83203125" style="63" customWidth="1"/>
    <col min="13583" max="13583" width="19.5" style="63" customWidth="1"/>
    <col min="13584" max="13824" width="9.1640625" style="63"/>
    <col min="13825" max="13825" width="6.83203125" style="63" customWidth="1"/>
    <col min="13826" max="13826" width="10" style="63" customWidth="1"/>
    <col min="13827" max="13827" width="11.33203125" style="63" customWidth="1"/>
    <col min="13828" max="13828" width="11.83203125" style="63" customWidth="1"/>
    <col min="13829" max="13833" width="9.1640625" style="63"/>
    <col min="13834" max="13834" width="10.6640625" style="63" customWidth="1"/>
    <col min="13835" max="13837" width="9.1640625" style="63"/>
    <col min="13838" max="13838" width="10.83203125" style="63" customWidth="1"/>
    <col min="13839" max="13839" width="19.5" style="63" customWidth="1"/>
    <col min="13840" max="14080" width="9.1640625" style="63"/>
    <col min="14081" max="14081" width="6.83203125" style="63" customWidth="1"/>
    <col min="14082" max="14082" width="10" style="63" customWidth="1"/>
    <col min="14083" max="14083" width="11.33203125" style="63" customWidth="1"/>
    <col min="14084" max="14084" width="11.83203125" style="63" customWidth="1"/>
    <col min="14085" max="14089" width="9.1640625" style="63"/>
    <col min="14090" max="14090" width="10.6640625" style="63" customWidth="1"/>
    <col min="14091" max="14093" width="9.1640625" style="63"/>
    <col min="14094" max="14094" width="10.83203125" style="63" customWidth="1"/>
    <col min="14095" max="14095" width="19.5" style="63" customWidth="1"/>
    <col min="14096" max="14336" width="9.1640625" style="63"/>
    <col min="14337" max="14337" width="6.83203125" style="63" customWidth="1"/>
    <col min="14338" max="14338" width="10" style="63" customWidth="1"/>
    <col min="14339" max="14339" width="11.33203125" style="63" customWidth="1"/>
    <col min="14340" max="14340" width="11.83203125" style="63" customWidth="1"/>
    <col min="14341" max="14345" width="9.1640625" style="63"/>
    <col min="14346" max="14346" width="10.6640625" style="63" customWidth="1"/>
    <col min="14347" max="14349" width="9.1640625" style="63"/>
    <col min="14350" max="14350" width="10.83203125" style="63" customWidth="1"/>
    <col min="14351" max="14351" width="19.5" style="63" customWidth="1"/>
    <col min="14352" max="14592" width="9.1640625" style="63"/>
    <col min="14593" max="14593" width="6.83203125" style="63" customWidth="1"/>
    <col min="14594" max="14594" width="10" style="63" customWidth="1"/>
    <col min="14595" max="14595" width="11.33203125" style="63" customWidth="1"/>
    <col min="14596" max="14596" width="11.83203125" style="63" customWidth="1"/>
    <col min="14597" max="14601" width="9.1640625" style="63"/>
    <col min="14602" max="14602" width="10.6640625" style="63" customWidth="1"/>
    <col min="14603" max="14605" width="9.1640625" style="63"/>
    <col min="14606" max="14606" width="10.83203125" style="63" customWidth="1"/>
    <col min="14607" max="14607" width="19.5" style="63" customWidth="1"/>
    <col min="14608" max="14848" width="9.1640625" style="63"/>
    <col min="14849" max="14849" width="6.83203125" style="63" customWidth="1"/>
    <col min="14850" max="14850" width="10" style="63" customWidth="1"/>
    <col min="14851" max="14851" width="11.33203125" style="63" customWidth="1"/>
    <col min="14852" max="14852" width="11.83203125" style="63" customWidth="1"/>
    <col min="14853" max="14857" width="9.1640625" style="63"/>
    <col min="14858" max="14858" width="10.6640625" style="63" customWidth="1"/>
    <col min="14859" max="14861" width="9.1640625" style="63"/>
    <col min="14862" max="14862" width="10.83203125" style="63" customWidth="1"/>
    <col min="14863" max="14863" width="19.5" style="63" customWidth="1"/>
    <col min="14864" max="15104" width="9.1640625" style="63"/>
    <col min="15105" max="15105" width="6.83203125" style="63" customWidth="1"/>
    <col min="15106" max="15106" width="10" style="63" customWidth="1"/>
    <col min="15107" max="15107" width="11.33203125" style="63" customWidth="1"/>
    <col min="15108" max="15108" width="11.83203125" style="63" customWidth="1"/>
    <col min="15109" max="15113" width="9.1640625" style="63"/>
    <col min="15114" max="15114" width="10.6640625" style="63" customWidth="1"/>
    <col min="15115" max="15117" width="9.1640625" style="63"/>
    <col min="15118" max="15118" width="10.83203125" style="63" customWidth="1"/>
    <col min="15119" max="15119" width="19.5" style="63" customWidth="1"/>
    <col min="15120" max="15360" width="9.1640625" style="63"/>
    <col min="15361" max="15361" width="6.83203125" style="63" customWidth="1"/>
    <col min="15362" max="15362" width="10" style="63" customWidth="1"/>
    <col min="15363" max="15363" width="11.33203125" style="63" customWidth="1"/>
    <col min="15364" max="15364" width="11.83203125" style="63" customWidth="1"/>
    <col min="15365" max="15369" width="9.1640625" style="63"/>
    <col min="15370" max="15370" width="10.6640625" style="63" customWidth="1"/>
    <col min="15371" max="15373" width="9.1640625" style="63"/>
    <col min="15374" max="15374" width="10.83203125" style="63" customWidth="1"/>
    <col min="15375" max="15375" width="19.5" style="63" customWidth="1"/>
    <col min="15376" max="15616" width="9.1640625" style="63"/>
    <col min="15617" max="15617" width="6.83203125" style="63" customWidth="1"/>
    <col min="15618" max="15618" width="10" style="63" customWidth="1"/>
    <col min="15619" max="15619" width="11.33203125" style="63" customWidth="1"/>
    <col min="15620" max="15620" width="11.83203125" style="63" customWidth="1"/>
    <col min="15621" max="15625" width="9.1640625" style="63"/>
    <col min="15626" max="15626" width="10.6640625" style="63" customWidth="1"/>
    <col min="15627" max="15629" width="9.1640625" style="63"/>
    <col min="15630" max="15630" width="10.83203125" style="63" customWidth="1"/>
    <col min="15631" max="15631" width="19.5" style="63" customWidth="1"/>
    <col min="15632" max="15872" width="9.1640625" style="63"/>
    <col min="15873" max="15873" width="6.83203125" style="63" customWidth="1"/>
    <col min="15874" max="15874" width="10" style="63" customWidth="1"/>
    <col min="15875" max="15875" width="11.33203125" style="63" customWidth="1"/>
    <col min="15876" max="15876" width="11.83203125" style="63" customWidth="1"/>
    <col min="15877" max="15881" width="9.1640625" style="63"/>
    <col min="15882" max="15882" width="10.6640625" style="63" customWidth="1"/>
    <col min="15883" max="15885" width="9.1640625" style="63"/>
    <col min="15886" max="15886" width="10.83203125" style="63" customWidth="1"/>
    <col min="15887" max="15887" width="19.5" style="63" customWidth="1"/>
    <col min="15888" max="16128" width="9.1640625" style="63"/>
    <col min="16129" max="16129" width="6.83203125" style="63" customWidth="1"/>
    <col min="16130" max="16130" width="10" style="63" customWidth="1"/>
    <col min="16131" max="16131" width="11.33203125" style="63" customWidth="1"/>
    <col min="16132" max="16132" width="11.83203125" style="63" customWidth="1"/>
    <col min="16133" max="16137" width="9.1640625" style="63"/>
    <col min="16138" max="16138" width="10.6640625" style="63" customWidth="1"/>
    <col min="16139" max="16141" width="9.1640625" style="63"/>
    <col min="16142" max="16142" width="10.83203125" style="63" customWidth="1"/>
    <col min="16143" max="16143" width="19.5" style="63" customWidth="1"/>
    <col min="16144" max="16384" width="9.1640625" style="63"/>
  </cols>
  <sheetData>
    <row r="1" spans="2:15" ht="18" customHeight="1" x14ac:dyDescent="0.15">
      <c r="B1" s="113" t="s">
        <v>88</v>
      </c>
      <c r="C1" s="113"/>
      <c r="D1" s="113"/>
      <c r="E1" s="113"/>
      <c r="F1" s="113"/>
      <c r="G1" s="113"/>
      <c r="H1" s="113"/>
      <c r="I1" s="113"/>
      <c r="J1" s="113"/>
      <c r="K1" s="113"/>
      <c r="L1" s="113"/>
      <c r="M1" s="113"/>
      <c r="N1" s="113"/>
      <c r="O1" s="113"/>
    </row>
    <row r="2" spans="2:15" x14ac:dyDescent="0.15">
      <c r="B2" s="113"/>
      <c r="C2" s="113"/>
      <c r="D2" s="113"/>
      <c r="E2" s="113"/>
      <c r="F2" s="113"/>
      <c r="G2" s="113"/>
      <c r="H2" s="113"/>
      <c r="I2" s="113"/>
      <c r="J2" s="113"/>
      <c r="K2" s="113"/>
      <c r="L2" s="113"/>
      <c r="M2" s="113"/>
      <c r="N2" s="113"/>
      <c r="O2" s="113"/>
    </row>
    <row r="3" spans="2:15" x14ac:dyDescent="0.15">
      <c r="B3" s="113"/>
      <c r="C3" s="113"/>
      <c r="D3" s="113"/>
      <c r="E3" s="113"/>
      <c r="F3" s="113"/>
      <c r="G3" s="113"/>
      <c r="H3" s="113"/>
      <c r="I3" s="113"/>
      <c r="J3" s="113"/>
      <c r="K3" s="113"/>
      <c r="L3" s="113"/>
      <c r="M3" s="113"/>
      <c r="N3" s="113"/>
      <c r="O3" s="113"/>
    </row>
    <row r="4" spans="2:15" ht="21" customHeight="1" x14ac:dyDescent="0.15">
      <c r="B4" s="114" t="s">
        <v>89</v>
      </c>
      <c r="C4" s="114"/>
      <c r="D4" s="114"/>
      <c r="E4" s="114"/>
      <c r="F4" s="114"/>
      <c r="G4" s="114"/>
      <c r="H4" s="114"/>
      <c r="I4" s="114"/>
      <c r="J4" s="114"/>
      <c r="K4" s="114"/>
      <c r="L4" s="114"/>
      <c r="M4" s="114"/>
      <c r="N4" s="114"/>
      <c r="O4" s="114"/>
    </row>
    <row r="5" spans="2:15" ht="19.5" customHeight="1" x14ac:dyDescent="0.15">
      <c r="B5" s="114"/>
      <c r="C5" s="114"/>
      <c r="D5" s="114"/>
      <c r="E5" s="114"/>
      <c r="F5" s="114"/>
      <c r="G5" s="114"/>
      <c r="H5" s="114"/>
      <c r="I5" s="114"/>
      <c r="J5" s="114"/>
      <c r="K5" s="114"/>
      <c r="L5" s="114"/>
      <c r="M5" s="114"/>
      <c r="N5" s="114"/>
      <c r="O5" s="114"/>
    </row>
    <row r="6" spans="2:15" ht="18" customHeight="1" x14ac:dyDescent="0.15">
      <c r="B6" s="114"/>
      <c r="C6" s="114"/>
      <c r="D6" s="114"/>
      <c r="E6" s="114"/>
      <c r="F6" s="114"/>
      <c r="G6" s="114"/>
      <c r="H6" s="114"/>
      <c r="I6" s="114"/>
      <c r="J6" s="114"/>
      <c r="K6" s="114"/>
      <c r="L6" s="114"/>
      <c r="M6" s="114"/>
      <c r="N6" s="114"/>
      <c r="O6" s="114"/>
    </row>
    <row r="7" spans="2:15" ht="19.5" customHeight="1" x14ac:dyDescent="0.15">
      <c r="B7" s="114"/>
      <c r="C7" s="114"/>
      <c r="D7" s="114"/>
      <c r="E7" s="114"/>
      <c r="F7" s="114"/>
      <c r="G7" s="114"/>
      <c r="H7" s="114"/>
      <c r="I7" s="114"/>
      <c r="J7" s="114"/>
      <c r="K7" s="114"/>
      <c r="L7" s="114"/>
      <c r="M7" s="114"/>
      <c r="N7" s="114"/>
      <c r="O7" s="114"/>
    </row>
    <row r="8" spans="2:15" ht="20.25" customHeight="1" x14ac:dyDescent="0.15">
      <c r="B8" s="114"/>
      <c r="C8" s="114"/>
      <c r="D8" s="114"/>
      <c r="E8" s="114"/>
      <c r="F8" s="114"/>
      <c r="G8" s="114"/>
      <c r="H8" s="114"/>
      <c r="I8" s="114"/>
      <c r="J8" s="114"/>
      <c r="K8" s="114"/>
      <c r="L8" s="114"/>
      <c r="M8" s="114"/>
      <c r="N8" s="114"/>
      <c r="O8" s="114"/>
    </row>
    <row r="9" spans="2:15" ht="15" customHeight="1" x14ac:dyDescent="0.15">
      <c r="B9" s="114"/>
      <c r="C9" s="114"/>
      <c r="D9" s="114"/>
      <c r="E9" s="114"/>
      <c r="F9" s="114"/>
      <c r="G9" s="114"/>
      <c r="H9" s="114"/>
      <c r="I9" s="114"/>
      <c r="J9" s="114"/>
      <c r="K9" s="114"/>
      <c r="L9" s="114"/>
      <c r="M9" s="114"/>
      <c r="N9" s="114"/>
      <c r="O9" s="114"/>
    </row>
    <row r="11" spans="2:15" ht="14.25" customHeight="1" x14ac:dyDescent="0.15">
      <c r="B11" s="115" t="s">
        <v>90</v>
      </c>
      <c r="C11" s="115"/>
      <c r="D11" s="115"/>
      <c r="E11" s="64" t="s">
        <v>102</v>
      </c>
      <c r="G11" s="115" t="s">
        <v>91</v>
      </c>
      <c r="H11" s="115"/>
      <c r="I11" s="115"/>
      <c r="J11" s="64">
        <v>252</v>
      </c>
    </row>
    <row r="12" spans="2:15" ht="14.25" customHeight="1" x14ac:dyDescent="0.15">
      <c r="B12" s="115" t="s">
        <v>92</v>
      </c>
      <c r="C12" s="115"/>
      <c r="D12" s="115"/>
      <c r="E12" s="65">
        <v>0.29566916780455504</v>
      </c>
      <c r="G12" s="115" t="s">
        <v>93</v>
      </c>
      <c r="H12" s="115"/>
      <c r="I12" s="115"/>
      <c r="J12" s="64">
        <v>252</v>
      </c>
    </row>
    <row r="13" spans="2:15" ht="14.25" customHeight="1" x14ac:dyDescent="0.15">
      <c r="B13" s="115" t="s">
        <v>94</v>
      </c>
      <c r="C13" s="115"/>
      <c r="D13" s="115"/>
      <c r="E13" s="65">
        <v>0.11263462273072297</v>
      </c>
      <c r="G13" s="115" t="s">
        <v>95</v>
      </c>
      <c r="H13" s="115"/>
      <c r="I13" s="115"/>
      <c r="J13" s="64">
        <v>1</v>
      </c>
    </row>
    <row r="14" spans="2:15" ht="14.25" customHeight="1" x14ac:dyDescent="0.15">
      <c r="B14" s="115" t="s">
        <v>96</v>
      </c>
      <c r="C14" s="115"/>
      <c r="D14" s="115"/>
      <c r="E14" s="65">
        <v>1.1429552155588449E-4</v>
      </c>
      <c r="G14" s="115" t="s">
        <v>97</v>
      </c>
      <c r="H14" s="115"/>
      <c r="I14" s="115"/>
      <c r="J14" s="66" t="b">
        <v>0</v>
      </c>
    </row>
    <row r="16" spans="2:15" ht="12.75" customHeight="1" x14ac:dyDescent="0.15">
      <c r="B16" s="67" t="s">
        <v>98</v>
      </c>
      <c r="C16" s="68" t="s">
        <v>99</v>
      </c>
      <c r="D16" s="67" t="s">
        <v>100</v>
      </c>
      <c r="F16" s="116" t="s">
        <v>101</v>
      </c>
      <c r="G16" s="116"/>
      <c r="H16" s="116"/>
      <c r="I16" s="116"/>
      <c r="J16" s="116"/>
      <c r="K16" s="116"/>
      <c r="L16" s="116"/>
      <c r="M16" s="116"/>
      <c r="N16" s="116"/>
      <c r="O16" s="116"/>
    </row>
    <row r="17" spans="2:15" ht="12.75" customHeight="1" x14ac:dyDescent="0.15">
      <c r="B17" s="69">
        <v>0</v>
      </c>
      <c r="C17" s="70">
        <v>13.196151</v>
      </c>
      <c r="D17" s="69"/>
      <c r="F17" s="116"/>
      <c r="G17" s="116"/>
      <c r="H17" s="116"/>
      <c r="I17" s="116"/>
      <c r="J17" s="116"/>
      <c r="K17" s="116"/>
      <c r="L17" s="116"/>
      <c r="M17" s="116"/>
      <c r="N17" s="116"/>
      <c r="O17" s="116"/>
    </row>
    <row r="18" spans="2:15" ht="12.75" customHeight="1" x14ac:dyDescent="0.15">
      <c r="B18" s="69">
        <v>1</v>
      </c>
      <c r="C18" s="70">
        <v>13.111919</v>
      </c>
      <c r="D18" s="69"/>
      <c r="F18" s="116"/>
      <c r="G18" s="116"/>
      <c r="H18" s="116"/>
      <c r="I18" s="116"/>
      <c r="J18" s="116"/>
      <c r="K18" s="116"/>
      <c r="L18" s="116"/>
      <c r="M18" s="116"/>
      <c r="N18" s="116"/>
      <c r="O18" s="116"/>
    </row>
    <row r="19" spans="2:15" ht="12.75" customHeight="1" x14ac:dyDescent="0.15">
      <c r="B19" s="69">
        <v>2</v>
      </c>
      <c r="C19" s="70">
        <v>13.149357</v>
      </c>
      <c r="D19" s="71">
        <v>0.19223023140653958</v>
      </c>
      <c r="F19" s="116"/>
      <c r="G19" s="116"/>
      <c r="H19" s="116"/>
      <c r="I19" s="116"/>
      <c r="J19" s="116"/>
      <c r="K19" s="116"/>
      <c r="L19" s="116"/>
      <c r="M19" s="116"/>
      <c r="N19" s="116"/>
      <c r="O19" s="116"/>
    </row>
    <row r="20" spans="2:15" ht="12.75" customHeight="1" x14ac:dyDescent="0.15">
      <c r="B20" s="69">
        <v>3</v>
      </c>
      <c r="C20" s="70">
        <v>13.196151</v>
      </c>
      <c r="D20" s="71">
        <v>0.1832220033755107</v>
      </c>
      <c r="F20" s="116"/>
      <c r="G20" s="116"/>
      <c r="H20" s="116"/>
      <c r="I20" s="116"/>
      <c r="J20" s="116"/>
      <c r="K20" s="116"/>
      <c r="L20" s="116"/>
      <c r="M20" s="116"/>
      <c r="N20" s="116"/>
      <c r="O20" s="116"/>
    </row>
    <row r="21" spans="2:15" ht="12.75" customHeight="1" x14ac:dyDescent="0.15">
      <c r="B21" s="69">
        <v>4</v>
      </c>
      <c r="C21" s="70">
        <v>13.345895000000001</v>
      </c>
      <c r="D21" s="71">
        <v>0.18309527852996926</v>
      </c>
      <c r="F21" s="116"/>
      <c r="G21" s="116"/>
      <c r="H21" s="116"/>
      <c r="I21" s="116"/>
      <c r="J21" s="116"/>
      <c r="K21" s="116"/>
      <c r="L21" s="116"/>
      <c r="M21" s="116"/>
      <c r="N21" s="116"/>
      <c r="O21" s="116"/>
    </row>
    <row r="22" spans="2:15" ht="12.75" customHeight="1" x14ac:dyDescent="0.15">
      <c r="B22" s="69">
        <v>5</v>
      </c>
      <c r="C22" s="70">
        <v>13.252305</v>
      </c>
      <c r="D22" s="71">
        <v>0.20509733698939883</v>
      </c>
      <c r="F22" s="116"/>
      <c r="G22" s="116"/>
      <c r="H22" s="116"/>
      <c r="I22" s="116"/>
      <c r="J22" s="116"/>
      <c r="K22" s="116"/>
      <c r="L22" s="116"/>
      <c r="M22" s="116"/>
      <c r="N22" s="116"/>
      <c r="O22" s="116"/>
    </row>
    <row r="23" spans="2:15" ht="12.75" customHeight="1" x14ac:dyDescent="0.15">
      <c r="B23" s="69">
        <v>6</v>
      </c>
      <c r="C23" s="70">
        <v>13.242945000000001</v>
      </c>
      <c r="D23" s="71">
        <v>0.19295186492491323</v>
      </c>
      <c r="F23" s="116"/>
      <c r="G23" s="116"/>
      <c r="H23" s="116"/>
      <c r="I23" s="116"/>
      <c r="J23" s="116"/>
      <c r="K23" s="116"/>
      <c r="L23" s="116"/>
      <c r="M23" s="116"/>
      <c r="N23" s="116"/>
      <c r="O23" s="116"/>
    </row>
    <row r="24" spans="2:15" ht="12.75" customHeight="1" x14ac:dyDescent="0.15">
      <c r="B24" s="69">
        <v>7</v>
      </c>
      <c r="C24" s="70">
        <v>13.205508999999999</v>
      </c>
      <c r="D24" s="71">
        <v>0.18175010533990912</v>
      </c>
      <c r="F24" s="116"/>
      <c r="G24" s="116"/>
      <c r="H24" s="116"/>
      <c r="I24" s="116"/>
      <c r="J24" s="116"/>
      <c r="K24" s="116"/>
      <c r="L24" s="116"/>
      <c r="M24" s="116"/>
      <c r="N24" s="116"/>
      <c r="O24" s="116"/>
    </row>
    <row r="25" spans="2:15" ht="12.75" customHeight="1" x14ac:dyDescent="0.15">
      <c r="B25" s="69">
        <v>8</v>
      </c>
      <c r="C25" s="70">
        <v>13.299099</v>
      </c>
      <c r="D25" s="71">
        <v>0.18198967015433556</v>
      </c>
      <c r="F25" s="116"/>
      <c r="G25" s="116"/>
      <c r="H25" s="116"/>
      <c r="I25" s="116"/>
      <c r="J25" s="116"/>
      <c r="K25" s="116"/>
      <c r="L25" s="116"/>
      <c r="M25" s="116"/>
      <c r="N25" s="116"/>
      <c r="O25" s="116"/>
    </row>
    <row r="26" spans="2:15" x14ac:dyDescent="0.15">
      <c r="B26" s="69">
        <v>9</v>
      </c>
      <c r="C26" s="70">
        <v>13.823200999999999</v>
      </c>
      <c r="D26" s="71">
        <v>0.19039182720923123</v>
      </c>
    </row>
    <row r="27" spans="2:15" x14ac:dyDescent="0.15">
      <c r="B27" s="69">
        <v>10</v>
      </c>
      <c r="C27" s="70">
        <v>13.785766000000001</v>
      </c>
      <c r="D27" s="71">
        <v>0.37973710636765212</v>
      </c>
    </row>
    <row r="28" spans="2:15" x14ac:dyDescent="0.15">
      <c r="B28" s="69">
        <v>11</v>
      </c>
      <c r="C28" s="70">
        <v>13.841919000000001</v>
      </c>
      <c r="D28" s="71">
        <v>0.21352363132649133</v>
      </c>
    </row>
    <row r="29" spans="2:15" x14ac:dyDescent="0.15">
      <c r="B29" s="69">
        <v>12</v>
      </c>
      <c r="C29" s="70">
        <v>13.710893</v>
      </c>
      <c r="D29" s="71">
        <v>0.1875338276360152</v>
      </c>
    </row>
    <row r="30" spans="2:15" x14ac:dyDescent="0.15">
      <c r="B30" s="69">
        <v>13</v>
      </c>
      <c r="C30" s="70">
        <v>13.551791</v>
      </c>
      <c r="D30" s="71">
        <v>0.19875526250622011</v>
      </c>
    </row>
    <row r="31" spans="2:15" x14ac:dyDescent="0.15">
      <c r="B31" s="69">
        <v>14</v>
      </c>
      <c r="C31" s="70">
        <v>13.673458</v>
      </c>
      <c r="D31" s="71">
        <v>0.208332719560929</v>
      </c>
    </row>
    <row r="32" spans="2:15" x14ac:dyDescent="0.15">
      <c r="B32" s="69">
        <v>15</v>
      </c>
      <c r="C32" s="70">
        <v>13.673458</v>
      </c>
      <c r="D32" s="71">
        <v>0.19910613531318114</v>
      </c>
    </row>
    <row r="33" spans="2:4" x14ac:dyDescent="0.15">
      <c r="B33" s="69">
        <v>16</v>
      </c>
      <c r="C33" s="70">
        <v>13.47692</v>
      </c>
      <c r="D33" s="71">
        <v>0.18239428250633166</v>
      </c>
    </row>
    <row r="34" spans="2:4" x14ac:dyDescent="0.15">
      <c r="B34" s="69">
        <v>17</v>
      </c>
      <c r="C34" s="70">
        <v>13.589228</v>
      </c>
      <c r="D34" s="71">
        <v>0.21947090487497328</v>
      </c>
    </row>
    <row r="35" spans="2:4" x14ac:dyDescent="0.15">
      <c r="B35" s="69">
        <v>18</v>
      </c>
      <c r="C35" s="70">
        <v>13.533073</v>
      </c>
      <c r="D35" s="71">
        <v>0.19839164903143494</v>
      </c>
    </row>
    <row r="36" spans="2:4" x14ac:dyDescent="0.15">
      <c r="B36" s="69">
        <v>19</v>
      </c>
      <c r="C36" s="70">
        <v>13.682817</v>
      </c>
      <c r="D36" s="71">
        <v>0.18577748954518095</v>
      </c>
    </row>
    <row r="37" spans="2:4" x14ac:dyDescent="0.15">
      <c r="B37" s="69">
        <v>20</v>
      </c>
      <c r="C37" s="70">
        <v>14.094611</v>
      </c>
      <c r="D37" s="71">
        <v>0.20423615595574673</v>
      </c>
    </row>
    <row r="38" spans="2:4" x14ac:dyDescent="0.15">
      <c r="B38" s="69">
        <v>21</v>
      </c>
      <c r="C38" s="70">
        <v>14.253714</v>
      </c>
      <c r="D38" s="71">
        <v>0.31465936818714574</v>
      </c>
    </row>
    <row r="39" spans="2:4" x14ac:dyDescent="0.15">
      <c r="B39" s="69">
        <v>22</v>
      </c>
      <c r="C39" s="70">
        <v>14.122688</v>
      </c>
      <c r="D39" s="71">
        <v>0.2221319021247318</v>
      </c>
    </row>
    <row r="40" spans="2:4" x14ac:dyDescent="0.15">
      <c r="B40" s="69">
        <v>23</v>
      </c>
      <c r="C40" s="70">
        <v>14.234997</v>
      </c>
      <c r="D40" s="71">
        <v>0.20177842464016768</v>
      </c>
    </row>
    <row r="41" spans="2:4" x14ac:dyDescent="0.15">
      <c r="B41" s="69">
        <v>24</v>
      </c>
      <c r="C41" s="70">
        <v>14.553202000000001</v>
      </c>
      <c r="D41" s="71">
        <v>0.19509764383141298</v>
      </c>
    </row>
    <row r="42" spans="2:4" x14ac:dyDescent="0.15">
      <c r="B42" s="69">
        <v>25</v>
      </c>
      <c r="C42" s="70">
        <v>14.328587000000001</v>
      </c>
      <c r="D42" s="71">
        <v>0.26363848344173535</v>
      </c>
    </row>
    <row r="43" spans="2:4" x14ac:dyDescent="0.15">
      <c r="B43" s="69">
        <v>26</v>
      </c>
      <c r="C43" s="70">
        <v>14.150764000000001</v>
      </c>
      <c r="D43" s="71">
        <v>0.23378997417493405</v>
      </c>
    </row>
    <row r="44" spans="2:4" x14ac:dyDescent="0.15">
      <c r="B44" s="69">
        <v>27</v>
      </c>
      <c r="C44" s="70">
        <v>14.094611</v>
      </c>
      <c r="D44" s="71">
        <v>0.21582050442732412</v>
      </c>
    </row>
    <row r="45" spans="2:4" x14ac:dyDescent="0.15">
      <c r="B45" s="69">
        <v>28</v>
      </c>
      <c r="C45" s="70">
        <v>14.057176</v>
      </c>
      <c r="D45" s="71">
        <v>0.18768790759479731</v>
      </c>
    </row>
    <row r="46" spans="2:4" x14ac:dyDescent="0.15">
      <c r="B46" s="69">
        <v>29</v>
      </c>
      <c r="C46" s="70">
        <v>13.916791</v>
      </c>
      <c r="D46" s="71">
        <v>0.18247526805968861</v>
      </c>
    </row>
    <row r="47" spans="2:4" x14ac:dyDescent="0.15">
      <c r="B47" s="69">
        <v>30</v>
      </c>
      <c r="C47" s="70">
        <v>14.047817</v>
      </c>
      <c r="D47" s="71">
        <v>0.20014711444004885</v>
      </c>
    </row>
    <row r="48" spans="2:4" x14ac:dyDescent="0.15">
      <c r="B48" s="69">
        <v>31</v>
      </c>
      <c r="C48" s="70">
        <v>14.057176</v>
      </c>
      <c r="D48" s="71">
        <v>0.19964315400051302</v>
      </c>
    </row>
    <row r="49" spans="2:4" x14ac:dyDescent="0.15">
      <c r="B49" s="69">
        <v>32</v>
      </c>
      <c r="C49" s="70">
        <v>13.729611</v>
      </c>
      <c r="D49" s="71">
        <v>0.1825509310148766</v>
      </c>
    </row>
    <row r="50" spans="2:4" x14ac:dyDescent="0.15">
      <c r="B50" s="69">
        <v>33</v>
      </c>
      <c r="C50" s="70">
        <v>13.832561</v>
      </c>
      <c r="D50" s="71">
        <v>0.27198793417123801</v>
      </c>
    </row>
    <row r="51" spans="2:4" x14ac:dyDescent="0.15">
      <c r="B51" s="69">
        <v>34</v>
      </c>
      <c r="C51" s="70">
        <v>13.710893</v>
      </c>
      <c r="D51" s="71">
        <v>0.20320680716742365</v>
      </c>
    </row>
    <row r="52" spans="2:4" x14ac:dyDescent="0.15">
      <c r="B52" s="69">
        <v>35</v>
      </c>
      <c r="C52" s="70">
        <v>13.879355</v>
      </c>
      <c r="D52" s="71">
        <v>0.1981640944596926</v>
      </c>
    </row>
    <row r="53" spans="2:4" x14ac:dyDescent="0.15">
      <c r="B53" s="69">
        <v>36</v>
      </c>
      <c r="C53" s="70">
        <v>13.782069999999999</v>
      </c>
      <c r="D53" s="71">
        <v>0.21056342062957578</v>
      </c>
    </row>
    <row r="54" spans="2:4" x14ac:dyDescent="0.15">
      <c r="B54" s="69">
        <v>37</v>
      </c>
      <c r="C54" s="70">
        <v>14.049127</v>
      </c>
      <c r="D54" s="71">
        <v>0.19360484367055014</v>
      </c>
    </row>
    <row r="55" spans="2:4" x14ac:dyDescent="0.15">
      <c r="B55" s="69">
        <v>38</v>
      </c>
      <c r="C55" s="70">
        <v>14.268497</v>
      </c>
      <c r="D55" s="71">
        <v>0.24590181651587234</v>
      </c>
    </row>
    <row r="56" spans="2:4" x14ac:dyDescent="0.15">
      <c r="B56" s="69">
        <v>39</v>
      </c>
      <c r="C56" s="70">
        <v>14.087278</v>
      </c>
      <c r="D56" s="71">
        <v>0.2313000321154037</v>
      </c>
    </row>
    <row r="57" spans="2:4" x14ac:dyDescent="0.15">
      <c r="B57" s="69">
        <v>40</v>
      </c>
      <c r="C57" s="70">
        <v>13.782069999999999</v>
      </c>
      <c r="D57" s="71">
        <v>0.2167983763637143</v>
      </c>
    </row>
    <row r="58" spans="2:4" x14ac:dyDescent="0.15">
      <c r="B58" s="69">
        <v>41</v>
      </c>
      <c r="C58" s="70">
        <v>13.696229000000001</v>
      </c>
      <c r="D58" s="71">
        <v>0.26427914017129883</v>
      </c>
    </row>
    <row r="59" spans="2:4" x14ac:dyDescent="0.15">
      <c r="B59" s="69">
        <v>42</v>
      </c>
      <c r="C59" s="70">
        <v>13.743919</v>
      </c>
      <c r="D59" s="71">
        <v>0.19894177989236286</v>
      </c>
    </row>
    <row r="60" spans="2:4" x14ac:dyDescent="0.15">
      <c r="B60" s="69">
        <v>43</v>
      </c>
      <c r="C60" s="70">
        <v>13.906060999999999</v>
      </c>
      <c r="D60" s="71">
        <v>0.18482566567244094</v>
      </c>
    </row>
    <row r="61" spans="2:4" x14ac:dyDescent="0.15">
      <c r="B61" s="69">
        <v>44</v>
      </c>
      <c r="C61" s="70">
        <v>13.658078</v>
      </c>
      <c r="D61" s="71">
        <v>0.20712084761669372</v>
      </c>
    </row>
    <row r="62" spans="2:4" x14ac:dyDescent="0.15">
      <c r="B62" s="69">
        <v>45</v>
      </c>
      <c r="C62" s="70">
        <v>14.554627999999999</v>
      </c>
      <c r="D62" s="71">
        <v>0.24032924750849469</v>
      </c>
    </row>
    <row r="63" spans="2:4" x14ac:dyDescent="0.15">
      <c r="B63" s="69">
        <v>46</v>
      </c>
      <c r="C63" s="70">
        <v>14.669083000000001</v>
      </c>
      <c r="D63" s="71">
        <v>0.58007140528373358</v>
      </c>
    </row>
    <row r="64" spans="2:4" x14ac:dyDescent="0.15">
      <c r="B64" s="69">
        <v>47</v>
      </c>
      <c r="C64" s="70">
        <v>14.258959000000001</v>
      </c>
      <c r="D64" s="71">
        <v>0.26697135700838026</v>
      </c>
    </row>
    <row r="65" spans="2:4" x14ac:dyDescent="0.15">
      <c r="B65" s="69">
        <v>48</v>
      </c>
      <c r="C65" s="70">
        <v>14.812148000000001</v>
      </c>
      <c r="D65" s="71">
        <v>0.31103505564489953</v>
      </c>
    </row>
    <row r="66" spans="2:4" x14ac:dyDescent="0.15">
      <c r="B66" s="69">
        <v>49</v>
      </c>
      <c r="C66" s="70">
        <v>14.487864</v>
      </c>
      <c r="D66" s="71">
        <v>0.38424247282160678</v>
      </c>
    </row>
    <row r="67" spans="2:4" x14ac:dyDescent="0.15">
      <c r="B67" s="69">
        <v>50</v>
      </c>
      <c r="C67" s="70">
        <v>14.421099999999999</v>
      </c>
      <c r="D67" s="71">
        <v>0.2862561420288639</v>
      </c>
    </row>
    <row r="68" spans="2:4" x14ac:dyDescent="0.15">
      <c r="B68" s="69">
        <v>51</v>
      </c>
      <c r="C68" s="70">
        <v>14.134968000000001</v>
      </c>
      <c r="D68" s="71">
        <v>0.19905185888576502</v>
      </c>
    </row>
    <row r="69" spans="2:4" x14ac:dyDescent="0.15">
      <c r="B69" s="69">
        <v>52</v>
      </c>
      <c r="C69" s="70">
        <v>14.554627999999999</v>
      </c>
      <c r="D69" s="71">
        <v>0.25137635106097783</v>
      </c>
    </row>
    <row r="70" spans="2:4" x14ac:dyDescent="0.15">
      <c r="B70" s="69">
        <v>53</v>
      </c>
      <c r="C70" s="70">
        <v>14.688157</v>
      </c>
      <c r="D70" s="71">
        <v>0.31575059213138429</v>
      </c>
    </row>
    <row r="71" spans="2:4" x14ac:dyDescent="0.15">
      <c r="B71" s="69">
        <v>54</v>
      </c>
      <c r="C71" s="70">
        <v>14.859838</v>
      </c>
      <c r="D71" s="71">
        <v>0.2150492574204784</v>
      </c>
    </row>
    <row r="72" spans="2:4" x14ac:dyDescent="0.15">
      <c r="B72" s="69">
        <v>55</v>
      </c>
      <c r="C72" s="70">
        <v>15.002903999999999</v>
      </c>
      <c r="D72" s="71">
        <v>0.20993556221827128</v>
      </c>
    </row>
    <row r="73" spans="2:4" x14ac:dyDescent="0.15">
      <c r="B73" s="69">
        <v>56</v>
      </c>
      <c r="C73" s="70">
        <v>15.14597</v>
      </c>
      <c r="D73" s="71">
        <v>0.20151201627597695</v>
      </c>
    </row>
    <row r="74" spans="2:4" x14ac:dyDescent="0.15">
      <c r="B74" s="69">
        <v>57</v>
      </c>
      <c r="C74" s="70">
        <v>15.021978000000001</v>
      </c>
      <c r="D74" s="71">
        <v>0.20021860904156913</v>
      </c>
    </row>
    <row r="75" spans="2:4" x14ac:dyDescent="0.15">
      <c r="B75" s="69">
        <v>58</v>
      </c>
      <c r="C75" s="70">
        <v>15.10782</v>
      </c>
      <c r="D75" s="71">
        <v>0.19583752788237316</v>
      </c>
    </row>
    <row r="76" spans="2:4" x14ac:dyDescent="0.15">
      <c r="B76" s="69">
        <v>59</v>
      </c>
      <c r="C76" s="70">
        <v>14.926601</v>
      </c>
      <c r="D76" s="71">
        <v>0.18852452566798567</v>
      </c>
    </row>
    <row r="77" spans="2:4" x14ac:dyDescent="0.15">
      <c r="B77" s="69">
        <v>60</v>
      </c>
      <c r="C77" s="70">
        <v>14.907526000000001</v>
      </c>
      <c r="D77" s="71">
        <v>0.20894037871207952</v>
      </c>
    </row>
    <row r="78" spans="2:4" x14ac:dyDescent="0.15">
      <c r="B78" s="69">
        <v>61</v>
      </c>
      <c r="C78" s="70">
        <v>14.917064999999999</v>
      </c>
      <c r="D78" s="71">
        <v>0.18396057162714721</v>
      </c>
    </row>
    <row r="79" spans="2:4" x14ac:dyDescent="0.15">
      <c r="B79" s="69">
        <v>62</v>
      </c>
      <c r="C79" s="70">
        <v>14.859838</v>
      </c>
      <c r="D79" s="71">
        <v>0.18067839580619294</v>
      </c>
    </row>
    <row r="80" spans="2:4" x14ac:dyDescent="0.15">
      <c r="B80" s="69">
        <v>63</v>
      </c>
      <c r="C80" s="70">
        <v>14.907526000000001</v>
      </c>
      <c r="D80" s="71">
        <v>0.18324900638998406</v>
      </c>
    </row>
    <row r="81" spans="2:4" x14ac:dyDescent="0.15">
      <c r="B81" s="69">
        <v>64</v>
      </c>
      <c r="C81" s="70">
        <v>15.031516999999999</v>
      </c>
      <c r="D81" s="71">
        <v>0.18261890538907433</v>
      </c>
    </row>
    <row r="82" spans="2:4" x14ac:dyDescent="0.15">
      <c r="B82" s="69">
        <v>65</v>
      </c>
      <c r="C82" s="70">
        <v>15.14597</v>
      </c>
      <c r="D82" s="71">
        <v>0.19408921657117129</v>
      </c>
    </row>
    <row r="83" spans="2:4" x14ac:dyDescent="0.15">
      <c r="B83" s="69">
        <v>66</v>
      </c>
      <c r="C83" s="70">
        <v>15.165046</v>
      </c>
      <c r="D83" s="71">
        <v>0.1932163087202495</v>
      </c>
    </row>
    <row r="84" spans="2:4" x14ac:dyDescent="0.15">
      <c r="B84" s="69">
        <v>67</v>
      </c>
      <c r="C84" s="70">
        <v>15.355801</v>
      </c>
      <c r="D84" s="71">
        <v>0.18200398686442895</v>
      </c>
    </row>
    <row r="85" spans="2:4" x14ac:dyDescent="0.15">
      <c r="B85" s="69">
        <v>68</v>
      </c>
      <c r="C85" s="70">
        <v>15.441642</v>
      </c>
      <c r="D85" s="71">
        <v>0.21018036289086359</v>
      </c>
    </row>
    <row r="86" spans="2:4" x14ac:dyDescent="0.15">
      <c r="B86" s="69">
        <v>69</v>
      </c>
      <c r="C86" s="70">
        <v>15.422565000000001</v>
      </c>
      <c r="D86" s="71">
        <v>0.18998318435827644</v>
      </c>
    </row>
    <row r="87" spans="2:4" x14ac:dyDescent="0.15">
      <c r="B87" s="69">
        <v>70</v>
      </c>
      <c r="C87" s="70">
        <v>15.460716</v>
      </c>
      <c r="D87" s="71">
        <v>0.18160870858910547</v>
      </c>
    </row>
    <row r="88" spans="2:4" x14ac:dyDescent="0.15">
      <c r="B88" s="69">
        <v>71</v>
      </c>
      <c r="C88" s="70">
        <v>15.460716</v>
      </c>
      <c r="D88" s="71">
        <v>0.18158239851709385</v>
      </c>
    </row>
    <row r="89" spans="2:4" x14ac:dyDescent="0.15">
      <c r="B89" s="69">
        <v>72</v>
      </c>
      <c r="C89" s="70">
        <v>15.432103</v>
      </c>
      <c r="D89" s="71">
        <v>0.18032270814726956</v>
      </c>
    </row>
    <row r="90" spans="2:4" x14ac:dyDescent="0.15">
      <c r="B90" s="69">
        <v>73</v>
      </c>
      <c r="C90" s="70">
        <v>15.546556000000001</v>
      </c>
      <c r="D90" s="71">
        <v>0.18088836205489625</v>
      </c>
    </row>
    <row r="91" spans="2:4" x14ac:dyDescent="0.15">
      <c r="B91" s="69">
        <v>74</v>
      </c>
      <c r="C91" s="70">
        <v>15.804074999999999</v>
      </c>
      <c r="D91" s="71">
        <v>0.19119654571405517</v>
      </c>
    </row>
    <row r="92" spans="2:4" x14ac:dyDescent="0.15">
      <c r="B92" s="69">
        <v>75</v>
      </c>
      <c r="C92" s="70">
        <v>15.985293</v>
      </c>
      <c r="D92" s="71">
        <v>0.23028234180252469</v>
      </c>
    </row>
    <row r="93" spans="2:4" x14ac:dyDescent="0.15">
      <c r="B93" s="69">
        <v>76</v>
      </c>
      <c r="C93" s="70">
        <v>15.889915</v>
      </c>
      <c r="D93" s="71">
        <v>0.21085734595056149</v>
      </c>
    </row>
    <row r="94" spans="2:4" x14ac:dyDescent="0.15">
      <c r="B94" s="69">
        <v>77</v>
      </c>
      <c r="C94" s="70">
        <v>16.424029999999998</v>
      </c>
      <c r="D94" s="71">
        <v>0.19099411507692113</v>
      </c>
    </row>
    <row r="95" spans="2:4" x14ac:dyDescent="0.15">
      <c r="B95" s="69">
        <v>78</v>
      </c>
      <c r="C95" s="70">
        <v>16.156974999999999</v>
      </c>
      <c r="D95" s="71">
        <v>0.33815791237327791</v>
      </c>
    </row>
    <row r="96" spans="2:4" x14ac:dyDescent="0.15">
      <c r="B96" s="69">
        <v>79</v>
      </c>
      <c r="C96" s="70">
        <v>16.300039000000002</v>
      </c>
      <c r="D96" s="71">
        <v>0.24840829479507417</v>
      </c>
    </row>
    <row r="97" spans="2:4" x14ac:dyDescent="0.15">
      <c r="B97" s="69">
        <v>80</v>
      </c>
      <c r="C97" s="70">
        <v>16.137896999999999</v>
      </c>
      <c r="D97" s="71">
        <v>0.20382167838776438</v>
      </c>
    </row>
    <row r="98" spans="2:4" x14ac:dyDescent="0.15">
      <c r="B98" s="69">
        <v>81</v>
      </c>
      <c r="C98" s="70">
        <v>15.851766</v>
      </c>
      <c r="D98" s="71">
        <v>0.20230741376768011</v>
      </c>
    </row>
    <row r="99" spans="2:4" x14ac:dyDescent="0.15">
      <c r="B99" s="69">
        <v>82</v>
      </c>
      <c r="C99" s="70">
        <v>15.651472</v>
      </c>
      <c r="D99" s="71">
        <v>0.239285547705607</v>
      </c>
    </row>
    <row r="100" spans="2:4" x14ac:dyDescent="0.15">
      <c r="B100" s="69">
        <v>83</v>
      </c>
      <c r="C100" s="70">
        <v>15.689624</v>
      </c>
      <c r="D100" s="71">
        <v>0.21748412838512102</v>
      </c>
    </row>
    <row r="101" spans="2:4" x14ac:dyDescent="0.15">
      <c r="B101" s="69">
        <v>84</v>
      </c>
      <c r="C101" s="70">
        <v>15.880378</v>
      </c>
      <c r="D101" s="71">
        <v>0.18593455939099707</v>
      </c>
    </row>
    <row r="102" spans="2:4" x14ac:dyDescent="0.15">
      <c r="B102" s="69">
        <v>85</v>
      </c>
      <c r="C102" s="70">
        <v>15.756387999999999</v>
      </c>
      <c r="D102" s="71">
        <v>0.20875248070325486</v>
      </c>
    </row>
    <row r="103" spans="2:4" x14ac:dyDescent="0.15">
      <c r="B103" s="69">
        <v>86</v>
      </c>
      <c r="C103" s="70">
        <v>15.699159999999999</v>
      </c>
      <c r="D103" s="71">
        <v>0.19567486596358433</v>
      </c>
    </row>
    <row r="104" spans="2:4" x14ac:dyDescent="0.15">
      <c r="B104" s="69">
        <v>87</v>
      </c>
      <c r="C104" s="70">
        <v>15.842228</v>
      </c>
      <c r="D104" s="71">
        <v>0.18466614114453464</v>
      </c>
    </row>
    <row r="105" spans="2:4" x14ac:dyDescent="0.15">
      <c r="B105" s="69">
        <v>88</v>
      </c>
      <c r="C105" s="70">
        <v>15.641933</v>
      </c>
      <c r="D105" s="71">
        <v>0.19691470944115416</v>
      </c>
    </row>
    <row r="106" spans="2:4" x14ac:dyDescent="0.15">
      <c r="B106" s="69">
        <v>89</v>
      </c>
      <c r="C106" s="70">
        <v>15.727774999999999</v>
      </c>
      <c r="D106" s="71">
        <v>0.21267895763597078</v>
      </c>
    </row>
    <row r="107" spans="2:4" x14ac:dyDescent="0.15">
      <c r="B107" s="69">
        <v>90</v>
      </c>
      <c r="C107" s="70">
        <v>15.784998999999999</v>
      </c>
      <c r="D107" s="71">
        <v>0.19007619164064973</v>
      </c>
    </row>
    <row r="108" spans="2:4" x14ac:dyDescent="0.15">
      <c r="B108" s="69">
        <v>91</v>
      </c>
      <c r="C108" s="70">
        <v>15.804074999999999</v>
      </c>
      <c r="D108" s="71">
        <v>0.18399622364979989</v>
      </c>
    </row>
    <row r="109" spans="2:4" x14ac:dyDescent="0.15">
      <c r="B109" s="69">
        <v>92</v>
      </c>
      <c r="C109" s="70">
        <v>15.813613</v>
      </c>
      <c r="D109" s="71">
        <v>0.18089874838799835</v>
      </c>
    </row>
    <row r="110" spans="2:4" x14ac:dyDescent="0.15">
      <c r="B110" s="69">
        <v>93</v>
      </c>
      <c r="C110" s="70">
        <v>15.966218</v>
      </c>
      <c r="D110" s="71">
        <v>0.1803205174468647</v>
      </c>
    </row>
    <row r="111" spans="2:4" x14ac:dyDescent="0.15">
      <c r="B111" s="69">
        <v>94</v>
      </c>
      <c r="C111" s="70">
        <v>16.004370000000002</v>
      </c>
      <c r="D111" s="71">
        <v>0.19833614965352095</v>
      </c>
    </row>
    <row r="112" spans="2:4" x14ac:dyDescent="0.15">
      <c r="B112" s="69">
        <v>95</v>
      </c>
      <c r="C112" s="70">
        <v>16.452643999999999</v>
      </c>
      <c r="D112" s="71">
        <v>0.18346015836478735</v>
      </c>
    </row>
    <row r="113" spans="2:4" x14ac:dyDescent="0.15">
      <c r="B113" s="69">
        <v>96</v>
      </c>
      <c r="C113" s="70">
        <v>16.433568999999999</v>
      </c>
      <c r="D113" s="71">
        <v>0.29908445637890624</v>
      </c>
    </row>
    <row r="114" spans="2:4" x14ac:dyDescent="0.15">
      <c r="B114" s="69">
        <v>97</v>
      </c>
      <c r="C114" s="70">
        <v>16.357265000000002</v>
      </c>
      <c r="D114" s="71">
        <v>0.19742866573858417</v>
      </c>
    </row>
    <row r="115" spans="2:4" x14ac:dyDescent="0.15">
      <c r="B115" s="69">
        <v>98</v>
      </c>
      <c r="C115" s="70">
        <v>16.662476000000002</v>
      </c>
      <c r="D115" s="71">
        <v>0.1865652237010694</v>
      </c>
    </row>
    <row r="116" spans="2:4" x14ac:dyDescent="0.15">
      <c r="B116" s="69">
        <v>99</v>
      </c>
      <c r="C116" s="70">
        <v>16.519407000000001</v>
      </c>
      <c r="D116" s="71">
        <v>0.24122175868374748</v>
      </c>
    </row>
    <row r="117" spans="2:4" x14ac:dyDescent="0.15">
      <c r="B117" s="69">
        <v>100</v>
      </c>
      <c r="C117" s="70">
        <v>16.430229000000001</v>
      </c>
      <c r="D117" s="71">
        <v>0.20223031702384167</v>
      </c>
    </row>
    <row r="118" spans="2:4" x14ac:dyDescent="0.15">
      <c r="B118" s="69">
        <v>101</v>
      </c>
      <c r="C118" s="70">
        <v>16.352684</v>
      </c>
      <c r="D118" s="71">
        <v>0.18865854769238122</v>
      </c>
    </row>
    <row r="119" spans="2:4" x14ac:dyDescent="0.15">
      <c r="B119" s="69">
        <v>102</v>
      </c>
      <c r="C119" s="70">
        <v>15.732308</v>
      </c>
      <c r="D119" s="71">
        <v>0.18568501654761849</v>
      </c>
    </row>
    <row r="120" spans="2:4" x14ac:dyDescent="0.15">
      <c r="B120" s="69">
        <v>103</v>
      </c>
      <c r="C120" s="70">
        <v>15.974641999999999</v>
      </c>
      <c r="D120" s="71">
        <v>0.37965275452193564</v>
      </c>
    </row>
    <row r="121" spans="2:4" x14ac:dyDescent="0.15">
      <c r="B121" s="69">
        <v>104</v>
      </c>
      <c r="C121" s="70">
        <v>15.935869</v>
      </c>
      <c r="D121" s="71">
        <v>0.24989473601322568</v>
      </c>
    </row>
    <row r="122" spans="2:4" x14ac:dyDescent="0.15">
      <c r="B122" s="69">
        <v>105</v>
      </c>
      <c r="C122" s="70">
        <v>15.906789</v>
      </c>
      <c r="D122" s="71">
        <v>0.19046315681656539</v>
      </c>
    </row>
    <row r="123" spans="2:4" x14ac:dyDescent="0.15">
      <c r="B123" s="69">
        <v>106</v>
      </c>
      <c r="C123" s="70">
        <v>15.897095</v>
      </c>
      <c r="D123" s="71">
        <v>0.18203568994514802</v>
      </c>
    </row>
    <row r="124" spans="2:4" x14ac:dyDescent="0.15">
      <c r="B124" s="69">
        <v>107</v>
      </c>
      <c r="C124" s="70">
        <v>16.158815000000001</v>
      </c>
      <c r="D124" s="71">
        <v>0.18045091685030054</v>
      </c>
    </row>
    <row r="125" spans="2:4" x14ac:dyDescent="0.15">
      <c r="B125" s="69">
        <v>108</v>
      </c>
      <c r="C125" s="70">
        <v>16.284828000000001</v>
      </c>
      <c r="D125" s="71">
        <v>0.22877423730428184</v>
      </c>
    </row>
    <row r="126" spans="2:4" x14ac:dyDescent="0.15">
      <c r="B126" s="69">
        <v>109</v>
      </c>
      <c r="C126" s="70">
        <v>16.662870000000002</v>
      </c>
      <c r="D126" s="71">
        <v>0.19797391208421045</v>
      </c>
    </row>
    <row r="127" spans="2:4" x14ac:dyDescent="0.15">
      <c r="B127" s="69">
        <v>110</v>
      </c>
      <c r="C127" s="70">
        <v>16.168510000000001</v>
      </c>
      <c r="D127" s="71">
        <v>0.26917939281028752</v>
      </c>
    </row>
    <row r="128" spans="2:4" x14ac:dyDescent="0.15">
      <c r="B128" s="69">
        <v>111</v>
      </c>
      <c r="C128" s="70">
        <v>16.653176999999999</v>
      </c>
      <c r="D128" s="71">
        <v>0.32333757356746506</v>
      </c>
    </row>
    <row r="129" spans="2:4" x14ac:dyDescent="0.15">
      <c r="B129" s="69">
        <v>112</v>
      </c>
      <c r="C129" s="70">
        <v>16.759803999999999</v>
      </c>
      <c r="D129" s="71">
        <v>0.32492357389707999</v>
      </c>
    </row>
    <row r="130" spans="2:4" x14ac:dyDescent="0.15">
      <c r="B130" s="69">
        <v>113</v>
      </c>
      <c r="C130" s="70">
        <v>16.721031</v>
      </c>
      <c r="D130" s="71">
        <v>0.20911482945961415</v>
      </c>
    </row>
    <row r="131" spans="2:4" x14ac:dyDescent="0.15">
      <c r="B131" s="69">
        <v>114</v>
      </c>
      <c r="C131" s="70">
        <v>16.992445</v>
      </c>
      <c r="D131" s="71">
        <v>0.18473649158968938</v>
      </c>
    </row>
    <row r="132" spans="2:4" x14ac:dyDescent="0.15">
      <c r="B132" s="69">
        <v>115</v>
      </c>
      <c r="C132" s="70">
        <v>17.147537</v>
      </c>
      <c r="D132" s="71">
        <v>0.22795515938196315</v>
      </c>
    </row>
    <row r="133" spans="2:4" x14ac:dyDescent="0.15">
      <c r="B133" s="69">
        <v>116</v>
      </c>
      <c r="C133" s="70">
        <v>17.486806999999999</v>
      </c>
      <c r="D133" s="71">
        <v>0.20200512346914612</v>
      </c>
    </row>
    <row r="134" spans="2:4" x14ac:dyDescent="0.15">
      <c r="B134" s="69">
        <v>117</v>
      </c>
      <c r="C134" s="70">
        <v>17.283245000000001</v>
      </c>
      <c r="D134" s="71">
        <v>0.24899597825848471</v>
      </c>
    </row>
    <row r="135" spans="2:4" x14ac:dyDescent="0.15">
      <c r="B135" s="69">
        <v>118</v>
      </c>
      <c r="C135" s="70">
        <v>17.186309999999999</v>
      </c>
      <c r="D135" s="71">
        <v>0.21447889358536501</v>
      </c>
    </row>
    <row r="136" spans="2:4" x14ac:dyDescent="0.15">
      <c r="B136" s="69">
        <v>119</v>
      </c>
      <c r="C136" s="70">
        <v>17.069991999999999</v>
      </c>
      <c r="D136" s="71">
        <v>0.19063261571528006</v>
      </c>
    </row>
    <row r="137" spans="2:4" x14ac:dyDescent="0.15">
      <c r="B137" s="69">
        <v>120</v>
      </c>
      <c r="C137" s="70">
        <v>16.798576000000001</v>
      </c>
      <c r="D137" s="71">
        <v>0.19060938501642874</v>
      </c>
    </row>
    <row r="138" spans="2:4" x14ac:dyDescent="0.15">
      <c r="B138" s="69">
        <v>121</v>
      </c>
      <c r="C138" s="70">
        <v>16.304216</v>
      </c>
      <c r="D138" s="71">
        <v>0.22811314517066988</v>
      </c>
    </row>
    <row r="139" spans="2:4" x14ac:dyDescent="0.15">
      <c r="B139" s="69">
        <v>122</v>
      </c>
      <c r="C139" s="70">
        <v>16.323602999999999</v>
      </c>
      <c r="D139" s="71">
        <v>0.31803003828529708</v>
      </c>
    </row>
    <row r="140" spans="2:4" x14ac:dyDescent="0.15">
      <c r="B140" s="69">
        <v>123</v>
      </c>
      <c r="C140" s="70">
        <v>16.498085</v>
      </c>
      <c r="D140" s="71">
        <v>0.20074837535222892</v>
      </c>
    </row>
    <row r="141" spans="2:4" x14ac:dyDescent="0.15">
      <c r="B141" s="69">
        <v>124</v>
      </c>
      <c r="C141" s="70">
        <v>16.381762999999999</v>
      </c>
      <c r="D141" s="71">
        <v>0.20436338229191484</v>
      </c>
    </row>
    <row r="142" spans="2:4" x14ac:dyDescent="0.15">
      <c r="B142" s="69">
        <v>125</v>
      </c>
      <c r="C142" s="70">
        <v>16.391455000000001</v>
      </c>
      <c r="D142" s="71">
        <v>0.19296840889993944</v>
      </c>
    </row>
    <row r="143" spans="2:4" x14ac:dyDescent="0.15">
      <c r="B143" s="69">
        <v>126</v>
      </c>
      <c r="C143" s="70">
        <v>16.565937000000002</v>
      </c>
      <c r="D143" s="71">
        <v>0.18172146260603989</v>
      </c>
    </row>
    <row r="144" spans="2:4" x14ac:dyDescent="0.15">
      <c r="B144" s="69">
        <v>127</v>
      </c>
      <c r="C144" s="70">
        <v>16.449615000000001</v>
      </c>
      <c r="D144" s="71">
        <v>0.20217691310567926</v>
      </c>
    </row>
    <row r="145" spans="2:4" x14ac:dyDescent="0.15">
      <c r="B145" s="69">
        <v>128</v>
      </c>
      <c r="C145" s="70">
        <v>16.391455000000001</v>
      </c>
      <c r="D145" s="71">
        <v>0.19262939905003765</v>
      </c>
    </row>
    <row r="146" spans="2:4" x14ac:dyDescent="0.15">
      <c r="B146" s="69">
        <v>129</v>
      </c>
      <c r="C146" s="70">
        <v>16.478697</v>
      </c>
      <c r="D146" s="71">
        <v>0.18416465911353644</v>
      </c>
    </row>
    <row r="147" spans="2:4" x14ac:dyDescent="0.15">
      <c r="B147" s="69">
        <v>130</v>
      </c>
      <c r="C147" s="70">
        <v>16.081268000000001</v>
      </c>
      <c r="D147" s="71">
        <v>0.18633883088348963</v>
      </c>
    </row>
    <row r="148" spans="2:4" x14ac:dyDescent="0.15">
      <c r="B148" s="69">
        <v>131</v>
      </c>
      <c r="C148" s="70">
        <v>16.284828000000001</v>
      </c>
      <c r="D148" s="71">
        <v>0.27770733290698035</v>
      </c>
    </row>
    <row r="149" spans="2:4" x14ac:dyDescent="0.15">
      <c r="B149" s="69">
        <v>132</v>
      </c>
      <c r="C149" s="70">
        <v>16.090962999999999</v>
      </c>
      <c r="D149" s="71">
        <v>0.22198682623488961</v>
      </c>
    </row>
    <row r="150" spans="2:4" x14ac:dyDescent="0.15">
      <c r="B150" s="69">
        <v>133</v>
      </c>
      <c r="C150" s="70">
        <v>16.31391</v>
      </c>
      <c r="D150" s="71">
        <v>0.21222484590382978</v>
      </c>
    </row>
    <row r="151" spans="2:4" x14ac:dyDescent="0.15">
      <c r="B151" s="69">
        <v>134</v>
      </c>
      <c r="C151" s="70">
        <v>16.439921999999999</v>
      </c>
      <c r="D151" s="71">
        <v>0.21905109573687795</v>
      </c>
    </row>
    <row r="152" spans="2:4" x14ac:dyDescent="0.15">
      <c r="B152" s="69">
        <v>135</v>
      </c>
      <c r="C152" s="70">
        <v>16.410843</v>
      </c>
      <c r="D152" s="71">
        <v>0.19651564975857977</v>
      </c>
    </row>
    <row r="153" spans="2:4" x14ac:dyDescent="0.15">
      <c r="B153" s="69">
        <v>136</v>
      </c>
      <c r="C153" s="70">
        <v>16.459311</v>
      </c>
      <c r="D153" s="71">
        <v>0.18271772260679053</v>
      </c>
    </row>
    <row r="154" spans="2:4" x14ac:dyDescent="0.15">
      <c r="B154" s="69">
        <v>137</v>
      </c>
      <c r="C154" s="70">
        <v>16.284828000000001</v>
      </c>
      <c r="D154" s="71">
        <v>0.18223847834457871</v>
      </c>
    </row>
    <row r="155" spans="2:4" x14ac:dyDescent="0.15">
      <c r="B155" s="69">
        <v>138</v>
      </c>
      <c r="C155" s="70">
        <v>16.643484000000001</v>
      </c>
      <c r="D155" s="71">
        <v>0.20249928551586907</v>
      </c>
    </row>
    <row r="156" spans="2:4" x14ac:dyDescent="0.15">
      <c r="B156" s="69">
        <v>139</v>
      </c>
      <c r="C156" s="70">
        <v>16.653176999999999</v>
      </c>
      <c r="D156" s="71">
        <v>0.26226255007477989</v>
      </c>
    </row>
    <row r="157" spans="2:4" x14ac:dyDescent="0.15">
      <c r="B157" s="69">
        <v>140</v>
      </c>
      <c r="C157" s="70">
        <v>16.527163000000002</v>
      </c>
      <c r="D157" s="71">
        <v>0.19124571388733017</v>
      </c>
    </row>
    <row r="158" spans="2:4" x14ac:dyDescent="0.15">
      <c r="B158" s="69">
        <v>141</v>
      </c>
      <c r="C158" s="70">
        <v>16.672564000000001</v>
      </c>
      <c r="D158" s="71">
        <v>0.19292710677867916</v>
      </c>
    </row>
    <row r="159" spans="2:4" x14ac:dyDescent="0.15">
      <c r="B159" s="69">
        <v>142</v>
      </c>
      <c r="C159" s="70">
        <v>16.798576000000001</v>
      </c>
      <c r="D159" s="71">
        <v>0.1967522070685053</v>
      </c>
    </row>
    <row r="160" spans="2:4" x14ac:dyDescent="0.15">
      <c r="B160" s="69">
        <v>143</v>
      </c>
      <c r="C160" s="70">
        <v>16.672564000000001</v>
      </c>
      <c r="D160" s="71">
        <v>0.19335719905221357</v>
      </c>
    </row>
    <row r="161" spans="2:4" x14ac:dyDescent="0.15">
      <c r="B161" s="69">
        <v>144</v>
      </c>
      <c r="C161" s="70">
        <v>16.662870000000002</v>
      </c>
      <c r="D161" s="71">
        <v>0.19297106095099467</v>
      </c>
    </row>
    <row r="162" spans="2:4" x14ac:dyDescent="0.15">
      <c r="B162" s="69">
        <v>145</v>
      </c>
      <c r="C162" s="70">
        <v>16.488389999999999</v>
      </c>
      <c r="D162" s="71">
        <v>0.18171940975037651</v>
      </c>
    </row>
    <row r="163" spans="2:4" x14ac:dyDescent="0.15">
      <c r="B163" s="69">
        <v>146</v>
      </c>
      <c r="C163" s="70">
        <v>16.527163000000002</v>
      </c>
      <c r="D163" s="71">
        <v>0.20193516809243639</v>
      </c>
    </row>
    <row r="164" spans="2:4" x14ac:dyDescent="0.15">
      <c r="B164" s="69">
        <v>147</v>
      </c>
      <c r="C164" s="70">
        <v>16.769497000000001</v>
      </c>
      <c r="D164" s="71">
        <v>0.18386546498408959</v>
      </c>
    </row>
    <row r="165" spans="2:4" x14ac:dyDescent="0.15">
      <c r="B165" s="69">
        <v>148</v>
      </c>
      <c r="C165" s="70">
        <v>16.643484000000001</v>
      </c>
      <c r="D165" s="71">
        <v>0.21999455881836733</v>
      </c>
    </row>
    <row r="166" spans="2:4" x14ac:dyDescent="0.15">
      <c r="B166" s="69">
        <v>149</v>
      </c>
      <c r="C166" s="70">
        <v>16.682257</v>
      </c>
      <c r="D166" s="71">
        <v>0.19619579756984254</v>
      </c>
    </row>
    <row r="167" spans="2:4" x14ac:dyDescent="0.15">
      <c r="B167" s="69">
        <v>150</v>
      </c>
      <c r="C167" s="70">
        <v>16.633789</v>
      </c>
      <c r="D167" s="71">
        <v>0.18314344247446096</v>
      </c>
    </row>
    <row r="168" spans="2:4" x14ac:dyDescent="0.15">
      <c r="B168" s="69">
        <v>151</v>
      </c>
      <c r="C168" s="70">
        <v>16.459311</v>
      </c>
      <c r="D168" s="71">
        <v>0.18223934025844582</v>
      </c>
    </row>
    <row r="169" spans="2:4" x14ac:dyDescent="0.15">
      <c r="B169" s="69">
        <v>152</v>
      </c>
      <c r="C169" s="70">
        <v>16.595016000000001</v>
      </c>
      <c r="D169" s="71">
        <v>0.20205935130782551</v>
      </c>
    </row>
    <row r="170" spans="2:4" x14ac:dyDescent="0.15">
      <c r="B170" s="69">
        <v>153</v>
      </c>
      <c r="C170" s="70">
        <v>16.653176999999999</v>
      </c>
      <c r="D170" s="71">
        <v>0.19602198074192317</v>
      </c>
    </row>
    <row r="171" spans="2:4" x14ac:dyDescent="0.15">
      <c r="B171" s="69">
        <v>154</v>
      </c>
      <c r="C171" s="70">
        <v>17.011831000000001</v>
      </c>
      <c r="D171" s="71">
        <v>0.18450586494583943</v>
      </c>
    </row>
    <row r="172" spans="2:4" x14ac:dyDescent="0.15">
      <c r="B172" s="69">
        <v>155</v>
      </c>
      <c r="C172" s="70">
        <v>17.060296999999998</v>
      </c>
      <c r="D172" s="71">
        <v>0.25781030256555243</v>
      </c>
    </row>
    <row r="173" spans="2:4" x14ac:dyDescent="0.15">
      <c r="B173" s="69">
        <v>156</v>
      </c>
      <c r="C173" s="70">
        <v>16.963363999999999</v>
      </c>
      <c r="D173" s="71">
        <v>0.1920726348565544</v>
      </c>
    </row>
    <row r="174" spans="2:4" x14ac:dyDescent="0.15">
      <c r="B174" s="69">
        <v>157</v>
      </c>
      <c r="C174" s="70">
        <v>16.982749999999999</v>
      </c>
      <c r="D174" s="71">
        <v>0.18808736229527312</v>
      </c>
    </row>
    <row r="175" spans="2:4" x14ac:dyDescent="0.15">
      <c r="B175" s="69">
        <v>158</v>
      </c>
      <c r="C175" s="70">
        <v>17.069991999999999</v>
      </c>
      <c r="D175" s="71">
        <v>0.18134036920432775</v>
      </c>
    </row>
    <row r="176" spans="2:4" x14ac:dyDescent="0.15">
      <c r="B176" s="69">
        <v>159</v>
      </c>
      <c r="C176" s="70">
        <v>17.031217999999999</v>
      </c>
      <c r="D176" s="71">
        <v>0.18564103988938896</v>
      </c>
    </row>
    <row r="177" spans="2:4" x14ac:dyDescent="0.15">
      <c r="B177" s="69">
        <v>160</v>
      </c>
      <c r="C177" s="70">
        <v>16.885818</v>
      </c>
      <c r="D177" s="71">
        <v>0.18185010691911621</v>
      </c>
    </row>
    <row r="178" spans="2:4" x14ac:dyDescent="0.15">
      <c r="B178" s="69">
        <v>161</v>
      </c>
      <c r="C178" s="70">
        <v>16.721031</v>
      </c>
      <c r="D178" s="71">
        <v>0.19494747358228076</v>
      </c>
    </row>
    <row r="179" spans="2:4" x14ac:dyDescent="0.15">
      <c r="B179" s="69">
        <v>162</v>
      </c>
      <c r="C179" s="70">
        <v>16.650095</v>
      </c>
      <c r="D179" s="71">
        <v>0.20062124009084786</v>
      </c>
    </row>
    <row r="180" spans="2:4" x14ac:dyDescent="0.15">
      <c r="B180" s="69">
        <v>163</v>
      </c>
      <c r="C180" s="70">
        <v>16.482609</v>
      </c>
      <c r="D180" s="71">
        <v>0.18623252668004972</v>
      </c>
    </row>
    <row r="181" spans="2:4" x14ac:dyDescent="0.15">
      <c r="B181" s="69">
        <v>164</v>
      </c>
      <c r="C181" s="70">
        <v>16.177192999999999</v>
      </c>
      <c r="D181" s="71">
        <v>0.20081025275368899</v>
      </c>
    </row>
    <row r="182" spans="2:4" x14ac:dyDescent="0.15">
      <c r="B182" s="69">
        <v>165</v>
      </c>
      <c r="C182" s="70">
        <v>16.068819000000001</v>
      </c>
      <c r="D182" s="71">
        <v>0.24373935535440999</v>
      </c>
    </row>
    <row r="183" spans="2:4" x14ac:dyDescent="0.15">
      <c r="B183" s="69">
        <v>166</v>
      </c>
      <c r="C183" s="70">
        <v>15.999855</v>
      </c>
      <c r="D183" s="71">
        <v>0.19713037653038321</v>
      </c>
    </row>
    <row r="184" spans="2:4" x14ac:dyDescent="0.15">
      <c r="B184" s="69">
        <v>167</v>
      </c>
      <c r="C184" s="70">
        <v>15.852073000000001</v>
      </c>
      <c r="D184" s="71">
        <v>0.18589733349675136</v>
      </c>
    </row>
    <row r="185" spans="2:4" x14ac:dyDescent="0.15">
      <c r="B185" s="69">
        <v>168</v>
      </c>
      <c r="C185" s="70">
        <v>15.881629999999999</v>
      </c>
      <c r="D185" s="71">
        <v>0.19776396024539752</v>
      </c>
    </row>
    <row r="186" spans="2:4" x14ac:dyDescent="0.15">
      <c r="B186" s="69">
        <v>169</v>
      </c>
      <c r="C186" s="70">
        <v>16.088524</v>
      </c>
      <c r="D186" s="71">
        <v>0.18293777133839256</v>
      </c>
    </row>
    <row r="187" spans="2:4" x14ac:dyDescent="0.15">
      <c r="B187" s="69">
        <v>170</v>
      </c>
      <c r="C187" s="70">
        <v>16.265863</v>
      </c>
      <c r="D187" s="71">
        <v>0.21225916227624617</v>
      </c>
    </row>
    <row r="188" spans="2:4" x14ac:dyDescent="0.15">
      <c r="B188" s="69">
        <v>171</v>
      </c>
      <c r="C188" s="70">
        <v>16.068819000000001</v>
      </c>
      <c r="D188" s="71">
        <v>0.20695679085974278</v>
      </c>
    </row>
    <row r="189" spans="2:4" x14ac:dyDescent="0.15">
      <c r="B189" s="69">
        <v>172</v>
      </c>
      <c r="C189" s="70">
        <v>16.25601</v>
      </c>
      <c r="D189" s="71">
        <v>0.21141114404240377</v>
      </c>
    </row>
    <row r="190" spans="2:4" x14ac:dyDescent="0.15">
      <c r="B190" s="69">
        <v>173</v>
      </c>
      <c r="C190" s="70">
        <v>16.561426000000001</v>
      </c>
      <c r="D190" s="71">
        <v>0.20935957200573113</v>
      </c>
    </row>
    <row r="191" spans="2:4" x14ac:dyDescent="0.15">
      <c r="B191" s="69">
        <v>174</v>
      </c>
      <c r="C191" s="70">
        <v>16.334827000000001</v>
      </c>
      <c r="D191" s="71">
        <v>0.24403696284157145</v>
      </c>
    </row>
    <row r="192" spans="2:4" x14ac:dyDescent="0.15">
      <c r="B192" s="69">
        <v>175</v>
      </c>
      <c r="C192" s="70">
        <v>16.502313999999998</v>
      </c>
      <c r="D192" s="71">
        <v>0.22282745974099019</v>
      </c>
    </row>
    <row r="193" spans="2:4" x14ac:dyDescent="0.15">
      <c r="B193" s="69">
        <v>176</v>
      </c>
      <c r="C193" s="70">
        <v>16.768322000000001</v>
      </c>
      <c r="D193" s="71">
        <v>0.20530137459275039</v>
      </c>
    </row>
    <row r="194" spans="2:4" x14ac:dyDescent="0.15">
      <c r="B194" s="69">
        <v>177</v>
      </c>
      <c r="C194" s="70">
        <v>16.640243999999999</v>
      </c>
      <c r="D194" s="71">
        <v>0.22935209253817393</v>
      </c>
    </row>
    <row r="195" spans="2:4" x14ac:dyDescent="0.15">
      <c r="B195" s="69">
        <v>178</v>
      </c>
      <c r="C195" s="70">
        <v>16.669799999999999</v>
      </c>
      <c r="D195" s="71">
        <v>0.19775647830462645</v>
      </c>
    </row>
    <row r="196" spans="2:4" x14ac:dyDescent="0.15">
      <c r="B196" s="69">
        <v>179</v>
      </c>
      <c r="C196" s="70">
        <v>16.571278</v>
      </c>
      <c r="D196" s="71">
        <v>0.18287150418001638</v>
      </c>
    </row>
    <row r="197" spans="2:4" x14ac:dyDescent="0.15">
      <c r="B197" s="69">
        <v>180</v>
      </c>
      <c r="C197" s="70">
        <v>16.600836000000001</v>
      </c>
      <c r="D197" s="71">
        <v>0.18758275971923297</v>
      </c>
    </row>
    <row r="198" spans="2:4" x14ac:dyDescent="0.15">
      <c r="B198" s="69">
        <v>181</v>
      </c>
      <c r="C198" s="70">
        <v>16.738764</v>
      </c>
      <c r="D198" s="71">
        <v>0.18166565220787878</v>
      </c>
    </row>
    <row r="199" spans="2:4" x14ac:dyDescent="0.15">
      <c r="B199" s="69">
        <v>182</v>
      </c>
      <c r="C199" s="70">
        <v>16.827432999999999</v>
      </c>
      <c r="D199" s="71">
        <v>0.1939605346191334</v>
      </c>
    </row>
    <row r="200" spans="2:4" x14ac:dyDescent="0.15">
      <c r="B200" s="69">
        <v>183</v>
      </c>
      <c r="C200" s="70">
        <v>16.856991000000001</v>
      </c>
      <c r="D200" s="71">
        <v>0.18740223644778939</v>
      </c>
    </row>
    <row r="201" spans="2:4" x14ac:dyDescent="0.15">
      <c r="B201" s="69">
        <v>184</v>
      </c>
      <c r="C201" s="70">
        <v>16.925954999999998</v>
      </c>
      <c r="D201" s="71">
        <v>0.18162500217828303</v>
      </c>
    </row>
    <row r="202" spans="2:4" x14ac:dyDescent="0.15">
      <c r="B202" s="69">
        <v>185</v>
      </c>
      <c r="C202" s="70">
        <v>16.916103</v>
      </c>
      <c r="D202" s="71">
        <v>0.18373897415816939</v>
      </c>
    </row>
    <row r="203" spans="2:4" x14ac:dyDescent="0.15">
      <c r="B203" s="69">
        <v>186</v>
      </c>
      <c r="C203" s="70">
        <v>17.004771999999999</v>
      </c>
      <c r="D203" s="71">
        <v>0.18063852208636402</v>
      </c>
    </row>
    <row r="204" spans="2:4" x14ac:dyDescent="0.15">
      <c r="B204" s="69">
        <v>187</v>
      </c>
      <c r="C204" s="70">
        <v>17.044180000000001</v>
      </c>
      <c r="D204" s="71">
        <v>0.18578008640857507</v>
      </c>
    </row>
    <row r="205" spans="2:4" x14ac:dyDescent="0.15">
      <c r="B205" s="69">
        <v>188</v>
      </c>
      <c r="C205" s="70">
        <v>17.073736</v>
      </c>
      <c r="D205" s="71">
        <v>0.18190438301708833</v>
      </c>
    </row>
    <row r="206" spans="2:4" x14ac:dyDescent="0.15">
      <c r="B206" s="69">
        <v>189</v>
      </c>
      <c r="C206" s="70">
        <v>17.044180000000001</v>
      </c>
      <c r="D206" s="71">
        <v>0.18097824170956947</v>
      </c>
    </row>
    <row r="207" spans="2:4" x14ac:dyDescent="0.15">
      <c r="B207" s="69">
        <v>190</v>
      </c>
      <c r="C207" s="70">
        <v>17.142702</v>
      </c>
      <c r="D207" s="71">
        <v>0.18087362898440998</v>
      </c>
    </row>
    <row r="208" spans="2:4" x14ac:dyDescent="0.15">
      <c r="B208" s="69">
        <v>191</v>
      </c>
      <c r="C208" s="70">
        <v>17.260926999999999</v>
      </c>
      <c r="D208" s="71">
        <v>0.18698282926031976</v>
      </c>
    </row>
    <row r="209" spans="2:4" x14ac:dyDescent="0.15">
      <c r="B209" s="69">
        <v>192</v>
      </c>
      <c r="C209" s="70">
        <v>17.014624000000001</v>
      </c>
      <c r="D209" s="71">
        <v>0.19042048580056478</v>
      </c>
    </row>
    <row r="210" spans="2:4" x14ac:dyDescent="0.15">
      <c r="B210" s="69">
        <v>193</v>
      </c>
      <c r="C210" s="70">
        <v>17.241222</v>
      </c>
      <c r="D210" s="71">
        <v>0.21972044491535364</v>
      </c>
    </row>
    <row r="211" spans="2:4" x14ac:dyDescent="0.15">
      <c r="B211" s="69">
        <v>194</v>
      </c>
      <c r="C211" s="70">
        <v>17.211666000000001</v>
      </c>
      <c r="D211" s="71">
        <v>0.21744303759570222</v>
      </c>
    </row>
    <row r="212" spans="2:4" x14ac:dyDescent="0.15">
      <c r="B212" s="69">
        <v>195</v>
      </c>
      <c r="C212" s="70">
        <v>17.241222</v>
      </c>
      <c r="D212" s="71">
        <v>0.1853303454057888</v>
      </c>
    </row>
    <row r="213" spans="2:4" x14ac:dyDescent="0.15">
      <c r="B213" s="69">
        <v>196</v>
      </c>
      <c r="C213" s="70">
        <v>17.014624000000001</v>
      </c>
      <c r="D213" s="71">
        <v>0.18135739635138079</v>
      </c>
    </row>
    <row r="214" spans="2:4" x14ac:dyDescent="0.15">
      <c r="B214" s="69">
        <v>197</v>
      </c>
      <c r="C214" s="70">
        <v>16.866841999999998</v>
      </c>
      <c r="D214" s="71">
        <v>0.21342074462883176</v>
      </c>
    </row>
    <row r="215" spans="2:4" x14ac:dyDescent="0.15">
      <c r="B215" s="69">
        <v>198</v>
      </c>
      <c r="C215" s="70">
        <v>17.359449000000001</v>
      </c>
      <c r="D215" s="71">
        <v>0.19900477529095054</v>
      </c>
    </row>
    <row r="216" spans="2:4" x14ac:dyDescent="0.15">
      <c r="B216" s="69">
        <v>199</v>
      </c>
      <c r="C216" s="70">
        <v>17.950575000000001</v>
      </c>
      <c r="D216" s="71">
        <v>0.30823532578982599</v>
      </c>
    </row>
    <row r="217" spans="2:4" x14ac:dyDescent="0.15">
      <c r="B217" s="69">
        <v>200</v>
      </c>
      <c r="C217" s="70">
        <v>17.743680999999999</v>
      </c>
      <c r="D217" s="71">
        <v>0.35078072065174454</v>
      </c>
    </row>
    <row r="218" spans="2:4" x14ac:dyDescent="0.15">
      <c r="B218" s="69">
        <v>201</v>
      </c>
      <c r="C218" s="70">
        <v>18.078652999999999</v>
      </c>
      <c r="D218" s="71">
        <v>0.22951055546543239</v>
      </c>
    </row>
    <row r="219" spans="2:4" x14ac:dyDescent="0.15">
      <c r="B219" s="69">
        <v>202</v>
      </c>
      <c r="C219" s="70">
        <v>18.029392000000001</v>
      </c>
      <c r="D219" s="71">
        <v>0.24657070994075617</v>
      </c>
    </row>
    <row r="220" spans="2:4" x14ac:dyDescent="0.15">
      <c r="B220" s="69">
        <v>203</v>
      </c>
      <c r="C220" s="70">
        <v>18.009689000000002</v>
      </c>
      <c r="D220" s="71">
        <v>0.1902762230234159</v>
      </c>
    </row>
    <row r="221" spans="2:4" x14ac:dyDescent="0.15">
      <c r="B221" s="69">
        <v>204</v>
      </c>
      <c r="C221" s="70">
        <v>17.832352</v>
      </c>
      <c r="D221" s="71">
        <v>0.18157503501383235</v>
      </c>
    </row>
    <row r="222" spans="2:4" x14ac:dyDescent="0.15">
      <c r="B222" s="69">
        <v>205</v>
      </c>
      <c r="C222" s="70">
        <v>17.5959</v>
      </c>
      <c r="D222" s="71">
        <v>0.19952947871753277</v>
      </c>
    </row>
    <row r="223" spans="2:4" x14ac:dyDescent="0.15">
      <c r="B223" s="69">
        <v>206</v>
      </c>
      <c r="C223" s="70">
        <v>17.5959</v>
      </c>
      <c r="D223" s="71">
        <v>0.21578379110429682</v>
      </c>
    </row>
    <row r="224" spans="2:4" x14ac:dyDescent="0.15">
      <c r="B224" s="69">
        <v>207</v>
      </c>
      <c r="C224" s="70">
        <v>17.349598</v>
      </c>
      <c r="D224" s="71">
        <v>0.18451839292889391</v>
      </c>
    </row>
    <row r="225" spans="2:4" x14ac:dyDescent="0.15">
      <c r="B225" s="69">
        <v>208</v>
      </c>
      <c r="C225" s="70">
        <v>17.408709000000002</v>
      </c>
      <c r="D225" s="71">
        <v>0.2178146720131578</v>
      </c>
    </row>
    <row r="226" spans="2:4" x14ac:dyDescent="0.15">
      <c r="B226" s="69">
        <v>209</v>
      </c>
      <c r="C226" s="70">
        <v>17.379152000000001</v>
      </c>
      <c r="D226" s="71">
        <v>0.18710473339646319</v>
      </c>
    </row>
    <row r="227" spans="2:4" x14ac:dyDescent="0.15">
      <c r="B227" s="69">
        <v>210</v>
      </c>
      <c r="C227" s="70">
        <v>17.408709000000002</v>
      </c>
      <c r="D227" s="71">
        <v>0.18155095732029125</v>
      </c>
    </row>
    <row r="228" spans="2:4" x14ac:dyDescent="0.15">
      <c r="B228" s="69">
        <v>211</v>
      </c>
      <c r="C228" s="70">
        <v>17.783089</v>
      </c>
      <c r="D228" s="71">
        <v>0.1809147270626503</v>
      </c>
    </row>
    <row r="229" spans="2:4" x14ac:dyDescent="0.15">
      <c r="B229" s="69">
        <v>212</v>
      </c>
      <c r="C229" s="70">
        <v>17.842203000000001</v>
      </c>
      <c r="D229" s="71">
        <v>0.25733439017846288</v>
      </c>
    </row>
    <row r="230" spans="2:4" x14ac:dyDescent="0.15">
      <c r="B230" s="69">
        <v>213</v>
      </c>
      <c r="C230" s="70">
        <v>18.127914000000001</v>
      </c>
      <c r="D230" s="71">
        <v>0.19256647392030188</v>
      </c>
    </row>
    <row r="231" spans="2:4" x14ac:dyDescent="0.15">
      <c r="B231" s="69">
        <v>214</v>
      </c>
      <c r="C231" s="70">
        <v>18.374217999999999</v>
      </c>
      <c r="D231" s="71">
        <v>0.22755961823328699</v>
      </c>
    </row>
    <row r="232" spans="2:4" x14ac:dyDescent="0.15">
      <c r="B232" s="69">
        <v>215</v>
      </c>
      <c r="C232" s="70">
        <v>18.413627999999999</v>
      </c>
      <c r="D232" s="71">
        <v>0.21955699039361926</v>
      </c>
    </row>
    <row r="233" spans="2:4" x14ac:dyDescent="0.15">
      <c r="B233" s="69">
        <v>216</v>
      </c>
      <c r="C233" s="70">
        <v>18.482592</v>
      </c>
      <c r="D233" s="71">
        <v>0.18594109136524584</v>
      </c>
    </row>
    <row r="234" spans="2:4" x14ac:dyDescent="0.15">
      <c r="B234" s="69">
        <v>217</v>
      </c>
      <c r="C234" s="70">
        <v>18.472738</v>
      </c>
      <c r="D234" s="71">
        <v>0.18367892056481183</v>
      </c>
    </row>
    <row r="235" spans="2:4" x14ac:dyDescent="0.15">
      <c r="B235" s="69">
        <v>218</v>
      </c>
      <c r="C235" s="70">
        <v>18.827414999999998</v>
      </c>
      <c r="D235" s="71">
        <v>0.18062038245124071</v>
      </c>
    </row>
    <row r="236" spans="2:4" x14ac:dyDescent="0.15">
      <c r="B236" s="69">
        <v>219</v>
      </c>
      <c r="C236" s="70">
        <v>18.699337</v>
      </c>
      <c r="D236" s="71">
        <v>0.24377390552869627</v>
      </c>
    </row>
    <row r="237" spans="2:4" x14ac:dyDescent="0.15">
      <c r="B237" s="69">
        <v>220</v>
      </c>
      <c r="C237" s="70">
        <v>18.541703999999999</v>
      </c>
      <c r="D237" s="71">
        <v>0.19740193432472877</v>
      </c>
    </row>
    <row r="238" spans="2:4" x14ac:dyDescent="0.15">
      <c r="B238" s="69">
        <v>221</v>
      </c>
      <c r="C238" s="70">
        <v>18.403773999999999</v>
      </c>
      <c r="D238" s="71">
        <v>0.19629399403623235</v>
      </c>
    </row>
    <row r="239" spans="2:4" x14ac:dyDescent="0.15">
      <c r="B239" s="69">
        <v>222</v>
      </c>
      <c r="C239" s="70">
        <v>18.492443000000002</v>
      </c>
      <c r="D239" s="71">
        <v>0.19312282099305059</v>
      </c>
    </row>
    <row r="240" spans="2:4" x14ac:dyDescent="0.15">
      <c r="B240" s="69">
        <v>223</v>
      </c>
      <c r="C240" s="70">
        <v>18.531851</v>
      </c>
      <c r="D240" s="71">
        <v>0.18634539663586339</v>
      </c>
    </row>
    <row r="241" spans="2:4" x14ac:dyDescent="0.15">
      <c r="B241" s="69">
        <v>224</v>
      </c>
      <c r="C241" s="70">
        <v>18.521999000000001</v>
      </c>
      <c r="D241" s="71">
        <v>0.18180019476907888</v>
      </c>
    </row>
    <row r="242" spans="2:4" x14ac:dyDescent="0.15">
      <c r="B242" s="69">
        <v>225</v>
      </c>
      <c r="C242" s="70">
        <v>18.739999999999998</v>
      </c>
      <c r="D242" s="71">
        <v>0.18040582748217671</v>
      </c>
    </row>
    <row r="243" spans="2:4" x14ac:dyDescent="0.15">
      <c r="B243" s="69">
        <v>226</v>
      </c>
      <c r="C243" s="70">
        <v>18.860001</v>
      </c>
      <c r="D243" s="71">
        <v>0.20656655046699265</v>
      </c>
    </row>
    <row r="244" spans="2:4" x14ac:dyDescent="0.15">
      <c r="B244" s="69">
        <v>227</v>
      </c>
      <c r="C244" s="70">
        <v>18.809999000000001</v>
      </c>
      <c r="D244" s="71">
        <v>0.19142699452904366</v>
      </c>
    </row>
    <row r="245" spans="2:4" x14ac:dyDescent="0.15">
      <c r="B245" s="69">
        <v>228</v>
      </c>
      <c r="C245" s="70">
        <v>18.579999999999998</v>
      </c>
      <c r="D245" s="71">
        <v>0.18290707491849037</v>
      </c>
    </row>
    <row r="246" spans="2:4" x14ac:dyDescent="0.15">
      <c r="B246" s="69">
        <v>229</v>
      </c>
      <c r="C246" s="70">
        <v>18.850000000000001</v>
      </c>
      <c r="D246" s="71">
        <v>0.20939988060788686</v>
      </c>
    </row>
    <row r="247" spans="2:4" x14ac:dyDescent="0.15">
      <c r="B247" s="69">
        <v>230</v>
      </c>
      <c r="C247" s="70">
        <v>19.16</v>
      </c>
      <c r="D247" s="71">
        <v>0.22192295771809475</v>
      </c>
    </row>
    <row r="248" spans="2:4" x14ac:dyDescent="0.15">
      <c r="B248" s="69">
        <v>231</v>
      </c>
      <c r="C248" s="70">
        <v>19.149999999999999</v>
      </c>
      <c r="D248" s="71">
        <v>0.23275462804342684</v>
      </c>
    </row>
    <row r="249" spans="2:4" x14ac:dyDescent="0.15">
      <c r="B249" s="69">
        <v>232</v>
      </c>
      <c r="C249" s="70">
        <v>19.120000999999998</v>
      </c>
      <c r="D249" s="71">
        <v>0.18688158567954247</v>
      </c>
    </row>
    <row r="250" spans="2:4" x14ac:dyDescent="0.15">
      <c r="B250" s="69">
        <v>233</v>
      </c>
      <c r="C250" s="70">
        <v>18.549999</v>
      </c>
      <c r="D250" s="71">
        <v>0.1814368664792671</v>
      </c>
    </row>
    <row r="251" spans="2:4" x14ac:dyDescent="0.15">
      <c r="B251" s="69">
        <v>234</v>
      </c>
      <c r="C251" s="70">
        <v>18.209999</v>
      </c>
      <c r="D251" s="71">
        <v>0.31742562765178073</v>
      </c>
    </row>
    <row r="252" spans="2:4" x14ac:dyDescent="0.15">
      <c r="B252" s="69">
        <v>235</v>
      </c>
      <c r="C252" s="70">
        <v>19.16</v>
      </c>
      <c r="D252" s="71">
        <v>0.25622053551904339</v>
      </c>
    </row>
    <row r="253" spans="2:4" x14ac:dyDescent="0.15">
      <c r="B253" s="69">
        <v>236</v>
      </c>
      <c r="C253" s="70">
        <v>19.190000999999999</v>
      </c>
      <c r="D253" s="71">
        <v>0.47841955267262276</v>
      </c>
    </row>
    <row r="254" spans="2:4" x14ac:dyDescent="0.15">
      <c r="B254" s="69">
        <v>237</v>
      </c>
      <c r="C254" s="70">
        <v>19.010000000000002</v>
      </c>
      <c r="D254" s="71">
        <v>0.23401980681992063</v>
      </c>
    </row>
    <row r="255" spans="2:4" x14ac:dyDescent="0.15">
      <c r="B255" s="69">
        <v>238</v>
      </c>
      <c r="C255" s="70">
        <v>18.899999999999999</v>
      </c>
      <c r="D255" s="71">
        <v>0.20393251215910541</v>
      </c>
    </row>
    <row r="256" spans="2:4" x14ac:dyDescent="0.15">
      <c r="B256" s="69">
        <v>239</v>
      </c>
      <c r="C256" s="70">
        <v>18.98</v>
      </c>
      <c r="D256" s="71">
        <v>0.18972622283317173</v>
      </c>
    </row>
    <row r="257" spans="2:4" x14ac:dyDescent="0.15">
      <c r="B257" s="69">
        <v>240</v>
      </c>
      <c r="C257" s="70">
        <v>19.25</v>
      </c>
      <c r="D257" s="71">
        <v>0.1848950695562902</v>
      </c>
    </row>
    <row r="258" spans="2:4" x14ac:dyDescent="0.15">
      <c r="B258" s="69">
        <v>241</v>
      </c>
      <c r="C258" s="70">
        <v>19.469999000000001</v>
      </c>
      <c r="D258" s="71">
        <v>0.21798903363613659</v>
      </c>
    </row>
    <row r="259" spans="2:4" x14ac:dyDescent="0.15">
      <c r="B259" s="69">
        <v>242</v>
      </c>
      <c r="C259" s="70">
        <v>19.370000999999998</v>
      </c>
      <c r="D259" s="71">
        <v>0.20922802514135738</v>
      </c>
    </row>
    <row r="260" spans="2:4" x14ac:dyDescent="0.15">
      <c r="B260" s="69">
        <v>243</v>
      </c>
      <c r="C260" s="70">
        <v>18.91</v>
      </c>
      <c r="D260" s="71">
        <v>0.18896766154511047</v>
      </c>
    </row>
    <row r="261" spans="2:4" x14ac:dyDescent="0.15">
      <c r="B261" s="69">
        <v>244</v>
      </c>
      <c r="C261" s="70">
        <v>19.190000999999999</v>
      </c>
      <c r="D261" s="71">
        <v>0.27543690083529948</v>
      </c>
    </row>
    <row r="262" spans="2:4" x14ac:dyDescent="0.15">
      <c r="B262" s="69">
        <v>245</v>
      </c>
      <c r="C262" s="70">
        <v>19.25</v>
      </c>
      <c r="D262" s="71">
        <v>0.2311812949401546</v>
      </c>
    </row>
    <row r="263" spans="2:4" x14ac:dyDescent="0.15">
      <c r="B263" s="69">
        <v>246</v>
      </c>
      <c r="C263" s="70">
        <v>19.399999999999999</v>
      </c>
      <c r="D263" s="71">
        <v>0.18854254713980129</v>
      </c>
    </row>
    <row r="264" spans="2:4" x14ac:dyDescent="0.15">
      <c r="B264" s="69">
        <v>247</v>
      </c>
      <c r="C264" s="70">
        <v>19.489999999999998</v>
      </c>
      <c r="D264" s="71">
        <v>0.19312040288882792</v>
      </c>
    </row>
    <row r="265" spans="2:4" x14ac:dyDescent="0.15">
      <c r="B265" s="69">
        <v>248</v>
      </c>
      <c r="C265" s="70">
        <v>19.43</v>
      </c>
      <c r="D265" s="71">
        <v>0.1860091340061347</v>
      </c>
    </row>
    <row r="266" spans="2:4" x14ac:dyDescent="0.15">
      <c r="B266" s="69">
        <v>249</v>
      </c>
      <c r="C266" s="70">
        <v>19.52</v>
      </c>
      <c r="D266" s="71">
        <v>0.18277820642781667</v>
      </c>
    </row>
    <row r="267" spans="2:4" x14ac:dyDescent="0.15">
      <c r="B267" s="69">
        <v>250</v>
      </c>
      <c r="C267" s="70">
        <v>19.629999000000002</v>
      </c>
      <c r="D267" s="71">
        <v>0.18481505302361062</v>
      </c>
    </row>
    <row r="268" spans="2:4" x14ac:dyDescent="0.15">
      <c r="B268" s="69">
        <v>251</v>
      </c>
      <c r="C268" s="70">
        <v>19.09</v>
      </c>
      <c r="D268" s="71">
        <v>0.18708948593026273</v>
      </c>
    </row>
    <row r="269" spans="2:4" x14ac:dyDescent="0.15">
      <c r="B269" s="69">
        <v>252</v>
      </c>
      <c r="C269" s="70">
        <v>19.34</v>
      </c>
      <c r="D269" s="71">
        <v>0.30119696329157231</v>
      </c>
    </row>
    <row r="270" spans="2:4" x14ac:dyDescent="0.15">
      <c r="B270" s="69"/>
      <c r="C270" s="70"/>
      <c r="D270" s="71">
        <v>0.22915685746057252</v>
      </c>
    </row>
    <row r="271" spans="2:4" x14ac:dyDescent="0.15">
      <c r="B271" s="69"/>
      <c r="C271" s="70"/>
      <c r="D271" s="71"/>
    </row>
    <row r="272" spans="2:4" x14ac:dyDescent="0.15">
      <c r="B272" s="69"/>
      <c r="C272" s="70"/>
      <c r="D272" s="71"/>
    </row>
    <row r="273" spans="2:4" x14ac:dyDescent="0.15">
      <c r="B273" s="69"/>
      <c r="C273" s="70"/>
      <c r="D273" s="71"/>
    </row>
    <row r="274" spans="2:4" x14ac:dyDescent="0.15">
      <c r="B274" s="69"/>
      <c r="C274" s="70"/>
      <c r="D274" s="71"/>
    </row>
    <row r="275" spans="2:4" x14ac:dyDescent="0.15">
      <c r="B275" s="69"/>
      <c r="C275" s="70"/>
      <c r="D275" s="71"/>
    </row>
    <row r="276" spans="2:4" x14ac:dyDescent="0.15">
      <c r="B276" s="69"/>
      <c r="C276" s="70"/>
      <c r="D276" s="71"/>
    </row>
    <row r="277" spans="2:4" x14ac:dyDescent="0.15">
      <c r="B277" s="69"/>
      <c r="C277" s="70"/>
      <c r="D277" s="71"/>
    </row>
    <row r="278" spans="2:4" x14ac:dyDescent="0.15">
      <c r="B278" s="69"/>
      <c r="C278" s="70"/>
      <c r="D278" s="71"/>
    </row>
    <row r="279" spans="2:4" x14ac:dyDescent="0.15">
      <c r="B279" s="69"/>
      <c r="C279" s="70"/>
      <c r="D279" s="71"/>
    </row>
    <row r="280" spans="2:4" x14ac:dyDescent="0.15">
      <c r="B280" s="69"/>
      <c r="C280" s="70"/>
      <c r="D280" s="71"/>
    </row>
    <row r="281" spans="2:4" x14ac:dyDescent="0.15">
      <c r="B281" s="69"/>
      <c r="C281" s="70"/>
      <c r="D281" s="71"/>
    </row>
    <row r="282" spans="2:4" x14ac:dyDescent="0.15">
      <c r="B282" s="69"/>
      <c r="C282" s="70"/>
      <c r="D282" s="71"/>
    </row>
    <row r="283" spans="2:4" x14ac:dyDescent="0.15">
      <c r="B283" s="69"/>
      <c r="C283" s="70"/>
      <c r="D283" s="71"/>
    </row>
    <row r="284" spans="2:4" x14ac:dyDescent="0.15">
      <c r="B284" s="69"/>
      <c r="C284" s="70"/>
      <c r="D284" s="71"/>
    </row>
    <row r="285" spans="2:4" x14ac:dyDescent="0.15">
      <c r="B285" s="69"/>
      <c r="C285" s="70"/>
      <c r="D285" s="71"/>
    </row>
    <row r="286" spans="2:4" x14ac:dyDescent="0.15">
      <c r="B286" s="69"/>
      <c r="C286" s="70"/>
      <c r="D286" s="71"/>
    </row>
    <row r="287" spans="2:4" x14ac:dyDescent="0.15">
      <c r="B287" s="69"/>
      <c r="C287" s="70"/>
      <c r="D287" s="71"/>
    </row>
    <row r="288" spans="2:4" x14ac:dyDescent="0.15">
      <c r="B288" s="69"/>
      <c r="C288" s="70"/>
      <c r="D288" s="71"/>
    </row>
    <row r="289" spans="2:4" x14ac:dyDescent="0.15">
      <c r="B289" s="69"/>
      <c r="C289" s="70"/>
      <c r="D289" s="71"/>
    </row>
    <row r="290" spans="2:4" x14ac:dyDescent="0.15">
      <c r="B290" s="69"/>
      <c r="C290" s="70"/>
      <c r="D290" s="71"/>
    </row>
    <row r="291" spans="2:4" x14ac:dyDescent="0.15">
      <c r="B291" s="69"/>
      <c r="C291" s="70"/>
      <c r="D291" s="71"/>
    </row>
    <row r="292" spans="2:4" x14ac:dyDescent="0.15">
      <c r="B292" s="69"/>
      <c r="C292" s="70"/>
      <c r="D292" s="71"/>
    </row>
    <row r="293" spans="2:4" x14ac:dyDescent="0.15">
      <c r="B293" s="69"/>
      <c r="C293" s="70"/>
      <c r="D293" s="71"/>
    </row>
    <row r="294" spans="2:4" x14ac:dyDescent="0.15">
      <c r="B294" s="69"/>
      <c r="C294" s="70"/>
      <c r="D294" s="71"/>
    </row>
    <row r="295" spans="2:4" x14ac:dyDescent="0.15">
      <c r="B295" s="69"/>
      <c r="C295" s="70"/>
      <c r="D295" s="71"/>
    </row>
    <row r="296" spans="2:4" x14ac:dyDescent="0.15">
      <c r="B296" s="69"/>
      <c r="C296" s="70"/>
      <c r="D296" s="71"/>
    </row>
    <row r="297" spans="2:4" x14ac:dyDescent="0.15">
      <c r="B297" s="69"/>
      <c r="C297" s="70"/>
      <c r="D297" s="71"/>
    </row>
    <row r="298" spans="2:4" x14ac:dyDescent="0.15">
      <c r="B298" s="69"/>
      <c r="C298" s="70"/>
      <c r="D298" s="71"/>
    </row>
    <row r="299" spans="2:4" x14ac:dyDescent="0.15">
      <c r="B299" s="69"/>
      <c r="C299" s="70"/>
      <c r="D299" s="71"/>
    </row>
    <row r="300" spans="2:4" x14ac:dyDescent="0.15">
      <c r="B300" s="69"/>
      <c r="C300" s="70"/>
      <c r="D300" s="71"/>
    </row>
    <row r="301" spans="2:4" x14ac:dyDescent="0.15">
      <c r="B301" s="69"/>
      <c r="C301" s="70"/>
      <c r="D301" s="71"/>
    </row>
    <row r="302" spans="2:4" x14ac:dyDescent="0.15">
      <c r="B302" s="69"/>
      <c r="C302" s="70"/>
      <c r="D302" s="71"/>
    </row>
    <row r="303" spans="2:4" x14ac:dyDescent="0.15">
      <c r="B303" s="69"/>
      <c r="C303" s="70"/>
      <c r="D303" s="71"/>
    </row>
    <row r="304" spans="2:4" x14ac:dyDescent="0.15">
      <c r="B304" s="69"/>
      <c r="C304" s="70"/>
      <c r="D304" s="71"/>
    </row>
    <row r="305" spans="2:4" x14ac:dyDescent="0.15">
      <c r="B305" s="69"/>
      <c r="C305" s="70"/>
      <c r="D305" s="71"/>
    </row>
    <row r="306" spans="2:4" x14ac:dyDescent="0.15">
      <c r="B306" s="69"/>
      <c r="C306" s="70"/>
      <c r="D306" s="71"/>
    </row>
    <row r="307" spans="2:4" x14ac:dyDescent="0.15">
      <c r="B307" s="69"/>
      <c r="C307" s="70"/>
      <c r="D307" s="71"/>
    </row>
    <row r="308" spans="2:4" x14ac:dyDescent="0.15">
      <c r="B308" s="69"/>
      <c r="C308" s="70"/>
      <c r="D308" s="71"/>
    </row>
    <row r="309" spans="2:4" x14ac:dyDescent="0.15">
      <c r="B309" s="69"/>
      <c r="C309" s="70"/>
      <c r="D309" s="71"/>
    </row>
    <row r="310" spans="2:4" x14ac:dyDescent="0.15">
      <c r="B310" s="69"/>
      <c r="C310" s="70"/>
      <c r="D310" s="71"/>
    </row>
    <row r="311" spans="2:4" x14ac:dyDescent="0.15">
      <c r="B311" s="69"/>
      <c r="C311" s="70"/>
      <c r="D311" s="71"/>
    </row>
    <row r="312" spans="2:4" x14ac:dyDescent="0.15">
      <c r="B312" s="69"/>
      <c r="C312" s="70"/>
      <c r="D312" s="71"/>
    </row>
    <row r="313" spans="2:4" x14ac:dyDescent="0.15">
      <c r="B313" s="69"/>
      <c r="C313" s="70"/>
      <c r="D313" s="71"/>
    </row>
    <row r="314" spans="2:4" x14ac:dyDescent="0.15">
      <c r="B314" s="69"/>
      <c r="C314" s="70"/>
      <c r="D314" s="71"/>
    </row>
    <row r="315" spans="2:4" x14ac:dyDescent="0.15">
      <c r="B315" s="69"/>
      <c r="C315" s="70"/>
      <c r="D315" s="71"/>
    </row>
    <row r="316" spans="2:4" x14ac:dyDescent="0.15">
      <c r="B316" s="69"/>
      <c r="C316" s="70"/>
      <c r="D316" s="71"/>
    </row>
    <row r="317" spans="2:4" x14ac:dyDescent="0.15">
      <c r="B317" s="69"/>
      <c r="C317" s="70"/>
      <c r="D317" s="71"/>
    </row>
    <row r="318" spans="2:4" x14ac:dyDescent="0.15">
      <c r="B318" s="69"/>
      <c r="C318" s="70"/>
      <c r="D318" s="71"/>
    </row>
    <row r="319" spans="2:4" x14ac:dyDescent="0.15">
      <c r="B319" s="69"/>
      <c r="C319" s="70"/>
      <c r="D319" s="71"/>
    </row>
    <row r="320" spans="2:4" x14ac:dyDescent="0.15">
      <c r="B320" s="69"/>
      <c r="C320" s="70"/>
      <c r="D320" s="71"/>
    </row>
    <row r="321" spans="2:4" x14ac:dyDescent="0.15">
      <c r="B321" s="69"/>
      <c r="C321" s="70"/>
      <c r="D321" s="71"/>
    </row>
    <row r="322" spans="2:4" x14ac:dyDescent="0.15">
      <c r="B322" s="69"/>
      <c r="C322" s="70"/>
      <c r="D322" s="71"/>
    </row>
    <row r="323" spans="2:4" x14ac:dyDescent="0.15">
      <c r="B323" s="69"/>
      <c r="C323" s="70"/>
      <c r="D323" s="71"/>
    </row>
    <row r="324" spans="2:4" x14ac:dyDescent="0.15">
      <c r="B324" s="69"/>
      <c r="C324" s="70"/>
      <c r="D324" s="71"/>
    </row>
    <row r="325" spans="2:4" x14ac:dyDescent="0.15">
      <c r="B325" s="69"/>
      <c r="C325" s="70"/>
      <c r="D325" s="71"/>
    </row>
    <row r="326" spans="2:4" x14ac:dyDescent="0.15">
      <c r="B326" s="69"/>
      <c r="C326" s="70"/>
      <c r="D326" s="71"/>
    </row>
    <row r="327" spans="2:4" x14ac:dyDescent="0.15">
      <c r="B327" s="69"/>
      <c r="C327" s="70"/>
      <c r="D327" s="71"/>
    </row>
    <row r="328" spans="2:4" x14ac:dyDescent="0.15">
      <c r="B328" s="69"/>
      <c r="C328" s="70"/>
      <c r="D328" s="71"/>
    </row>
    <row r="329" spans="2:4" x14ac:dyDescent="0.15">
      <c r="B329" s="69"/>
      <c r="C329" s="70"/>
      <c r="D329" s="71"/>
    </row>
    <row r="330" spans="2:4" x14ac:dyDescent="0.15">
      <c r="B330" s="69"/>
      <c r="C330" s="70"/>
      <c r="D330" s="71"/>
    </row>
    <row r="331" spans="2:4" x14ac:dyDescent="0.15">
      <c r="B331" s="69"/>
      <c r="C331" s="70"/>
      <c r="D331" s="71"/>
    </row>
    <row r="332" spans="2:4" x14ac:dyDescent="0.15">
      <c r="B332" s="69"/>
      <c r="C332" s="70"/>
      <c r="D332" s="71"/>
    </row>
    <row r="333" spans="2:4" x14ac:dyDescent="0.15">
      <c r="B333" s="69"/>
      <c r="C333" s="70"/>
      <c r="D333" s="71"/>
    </row>
    <row r="334" spans="2:4" x14ac:dyDescent="0.15">
      <c r="B334" s="69"/>
      <c r="C334" s="70"/>
      <c r="D334" s="71"/>
    </row>
    <row r="335" spans="2:4" x14ac:dyDescent="0.15">
      <c r="B335" s="69"/>
      <c r="C335" s="70"/>
      <c r="D335" s="71"/>
    </row>
    <row r="336" spans="2:4" x14ac:dyDescent="0.15">
      <c r="B336" s="69"/>
      <c r="C336" s="70"/>
      <c r="D336" s="71"/>
    </row>
    <row r="337" spans="2:4" x14ac:dyDescent="0.15">
      <c r="B337" s="69"/>
      <c r="C337" s="70"/>
      <c r="D337" s="71"/>
    </row>
    <row r="338" spans="2:4" x14ac:dyDescent="0.15">
      <c r="B338" s="69"/>
      <c r="C338" s="70"/>
      <c r="D338" s="71"/>
    </row>
    <row r="339" spans="2:4" x14ac:dyDescent="0.15">
      <c r="B339" s="69"/>
      <c r="C339" s="70"/>
      <c r="D339" s="71"/>
    </row>
    <row r="340" spans="2:4" x14ac:dyDescent="0.15">
      <c r="B340" s="69"/>
      <c r="C340" s="70"/>
      <c r="D340" s="71"/>
    </row>
    <row r="341" spans="2:4" x14ac:dyDescent="0.15">
      <c r="B341" s="69"/>
      <c r="C341" s="70"/>
      <c r="D341" s="71"/>
    </row>
    <row r="342" spans="2:4" x14ac:dyDescent="0.15">
      <c r="B342" s="69"/>
      <c r="C342" s="70"/>
      <c r="D342" s="71"/>
    </row>
    <row r="343" spans="2:4" x14ac:dyDescent="0.15">
      <c r="B343" s="69"/>
      <c r="C343" s="70"/>
      <c r="D343" s="71"/>
    </row>
    <row r="344" spans="2:4" x14ac:dyDescent="0.15">
      <c r="B344" s="69"/>
      <c r="C344" s="70"/>
      <c r="D344" s="71"/>
    </row>
    <row r="345" spans="2:4" x14ac:dyDescent="0.15">
      <c r="B345" s="69"/>
      <c r="C345" s="70"/>
      <c r="D345" s="71"/>
    </row>
    <row r="346" spans="2:4" x14ac:dyDescent="0.15">
      <c r="B346" s="69"/>
      <c r="C346" s="70"/>
      <c r="D346" s="71"/>
    </row>
    <row r="347" spans="2:4" x14ac:dyDescent="0.15">
      <c r="B347" s="69"/>
      <c r="C347" s="70"/>
      <c r="D347" s="71"/>
    </row>
    <row r="348" spans="2:4" x14ac:dyDescent="0.15">
      <c r="B348" s="69"/>
      <c r="C348" s="70"/>
      <c r="D348" s="71"/>
    </row>
    <row r="349" spans="2:4" x14ac:dyDescent="0.15">
      <c r="B349" s="69"/>
      <c r="C349" s="70"/>
      <c r="D349" s="71"/>
    </row>
    <row r="350" spans="2:4" x14ac:dyDescent="0.15">
      <c r="B350" s="69"/>
      <c r="C350" s="70"/>
      <c r="D350" s="71"/>
    </row>
    <row r="351" spans="2:4" x14ac:dyDescent="0.15">
      <c r="B351" s="69"/>
      <c r="C351" s="70"/>
      <c r="D351" s="71"/>
    </row>
    <row r="352" spans="2:4" x14ac:dyDescent="0.15">
      <c r="B352" s="69"/>
      <c r="C352" s="70"/>
      <c r="D352" s="71"/>
    </row>
    <row r="353" spans="2:4" x14ac:dyDescent="0.15">
      <c r="B353" s="69"/>
      <c r="C353" s="70"/>
      <c r="D353" s="71"/>
    </row>
    <row r="354" spans="2:4" x14ac:dyDescent="0.15">
      <c r="B354" s="69"/>
      <c r="C354" s="70"/>
      <c r="D354" s="71"/>
    </row>
    <row r="355" spans="2:4" x14ac:dyDescent="0.15">
      <c r="B355" s="69"/>
      <c r="C355" s="70"/>
      <c r="D355" s="71"/>
    </row>
    <row r="356" spans="2:4" x14ac:dyDescent="0.15">
      <c r="B356" s="69"/>
      <c r="C356" s="70"/>
      <c r="D356" s="71"/>
    </row>
    <row r="357" spans="2:4" x14ac:dyDescent="0.15">
      <c r="B357" s="69"/>
      <c r="C357" s="70"/>
      <c r="D357" s="71"/>
    </row>
    <row r="358" spans="2:4" x14ac:dyDescent="0.15">
      <c r="B358" s="69"/>
      <c r="C358" s="70"/>
      <c r="D358" s="71"/>
    </row>
    <row r="359" spans="2:4" x14ac:dyDescent="0.15">
      <c r="B359" s="69"/>
      <c r="C359" s="70"/>
      <c r="D359" s="71"/>
    </row>
    <row r="360" spans="2:4" x14ac:dyDescent="0.15">
      <c r="B360" s="69"/>
      <c r="C360" s="70"/>
      <c r="D360" s="71"/>
    </row>
    <row r="361" spans="2:4" x14ac:dyDescent="0.15">
      <c r="B361" s="69"/>
      <c r="C361" s="70"/>
      <c r="D361" s="71"/>
    </row>
    <row r="362" spans="2:4" x14ac:dyDescent="0.15">
      <c r="B362" s="69"/>
      <c r="C362" s="70"/>
      <c r="D362" s="71"/>
    </row>
    <row r="363" spans="2:4" x14ac:dyDescent="0.15">
      <c r="B363" s="69"/>
      <c r="C363" s="70"/>
      <c r="D363" s="71"/>
    </row>
    <row r="364" spans="2:4" x14ac:dyDescent="0.15">
      <c r="B364" s="69"/>
      <c r="C364" s="70"/>
      <c r="D364" s="71"/>
    </row>
    <row r="365" spans="2:4" x14ac:dyDescent="0.15">
      <c r="B365" s="69"/>
      <c r="C365" s="70"/>
      <c r="D365" s="71"/>
    </row>
    <row r="366" spans="2:4" x14ac:dyDescent="0.15">
      <c r="B366" s="69"/>
      <c r="C366" s="70"/>
      <c r="D366" s="71"/>
    </row>
    <row r="367" spans="2:4" x14ac:dyDescent="0.15">
      <c r="B367" s="69"/>
      <c r="C367" s="70"/>
      <c r="D367" s="71"/>
    </row>
    <row r="368" spans="2:4" x14ac:dyDescent="0.15">
      <c r="B368" s="69"/>
      <c r="C368" s="70"/>
      <c r="D368" s="71"/>
    </row>
    <row r="369" spans="2:4" x14ac:dyDescent="0.15">
      <c r="B369" s="69"/>
      <c r="C369" s="70"/>
      <c r="D369" s="71"/>
    </row>
    <row r="370" spans="2:4" x14ac:dyDescent="0.15">
      <c r="B370" s="69"/>
      <c r="C370" s="70"/>
      <c r="D370" s="71"/>
    </row>
    <row r="371" spans="2:4" x14ac:dyDescent="0.15">
      <c r="B371" s="69"/>
      <c r="C371" s="70"/>
      <c r="D371" s="71"/>
    </row>
    <row r="372" spans="2:4" x14ac:dyDescent="0.15">
      <c r="B372" s="69"/>
      <c r="C372" s="70"/>
      <c r="D372" s="71"/>
    </row>
    <row r="373" spans="2:4" x14ac:dyDescent="0.15">
      <c r="B373" s="69"/>
      <c r="C373" s="70"/>
      <c r="D373" s="71"/>
    </row>
    <row r="374" spans="2:4" x14ac:dyDescent="0.15">
      <c r="B374" s="69"/>
      <c r="C374" s="70"/>
      <c r="D374" s="71"/>
    </row>
    <row r="375" spans="2:4" x14ac:dyDescent="0.15">
      <c r="B375" s="69"/>
      <c r="C375" s="70"/>
      <c r="D375" s="71"/>
    </row>
    <row r="376" spans="2:4" x14ac:dyDescent="0.15">
      <c r="B376" s="69"/>
      <c r="C376" s="70"/>
      <c r="D376" s="71"/>
    </row>
    <row r="377" spans="2:4" x14ac:dyDescent="0.15">
      <c r="B377" s="69"/>
      <c r="C377" s="70"/>
      <c r="D377" s="71"/>
    </row>
    <row r="378" spans="2:4" x14ac:dyDescent="0.15">
      <c r="B378" s="69"/>
      <c r="C378" s="70"/>
      <c r="D378" s="71"/>
    </row>
    <row r="379" spans="2:4" x14ac:dyDescent="0.15">
      <c r="B379" s="69"/>
      <c r="C379" s="70"/>
      <c r="D379" s="71"/>
    </row>
    <row r="380" spans="2:4" x14ac:dyDescent="0.15">
      <c r="B380" s="69"/>
      <c r="C380" s="70"/>
      <c r="D380" s="71"/>
    </row>
    <row r="381" spans="2:4" x14ac:dyDescent="0.15">
      <c r="B381" s="69"/>
      <c r="C381" s="70"/>
      <c r="D381" s="71"/>
    </row>
    <row r="382" spans="2:4" x14ac:dyDescent="0.15">
      <c r="B382" s="69"/>
      <c r="C382" s="70"/>
      <c r="D382" s="71"/>
    </row>
    <row r="383" spans="2:4" x14ac:dyDescent="0.15">
      <c r="B383" s="69"/>
      <c r="C383" s="70"/>
      <c r="D383" s="71"/>
    </row>
    <row r="384" spans="2:4" x14ac:dyDescent="0.15">
      <c r="B384" s="69"/>
      <c r="C384" s="70"/>
      <c r="D384" s="71"/>
    </row>
    <row r="385" spans="2:4" x14ac:dyDescent="0.15">
      <c r="B385" s="69"/>
      <c r="C385" s="70"/>
      <c r="D385" s="71"/>
    </row>
    <row r="386" spans="2:4" x14ac:dyDescent="0.15">
      <c r="B386" s="69"/>
      <c r="C386" s="70"/>
      <c r="D386" s="71"/>
    </row>
    <row r="387" spans="2:4" x14ac:dyDescent="0.15">
      <c r="B387" s="69"/>
      <c r="C387" s="70"/>
      <c r="D387" s="71"/>
    </row>
    <row r="388" spans="2:4" x14ac:dyDescent="0.15">
      <c r="B388" s="69"/>
      <c r="C388" s="70"/>
      <c r="D388" s="71"/>
    </row>
    <row r="389" spans="2:4" x14ac:dyDescent="0.15">
      <c r="B389" s="69"/>
      <c r="C389" s="70"/>
      <c r="D389" s="71"/>
    </row>
    <row r="390" spans="2:4" x14ac:dyDescent="0.15">
      <c r="B390" s="69"/>
      <c r="C390" s="70"/>
      <c r="D390" s="71"/>
    </row>
    <row r="391" spans="2:4" x14ac:dyDescent="0.15">
      <c r="B391" s="69"/>
      <c r="C391" s="70"/>
      <c r="D391" s="71"/>
    </row>
    <row r="392" spans="2:4" x14ac:dyDescent="0.15">
      <c r="B392" s="69"/>
      <c r="C392" s="70"/>
      <c r="D392" s="71"/>
    </row>
    <row r="393" spans="2:4" x14ac:dyDescent="0.15">
      <c r="B393" s="69"/>
      <c r="C393" s="70"/>
      <c r="D393" s="71"/>
    </row>
    <row r="394" spans="2:4" x14ac:dyDescent="0.15">
      <c r="B394" s="69"/>
      <c r="C394" s="70"/>
      <c r="D394" s="71"/>
    </row>
    <row r="395" spans="2:4" x14ac:dyDescent="0.15">
      <c r="B395" s="69"/>
      <c r="C395" s="70"/>
      <c r="D395" s="71"/>
    </row>
    <row r="396" spans="2:4" x14ac:dyDescent="0.15">
      <c r="B396" s="69"/>
      <c r="C396" s="70"/>
      <c r="D396" s="71"/>
    </row>
    <row r="397" spans="2:4" x14ac:dyDescent="0.15">
      <c r="B397" s="69"/>
      <c r="C397" s="70"/>
      <c r="D397" s="71"/>
    </row>
    <row r="398" spans="2:4" x14ac:dyDescent="0.15">
      <c r="B398" s="69"/>
      <c r="C398" s="70"/>
      <c r="D398" s="71"/>
    </row>
    <row r="399" spans="2:4" x14ac:dyDescent="0.15">
      <c r="B399" s="69"/>
      <c r="C399" s="70"/>
      <c r="D399" s="71"/>
    </row>
    <row r="400" spans="2:4" x14ac:dyDescent="0.15">
      <c r="B400" s="69"/>
      <c r="C400" s="70"/>
      <c r="D400" s="71"/>
    </row>
    <row r="401" spans="2:4" x14ac:dyDescent="0.15">
      <c r="B401" s="69"/>
      <c r="C401" s="70"/>
      <c r="D401" s="71"/>
    </row>
    <row r="402" spans="2:4" x14ac:dyDescent="0.15">
      <c r="B402" s="69"/>
      <c r="C402" s="70"/>
      <c r="D402" s="71"/>
    </row>
    <row r="403" spans="2:4" x14ac:dyDescent="0.15">
      <c r="B403" s="69"/>
      <c r="C403" s="70"/>
      <c r="D403" s="71"/>
    </row>
    <row r="404" spans="2:4" x14ac:dyDescent="0.15">
      <c r="B404" s="69"/>
      <c r="C404" s="70"/>
      <c r="D404" s="71"/>
    </row>
    <row r="405" spans="2:4" x14ac:dyDescent="0.15">
      <c r="B405" s="69"/>
      <c r="C405" s="70"/>
      <c r="D405" s="71"/>
    </row>
    <row r="406" spans="2:4" x14ac:dyDescent="0.15">
      <c r="B406" s="69"/>
      <c r="C406" s="70"/>
      <c r="D406" s="71"/>
    </row>
    <row r="407" spans="2:4" x14ac:dyDescent="0.15">
      <c r="B407" s="69"/>
      <c r="C407" s="70"/>
      <c r="D407" s="71"/>
    </row>
    <row r="408" spans="2:4" x14ac:dyDescent="0.15">
      <c r="B408" s="69"/>
      <c r="C408" s="70"/>
      <c r="D408" s="71"/>
    </row>
    <row r="409" spans="2:4" x14ac:dyDescent="0.15">
      <c r="B409" s="69"/>
      <c r="C409" s="70"/>
      <c r="D409" s="71"/>
    </row>
    <row r="410" spans="2:4" x14ac:dyDescent="0.15">
      <c r="B410" s="69"/>
      <c r="C410" s="70"/>
      <c r="D410" s="71"/>
    </row>
    <row r="411" spans="2:4" x14ac:dyDescent="0.15">
      <c r="B411" s="69"/>
      <c r="C411" s="70"/>
      <c r="D411" s="71"/>
    </row>
    <row r="412" spans="2:4" x14ac:dyDescent="0.15">
      <c r="B412" s="69"/>
      <c r="C412" s="70"/>
      <c r="D412" s="71"/>
    </row>
    <row r="413" spans="2:4" x14ac:dyDescent="0.15">
      <c r="B413" s="69"/>
      <c r="C413" s="70"/>
      <c r="D413" s="71"/>
    </row>
    <row r="414" spans="2:4" x14ac:dyDescent="0.15">
      <c r="B414" s="69"/>
      <c r="C414" s="70"/>
      <c r="D414" s="71"/>
    </row>
    <row r="415" spans="2:4" x14ac:dyDescent="0.15">
      <c r="B415" s="69"/>
      <c r="C415" s="70"/>
      <c r="D415" s="71"/>
    </row>
    <row r="416" spans="2:4" x14ac:dyDescent="0.15">
      <c r="B416" s="69"/>
      <c r="C416" s="70"/>
      <c r="D416" s="71"/>
    </row>
    <row r="417" spans="2:4" x14ac:dyDescent="0.15">
      <c r="B417" s="69"/>
      <c r="C417" s="70"/>
      <c r="D417" s="71"/>
    </row>
    <row r="418" spans="2:4" x14ac:dyDescent="0.15">
      <c r="B418" s="69"/>
      <c r="C418" s="70"/>
      <c r="D418" s="71"/>
    </row>
    <row r="419" spans="2:4" x14ac:dyDescent="0.15">
      <c r="B419" s="69"/>
      <c r="C419" s="70"/>
      <c r="D419" s="71"/>
    </row>
    <row r="420" spans="2:4" x14ac:dyDescent="0.15">
      <c r="B420" s="69"/>
      <c r="C420" s="70"/>
      <c r="D420" s="71"/>
    </row>
    <row r="421" spans="2:4" x14ac:dyDescent="0.15">
      <c r="B421" s="69"/>
      <c r="C421" s="70"/>
      <c r="D421" s="71"/>
    </row>
    <row r="422" spans="2:4" x14ac:dyDescent="0.15">
      <c r="B422" s="69"/>
      <c r="C422" s="70"/>
      <c r="D422" s="71"/>
    </row>
    <row r="423" spans="2:4" x14ac:dyDescent="0.15">
      <c r="B423" s="69"/>
      <c r="C423" s="70"/>
      <c r="D423" s="71"/>
    </row>
    <row r="424" spans="2:4" x14ac:dyDescent="0.15">
      <c r="B424" s="69"/>
      <c r="C424" s="70"/>
      <c r="D424" s="71"/>
    </row>
    <row r="425" spans="2:4" x14ac:dyDescent="0.15">
      <c r="B425" s="69"/>
      <c r="C425" s="70"/>
      <c r="D425" s="71"/>
    </row>
    <row r="426" spans="2:4" x14ac:dyDescent="0.15">
      <c r="B426" s="69"/>
      <c r="C426" s="70"/>
      <c r="D426" s="71"/>
    </row>
    <row r="427" spans="2:4" x14ac:dyDescent="0.15">
      <c r="B427" s="69"/>
      <c r="C427" s="70"/>
      <c r="D427" s="71"/>
    </row>
    <row r="428" spans="2:4" x14ac:dyDescent="0.15">
      <c r="B428" s="69"/>
      <c r="C428" s="70"/>
      <c r="D428" s="71"/>
    </row>
    <row r="429" spans="2:4" x14ac:dyDescent="0.15">
      <c r="B429" s="69"/>
      <c r="C429" s="70"/>
      <c r="D429" s="71"/>
    </row>
    <row r="430" spans="2:4" x14ac:dyDescent="0.15">
      <c r="B430" s="69"/>
      <c r="C430" s="70"/>
      <c r="D430" s="71"/>
    </row>
    <row r="431" spans="2:4" x14ac:dyDescent="0.15">
      <c r="B431" s="69"/>
      <c r="C431" s="70"/>
      <c r="D431" s="71"/>
    </row>
    <row r="432" spans="2:4" x14ac:dyDescent="0.15">
      <c r="B432" s="69"/>
      <c r="C432" s="70"/>
      <c r="D432" s="71"/>
    </row>
    <row r="433" spans="2:4" x14ac:dyDescent="0.15">
      <c r="B433" s="69"/>
      <c r="C433" s="70"/>
      <c r="D433" s="71"/>
    </row>
    <row r="434" spans="2:4" x14ac:dyDescent="0.15">
      <c r="B434" s="69"/>
      <c r="C434" s="70"/>
      <c r="D434" s="71"/>
    </row>
    <row r="435" spans="2:4" x14ac:dyDescent="0.15">
      <c r="B435" s="69"/>
      <c r="C435" s="70"/>
      <c r="D435" s="71"/>
    </row>
    <row r="436" spans="2:4" x14ac:dyDescent="0.15">
      <c r="B436" s="69"/>
      <c r="C436" s="70"/>
      <c r="D436" s="71"/>
    </row>
    <row r="437" spans="2:4" x14ac:dyDescent="0.15">
      <c r="B437" s="69"/>
      <c r="C437" s="70"/>
      <c r="D437" s="71"/>
    </row>
    <row r="438" spans="2:4" x14ac:dyDescent="0.15">
      <c r="B438" s="69"/>
      <c r="C438" s="70"/>
      <c r="D438" s="71"/>
    </row>
    <row r="439" spans="2:4" x14ac:dyDescent="0.15">
      <c r="B439" s="69"/>
      <c r="C439" s="70"/>
      <c r="D439" s="71"/>
    </row>
    <row r="440" spans="2:4" x14ac:dyDescent="0.15">
      <c r="B440" s="69"/>
      <c r="C440" s="70"/>
      <c r="D440" s="71"/>
    </row>
    <row r="441" spans="2:4" x14ac:dyDescent="0.15">
      <c r="B441" s="69"/>
      <c r="C441" s="70"/>
      <c r="D441" s="71"/>
    </row>
    <row r="442" spans="2:4" x14ac:dyDescent="0.15">
      <c r="B442" s="69"/>
      <c r="C442" s="70"/>
      <c r="D442" s="71"/>
    </row>
    <row r="443" spans="2:4" x14ac:dyDescent="0.15">
      <c r="B443" s="69"/>
      <c r="C443" s="70"/>
      <c r="D443" s="71"/>
    </row>
    <row r="444" spans="2:4" x14ac:dyDescent="0.15">
      <c r="B444" s="69"/>
      <c r="C444" s="70"/>
      <c r="D444" s="71"/>
    </row>
    <row r="445" spans="2:4" x14ac:dyDescent="0.15">
      <c r="B445" s="69"/>
      <c r="C445" s="70"/>
      <c r="D445" s="71"/>
    </row>
    <row r="446" spans="2:4" x14ac:dyDescent="0.15">
      <c r="B446" s="69"/>
      <c r="C446" s="70"/>
      <c r="D446" s="71"/>
    </row>
    <row r="447" spans="2:4" x14ac:dyDescent="0.15">
      <c r="B447" s="69"/>
      <c r="C447" s="70"/>
      <c r="D447" s="71"/>
    </row>
    <row r="448" spans="2:4" x14ac:dyDescent="0.15">
      <c r="B448" s="69"/>
      <c r="C448" s="70"/>
      <c r="D448" s="71"/>
    </row>
    <row r="449" spans="2:4" x14ac:dyDescent="0.15">
      <c r="B449" s="69"/>
      <c r="C449" s="70"/>
      <c r="D449" s="71"/>
    </row>
    <row r="450" spans="2:4" x14ac:dyDescent="0.15">
      <c r="B450" s="69"/>
      <c r="C450" s="70"/>
      <c r="D450" s="71"/>
    </row>
    <row r="451" spans="2:4" x14ac:dyDescent="0.15">
      <c r="B451" s="69"/>
      <c r="C451" s="70"/>
      <c r="D451" s="71"/>
    </row>
    <row r="452" spans="2:4" x14ac:dyDescent="0.15">
      <c r="B452" s="69"/>
      <c r="C452" s="70"/>
      <c r="D452" s="71"/>
    </row>
    <row r="453" spans="2:4" x14ac:dyDescent="0.15">
      <c r="B453" s="69"/>
      <c r="C453" s="70"/>
      <c r="D453" s="71"/>
    </row>
    <row r="454" spans="2:4" x14ac:dyDescent="0.15">
      <c r="B454" s="69"/>
      <c r="C454" s="70"/>
      <c r="D454" s="71"/>
    </row>
    <row r="455" spans="2:4" x14ac:dyDescent="0.15">
      <c r="B455" s="69"/>
      <c r="C455" s="70"/>
      <c r="D455" s="71"/>
    </row>
    <row r="456" spans="2:4" x14ac:dyDescent="0.15">
      <c r="B456" s="69"/>
      <c r="C456" s="70"/>
      <c r="D456" s="71"/>
    </row>
    <row r="457" spans="2:4" x14ac:dyDescent="0.15">
      <c r="B457" s="69"/>
      <c r="C457" s="70"/>
      <c r="D457" s="71"/>
    </row>
    <row r="458" spans="2:4" x14ac:dyDescent="0.15">
      <c r="B458" s="69"/>
      <c r="C458" s="70"/>
      <c r="D458" s="71"/>
    </row>
    <row r="459" spans="2:4" x14ac:dyDescent="0.15">
      <c r="B459" s="69"/>
      <c r="C459" s="70"/>
      <c r="D459" s="71"/>
    </row>
    <row r="460" spans="2:4" x14ac:dyDescent="0.15">
      <c r="B460" s="69"/>
      <c r="C460" s="70"/>
      <c r="D460" s="71"/>
    </row>
    <row r="461" spans="2:4" x14ac:dyDescent="0.15">
      <c r="B461" s="69"/>
      <c r="C461" s="70"/>
      <c r="D461" s="71"/>
    </row>
    <row r="462" spans="2:4" x14ac:dyDescent="0.15">
      <c r="B462" s="69"/>
      <c r="C462" s="70"/>
      <c r="D462" s="71"/>
    </row>
    <row r="463" spans="2:4" x14ac:dyDescent="0.15">
      <c r="B463" s="69"/>
      <c r="C463" s="70"/>
      <c r="D463" s="71"/>
    </row>
    <row r="464" spans="2:4" x14ac:dyDescent="0.15">
      <c r="B464" s="69"/>
      <c r="C464" s="70"/>
      <c r="D464" s="71"/>
    </row>
    <row r="465" spans="2:4" x14ac:dyDescent="0.15">
      <c r="B465" s="69"/>
      <c r="C465" s="70"/>
      <c r="D465" s="71"/>
    </row>
    <row r="466" spans="2:4" x14ac:dyDescent="0.15">
      <c r="B466" s="69"/>
      <c r="C466" s="70"/>
      <c r="D466" s="71"/>
    </row>
    <row r="467" spans="2:4" x14ac:dyDescent="0.15">
      <c r="B467" s="69"/>
      <c r="C467" s="70"/>
      <c r="D467" s="71"/>
    </row>
    <row r="468" spans="2:4" x14ac:dyDescent="0.15">
      <c r="B468" s="69"/>
      <c r="C468" s="70"/>
      <c r="D468" s="71"/>
    </row>
    <row r="469" spans="2:4" x14ac:dyDescent="0.15">
      <c r="B469" s="69"/>
      <c r="C469" s="70"/>
      <c r="D469" s="71"/>
    </row>
    <row r="470" spans="2:4" x14ac:dyDescent="0.15">
      <c r="B470" s="69"/>
      <c r="C470" s="70"/>
      <c r="D470" s="71"/>
    </row>
    <row r="471" spans="2:4" x14ac:dyDescent="0.15">
      <c r="B471" s="69"/>
      <c r="C471" s="70"/>
      <c r="D471" s="71"/>
    </row>
    <row r="472" spans="2:4" x14ac:dyDescent="0.15">
      <c r="B472" s="69"/>
      <c r="C472" s="70"/>
      <c r="D472" s="71"/>
    </row>
    <row r="473" spans="2:4" x14ac:dyDescent="0.15">
      <c r="B473" s="69"/>
      <c r="C473" s="70"/>
      <c r="D473" s="71"/>
    </row>
    <row r="474" spans="2:4" x14ac:dyDescent="0.15">
      <c r="B474" s="69"/>
      <c r="C474" s="70"/>
      <c r="D474" s="71"/>
    </row>
    <row r="475" spans="2:4" x14ac:dyDescent="0.15">
      <c r="B475" s="69"/>
      <c r="C475" s="70"/>
      <c r="D475" s="71"/>
    </row>
    <row r="476" spans="2:4" x14ac:dyDescent="0.15">
      <c r="B476" s="69"/>
      <c r="C476" s="70"/>
      <c r="D476" s="71"/>
    </row>
    <row r="477" spans="2:4" x14ac:dyDescent="0.15">
      <c r="B477" s="69"/>
      <c r="C477" s="70"/>
      <c r="D477" s="71"/>
    </row>
    <row r="478" spans="2:4" x14ac:dyDescent="0.15">
      <c r="B478" s="69"/>
      <c r="C478" s="70"/>
      <c r="D478" s="71"/>
    </row>
    <row r="479" spans="2:4" x14ac:dyDescent="0.15">
      <c r="B479" s="69"/>
      <c r="C479" s="70"/>
      <c r="D479" s="71"/>
    </row>
    <row r="480" spans="2:4" x14ac:dyDescent="0.15">
      <c r="B480" s="69"/>
      <c r="C480" s="70"/>
      <c r="D480" s="71"/>
    </row>
    <row r="481" spans="2:4" x14ac:dyDescent="0.15">
      <c r="B481" s="69"/>
      <c r="C481" s="70"/>
      <c r="D481" s="71"/>
    </row>
    <row r="482" spans="2:4" x14ac:dyDescent="0.15">
      <c r="B482" s="69"/>
      <c r="C482" s="70"/>
      <c r="D482" s="71"/>
    </row>
    <row r="483" spans="2:4" x14ac:dyDescent="0.15">
      <c r="B483" s="69"/>
      <c r="C483" s="70"/>
      <c r="D483" s="71"/>
    </row>
    <row r="484" spans="2:4" x14ac:dyDescent="0.15">
      <c r="B484" s="69"/>
      <c r="C484" s="70"/>
      <c r="D484" s="71"/>
    </row>
    <row r="485" spans="2:4" x14ac:dyDescent="0.15">
      <c r="B485" s="69"/>
      <c r="C485" s="70"/>
      <c r="D485" s="71"/>
    </row>
    <row r="486" spans="2:4" x14ac:dyDescent="0.15">
      <c r="B486" s="69"/>
      <c r="C486" s="70"/>
      <c r="D486" s="71"/>
    </row>
    <row r="487" spans="2:4" x14ac:dyDescent="0.15">
      <c r="B487" s="69"/>
      <c r="C487" s="70"/>
      <c r="D487" s="71"/>
    </row>
    <row r="488" spans="2:4" x14ac:dyDescent="0.15">
      <c r="B488" s="69"/>
      <c r="C488" s="70"/>
      <c r="D488" s="71"/>
    </row>
    <row r="489" spans="2:4" x14ac:dyDescent="0.15">
      <c r="B489" s="69"/>
      <c r="C489" s="70"/>
      <c r="D489" s="71"/>
    </row>
    <row r="490" spans="2:4" x14ac:dyDescent="0.15">
      <c r="B490" s="69"/>
      <c r="C490" s="70"/>
      <c r="D490" s="71"/>
    </row>
    <row r="491" spans="2:4" x14ac:dyDescent="0.15">
      <c r="B491" s="69"/>
      <c r="C491" s="70"/>
      <c r="D491" s="71"/>
    </row>
    <row r="492" spans="2:4" x14ac:dyDescent="0.15">
      <c r="B492" s="69"/>
      <c r="C492" s="70"/>
      <c r="D492" s="71"/>
    </row>
    <row r="493" spans="2:4" x14ac:dyDescent="0.15">
      <c r="B493" s="69"/>
      <c r="C493" s="70"/>
      <c r="D493" s="71"/>
    </row>
    <row r="494" spans="2:4" x14ac:dyDescent="0.15">
      <c r="B494" s="69"/>
      <c r="C494" s="70"/>
      <c r="D494" s="71"/>
    </row>
    <row r="495" spans="2:4" x14ac:dyDescent="0.15">
      <c r="B495" s="69"/>
      <c r="C495" s="70"/>
      <c r="D495" s="71"/>
    </row>
    <row r="496" spans="2:4" x14ac:dyDescent="0.15">
      <c r="B496" s="69"/>
      <c r="C496" s="70"/>
      <c r="D496" s="71"/>
    </row>
    <row r="497" spans="2:4" x14ac:dyDescent="0.15">
      <c r="B497" s="69"/>
      <c r="C497" s="70"/>
      <c r="D497" s="71"/>
    </row>
    <row r="498" spans="2:4" x14ac:dyDescent="0.15">
      <c r="B498" s="69"/>
      <c r="C498" s="70"/>
      <c r="D498" s="71"/>
    </row>
    <row r="499" spans="2:4" x14ac:dyDescent="0.15">
      <c r="B499" s="69"/>
      <c r="C499" s="70"/>
      <c r="D499" s="71"/>
    </row>
    <row r="500" spans="2:4" x14ac:dyDescent="0.15">
      <c r="B500" s="69"/>
      <c r="C500" s="70"/>
      <c r="D500" s="71"/>
    </row>
    <row r="501" spans="2:4" x14ac:dyDescent="0.15">
      <c r="B501" s="69"/>
      <c r="C501" s="70"/>
      <c r="D501" s="71"/>
    </row>
    <row r="502" spans="2:4" x14ac:dyDescent="0.15">
      <c r="B502" s="69"/>
      <c r="C502" s="70"/>
      <c r="D502" s="71"/>
    </row>
    <row r="503" spans="2:4" x14ac:dyDescent="0.15">
      <c r="B503" s="69"/>
      <c r="C503" s="70"/>
      <c r="D503" s="71"/>
    </row>
    <row r="504" spans="2:4" x14ac:dyDescent="0.15">
      <c r="B504" s="69"/>
      <c r="C504" s="70"/>
      <c r="D504" s="71"/>
    </row>
    <row r="505" spans="2:4" x14ac:dyDescent="0.15">
      <c r="B505" s="69"/>
      <c r="C505" s="70"/>
      <c r="D505" s="71"/>
    </row>
    <row r="506" spans="2:4" x14ac:dyDescent="0.15">
      <c r="B506" s="69"/>
      <c r="C506" s="70"/>
      <c r="D506" s="71"/>
    </row>
    <row r="507" spans="2:4" x14ac:dyDescent="0.15">
      <c r="B507" s="69"/>
      <c r="C507" s="70"/>
      <c r="D507" s="71"/>
    </row>
    <row r="508" spans="2:4" x14ac:dyDescent="0.15">
      <c r="B508" s="69"/>
      <c r="C508" s="70"/>
      <c r="D508" s="71"/>
    </row>
    <row r="509" spans="2:4" x14ac:dyDescent="0.15">
      <c r="B509" s="69"/>
      <c r="C509" s="70"/>
      <c r="D509" s="71"/>
    </row>
    <row r="510" spans="2:4" x14ac:dyDescent="0.15">
      <c r="B510" s="69"/>
      <c r="C510" s="70"/>
      <c r="D510" s="71"/>
    </row>
    <row r="511" spans="2:4" x14ac:dyDescent="0.15">
      <c r="B511" s="69"/>
      <c r="C511" s="70"/>
      <c r="D511" s="71"/>
    </row>
    <row r="512" spans="2:4" x14ac:dyDescent="0.15">
      <c r="B512" s="69"/>
      <c r="C512" s="70"/>
      <c r="D512" s="71"/>
    </row>
    <row r="513" spans="2:4" x14ac:dyDescent="0.15">
      <c r="B513" s="69"/>
      <c r="C513" s="70"/>
      <c r="D513" s="71"/>
    </row>
    <row r="514" spans="2:4" x14ac:dyDescent="0.15">
      <c r="B514" s="69"/>
      <c r="C514" s="70"/>
      <c r="D514" s="71"/>
    </row>
    <row r="515" spans="2:4" x14ac:dyDescent="0.15">
      <c r="B515" s="69"/>
      <c r="C515" s="70"/>
      <c r="D515" s="71"/>
    </row>
    <row r="516" spans="2:4" x14ac:dyDescent="0.15">
      <c r="B516" s="69"/>
      <c r="C516" s="70"/>
      <c r="D516" s="71"/>
    </row>
    <row r="517" spans="2:4" x14ac:dyDescent="0.15">
      <c r="B517" s="69"/>
      <c r="C517" s="70"/>
      <c r="D517" s="71"/>
    </row>
    <row r="518" spans="2:4" x14ac:dyDescent="0.15">
      <c r="B518" s="69"/>
      <c r="C518" s="70"/>
      <c r="D518" s="71"/>
    </row>
    <row r="519" spans="2:4" x14ac:dyDescent="0.15">
      <c r="B519" s="69"/>
      <c r="C519" s="70"/>
      <c r="D519" s="71"/>
    </row>
    <row r="520" spans="2:4" x14ac:dyDescent="0.15">
      <c r="B520" s="69"/>
      <c r="C520" s="70"/>
      <c r="D520" s="71"/>
    </row>
    <row r="521" spans="2:4" x14ac:dyDescent="0.15">
      <c r="B521" s="69"/>
      <c r="C521" s="70"/>
      <c r="D521" s="71"/>
    </row>
    <row r="522" spans="2:4" x14ac:dyDescent="0.15">
      <c r="B522" s="69"/>
      <c r="C522" s="70"/>
      <c r="D522" s="71"/>
    </row>
    <row r="523" spans="2:4" x14ac:dyDescent="0.15">
      <c r="B523" s="69"/>
      <c r="C523" s="70"/>
      <c r="D523" s="71"/>
    </row>
    <row r="524" spans="2:4" x14ac:dyDescent="0.15">
      <c r="B524" s="69"/>
      <c r="C524" s="70"/>
      <c r="D524" s="71"/>
    </row>
    <row r="525" spans="2:4" x14ac:dyDescent="0.15">
      <c r="B525" s="69"/>
      <c r="C525" s="70"/>
      <c r="D525" s="71"/>
    </row>
    <row r="526" spans="2:4" x14ac:dyDescent="0.15">
      <c r="B526" s="69"/>
      <c r="C526" s="70"/>
      <c r="D526" s="71"/>
    </row>
    <row r="527" spans="2:4" x14ac:dyDescent="0.15">
      <c r="B527" s="69"/>
      <c r="C527" s="70"/>
      <c r="D527" s="71"/>
    </row>
    <row r="528" spans="2:4" x14ac:dyDescent="0.15">
      <c r="B528" s="69"/>
      <c r="C528" s="70"/>
      <c r="D528" s="71"/>
    </row>
    <row r="529" spans="2:4" x14ac:dyDescent="0.15">
      <c r="B529" s="69"/>
      <c r="C529" s="70"/>
      <c r="D529" s="71"/>
    </row>
    <row r="530" spans="2:4" x14ac:dyDescent="0.15">
      <c r="B530" s="69"/>
      <c r="C530" s="70"/>
      <c r="D530" s="71"/>
    </row>
    <row r="531" spans="2:4" x14ac:dyDescent="0.15">
      <c r="B531" s="69"/>
      <c r="C531" s="70"/>
      <c r="D531" s="71"/>
    </row>
    <row r="532" spans="2:4" x14ac:dyDescent="0.15">
      <c r="B532" s="69"/>
      <c r="C532" s="70"/>
      <c r="D532" s="71"/>
    </row>
    <row r="533" spans="2:4" x14ac:dyDescent="0.15">
      <c r="B533" s="69"/>
      <c r="C533" s="70"/>
      <c r="D533" s="71"/>
    </row>
    <row r="534" spans="2:4" x14ac:dyDescent="0.15">
      <c r="B534" s="69"/>
      <c r="C534" s="70"/>
      <c r="D534" s="71"/>
    </row>
    <row r="535" spans="2:4" x14ac:dyDescent="0.15">
      <c r="B535" s="69"/>
      <c r="C535" s="70"/>
      <c r="D535" s="71"/>
    </row>
    <row r="536" spans="2:4" x14ac:dyDescent="0.15">
      <c r="B536" s="69"/>
      <c r="C536" s="70"/>
      <c r="D536" s="71"/>
    </row>
    <row r="537" spans="2:4" x14ac:dyDescent="0.15">
      <c r="B537" s="69"/>
      <c r="C537" s="70"/>
      <c r="D537" s="71"/>
    </row>
    <row r="538" spans="2:4" x14ac:dyDescent="0.15">
      <c r="B538" s="69"/>
      <c r="C538" s="70"/>
      <c r="D538" s="71"/>
    </row>
    <row r="539" spans="2:4" x14ac:dyDescent="0.15">
      <c r="B539" s="69"/>
      <c r="C539" s="70"/>
      <c r="D539" s="71"/>
    </row>
    <row r="540" spans="2:4" x14ac:dyDescent="0.15">
      <c r="B540" s="69"/>
      <c r="C540" s="70"/>
      <c r="D540" s="71"/>
    </row>
    <row r="541" spans="2:4" x14ac:dyDescent="0.15">
      <c r="B541" s="69"/>
      <c r="C541" s="70"/>
      <c r="D541" s="71"/>
    </row>
    <row r="542" spans="2:4" x14ac:dyDescent="0.15">
      <c r="B542" s="69"/>
      <c r="C542" s="70"/>
      <c r="D542" s="71"/>
    </row>
    <row r="543" spans="2:4" x14ac:dyDescent="0.15">
      <c r="B543" s="69"/>
      <c r="C543" s="70"/>
      <c r="D543" s="71"/>
    </row>
    <row r="544" spans="2:4" x14ac:dyDescent="0.15">
      <c r="B544" s="69"/>
      <c r="C544" s="70"/>
      <c r="D544" s="71"/>
    </row>
    <row r="545" spans="2:4" x14ac:dyDescent="0.15">
      <c r="B545" s="69"/>
      <c r="C545" s="70"/>
      <c r="D545" s="71"/>
    </row>
    <row r="546" spans="2:4" x14ac:dyDescent="0.15">
      <c r="B546" s="69"/>
      <c r="C546" s="70"/>
      <c r="D546" s="71"/>
    </row>
    <row r="547" spans="2:4" x14ac:dyDescent="0.15">
      <c r="B547" s="69"/>
      <c r="C547" s="70"/>
      <c r="D547" s="71"/>
    </row>
    <row r="548" spans="2:4" x14ac:dyDescent="0.15">
      <c r="B548" s="69"/>
      <c r="C548" s="70"/>
      <c r="D548" s="71"/>
    </row>
    <row r="549" spans="2:4" x14ac:dyDescent="0.15">
      <c r="B549" s="69"/>
      <c r="C549" s="70"/>
      <c r="D549" s="71"/>
    </row>
    <row r="550" spans="2:4" x14ac:dyDescent="0.15">
      <c r="B550" s="69"/>
      <c r="C550" s="70"/>
      <c r="D550" s="71"/>
    </row>
    <row r="551" spans="2:4" x14ac:dyDescent="0.15">
      <c r="B551" s="69"/>
      <c r="C551" s="70"/>
      <c r="D551" s="71"/>
    </row>
    <row r="552" spans="2:4" x14ac:dyDescent="0.15">
      <c r="B552" s="69"/>
      <c r="C552" s="70"/>
      <c r="D552" s="71"/>
    </row>
    <row r="553" spans="2:4" x14ac:dyDescent="0.15">
      <c r="B553" s="69"/>
      <c r="C553" s="70"/>
      <c r="D553" s="71"/>
    </row>
    <row r="554" spans="2:4" x14ac:dyDescent="0.15">
      <c r="B554" s="69"/>
      <c r="C554" s="70"/>
      <c r="D554" s="71"/>
    </row>
    <row r="555" spans="2:4" x14ac:dyDescent="0.15">
      <c r="B555" s="69"/>
      <c r="C555" s="70"/>
      <c r="D555" s="71"/>
    </row>
    <row r="556" spans="2:4" x14ac:dyDescent="0.15">
      <c r="B556" s="69"/>
      <c r="C556" s="70"/>
      <c r="D556" s="71"/>
    </row>
    <row r="557" spans="2:4" x14ac:dyDescent="0.15">
      <c r="B557" s="69"/>
      <c r="C557" s="70"/>
      <c r="D557" s="71"/>
    </row>
    <row r="558" spans="2:4" x14ac:dyDescent="0.15">
      <c r="B558" s="69"/>
      <c r="C558" s="70"/>
      <c r="D558" s="71"/>
    </row>
    <row r="559" spans="2:4" x14ac:dyDescent="0.15">
      <c r="B559" s="69"/>
      <c r="C559" s="70"/>
      <c r="D559" s="71"/>
    </row>
    <row r="560" spans="2:4" x14ac:dyDescent="0.15">
      <c r="B560" s="69"/>
      <c r="C560" s="70"/>
      <c r="D560" s="71"/>
    </row>
    <row r="561" spans="2:4" x14ac:dyDescent="0.15">
      <c r="B561" s="69"/>
      <c r="C561" s="70"/>
      <c r="D561" s="71"/>
    </row>
    <row r="562" spans="2:4" x14ac:dyDescent="0.15">
      <c r="B562" s="69"/>
      <c r="C562" s="70"/>
      <c r="D562" s="71"/>
    </row>
    <row r="563" spans="2:4" x14ac:dyDescent="0.15">
      <c r="B563" s="69"/>
      <c r="C563" s="70"/>
      <c r="D563" s="71"/>
    </row>
    <row r="564" spans="2:4" x14ac:dyDescent="0.15">
      <c r="B564" s="69"/>
      <c r="C564" s="70"/>
      <c r="D564" s="71"/>
    </row>
    <row r="565" spans="2:4" x14ac:dyDescent="0.15">
      <c r="B565" s="69"/>
      <c r="C565" s="70"/>
      <c r="D565" s="71"/>
    </row>
    <row r="566" spans="2:4" x14ac:dyDescent="0.15">
      <c r="B566" s="69"/>
      <c r="C566" s="70"/>
      <c r="D566" s="71"/>
    </row>
    <row r="567" spans="2:4" x14ac:dyDescent="0.15">
      <c r="B567" s="69"/>
      <c r="C567" s="70"/>
      <c r="D567" s="71"/>
    </row>
    <row r="568" spans="2:4" x14ac:dyDescent="0.15">
      <c r="B568" s="69"/>
      <c r="C568" s="70"/>
      <c r="D568" s="71"/>
    </row>
    <row r="569" spans="2:4" x14ac:dyDescent="0.15">
      <c r="B569" s="69"/>
      <c r="C569" s="70"/>
      <c r="D569" s="71"/>
    </row>
    <row r="570" spans="2:4" x14ac:dyDescent="0.15">
      <c r="B570" s="69"/>
      <c r="C570" s="70"/>
      <c r="D570" s="71"/>
    </row>
    <row r="571" spans="2:4" x14ac:dyDescent="0.15">
      <c r="B571" s="69"/>
      <c r="C571" s="70"/>
      <c r="D571" s="71"/>
    </row>
    <row r="572" spans="2:4" x14ac:dyDescent="0.15">
      <c r="B572" s="69"/>
      <c r="C572" s="70"/>
      <c r="D572" s="71"/>
    </row>
    <row r="573" spans="2:4" x14ac:dyDescent="0.15">
      <c r="B573" s="69"/>
      <c r="C573" s="70"/>
      <c r="D573" s="71"/>
    </row>
    <row r="574" spans="2:4" x14ac:dyDescent="0.15">
      <c r="B574" s="69"/>
      <c r="C574" s="70"/>
      <c r="D574" s="71"/>
    </row>
    <row r="575" spans="2:4" x14ac:dyDescent="0.15">
      <c r="B575" s="69"/>
      <c r="C575" s="70"/>
      <c r="D575" s="71"/>
    </row>
    <row r="576" spans="2:4" x14ac:dyDescent="0.15">
      <c r="B576" s="69"/>
      <c r="C576" s="70"/>
      <c r="D576" s="71"/>
    </row>
    <row r="577" spans="2:4" x14ac:dyDescent="0.15">
      <c r="B577" s="69"/>
      <c r="C577" s="70"/>
      <c r="D577" s="71"/>
    </row>
    <row r="578" spans="2:4" x14ac:dyDescent="0.15">
      <c r="B578" s="69"/>
      <c r="C578" s="70"/>
      <c r="D578" s="71"/>
    </row>
    <row r="579" spans="2:4" x14ac:dyDescent="0.15">
      <c r="B579" s="69"/>
      <c r="C579" s="70"/>
      <c r="D579" s="71"/>
    </row>
    <row r="580" spans="2:4" x14ac:dyDescent="0.15">
      <c r="B580" s="69"/>
      <c r="C580" s="70"/>
      <c r="D580" s="71"/>
    </row>
    <row r="581" spans="2:4" x14ac:dyDescent="0.15">
      <c r="B581" s="69"/>
      <c r="C581" s="70"/>
      <c r="D581" s="71"/>
    </row>
    <row r="582" spans="2:4" x14ac:dyDescent="0.15">
      <c r="B582" s="69"/>
      <c r="C582" s="70"/>
      <c r="D582" s="71"/>
    </row>
    <row r="583" spans="2:4" x14ac:dyDescent="0.15">
      <c r="B583" s="69"/>
      <c r="C583" s="70"/>
      <c r="D583" s="71"/>
    </row>
    <row r="584" spans="2:4" x14ac:dyDescent="0.15">
      <c r="B584" s="69"/>
      <c r="C584" s="70"/>
      <c r="D584" s="71"/>
    </row>
    <row r="585" spans="2:4" x14ac:dyDescent="0.15">
      <c r="B585" s="69"/>
      <c r="C585" s="70"/>
      <c r="D585" s="71"/>
    </row>
    <row r="586" spans="2:4" x14ac:dyDescent="0.15">
      <c r="B586" s="69"/>
      <c r="C586" s="70"/>
      <c r="D586" s="71"/>
    </row>
    <row r="587" spans="2:4" x14ac:dyDescent="0.15">
      <c r="B587" s="69"/>
      <c r="C587" s="70"/>
      <c r="D587" s="71"/>
    </row>
    <row r="588" spans="2:4" x14ac:dyDescent="0.15">
      <c r="B588" s="69"/>
      <c r="C588" s="70"/>
      <c r="D588" s="71"/>
    </row>
    <row r="589" spans="2:4" x14ac:dyDescent="0.15">
      <c r="B589" s="69"/>
      <c r="C589" s="70"/>
      <c r="D589" s="71"/>
    </row>
    <row r="590" spans="2:4" x14ac:dyDescent="0.15">
      <c r="B590" s="69"/>
      <c r="C590" s="70"/>
      <c r="D590" s="71"/>
    </row>
    <row r="591" spans="2:4" x14ac:dyDescent="0.15">
      <c r="B591" s="69"/>
      <c r="C591" s="70"/>
      <c r="D591" s="71"/>
    </row>
    <row r="592" spans="2:4" x14ac:dyDescent="0.15">
      <c r="B592" s="69"/>
      <c r="C592" s="70"/>
      <c r="D592" s="71"/>
    </row>
    <row r="593" spans="2:4" x14ac:dyDescent="0.15">
      <c r="B593" s="69"/>
      <c r="C593" s="70"/>
      <c r="D593" s="71"/>
    </row>
    <row r="594" spans="2:4" x14ac:dyDescent="0.15">
      <c r="B594" s="69"/>
      <c r="C594" s="70"/>
      <c r="D594" s="71"/>
    </row>
    <row r="595" spans="2:4" x14ac:dyDescent="0.15">
      <c r="B595" s="69"/>
      <c r="C595" s="70"/>
      <c r="D595" s="71"/>
    </row>
    <row r="596" spans="2:4" x14ac:dyDescent="0.15">
      <c r="B596" s="69"/>
      <c r="C596" s="70"/>
      <c r="D596" s="71"/>
    </row>
    <row r="597" spans="2:4" x14ac:dyDescent="0.15">
      <c r="B597" s="69"/>
      <c r="C597" s="70"/>
      <c r="D597" s="71"/>
    </row>
    <row r="598" spans="2:4" x14ac:dyDescent="0.15">
      <c r="B598" s="69"/>
      <c r="C598" s="70"/>
      <c r="D598" s="71"/>
    </row>
    <row r="599" spans="2:4" x14ac:dyDescent="0.15">
      <c r="B599" s="69"/>
      <c r="C599" s="70"/>
      <c r="D599" s="71"/>
    </row>
    <row r="600" spans="2:4" x14ac:dyDescent="0.15">
      <c r="B600" s="69"/>
      <c r="C600" s="70"/>
      <c r="D600" s="71"/>
    </row>
    <row r="601" spans="2:4" x14ac:dyDescent="0.15">
      <c r="B601" s="69"/>
      <c r="C601" s="70"/>
      <c r="D601" s="71"/>
    </row>
    <row r="602" spans="2:4" x14ac:dyDescent="0.15">
      <c r="B602" s="69"/>
      <c r="C602" s="70"/>
      <c r="D602" s="71"/>
    </row>
    <row r="603" spans="2:4" x14ac:dyDescent="0.15">
      <c r="B603" s="69"/>
      <c r="C603" s="70"/>
      <c r="D603" s="71"/>
    </row>
    <row r="604" spans="2:4" x14ac:dyDescent="0.15">
      <c r="B604" s="69"/>
      <c r="C604" s="70"/>
      <c r="D604" s="71"/>
    </row>
    <row r="605" spans="2:4" x14ac:dyDescent="0.15">
      <c r="B605" s="69"/>
      <c r="C605" s="70"/>
      <c r="D605" s="71"/>
    </row>
    <row r="606" spans="2:4" x14ac:dyDescent="0.15">
      <c r="B606" s="69"/>
      <c r="C606" s="70"/>
      <c r="D606" s="71"/>
    </row>
    <row r="607" spans="2:4" x14ac:dyDescent="0.15">
      <c r="B607" s="69"/>
      <c r="C607" s="70"/>
      <c r="D607" s="71"/>
    </row>
    <row r="608" spans="2:4" x14ac:dyDescent="0.15">
      <c r="B608" s="69"/>
      <c r="C608" s="70"/>
      <c r="D608" s="71"/>
    </row>
    <row r="609" spans="2:4" x14ac:dyDescent="0.15">
      <c r="B609" s="69"/>
      <c r="C609" s="70"/>
      <c r="D609" s="71"/>
    </row>
    <row r="610" spans="2:4" x14ac:dyDescent="0.15">
      <c r="B610" s="69"/>
      <c r="C610" s="70"/>
      <c r="D610" s="71"/>
    </row>
    <row r="611" spans="2:4" x14ac:dyDescent="0.15">
      <c r="B611" s="69"/>
      <c r="C611" s="70"/>
      <c r="D611" s="71"/>
    </row>
    <row r="612" spans="2:4" x14ac:dyDescent="0.15">
      <c r="B612" s="69"/>
      <c r="C612" s="70"/>
      <c r="D612" s="71"/>
    </row>
    <row r="613" spans="2:4" x14ac:dyDescent="0.15">
      <c r="B613" s="69"/>
      <c r="C613" s="70"/>
      <c r="D613" s="71"/>
    </row>
    <row r="614" spans="2:4" x14ac:dyDescent="0.15">
      <c r="B614" s="69"/>
      <c r="C614" s="70"/>
      <c r="D614" s="71"/>
    </row>
    <row r="615" spans="2:4" x14ac:dyDescent="0.15">
      <c r="B615" s="69"/>
      <c r="C615" s="70"/>
      <c r="D615" s="71"/>
    </row>
    <row r="616" spans="2:4" x14ac:dyDescent="0.15">
      <c r="B616" s="69"/>
      <c r="C616" s="70"/>
      <c r="D616" s="71"/>
    </row>
    <row r="617" spans="2:4" x14ac:dyDescent="0.15">
      <c r="B617" s="69"/>
      <c r="C617" s="70"/>
      <c r="D617" s="71"/>
    </row>
    <row r="618" spans="2:4" x14ac:dyDescent="0.15">
      <c r="B618" s="69"/>
      <c r="C618" s="70"/>
      <c r="D618" s="71"/>
    </row>
    <row r="619" spans="2:4" x14ac:dyDescent="0.15">
      <c r="B619" s="69"/>
      <c r="C619" s="70"/>
      <c r="D619" s="71"/>
    </row>
    <row r="620" spans="2:4" x14ac:dyDescent="0.15">
      <c r="B620" s="69"/>
      <c r="C620" s="70"/>
      <c r="D620" s="71"/>
    </row>
    <row r="621" spans="2:4" x14ac:dyDescent="0.15">
      <c r="B621" s="69"/>
      <c r="C621" s="70"/>
      <c r="D621" s="71"/>
    </row>
    <row r="622" spans="2:4" x14ac:dyDescent="0.15">
      <c r="B622" s="69"/>
      <c r="C622" s="70"/>
      <c r="D622" s="71"/>
    </row>
    <row r="623" spans="2:4" x14ac:dyDescent="0.15">
      <c r="B623" s="69"/>
      <c r="C623" s="70"/>
      <c r="D623" s="71"/>
    </row>
    <row r="624" spans="2:4" x14ac:dyDescent="0.15">
      <c r="B624" s="69"/>
      <c r="C624" s="70"/>
      <c r="D624" s="71"/>
    </row>
    <row r="625" spans="2:4" x14ac:dyDescent="0.15">
      <c r="B625" s="69"/>
      <c r="C625" s="70"/>
      <c r="D625" s="71"/>
    </row>
    <row r="626" spans="2:4" x14ac:dyDescent="0.15">
      <c r="B626" s="69"/>
      <c r="C626" s="70"/>
      <c r="D626" s="71"/>
    </row>
    <row r="627" spans="2:4" x14ac:dyDescent="0.15">
      <c r="B627" s="69"/>
      <c r="C627" s="70"/>
      <c r="D627" s="71"/>
    </row>
    <row r="628" spans="2:4" x14ac:dyDescent="0.15">
      <c r="B628" s="69"/>
      <c r="C628" s="70"/>
      <c r="D628" s="71"/>
    </row>
    <row r="629" spans="2:4" x14ac:dyDescent="0.15">
      <c r="B629" s="69"/>
      <c r="C629" s="70"/>
      <c r="D629" s="71"/>
    </row>
    <row r="630" spans="2:4" x14ac:dyDescent="0.15">
      <c r="B630" s="69"/>
      <c r="C630" s="70"/>
      <c r="D630" s="71"/>
    </row>
    <row r="631" spans="2:4" x14ac:dyDescent="0.15">
      <c r="B631" s="69"/>
      <c r="C631" s="70"/>
      <c r="D631" s="71"/>
    </row>
    <row r="632" spans="2:4" x14ac:dyDescent="0.15">
      <c r="B632" s="69"/>
      <c r="C632" s="70"/>
      <c r="D632" s="71"/>
    </row>
    <row r="633" spans="2:4" x14ac:dyDescent="0.15">
      <c r="B633" s="69"/>
      <c r="C633" s="70"/>
      <c r="D633" s="71"/>
    </row>
    <row r="634" spans="2:4" x14ac:dyDescent="0.15">
      <c r="B634" s="69"/>
      <c r="C634" s="70"/>
      <c r="D634" s="71"/>
    </row>
    <row r="635" spans="2:4" x14ac:dyDescent="0.15">
      <c r="B635" s="69"/>
      <c r="C635" s="70"/>
      <c r="D635" s="71"/>
    </row>
    <row r="636" spans="2:4" x14ac:dyDescent="0.15">
      <c r="B636" s="69"/>
      <c r="C636" s="70"/>
      <c r="D636" s="71"/>
    </row>
    <row r="637" spans="2:4" x14ac:dyDescent="0.15">
      <c r="B637" s="69"/>
      <c r="C637" s="70"/>
      <c r="D637" s="71"/>
    </row>
    <row r="638" spans="2:4" x14ac:dyDescent="0.15">
      <c r="B638" s="69"/>
      <c r="C638" s="70"/>
      <c r="D638" s="71"/>
    </row>
    <row r="639" spans="2:4" x14ac:dyDescent="0.15">
      <c r="B639" s="69"/>
      <c r="C639" s="70"/>
      <c r="D639" s="71"/>
    </row>
    <row r="640" spans="2:4" x14ac:dyDescent="0.15">
      <c r="B640" s="69"/>
      <c r="C640" s="70"/>
      <c r="D640" s="71"/>
    </row>
    <row r="641" spans="2:4" x14ac:dyDescent="0.15">
      <c r="B641" s="69"/>
      <c r="C641" s="70"/>
      <c r="D641" s="71"/>
    </row>
    <row r="642" spans="2:4" x14ac:dyDescent="0.15">
      <c r="B642" s="69"/>
      <c r="C642" s="70"/>
      <c r="D642" s="71"/>
    </row>
    <row r="643" spans="2:4" x14ac:dyDescent="0.15">
      <c r="B643" s="69"/>
      <c r="C643" s="70"/>
      <c r="D643" s="71"/>
    </row>
    <row r="644" spans="2:4" x14ac:dyDescent="0.15">
      <c r="B644" s="69"/>
      <c r="C644" s="70"/>
      <c r="D644" s="71"/>
    </row>
    <row r="645" spans="2:4" x14ac:dyDescent="0.15">
      <c r="B645" s="69"/>
      <c r="C645" s="70"/>
      <c r="D645" s="71"/>
    </row>
    <row r="646" spans="2:4" x14ac:dyDescent="0.15">
      <c r="B646" s="69"/>
      <c r="C646" s="70"/>
      <c r="D646" s="71"/>
    </row>
    <row r="647" spans="2:4" x14ac:dyDescent="0.15">
      <c r="B647" s="69"/>
      <c r="C647" s="70"/>
      <c r="D647" s="71"/>
    </row>
    <row r="648" spans="2:4" x14ac:dyDescent="0.15">
      <c r="B648" s="69"/>
      <c r="C648" s="70"/>
      <c r="D648" s="71"/>
    </row>
    <row r="649" spans="2:4" x14ac:dyDescent="0.15">
      <c r="B649" s="69"/>
      <c r="C649" s="70"/>
      <c r="D649" s="71"/>
    </row>
    <row r="650" spans="2:4" x14ac:dyDescent="0.15">
      <c r="B650" s="69"/>
      <c r="C650" s="70"/>
      <c r="D650" s="71"/>
    </row>
    <row r="651" spans="2:4" x14ac:dyDescent="0.15">
      <c r="B651" s="69"/>
      <c r="C651" s="70"/>
      <c r="D651" s="71"/>
    </row>
    <row r="652" spans="2:4" x14ac:dyDescent="0.15">
      <c r="B652" s="69"/>
      <c r="C652" s="70"/>
      <c r="D652" s="71"/>
    </row>
    <row r="653" spans="2:4" x14ac:dyDescent="0.15">
      <c r="B653" s="69"/>
      <c r="C653" s="70"/>
      <c r="D653" s="71"/>
    </row>
    <row r="654" spans="2:4" x14ac:dyDescent="0.15">
      <c r="B654" s="69"/>
      <c r="C654" s="70"/>
      <c r="D654" s="71"/>
    </row>
    <row r="655" spans="2:4" x14ac:dyDescent="0.15">
      <c r="B655" s="69"/>
      <c r="C655" s="70"/>
      <c r="D655" s="71"/>
    </row>
    <row r="656" spans="2:4" x14ac:dyDescent="0.15">
      <c r="B656" s="69"/>
      <c r="C656" s="70"/>
      <c r="D656" s="71"/>
    </row>
    <row r="657" spans="2:4" x14ac:dyDescent="0.15">
      <c r="B657" s="69"/>
      <c r="C657" s="70"/>
      <c r="D657" s="71"/>
    </row>
    <row r="658" spans="2:4" x14ac:dyDescent="0.15">
      <c r="B658" s="69"/>
      <c r="C658" s="70"/>
      <c r="D658" s="71"/>
    </row>
    <row r="659" spans="2:4" x14ac:dyDescent="0.15">
      <c r="B659" s="69"/>
      <c r="C659" s="70"/>
      <c r="D659" s="71"/>
    </row>
    <row r="660" spans="2:4" x14ac:dyDescent="0.15">
      <c r="B660" s="69"/>
      <c r="C660" s="70"/>
      <c r="D660" s="71"/>
    </row>
    <row r="661" spans="2:4" x14ac:dyDescent="0.15">
      <c r="B661" s="69"/>
      <c r="C661" s="70"/>
      <c r="D661" s="71"/>
    </row>
    <row r="662" spans="2:4" x14ac:dyDescent="0.15">
      <c r="B662" s="69"/>
      <c r="C662" s="70"/>
      <c r="D662" s="71"/>
    </row>
    <row r="663" spans="2:4" x14ac:dyDescent="0.15">
      <c r="B663" s="69"/>
      <c r="C663" s="70"/>
      <c r="D663" s="71"/>
    </row>
    <row r="664" spans="2:4" x14ac:dyDescent="0.15">
      <c r="B664" s="69"/>
      <c r="C664" s="70"/>
      <c r="D664" s="71"/>
    </row>
    <row r="665" spans="2:4" x14ac:dyDescent="0.15">
      <c r="B665" s="69"/>
      <c r="C665" s="70"/>
      <c r="D665" s="71"/>
    </row>
    <row r="666" spans="2:4" x14ac:dyDescent="0.15">
      <c r="B666" s="69"/>
      <c r="C666" s="70"/>
      <c r="D666" s="71"/>
    </row>
    <row r="667" spans="2:4" x14ac:dyDescent="0.15">
      <c r="B667" s="69"/>
      <c r="C667" s="70"/>
      <c r="D667" s="71"/>
    </row>
    <row r="668" spans="2:4" x14ac:dyDescent="0.15">
      <c r="B668" s="69"/>
      <c r="C668" s="70"/>
      <c r="D668" s="71"/>
    </row>
    <row r="669" spans="2:4" x14ac:dyDescent="0.15">
      <c r="B669" s="69"/>
      <c r="C669" s="70"/>
      <c r="D669" s="71"/>
    </row>
    <row r="670" spans="2:4" x14ac:dyDescent="0.15">
      <c r="B670" s="69"/>
      <c r="C670" s="70"/>
      <c r="D670" s="71"/>
    </row>
    <row r="671" spans="2:4" x14ac:dyDescent="0.15">
      <c r="B671" s="69"/>
      <c r="C671" s="70"/>
      <c r="D671" s="71"/>
    </row>
    <row r="672" spans="2:4" x14ac:dyDescent="0.15">
      <c r="B672" s="69"/>
      <c r="C672" s="70"/>
      <c r="D672" s="71"/>
    </row>
    <row r="673" spans="2:4" x14ac:dyDescent="0.15">
      <c r="B673" s="69"/>
      <c r="C673" s="70"/>
      <c r="D673" s="71"/>
    </row>
    <row r="674" spans="2:4" x14ac:dyDescent="0.15">
      <c r="B674" s="69"/>
      <c r="C674" s="70"/>
      <c r="D674" s="71"/>
    </row>
    <row r="675" spans="2:4" x14ac:dyDescent="0.15">
      <c r="B675" s="69"/>
      <c r="C675" s="70"/>
      <c r="D675" s="71"/>
    </row>
    <row r="676" spans="2:4" x14ac:dyDescent="0.15">
      <c r="B676" s="69"/>
      <c r="C676" s="70"/>
      <c r="D676" s="71"/>
    </row>
    <row r="677" spans="2:4" x14ac:dyDescent="0.15">
      <c r="B677" s="69"/>
      <c r="C677" s="70"/>
      <c r="D677" s="71"/>
    </row>
    <row r="678" spans="2:4" x14ac:dyDescent="0.15">
      <c r="B678" s="69"/>
      <c r="C678" s="70"/>
      <c r="D678" s="71"/>
    </row>
    <row r="679" spans="2:4" x14ac:dyDescent="0.15">
      <c r="B679" s="69"/>
      <c r="C679" s="70"/>
      <c r="D679" s="71"/>
    </row>
    <row r="680" spans="2:4" x14ac:dyDescent="0.15">
      <c r="B680" s="69"/>
      <c r="C680" s="70"/>
      <c r="D680" s="71"/>
    </row>
    <row r="681" spans="2:4" x14ac:dyDescent="0.15">
      <c r="B681" s="69"/>
      <c r="C681" s="70"/>
      <c r="D681" s="71"/>
    </row>
    <row r="682" spans="2:4" x14ac:dyDescent="0.15">
      <c r="B682" s="69"/>
      <c r="C682" s="70"/>
      <c r="D682" s="71"/>
    </row>
    <row r="683" spans="2:4" x14ac:dyDescent="0.15">
      <c r="B683" s="69"/>
      <c r="C683" s="70"/>
      <c r="D683" s="71"/>
    </row>
    <row r="684" spans="2:4" x14ac:dyDescent="0.15">
      <c r="B684" s="69"/>
      <c r="C684" s="70"/>
      <c r="D684" s="71"/>
    </row>
    <row r="685" spans="2:4" x14ac:dyDescent="0.15">
      <c r="B685" s="69"/>
      <c r="C685" s="70"/>
      <c r="D685" s="71"/>
    </row>
    <row r="686" spans="2:4" x14ac:dyDescent="0.15">
      <c r="B686" s="69"/>
      <c r="C686" s="70"/>
      <c r="D686" s="71"/>
    </row>
    <row r="687" spans="2:4" x14ac:dyDescent="0.15">
      <c r="B687" s="69"/>
      <c r="C687" s="70"/>
      <c r="D687" s="71"/>
    </row>
    <row r="688" spans="2:4" x14ac:dyDescent="0.15">
      <c r="B688" s="69"/>
      <c r="C688" s="70"/>
      <c r="D688" s="71"/>
    </row>
    <row r="689" spans="2:4" x14ac:dyDescent="0.15">
      <c r="B689" s="69"/>
      <c r="C689" s="70"/>
      <c r="D689" s="71"/>
    </row>
    <row r="690" spans="2:4" x14ac:dyDescent="0.15">
      <c r="B690" s="69"/>
      <c r="C690" s="70"/>
      <c r="D690" s="71"/>
    </row>
    <row r="691" spans="2:4" x14ac:dyDescent="0.15">
      <c r="B691" s="69"/>
      <c r="C691" s="70"/>
      <c r="D691" s="71"/>
    </row>
    <row r="692" spans="2:4" x14ac:dyDescent="0.15">
      <c r="B692" s="69"/>
      <c r="C692" s="70"/>
      <c r="D692" s="71"/>
    </row>
    <row r="693" spans="2:4" x14ac:dyDescent="0.15">
      <c r="B693" s="69"/>
      <c r="C693" s="70"/>
      <c r="D693" s="71"/>
    </row>
    <row r="694" spans="2:4" x14ac:dyDescent="0.15">
      <c r="B694" s="69"/>
      <c r="C694" s="70"/>
      <c r="D694" s="71"/>
    </row>
    <row r="695" spans="2:4" x14ac:dyDescent="0.15">
      <c r="B695" s="69"/>
      <c r="C695" s="70"/>
      <c r="D695" s="71"/>
    </row>
    <row r="696" spans="2:4" x14ac:dyDescent="0.15">
      <c r="B696" s="69"/>
      <c r="C696" s="70"/>
      <c r="D696" s="71"/>
    </row>
    <row r="697" spans="2:4" x14ac:dyDescent="0.15">
      <c r="B697" s="69"/>
      <c r="C697" s="70"/>
      <c r="D697" s="71"/>
    </row>
    <row r="698" spans="2:4" x14ac:dyDescent="0.15">
      <c r="B698" s="69"/>
      <c r="C698" s="70"/>
      <c r="D698" s="71"/>
    </row>
    <row r="699" spans="2:4" x14ac:dyDescent="0.15">
      <c r="B699" s="69"/>
      <c r="C699" s="70"/>
      <c r="D699" s="71"/>
    </row>
    <row r="700" spans="2:4" x14ac:dyDescent="0.15">
      <c r="B700" s="69"/>
      <c r="C700" s="70"/>
      <c r="D700" s="71"/>
    </row>
    <row r="701" spans="2:4" x14ac:dyDescent="0.15">
      <c r="B701" s="69"/>
      <c r="C701" s="70"/>
      <c r="D701" s="71"/>
    </row>
    <row r="702" spans="2:4" x14ac:dyDescent="0.15">
      <c r="B702" s="69"/>
      <c r="C702" s="70"/>
      <c r="D702" s="71"/>
    </row>
    <row r="703" spans="2:4" x14ac:dyDescent="0.15">
      <c r="B703" s="69"/>
      <c r="C703" s="70"/>
      <c r="D703" s="71"/>
    </row>
    <row r="704" spans="2:4" x14ac:dyDescent="0.15">
      <c r="B704" s="69"/>
      <c r="C704" s="70"/>
      <c r="D704" s="71"/>
    </row>
    <row r="705" spans="2:4" x14ac:dyDescent="0.15">
      <c r="B705" s="69"/>
      <c r="C705" s="70"/>
      <c r="D705" s="71"/>
    </row>
    <row r="706" spans="2:4" x14ac:dyDescent="0.15">
      <c r="B706" s="69"/>
      <c r="C706" s="70"/>
      <c r="D706" s="71"/>
    </row>
    <row r="707" spans="2:4" x14ac:dyDescent="0.15">
      <c r="B707" s="69"/>
      <c r="C707" s="70"/>
      <c r="D707" s="71"/>
    </row>
    <row r="708" spans="2:4" x14ac:dyDescent="0.15">
      <c r="B708" s="69"/>
      <c r="C708" s="70"/>
      <c r="D708" s="71"/>
    </row>
    <row r="709" spans="2:4" x14ac:dyDescent="0.15">
      <c r="B709" s="69"/>
      <c r="C709" s="70"/>
      <c r="D709" s="71"/>
    </row>
    <row r="710" spans="2:4" x14ac:dyDescent="0.15">
      <c r="B710" s="69"/>
      <c r="C710" s="70"/>
      <c r="D710" s="71"/>
    </row>
    <row r="711" spans="2:4" x14ac:dyDescent="0.15">
      <c r="B711" s="69"/>
      <c r="C711" s="70"/>
      <c r="D711" s="71"/>
    </row>
    <row r="712" spans="2:4" x14ac:dyDescent="0.15">
      <c r="B712" s="69"/>
      <c r="C712" s="70"/>
      <c r="D712" s="71"/>
    </row>
    <row r="713" spans="2:4" x14ac:dyDescent="0.15">
      <c r="B713" s="69"/>
      <c r="C713" s="70"/>
      <c r="D713" s="71"/>
    </row>
    <row r="714" spans="2:4" x14ac:dyDescent="0.15">
      <c r="B714" s="69"/>
      <c r="C714" s="70"/>
      <c r="D714" s="71"/>
    </row>
    <row r="715" spans="2:4" x14ac:dyDescent="0.15">
      <c r="B715" s="69"/>
      <c r="C715" s="70"/>
      <c r="D715" s="71"/>
    </row>
    <row r="716" spans="2:4" x14ac:dyDescent="0.15">
      <c r="B716" s="69"/>
      <c r="C716" s="70"/>
      <c r="D716" s="71"/>
    </row>
    <row r="717" spans="2:4" x14ac:dyDescent="0.15">
      <c r="B717" s="69"/>
      <c r="C717" s="70"/>
      <c r="D717" s="71"/>
    </row>
    <row r="718" spans="2:4" x14ac:dyDescent="0.15">
      <c r="B718" s="69"/>
      <c r="C718" s="70"/>
      <c r="D718" s="71"/>
    </row>
    <row r="719" spans="2:4" x14ac:dyDescent="0.15">
      <c r="B719" s="69"/>
      <c r="C719" s="70"/>
      <c r="D719" s="71"/>
    </row>
    <row r="720" spans="2:4" x14ac:dyDescent="0.15">
      <c r="B720" s="69"/>
      <c r="C720" s="70"/>
      <c r="D720" s="71"/>
    </row>
    <row r="721" spans="2:4" x14ac:dyDescent="0.15">
      <c r="B721" s="69"/>
      <c r="C721" s="70"/>
      <c r="D721" s="71"/>
    </row>
    <row r="722" spans="2:4" x14ac:dyDescent="0.15">
      <c r="B722" s="69"/>
      <c r="C722" s="70"/>
      <c r="D722" s="71"/>
    </row>
    <row r="723" spans="2:4" x14ac:dyDescent="0.15">
      <c r="B723" s="69"/>
      <c r="C723" s="70"/>
      <c r="D723" s="71"/>
    </row>
    <row r="724" spans="2:4" x14ac:dyDescent="0.15">
      <c r="B724" s="69"/>
      <c r="C724" s="70"/>
      <c r="D724" s="71"/>
    </row>
    <row r="725" spans="2:4" x14ac:dyDescent="0.15">
      <c r="B725" s="69"/>
      <c r="C725" s="70"/>
      <c r="D725" s="71"/>
    </row>
    <row r="726" spans="2:4" x14ac:dyDescent="0.15">
      <c r="B726" s="69"/>
      <c r="C726" s="70"/>
      <c r="D726" s="71"/>
    </row>
    <row r="727" spans="2:4" x14ac:dyDescent="0.15">
      <c r="B727" s="69"/>
      <c r="C727" s="70"/>
      <c r="D727" s="71"/>
    </row>
    <row r="728" spans="2:4" x14ac:dyDescent="0.15">
      <c r="B728" s="69"/>
      <c r="C728" s="70"/>
      <c r="D728" s="71"/>
    </row>
    <row r="729" spans="2:4" x14ac:dyDescent="0.15">
      <c r="B729" s="69"/>
      <c r="C729" s="70"/>
      <c r="D729" s="71"/>
    </row>
    <row r="730" spans="2:4" x14ac:dyDescent="0.15">
      <c r="B730" s="69"/>
      <c r="C730" s="70"/>
      <c r="D730" s="71"/>
    </row>
    <row r="731" spans="2:4" x14ac:dyDescent="0.15">
      <c r="B731" s="69"/>
      <c r="C731" s="70"/>
      <c r="D731" s="71"/>
    </row>
    <row r="732" spans="2:4" x14ac:dyDescent="0.15">
      <c r="B732" s="69"/>
      <c r="C732" s="70"/>
      <c r="D732" s="71"/>
    </row>
    <row r="733" spans="2:4" x14ac:dyDescent="0.15">
      <c r="B733" s="69"/>
      <c r="C733" s="70"/>
      <c r="D733" s="71"/>
    </row>
    <row r="734" spans="2:4" x14ac:dyDescent="0.15">
      <c r="B734" s="69"/>
      <c r="C734" s="70"/>
      <c r="D734" s="71"/>
    </row>
    <row r="735" spans="2:4" x14ac:dyDescent="0.15">
      <c r="B735" s="69"/>
      <c r="C735" s="70"/>
      <c r="D735" s="71"/>
    </row>
    <row r="736" spans="2:4" x14ac:dyDescent="0.15">
      <c r="B736" s="69"/>
      <c r="C736" s="70"/>
      <c r="D736" s="71"/>
    </row>
    <row r="737" spans="2:4" x14ac:dyDescent="0.15">
      <c r="B737" s="69"/>
      <c r="C737" s="70"/>
      <c r="D737" s="71"/>
    </row>
    <row r="738" spans="2:4" x14ac:dyDescent="0.15">
      <c r="B738" s="69"/>
      <c r="C738" s="70"/>
      <c r="D738" s="71"/>
    </row>
    <row r="739" spans="2:4" x14ac:dyDescent="0.15">
      <c r="B739" s="69"/>
      <c r="C739" s="70"/>
      <c r="D739" s="71"/>
    </row>
    <row r="740" spans="2:4" x14ac:dyDescent="0.15">
      <c r="B740" s="69"/>
      <c r="C740" s="70"/>
      <c r="D740" s="71"/>
    </row>
    <row r="741" spans="2:4" x14ac:dyDescent="0.15">
      <c r="B741" s="69"/>
      <c r="C741" s="70"/>
      <c r="D741" s="71"/>
    </row>
    <row r="742" spans="2:4" x14ac:dyDescent="0.15">
      <c r="B742" s="69"/>
      <c r="C742" s="70"/>
      <c r="D742" s="71"/>
    </row>
    <row r="743" spans="2:4" x14ac:dyDescent="0.15">
      <c r="B743" s="69"/>
      <c r="C743" s="70"/>
      <c r="D743" s="71"/>
    </row>
    <row r="744" spans="2:4" x14ac:dyDescent="0.15">
      <c r="B744" s="69"/>
      <c r="C744" s="70"/>
      <c r="D744" s="71"/>
    </row>
    <row r="745" spans="2:4" x14ac:dyDescent="0.15">
      <c r="B745" s="69"/>
      <c r="C745" s="70"/>
      <c r="D745" s="71"/>
    </row>
    <row r="746" spans="2:4" x14ac:dyDescent="0.15">
      <c r="B746" s="69"/>
      <c r="C746" s="70"/>
      <c r="D746" s="71"/>
    </row>
    <row r="747" spans="2:4" x14ac:dyDescent="0.15">
      <c r="B747" s="69"/>
      <c r="C747" s="70"/>
      <c r="D747" s="71"/>
    </row>
    <row r="748" spans="2:4" x14ac:dyDescent="0.15">
      <c r="B748" s="69"/>
      <c r="C748" s="70"/>
      <c r="D748" s="71"/>
    </row>
    <row r="749" spans="2:4" x14ac:dyDescent="0.15">
      <c r="B749" s="69"/>
      <c r="C749" s="70"/>
      <c r="D749" s="71"/>
    </row>
    <row r="750" spans="2:4" x14ac:dyDescent="0.15">
      <c r="B750" s="69"/>
      <c r="C750" s="70"/>
      <c r="D750" s="71"/>
    </row>
    <row r="751" spans="2:4" x14ac:dyDescent="0.15">
      <c r="B751" s="69"/>
      <c r="C751" s="70"/>
      <c r="D751" s="71"/>
    </row>
    <row r="752" spans="2:4" x14ac:dyDescent="0.15">
      <c r="B752" s="69"/>
      <c r="C752" s="70"/>
      <c r="D752" s="71"/>
    </row>
    <row r="753" spans="2:4" x14ac:dyDescent="0.15">
      <c r="B753" s="69"/>
      <c r="C753" s="70"/>
      <c r="D753" s="71"/>
    </row>
    <row r="754" spans="2:4" x14ac:dyDescent="0.15">
      <c r="B754" s="69"/>
      <c r="C754" s="70"/>
      <c r="D754" s="71"/>
    </row>
    <row r="755" spans="2:4" x14ac:dyDescent="0.15">
      <c r="B755" s="69"/>
      <c r="C755" s="70"/>
      <c r="D755" s="71"/>
    </row>
    <row r="756" spans="2:4" x14ac:dyDescent="0.15">
      <c r="B756" s="69"/>
      <c r="C756" s="70"/>
      <c r="D756" s="71"/>
    </row>
    <row r="757" spans="2:4" x14ac:dyDescent="0.15">
      <c r="B757" s="69"/>
      <c r="C757" s="70"/>
      <c r="D757" s="71"/>
    </row>
    <row r="758" spans="2:4" x14ac:dyDescent="0.15">
      <c r="B758" s="69"/>
      <c r="C758" s="70"/>
      <c r="D758" s="71"/>
    </row>
    <row r="759" spans="2:4" x14ac:dyDescent="0.15">
      <c r="B759" s="69"/>
      <c r="C759" s="70"/>
      <c r="D759" s="71"/>
    </row>
    <row r="760" spans="2:4" x14ac:dyDescent="0.15">
      <c r="B760" s="69"/>
      <c r="C760" s="70"/>
      <c r="D760" s="71"/>
    </row>
    <row r="761" spans="2:4" x14ac:dyDescent="0.15">
      <c r="B761" s="69"/>
      <c r="C761" s="70"/>
      <c r="D761" s="71"/>
    </row>
    <row r="762" spans="2:4" x14ac:dyDescent="0.15">
      <c r="B762" s="69"/>
      <c r="C762" s="70"/>
      <c r="D762" s="71"/>
    </row>
    <row r="763" spans="2:4" x14ac:dyDescent="0.15">
      <c r="B763" s="69"/>
      <c r="C763" s="70"/>
      <c r="D763" s="71"/>
    </row>
    <row r="764" spans="2:4" x14ac:dyDescent="0.15">
      <c r="B764" s="69"/>
      <c r="C764" s="70"/>
      <c r="D764" s="71"/>
    </row>
    <row r="765" spans="2:4" x14ac:dyDescent="0.15">
      <c r="B765" s="69"/>
      <c r="C765" s="70"/>
      <c r="D765" s="71"/>
    </row>
    <row r="766" spans="2:4" x14ac:dyDescent="0.15">
      <c r="B766" s="69"/>
      <c r="C766" s="70"/>
      <c r="D766" s="71"/>
    </row>
    <row r="767" spans="2:4" x14ac:dyDescent="0.15">
      <c r="B767" s="69"/>
      <c r="C767" s="70"/>
      <c r="D767" s="71"/>
    </row>
    <row r="768" spans="2:4" x14ac:dyDescent="0.15">
      <c r="B768" s="69"/>
      <c r="C768" s="70"/>
      <c r="D768" s="71"/>
    </row>
    <row r="769" spans="2:4" x14ac:dyDescent="0.15">
      <c r="B769" s="69"/>
      <c r="C769" s="70"/>
      <c r="D769" s="71"/>
    </row>
    <row r="770" spans="2:4" x14ac:dyDescent="0.15">
      <c r="B770" s="69"/>
      <c r="C770" s="70"/>
      <c r="D770" s="71"/>
    </row>
    <row r="771" spans="2:4" x14ac:dyDescent="0.15">
      <c r="B771" s="69"/>
      <c r="C771" s="70"/>
      <c r="D771" s="71"/>
    </row>
    <row r="772" spans="2:4" x14ac:dyDescent="0.15">
      <c r="B772" s="69"/>
      <c r="C772" s="70"/>
      <c r="D772" s="71"/>
    </row>
    <row r="773" spans="2:4" x14ac:dyDescent="0.15">
      <c r="B773" s="69"/>
      <c r="C773" s="70"/>
      <c r="D773" s="71"/>
    </row>
    <row r="774" spans="2:4" x14ac:dyDescent="0.15">
      <c r="B774" s="69"/>
      <c r="C774" s="70"/>
      <c r="D774" s="71"/>
    </row>
    <row r="775" spans="2:4" x14ac:dyDescent="0.15">
      <c r="B775" s="69"/>
      <c r="C775" s="70"/>
      <c r="D775" s="71"/>
    </row>
    <row r="776" spans="2:4" x14ac:dyDescent="0.15">
      <c r="B776" s="69"/>
      <c r="C776" s="70"/>
      <c r="D776" s="71"/>
    </row>
    <row r="777" spans="2:4" x14ac:dyDescent="0.15">
      <c r="B777" s="69"/>
      <c r="C777" s="70"/>
      <c r="D777" s="71"/>
    </row>
    <row r="778" spans="2:4" x14ac:dyDescent="0.15">
      <c r="B778" s="69"/>
      <c r="C778" s="70"/>
      <c r="D778" s="71"/>
    </row>
    <row r="779" spans="2:4" x14ac:dyDescent="0.15">
      <c r="B779" s="69"/>
      <c r="C779" s="70"/>
      <c r="D779" s="71"/>
    </row>
    <row r="780" spans="2:4" x14ac:dyDescent="0.15">
      <c r="B780" s="69"/>
      <c r="C780" s="70"/>
      <c r="D780" s="71"/>
    </row>
    <row r="781" spans="2:4" x14ac:dyDescent="0.15">
      <c r="B781" s="69"/>
      <c r="C781" s="70"/>
      <c r="D781" s="71"/>
    </row>
    <row r="782" spans="2:4" x14ac:dyDescent="0.15">
      <c r="B782" s="69"/>
      <c r="C782" s="70"/>
      <c r="D782" s="71"/>
    </row>
    <row r="783" spans="2:4" x14ac:dyDescent="0.15">
      <c r="B783" s="69"/>
      <c r="C783" s="70"/>
      <c r="D783" s="71"/>
    </row>
    <row r="784" spans="2:4" x14ac:dyDescent="0.15">
      <c r="B784" s="69"/>
      <c r="C784" s="70"/>
      <c r="D784" s="71"/>
    </row>
    <row r="785" spans="2:4" x14ac:dyDescent="0.15">
      <c r="B785" s="69"/>
      <c r="C785" s="70"/>
      <c r="D785" s="71"/>
    </row>
    <row r="786" spans="2:4" x14ac:dyDescent="0.15">
      <c r="B786" s="69"/>
      <c r="C786" s="70"/>
      <c r="D786" s="71"/>
    </row>
    <row r="787" spans="2:4" x14ac:dyDescent="0.15">
      <c r="B787" s="69"/>
      <c r="C787" s="70"/>
      <c r="D787" s="71"/>
    </row>
    <row r="788" spans="2:4" x14ac:dyDescent="0.15">
      <c r="B788" s="69"/>
      <c r="C788" s="70"/>
      <c r="D788" s="71"/>
    </row>
    <row r="789" spans="2:4" x14ac:dyDescent="0.15">
      <c r="B789" s="69"/>
      <c r="C789" s="70"/>
      <c r="D789" s="71"/>
    </row>
    <row r="790" spans="2:4" x14ac:dyDescent="0.15">
      <c r="B790" s="69"/>
      <c r="C790" s="70"/>
      <c r="D790" s="71"/>
    </row>
    <row r="791" spans="2:4" x14ac:dyDescent="0.15">
      <c r="B791" s="69"/>
      <c r="C791" s="70"/>
      <c r="D791" s="71"/>
    </row>
    <row r="792" spans="2:4" x14ac:dyDescent="0.15">
      <c r="B792" s="69"/>
      <c r="C792" s="70"/>
      <c r="D792" s="71"/>
    </row>
    <row r="793" spans="2:4" x14ac:dyDescent="0.15">
      <c r="B793" s="69"/>
      <c r="C793" s="70"/>
      <c r="D793" s="71"/>
    </row>
    <row r="794" spans="2:4" x14ac:dyDescent="0.15">
      <c r="B794" s="69"/>
      <c r="C794" s="70"/>
      <c r="D794" s="71"/>
    </row>
    <row r="795" spans="2:4" x14ac:dyDescent="0.15">
      <c r="B795" s="69"/>
      <c r="C795" s="70"/>
      <c r="D795" s="71"/>
    </row>
    <row r="796" spans="2:4" x14ac:dyDescent="0.15">
      <c r="B796" s="69"/>
      <c r="C796" s="70"/>
      <c r="D796" s="71"/>
    </row>
    <row r="797" spans="2:4" x14ac:dyDescent="0.15">
      <c r="B797" s="69"/>
      <c r="C797" s="70"/>
      <c r="D797" s="71"/>
    </row>
    <row r="798" spans="2:4" x14ac:dyDescent="0.15">
      <c r="B798" s="69"/>
      <c r="C798" s="70"/>
      <c r="D798" s="71"/>
    </row>
    <row r="799" spans="2:4" x14ac:dyDescent="0.15">
      <c r="B799" s="69"/>
      <c r="C799" s="70"/>
      <c r="D799" s="71"/>
    </row>
    <row r="800" spans="2:4" x14ac:dyDescent="0.15">
      <c r="B800" s="69"/>
      <c r="C800" s="70"/>
      <c r="D800" s="71"/>
    </row>
    <row r="801" spans="2:4" x14ac:dyDescent="0.15">
      <c r="B801" s="69"/>
      <c r="C801" s="70"/>
      <c r="D801" s="71"/>
    </row>
    <row r="802" spans="2:4" x14ac:dyDescent="0.15">
      <c r="B802" s="69"/>
      <c r="C802" s="70"/>
      <c r="D802" s="71"/>
    </row>
    <row r="803" spans="2:4" x14ac:dyDescent="0.15">
      <c r="B803" s="69"/>
      <c r="C803" s="70"/>
      <c r="D803" s="71"/>
    </row>
    <row r="804" spans="2:4" x14ac:dyDescent="0.15">
      <c r="B804" s="69"/>
      <c r="C804" s="70"/>
      <c r="D804" s="71"/>
    </row>
    <row r="805" spans="2:4" x14ac:dyDescent="0.15">
      <c r="B805" s="69"/>
      <c r="C805" s="70"/>
      <c r="D805" s="71"/>
    </row>
    <row r="806" spans="2:4" x14ac:dyDescent="0.15">
      <c r="B806" s="69"/>
      <c r="C806" s="70"/>
      <c r="D806" s="71"/>
    </row>
    <row r="807" spans="2:4" x14ac:dyDescent="0.15">
      <c r="B807" s="69"/>
      <c r="C807" s="70"/>
      <c r="D807" s="71"/>
    </row>
    <row r="808" spans="2:4" x14ac:dyDescent="0.15">
      <c r="B808" s="69"/>
      <c r="C808" s="70"/>
      <c r="D808" s="71"/>
    </row>
    <row r="809" spans="2:4" x14ac:dyDescent="0.15">
      <c r="B809" s="69"/>
      <c r="C809" s="70"/>
      <c r="D809" s="71"/>
    </row>
    <row r="810" spans="2:4" x14ac:dyDescent="0.15">
      <c r="B810" s="69"/>
      <c r="C810" s="70"/>
      <c r="D810" s="71"/>
    </row>
    <row r="811" spans="2:4" x14ac:dyDescent="0.15">
      <c r="B811" s="69"/>
      <c r="C811" s="70"/>
      <c r="D811" s="71"/>
    </row>
    <row r="812" spans="2:4" x14ac:dyDescent="0.15">
      <c r="B812" s="69"/>
      <c r="C812" s="70"/>
      <c r="D812" s="71"/>
    </row>
    <row r="813" spans="2:4" x14ac:dyDescent="0.15">
      <c r="B813" s="69"/>
      <c r="C813" s="70"/>
      <c r="D813" s="71"/>
    </row>
    <row r="814" spans="2:4" x14ac:dyDescent="0.15">
      <c r="B814" s="69"/>
      <c r="C814" s="70"/>
      <c r="D814" s="71"/>
    </row>
    <row r="815" spans="2:4" x14ac:dyDescent="0.15">
      <c r="B815" s="69"/>
      <c r="C815" s="70"/>
      <c r="D815" s="71"/>
    </row>
    <row r="816" spans="2:4" x14ac:dyDescent="0.15">
      <c r="B816" s="69"/>
      <c r="C816" s="70"/>
      <c r="D816" s="71"/>
    </row>
    <row r="817" spans="2:4" x14ac:dyDescent="0.15">
      <c r="B817" s="69"/>
      <c r="C817" s="70"/>
      <c r="D817" s="71"/>
    </row>
    <row r="818" spans="2:4" x14ac:dyDescent="0.15">
      <c r="B818" s="69"/>
      <c r="C818" s="70"/>
      <c r="D818" s="71"/>
    </row>
    <row r="819" spans="2:4" x14ac:dyDescent="0.15">
      <c r="B819" s="69"/>
      <c r="C819" s="70"/>
      <c r="D819" s="71"/>
    </row>
    <row r="820" spans="2:4" x14ac:dyDescent="0.15">
      <c r="B820" s="69"/>
      <c r="C820" s="70"/>
      <c r="D820" s="71"/>
    </row>
    <row r="821" spans="2:4" x14ac:dyDescent="0.15">
      <c r="B821" s="69"/>
      <c r="C821" s="70"/>
      <c r="D821" s="71"/>
    </row>
    <row r="822" spans="2:4" x14ac:dyDescent="0.15">
      <c r="B822" s="69"/>
      <c r="C822" s="70"/>
      <c r="D822" s="71"/>
    </row>
    <row r="823" spans="2:4" x14ac:dyDescent="0.15">
      <c r="B823" s="69"/>
      <c r="C823" s="70"/>
      <c r="D823" s="71"/>
    </row>
    <row r="824" spans="2:4" x14ac:dyDescent="0.15">
      <c r="B824" s="69"/>
      <c r="C824" s="70"/>
      <c r="D824" s="71"/>
    </row>
    <row r="825" spans="2:4" x14ac:dyDescent="0.15">
      <c r="B825" s="69"/>
      <c r="C825" s="70"/>
      <c r="D825" s="71"/>
    </row>
    <row r="826" spans="2:4" x14ac:dyDescent="0.15">
      <c r="B826" s="69"/>
      <c r="C826" s="70"/>
      <c r="D826" s="71"/>
    </row>
    <row r="827" spans="2:4" x14ac:dyDescent="0.15">
      <c r="B827" s="69"/>
      <c r="C827" s="70"/>
      <c r="D827" s="71"/>
    </row>
    <row r="828" spans="2:4" x14ac:dyDescent="0.15">
      <c r="B828" s="69"/>
      <c r="C828" s="70"/>
      <c r="D828" s="71"/>
    </row>
    <row r="829" spans="2:4" x14ac:dyDescent="0.15">
      <c r="B829" s="69"/>
      <c r="C829" s="70"/>
      <c r="D829" s="71"/>
    </row>
    <row r="830" spans="2:4" x14ac:dyDescent="0.15">
      <c r="B830" s="69"/>
      <c r="C830" s="70"/>
      <c r="D830" s="71"/>
    </row>
    <row r="831" spans="2:4" x14ac:dyDescent="0.15">
      <c r="B831" s="69"/>
      <c r="C831" s="70"/>
      <c r="D831" s="71"/>
    </row>
    <row r="832" spans="2:4" x14ac:dyDescent="0.15">
      <c r="B832" s="69"/>
      <c r="C832" s="70"/>
      <c r="D832" s="71"/>
    </row>
    <row r="833" spans="2:4" x14ac:dyDescent="0.15">
      <c r="B833" s="69"/>
      <c r="C833" s="70"/>
      <c r="D833" s="71"/>
    </row>
    <row r="834" spans="2:4" x14ac:dyDescent="0.15">
      <c r="B834" s="69"/>
      <c r="C834" s="70"/>
      <c r="D834" s="71"/>
    </row>
    <row r="835" spans="2:4" x14ac:dyDescent="0.15">
      <c r="B835" s="69"/>
      <c r="C835" s="70"/>
      <c r="D835" s="71"/>
    </row>
    <row r="836" spans="2:4" x14ac:dyDescent="0.15">
      <c r="B836" s="69"/>
      <c r="C836" s="70"/>
      <c r="D836" s="71"/>
    </row>
    <row r="837" spans="2:4" x14ac:dyDescent="0.15">
      <c r="B837" s="69"/>
      <c r="C837" s="70"/>
      <c r="D837" s="71"/>
    </row>
    <row r="838" spans="2:4" x14ac:dyDescent="0.15">
      <c r="B838" s="69"/>
      <c r="C838" s="70"/>
      <c r="D838" s="71"/>
    </row>
    <row r="839" spans="2:4" x14ac:dyDescent="0.15">
      <c r="B839" s="69"/>
      <c r="C839" s="70"/>
      <c r="D839" s="71"/>
    </row>
    <row r="840" spans="2:4" x14ac:dyDescent="0.15">
      <c r="B840" s="69"/>
      <c r="C840" s="70"/>
      <c r="D840" s="71"/>
    </row>
    <row r="841" spans="2:4" x14ac:dyDescent="0.15">
      <c r="B841" s="69"/>
      <c r="C841" s="70"/>
      <c r="D841" s="71"/>
    </row>
    <row r="842" spans="2:4" x14ac:dyDescent="0.15">
      <c r="B842" s="69"/>
      <c r="C842" s="70"/>
      <c r="D842" s="71"/>
    </row>
    <row r="843" spans="2:4" x14ac:dyDescent="0.15">
      <c r="B843" s="69"/>
      <c r="C843" s="70"/>
      <c r="D843" s="71"/>
    </row>
    <row r="844" spans="2:4" x14ac:dyDescent="0.15">
      <c r="B844" s="69"/>
      <c r="C844" s="70"/>
      <c r="D844" s="71"/>
    </row>
    <row r="845" spans="2:4" x14ac:dyDescent="0.15">
      <c r="B845" s="69"/>
      <c r="C845" s="70"/>
      <c r="D845" s="71"/>
    </row>
    <row r="846" spans="2:4" x14ac:dyDescent="0.15">
      <c r="B846" s="69"/>
      <c r="C846" s="70"/>
      <c r="D846" s="71"/>
    </row>
    <row r="847" spans="2:4" x14ac:dyDescent="0.15">
      <c r="B847" s="69"/>
      <c r="C847" s="70"/>
      <c r="D847" s="71"/>
    </row>
    <row r="848" spans="2:4" x14ac:dyDescent="0.15">
      <c r="B848" s="69"/>
      <c r="C848" s="70"/>
      <c r="D848" s="71"/>
    </row>
    <row r="849" spans="2:4" x14ac:dyDescent="0.15">
      <c r="B849" s="69"/>
      <c r="C849" s="70"/>
      <c r="D849" s="71"/>
    </row>
    <row r="850" spans="2:4" x14ac:dyDescent="0.15">
      <c r="B850" s="69"/>
      <c r="C850" s="70"/>
      <c r="D850" s="71"/>
    </row>
    <row r="851" spans="2:4" x14ac:dyDescent="0.15">
      <c r="B851" s="69"/>
      <c r="C851" s="70"/>
      <c r="D851" s="71"/>
    </row>
    <row r="852" spans="2:4" x14ac:dyDescent="0.15">
      <c r="B852" s="69"/>
      <c r="C852" s="70"/>
      <c r="D852" s="71"/>
    </row>
    <row r="853" spans="2:4" x14ac:dyDescent="0.15">
      <c r="B853" s="69"/>
      <c r="C853" s="70"/>
      <c r="D853" s="71"/>
    </row>
    <row r="854" spans="2:4" x14ac:dyDescent="0.15">
      <c r="B854" s="69"/>
      <c r="C854" s="70"/>
      <c r="D854" s="71"/>
    </row>
    <row r="855" spans="2:4" x14ac:dyDescent="0.15">
      <c r="B855" s="69"/>
      <c r="C855" s="70"/>
      <c r="D855" s="71"/>
    </row>
    <row r="856" spans="2:4" x14ac:dyDescent="0.15">
      <c r="B856" s="69"/>
      <c r="C856" s="70"/>
      <c r="D856" s="71"/>
    </row>
    <row r="857" spans="2:4" x14ac:dyDescent="0.15">
      <c r="B857" s="69"/>
      <c r="C857" s="70"/>
      <c r="D857" s="71"/>
    </row>
    <row r="858" spans="2:4" x14ac:dyDescent="0.15">
      <c r="B858" s="69"/>
      <c r="C858" s="70"/>
      <c r="D858" s="71"/>
    </row>
    <row r="859" spans="2:4" x14ac:dyDescent="0.15">
      <c r="B859" s="69"/>
      <c r="C859" s="70"/>
      <c r="D859" s="71"/>
    </row>
    <row r="860" spans="2:4" x14ac:dyDescent="0.15">
      <c r="B860" s="69"/>
      <c r="C860" s="70"/>
      <c r="D860" s="71"/>
    </row>
    <row r="861" spans="2:4" x14ac:dyDescent="0.15">
      <c r="B861" s="69"/>
      <c r="C861" s="70"/>
      <c r="D861" s="71"/>
    </row>
    <row r="862" spans="2:4" x14ac:dyDescent="0.15">
      <c r="B862" s="69"/>
      <c r="C862" s="70"/>
      <c r="D862" s="71"/>
    </row>
    <row r="863" spans="2:4" x14ac:dyDescent="0.15">
      <c r="B863" s="69"/>
      <c r="C863" s="70"/>
      <c r="D863" s="71"/>
    </row>
    <row r="864" spans="2:4" x14ac:dyDescent="0.15">
      <c r="B864" s="69"/>
      <c r="C864" s="70"/>
      <c r="D864" s="71"/>
    </row>
    <row r="865" spans="2:4" x14ac:dyDescent="0.15">
      <c r="B865" s="69"/>
      <c r="C865" s="70"/>
      <c r="D865" s="71"/>
    </row>
    <row r="866" spans="2:4" x14ac:dyDescent="0.15">
      <c r="B866" s="69"/>
      <c r="C866" s="70"/>
      <c r="D866" s="71"/>
    </row>
    <row r="867" spans="2:4" x14ac:dyDescent="0.15">
      <c r="B867" s="69"/>
      <c r="C867" s="70"/>
      <c r="D867" s="71"/>
    </row>
    <row r="868" spans="2:4" x14ac:dyDescent="0.15">
      <c r="B868" s="69"/>
      <c r="C868" s="70"/>
      <c r="D868" s="71"/>
    </row>
    <row r="869" spans="2:4" x14ac:dyDescent="0.15">
      <c r="B869" s="69"/>
      <c r="C869" s="70"/>
      <c r="D869" s="71"/>
    </row>
    <row r="870" spans="2:4" x14ac:dyDescent="0.15">
      <c r="B870" s="69"/>
      <c r="C870" s="70"/>
      <c r="D870" s="71"/>
    </row>
    <row r="871" spans="2:4" x14ac:dyDescent="0.15">
      <c r="B871" s="69"/>
      <c r="C871" s="70"/>
      <c r="D871" s="71"/>
    </row>
    <row r="872" spans="2:4" x14ac:dyDescent="0.15">
      <c r="B872" s="69"/>
      <c r="C872" s="70"/>
      <c r="D872" s="71"/>
    </row>
    <row r="873" spans="2:4" x14ac:dyDescent="0.15">
      <c r="B873" s="69"/>
      <c r="C873" s="70"/>
      <c r="D873" s="71"/>
    </row>
    <row r="874" spans="2:4" x14ac:dyDescent="0.15">
      <c r="B874" s="69"/>
      <c r="C874" s="70"/>
      <c r="D874" s="71"/>
    </row>
    <row r="875" spans="2:4" x14ac:dyDescent="0.15">
      <c r="B875" s="69"/>
      <c r="C875" s="70"/>
      <c r="D875" s="71"/>
    </row>
    <row r="876" spans="2:4" x14ac:dyDescent="0.15">
      <c r="B876" s="69"/>
      <c r="C876" s="70"/>
      <c r="D876" s="71"/>
    </row>
    <row r="877" spans="2:4" x14ac:dyDescent="0.15">
      <c r="B877" s="69"/>
      <c r="C877" s="70"/>
      <c r="D877" s="71"/>
    </row>
    <row r="878" spans="2:4" x14ac:dyDescent="0.15">
      <c r="B878" s="69"/>
      <c r="C878" s="70"/>
      <c r="D878" s="71"/>
    </row>
    <row r="879" spans="2:4" x14ac:dyDescent="0.15">
      <c r="B879" s="69"/>
      <c r="C879" s="70"/>
      <c r="D879" s="71"/>
    </row>
    <row r="880" spans="2:4" x14ac:dyDescent="0.15">
      <c r="B880" s="69"/>
      <c r="C880" s="70"/>
      <c r="D880" s="71"/>
    </row>
    <row r="881" spans="2:4" x14ac:dyDescent="0.15">
      <c r="B881" s="69"/>
      <c r="C881" s="70"/>
      <c r="D881" s="71"/>
    </row>
    <row r="882" spans="2:4" x14ac:dyDescent="0.15">
      <c r="B882" s="69"/>
      <c r="C882" s="70"/>
      <c r="D882" s="71"/>
    </row>
    <row r="883" spans="2:4" x14ac:dyDescent="0.15">
      <c r="B883" s="69"/>
      <c r="C883" s="70"/>
      <c r="D883" s="71"/>
    </row>
    <row r="884" spans="2:4" x14ac:dyDescent="0.15">
      <c r="B884" s="69"/>
      <c r="C884" s="70"/>
      <c r="D884" s="71"/>
    </row>
    <row r="885" spans="2:4" x14ac:dyDescent="0.15">
      <c r="B885" s="69"/>
      <c r="C885" s="70"/>
      <c r="D885" s="71"/>
    </row>
    <row r="886" spans="2:4" x14ac:dyDescent="0.15">
      <c r="B886" s="69"/>
      <c r="C886" s="70"/>
      <c r="D886" s="71"/>
    </row>
    <row r="887" spans="2:4" x14ac:dyDescent="0.15">
      <c r="B887" s="69"/>
      <c r="C887" s="70"/>
      <c r="D887" s="71"/>
    </row>
    <row r="888" spans="2:4" x14ac:dyDescent="0.15">
      <c r="B888" s="69"/>
      <c r="C888" s="70"/>
      <c r="D888" s="71"/>
    </row>
    <row r="889" spans="2:4" x14ac:dyDescent="0.15">
      <c r="B889" s="69"/>
      <c r="C889" s="70"/>
      <c r="D889" s="71"/>
    </row>
    <row r="890" spans="2:4" x14ac:dyDescent="0.15">
      <c r="B890" s="69"/>
      <c r="C890" s="70"/>
      <c r="D890" s="71"/>
    </row>
    <row r="891" spans="2:4" x14ac:dyDescent="0.15">
      <c r="B891" s="69"/>
      <c r="C891" s="70"/>
      <c r="D891" s="71"/>
    </row>
    <row r="892" spans="2:4" x14ac:dyDescent="0.15">
      <c r="B892" s="69"/>
      <c r="C892" s="70"/>
      <c r="D892" s="71"/>
    </row>
    <row r="893" spans="2:4" x14ac:dyDescent="0.15">
      <c r="B893" s="69"/>
      <c r="C893" s="70"/>
      <c r="D893" s="71"/>
    </row>
    <row r="894" spans="2:4" x14ac:dyDescent="0.15">
      <c r="B894" s="69"/>
      <c r="C894" s="70"/>
      <c r="D894" s="71"/>
    </row>
    <row r="895" spans="2:4" x14ac:dyDescent="0.15">
      <c r="B895" s="69"/>
      <c r="C895" s="70"/>
      <c r="D895" s="71"/>
    </row>
    <row r="896" spans="2:4" x14ac:dyDescent="0.15">
      <c r="B896" s="69"/>
      <c r="C896" s="70"/>
      <c r="D896" s="71"/>
    </row>
    <row r="897" spans="2:4" x14ac:dyDescent="0.15">
      <c r="B897" s="69"/>
      <c r="C897" s="70"/>
      <c r="D897" s="71"/>
    </row>
    <row r="898" spans="2:4" x14ac:dyDescent="0.15">
      <c r="B898" s="69"/>
      <c r="C898" s="70"/>
      <c r="D898" s="71"/>
    </row>
    <row r="899" spans="2:4" x14ac:dyDescent="0.15">
      <c r="B899" s="69"/>
      <c r="C899" s="70"/>
      <c r="D899" s="71"/>
    </row>
    <row r="900" spans="2:4" x14ac:dyDescent="0.15">
      <c r="B900" s="69"/>
      <c r="C900" s="70"/>
      <c r="D900" s="71"/>
    </row>
    <row r="901" spans="2:4" x14ac:dyDescent="0.15">
      <c r="B901" s="69"/>
      <c r="C901" s="70"/>
      <c r="D901" s="71"/>
    </row>
    <row r="902" spans="2:4" x14ac:dyDescent="0.15">
      <c r="B902" s="69"/>
      <c r="C902" s="70"/>
      <c r="D902" s="71"/>
    </row>
    <row r="903" spans="2:4" x14ac:dyDescent="0.15">
      <c r="B903" s="69"/>
      <c r="C903" s="70"/>
      <c r="D903" s="71"/>
    </row>
    <row r="904" spans="2:4" x14ac:dyDescent="0.15">
      <c r="B904" s="69"/>
      <c r="C904" s="70"/>
      <c r="D904" s="71"/>
    </row>
    <row r="905" spans="2:4" x14ac:dyDescent="0.15">
      <c r="B905" s="69"/>
      <c r="C905" s="70"/>
      <c r="D905" s="71"/>
    </row>
    <row r="906" spans="2:4" x14ac:dyDescent="0.15">
      <c r="B906" s="69"/>
      <c r="C906" s="70"/>
      <c r="D906" s="71"/>
    </row>
    <row r="907" spans="2:4" x14ac:dyDescent="0.15">
      <c r="B907" s="69"/>
      <c r="C907" s="70"/>
      <c r="D907" s="71"/>
    </row>
    <row r="908" spans="2:4" x14ac:dyDescent="0.15">
      <c r="B908" s="69"/>
      <c r="C908" s="70"/>
      <c r="D908" s="71"/>
    </row>
    <row r="909" spans="2:4" x14ac:dyDescent="0.15">
      <c r="B909" s="69"/>
      <c r="C909" s="70"/>
      <c r="D909" s="71"/>
    </row>
    <row r="910" spans="2:4" x14ac:dyDescent="0.15">
      <c r="B910" s="69"/>
      <c r="C910" s="70"/>
      <c r="D910" s="71"/>
    </row>
    <row r="911" spans="2:4" x14ac:dyDescent="0.15">
      <c r="B911" s="69"/>
      <c r="C911" s="70"/>
      <c r="D911" s="71"/>
    </row>
    <row r="912" spans="2:4" x14ac:dyDescent="0.15">
      <c r="B912" s="69"/>
      <c r="C912" s="70"/>
      <c r="D912" s="71"/>
    </row>
    <row r="913" spans="2:4" x14ac:dyDescent="0.15">
      <c r="B913" s="69"/>
      <c r="C913" s="70"/>
      <c r="D913" s="71"/>
    </row>
    <row r="914" spans="2:4" x14ac:dyDescent="0.15">
      <c r="B914" s="69"/>
      <c r="C914" s="70"/>
      <c r="D914" s="71"/>
    </row>
    <row r="915" spans="2:4" x14ac:dyDescent="0.15">
      <c r="B915" s="69"/>
      <c r="C915" s="70"/>
      <c r="D915" s="71"/>
    </row>
    <row r="916" spans="2:4" x14ac:dyDescent="0.15">
      <c r="B916" s="69"/>
      <c r="C916" s="70"/>
      <c r="D916" s="71"/>
    </row>
    <row r="917" spans="2:4" x14ac:dyDescent="0.15">
      <c r="B917" s="69"/>
      <c r="C917" s="70"/>
      <c r="D917" s="71"/>
    </row>
    <row r="918" spans="2:4" x14ac:dyDescent="0.15">
      <c r="B918" s="69"/>
      <c r="C918" s="70"/>
      <c r="D918" s="71"/>
    </row>
    <row r="919" spans="2:4" x14ac:dyDescent="0.15">
      <c r="B919" s="69"/>
      <c r="C919" s="70"/>
      <c r="D919" s="71"/>
    </row>
    <row r="920" spans="2:4" x14ac:dyDescent="0.15">
      <c r="B920" s="69"/>
      <c r="C920" s="70"/>
      <c r="D920" s="71"/>
    </row>
    <row r="921" spans="2:4" x14ac:dyDescent="0.15">
      <c r="B921" s="69"/>
      <c r="C921" s="70"/>
      <c r="D921" s="71"/>
    </row>
    <row r="922" spans="2:4" x14ac:dyDescent="0.15">
      <c r="B922" s="69"/>
      <c r="C922" s="70"/>
      <c r="D922" s="71"/>
    </row>
    <row r="923" spans="2:4" x14ac:dyDescent="0.15">
      <c r="B923" s="69"/>
      <c r="C923" s="70"/>
      <c r="D923" s="71"/>
    </row>
    <row r="924" spans="2:4" x14ac:dyDescent="0.15">
      <c r="B924" s="69"/>
      <c r="C924" s="70"/>
      <c r="D924" s="71"/>
    </row>
    <row r="925" spans="2:4" x14ac:dyDescent="0.15">
      <c r="B925" s="69"/>
      <c r="C925" s="70"/>
      <c r="D925" s="71"/>
    </row>
    <row r="926" spans="2:4" x14ac:dyDescent="0.15">
      <c r="B926" s="69"/>
      <c r="C926" s="70"/>
      <c r="D926" s="71"/>
    </row>
    <row r="927" spans="2:4" x14ac:dyDescent="0.15">
      <c r="B927" s="69"/>
      <c r="C927" s="70"/>
      <c r="D927" s="71"/>
    </row>
    <row r="928" spans="2:4" x14ac:dyDescent="0.15">
      <c r="B928" s="69"/>
      <c r="C928" s="70"/>
      <c r="D928" s="71"/>
    </row>
    <row r="929" spans="2:4" x14ac:dyDescent="0.15">
      <c r="B929" s="69"/>
      <c r="C929" s="70"/>
      <c r="D929" s="71"/>
    </row>
    <row r="930" spans="2:4" x14ac:dyDescent="0.15">
      <c r="B930" s="69"/>
      <c r="C930" s="70"/>
      <c r="D930" s="71"/>
    </row>
    <row r="931" spans="2:4" x14ac:dyDescent="0.15">
      <c r="B931" s="69"/>
      <c r="C931" s="70"/>
      <c r="D931" s="71"/>
    </row>
    <row r="932" spans="2:4" x14ac:dyDescent="0.15">
      <c r="B932" s="69"/>
      <c r="C932" s="70"/>
      <c r="D932" s="71"/>
    </row>
    <row r="933" spans="2:4" x14ac:dyDescent="0.15">
      <c r="B933" s="69"/>
      <c r="C933" s="70"/>
      <c r="D933" s="71"/>
    </row>
    <row r="934" spans="2:4" x14ac:dyDescent="0.15">
      <c r="B934" s="69"/>
      <c r="C934" s="70"/>
      <c r="D934" s="71"/>
    </row>
    <row r="935" spans="2:4" x14ac:dyDescent="0.15">
      <c r="B935" s="69"/>
      <c r="C935" s="70"/>
      <c r="D935" s="71"/>
    </row>
    <row r="936" spans="2:4" x14ac:dyDescent="0.15">
      <c r="B936" s="69"/>
      <c r="C936" s="70"/>
      <c r="D936" s="71"/>
    </row>
    <row r="937" spans="2:4" x14ac:dyDescent="0.15">
      <c r="B937" s="69"/>
      <c r="C937" s="70"/>
      <c r="D937" s="71"/>
    </row>
    <row r="938" spans="2:4" x14ac:dyDescent="0.15">
      <c r="B938" s="69"/>
      <c r="C938" s="70"/>
      <c r="D938" s="71"/>
    </row>
    <row r="939" spans="2:4" x14ac:dyDescent="0.15">
      <c r="B939" s="69"/>
      <c r="C939" s="70"/>
      <c r="D939" s="71"/>
    </row>
    <row r="940" spans="2:4" x14ac:dyDescent="0.15">
      <c r="B940" s="69"/>
      <c r="C940" s="70"/>
      <c r="D940" s="71"/>
    </row>
    <row r="941" spans="2:4" x14ac:dyDescent="0.15">
      <c r="B941" s="69"/>
      <c r="C941" s="70"/>
      <c r="D941" s="71"/>
    </row>
    <row r="942" spans="2:4" x14ac:dyDescent="0.15">
      <c r="B942" s="69"/>
      <c r="C942" s="70"/>
      <c r="D942" s="71"/>
    </row>
    <row r="943" spans="2:4" x14ac:dyDescent="0.15">
      <c r="B943" s="69"/>
      <c r="C943" s="70"/>
      <c r="D943" s="71"/>
    </row>
    <row r="944" spans="2:4" x14ac:dyDescent="0.15">
      <c r="B944" s="69"/>
      <c r="C944" s="70"/>
      <c r="D944" s="71"/>
    </row>
    <row r="945" spans="2:4" x14ac:dyDescent="0.15">
      <c r="B945" s="69"/>
      <c r="C945" s="70"/>
      <c r="D945" s="71"/>
    </row>
    <row r="946" spans="2:4" x14ac:dyDescent="0.15">
      <c r="B946" s="69"/>
      <c r="C946" s="70"/>
      <c r="D946" s="71"/>
    </row>
    <row r="947" spans="2:4" x14ac:dyDescent="0.15">
      <c r="B947" s="69"/>
      <c r="C947" s="70"/>
      <c r="D947" s="71"/>
    </row>
    <row r="948" spans="2:4" x14ac:dyDescent="0.15">
      <c r="B948" s="69"/>
      <c r="C948" s="70"/>
      <c r="D948" s="71"/>
    </row>
    <row r="949" spans="2:4" x14ac:dyDescent="0.15">
      <c r="B949" s="69"/>
      <c r="C949" s="70"/>
      <c r="D949" s="71"/>
    </row>
    <row r="950" spans="2:4" x14ac:dyDescent="0.15">
      <c r="B950" s="69"/>
      <c r="C950" s="70"/>
      <c r="D950" s="71"/>
    </row>
    <row r="951" spans="2:4" x14ac:dyDescent="0.15">
      <c r="B951" s="69"/>
      <c r="C951" s="70"/>
      <c r="D951" s="71"/>
    </row>
    <row r="952" spans="2:4" x14ac:dyDescent="0.15">
      <c r="B952" s="69"/>
      <c r="C952" s="70"/>
      <c r="D952" s="71"/>
    </row>
    <row r="953" spans="2:4" x14ac:dyDescent="0.15">
      <c r="B953" s="69"/>
      <c r="C953" s="70"/>
      <c r="D953" s="71"/>
    </row>
    <row r="954" spans="2:4" x14ac:dyDescent="0.15">
      <c r="B954" s="69"/>
      <c r="C954" s="70"/>
      <c r="D954" s="71"/>
    </row>
    <row r="955" spans="2:4" x14ac:dyDescent="0.15">
      <c r="B955" s="69"/>
      <c r="C955" s="70"/>
      <c r="D955" s="71"/>
    </row>
    <row r="956" spans="2:4" x14ac:dyDescent="0.15">
      <c r="B956" s="69"/>
      <c r="C956" s="70"/>
      <c r="D956" s="71"/>
    </row>
    <row r="957" spans="2:4" x14ac:dyDescent="0.15">
      <c r="B957" s="69"/>
      <c r="C957" s="70"/>
      <c r="D957" s="71"/>
    </row>
    <row r="958" spans="2:4" x14ac:dyDescent="0.15">
      <c r="B958" s="69"/>
      <c r="C958" s="70"/>
      <c r="D958" s="71"/>
    </row>
    <row r="959" spans="2:4" x14ac:dyDescent="0.15">
      <c r="B959" s="69"/>
      <c r="C959" s="70"/>
      <c r="D959" s="71"/>
    </row>
    <row r="960" spans="2:4" x14ac:dyDescent="0.15">
      <c r="B960" s="69"/>
      <c r="C960" s="70"/>
      <c r="D960" s="71"/>
    </row>
    <row r="961" spans="2:4" x14ac:dyDescent="0.15">
      <c r="B961" s="69"/>
      <c r="C961" s="70"/>
      <c r="D961" s="71"/>
    </row>
    <row r="962" spans="2:4" x14ac:dyDescent="0.15">
      <c r="B962" s="69"/>
      <c r="C962" s="70"/>
      <c r="D962" s="71"/>
    </row>
    <row r="963" spans="2:4" x14ac:dyDescent="0.15">
      <c r="B963" s="69"/>
      <c r="C963" s="70"/>
      <c r="D963" s="71"/>
    </row>
    <row r="964" spans="2:4" x14ac:dyDescent="0.15">
      <c r="B964" s="69"/>
      <c r="C964" s="70"/>
      <c r="D964" s="71"/>
    </row>
    <row r="965" spans="2:4" x14ac:dyDescent="0.15">
      <c r="B965" s="69"/>
      <c r="C965" s="70"/>
      <c r="D965" s="71"/>
    </row>
    <row r="966" spans="2:4" x14ac:dyDescent="0.15">
      <c r="B966" s="69"/>
      <c r="C966" s="70"/>
      <c r="D966" s="71"/>
    </row>
    <row r="967" spans="2:4" x14ac:dyDescent="0.15">
      <c r="B967" s="69"/>
      <c r="C967" s="70"/>
      <c r="D967" s="71"/>
    </row>
    <row r="968" spans="2:4" x14ac:dyDescent="0.15">
      <c r="B968" s="69"/>
      <c r="C968" s="70"/>
      <c r="D968" s="71"/>
    </row>
    <row r="969" spans="2:4" x14ac:dyDescent="0.15">
      <c r="B969" s="69"/>
      <c r="C969" s="70"/>
      <c r="D969" s="71"/>
    </row>
    <row r="970" spans="2:4" x14ac:dyDescent="0.15">
      <c r="B970" s="69"/>
      <c r="C970" s="70"/>
      <c r="D970" s="71"/>
    </row>
    <row r="971" spans="2:4" x14ac:dyDescent="0.15">
      <c r="B971" s="69"/>
      <c r="C971" s="70"/>
      <c r="D971" s="71"/>
    </row>
    <row r="972" spans="2:4" x14ac:dyDescent="0.15">
      <c r="B972" s="69"/>
      <c r="C972" s="70"/>
      <c r="D972" s="71"/>
    </row>
    <row r="973" spans="2:4" x14ac:dyDescent="0.15">
      <c r="B973" s="69"/>
      <c r="C973" s="70"/>
      <c r="D973" s="71"/>
    </row>
    <row r="974" spans="2:4" x14ac:dyDescent="0.15">
      <c r="B974" s="69"/>
      <c r="C974" s="70"/>
      <c r="D974" s="71"/>
    </row>
    <row r="975" spans="2:4" x14ac:dyDescent="0.15">
      <c r="B975" s="69"/>
      <c r="C975" s="70"/>
      <c r="D975" s="71"/>
    </row>
    <row r="976" spans="2:4" x14ac:dyDescent="0.15">
      <c r="B976" s="69"/>
      <c r="C976" s="70"/>
      <c r="D976" s="71"/>
    </row>
    <row r="977" spans="2:4" x14ac:dyDescent="0.15">
      <c r="B977" s="69"/>
      <c r="C977" s="70"/>
      <c r="D977" s="71"/>
    </row>
    <row r="978" spans="2:4" x14ac:dyDescent="0.15">
      <c r="B978" s="69"/>
      <c r="C978" s="70"/>
      <c r="D978" s="71"/>
    </row>
    <row r="979" spans="2:4" x14ac:dyDescent="0.15">
      <c r="B979" s="69"/>
      <c r="C979" s="70"/>
      <c r="D979" s="71"/>
    </row>
    <row r="980" spans="2:4" x14ac:dyDescent="0.15">
      <c r="B980" s="69"/>
      <c r="C980" s="70"/>
      <c r="D980" s="71"/>
    </row>
    <row r="981" spans="2:4" x14ac:dyDescent="0.15">
      <c r="B981" s="69"/>
      <c r="C981" s="70"/>
      <c r="D981" s="71"/>
    </row>
    <row r="982" spans="2:4" x14ac:dyDescent="0.15">
      <c r="B982" s="69"/>
      <c r="C982" s="70"/>
      <c r="D982" s="71"/>
    </row>
    <row r="983" spans="2:4" x14ac:dyDescent="0.15">
      <c r="B983" s="69"/>
      <c r="C983" s="70"/>
      <c r="D983" s="71"/>
    </row>
    <row r="984" spans="2:4" x14ac:dyDescent="0.15">
      <c r="B984" s="69"/>
      <c r="C984" s="70"/>
      <c r="D984" s="71"/>
    </row>
    <row r="985" spans="2:4" x14ac:dyDescent="0.15">
      <c r="B985" s="69"/>
      <c r="C985" s="70"/>
      <c r="D985" s="71"/>
    </row>
    <row r="986" spans="2:4" x14ac:dyDescent="0.15">
      <c r="B986" s="69"/>
      <c r="C986" s="70"/>
      <c r="D986" s="71"/>
    </row>
    <row r="987" spans="2:4" x14ac:dyDescent="0.15">
      <c r="B987" s="69"/>
      <c r="C987" s="70"/>
      <c r="D987" s="71"/>
    </row>
    <row r="988" spans="2:4" x14ac:dyDescent="0.15">
      <c r="B988" s="69"/>
      <c r="C988" s="70"/>
      <c r="D988" s="71"/>
    </row>
    <row r="989" spans="2:4" x14ac:dyDescent="0.15">
      <c r="B989" s="69"/>
      <c r="C989" s="70"/>
      <c r="D989" s="71"/>
    </row>
    <row r="990" spans="2:4" x14ac:dyDescent="0.15">
      <c r="B990" s="69"/>
      <c r="C990" s="70"/>
      <c r="D990" s="71"/>
    </row>
    <row r="991" spans="2:4" x14ac:dyDescent="0.15">
      <c r="B991" s="69"/>
      <c r="C991" s="70"/>
      <c r="D991" s="71"/>
    </row>
    <row r="992" spans="2:4" x14ac:dyDescent="0.15">
      <c r="B992" s="69"/>
      <c r="C992" s="70"/>
      <c r="D992" s="71"/>
    </row>
    <row r="993" spans="2:4" x14ac:dyDescent="0.15">
      <c r="B993" s="69"/>
      <c r="C993" s="70"/>
      <c r="D993" s="71"/>
    </row>
    <row r="994" spans="2:4" x14ac:dyDescent="0.15">
      <c r="B994" s="69"/>
      <c r="C994" s="70"/>
      <c r="D994" s="71"/>
    </row>
    <row r="995" spans="2:4" x14ac:dyDescent="0.15">
      <c r="B995" s="69"/>
      <c r="C995" s="70"/>
      <c r="D995" s="71"/>
    </row>
    <row r="996" spans="2:4" x14ac:dyDescent="0.15">
      <c r="B996" s="69"/>
      <c r="C996" s="70"/>
      <c r="D996" s="71"/>
    </row>
    <row r="997" spans="2:4" x14ac:dyDescent="0.15">
      <c r="B997" s="69"/>
      <c r="C997" s="70"/>
      <c r="D997" s="71"/>
    </row>
    <row r="998" spans="2:4" x14ac:dyDescent="0.15">
      <c r="B998" s="69"/>
      <c r="C998" s="70"/>
      <c r="D998" s="71"/>
    </row>
    <row r="999" spans="2:4" x14ac:dyDescent="0.15">
      <c r="B999" s="69"/>
      <c r="C999" s="70"/>
      <c r="D999" s="71"/>
    </row>
    <row r="1000" spans="2:4" x14ac:dyDescent="0.15">
      <c r="B1000" s="69"/>
      <c r="C1000" s="70"/>
      <c r="D1000" s="71"/>
    </row>
    <row r="1001" spans="2:4" x14ac:dyDescent="0.15">
      <c r="B1001" s="69"/>
      <c r="C1001" s="70"/>
      <c r="D1001" s="71"/>
    </row>
    <row r="1002" spans="2:4" x14ac:dyDescent="0.15">
      <c r="B1002" s="69"/>
      <c r="C1002" s="70"/>
      <c r="D1002" s="71"/>
    </row>
    <row r="1003" spans="2:4" x14ac:dyDescent="0.15">
      <c r="B1003" s="69"/>
      <c r="C1003" s="70"/>
      <c r="D1003" s="71"/>
    </row>
    <row r="1004" spans="2:4" x14ac:dyDescent="0.15">
      <c r="B1004" s="69"/>
      <c r="C1004" s="70"/>
      <c r="D1004" s="71"/>
    </row>
    <row r="1005" spans="2:4" x14ac:dyDescent="0.15">
      <c r="B1005" s="69"/>
      <c r="C1005" s="70"/>
      <c r="D1005" s="71"/>
    </row>
    <row r="1006" spans="2:4" x14ac:dyDescent="0.15">
      <c r="B1006" s="69"/>
      <c r="C1006" s="70"/>
      <c r="D1006" s="71"/>
    </row>
    <row r="1007" spans="2:4" x14ac:dyDescent="0.15">
      <c r="B1007" s="69"/>
      <c r="C1007" s="70"/>
      <c r="D1007" s="71"/>
    </row>
    <row r="1008" spans="2:4" x14ac:dyDescent="0.15">
      <c r="B1008" s="69"/>
      <c r="C1008" s="70"/>
      <c r="D1008" s="71"/>
    </row>
    <row r="1009" spans="2:4" x14ac:dyDescent="0.15">
      <c r="B1009" s="69"/>
      <c r="C1009" s="70"/>
      <c r="D1009" s="71"/>
    </row>
    <row r="1010" spans="2:4" x14ac:dyDescent="0.15">
      <c r="B1010" s="69"/>
      <c r="C1010" s="70"/>
      <c r="D1010" s="71"/>
    </row>
    <row r="1011" spans="2:4" x14ac:dyDescent="0.15">
      <c r="B1011" s="69"/>
      <c r="C1011" s="70"/>
      <c r="D1011" s="71"/>
    </row>
    <row r="1012" spans="2:4" x14ac:dyDescent="0.15">
      <c r="B1012" s="69"/>
      <c r="C1012" s="70"/>
      <c r="D1012" s="71"/>
    </row>
    <row r="1013" spans="2:4" x14ac:dyDescent="0.15">
      <c r="B1013" s="69"/>
      <c r="C1013" s="70"/>
      <c r="D1013" s="71"/>
    </row>
    <row r="1014" spans="2:4" x14ac:dyDescent="0.15">
      <c r="B1014" s="69"/>
      <c r="C1014" s="70"/>
      <c r="D1014" s="71"/>
    </row>
    <row r="1015" spans="2:4" x14ac:dyDescent="0.15">
      <c r="B1015" s="69"/>
      <c r="C1015" s="70"/>
      <c r="D1015" s="71"/>
    </row>
    <row r="1016" spans="2:4" x14ac:dyDescent="0.15">
      <c r="B1016" s="69"/>
      <c r="C1016" s="70"/>
      <c r="D1016" s="71"/>
    </row>
    <row r="1017" spans="2:4" x14ac:dyDescent="0.15">
      <c r="B1017" s="69"/>
      <c r="C1017" s="70"/>
      <c r="D1017" s="71"/>
    </row>
    <row r="1018" spans="2:4" x14ac:dyDescent="0.15">
      <c r="B1018" s="69"/>
      <c r="C1018" s="70"/>
      <c r="D1018" s="71"/>
    </row>
    <row r="1019" spans="2:4" x14ac:dyDescent="0.15">
      <c r="B1019" s="69"/>
      <c r="C1019" s="70"/>
      <c r="D1019" s="71"/>
    </row>
    <row r="1020" spans="2:4" x14ac:dyDescent="0.15">
      <c r="B1020" s="69"/>
      <c r="C1020" s="70"/>
      <c r="D1020" s="71"/>
    </row>
    <row r="1021" spans="2:4" x14ac:dyDescent="0.15">
      <c r="B1021" s="69"/>
      <c r="C1021" s="70"/>
      <c r="D1021" s="71"/>
    </row>
    <row r="1022" spans="2:4" x14ac:dyDescent="0.15">
      <c r="B1022" s="69"/>
      <c r="C1022" s="70"/>
      <c r="D1022" s="71"/>
    </row>
    <row r="1023" spans="2:4" x14ac:dyDescent="0.15">
      <c r="B1023" s="69"/>
      <c r="C1023" s="70"/>
      <c r="D1023" s="71"/>
    </row>
    <row r="1024" spans="2:4" x14ac:dyDescent="0.15">
      <c r="B1024" s="69"/>
      <c r="C1024" s="70"/>
      <c r="D1024" s="71"/>
    </row>
    <row r="1025" spans="2:4" x14ac:dyDescent="0.15">
      <c r="B1025" s="69"/>
      <c r="C1025" s="70"/>
      <c r="D1025" s="71"/>
    </row>
    <row r="1026" spans="2:4" x14ac:dyDescent="0.15">
      <c r="B1026" s="69"/>
      <c r="C1026" s="70"/>
      <c r="D1026" s="71"/>
    </row>
    <row r="1027" spans="2:4" x14ac:dyDescent="0.15">
      <c r="B1027" s="69"/>
      <c r="C1027" s="70"/>
      <c r="D1027" s="71"/>
    </row>
    <row r="1028" spans="2:4" x14ac:dyDescent="0.15">
      <c r="B1028" s="69"/>
      <c r="C1028" s="70"/>
      <c r="D1028" s="71"/>
    </row>
    <row r="1029" spans="2:4" x14ac:dyDescent="0.15">
      <c r="B1029" s="69"/>
      <c r="C1029" s="70"/>
      <c r="D1029" s="71"/>
    </row>
    <row r="1030" spans="2:4" x14ac:dyDescent="0.15">
      <c r="B1030" s="69"/>
      <c r="C1030" s="70"/>
      <c r="D1030" s="71"/>
    </row>
    <row r="1031" spans="2:4" x14ac:dyDescent="0.15">
      <c r="B1031" s="69"/>
      <c r="C1031" s="70"/>
      <c r="D1031" s="71"/>
    </row>
    <row r="1032" spans="2:4" x14ac:dyDescent="0.15">
      <c r="B1032" s="69"/>
      <c r="C1032" s="70"/>
      <c r="D1032" s="71"/>
    </row>
    <row r="1033" spans="2:4" x14ac:dyDescent="0.15">
      <c r="B1033" s="69"/>
      <c r="C1033" s="70"/>
      <c r="D1033" s="71"/>
    </row>
    <row r="1034" spans="2:4" x14ac:dyDescent="0.15">
      <c r="B1034" s="69"/>
      <c r="C1034" s="70"/>
      <c r="D1034" s="71"/>
    </row>
    <row r="1035" spans="2:4" x14ac:dyDescent="0.15">
      <c r="B1035" s="69"/>
      <c r="C1035" s="70"/>
      <c r="D1035" s="71"/>
    </row>
    <row r="1036" spans="2:4" x14ac:dyDescent="0.15">
      <c r="B1036" s="69"/>
      <c r="C1036" s="70"/>
      <c r="D1036" s="71"/>
    </row>
    <row r="1037" spans="2:4" x14ac:dyDescent="0.15">
      <c r="B1037" s="69"/>
      <c r="C1037" s="70"/>
      <c r="D1037" s="71"/>
    </row>
    <row r="1038" spans="2:4" x14ac:dyDescent="0.15">
      <c r="B1038" s="69"/>
      <c r="C1038" s="70"/>
      <c r="D1038" s="71"/>
    </row>
    <row r="1039" spans="2:4" x14ac:dyDescent="0.15">
      <c r="B1039" s="69"/>
      <c r="C1039" s="70"/>
      <c r="D1039" s="71"/>
    </row>
    <row r="1040" spans="2:4" x14ac:dyDescent="0.15">
      <c r="B1040" s="69"/>
      <c r="C1040" s="70"/>
      <c r="D1040" s="71"/>
    </row>
    <row r="1041" spans="2:4" x14ac:dyDescent="0.15">
      <c r="B1041" s="69"/>
      <c r="C1041" s="70"/>
      <c r="D1041" s="71"/>
    </row>
    <row r="1042" spans="2:4" x14ac:dyDescent="0.15">
      <c r="B1042" s="69"/>
      <c r="C1042" s="70"/>
      <c r="D1042" s="71"/>
    </row>
    <row r="1043" spans="2:4" x14ac:dyDescent="0.15">
      <c r="B1043" s="69"/>
      <c r="C1043" s="70"/>
      <c r="D1043" s="71"/>
    </row>
    <row r="1044" spans="2:4" x14ac:dyDescent="0.15">
      <c r="B1044" s="69"/>
      <c r="C1044" s="70"/>
      <c r="D1044" s="71"/>
    </row>
    <row r="1045" spans="2:4" x14ac:dyDescent="0.15">
      <c r="B1045" s="69"/>
      <c r="C1045" s="70"/>
      <c r="D1045" s="71"/>
    </row>
    <row r="1046" spans="2:4" x14ac:dyDescent="0.15">
      <c r="B1046" s="69"/>
      <c r="C1046" s="70"/>
      <c r="D1046" s="71"/>
    </row>
    <row r="1047" spans="2:4" x14ac:dyDescent="0.15">
      <c r="B1047" s="69"/>
      <c r="C1047" s="70"/>
      <c r="D1047" s="71"/>
    </row>
    <row r="1048" spans="2:4" x14ac:dyDescent="0.15">
      <c r="B1048" s="69"/>
      <c r="C1048" s="70"/>
      <c r="D1048" s="71"/>
    </row>
    <row r="1049" spans="2:4" x14ac:dyDescent="0.15">
      <c r="B1049" s="69"/>
      <c r="C1049" s="70"/>
      <c r="D1049" s="71"/>
    </row>
    <row r="1050" spans="2:4" x14ac:dyDescent="0.15">
      <c r="B1050" s="69"/>
      <c r="C1050" s="70"/>
      <c r="D1050" s="71"/>
    </row>
    <row r="1051" spans="2:4" x14ac:dyDescent="0.15">
      <c r="B1051" s="69"/>
      <c r="C1051" s="70"/>
      <c r="D1051" s="71"/>
    </row>
    <row r="1052" spans="2:4" x14ac:dyDescent="0.15">
      <c r="B1052" s="69"/>
      <c r="C1052" s="70"/>
      <c r="D1052" s="71"/>
    </row>
    <row r="1053" spans="2:4" x14ac:dyDescent="0.15">
      <c r="B1053" s="69"/>
      <c r="C1053" s="70"/>
      <c r="D1053" s="71"/>
    </row>
    <row r="1054" spans="2:4" x14ac:dyDescent="0.15">
      <c r="B1054" s="69"/>
      <c r="C1054" s="70"/>
      <c r="D1054" s="71"/>
    </row>
    <row r="1055" spans="2:4" x14ac:dyDescent="0.15">
      <c r="B1055" s="69"/>
      <c r="C1055" s="70"/>
      <c r="D1055" s="71"/>
    </row>
    <row r="1056" spans="2:4" x14ac:dyDescent="0.15">
      <c r="B1056" s="69"/>
      <c r="C1056" s="70"/>
      <c r="D1056" s="71"/>
    </row>
    <row r="1057" spans="2:4" x14ac:dyDescent="0.15">
      <c r="B1057" s="69"/>
      <c r="C1057" s="70"/>
      <c r="D1057" s="71"/>
    </row>
    <row r="1058" spans="2:4" x14ac:dyDescent="0.15">
      <c r="B1058" s="69"/>
      <c r="C1058" s="70"/>
      <c r="D1058" s="71"/>
    </row>
    <row r="1059" spans="2:4" x14ac:dyDescent="0.15">
      <c r="B1059" s="69"/>
      <c r="C1059" s="70"/>
      <c r="D1059" s="71"/>
    </row>
    <row r="1060" spans="2:4" x14ac:dyDescent="0.15">
      <c r="B1060" s="69"/>
      <c r="C1060" s="70"/>
      <c r="D1060" s="71"/>
    </row>
    <row r="1061" spans="2:4" x14ac:dyDescent="0.15">
      <c r="B1061" s="69"/>
      <c r="C1061" s="70"/>
      <c r="D1061" s="71"/>
    </row>
    <row r="1062" spans="2:4" x14ac:dyDescent="0.15">
      <c r="B1062" s="69"/>
      <c r="C1062" s="70"/>
      <c r="D1062" s="71"/>
    </row>
    <row r="1063" spans="2:4" x14ac:dyDescent="0.15">
      <c r="B1063" s="69"/>
      <c r="C1063" s="70"/>
      <c r="D1063" s="71"/>
    </row>
    <row r="1064" spans="2:4" x14ac:dyDescent="0.15">
      <c r="B1064" s="69"/>
      <c r="C1064" s="70"/>
      <c r="D1064" s="71"/>
    </row>
    <row r="1065" spans="2:4" x14ac:dyDescent="0.15">
      <c r="B1065" s="69"/>
      <c r="C1065" s="70"/>
      <c r="D1065" s="71"/>
    </row>
    <row r="1066" spans="2:4" x14ac:dyDescent="0.15">
      <c r="B1066" s="69"/>
      <c r="C1066" s="70"/>
      <c r="D1066" s="71"/>
    </row>
    <row r="1067" spans="2:4" x14ac:dyDescent="0.15">
      <c r="B1067" s="69"/>
      <c r="C1067" s="70"/>
      <c r="D1067" s="71"/>
    </row>
    <row r="1068" spans="2:4" x14ac:dyDescent="0.15">
      <c r="B1068" s="69"/>
      <c r="C1068" s="70"/>
      <c r="D1068" s="71"/>
    </row>
    <row r="1069" spans="2:4" x14ac:dyDescent="0.15">
      <c r="B1069" s="69"/>
      <c r="C1069" s="70"/>
      <c r="D1069" s="71"/>
    </row>
    <row r="1070" spans="2:4" x14ac:dyDescent="0.15">
      <c r="B1070" s="69"/>
      <c r="C1070" s="70"/>
      <c r="D1070" s="71"/>
    </row>
    <row r="1071" spans="2:4" x14ac:dyDescent="0.15">
      <c r="B1071" s="69"/>
      <c r="C1071" s="70"/>
      <c r="D1071" s="71"/>
    </row>
    <row r="1072" spans="2:4" x14ac:dyDescent="0.15">
      <c r="B1072" s="69"/>
      <c r="C1072" s="70"/>
      <c r="D1072" s="71"/>
    </row>
    <row r="1073" spans="2:4" x14ac:dyDescent="0.15">
      <c r="B1073" s="69"/>
      <c r="C1073" s="70"/>
      <c r="D1073" s="71"/>
    </row>
    <row r="1074" spans="2:4" x14ac:dyDescent="0.15">
      <c r="B1074" s="69"/>
      <c r="C1074" s="70"/>
      <c r="D1074" s="71"/>
    </row>
    <row r="1075" spans="2:4" x14ac:dyDescent="0.15">
      <c r="B1075" s="69"/>
      <c r="C1075" s="70"/>
      <c r="D1075" s="71"/>
    </row>
    <row r="1076" spans="2:4" x14ac:dyDescent="0.15">
      <c r="B1076" s="69"/>
      <c r="C1076" s="70"/>
      <c r="D1076" s="71"/>
    </row>
    <row r="1077" spans="2:4" x14ac:dyDescent="0.15">
      <c r="B1077" s="69"/>
      <c r="C1077" s="70"/>
      <c r="D1077" s="71"/>
    </row>
    <row r="1078" spans="2:4" x14ac:dyDescent="0.15">
      <c r="B1078" s="69"/>
      <c r="C1078" s="70"/>
      <c r="D1078" s="71"/>
    </row>
    <row r="1079" spans="2:4" x14ac:dyDescent="0.15">
      <c r="B1079" s="69"/>
      <c r="C1079" s="70"/>
      <c r="D1079" s="71"/>
    </row>
    <row r="1080" spans="2:4" x14ac:dyDescent="0.15">
      <c r="B1080" s="69"/>
      <c r="C1080" s="70"/>
      <c r="D1080" s="71"/>
    </row>
    <row r="1081" spans="2:4" x14ac:dyDescent="0.15">
      <c r="B1081" s="69"/>
      <c r="C1081" s="70"/>
      <c r="D1081" s="71"/>
    </row>
    <row r="1082" spans="2:4" x14ac:dyDescent="0.15">
      <c r="B1082" s="69"/>
      <c r="C1082" s="70"/>
      <c r="D1082" s="71"/>
    </row>
    <row r="1083" spans="2:4" x14ac:dyDescent="0.15">
      <c r="B1083" s="69"/>
      <c r="C1083" s="70"/>
      <c r="D1083" s="71"/>
    </row>
    <row r="1084" spans="2:4" x14ac:dyDescent="0.15">
      <c r="B1084" s="69"/>
      <c r="C1084" s="70"/>
      <c r="D1084" s="71"/>
    </row>
    <row r="1085" spans="2:4" x14ac:dyDescent="0.15">
      <c r="B1085" s="69"/>
      <c r="C1085" s="70"/>
      <c r="D1085" s="71"/>
    </row>
    <row r="1086" spans="2:4" x14ac:dyDescent="0.15">
      <c r="B1086" s="69"/>
      <c r="C1086" s="70"/>
      <c r="D1086" s="71"/>
    </row>
    <row r="1087" spans="2:4" x14ac:dyDescent="0.15">
      <c r="B1087" s="69"/>
      <c r="C1087" s="70"/>
      <c r="D1087" s="71"/>
    </row>
    <row r="1088" spans="2:4" x14ac:dyDescent="0.15">
      <c r="B1088" s="69"/>
      <c r="C1088" s="70"/>
      <c r="D1088" s="71"/>
    </row>
    <row r="1089" spans="2:4" x14ac:dyDescent="0.15">
      <c r="B1089" s="69"/>
      <c r="C1089" s="70"/>
      <c r="D1089" s="71"/>
    </row>
    <row r="1090" spans="2:4" x14ac:dyDescent="0.15">
      <c r="B1090" s="69"/>
      <c r="C1090" s="70"/>
      <c r="D1090" s="71"/>
    </row>
    <row r="1091" spans="2:4" x14ac:dyDescent="0.15">
      <c r="B1091" s="69"/>
      <c r="C1091" s="70"/>
      <c r="D1091" s="71"/>
    </row>
    <row r="1092" spans="2:4" x14ac:dyDescent="0.15">
      <c r="B1092" s="69"/>
      <c r="C1092" s="70"/>
      <c r="D1092" s="71"/>
    </row>
    <row r="1093" spans="2:4" x14ac:dyDescent="0.15">
      <c r="B1093" s="69"/>
      <c r="C1093" s="70"/>
      <c r="D1093" s="71"/>
    </row>
    <row r="1094" spans="2:4" x14ac:dyDescent="0.15">
      <c r="B1094" s="69"/>
      <c r="C1094" s="70"/>
      <c r="D1094" s="71"/>
    </row>
    <row r="1095" spans="2:4" x14ac:dyDescent="0.15">
      <c r="B1095" s="69"/>
      <c r="C1095" s="70"/>
      <c r="D1095" s="71"/>
    </row>
    <row r="1096" spans="2:4" x14ac:dyDescent="0.15">
      <c r="B1096" s="69"/>
      <c r="C1096" s="70"/>
      <c r="D1096" s="71"/>
    </row>
    <row r="1097" spans="2:4" x14ac:dyDescent="0.15">
      <c r="B1097" s="69"/>
      <c r="C1097" s="70"/>
      <c r="D1097" s="71"/>
    </row>
    <row r="1098" spans="2:4" x14ac:dyDescent="0.15">
      <c r="B1098" s="69"/>
      <c r="C1098" s="70"/>
      <c r="D1098" s="71"/>
    </row>
    <row r="1099" spans="2:4" x14ac:dyDescent="0.15">
      <c r="B1099" s="69"/>
      <c r="C1099" s="70"/>
      <c r="D1099" s="71"/>
    </row>
    <row r="1100" spans="2:4" x14ac:dyDescent="0.15">
      <c r="B1100" s="69"/>
      <c r="C1100" s="70"/>
      <c r="D1100" s="71"/>
    </row>
    <row r="1101" spans="2:4" x14ac:dyDescent="0.15">
      <c r="B1101" s="69"/>
      <c r="C1101" s="70"/>
      <c r="D1101" s="71"/>
    </row>
    <row r="1102" spans="2:4" x14ac:dyDescent="0.15">
      <c r="B1102" s="69"/>
      <c r="C1102" s="70"/>
      <c r="D1102" s="71"/>
    </row>
    <row r="1103" spans="2:4" x14ac:dyDescent="0.15">
      <c r="B1103" s="69"/>
      <c r="C1103" s="70"/>
      <c r="D1103" s="71"/>
    </row>
    <row r="1104" spans="2:4" x14ac:dyDescent="0.15">
      <c r="B1104" s="69"/>
      <c r="C1104" s="70"/>
      <c r="D1104" s="71"/>
    </row>
    <row r="1105" spans="2:4" x14ac:dyDescent="0.15">
      <c r="B1105" s="69"/>
      <c r="C1105" s="70"/>
      <c r="D1105" s="71"/>
    </row>
    <row r="1106" spans="2:4" x14ac:dyDescent="0.15">
      <c r="B1106" s="69"/>
      <c r="C1106" s="70"/>
      <c r="D1106" s="71"/>
    </row>
    <row r="1107" spans="2:4" x14ac:dyDescent="0.15">
      <c r="B1107" s="69"/>
      <c r="C1107" s="70"/>
      <c r="D1107" s="71"/>
    </row>
    <row r="1108" spans="2:4" x14ac:dyDescent="0.15">
      <c r="B1108" s="69"/>
      <c r="C1108" s="70"/>
      <c r="D1108" s="71"/>
    </row>
    <row r="1109" spans="2:4" x14ac:dyDescent="0.15">
      <c r="B1109" s="69"/>
      <c r="C1109" s="70"/>
      <c r="D1109" s="71"/>
    </row>
    <row r="1110" spans="2:4" x14ac:dyDescent="0.15">
      <c r="B1110" s="69"/>
      <c r="C1110" s="70"/>
      <c r="D1110" s="71"/>
    </row>
    <row r="1111" spans="2:4" x14ac:dyDescent="0.15">
      <c r="B1111" s="69"/>
      <c r="C1111" s="70"/>
      <c r="D1111" s="71"/>
    </row>
    <row r="1112" spans="2:4" x14ac:dyDescent="0.15">
      <c r="B1112" s="69"/>
      <c r="C1112" s="70"/>
      <c r="D1112" s="71"/>
    </row>
    <row r="1113" spans="2:4" x14ac:dyDescent="0.15">
      <c r="B1113" s="69"/>
      <c r="C1113" s="70"/>
      <c r="D1113" s="71"/>
    </row>
    <row r="1114" spans="2:4" x14ac:dyDescent="0.15">
      <c r="B1114" s="69"/>
      <c r="C1114" s="70"/>
      <c r="D1114" s="71"/>
    </row>
    <row r="1115" spans="2:4" x14ac:dyDescent="0.15">
      <c r="B1115" s="69"/>
      <c r="C1115" s="70"/>
      <c r="D1115" s="71"/>
    </row>
    <row r="1116" spans="2:4" x14ac:dyDescent="0.15">
      <c r="B1116" s="69"/>
      <c r="C1116" s="70"/>
      <c r="D1116" s="71"/>
    </row>
    <row r="1117" spans="2:4" x14ac:dyDescent="0.15">
      <c r="B1117" s="69"/>
      <c r="C1117" s="70"/>
      <c r="D1117" s="71"/>
    </row>
    <row r="1118" spans="2:4" x14ac:dyDescent="0.15">
      <c r="B1118" s="69"/>
      <c r="C1118" s="70"/>
      <c r="D1118" s="71"/>
    </row>
    <row r="1119" spans="2:4" x14ac:dyDescent="0.15">
      <c r="B1119" s="69"/>
      <c r="C1119" s="70"/>
      <c r="D1119" s="71"/>
    </row>
    <row r="1120" spans="2:4" x14ac:dyDescent="0.15">
      <c r="B1120" s="69"/>
      <c r="C1120" s="70"/>
      <c r="D1120" s="71"/>
    </row>
    <row r="1121" spans="2:4" x14ac:dyDescent="0.15">
      <c r="B1121" s="69"/>
      <c r="C1121" s="70"/>
      <c r="D1121" s="71"/>
    </row>
    <row r="1122" spans="2:4" x14ac:dyDescent="0.15">
      <c r="B1122" s="69"/>
      <c r="C1122" s="70"/>
      <c r="D1122" s="71"/>
    </row>
    <row r="1123" spans="2:4" x14ac:dyDescent="0.15">
      <c r="B1123" s="69"/>
      <c r="C1123" s="70"/>
      <c r="D1123" s="71"/>
    </row>
    <row r="1124" spans="2:4" x14ac:dyDescent="0.15">
      <c r="B1124" s="69"/>
      <c r="C1124" s="70"/>
      <c r="D1124" s="71"/>
    </row>
    <row r="1125" spans="2:4" x14ac:dyDescent="0.15">
      <c r="B1125" s="69"/>
      <c r="C1125" s="70"/>
      <c r="D1125" s="71"/>
    </row>
    <row r="1126" spans="2:4" x14ac:dyDescent="0.15">
      <c r="B1126" s="69"/>
      <c r="C1126" s="70"/>
      <c r="D1126" s="71"/>
    </row>
    <row r="1127" spans="2:4" x14ac:dyDescent="0.15">
      <c r="B1127" s="69"/>
      <c r="C1127" s="70"/>
      <c r="D1127" s="71"/>
    </row>
    <row r="1128" spans="2:4" x14ac:dyDescent="0.15">
      <c r="B1128" s="69"/>
      <c r="C1128" s="70"/>
      <c r="D1128" s="71"/>
    </row>
    <row r="1129" spans="2:4" x14ac:dyDescent="0.15">
      <c r="B1129" s="69"/>
      <c r="C1129" s="70"/>
      <c r="D1129" s="71"/>
    </row>
    <row r="1130" spans="2:4" x14ac:dyDescent="0.15">
      <c r="B1130" s="69"/>
      <c r="C1130" s="70"/>
      <c r="D1130" s="71"/>
    </row>
    <row r="1131" spans="2:4" x14ac:dyDescent="0.15">
      <c r="B1131" s="69"/>
      <c r="C1131" s="70"/>
      <c r="D1131" s="71"/>
    </row>
    <row r="1132" spans="2:4" x14ac:dyDescent="0.15">
      <c r="B1132" s="69"/>
      <c r="C1132" s="70"/>
      <c r="D1132" s="71"/>
    </row>
    <row r="1133" spans="2:4" x14ac:dyDescent="0.15">
      <c r="B1133" s="69"/>
      <c r="C1133" s="70"/>
      <c r="D1133" s="71"/>
    </row>
    <row r="1134" spans="2:4" x14ac:dyDescent="0.15">
      <c r="B1134" s="69"/>
      <c r="C1134" s="70"/>
      <c r="D1134" s="71"/>
    </row>
    <row r="1135" spans="2:4" x14ac:dyDescent="0.15">
      <c r="B1135" s="69"/>
      <c r="C1135" s="70"/>
      <c r="D1135" s="71"/>
    </row>
    <row r="1136" spans="2:4" x14ac:dyDescent="0.15">
      <c r="B1136" s="69"/>
      <c r="C1136" s="70"/>
      <c r="D1136" s="71"/>
    </row>
    <row r="1137" spans="2:4" x14ac:dyDescent="0.15">
      <c r="B1137" s="69"/>
      <c r="C1137" s="70"/>
      <c r="D1137" s="71"/>
    </row>
    <row r="1138" spans="2:4" x14ac:dyDescent="0.15">
      <c r="B1138" s="69"/>
      <c r="C1138" s="70"/>
      <c r="D1138" s="71"/>
    </row>
    <row r="1139" spans="2:4" x14ac:dyDescent="0.15">
      <c r="B1139" s="69"/>
      <c r="C1139" s="70"/>
      <c r="D1139" s="71"/>
    </row>
    <row r="1140" spans="2:4" x14ac:dyDescent="0.15">
      <c r="B1140" s="69"/>
      <c r="C1140" s="70"/>
      <c r="D1140" s="71"/>
    </row>
    <row r="1141" spans="2:4" x14ac:dyDescent="0.15">
      <c r="B1141" s="69"/>
      <c r="C1141" s="70"/>
      <c r="D1141" s="71"/>
    </row>
    <row r="1142" spans="2:4" x14ac:dyDescent="0.15">
      <c r="B1142" s="69"/>
      <c r="C1142" s="70"/>
      <c r="D1142" s="71"/>
    </row>
    <row r="1143" spans="2:4" x14ac:dyDescent="0.15">
      <c r="B1143" s="69"/>
      <c r="C1143" s="70"/>
      <c r="D1143" s="71"/>
    </row>
    <row r="1144" spans="2:4" x14ac:dyDescent="0.15">
      <c r="B1144" s="69"/>
      <c r="C1144" s="70"/>
      <c r="D1144" s="71"/>
    </row>
    <row r="1145" spans="2:4" x14ac:dyDescent="0.15">
      <c r="B1145" s="69"/>
      <c r="C1145" s="70"/>
      <c r="D1145" s="71"/>
    </row>
    <row r="1146" spans="2:4" x14ac:dyDescent="0.15">
      <c r="B1146" s="69"/>
      <c r="C1146" s="70"/>
      <c r="D1146" s="71"/>
    </row>
    <row r="1147" spans="2:4" x14ac:dyDescent="0.15">
      <c r="B1147" s="69"/>
      <c r="C1147" s="70"/>
      <c r="D1147" s="71"/>
    </row>
    <row r="1148" spans="2:4" x14ac:dyDescent="0.15">
      <c r="B1148" s="69"/>
      <c r="C1148" s="70"/>
      <c r="D1148" s="71"/>
    </row>
    <row r="1149" spans="2:4" x14ac:dyDescent="0.15">
      <c r="B1149" s="69"/>
      <c r="C1149" s="70"/>
      <c r="D1149" s="71"/>
    </row>
    <row r="1150" spans="2:4" x14ac:dyDescent="0.15">
      <c r="B1150" s="69"/>
      <c r="C1150" s="70"/>
      <c r="D1150" s="71"/>
    </row>
    <row r="1151" spans="2:4" x14ac:dyDescent="0.15">
      <c r="B1151" s="69"/>
      <c r="C1151" s="70"/>
      <c r="D1151" s="71"/>
    </row>
    <row r="1152" spans="2:4" x14ac:dyDescent="0.15">
      <c r="B1152" s="69"/>
      <c r="C1152" s="70"/>
      <c r="D1152" s="71"/>
    </row>
    <row r="1153" spans="2:4" x14ac:dyDescent="0.15">
      <c r="B1153" s="69"/>
      <c r="C1153" s="70"/>
      <c r="D1153" s="71"/>
    </row>
    <row r="1154" spans="2:4" x14ac:dyDescent="0.15">
      <c r="B1154" s="69"/>
      <c r="C1154" s="70"/>
      <c r="D1154" s="71"/>
    </row>
    <row r="1155" spans="2:4" x14ac:dyDescent="0.15">
      <c r="B1155" s="69"/>
      <c r="C1155" s="70"/>
      <c r="D1155" s="71"/>
    </row>
    <row r="1156" spans="2:4" x14ac:dyDescent="0.15">
      <c r="B1156" s="69"/>
      <c r="C1156" s="70"/>
      <c r="D1156" s="71"/>
    </row>
    <row r="1157" spans="2:4" x14ac:dyDescent="0.15">
      <c r="B1157" s="69"/>
      <c r="C1157" s="70"/>
      <c r="D1157" s="71"/>
    </row>
    <row r="1158" spans="2:4" x14ac:dyDescent="0.15">
      <c r="B1158" s="69"/>
      <c r="C1158" s="70"/>
      <c r="D1158" s="71"/>
    </row>
    <row r="1159" spans="2:4" x14ac:dyDescent="0.15">
      <c r="B1159" s="69"/>
      <c r="C1159" s="70"/>
      <c r="D1159" s="71"/>
    </row>
    <row r="1160" spans="2:4" x14ac:dyDescent="0.15">
      <c r="B1160" s="69"/>
      <c r="C1160" s="70"/>
      <c r="D1160" s="71"/>
    </row>
    <row r="1161" spans="2:4" x14ac:dyDescent="0.15">
      <c r="B1161" s="69"/>
      <c r="C1161" s="70"/>
      <c r="D1161" s="71"/>
    </row>
    <row r="1162" spans="2:4" x14ac:dyDescent="0.15">
      <c r="B1162" s="69"/>
      <c r="C1162" s="70"/>
      <c r="D1162" s="71"/>
    </row>
    <row r="1163" spans="2:4" x14ac:dyDescent="0.15">
      <c r="B1163" s="69"/>
      <c r="C1163" s="70"/>
      <c r="D1163" s="71"/>
    </row>
    <row r="1164" spans="2:4" x14ac:dyDescent="0.15">
      <c r="B1164" s="69"/>
      <c r="C1164" s="70"/>
      <c r="D1164" s="71"/>
    </row>
    <row r="1165" spans="2:4" x14ac:dyDescent="0.15">
      <c r="B1165" s="69"/>
      <c r="C1165" s="70"/>
      <c r="D1165" s="71"/>
    </row>
    <row r="1166" spans="2:4" x14ac:dyDescent="0.15">
      <c r="B1166" s="69"/>
      <c r="C1166" s="70"/>
      <c r="D1166" s="71"/>
    </row>
    <row r="1167" spans="2:4" x14ac:dyDescent="0.15">
      <c r="B1167" s="69"/>
      <c r="C1167" s="70"/>
      <c r="D1167" s="71"/>
    </row>
    <row r="1168" spans="2:4" x14ac:dyDescent="0.15">
      <c r="B1168" s="69"/>
      <c r="C1168" s="70"/>
      <c r="D1168" s="71"/>
    </row>
    <row r="1169" spans="2:4" x14ac:dyDescent="0.15">
      <c r="B1169" s="69"/>
      <c r="C1169" s="70"/>
      <c r="D1169" s="71"/>
    </row>
    <row r="1170" spans="2:4" x14ac:dyDescent="0.15">
      <c r="B1170" s="69"/>
      <c r="C1170" s="70"/>
      <c r="D1170" s="71"/>
    </row>
    <row r="1171" spans="2:4" x14ac:dyDescent="0.15">
      <c r="B1171" s="69"/>
      <c r="C1171" s="70"/>
      <c r="D1171" s="71"/>
    </row>
    <row r="1172" spans="2:4" x14ac:dyDescent="0.15">
      <c r="B1172" s="69"/>
      <c r="C1172" s="70"/>
      <c r="D1172" s="71"/>
    </row>
    <row r="1173" spans="2:4" x14ac:dyDescent="0.15">
      <c r="B1173" s="69"/>
      <c r="C1173" s="70"/>
      <c r="D1173" s="71"/>
    </row>
    <row r="1174" spans="2:4" x14ac:dyDescent="0.15">
      <c r="B1174" s="69"/>
      <c r="C1174" s="70"/>
      <c r="D1174" s="71"/>
    </row>
    <row r="1175" spans="2:4" x14ac:dyDescent="0.15">
      <c r="B1175" s="69"/>
      <c r="C1175" s="70"/>
      <c r="D1175" s="71"/>
    </row>
    <row r="1176" spans="2:4" x14ac:dyDescent="0.15">
      <c r="B1176" s="69"/>
      <c r="C1176" s="70"/>
      <c r="D1176" s="71"/>
    </row>
    <row r="1177" spans="2:4" x14ac:dyDescent="0.15">
      <c r="B1177" s="69"/>
      <c r="C1177" s="70"/>
      <c r="D1177" s="71"/>
    </row>
    <row r="1178" spans="2:4" x14ac:dyDescent="0.15">
      <c r="B1178" s="69"/>
      <c r="C1178" s="70"/>
      <c r="D1178" s="71"/>
    </row>
    <row r="1179" spans="2:4" x14ac:dyDescent="0.15">
      <c r="B1179" s="69"/>
      <c r="C1179" s="70"/>
      <c r="D1179" s="71"/>
    </row>
    <row r="1180" spans="2:4" x14ac:dyDescent="0.15">
      <c r="B1180" s="69"/>
      <c r="C1180" s="70"/>
      <c r="D1180" s="71"/>
    </row>
    <row r="1181" spans="2:4" x14ac:dyDescent="0.15">
      <c r="B1181" s="69"/>
      <c r="C1181" s="70"/>
      <c r="D1181" s="71"/>
    </row>
    <row r="1182" spans="2:4" x14ac:dyDescent="0.15">
      <c r="B1182" s="69"/>
      <c r="C1182" s="70"/>
      <c r="D1182" s="71"/>
    </row>
    <row r="1183" spans="2:4" x14ac:dyDescent="0.15">
      <c r="B1183" s="69"/>
      <c r="C1183" s="70"/>
      <c r="D1183" s="71"/>
    </row>
    <row r="1184" spans="2:4" x14ac:dyDescent="0.15">
      <c r="B1184" s="69"/>
      <c r="C1184" s="70"/>
      <c r="D1184" s="71"/>
    </row>
    <row r="1185" spans="2:4" x14ac:dyDescent="0.15">
      <c r="B1185" s="69"/>
      <c r="C1185" s="70"/>
      <c r="D1185" s="71"/>
    </row>
    <row r="1186" spans="2:4" x14ac:dyDescent="0.15">
      <c r="B1186" s="69"/>
      <c r="C1186" s="70"/>
      <c r="D1186" s="71"/>
    </row>
    <row r="1187" spans="2:4" x14ac:dyDescent="0.15">
      <c r="B1187" s="69"/>
      <c r="C1187" s="70"/>
      <c r="D1187" s="71"/>
    </row>
    <row r="1188" spans="2:4" x14ac:dyDescent="0.15">
      <c r="B1188" s="69"/>
      <c r="C1188" s="70"/>
      <c r="D1188" s="71"/>
    </row>
    <row r="1189" spans="2:4" x14ac:dyDescent="0.15">
      <c r="B1189" s="69"/>
      <c r="C1189" s="70"/>
      <c r="D1189" s="71"/>
    </row>
    <row r="1190" spans="2:4" x14ac:dyDescent="0.15">
      <c r="B1190" s="69"/>
      <c r="C1190" s="70"/>
      <c r="D1190" s="71"/>
    </row>
    <row r="1191" spans="2:4" x14ac:dyDescent="0.15">
      <c r="B1191" s="69"/>
      <c r="C1191" s="70"/>
      <c r="D1191" s="71"/>
    </row>
    <row r="1192" spans="2:4" x14ac:dyDescent="0.15">
      <c r="B1192" s="69"/>
      <c r="C1192" s="70"/>
      <c r="D1192" s="71"/>
    </row>
    <row r="1193" spans="2:4" x14ac:dyDescent="0.15">
      <c r="B1193" s="69"/>
      <c r="C1193" s="70"/>
      <c r="D1193" s="71"/>
    </row>
    <row r="1194" spans="2:4" x14ac:dyDescent="0.15">
      <c r="B1194" s="69"/>
      <c r="C1194" s="70"/>
      <c r="D1194" s="71"/>
    </row>
    <row r="1195" spans="2:4" x14ac:dyDescent="0.15">
      <c r="B1195" s="69"/>
      <c r="C1195" s="70"/>
      <c r="D1195" s="71"/>
    </row>
    <row r="1196" spans="2:4" x14ac:dyDescent="0.15">
      <c r="B1196" s="69"/>
      <c r="C1196" s="70"/>
      <c r="D1196" s="71"/>
    </row>
    <row r="1197" spans="2:4" x14ac:dyDescent="0.15">
      <c r="B1197" s="69"/>
      <c r="C1197" s="70"/>
      <c r="D1197" s="71"/>
    </row>
    <row r="1198" spans="2:4" x14ac:dyDescent="0.15">
      <c r="B1198" s="69"/>
      <c r="C1198" s="70"/>
      <c r="D1198" s="71"/>
    </row>
    <row r="1199" spans="2:4" x14ac:dyDescent="0.15">
      <c r="B1199" s="69"/>
      <c r="C1199" s="70"/>
      <c r="D1199" s="71"/>
    </row>
    <row r="1200" spans="2:4" x14ac:dyDescent="0.15">
      <c r="B1200" s="69"/>
      <c r="C1200" s="70"/>
      <c r="D1200" s="71"/>
    </row>
    <row r="1201" spans="2:4" x14ac:dyDescent="0.15">
      <c r="B1201" s="69"/>
      <c r="C1201" s="70"/>
      <c r="D1201" s="71"/>
    </row>
    <row r="1202" spans="2:4" x14ac:dyDescent="0.15">
      <c r="B1202" s="69"/>
      <c r="C1202" s="70"/>
      <c r="D1202" s="71"/>
    </row>
    <row r="1203" spans="2:4" x14ac:dyDescent="0.15">
      <c r="B1203" s="69"/>
      <c r="C1203" s="70"/>
      <c r="D1203" s="71"/>
    </row>
    <row r="1204" spans="2:4" x14ac:dyDescent="0.15">
      <c r="B1204" s="69"/>
      <c r="C1204" s="70"/>
      <c r="D1204" s="71"/>
    </row>
    <row r="1205" spans="2:4" x14ac:dyDescent="0.15">
      <c r="B1205" s="69"/>
      <c r="C1205" s="70"/>
      <c r="D1205" s="71"/>
    </row>
    <row r="1206" spans="2:4" x14ac:dyDescent="0.15">
      <c r="B1206" s="69"/>
      <c r="C1206" s="70"/>
      <c r="D1206" s="71"/>
    </row>
    <row r="1207" spans="2:4" x14ac:dyDescent="0.15">
      <c r="B1207" s="69"/>
      <c r="C1207" s="70"/>
      <c r="D1207" s="71"/>
    </row>
    <row r="1208" spans="2:4" x14ac:dyDescent="0.15">
      <c r="B1208" s="69"/>
      <c r="C1208" s="70"/>
      <c r="D1208" s="71"/>
    </row>
    <row r="1209" spans="2:4" x14ac:dyDescent="0.15">
      <c r="B1209" s="69"/>
      <c r="C1209" s="70"/>
      <c r="D1209" s="71"/>
    </row>
    <row r="1210" spans="2:4" x14ac:dyDescent="0.15">
      <c r="B1210" s="69"/>
      <c r="C1210" s="70"/>
      <c r="D1210" s="71"/>
    </row>
    <row r="1211" spans="2:4" x14ac:dyDescent="0.15">
      <c r="B1211" s="69"/>
      <c r="C1211" s="70"/>
      <c r="D1211" s="71"/>
    </row>
    <row r="1212" spans="2:4" x14ac:dyDescent="0.15">
      <c r="B1212" s="69"/>
      <c r="C1212" s="70"/>
      <c r="D1212" s="71"/>
    </row>
    <row r="1213" spans="2:4" x14ac:dyDescent="0.15">
      <c r="B1213" s="69"/>
      <c r="C1213" s="70"/>
      <c r="D1213" s="71"/>
    </row>
    <row r="1214" spans="2:4" x14ac:dyDescent="0.15">
      <c r="B1214" s="69"/>
      <c r="C1214" s="70"/>
      <c r="D1214" s="71"/>
    </row>
    <row r="1215" spans="2:4" x14ac:dyDescent="0.15">
      <c r="B1215" s="69"/>
      <c r="C1215" s="70"/>
      <c r="D1215" s="71"/>
    </row>
    <row r="1216" spans="2:4" x14ac:dyDescent="0.15">
      <c r="B1216" s="69"/>
      <c r="C1216" s="70"/>
      <c r="D1216" s="71"/>
    </row>
    <row r="1217" spans="2:4" x14ac:dyDescent="0.15">
      <c r="B1217" s="69"/>
      <c r="C1217" s="70"/>
      <c r="D1217" s="71"/>
    </row>
    <row r="1218" spans="2:4" x14ac:dyDescent="0.15">
      <c r="B1218" s="69"/>
      <c r="C1218" s="70"/>
      <c r="D1218" s="71"/>
    </row>
    <row r="1219" spans="2:4" x14ac:dyDescent="0.15">
      <c r="B1219" s="69"/>
      <c r="C1219" s="70"/>
      <c r="D1219" s="71"/>
    </row>
    <row r="1220" spans="2:4" x14ac:dyDescent="0.15">
      <c r="B1220" s="69"/>
      <c r="C1220" s="70"/>
      <c r="D1220" s="71"/>
    </row>
    <row r="1221" spans="2:4" x14ac:dyDescent="0.15">
      <c r="B1221" s="69"/>
      <c r="C1221" s="70"/>
      <c r="D1221" s="71"/>
    </row>
    <row r="1222" spans="2:4" x14ac:dyDescent="0.15">
      <c r="B1222" s="69"/>
      <c r="C1222" s="70"/>
      <c r="D1222" s="71"/>
    </row>
    <row r="1223" spans="2:4" x14ac:dyDescent="0.15">
      <c r="B1223" s="69"/>
      <c r="C1223" s="70"/>
      <c r="D1223" s="71"/>
    </row>
    <row r="1224" spans="2:4" x14ac:dyDescent="0.15">
      <c r="B1224" s="69"/>
      <c r="C1224" s="70"/>
      <c r="D1224" s="71"/>
    </row>
    <row r="1225" spans="2:4" x14ac:dyDescent="0.15">
      <c r="B1225" s="69"/>
      <c r="C1225" s="70"/>
      <c r="D1225" s="71"/>
    </row>
    <row r="1226" spans="2:4" x14ac:dyDescent="0.15">
      <c r="B1226" s="69"/>
      <c r="C1226" s="70"/>
      <c r="D1226" s="71"/>
    </row>
    <row r="1227" spans="2:4" x14ac:dyDescent="0.15">
      <c r="B1227" s="69"/>
      <c r="C1227" s="70"/>
      <c r="D1227" s="71"/>
    </row>
    <row r="1228" spans="2:4" x14ac:dyDescent="0.15">
      <c r="B1228" s="69"/>
      <c r="C1228" s="70"/>
      <c r="D1228" s="71"/>
    </row>
    <row r="1229" spans="2:4" x14ac:dyDescent="0.15">
      <c r="B1229" s="69"/>
      <c r="C1229" s="70"/>
      <c r="D1229" s="71"/>
    </row>
    <row r="1230" spans="2:4" x14ac:dyDescent="0.15">
      <c r="B1230" s="69"/>
      <c r="C1230" s="70"/>
      <c r="D1230" s="71"/>
    </row>
    <row r="1231" spans="2:4" x14ac:dyDescent="0.15">
      <c r="B1231" s="69"/>
      <c r="C1231" s="70"/>
      <c r="D1231" s="71"/>
    </row>
    <row r="1232" spans="2:4" x14ac:dyDescent="0.15">
      <c r="B1232" s="69"/>
      <c r="C1232" s="70"/>
      <c r="D1232" s="71"/>
    </row>
    <row r="1233" spans="2:4" x14ac:dyDescent="0.15">
      <c r="B1233" s="69"/>
      <c r="C1233" s="70"/>
      <c r="D1233" s="71"/>
    </row>
    <row r="1234" spans="2:4" x14ac:dyDescent="0.15">
      <c r="B1234" s="69"/>
      <c r="C1234" s="70"/>
      <c r="D1234" s="71"/>
    </row>
    <row r="1235" spans="2:4" x14ac:dyDescent="0.15">
      <c r="B1235" s="69"/>
      <c r="C1235" s="70"/>
      <c r="D1235" s="71"/>
    </row>
    <row r="1236" spans="2:4" x14ac:dyDescent="0.15">
      <c r="B1236" s="69"/>
      <c r="C1236" s="70"/>
      <c r="D1236" s="71"/>
    </row>
    <row r="1237" spans="2:4" x14ac:dyDescent="0.15">
      <c r="B1237" s="69"/>
      <c r="C1237" s="70"/>
      <c r="D1237" s="71"/>
    </row>
    <row r="1238" spans="2:4" x14ac:dyDescent="0.15">
      <c r="B1238" s="69"/>
      <c r="C1238" s="70"/>
      <c r="D1238" s="71"/>
    </row>
    <row r="1239" spans="2:4" x14ac:dyDescent="0.15">
      <c r="B1239" s="69"/>
      <c r="C1239" s="70"/>
      <c r="D1239" s="71"/>
    </row>
    <row r="1240" spans="2:4" x14ac:dyDescent="0.15">
      <c r="B1240" s="69"/>
      <c r="C1240" s="70"/>
      <c r="D1240" s="71"/>
    </row>
    <row r="1241" spans="2:4" x14ac:dyDescent="0.15">
      <c r="B1241" s="69"/>
      <c r="C1241" s="70"/>
      <c r="D1241" s="71"/>
    </row>
    <row r="1242" spans="2:4" x14ac:dyDescent="0.15">
      <c r="B1242" s="69"/>
      <c r="C1242" s="70"/>
      <c r="D1242" s="71"/>
    </row>
    <row r="1243" spans="2:4" x14ac:dyDescent="0.15">
      <c r="B1243" s="69"/>
      <c r="C1243" s="70"/>
      <c r="D1243" s="71"/>
    </row>
    <row r="1244" spans="2:4" x14ac:dyDescent="0.15">
      <c r="B1244" s="69"/>
      <c r="C1244" s="70"/>
      <c r="D1244" s="71"/>
    </row>
    <row r="1245" spans="2:4" x14ac:dyDescent="0.15">
      <c r="B1245" s="69"/>
      <c r="C1245" s="70"/>
      <c r="D1245" s="71"/>
    </row>
    <row r="1246" spans="2:4" x14ac:dyDescent="0.15">
      <c r="B1246" s="69"/>
      <c r="C1246" s="70"/>
      <c r="D1246" s="71"/>
    </row>
    <row r="1247" spans="2:4" x14ac:dyDescent="0.15">
      <c r="B1247" s="69"/>
      <c r="C1247" s="70"/>
      <c r="D1247" s="71"/>
    </row>
    <row r="1248" spans="2:4" x14ac:dyDescent="0.15">
      <c r="B1248" s="69"/>
      <c r="C1248" s="70"/>
      <c r="D1248" s="71"/>
    </row>
    <row r="1249" spans="2:4" x14ac:dyDescent="0.15">
      <c r="B1249" s="69"/>
      <c r="C1249" s="70"/>
      <c r="D1249" s="71"/>
    </row>
    <row r="1250" spans="2:4" x14ac:dyDescent="0.15">
      <c r="B1250" s="69"/>
      <c r="C1250" s="70"/>
      <c r="D1250" s="71"/>
    </row>
    <row r="1251" spans="2:4" x14ac:dyDescent="0.15">
      <c r="B1251" s="69"/>
      <c r="C1251" s="70"/>
      <c r="D1251" s="71"/>
    </row>
    <row r="1252" spans="2:4" x14ac:dyDescent="0.15">
      <c r="B1252" s="69"/>
      <c r="C1252" s="70"/>
      <c r="D1252" s="71"/>
    </row>
    <row r="1253" spans="2:4" x14ac:dyDescent="0.15">
      <c r="B1253" s="69"/>
      <c r="C1253" s="70"/>
      <c r="D1253" s="71"/>
    </row>
    <row r="1254" spans="2:4" x14ac:dyDescent="0.15">
      <c r="B1254" s="69"/>
      <c r="C1254" s="70"/>
      <c r="D1254" s="71"/>
    </row>
    <row r="1255" spans="2:4" x14ac:dyDescent="0.15">
      <c r="B1255" s="69"/>
      <c r="C1255" s="70"/>
      <c r="D1255" s="71"/>
    </row>
    <row r="1256" spans="2:4" x14ac:dyDescent="0.15">
      <c r="B1256" s="69"/>
      <c r="C1256" s="70"/>
      <c r="D1256" s="71"/>
    </row>
    <row r="1257" spans="2:4" x14ac:dyDescent="0.15">
      <c r="B1257" s="69"/>
      <c r="C1257" s="70"/>
      <c r="D1257" s="71"/>
    </row>
    <row r="1258" spans="2:4" x14ac:dyDescent="0.15">
      <c r="B1258" s="69"/>
      <c r="C1258" s="70"/>
      <c r="D1258" s="71"/>
    </row>
    <row r="1259" spans="2:4" x14ac:dyDescent="0.15">
      <c r="B1259" s="69"/>
      <c r="C1259" s="70"/>
      <c r="D1259" s="71"/>
    </row>
    <row r="1260" spans="2:4" x14ac:dyDescent="0.15">
      <c r="B1260" s="69"/>
      <c r="C1260" s="70"/>
      <c r="D1260" s="71"/>
    </row>
    <row r="1261" spans="2:4" x14ac:dyDescent="0.15">
      <c r="B1261" s="69"/>
      <c r="C1261" s="70"/>
      <c r="D1261" s="71"/>
    </row>
    <row r="1262" spans="2:4" x14ac:dyDescent="0.15">
      <c r="B1262" s="69"/>
      <c r="C1262" s="70"/>
      <c r="D1262" s="71"/>
    </row>
    <row r="1263" spans="2:4" x14ac:dyDescent="0.15">
      <c r="B1263" s="69"/>
      <c r="C1263" s="70"/>
      <c r="D1263" s="71"/>
    </row>
    <row r="1264" spans="2:4" x14ac:dyDescent="0.15">
      <c r="B1264" s="69"/>
      <c r="C1264" s="70"/>
      <c r="D1264" s="71"/>
    </row>
    <row r="1265" spans="2:4" x14ac:dyDescent="0.15">
      <c r="B1265" s="69"/>
      <c r="C1265" s="70"/>
      <c r="D1265" s="71"/>
    </row>
    <row r="1266" spans="2:4" x14ac:dyDescent="0.15">
      <c r="B1266" s="69"/>
      <c r="C1266" s="70"/>
      <c r="D1266" s="71"/>
    </row>
    <row r="1267" spans="2:4" x14ac:dyDescent="0.15">
      <c r="B1267" s="69"/>
      <c r="C1267" s="70"/>
      <c r="D1267" s="71"/>
    </row>
    <row r="1268" spans="2:4" x14ac:dyDescent="0.15">
      <c r="B1268" s="69"/>
      <c r="C1268" s="70"/>
      <c r="D1268" s="71"/>
    </row>
    <row r="1269" spans="2:4" x14ac:dyDescent="0.15">
      <c r="B1269" s="69"/>
      <c r="C1269" s="70"/>
      <c r="D1269" s="71"/>
    </row>
    <row r="1270" spans="2:4" x14ac:dyDescent="0.15">
      <c r="B1270" s="69"/>
      <c r="C1270" s="70"/>
      <c r="D1270" s="71"/>
    </row>
    <row r="1271" spans="2:4" x14ac:dyDescent="0.15">
      <c r="B1271" s="69"/>
      <c r="C1271" s="70"/>
      <c r="D1271" s="71"/>
    </row>
    <row r="1272" spans="2:4" x14ac:dyDescent="0.15">
      <c r="B1272" s="69"/>
      <c r="C1272" s="70"/>
      <c r="D1272" s="71"/>
    </row>
    <row r="1273" spans="2:4" x14ac:dyDescent="0.15">
      <c r="B1273" s="69"/>
      <c r="C1273" s="70"/>
      <c r="D1273" s="71"/>
    </row>
    <row r="1274" spans="2:4" x14ac:dyDescent="0.15">
      <c r="B1274" s="69"/>
      <c r="C1274" s="70"/>
      <c r="D1274" s="71"/>
    </row>
    <row r="1275" spans="2:4" x14ac:dyDescent="0.15">
      <c r="B1275" s="69"/>
      <c r="C1275" s="70"/>
      <c r="D1275" s="71"/>
    </row>
    <row r="1276" spans="2:4" x14ac:dyDescent="0.15">
      <c r="B1276" s="69"/>
      <c r="C1276" s="70"/>
      <c r="D1276" s="71"/>
    </row>
    <row r="1277" spans="2:4" x14ac:dyDescent="0.15">
      <c r="B1277" s="69"/>
      <c r="C1277" s="70"/>
      <c r="D1277" s="71"/>
    </row>
    <row r="1278" spans="2:4" x14ac:dyDescent="0.15">
      <c r="B1278" s="69"/>
      <c r="C1278" s="70"/>
      <c r="D1278" s="71"/>
    </row>
    <row r="1279" spans="2:4" x14ac:dyDescent="0.15">
      <c r="B1279" s="69"/>
      <c r="C1279" s="70"/>
      <c r="D1279" s="71"/>
    </row>
    <row r="1280" spans="2:4" x14ac:dyDescent="0.15">
      <c r="B1280" s="69"/>
      <c r="C1280" s="70"/>
      <c r="D1280" s="71"/>
    </row>
    <row r="1281" spans="2:4" x14ac:dyDescent="0.15">
      <c r="B1281" s="69"/>
      <c r="C1281" s="70"/>
      <c r="D1281" s="71"/>
    </row>
    <row r="1282" spans="2:4" x14ac:dyDescent="0.15">
      <c r="B1282" s="69"/>
      <c r="C1282" s="70"/>
      <c r="D1282" s="71"/>
    </row>
    <row r="1283" spans="2:4" x14ac:dyDescent="0.15">
      <c r="B1283" s="69"/>
      <c r="C1283" s="70"/>
      <c r="D1283" s="71"/>
    </row>
    <row r="1284" spans="2:4" x14ac:dyDescent="0.15">
      <c r="B1284" s="69"/>
      <c r="C1284" s="70"/>
      <c r="D1284" s="71"/>
    </row>
    <row r="1285" spans="2:4" x14ac:dyDescent="0.15">
      <c r="B1285" s="69"/>
      <c r="C1285" s="70"/>
      <c r="D1285" s="71"/>
    </row>
    <row r="1286" spans="2:4" x14ac:dyDescent="0.15">
      <c r="B1286" s="69"/>
      <c r="C1286" s="70"/>
      <c r="D1286" s="71"/>
    </row>
    <row r="1287" spans="2:4" x14ac:dyDescent="0.15">
      <c r="B1287" s="69"/>
      <c r="C1287" s="70"/>
      <c r="D1287" s="71"/>
    </row>
    <row r="1288" spans="2:4" x14ac:dyDescent="0.15">
      <c r="B1288" s="69"/>
      <c r="C1288" s="70"/>
      <c r="D1288" s="71"/>
    </row>
    <row r="1289" spans="2:4" x14ac:dyDescent="0.15">
      <c r="B1289" s="69"/>
      <c r="C1289" s="70"/>
      <c r="D1289" s="71"/>
    </row>
    <row r="1290" spans="2:4" x14ac:dyDescent="0.15">
      <c r="B1290" s="69"/>
      <c r="C1290" s="70"/>
      <c r="D1290" s="71"/>
    </row>
    <row r="1291" spans="2:4" x14ac:dyDescent="0.15">
      <c r="B1291" s="69"/>
      <c r="C1291" s="70"/>
      <c r="D1291" s="71"/>
    </row>
    <row r="1292" spans="2:4" x14ac:dyDescent="0.15">
      <c r="B1292" s="69"/>
      <c r="C1292" s="70"/>
      <c r="D1292" s="71"/>
    </row>
    <row r="1293" spans="2:4" x14ac:dyDescent="0.15">
      <c r="B1293" s="69"/>
      <c r="C1293" s="70"/>
      <c r="D1293" s="71"/>
    </row>
    <row r="1294" spans="2:4" x14ac:dyDescent="0.15">
      <c r="B1294" s="69"/>
      <c r="C1294" s="70"/>
      <c r="D1294" s="71"/>
    </row>
    <row r="1295" spans="2:4" x14ac:dyDescent="0.15">
      <c r="B1295" s="69"/>
      <c r="C1295" s="70"/>
      <c r="D1295" s="71"/>
    </row>
    <row r="1296" spans="2:4" x14ac:dyDescent="0.15">
      <c r="B1296" s="69"/>
      <c r="C1296" s="70"/>
      <c r="D1296" s="71"/>
    </row>
    <row r="1297" spans="2:4" x14ac:dyDescent="0.15">
      <c r="B1297" s="69"/>
      <c r="C1297" s="70"/>
      <c r="D1297" s="71"/>
    </row>
    <row r="1298" spans="2:4" x14ac:dyDescent="0.15">
      <c r="B1298" s="69"/>
      <c r="C1298" s="70"/>
      <c r="D1298" s="71"/>
    </row>
    <row r="1299" spans="2:4" x14ac:dyDescent="0.15">
      <c r="B1299" s="69"/>
      <c r="C1299" s="70"/>
      <c r="D1299" s="71"/>
    </row>
    <row r="1300" spans="2:4" x14ac:dyDescent="0.15">
      <c r="B1300" s="69"/>
      <c r="C1300" s="70"/>
      <c r="D1300" s="71"/>
    </row>
    <row r="1301" spans="2:4" x14ac:dyDescent="0.15">
      <c r="B1301" s="69"/>
      <c r="C1301" s="70"/>
      <c r="D1301" s="71"/>
    </row>
    <row r="1302" spans="2:4" x14ac:dyDescent="0.15">
      <c r="B1302" s="69"/>
      <c r="C1302" s="70"/>
      <c r="D1302" s="71"/>
    </row>
    <row r="1303" spans="2:4" x14ac:dyDescent="0.15">
      <c r="B1303" s="69"/>
      <c r="C1303" s="70"/>
      <c r="D1303" s="71"/>
    </row>
    <row r="1304" spans="2:4" x14ac:dyDescent="0.15">
      <c r="B1304" s="69"/>
      <c r="C1304" s="70"/>
      <c r="D1304" s="71"/>
    </row>
    <row r="1305" spans="2:4" x14ac:dyDescent="0.15">
      <c r="B1305" s="69"/>
      <c r="C1305" s="70"/>
      <c r="D1305" s="71"/>
    </row>
    <row r="1306" spans="2:4" x14ac:dyDescent="0.15">
      <c r="B1306" s="69"/>
      <c r="C1306" s="70"/>
      <c r="D1306" s="71"/>
    </row>
    <row r="1307" spans="2:4" x14ac:dyDescent="0.15">
      <c r="B1307" s="69"/>
      <c r="C1307" s="70"/>
      <c r="D1307" s="71"/>
    </row>
    <row r="1308" spans="2:4" x14ac:dyDescent="0.15">
      <c r="B1308" s="69"/>
      <c r="C1308" s="70"/>
      <c r="D1308" s="71"/>
    </row>
    <row r="1309" spans="2:4" x14ac:dyDescent="0.15">
      <c r="B1309" s="69"/>
      <c r="C1309" s="70"/>
      <c r="D1309" s="71"/>
    </row>
    <row r="1310" spans="2:4" x14ac:dyDescent="0.15">
      <c r="B1310" s="69"/>
      <c r="C1310" s="70"/>
      <c r="D1310" s="71"/>
    </row>
    <row r="1311" spans="2:4" x14ac:dyDescent="0.15">
      <c r="B1311" s="69"/>
      <c r="C1311" s="70"/>
      <c r="D1311" s="71"/>
    </row>
    <row r="1312" spans="2:4" x14ac:dyDescent="0.15">
      <c r="B1312" s="69"/>
      <c r="C1312" s="70"/>
      <c r="D1312" s="71"/>
    </row>
    <row r="1313" spans="2:4" x14ac:dyDescent="0.15">
      <c r="B1313" s="69"/>
      <c r="C1313" s="70"/>
      <c r="D1313" s="71"/>
    </row>
    <row r="1314" spans="2:4" x14ac:dyDescent="0.15">
      <c r="B1314" s="69"/>
      <c r="C1314" s="70"/>
      <c r="D1314" s="71"/>
    </row>
    <row r="1315" spans="2:4" x14ac:dyDescent="0.15">
      <c r="B1315" s="69"/>
      <c r="C1315" s="70"/>
      <c r="D1315" s="71"/>
    </row>
    <row r="1316" spans="2:4" x14ac:dyDescent="0.15">
      <c r="B1316" s="69"/>
      <c r="C1316" s="70"/>
      <c r="D1316" s="71"/>
    </row>
    <row r="1317" spans="2:4" x14ac:dyDescent="0.15">
      <c r="B1317" s="69"/>
      <c r="C1317" s="70"/>
      <c r="D1317" s="71"/>
    </row>
    <row r="1318" spans="2:4" x14ac:dyDescent="0.15">
      <c r="B1318" s="69"/>
      <c r="C1318" s="70"/>
      <c r="D1318" s="71"/>
    </row>
    <row r="1319" spans="2:4" x14ac:dyDescent="0.15">
      <c r="B1319" s="69"/>
      <c r="C1319" s="70"/>
      <c r="D1319" s="71"/>
    </row>
    <row r="1320" spans="2:4" x14ac:dyDescent="0.15">
      <c r="B1320" s="69"/>
      <c r="C1320" s="70"/>
      <c r="D1320" s="71"/>
    </row>
    <row r="1321" spans="2:4" x14ac:dyDescent="0.15">
      <c r="B1321" s="69"/>
      <c r="C1321" s="70"/>
      <c r="D1321" s="71"/>
    </row>
    <row r="1322" spans="2:4" x14ac:dyDescent="0.15">
      <c r="B1322" s="69"/>
      <c r="C1322" s="70"/>
      <c r="D1322" s="71"/>
    </row>
    <row r="1323" spans="2:4" x14ac:dyDescent="0.15">
      <c r="B1323" s="69"/>
      <c r="C1323" s="70"/>
      <c r="D1323" s="71"/>
    </row>
    <row r="1324" spans="2:4" x14ac:dyDescent="0.15">
      <c r="B1324" s="69"/>
      <c r="C1324" s="70"/>
      <c r="D1324" s="71"/>
    </row>
    <row r="1325" spans="2:4" x14ac:dyDescent="0.15">
      <c r="B1325" s="69"/>
      <c r="C1325" s="70"/>
      <c r="D1325" s="71"/>
    </row>
    <row r="1326" spans="2:4" x14ac:dyDescent="0.15">
      <c r="B1326" s="69"/>
      <c r="C1326" s="70"/>
      <c r="D1326" s="71"/>
    </row>
    <row r="1327" spans="2:4" x14ac:dyDescent="0.15">
      <c r="B1327" s="69"/>
      <c r="C1327" s="70"/>
      <c r="D1327" s="71"/>
    </row>
    <row r="1328" spans="2:4" x14ac:dyDescent="0.15">
      <c r="B1328" s="69"/>
      <c r="C1328" s="70"/>
      <c r="D1328" s="71"/>
    </row>
    <row r="1329" spans="2:4" x14ac:dyDescent="0.15">
      <c r="B1329" s="69"/>
      <c r="C1329" s="70"/>
      <c r="D1329" s="71"/>
    </row>
    <row r="1330" spans="2:4" x14ac:dyDescent="0.15">
      <c r="B1330" s="69"/>
      <c r="C1330" s="70"/>
      <c r="D1330" s="71"/>
    </row>
    <row r="1331" spans="2:4" x14ac:dyDescent="0.15">
      <c r="B1331" s="69"/>
      <c r="C1331" s="70"/>
      <c r="D1331" s="71"/>
    </row>
    <row r="1332" spans="2:4" x14ac:dyDescent="0.15">
      <c r="B1332" s="69"/>
      <c r="C1332" s="70"/>
      <c r="D1332" s="71"/>
    </row>
    <row r="1333" spans="2:4" x14ac:dyDescent="0.15">
      <c r="B1333" s="69"/>
      <c r="C1333" s="70"/>
      <c r="D1333" s="71"/>
    </row>
    <row r="1334" spans="2:4" x14ac:dyDescent="0.15">
      <c r="B1334" s="69"/>
      <c r="C1334" s="70"/>
      <c r="D1334" s="71"/>
    </row>
    <row r="1335" spans="2:4" x14ac:dyDescent="0.15">
      <c r="B1335" s="69"/>
      <c r="C1335" s="70"/>
      <c r="D1335" s="71"/>
    </row>
    <row r="1336" spans="2:4" x14ac:dyDescent="0.15">
      <c r="B1336" s="69"/>
      <c r="C1336" s="70"/>
      <c r="D1336" s="71"/>
    </row>
    <row r="1337" spans="2:4" x14ac:dyDescent="0.15">
      <c r="B1337" s="69"/>
      <c r="C1337" s="70"/>
      <c r="D1337" s="71"/>
    </row>
    <row r="1338" spans="2:4" x14ac:dyDescent="0.15">
      <c r="B1338" s="69"/>
      <c r="C1338" s="70"/>
      <c r="D1338" s="71"/>
    </row>
    <row r="1339" spans="2:4" x14ac:dyDescent="0.15">
      <c r="B1339" s="69"/>
      <c r="C1339" s="70"/>
      <c r="D1339" s="71"/>
    </row>
    <row r="1340" spans="2:4" x14ac:dyDescent="0.15">
      <c r="B1340" s="69"/>
      <c r="C1340" s="70"/>
      <c r="D1340" s="71"/>
    </row>
    <row r="1341" spans="2:4" x14ac:dyDescent="0.15">
      <c r="B1341" s="69"/>
      <c r="C1341" s="70"/>
      <c r="D1341" s="71"/>
    </row>
    <row r="1342" spans="2:4" x14ac:dyDescent="0.15">
      <c r="B1342" s="69"/>
      <c r="C1342" s="70"/>
      <c r="D1342" s="71"/>
    </row>
    <row r="1343" spans="2:4" x14ac:dyDescent="0.15">
      <c r="B1343" s="69"/>
      <c r="C1343" s="70"/>
      <c r="D1343" s="71"/>
    </row>
    <row r="1344" spans="2:4" x14ac:dyDescent="0.15">
      <c r="B1344" s="69"/>
      <c r="C1344" s="70"/>
      <c r="D1344" s="71"/>
    </row>
    <row r="1345" spans="2:4" x14ac:dyDescent="0.15">
      <c r="B1345" s="69"/>
      <c r="C1345" s="70"/>
      <c r="D1345" s="71"/>
    </row>
    <row r="1346" spans="2:4" x14ac:dyDescent="0.15">
      <c r="B1346" s="69"/>
      <c r="C1346" s="70"/>
      <c r="D1346" s="71"/>
    </row>
    <row r="1347" spans="2:4" x14ac:dyDescent="0.15">
      <c r="B1347" s="69"/>
      <c r="C1347" s="70"/>
      <c r="D1347" s="71"/>
    </row>
    <row r="1348" spans="2:4" x14ac:dyDescent="0.15">
      <c r="B1348" s="69"/>
      <c r="C1348" s="70"/>
      <c r="D1348" s="71"/>
    </row>
    <row r="1349" spans="2:4" x14ac:dyDescent="0.15">
      <c r="B1349" s="69"/>
      <c r="C1349" s="70"/>
      <c r="D1349" s="71"/>
    </row>
    <row r="1350" spans="2:4" x14ac:dyDescent="0.15">
      <c r="B1350" s="69"/>
      <c r="C1350" s="70"/>
      <c r="D1350" s="71"/>
    </row>
    <row r="1351" spans="2:4" x14ac:dyDescent="0.15">
      <c r="B1351" s="69"/>
      <c r="C1351" s="70"/>
      <c r="D1351" s="71"/>
    </row>
    <row r="1352" spans="2:4" x14ac:dyDescent="0.15">
      <c r="B1352" s="69"/>
      <c r="C1352" s="70"/>
      <c r="D1352" s="71"/>
    </row>
    <row r="1353" spans="2:4" x14ac:dyDescent="0.15">
      <c r="B1353" s="69"/>
      <c r="C1353" s="70"/>
      <c r="D1353" s="71"/>
    </row>
    <row r="1354" spans="2:4" x14ac:dyDescent="0.15">
      <c r="B1354" s="69"/>
      <c r="C1354" s="70"/>
      <c r="D1354" s="71"/>
    </row>
    <row r="1355" spans="2:4" x14ac:dyDescent="0.15">
      <c r="B1355" s="69"/>
      <c r="C1355" s="70"/>
      <c r="D1355" s="71"/>
    </row>
    <row r="1356" spans="2:4" x14ac:dyDescent="0.15">
      <c r="B1356" s="69"/>
      <c r="C1356" s="70"/>
      <c r="D1356" s="71"/>
    </row>
    <row r="1357" spans="2:4" x14ac:dyDescent="0.15">
      <c r="B1357" s="69"/>
      <c r="C1357" s="70"/>
      <c r="D1357" s="71"/>
    </row>
    <row r="1358" spans="2:4" x14ac:dyDescent="0.15">
      <c r="B1358" s="69"/>
      <c r="C1358" s="70"/>
      <c r="D1358" s="71"/>
    </row>
    <row r="1359" spans="2:4" x14ac:dyDescent="0.15">
      <c r="B1359" s="69"/>
      <c r="C1359" s="70"/>
      <c r="D1359" s="71"/>
    </row>
    <row r="1360" spans="2:4" x14ac:dyDescent="0.15">
      <c r="B1360" s="69"/>
      <c r="C1360" s="70"/>
      <c r="D1360" s="71"/>
    </row>
    <row r="1361" spans="2:4" x14ac:dyDescent="0.15">
      <c r="B1361" s="69"/>
      <c r="C1361" s="70"/>
      <c r="D1361" s="71"/>
    </row>
    <row r="1362" spans="2:4" x14ac:dyDescent="0.15">
      <c r="B1362" s="69"/>
      <c r="C1362" s="70"/>
      <c r="D1362" s="71"/>
    </row>
    <row r="1363" spans="2:4" x14ac:dyDescent="0.15">
      <c r="B1363" s="69"/>
      <c r="C1363" s="70"/>
      <c r="D1363" s="71"/>
    </row>
    <row r="1364" spans="2:4" x14ac:dyDescent="0.15">
      <c r="B1364" s="69"/>
      <c r="C1364" s="70"/>
      <c r="D1364" s="71"/>
    </row>
    <row r="1365" spans="2:4" x14ac:dyDescent="0.15">
      <c r="B1365" s="69"/>
      <c r="C1365" s="70"/>
      <c r="D1365" s="71"/>
    </row>
    <row r="1366" spans="2:4" x14ac:dyDescent="0.15">
      <c r="B1366" s="69"/>
      <c r="C1366" s="70"/>
      <c r="D1366" s="71"/>
    </row>
    <row r="1367" spans="2:4" x14ac:dyDescent="0.15">
      <c r="B1367" s="69"/>
      <c r="C1367" s="70"/>
      <c r="D1367" s="71"/>
    </row>
    <row r="1368" spans="2:4" x14ac:dyDescent="0.15">
      <c r="B1368" s="69"/>
      <c r="C1368" s="70"/>
      <c r="D1368" s="71"/>
    </row>
    <row r="1369" spans="2:4" x14ac:dyDescent="0.15">
      <c r="B1369" s="69"/>
      <c r="C1369" s="70"/>
      <c r="D1369" s="71"/>
    </row>
    <row r="1370" spans="2:4" x14ac:dyDescent="0.15">
      <c r="B1370" s="69"/>
      <c r="C1370" s="70"/>
      <c r="D1370" s="71"/>
    </row>
    <row r="1371" spans="2:4" x14ac:dyDescent="0.15">
      <c r="B1371" s="69"/>
      <c r="C1371" s="70"/>
      <c r="D1371" s="71"/>
    </row>
    <row r="1372" spans="2:4" x14ac:dyDescent="0.15">
      <c r="B1372" s="69"/>
      <c r="C1372" s="70"/>
      <c r="D1372" s="71"/>
    </row>
    <row r="1373" spans="2:4" x14ac:dyDescent="0.15">
      <c r="B1373" s="69"/>
      <c r="C1373" s="70"/>
      <c r="D1373" s="71"/>
    </row>
    <row r="1374" spans="2:4" x14ac:dyDescent="0.15">
      <c r="B1374" s="69"/>
      <c r="C1374" s="70"/>
      <c r="D1374" s="71"/>
    </row>
    <row r="1375" spans="2:4" x14ac:dyDescent="0.15">
      <c r="B1375" s="69"/>
      <c r="C1375" s="70"/>
      <c r="D1375" s="71"/>
    </row>
    <row r="1376" spans="2:4" x14ac:dyDescent="0.15">
      <c r="B1376" s="69"/>
      <c r="C1376" s="70"/>
      <c r="D1376" s="71"/>
    </row>
    <row r="1377" spans="2:4" x14ac:dyDescent="0.15">
      <c r="B1377" s="69"/>
      <c r="C1377" s="70"/>
      <c r="D1377" s="71"/>
    </row>
    <row r="1378" spans="2:4" x14ac:dyDescent="0.15">
      <c r="B1378" s="69"/>
      <c r="C1378" s="70"/>
      <c r="D1378" s="71"/>
    </row>
    <row r="1379" spans="2:4" x14ac:dyDescent="0.15">
      <c r="B1379" s="69"/>
      <c r="C1379" s="70"/>
      <c r="D1379" s="71"/>
    </row>
    <row r="1380" spans="2:4" x14ac:dyDescent="0.15">
      <c r="B1380" s="69"/>
      <c r="C1380" s="70"/>
      <c r="D1380" s="71"/>
    </row>
    <row r="1381" spans="2:4" x14ac:dyDescent="0.15">
      <c r="B1381" s="69"/>
      <c r="C1381" s="70"/>
      <c r="D1381" s="71"/>
    </row>
    <row r="1382" spans="2:4" x14ac:dyDescent="0.15">
      <c r="B1382" s="69"/>
      <c r="C1382" s="70"/>
      <c r="D1382" s="71"/>
    </row>
    <row r="1383" spans="2:4" x14ac:dyDescent="0.15">
      <c r="B1383" s="69"/>
      <c r="C1383" s="70"/>
      <c r="D1383" s="71"/>
    </row>
    <row r="1384" spans="2:4" x14ac:dyDescent="0.15">
      <c r="B1384" s="69"/>
      <c r="C1384" s="70"/>
      <c r="D1384" s="71"/>
    </row>
    <row r="1385" spans="2:4" x14ac:dyDescent="0.15">
      <c r="B1385" s="69"/>
      <c r="C1385" s="70"/>
      <c r="D1385" s="71"/>
    </row>
    <row r="1386" spans="2:4" x14ac:dyDescent="0.15">
      <c r="B1386" s="69"/>
      <c r="C1386" s="70"/>
      <c r="D1386" s="71"/>
    </row>
    <row r="1387" spans="2:4" x14ac:dyDescent="0.15">
      <c r="B1387" s="69"/>
      <c r="C1387" s="70"/>
      <c r="D1387" s="71"/>
    </row>
    <row r="1388" spans="2:4" x14ac:dyDescent="0.15">
      <c r="B1388" s="69"/>
      <c r="C1388" s="70"/>
      <c r="D1388" s="71"/>
    </row>
    <row r="1389" spans="2:4" x14ac:dyDescent="0.15">
      <c r="B1389" s="69"/>
      <c r="C1389" s="70"/>
      <c r="D1389" s="71"/>
    </row>
    <row r="1390" spans="2:4" x14ac:dyDescent="0.15">
      <c r="B1390" s="69"/>
      <c r="C1390" s="70"/>
      <c r="D1390" s="71"/>
    </row>
    <row r="1391" spans="2:4" x14ac:dyDescent="0.15">
      <c r="B1391" s="69"/>
      <c r="C1391" s="70"/>
      <c r="D1391" s="71"/>
    </row>
    <row r="1392" spans="2:4" x14ac:dyDescent="0.15">
      <c r="B1392" s="69"/>
      <c r="C1392" s="70"/>
      <c r="D1392" s="71"/>
    </row>
    <row r="1393" spans="2:4" x14ac:dyDescent="0.15">
      <c r="B1393" s="69"/>
      <c r="C1393" s="70"/>
      <c r="D1393" s="71"/>
    </row>
    <row r="1394" spans="2:4" x14ac:dyDescent="0.15">
      <c r="B1394" s="69"/>
      <c r="C1394" s="70"/>
      <c r="D1394" s="71"/>
    </row>
    <row r="1395" spans="2:4" x14ac:dyDescent="0.15">
      <c r="B1395" s="69"/>
      <c r="C1395" s="70"/>
      <c r="D1395" s="71"/>
    </row>
    <row r="1396" spans="2:4" x14ac:dyDescent="0.15">
      <c r="B1396" s="69"/>
      <c r="C1396" s="70"/>
      <c r="D1396" s="71"/>
    </row>
    <row r="1397" spans="2:4" x14ac:dyDescent="0.15">
      <c r="B1397" s="69"/>
      <c r="C1397" s="70"/>
      <c r="D1397" s="71"/>
    </row>
    <row r="1398" spans="2:4" x14ac:dyDescent="0.15">
      <c r="B1398" s="69"/>
      <c r="C1398" s="70"/>
      <c r="D1398" s="71"/>
    </row>
    <row r="1399" spans="2:4" x14ac:dyDescent="0.15">
      <c r="B1399" s="69"/>
      <c r="C1399" s="70"/>
      <c r="D1399" s="71"/>
    </row>
    <row r="1400" spans="2:4" x14ac:dyDescent="0.15">
      <c r="B1400" s="69"/>
      <c r="C1400" s="70"/>
      <c r="D1400" s="71"/>
    </row>
    <row r="1401" spans="2:4" x14ac:dyDescent="0.15">
      <c r="B1401" s="69"/>
      <c r="C1401" s="70"/>
      <c r="D1401" s="71"/>
    </row>
    <row r="1402" spans="2:4" x14ac:dyDescent="0.15">
      <c r="B1402" s="69"/>
      <c r="C1402" s="70"/>
      <c r="D1402" s="71"/>
    </row>
    <row r="1403" spans="2:4" x14ac:dyDescent="0.15">
      <c r="B1403" s="69"/>
      <c r="C1403" s="70"/>
      <c r="D1403" s="71"/>
    </row>
    <row r="1404" spans="2:4" x14ac:dyDescent="0.15">
      <c r="B1404" s="69"/>
      <c r="C1404" s="70"/>
      <c r="D1404" s="71"/>
    </row>
    <row r="1405" spans="2:4" x14ac:dyDescent="0.15">
      <c r="B1405" s="69"/>
      <c r="C1405" s="70"/>
      <c r="D1405" s="71"/>
    </row>
    <row r="1406" spans="2:4" x14ac:dyDescent="0.15">
      <c r="B1406" s="69"/>
      <c r="C1406" s="70"/>
      <c r="D1406" s="71"/>
    </row>
    <row r="1407" spans="2:4" x14ac:dyDescent="0.15">
      <c r="B1407" s="69"/>
      <c r="C1407" s="70"/>
      <c r="D1407" s="71"/>
    </row>
    <row r="1408" spans="2:4" x14ac:dyDescent="0.15">
      <c r="B1408" s="69"/>
      <c r="C1408" s="70"/>
      <c r="D1408" s="71"/>
    </row>
    <row r="1409" spans="2:4" x14ac:dyDescent="0.15">
      <c r="B1409" s="69"/>
      <c r="C1409" s="70"/>
      <c r="D1409" s="71"/>
    </row>
    <row r="1410" spans="2:4" x14ac:dyDescent="0.15">
      <c r="B1410" s="69"/>
      <c r="C1410" s="70"/>
      <c r="D1410" s="71"/>
    </row>
    <row r="1411" spans="2:4" x14ac:dyDescent="0.15">
      <c r="B1411" s="69"/>
      <c r="C1411" s="70"/>
      <c r="D1411" s="71"/>
    </row>
    <row r="1412" spans="2:4" x14ac:dyDescent="0.15">
      <c r="B1412" s="69"/>
      <c r="C1412" s="70"/>
      <c r="D1412" s="71"/>
    </row>
    <row r="1413" spans="2:4" x14ac:dyDescent="0.15">
      <c r="B1413" s="69"/>
      <c r="C1413" s="70"/>
      <c r="D1413" s="71"/>
    </row>
    <row r="1414" spans="2:4" x14ac:dyDescent="0.15">
      <c r="B1414" s="69"/>
      <c r="C1414" s="70"/>
      <c r="D1414" s="71"/>
    </row>
    <row r="1415" spans="2:4" x14ac:dyDescent="0.15">
      <c r="B1415" s="69"/>
      <c r="C1415" s="70"/>
      <c r="D1415" s="71"/>
    </row>
    <row r="1416" spans="2:4" x14ac:dyDescent="0.15">
      <c r="B1416" s="69"/>
      <c r="C1416" s="70"/>
      <c r="D1416" s="71"/>
    </row>
    <row r="1417" spans="2:4" x14ac:dyDescent="0.15">
      <c r="B1417" s="69"/>
      <c r="C1417" s="70"/>
      <c r="D1417" s="71"/>
    </row>
    <row r="1418" spans="2:4" x14ac:dyDescent="0.15">
      <c r="B1418" s="69"/>
      <c r="C1418" s="70"/>
      <c r="D1418" s="71"/>
    </row>
    <row r="1419" spans="2:4" x14ac:dyDescent="0.15">
      <c r="B1419" s="69"/>
      <c r="C1419" s="70"/>
      <c r="D1419" s="71"/>
    </row>
    <row r="1420" spans="2:4" x14ac:dyDescent="0.15">
      <c r="B1420" s="69"/>
      <c r="C1420" s="70"/>
      <c r="D1420" s="71"/>
    </row>
    <row r="1421" spans="2:4" x14ac:dyDescent="0.15">
      <c r="B1421" s="69"/>
      <c r="C1421" s="70"/>
      <c r="D1421" s="71"/>
    </row>
    <row r="1422" spans="2:4" x14ac:dyDescent="0.15">
      <c r="B1422" s="69"/>
      <c r="C1422" s="70"/>
      <c r="D1422" s="71"/>
    </row>
    <row r="1423" spans="2:4" x14ac:dyDescent="0.15">
      <c r="B1423" s="69"/>
      <c r="C1423" s="70"/>
      <c r="D1423" s="71"/>
    </row>
    <row r="1424" spans="2:4" x14ac:dyDescent="0.15">
      <c r="B1424" s="69"/>
      <c r="C1424" s="70"/>
      <c r="D1424" s="71"/>
    </row>
    <row r="1425" spans="2:4" x14ac:dyDescent="0.15">
      <c r="B1425" s="69"/>
      <c r="C1425" s="70"/>
      <c r="D1425" s="71"/>
    </row>
    <row r="1426" spans="2:4" x14ac:dyDescent="0.15">
      <c r="B1426" s="69"/>
      <c r="C1426" s="70"/>
      <c r="D1426" s="71"/>
    </row>
    <row r="1427" spans="2:4" x14ac:dyDescent="0.15">
      <c r="B1427" s="69"/>
      <c r="C1427" s="70"/>
      <c r="D1427" s="71"/>
    </row>
    <row r="1428" spans="2:4" x14ac:dyDescent="0.15">
      <c r="B1428" s="69"/>
      <c r="C1428" s="70"/>
      <c r="D1428" s="71"/>
    </row>
    <row r="1429" spans="2:4" x14ac:dyDescent="0.15">
      <c r="B1429" s="69"/>
      <c r="C1429" s="70"/>
      <c r="D1429" s="71"/>
    </row>
    <row r="1430" spans="2:4" x14ac:dyDescent="0.15">
      <c r="B1430" s="69"/>
      <c r="C1430" s="70"/>
      <c r="D1430" s="71"/>
    </row>
    <row r="1431" spans="2:4" x14ac:dyDescent="0.15">
      <c r="B1431" s="69"/>
      <c r="C1431" s="70"/>
      <c r="D1431" s="71"/>
    </row>
    <row r="1432" spans="2:4" x14ac:dyDescent="0.15">
      <c r="B1432" s="69"/>
      <c r="C1432" s="70"/>
      <c r="D1432" s="71"/>
    </row>
    <row r="1433" spans="2:4" x14ac:dyDescent="0.15">
      <c r="B1433" s="69"/>
      <c r="C1433" s="70"/>
      <c r="D1433" s="71"/>
    </row>
    <row r="1434" spans="2:4" x14ac:dyDescent="0.15">
      <c r="B1434" s="69"/>
      <c r="C1434" s="70"/>
      <c r="D1434" s="71"/>
    </row>
    <row r="1435" spans="2:4" x14ac:dyDescent="0.15">
      <c r="B1435" s="69"/>
      <c r="C1435" s="70"/>
      <c r="D1435" s="71"/>
    </row>
    <row r="1436" spans="2:4" x14ac:dyDescent="0.15">
      <c r="B1436" s="69"/>
      <c r="C1436" s="70"/>
      <c r="D1436" s="71"/>
    </row>
    <row r="1437" spans="2:4" x14ac:dyDescent="0.15">
      <c r="B1437" s="69"/>
      <c r="C1437" s="70"/>
      <c r="D1437" s="71"/>
    </row>
    <row r="1438" spans="2:4" x14ac:dyDescent="0.15">
      <c r="B1438" s="69"/>
      <c r="C1438" s="70"/>
      <c r="D1438" s="71"/>
    </row>
    <row r="1439" spans="2:4" x14ac:dyDescent="0.15">
      <c r="B1439" s="69"/>
      <c r="C1439" s="70"/>
      <c r="D1439" s="71"/>
    </row>
    <row r="1440" spans="2:4" x14ac:dyDescent="0.15">
      <c r="B1440" s="69"/>
      <c r="C1440" s="70"/>
      <c r="D1440" s="71"/>
    </row>
    <row r="1441" spans="2:4" x14ac:dyDescent="0.15">
      <c r="B1441" s="69"/>
      <c r="C1441" s="70"/>
      <c r="D1441" s="71"/>
    </row>
    <row r="1442" spans="2:4" x14ac:dyDescent="0.15">
      <c r="B1442" s="69"/>
      <c r="C1442" s="70"/>
      <c r="D1442" s="71"/>
    </row>
    <row r="1443" spans="2:4" x14ac:dyDescent="0.15">
      <c r="B1443" s="69"/>
      <c r="C1443" s="70"/>
      <c r="D1443" s="71"/>
    </row>
    <row r="1444" spans="2:4" x14ac:dyDescent="0.15">
      <c r="B1444" s="69"/>
      <c r="C1444" s="70"/>
      <c r="D1444" s="71"/>
    </row>
    <row r="1445" spans="2:4" x14ac:dyDescent="0.15">
      <c r="B1445" s="69"/>
      <c r="C1445" s="70"/>
      <c r="D1445" s="71"/>
    </row>
    <row r="1446" spans="2:4" x14ac:dyDescent="0.15">
      <c r="B1446" s="69"/>
      <c r="C1446" s="70"/>
      <c r="D1446" s="71"/>
    </row>
    <row r="1447" spans="2:4" x14ac:dyDescent="0.15">
      <c r="B1447" s="69"/>
      <c r="C1447" s="70"/>
      <c r="D1447" s="71"/>
    </row>
    <row r="1448" spans="2:4" x14ac:dyDescent="0.15">
      <c r="B1448" s="69"/>
      <c r="C1448" s="70"/>
      <c r="D1448" s="71"/>
    </row>
    <row r="1449" spans="2:4" x14ac:dyDescent="0.15">
      <c r="B1449" s="69"/>
      <c r="C1449" s="70"/>
      <c r="D1449" s="71"/>
    </row>
    <row r="1450" spans="2:4" x14ac:dyDescent="0.15">
      <c r="B1450" s="69"/>
      <c r="C1450" s="70"/>
      <c r="D1450" s="71"/>
    </row>
    <row r="1451" spans="2:4" x14ac:dyDescent="0.15">
      <c r="B1451" s="69"/>
      <c r="C1451" s="70"/>
      <c r="D1451" s="71"/>
    </row>
    <row r="1452" spans="2:4" x14ac:dyDescent="0.15">
      <c r="B1452" s="69"/>
      <c r="C1452" s="70"/>
      <c r="D1452" s="71"/>
    </row>
    <row r="1453" spans="2:4" x14ac:dyDescent="0.15">
      <c r="B1453" s="69"/>
      <c r="C1453" s="70"/>
      <c r="D1453" s="71"/>
    </row>
    <row r="1454" spans="2:4" x14ac:dyDescent="0.15">
      <c r="B1454" s="69"/>
      <c r="C1454" s="70"/>
      <c r="D1454" s="71"/>
    </row>
    <row r="1455" spans="2:4" x14ac:dyDescent="0.15">
      <c r="B1455" s="69"/>
      <c r="C1455" s="70"/>
      <c r="D1455" s="71"/>
    </row>
    <row r="1456" spans="2:4" x14ac:dyDescent="0.15">
      <c r="B1456" s="69"/>
      <c r="C1456" s="70"/>
      <c r="D1456" s="71"/>
    </row>
    <row r="1457" spans="2:4" x14ac:dyDescent="0.15">
      <c r="B1457" s="69"/>
      <c r="C1457" s="70"/>
      <c r="D1457" s="71"/>
    </row>
    <row r="1458" spans="2:4" x14ac:dyDescent="0.15">
      <c r="B1458" s="69"/>
      <c r="C1458" s="70"/>
      <c r="D1458" s="71"/>
    </row>
    <row r="1459" spans="2:4" x14ac:dyDescent="0.15">
      <c r="B1459" s="69"/>
      <c r="C1459" s="70"/>
      <c r="D1459" s="71"/>
    </row>
    <row r="1460" spans="2:4" x14ac:dyDescent="0.15">
      <c r="B1460" s="69"/>
      <c r="C1460" s="70"/>
      <c r="D1460" s="71"/>
    </row>
    <row r="1461" spans="2:4" x14ac:dyDescent="0.15">
      <c r="B1461" s="69"/>
      <c r="C1461" s="70"/>
      <c r="D1461" s="71"/>
    </row>
    <row r="1462" spans="2:4" x14ac:dyDescent="0.15">
      <c r="B1462" s="69"/>
      <c r="C1462" s="70"/>
      <c r="D1462" s="71"/>
    </row>
    <row r="1463" spans="2:4" x14ac:dyDescent="0.15">
      <c r="B1463" s="69"/>
      <c r="C1463" s="70"/>
      <c r="D1463" s="71"/>
    </row>
    <row r="1464" spans="2:4" x14ac:dyDescent="0.15">
      <c r="B1464" s="69"/>
      <c r="C1464" s="70"/>
      <c r="D1464" s="71"/>
    </row>
    <row r="1465" spans="2:4" x14ac:dyDescent="0.15">
      <c r="B1465" s="69"/>
      <c r="C1465" s="70"/>
      <c r="D1465" s="71"/>
    </row>
    <row r="1466" spans="2:4" x14ac:dyDescent="0.15">
      <c r="B1466" s="69"/>
      <c r="C1466" s="70"/>
      <c r="D1466" s="71"/>
    </row>
    <row r="1467" spans="2:4" x14ac:dyDescent="0.15">
      <c r="B1467" s="69"/>
      <c r="C1467" s="70"/>
      <c r="D1467" s="71"/>
    </row>
    <row r="1468" spans="2:4" x14ac:dyDescent="0.15">
      <c r="B1468" s="69"/>
      <c r="C1468" s="70"/>
      <c r="D1468" s="71"/>
    </row>
    <row r="1469" spans="2:4" x14ac:dyDescent="0.15">
      <c r="B1469" s="69"/>
      <c r="C1469" s="70"/>
      <c r="D1469" s="71"/>
    </row>
    <row r="1470" spans="2:4" x14ac:dyDescent="0.15">
      <c r="B1470" s="69"/>
      <c r="C1470" s="70"/>
      <c r="D1470" s="71"/>
    </row>
    <row r="1471" spans="2:4" x14ac:dyDescent="0.15">
      <c r="B1471" s="69"/>
      <c r="C1471" s="70"/>
      <c r="D1471" s="71"/>
    </row>
    <row r="1472" spans="2:4" x14ac:dyDescent="0.15">
      <c r="B1472" s="69"/>
      <c r="C1472" s="70"/>
      <c r="D1472" s="71"/>
    </row>
    <row r="1473" spans="2:4" x14ac:dyDescent="0.15">
      <c r="B1473" s="69"/>
      <c r="C1473" s="70"/>
      <c r="D1473" s="71"/>
    </row>
    <row r="1474" spans="2:4" x14ac:dyDescent="0.15">
      <c r="B1474" s="69"/>
      <c r="C1474" s="70"/>
      <c r="D1474" s="71"/>
    </row>
    <row r="1475" spans="2:4" x14ac:dyDescent="0.15">
      <c r="B1475" s="69"/>
      <c r="C1475" s="70"/>
      <c r="D1475" s="71"/>
    </row>
    <row r="1476" spans="2:4" x14ac:dyDescent="0.15">
      <c r="B1476" s="69"/>
      <c r="C1476" s="70"/>
      <c r="D1476" s="71"/>
    </row>
    <row r="1477" spans="2:4" x14ac:dyDescent="0.15">
      <c r="B1477" s="69"/>
      <c r="C1477" s="70"/>
      <c r="D1477" s="71"/>
    </row>
    <row r="1478" spans="2:4" x14ac:dyDescent="0.15">
      <c r="B1478" s="69"/>
      <c r="C1478" s="70"/>
      <c r="D1478" s="71"/>
    </row>
    <row r="1479" spans="2:4" x14ac:dyDescent="0.15">
      <c r="B1479" s="69"/>
      <c r="C1479" s="70"/>
      <c r="D1479" s="71"/>
    </row>
    <row r="1480" spans="2:4" x14ac:dyDescent="0.15">
      <c r="B1480" s="69"/>
      <c r="C1480" s="70"/>
      <c r="D1480" s="71"/>
    </row>
    <row r="1481" spans="2:4" x14ac:dyDescent="0.15">
      <c r="B1481" s="69"/>
      <c r="C1481" s="70"/>
      <c r="D1481" s="71"/>
    </row>
    <row r="1482" spans="2:4" x14ac:dyDescent="0.15">
      <c r="B1482" s="69"/>
      <c r="C1482" s="70"/>
      <c r="D1482" s="71"/>
    </row>
    <row r="1483" spans="2:4" x14ac:dyDescent="0.15">
      <c r="B1483" s="69"/>
      <c r="C1483" s="70"/>
      <c r="D1483" s="71"/>
    </row>
    <row r="1484" spans="2:4" x14ac:dyDescent="0.15">
      <c r="B1484" s="69"/>
      <c r="C1484" s="70"/>
      <c r="D1484" s="71"/>
    </row>
    <row r="1485" spans="2:4" x14ac:dyDescent="0.15">
      <c r="B1485" s="69"/>
      <c r="C1485" s="70"/>
      <c r="D1485" s="71"/>
    </row>
    <row r="1486" spans="2:4" x14ac:dyDescent="0.15">
      <c r="B1486" s="69"/>
      <c r="C1486" s="70"/>
      <c r="D1486" s="71"/>
    </row>
    <row r="1487" spans="2:4" x14ac:dyDescent="0.15">
      <c r="B1487" s="69"/>
      <c r="C1487" s="70"/>
      <c r="D1487" s="71"/>
    </row>
    <row r="1488" spans="2:4" x14ac:dyDescent="0.15">
      <c r="B1488" s="69"/>
      <c r="C1488" s="70"/>
      <c r="D1488" s="71"/>
    </row>
    <row r="1489" spans="2:4" x14ac:dyDescent="0.15">
      <c r="B1489" s="69"/>
      <c r="C1489" s="70"/>
      <c r="D1489" s="71"/>
    </row>
    <row r="1490" spans="2:4" x14ac:dyDescent="0.15">
      <c r="B1490" s="69"/>
      <c r="C1490" s="70"/>
      <c r="D1490" s="71"/>
    </row>
    <row r="1491" spans="2:4" x14ac:dyDescent="0.15">
      <c r="B1491" s="69"/>
      <c r="C1491" s="70"/>
      <c r="D1491" s="71"/>
    </row>
    <row r="1492" spans="2:4" x14ac:dyDescent="0.15">
      <c r="B1492" s="69"/>
      <c r="C1492" s="70"/>
      <c r="D1492" s="71"/>
    </row>
    <row r="1493" spans="2:4" x14ac:dyDescent="0.15">
      <c r="B1493" s="69"/>
      <c r="C1493" s="70"/>
      <c r="D1493" s="71"/>
    </row>
    <row r="1494" spans="2:4" x14ac:dyDescent="0.15">
      <c r="B1494" s="69"/>
      <c r="C1494" s="70"/>
      <c r="D1494" s="71"/>
    </row>
    <row r="1495" spans="2:4" x14ac:dyDescent="0.15">
      <c r="B1495" s="69"/>
      <c r="C1495" s="70"/>
      <c r="D1495" s="71"/>
    </row>
    <row r="1496" spans="2:4" x14ac:dyDescent="0.15">
      <c r="B1496" s="69"/>
      <c r="C1496" s="70"/>
      <c r="D1496" s="71"/>
    </row>
    <row r="1497" spans="2:4" x14ac:dyDescent="0.15">
      <c r="B1497" s="69"/>
      <c r="C1497" s="70"/>
      <c r="D1497" s="71"/>
    </row>
    <row r="1498" spans="2:4" x14ac:dyDescent="0.15">
      <c r="B1498" s="69"/>
      <c r="C1498" s="70"/>
      <c r="D1498" s="71"/>
    </row>
    <row r="1499" spans="2:4" x14ac:dyDescent="0.15">
      <c r="B1499" s="69"/>
      <c r="C1499" s="70"/>
      <c r="D1499" s="71"/>
    </row>
    <row r="1500" spans="2:4" x14ac:dyDescent="0.15">
      <c r="B1500" s="69"/>
      <c r="C1500" s="70"/>
      <c r="D1500" s="71"/>
    </row>
    <row r="1501" spans="2:4" x14ac:dyDescent="0.15">
      <c r="B1501" s="69"/>
      <c r="C1501" s="70"/>
      <c r="D1501" s="71"/>
    </row>
    <row r="1502" spans="2:4" x14ac:dyDescent="0.15">
      <c r="B1502" s="69"/>
      <c r="C1502" s="70"/>
      <c r="D1502" s="71"/>
    </row>
    <row r="1503" spans="2:4" x14ac:dyDescent="0.15">
      <c r="B1503" s="69"/>
      <c r="C1503" s="70"/>
      <c r="D1503" s="71"/>
    </row>
    <row r="1504" spans="2:4" x14ac:dyDescent="0.15">
      <c r="B1504" s="69"/>
      <c r="C1504" s="70"/>
      <c r="D1504" s="71"/>
    </row>
    <row r="1505" spans="2:4" x14ac:dyDescent="0.15">
      <c r="B1505" s="69"/>
      <c r="C1505" s="70"/>
      <c r="D1505" s="71"/>
    </row>
    <row r="1506" spans="2:4" x14ac:dyDescent="0.15">
      <c r="B1506" s="69"/>
      <c r="C1506" s="70"/>
      <c r="D1506" s="71"/>
    </row>
    <row r="1507" spans="2:4" x14ac:dyDescent="0.15">
      <c r="B1507" s="69"/>
      <c r="C1507" s="70"/>
      <c r="D1507" s="71"/>
    </row>
    <row r="1508" spans="2:4" x14ac:dyDescent="0.15">
      <c r="B1508" s="69"/>
      <c r="C1508" s="70"/>
      <c r="D1508" s="71"/>
    </row>
    <row r="1509" spans="2:4" x14ac:dyDescent="0.15">
      <c r="B1509" s="69"/>
      <c r="C1509" s="70"/>
      <c r="D1509" s="71"/>
    </row>
    <row r="1510" spans="2:4" x14ac:dyDescent="0.15">
      <c r="B1510" s="69"/>
      <c r="C1510" s="70"/>
      <c r="D1510" s="71"/>
    </row>
    <row r="1511" spans="2:4" x14ac:dyDescent="0.15">
      <c r="B1511" s="69"/>
      <c r="C1511" s="70"/>
      <c r="D1511" s="71"/>
    </row>
    <row r="1512" spans="2:4" x14ac:dyDescent="0.15">
      <c r="B1512" s="69"/>
      <c r="C1512" s="70"/>
      <c r="D1512" s="71"/>
    </row>
    <row r="1513" spans="2:4" x14ac:dyDescent="0.15">
      <c r="B1513" s="69"/>
      <c r="C1513" s="70"/>
      <c r="D1513" s="71"/>
    </row>
    <row r="1514" spans="2:4" x14ac:dyDescent="0.15">
      <c r="B1514" s="69"/>
      <c r="C1514" s="70"/>
      <c r="D1514" s="71"/>
    </row>
    <row r="1515" spans="2:4" x14ac:dyDescent="0.15">
      <c r="B1515" s="69"/>
      <c r="C1515" s="70"/>
      <c r="D1515" s="71"/>
    </row>
    <row r="1516" spans="2:4" x14ac:dyDescent="0.15">
      <c r="B1516" s="69"/>
      <c r="C1516" s="70"/>
      <c r="D1516" s="71"/>
    </row>
    <row r="1517" spans="2:4" x14ac:dyDescent="0.15">
      <c r="B1517" s="69"/>
      <c r="C1517" s="70"/>
      <c r="D1517" s="71"/>
    </row>
    <row r="1518" spans="2:4" x14ac:dyDescent="0.15">
      <c r="B1518" s="69"/>
      <c r="C1518" s="70"/>
      <c r="D1518" s="71"/>
    </row>
    <row r="1519" spans="2:4" x14ac:dyDescent="0.15">
      <c r="B1519" s="69"/>
      <c r="C1519" s="70"/>
      <c r="D1519" s="71"/>
    </row>
    <row r="1520" spans="2:4" x14ac:dyDescent="0.15">
      <c r="B1520" s="69"/>
      <c r="C1520" s="70"/>
      <c r="D1520" s="71"/>
    </row>
    <row r="1521" spans="2:4" x14ac:dyDescent="0.15">
      <c r="B1521" s="69"/>
      <c r="C1521" s="70"/>
      <c r="D1521" s="71"/>
    </row>
    <row r="1522" spans="2:4" x14ac:dyDescent="0.15">
      <c r="B1522" s="69"/>
      <c r="C1522" s="70"/>
      <c r="D1522" s="71"/>
    </row>
    <row r="1523" spans="2:4" x14ac:dyDescent="0.15">
      <c r="B1523" s="69"/>
      <c r="C1523" s="70"/>
      <c r="D1523" s="71"/>
    </row>
    <row r="1524" spans="2:4" x14ac:dyDescent="0.15">
      <c r="B1524" s="69"/>
      <c r="C1524" s="70"/>
      <c r="D1524" s="71"/>
    </row>
    <row r="1525" spans="2:4" x14ac:dyDescent="0.15">
      <c r="B1525" s="69"/>
      <c r="C1525" s="70"/>
      <c r="D1525" s="71"/>
    </row>
    <row r="1526" spans="2:4" x14ac:dyDescent="0.15">
      <c r="B1526" s="69"/>
      <c r="C1526" s="70"/>
      <c r="D1526" s="71"/>
    </row>
    <row r="1527" spans="2:4" x14ac:dyDescent="0.15">
      <c r="B1527" s="69"/>
      <c r="C1527" s="70"/>
      <c r="D1527" s="71"/>
    </row>
    <row r="1528" spans="2:4" x14ac:dyDescent="0.15">
      <c r="B1528" s="69"/>
      <c r="C1528" s="70"/>
      <c r="D1528" s="71"/>
    </row>
    <row r="1529" spans="2:4" x14ac:dyDescent="0.15">
      <c r="B1529" s="69"/>
      <c r="C1529" s="70"/>
      <c r="D1529" s="71"/>
    </row>
    <row r="1530" spans="2:4" x14ac:dyDescent="0.15">
      <c r="B1530" s="69"/>
      <c r="C1530" s="70"/>
      <c r="D1530" s="71"/>
    </row>
    <row r="1531" spans="2:4" x14ac:dyDescent="0.15">
      <c r="B1531" s="69"/>
      <c r="C1531" s="70"/>
      <c r="D1531" s="71"/>
    </row>
    <row r="1532" spans="2:4" x14ac:dyDescent="0.15">
      <c r="B1532" s="69"/>
      <c r="C1532" s="70"/>
      <c r="D1532" s="71"/>
    </row>
    <row r="1533" spans="2:4" x14ac:dyDescent="0.15">
      <c r="B1533" s="69"/>
      <c r="C1533" s="70"/>
      <c r="D1533" s="71"/>
    </row>
    <row r="1534" spans="2:4" x14ac:dyDescent="0.15">
      <c r="B1534" s="69"/>
      <c r="C1534" s="70"/>
      <c r="D1534" s="71"/>
    </row>
    <row r="1535" spans="2:4" x14ac:dyDescent="0.15">
      <c r="B1535" s="69"/>
      <c r="C1535" s="70"/>
      <c r="D1535" s="71"/>
    </row>
    <row r="1536" spans="2:4" x14ac:dyDescent="0.15">
      <c r="B1536" s="69"/>
      <c r="C1536" s="70"/>
      <c r="D1536" s="71"/>
    </row>
    <row r="1537" spans="2:4" x14ac:dyDescent="0.15">
      <c r="B1537" s="69"/>
      <c r="C1537" s="70"/>
      <c r="D1537" s="71"/>
    </row>
    <row r="1538" spans="2:4" x14ac:dyDescent="0.15">
      <c r="B1538" s="69"/>
      <c r="C1538" s="70"/>
      <c r="D1538" s="71"/>
    </row>
    <row r="1539" spans="2:4" x14ac:dyDescent="0.15">
      <c r="B1539" s="69"/>
      <c r="C1539" s="70"/>
      <c r="D1539" s="71"/>
    </row>
    <row r="1540" spans="2:4" x14ac:dyDescent="0.15">
      <c r="B1540" s="69"/>
      <c r="C1540" s="70"/>
      <c r="D1540" s="71"/>
    </row>
    <row r="1541" spans="2:4" x14ac:dyDescent="0.15">
      <c r="B1541" s="69"/>
      <c r="C1541" s="70"/>
      <c r="D1541" s="71"/>
    </row>
    <row r="1542" spans="2:4" x14ac:dyDescent="0.15">
      <c r="B1542" s="69"/>
      <c r="C1542" s="70"/>
      <c r="D1542" s="71"/>
    </row>
    <row r="1543" spans="2:4" x14ac:dyDescent="0.15">
      <c r="B1543" s="69"/>
      <c r="C1543" s="70"/>
      <c r="D1543" s="71"/>
    </row>
    <row r="1544" spans="2:4" x14ac:dyDescent="0.15">
      <c r="B1544" s="69"/>
      <c r="C1544" s="70"/>
      <c r="D1544" s="71"/>
    </row>
    <row r="1545" spans="2:4" x14ac:dyDescent="0.15">
      <c r="B1545" s="69"/>
      <c r="C1545" s="70"/>
      <c r="D1545" s="71"/>
    </row>
    <row r="1546" spans="2:4" x14ac:dyDescent="0.15">
      <c r="B1546" s="69"/>
      <c r="C1546" s="70"/>
      <c r="D1546" s="71"/>
    </row>
    <row r="1547" spans="2:4" x14ac:dyDescent="0.15">
      <c r="B1547" s="69"/>
      <c r="C1547" s="70"/>
      <c r="D1547" s="71"/>
    </row>
    <row r="1548" spans="2:4" x14ac:dyDescent="0.15">
      <c r="B1548" s="69"/>
      <c r="C1548" s="70"/>
      <c r="D1548" s="71"/>
    </row>
    <row r="1549" spans="2:4" x14ac:dyDescent="0.15">
      <c r="B1549" s="69"/>
      <c r="C1549" s="70"/>
      <c r="D1549" s="71"/>
    </row>
    <row r="1550" spans="2:4" x14ac:dyDescent="0.15">
      <c r="B1550" s="69"/>
      <c r="C1550" s="70"/>
      <c r="D1550" s="71"/>
    </row>
    <row r="1551" spans="2:4" x14ac:dyDescent="0.15">
      <c r="B1551" s="69"/>
      <c r="C1551" s="70"/>
      <c r="D1551" s="71"/>
    </row>
    <row r="1552" spans="2:4" x14ac:dyDescent="0.15">
      <c r="B1552" s="69"/>
      <c r="C1552" s="70"/>
      <c r="D1552" s="71"/>
    </row>
    <row r="1553" spans="2:4" x14ac:dyDescent="0.15">
      <c r="B1553" s="69"/>
      <c r="C1553" s="70"/>
      <c r="D1553" s="71"/>
    </row>
    <row r="1554" spans="2:4" x14ac:dyDescent="0.15">
      <c r="B1554" s="69"/>
      <c r="C1554" s="70"/>
      <c r="D1554" s="71"/>
    </row>
    <row r="1555" spans="2:4" x14ac:dyDescent="0.15">
      <c r="B1555" s="69"/>
      <c r="C1555" s="70"/>
      <c r="D1555" s="71"/>
    </row>
    <row r="1556" spans="2:4" x14ac:dyDescent="0.15">
      <c r="B1556" s="69"/>
      <c r="C1556" s="70"/>
      <c r="D1556" s="71"/>
    </row>
    <row r="1557" spans="2:4" x14ac:dyDescent="0.15">
      <c r="B1557" s="69"/>
      <c r="C1557" s="70"/>
      <c r="D1557" s="71"/>
    </row>
    <row r="1558" spans="2:4" x14ac:dyDescent="0.15">
      <c r="B1558" s="69"/>
      <c r="C1558" s="70"/>
      <c r="D1558" s="71"/>
    </row>
    <row r="1559" spans="2:4" x14ac:dyDescent="0.15">
      <c r="B1559" s="69"/>
      <c r="C1559" s="70"/>
      <c r="D1559" s="71"/>
    </row>
    <row r="1560" spans="2:4" x14ac:dyDescent="0.15">
      <c r="B1560" s="69"/>
      <c r="C1560" s="70"/>
      <c r="D1560" s="71"/>
    </row>
    <row r="1561" spans="2:4" x14ac:dyDescent="0.15">
      <c r="B1561" s="69"/>
      <c r="C1561" s="70"/>
      <c r="D1561" s="71"/>
    </row>
    <row r="1562" spans="2:4" x14ac:dyDescent="0.15">
      <c r="B1562" s="69"/>
      <c r="C1562" s="70"/>
      <c r="D1562" s="71"/>
    </row>
    <row r="1563" spans="2:4" x14ac:dyDescent="0.15">
      <c r="B1563" s="69"/>
      <c r="C1563" s="70"/>
      <c r="D1563" s="71"/>
    </row>
    <row r="1564" spans="2:4" x14ac:dyDescent="0.15">
      <c r="B1564" s="69"/>
      <c r="C1564" s="70"/>
      <c r="D1564" s="71"/>
    </row>
    <row r="1565" spans="2:4" x14ac:dyDescent="0.15">
      <c r="B1565" s="69"/>
      <c r="C1565" s="70"/>
      <c r="D1565" s="71"/>
    </row>
    <row r="1566" spans="2:4" x14ac:dyDescent="0.15">
      <c r="B1566" s="69"/>
      <c r="C1566" s="70"/>
      <c r="D1566" s="71"/>
    </row>
    <row r="1567" spans="2:4" x14ac:dyDescent="0.15">
      <c r="B1567" s="69"/>
      <c r="C1567" s="70"/>
      <c r="D1567" s="71"/>
    </row>
    <row r="1568" spans="2:4" x14ac:dyDescent="0.15">
      <c r="B1568" s="69"/>
      <c r="C1568" s="70"/>
      <c r="D1568" s="71"/>
    </row>
    <row r="1569" spans="2:4" x14ac:dyDescent="0.15">
      <c r="B1569" s="69"/>
      <c r="C1569" s="70"/>
      <c r="D1569" s="71"/>
    </row>
    <row r="1570" spans="2:4" x14ac:dyDescent="0.15">
      <c r="B1570" s="69"/>
      <c r="C1570" s="70"/>
      <c r="D1570" s="71"/>
    </row>
    <row r="1571" spans="2:4" x14ac:dyDescent="0.15">
      <c r="B1571" s="69"/>
      <c r="C1571" s="70"/>
      <c r="D1571" s="71"/>
    </row>
    <row r="1572" spans="2:4" x14ac:dyDescent="0.15">
      <c r="B1572" s="69"/>
      <c r="C1572" s="70"/>
      <c r="D1572" s="71"/>
    </row>
    <row r="1573" spans="2:4" x14ac:dyDescent="0.15">
      <c r="B1573" s="69"/>
      <c r="C1573" s="70"/>
      <c r="D1573" s="71"/>
    </row>
    <row r="1574" spans="2:4" x14ac:dyDescent="0.15">
      <c r="B1574" s="69"/>
      <c r="C1574" s="70"/>
      <c r="D1574" s="71"/>
    </row>
    <row r="1575" spans="2:4" x14ac:dyDescent="0.15">
      <c r="B1575" s="69"/>
      <c r="C1575" s="70"/>
      <c r="D1575" s="71"/>
    </row>
    <row r="1576" spans="2:4" x14ac:dyDescent="0.15">
      <c r="B1576" s="69"/>
      <c r="C1576" s="70"/>
      <c r="D1576" s="71"/>
    </row>
    <row r="1577" spans="2:4" x14ac:dyDescent="0.15">
      <c r="B1577" s="69"/>
      <c r="C1577" s="70"/>
      <c r="D1577" s="71"/>
    </row>
    <row r="1578" spans="2:4" x14ac:dyDescent="0.15">
      <c r="B1578" s="69"/>
      <c r="C1578" s="70"/>
      <c r="D1578" s="71"/>
    </row>
    <row r="1579" spans="2:4" x14ac:dyDescent="0.15">
      <c r="B1579" s="69"/>
      <c r="C1579" s="70"/>
      <c r="D1579" s="71"/>
    </row>
    <row r="1580" spans="2:4" x14ac:dyDescent="0.15">
      <c r="B1580" s="69"/>
      <c r="C1580" s="70"/>
      <c r="D1580" s="71"/>
    </row>
    <row r="1581" spans="2:4" x14ac:dyDescent="0.15">
      <c r="B1581" s="69"/>
      <c r="C1581" s="70"/>
      <c r="D1581" s="71"/>
    </row>
    <row r="1582" spans="2:4" x14ac:dyDescent="0.15">
      <c r="B1582" s="69"/>
      <c r="C1582" s="70"/>
      <c r="D1582" s="71"/>
    </row>
    <row r="1583" spans="2:4" x14ac:dyDescent="0.15">
      <c r="B1583" s="69"/>
      <c r="C1583" s="70"/>
      <c r="D1583" s="71"/>
    </row>
    <row r="1584" spans="2:4" x14ac:dyDescent="0.15">
      <c r="B1584" s="69"/>
      <c r="C1584" s="70"/>
      <c r="D1584" s="71"/>
    </row>
    <row r="1585" spans="2:4" x14ac:dyDescent="0.15">
      <c r="B1585" s="69"/>
      <c r="C1585" s="70"/>
      <c r="D1585" s="71"/>
    </row>
    <row r="1586" spans="2:4" x14ac:dyDescent="0.15">
      <c r="B1586" s="69"/>
      <c r="C1586" s="70"/>
      <c r="D1586" s="71"/>
    </row>
    <row r="1587" spans="2:4" x14ac:dyDescent="0.15">
      <c r="B1587" s="69"/>
      <c r="C1587" s="70"/>
      <c r="D1587" s="71"/>
    </row>
    <row r="1588" spans="2:4" x14ac:dyDescent="0.15">
      <c r="B1588" s="69"/>
      <c r="C1588" s="70"/>
      <c r="D1588" s="71"/>
    </row>
    <row r="1589" spans="2:4" x14ac:dyDescent="0.15">
      <c r="B1589" s="69"/>
      <c r="C1589" s="70"/>
      <c r="D1589" s="71"/>
    </row>
    <row r="1590" spans="2:4" x14ac:dyDescent="0.15">
      <c r="B1590" s="69"/>
      <c r="C1590" s="70"/>
      <c r="D1590" s="71"/>
    </row>
    <row r="1591" spans="2:4" x14ac:dyDescent="0.15">
      <c r="B1591" s="69"/>
      <c r="C1591" s="70"/>
      <c r="D1591" s="71"/>
    </row>
    <row r="1592" spans="2:4" x14ac:dyDescent="0.15">
      <c r="B1592" s="69"/>
      <c r="C1592" s="70"/>
      <c r="D1592" s="71"/>
    </row>
    <row r="1593" spans="2:4" x14ac:dyDescent="0.15">
      <c r="B1593" s="69"/>
      <c r="C1593" s="70"/>
      <c r="D1593" s="71"/>
    </row>
    <row r="1594" spans="2:4" x14ac:dyDescent="0.15">
      <c r="B1594" s="69"/>
      <c r="C1594" s="70"/>
      <c r="D1594" s="71"/>
    </row>
    <row r="1595" spans="2:4" x14ac:dyDescent="0.15">
      <c r="B1595" s="69"/>
      <c r="C1595" s="70"/>
      <c r="D1595" s="71"/>
    </row>
    <row r="1596" spans="2:4" x14ac:dyDescent="0.15">
      <c r="B1596" s="69"/>
      <c r="C1596" s="70"/>
      <c r="D1596" s="71"/>
    </row>
    <row r="1597" spans="2:4" x14ac:dyDescent="0.15">
      <c r="B1597" s="69"/>
      <c r="C1597" s="70"/>
      <c r="D1597" s="71"/>
    </row>
    <row r="1598" spans="2:4" x14ac:dyDescent="0.15">
      <c r="B1598" s="69"/>
      <c r="C1598" s="70"/>
      <c r="D1598" s="71"/>
    </row>
    <row r="1599" spans="2:4" x14ac:dyDescent="0.15">
      <c r="B1599" s="69"/>
      <c r="C1599" s="70"/>
      <c r="D1599" s="71"/>
    </row>
    <row r="1600" spans="2:4" x14ac:dyDescent="0.15">
      <c r="B1600" s="69"/>
      <c r="C1600" s="70"/>
      <c r="D1600" s="71"/>
    </row>
    <row r="1601" spans="2:4" x14ac:dyDescent="0.15">
      <c r="B1601" s="69"/>
      <c r="C1601" s="70"/>
      <c r="D1601" s="71"/>
    </row>
    <row r="1602" spans="2:4" x14ac:dyDescent="0.15">
      <c r="B1602" s="69"/>
      <c r="C1602" s="70"/>
      <c r="D1602" s="71"/>
    </row>
    <row r="1603" spans="2:4" x14ac:dyDescent="0.15">
      <c r="B1603" s="69"/>
      <c r="C1603" s="70"/>
      <c r="D1603" s="71"/>
    </row>
    <row r="1604" spans="2:4" x14ac:dyDescent="0.15">
      <c r="B1604" s="69"/>
      <c r="C1604" s="70"/>
      <c r="D1604" s="71"/>
    </row>
    <row r="1605" spans="2:4" x14ac:dyDescent="0.15">
      <c r="B1605" s="69"/>
      <c r="C1605" s="70"/>
      <c r="D1605" s="71"/>
    </row>
    <row r="1606" spans="2:4" x14ac:dyDescent="0.15">
      <c r="B1606" s="69"/>
      <c r="C1606" s="70"/>
      <c r="D1606" s="71"/>
    </row>
    <row r="1607" spans="2:4" x14ac:dyDescent="0.15">
      <c r="B1607" s="69"/>
      <c r="C1607" s="70"/>
      <c r="D1607" s="71"/>
    </row>
    <row r="1608" spans="2:4" x14ac:dyDescent="0.15">
      <c r="B1608" s="69"/>
      <c r="C1608" s="70"/>
      <c r="D1608" s="71"/>
    </row>
    <row r="1609" spans="2:4" x14ac:dyDescent="0.15">
      <c r="B1609" s="69"/>
      <c r="C1609" s="70"/>
      <c r="D1609" s="71"/>
    </row>
    <row r="1610" spans="2:4" x14ac:dyDescent="0.15">
      <c r="B1610" s="69"/>
      <c r="C1610" s="70"/>
      <c r="D1610" s="71"/>
    </row>
    <row r="1611" spans="2:4" x14ac:dyDescent="0.15">
      <c r="B1611" s="69"/>
      <c r="C1611" s="70"/>
      <c r="D1611" s="71"/>
    </row>
    <row r="1612" spans="2:4" x14ac:dyDescent="0.15">
      <c r="B1612" s="69"/>
      <c r="C1612" s="70"/>
      <c r="D1612" s="71"/>
    </row>
    <row r="1613" spans="2:4" x14ac:dyDescent="0.15">
      <c r="B1613" s="69"/>
      <c r="C1613" s="70"/>
      <c r="D1613" s="71"/>
    </row>
    <row r="1614" spans="2:4" x14ac:dyDescent="0.15">
      <c r="B1614" s="69"/>
      <c r="C1614" s="70"/>
      <c r="D1614" s="71"/>
    </row>
    <row r="1615" spans="2:4" x14ac:dyDescent="0.15">
      <c r="B1615" s="69"/>
      <c r="C1615" s="70"/>
      <c r="D1615" s="71"/>
    </row>
    <row r="1616" spans="2:4" x14ac:dyDescent="0.15">
      <c r="B1616" s="69"/>
      <c r="C1616" s="70"/>
      <c r="D1616" s="71"/>
    </row>
    <row r="1617" spans="2:4" x14ac:dyDescent="0.15">
      <c r="B1617" s="69"/>
      <c r="C1617" s="70"/>
      <c r="D1617" s="71"/>
    </row>
    <row r="1618" spans="2:4" x14ac:dyDescent="0.15">
      <c r="B1618" s="69"/>
      <c r="C1618" s="70"/>
      <c r="D1618" s="71"/>
    </row>
    <row r="1619" spans="2:4" x14ac:dyDescent="0.15">
      <c r="B1619" s="69"/>
      <c r="C1619" s="70"/>
      <c r="D1619" s="71"/>
    </row>
    <row r="1620" spans="2:4" x14ac:dyDescent="0.15">
      <c r="B1620" s="69"/>
      <c r="C1620" s="70"/>
      <c r="D1620" s="71"/>
    </row>
    <row r="1621" spans="2:4" x14ac:dyDescent="0.15">
      <c r="B1621" s="69"/>
      <c r="C1621" s="70"/>
      <c r="D1621" s="71"/>
    </row>
    <row r="1622" spans="2:4" x14ac:dyDescent="0.15">
      <c r="B1622" s="69"/>
      <c r="C1622" s="70"/>
      <c r="D1622" s="71"/>
    </row>
    <row r="1623" spans="2:4" x14ac:dyDescent="0.15">
      <c r="B1623" s="69"/>
      <c r="C1623" s="70"/>
      <c r="D1623" s="71"/>
    </row>
    <row r="1624" spans="2:4" x14ac:dyDescent="0.15">
      <c r="B1624" s="69"/>
      <c r="C1624" s="70"/>
      <c r="D1624" s="71"/>
    </row>
    <row r="1625" spans="2:4" x14ac:dyDescent="0.15">
      <c r="B1625" s="69"/>
      <c r="C1625" s="70"/>
      <c r="D1625" s="71"/>
    </row>
    <row r="1626" spans="2:4" x14ac:dyDescent="0.15">
      <c r="B1626" s="69"/>
      <c r="C1626" s="70"/>
      <c r="D1626" s="71"/>
    </row>
    <row r="1627" spans="2:4" x14ac:dyDescent="0.15">
      <c r="B1627" s="69"/>
      <c r="C1627" s="70"/>
      <c r="D1627" s="71"/>
    </row>
    <row r="1628" spans="2:4" x14ac:dyDescent="0.15">
      <c r="B1628" s="69"/>
      <c r="C1628" s="70"/>
      <c r="D1628" s="71"/>
    </row>
    <row r="1629" spans="2:4" x14ac:dyDescent="0.15">
      <c r="B1629" s="69"/>
      <c r="C1629" s="70"/>
      <c r="D1629" s="71"/>
    </row>
    <row r="1630" spans="2:4" x14ac:dyDescent="0.15">
      <c r="B1630" s="69"/>
      <c r="C1630" s="70"/>
      <c r="D1630" s="71"/>
    </row>
    <row r="1631" spans="2:4" x14ac:dyDescent="0.15">
      <c r="B1631" s="69"/>
      <c r="C1631" s="70"/>
      <c r="D1631" s="71"/>
    </row>
    <row r="1632" spans="2:4" x14ac:dyDescent="0.15">
      <c r="B1632" s="69"/>
      <c r="C1632" s="70"/>
      <c r="D1632" s="71"/>
    </row>
    <row r="1633" spans="2:4" x14ac:dyDescent="0.15">
      <c r="B1633" s="69"/>
      <c r="C1633" s="70"/>
      <c r="D1633" s="71"/>
    </row>
    <row r="1634" spans="2:4" x14ac:dyDescent="0.15">
      <c r="B1634" s="69"/>
      <c r="C1634" s="70"/>
      <c r="D1634" s="71"/>
    </row>
    <row r="1635" spans="2:4" x14ac:dyDescent="0.15">
      <c r="B1635" s="69"/>
      <c r="C1635" s="70"/>
      <c r="D1635" s="71"/>
    </row>
    <row r="1636" spans="2:4" x14ac:dyDescent="0.15">
      <c r="B1636" s="69"/>
      <c r="C1636" s="70"/>
      <c r="D1636" s="71"/>
    </row>
    <row r="1637" spans="2:4" x14ac:dyDescent="0.15">
      <c r="B1637" s="69"/>
      <c r="C1637" s="70"/>
      <c r="D1637" s="71"/>
    </row>
    <row r="1638" spans="2:4" x14ac:dyDescent="0.15">
      <c r="B1638" s="69"/>
      <c r="C1638" s="70"/>
      <c r="D1638" s="71"/>
    </row>
    <row r="1639" spans="2:4" x14ac:dyDescent="0.15">
      <c r="B1639" s="69"/>
      <c r="C1639" s="70"/>
      <c r="D1639" s="71"/>
    </row>
    <row r="1640" spans="2:4" x14ac:dyDescent="0.15">
      <c r="B1640" s="69"/>
      <c r="C1640" s="70"/>
      <c r="D1640" s="71"/>
    </row>
    <row r="1641" spans="2:4" x14ac:dyDescent="0.15">
      <c r="B1641" s="69"/>
      <c r="C1641" s="70"/>
      <c r="D1641" s="71"/>
    </row>
    <row r="1642" spans="2:4" x14ac:dyDescent="0.15">
      <c r="B1642" s="69"/>
      <c r="C1642" s="70"/>
      <c r="D1642" s="71"/>
    </row>
    <row r="1643" spans="2:4" x14ac:dyDescent="0.15">
      <c r="B1643" s="69"/>
      <c r="C1643" s="70"/>
      <c r="D1643" s="71"/>
    </row>
    <row r="1644" spans="2:4" x14ac:dyDescent="0.15">
      <c r="B1644" s="69"/>
      <c r="C1644" s="70"/>
      <c r="D1644" s="71"/>
    </row>
    <row r="1645" spans="2:4" x14ac:dyDescent="0.15">
      <c r="B1645" s="69"/>
      <c r="C1645" s="70"/>
      <c r="D1645" s="71"/>
    </row>
    <row r="1646" spans="2:4" x14ac:dyDescent="0.15">
      <c r="B1646" s="69"/>
      <c r="C1646" s="70"/>
      <c r="D1646" s="71"/>
    </row>
    <row r="1647" spans="2:4" x14ac:dyDescent="0.15">
      <c r="B1647" s="69"/>
      <c r="C1647" s="70"/>
      <c r="D1647" s="71"/>
    </row>
    <row r="1648" spans="2:4" x14ac:dyDescent="0.15">
      <c r="B1648" s="69"/>
      <c r="C1648" s="70"/>
      <c r="D1648" s="71"/>
    </row>
    <row r="1649" spans="2:4" x14ac:dyDescent="0.15">
      <c r="B1649" s="69"/>
      <c r="C1649" s="70"/>
      <c r="D1649" s="71"/>
    </row>
    <row r="1650" spans="2:4" x14ac:dyDescent="0.15">
      <c r="B1650" s="69"/>
      <c r="C1650" s="70"/>
      <c r="D1650" s="71"/>
    </row>
    <row r="1651" spans="2:4" x14ac:dyDescent="0.15">
      <c r="B1651" s="69"/>
      <c r="C1651" s="70"/>
      <c r="D1651" s="71"/>
    </row>
    <row r="1652" spans="2:4" x14ac:dyDescent="0.15">
      <c r="B1652" s="69"/>
      <c r="C1652" s="70"/>
      <c r="D1652" s="71"/>
    </row>
    <row r="1653" spans="2:4" x14ac:dyDescent="0.15">
      <c r="B1653" s="69"/>
      <c r="C1653" s="70"/>
      <c r="D1653" s="71"/>
    </row>
    <row r="1654" spans="2:4" x14ac:dyDescent="0.15">
      <c r="B1654" s="69"/>
      <c r="C1654" s="70"/>
      <c r="D1654" s="71"/>
    </row>
    <row r="1655" spans="2:4" x14ac:dyDescent="0.15">
      <c r="B1655" s="69"/>
      <c r="C1655" s="70"/>
      <c r="D1655" s="71"/>
    </row>
    <row r="1656" spans="2:4" x14ac:dyDescent="0.15">
      <c r="B1656" s="69"/>
      <c r="C1656" s="70"/>
      <c r="D1656" s="71"/>
    </row>
    <row r="1657" spans="2:4" x14ac:dyDescent="0.15">
      <c r="B1657" s="69"/>
      <c r="C1657" s="70"/>
      <c r="D1657" s="71"/>
    </row>
    <row r="1658" spans="2:4" x14ac:dyDescent="0.15">
      <c r="B1658" s="69"/>
      <c r="C1658" s="70"/>
      <c r="D1658" s="71"/>
    </row>
    <row r="1659" spans="2:4" x14ac:dyDescent="0.15">
      <c r="B1659" s="69"/>
      <c r="C1659" s="70"/>
      <c r="D1659" s="71"/>
    </row>
    <row r="1660" spans="2:4" x14ac:dyDescent="0.15">
      <c r="B1660" s="69"/>
      <c r="C1660" s="70"/>
      <c r="D1660" s="71"/>
    </row>
    <row r="1661" spans="2:4" x14ac:dyDescent="0.15">
      <c r="B1661" s="69"/>
      <c r="C1661" s="70"/>
      <c r="D1661" s="71"/>
    </row>
    <row r="1662" spans="2:4" x14ac:dyDescent="0.15">
      <c r="B1662" s="69"/>
      <c r="C1662" s="70"/>
      <c r="D1662" s="71"/>
    </row>
    <row r="1663" spans="2:4" x14ac:dyDescent="0.15">
      <c r="B1663" s="69"/>
      <c r="C1663" s="70"/>
      <c r="D1663" s="71"/>
    </row>
    <row r="1664" spans="2:4" x14ac:dyDescent="0.15">
      <c r="B1664" s="69"/>
      <c r="C1664" s="70"/>
      <c r="D1664" s="71"/>
    </row>
    <row r="1665" spans="2:4" x14ac:dyDescent="0.15">
      <c r="B1665" s="69"/>
      <c r="C1665" s="70"/>
      <c r="D1665" s="71"/>
    </row>
    <row r="1666" spans="2:4" x14ac:dyDescent="0.15">
      <c r="B1666" s="69"/>
      <c r="C1666" s="70"/>
      <c r="D1666" s="71"/>
    </row>
    <row r="1667" spans="2:4" x14ac:dyDescent="0.15">
      <c r="B1667" s="69"/>
      <c r="C1667" s="70"/>
      <c r="D1667" s="71"/>
    </row>
    <row r="1668" spans="2:4" x14ac:dyDescent="0.15">
      <c r="B1668" s="69"/>
      <c r="C1668" s="70"/>
      <c r="D1668" s="71"/>
    </row>
    <row r="1669" spans="2:4" x14ac:dyDescent="0.15">
      <c r="B1669" s="69"/>
      <c r="C1669" s="70"/>
      <c r="D1669" s="71"/>
    </row>
    <row r="1670" spans="2:4" x14ac:dyDescent="0.15">
      <c r="B1670" s="69"/>
      <c r="C1670" s="70"/>
      <c r="D1670" s="71"/>
    </row>
    <row r="1671" spans="2:4" x14ac:dyDescent="0.15">
      <c r="B1671" s="69"/>
      <c r="C1671" s="70"/>
      <c r="D1671" s="71"/>
    </row>
    <row r="1672" spans="2:4" x14ac:dyDescent="0.15">
      <c r="B1672" s="69"/>
      <c r="C1672" s="70"/>
      <c r="D1672" s="71"/>
    </row>
    <row r="1673" spans="2:4" x14ac:dyDescent="0.15">
      <c r="B1673" s="69"/>
      <c r="C1673" s="70"/>
      <c r="D1673" s="71"/>
    </row>
    <row r="1674" spans="2:4" x14ac:dyDescent="0.15">
      <c r="B1674" s="69"/>
      <c r="C1674" s="70"/>
      <c r="D1674" s="71"/>
    </row>
    <row r="1675" spans="2:4" x14ac:dyDescent="0.15">
      <c r="B1675" s="69"/>
      <c r="C1675" s="70"/>
      <c r="D1675" s="71"/>
    </row>
    <row r="1676" spans="2:4" x14ac:dyDescent="0.15">
      <c r="B1676" s="69"/>
      <c r="C1676" s="70"/>
      <c r="D1676" s="71"/>
    </row>
    <row r="1677" spans="2:4" x14ac:dyDescent="0.15">
      <c r="B1677" s="69"/>
      <c r="C1677" s="70"/>
      <c r="D1677" s="71"/>
    </row>
    <row r="1678" spans="2:4" x14ac:dyDescent="0.15">
      <c r="B1678" s="69"/>
      <c r="C1678" s="70"/>
      <c r="D1678" s="71"/>
    </row>
    <row r="1679" spans="2:4" x14ac:dyDescent="0.15">
      <c r="B1679" s="69"/>
      <c r="C1679" s="70"/>
      <c r="D1679" s="71"/>
    </row>
    <row r="1680" spans="2:4" x14ac:dyDescent="0.15">
      <c r="B1680" s="69"/>
      <c r="C1680" s="70"/>
      <c r="D1680" s="71"/>
    </row>
    <row r="1681" spans="2:4" x14ac:dyDescent="0.15">
      <c r="B1681" s="69"/>
      <c r="C1681" s="70"/>
      <c r="D1681" s="71"/>
    </row>
    <row r="1682" spans="2:4" x14ac:dyDescent="0.15">
      <c r="B1682" s="69"/>
      <c r="C1682" s="70"/>
      <c r="D1682" s="71"/>
    </row>
    <row r="1683" spans="2:4" x14ac:dyDescent="0.15">
      <c r="B1683" s="69"/>
      <c r="C1683" s="70"/>
      <c r="D1683" s="71"/>
    </row>
    <row r="1684" spans="2:4" x14ac:dyDescent="0.15">
      <c r="B1684" s="69"/>
      <c r="C1684" s="70"/>
      <c r="D1684" s="71"/>
    </row>
    <row r="1685" spans="2:4" x14ac:dyDescent="0.15">
      <c r="B1685" s="69"/>
      <c r="C1685" s="70"/>
      <c r="D1685" s="71"/>
    </row>
    <row r="1686" spans="2:4" x14ac:dyDescent="0.15">
      <c r="B1686" s="69"/>
      <c r="C1686" s="70"/>
      <c r="D1686" s="71"/>
    </row>
    <row r="1687" spans="2:4" x14ac:dyDescent="0.15">
      <c r="B1687" s="69"/>
      <c r="C1687" s="70"/>
      <c r="D1687" s="71"/>
    </row>
    <row r="1688" spans="2:4" x14ac:dyDescent="0.15">
      <c r="B1688" s="69"/>
      <c r="C1688" s="70"/>
      <c r="D1688" s="71"/>
    </row>
    <row r="1689" spans="2:4" x14ac:dyDescent="0.15">
      <c r="B1689" s="69"/>
      <c r="C1689" s="70"/>
      <c r="D1689" s="71"/>
    </row>
    <row r="1690" spans="2:4" x14ac:dyDescent="0.15">
      <c r="B1690" s="69"/>
      <c r="C1690" s="70"/>
      <c r="D1690" s="71"/>
    </row>
    <row r="1691" spans="2:4" x14ac:dyDescent="0.15">
      <c r="B1691" s="69"/>
      <c r="C1691" s="70"/>
      <c r="D1691" s="71"/>
    </row>
    <row r="1692" spans="2:4" x14ac:dyDescent="0.15">
      <c r="B1692" s="69"/>
      <c r="C1692" s="70"/>
      <c r="D1692" s="71"/>
    </row>
    <row r="1693" spans="2:4" x14ac:dyDescent="0.15">
      <c r="B1693" s="69"/>
      <c r="C1693" s="70"/>
      <c r="D1693" s="71"/>
    </row>
    <row r="1694" spans="2:4" x14ac:dyDescent="0.15">
      <c r="B1694" s="69"/>
      <c r="C1694" s="70"/>
      <c r="D1694" s="71"/>
    </row>
    <row r="1695" spans="2:4" x14ac:dyDescent="0.15">
      <c r="B1695" s="69"/>
      <c r="C1695" s="70"/>
      <c r="D1695" s="71"/>
    </row>
    <row r="1696" spans="2:4" x14ac:dyDescent="0.15">
      <c r="B1696" s="69"/>
      <c r="C1696" s="70"/>
      <c r="D1696" s="71"/>
    </row>
    <row r="1697" spans="2:4" x14ac:dyDescent="0.15">
      <c r="B1697" s="69"/>
      <c r="C1697" s="70"/>
      <c r="D1697" s="71"/>
    </row>
    <row r="1698" spans="2:4" x14ac:dyDescent="0.15">
      <c r="B1698" s="69"/>
      <c r="C1698" s="70"/>
      <c r="D1698" s="71"/>
    </row>
    <row r="1699" spans="2:4" x14ac:dyDescent="0.15">
      <c r="B1699" s="69"/>
      <c r="C1699" s="70"/>
      <c r="D1699" s="71"/>
    </row>
    <row r="1700" spans="2:4" x14ac:dyDescent="0.15">
      <c r="B1700" s="69"/>
      <c r="C1700" s="70"/>
      <c r="D1700" s="71"/>
    </row>
    <row r="1701" spans="2:4" x14ac:dyDescent="0.15">
      <c r="B1701" s="69"/>
      <c r="C1701" s="70"/>
      <c r="D1701" s="71"/>
    </row>
    <row r="1702" spans="2:4" x14ac:dyDescent="0.15">
      <c r="B1702" s="69"/>
      <c r="C1702" s="70"/>
      <c r="D1702" s="71"/>
    </row>
    <row r="1703" spans="2:4" x14ac:dyDescent="0.15">
      <c r="B1703" s="69"/>
      <c r="C1703" s="70"/>
      <c r="D1703" s="71"/>
    </row>
    <row r="1704" spans="2:4" x14ac:dyDescent="0.15">
      <c r="B1704" s="69"/>
      <c r="C1704" s="70"/>
      <c r="D1704" s="71"/>
    </row>
    <row r="1705" spans="2:4" x14ac:dyDescent="0.15">
      <c r="B1705" s="69"/>
      <c r="C1705" s="70"/>
      <c r="D1705" s="71"/>
    </row>
    <row r="1706" spans="2:4" x14ac:dyDescent="0.15">
      <c r="B1706" s="69"/>
      <c r="C1706" s="70"/>
      <c r="D1706" s="71"/>
    </row>
    <row r="1707" spans="2:4" x14ac:dyDescent="0.15">
      <c r="B1707" s="69"/>
      <c r="C1707" s="70"/>
      <c r="D1707" s="71"/>
    </row>
    <row r="1708" spans="2:4" x14ac:dyDescent="0.15">
      <c r="B1708" s="69"/>
      <c r="C1708" s="70"/>
      <c r="D1708" s="71"/>
    </row>
    <row r="1709" spans="2:4" x14ac:dyDescent="0.15">
      <c r="B1709" s="69"/>
      <c r="C1709" s="70"/>
      <c r="D1709" s="71"/>
    </row>
    <row r="1710" spans="2:4" x14ac:dyDescent="0.15">
      <c r="B1710" s="69"/>
      <c r="C1710" s="70"/>
      <c r="D1710" s="71"/>
    </row>
    <row r="1711" spans="2:4" x14ac:dyDescent="0.15">
      <c r="B1711" s="69"/>
      <c r="C1711" s="70"/>
      <c r="D1711" s="71"/>
    </row>
    <row r="1712" spans="2:4" x14ac:dyDescent="0.15">
      <c r="B1712" s="69"/>
      <c r="C1712" s="70"/>
      <c r="D1712" s="71"/>
    </row>
    <row r="1713" spans="2:4" x14ac:dyDescent="0.15">
      <c r="B1713" s="69"/>
      <c r="C1713" s="70"/>
      <c r="D1713" s="71"/>
    </row>
    <row r="1714" spans="2:4" x14ac:dyDescent="0.15">
      <c r="B1714" s="69"/>
      <c r="C1714" s="70"/>
      <c r="D1714" s="71"/>
    </row>
    <row r="1715" spans="2:4" x14ac:dyDescent="0.15">
      <c r="B1715" s="69"/>
      <c r="C1715" s="70"/>
      <c r="D1715" s="71"/>
    </row>
    <row r="1716" spans="2:4" x14ac:dyDescent="0.15">
      <c r="B1716" s="69"/>
      <c r="C1716" s="70"/>
      <c r="D1716" s="71"/>
    </row>
    <row r="1717" spans="2:4" x14ac:dyDescent="0.15">
      <c r="B1717" s="69"/>
      <c r="C1717" s="70"/>
      <c r="D1717" s="71"/>
    </row>
    <row r="1718" spans="2:4" x14ac:dyDescent="0.15">
      <c r="B1718" s="69"/>
      <c r="C1718" s="70"/>
      <c r="D1718" s="71"/>
    </row>
    <row r="1719" spans="2:4" x14ac:dyDescent="0.15">
      <c r="B1719" s="69"/>
      <c r="C1719" s="70"/>
      <c r="D1719" s="71"/>
    </row>
    <row r="1720" spans="2:4" x14ac:dyDescent="0.15">
      <c r="B1720" s="69"/>
      <c r="C1720" s="70"/>
      <c r="D1720" s="71"/>
    </row>
    <row r="1721" spans="2:4" x14ac:dyDescent="0.15">
      <c r="B1721" s="69"/>
      <c r="C1721" s="70"/>
      <c r="D1721" s="71"/>
    </row>
    <row r="1722" spans="2:4" x14ac:dyDescent="0.15">
      <c r="B1722" s="69"/>
      <c r="C1722" s="70"/>
      <c r="D1722" s="71"/>
    </row>
    <row r="1723" spans="2:4" x14ac:dyDescent="0.15">
      <c r="B1723" s="69"/>
      <c r="C1723" s="70"/>
      <c r="D1723" s="71"/>
    </row>
    <row r="1724" spans="2:4" x14ac:dyDescent="0.15">
      <c r="B1724" s="69"/>
      <c r="C1724" s="70"/>
      <c r="D1724" s="71"/>
    </row>
    <row r="1725" spans="2:4" x14ac:dyDescent="0.15">
      <c r="B1725" s="69"/>
      <c r="C1725" s="70"/>
      <c r="D1725" s="71"/>
    </row>
    <row r="1726" spans="2:4" x14ac:dyDescent="0.15">
      <c r="B1726" s="69"/>
      <c r="C1726" s="70"/>
      <c r="D1726" s="71"/>
    </row>
    <row r="1727" spans="2:4" x14ac:dyDescent="0.15">
      <c r="B1727" s="69"/>
      <c r="C1727" s="70"/>
      <c r="D1727" s="71"/>
    </row>
    <row r="1728" spans="2:4" x14ac:dyDescent="0.15">
      <c r="B1728" s="69"/>
      <c r="C1728" s="70"/>
      <c r="D1728" s="71"/>
    </row>
    <row r="1729" spans="2:4" x14ac:dyDescent="0.15">
      <c r="B1729" s="69"/>
      <c r="C1729" s="70"/>
      <c r="D1729" s="71"/>
    </row>
    <row r="1730" spans="2:4" x14ac:dyDescent="0.15">
      <c r="B1730" s="69"/>
      <c r="C1730" s="70"/>
      <c r="D1730" s="71"/>
    </row>
    <row r="1731" spans="2:4" x14ac:dyDescent="0.15">
      <c r="B1731" s="69"/>
      <c r="C1731" s="70"/>
      <c r="D1731" s="71"/>
    </row>
    <row r="1732" spans="2:4" x14ac:dyDescent="0.15">
      <c r="B1732" s="69"/>
      <c r="C1732" s="70"/>
      <c r="D1732" s="71"/>
    </row>
    <row r="1733" spans="2:4" x14ac:dyDescent="0.15">
      <c r="B1733" s="69"/>
      <c r="C1733" s="70"/>
      <c r="D1733" s="71"/>
    </row>
    <row r="1734" spans="2:4" x14ac:dyDescent="0.15">
      <c r="B1734" s="69"/>
      <c r="C1734" s="70"/>
      <c r="D1734" s="71"/>
    </row>
    <row r="1735" spans="2:4" x14ac:dyDescent="0.15">
      <c r="B1735" s="69"/>
      <c r="C1735" s="70"/>
      <c r="D1735" s="71"/>
    </row>
    <row r="1736" spans="2:4" x14ac:dyDescent="0.15">
      <c r="B1736" s="69"/>
      <c r="C1736" s="70"/>
      <c r="D1736" s="71"/>
    </row>
    <row r="1737" spans="2:4" x14ac:dyDescent="0.15">
      <c r="B1737" s="69"/>
      <c r="C1737" s="70"/>
      <c r="D1737" s="71"/>
    </row>
    <row r="1738" spans="2:4" x14ac:dyDescent="0.15">
      <c r="B1738" s="69"/>
      <c r="C1738" s="70"/>
      <c r="D1738" s="71"/>
    </row>
    <row r="1739" spans="2:4" x14ac:dyDescent="0.15">
      <c r="B1739" s="69"/>
      <c r="C1739" s="70"/>
      <c r="D1739" s="71"/>
    </row>
    <row r="1740" spans="2:4" x14ac:dyDescent="0.15">
      <c r="B1740" s="69"/>
      <c r="C1740" s="70"/>
      <c r="D1740" s="71"/>
    </row>
    <row r="1741" spans="2:4" x14ac:dyDescent="0.15">
      <c r="B1741" s="69"/>
      <c r="C1741" s="70"/>
      <c r="D1741" s="71"/>
    </row>
    <row r="1742" spans="2:4" x14ac:dyDescent="0.15">
      <c r="B1742" s="69"/>
      <c r="C1742" s="70"/>
      <c r="D1742" s="71"/>
    </row>
    <row r="1743" spans="2:4" x14ac:dyDescent="0.15">
      <c r="B1743" s="69"/>
      <c r="C1743" s="70"/>
      <c r="D1743" s="71"/>
    </row>
    <row r="1744" spans="2:4" x14ac:dyDescent="0.15">
      <c r="B1744" s="69"/>
      <c r="C1744" s="70"/>
      <c r="D1744" s="71"/>
    </row>
    <row r="1745" spans="2:4" x14ac:dyDescent="0.15">
      <c r="B1745" s="69"/>
      <c r="C1745" s="70"/>
      <c r="D1745" s="71"/>
    </row>
    <row r="1746" spans="2:4" x14ac:dyDescent="0.15">
      <c r="B1746" s="69"/>
      <c r="C1746" s="70"/>
      <c r="D1746" s="71"/>
    </row>
    <row r="1747" spans="2:4" x14ac:dyDescent="0.15">
      <c r="B1747" s="69"/>
      <c r="C1747" s="70"/>
      <c r="D1747" s="71"/>
    </row>
    <row r="1748" spans="2:4" x14ac:dyDescent="0.15">
      <c r="B1748" s="69"/>
      <c r="C1748" s="70"/>
      <c r="D1748" s="71"/>
    </row>
    <row r="1749" spans="2:4" x14ac:dyDescent="0.15">
      <c r="B1749" s="69"/>
      <c r="C1749" s="70"/>
      <c r="D1749" s="71"/>
    </row>
    <row r="1750" spans="2:4" x14ac:dyDescent="0.15">
      <c r="B1750" s="69"/>
      <c r="C1750" s="70"/>
      <c r="D1750" s="71"/>
    </row>
    <row r="1751" spans="2:4" x14ac:dyDescent="0.15">
      <c r="B1751" s="69"/>
      <c r="C1751" s="70"/>
      <c r="D1751" s="71"/>
    </row>
    <row r="1752" spans="2:4" x14ac:dyDescent="0.15">
      <c r="B1752" s="69"/>
      <c r="C1752" s="70"/>
      <c r="D1752" s="71"/>
    </row>
    <row r="1753" spans="2:4" x14ac:dyDescent="0.15">
      <c r="B1753" s="69"/>
      <c r="C1753" s="70"/>
      <c r="D1753" s="71"/>
    </row>
    <row r="1754" spans="2:4" x14ac:dyDescent="0.15">
      <c r="B1754" s="69"/>
      <c r="C1754" s="70"/>
      <c r="D1754" s="71"/>
    </row>
    <row r="1755" spans="2:4" x14ac:dyDescent="0.15">
      <c r="B1755" s="69"/>
      <c r="C1755" s="70"/>
      <c r="D1755" s="71"/>
    </row>
    <row r="1756" spans="2:4" x14ac:dyDescent="0.15">
      <c r="B1756" s="69"/>
      <c r="C1756" s="70"/>
      <c r="D1756" s="71"/>
    </row>
    <row r="1757" spans="2:4" x14ac:dyDescent="0.15">
      <c r="B1757" s="69"/>
      <c r="C1757" s="70"/>
      <c r="D1757" s="71"/>
    </row>
    <row r="1758" spans="2:4" x14ac:dyDescent="0.15">
      <c r="B1758" s="69"/>
      <c r="C1758" s="70"/>
      <c r="D1758" s="71"/>
    </row>
    <row r="1759" spans="2:4" x14ac:dyDescent="0.15">
      <c r="B1759" s="69"/>
      <c r="C1759" s="70"/>
      <c r="D1759" s="71"/>
    </row>
    <row r="1760" spans="2:4" x14ac:dyDescent="0.15">
      <c r="B1760" s="69"/>
      <c r="C1760" s="70"/>
      <c r="D1760" s="71"/>
    </row>
    <row r="1761" spans="2:4" x14ac:dyDescent="0.15">
      <c r="B1761" s="69"/>
      <c r="C1761" s="70"/>
      <c r="D1761" s="71"/>
    </row>
    <row r="1762" spans="2:4" x14ac:dyDescent="0.15">
      <c r="B1762" s="69"/>
      <c r="C1762" s="70"/>
      <c r="D1762" s="71"/>
    </row>
    <row r="1763" spans="2:4" x14ac:dyDescent="0.15">
      <c r="B1763" s="69"/>
      <c r="C1763" s="70"/>
      <c r="D1763" s="71"/>
    </row>
    <row r="1764" spans="2:4" x14ac:dyDescent="0.15">
      <c r="B1764" s="69"/>
      <c r="C1764" s="70"/>
      <c r="D1764" s="71"/>
    </row>
    <row r="1765" spans="2:4" x14ac:dyDescent="0.15">
      <c r="B1765" s="69"/>
      <c r="C1765" s="70"/>
      <c r="D1765" s="71"/>
    </row>
    <row r="1766" spans="2:4" x14ac:dyDescent="0.15">
      <c r="B1766" s="69"/>
      <c r="C1766" s="70"/>
      <c r="D1766" s="71"/>
    </row>
    <row r="1767" spans="2:4" x14ac:dyDescent="0.15">
      <c r="B1767" s="69"/>
      <c r="C1767" s="70"/>
      <c r="D1767" s="71"/>
    </row>
    <row r="1768" spans="2:4" x14ac:dyDescent="0.15">
      <c r="B1768" s="69"/>
      <c r="C1768" s="70"/>
      <c r="D1768" s="71"/>
    </row>
    <row r="1769" spans="2:4" x14ac:dyDescent="0.15">
      <c r="B1769" s="69"/>
      <c r="C1769" s="70"/>
      <c r="D1769" s="71"/>
    </row>
    <row r="1770" spans="2:4" x14ac:dyDescent="0.15">
      <c r="B1770" s="69"/>
      <c r="C1770" s="70"/>
      <c r="D1770" s="71"/>
    </row>
    <row r="1771" spans="2:4" x14ac:dyDescent="0.15">
      <c r="B1771" s="69"/>
      <c r="C1771" s="70"/>
      <c r="D1771" s="71"/>
    </row>
    <row r="1772" spans="2:4" x14ac:dyDescent="0.15">
      <c r="B1772" s="69"/>
      <c r="C1772" s="70"/>
      <c r="D1772" s="71"/>
    </row>
    <row r="1773" spans="2:4" x14ac:dyDescent="0.15">
      <c r="B1773" s="69"/>
      <c r="C1773" s="70"/>
      <c r="D1773" s="71"/>
    </row>
    <row r="1774" spans="2:4" x14ac:dyDescent="0.15">
      <c r="B1774" s="69"/>
      <c r="C1774" s="70"/>
      <c r="D1774" s="71"/>
    </row>
    <row r="1775" spans="2:4" x14ac:dyDescent="0.15">
      <c r="B1775" s="69"/>
      <c r="C1775" s="70"/>
      <c r="D1775" s="71"/>
    </row>
    <row r="1776" spans="2:4" x14ac:dyDescent="0.15">
      <c r="B1776" s="69"/>
      <c r="C1776" s="70"/>
      <c r="D1776" s="71"/>
    </row>
    <row r="1777" spans="2:4" x14ac:dyDescent="0.15">
      <c r="B1777" s="69"/>
      <c r="C1777" s="70"/>
      <c r="D1777" s="71"/>
    </row>
    <row r="1778" spans="2:4" x14ac:dyDescent="0.15">
      <c r="B1778" s="69"/>
      <c r="C1778" s="70"/>
      <c r="D1778" s="71"/>
    </row>
    <row r="1779" spans="2:4" x14ac:dyDescent="0.15">
      <c r="B1779" s="69"/>
      <c r="C1779" s="70"/>
      <c r="D1779" s="71"/>
    </row>
    <row r="1780" spans="2:4" x14ac:dyDescent="0.15">
      <c r="B1780" s="69"/>
      <c r="C1780" s="70"/>
      <c r="D1780" s="71"/>
    </row>
    <row r="1781" spans="2:4" x14ac:dyDescent="0.15">
      <c r="B1781" s="69"/>
      <c r="C1781" s="70"/>
      <c r="D1781" s="71"/>
    </row>
    <row r="1782" spans="2:4" x14ac:dyDescent="0.15">
      <c r="B1782" s="69"/>
      <c r="C1782" s="70"/>
      <c r="D1782" s="71"/>
    </row>
    <row r="1783" spans="2:4" x14ac:dyDescent="0.15">
      <c r="B1783" s="69"/>
      <c r="C1783" s="70"/>
      <c r="D1783" s="71"/>
    </row>
    <row r="1784" spans="2:4" x14ac:dyDescent="0.15">
      <c r="B1784" s="69"/>
      <c r="C1784" s="70"/>
      <c r="D1784" s="71"/>
    </row>
    <row r="1785" spans="2:4" x14ac:dyDescent="0.15">
      <c r="B1785" s="69"/>
      <c r="C1785" s="70"/>
      <c r="D1785" s="71"/>
    </row>
    <row r="1786" spans="2:4" x14ac:dyDescent="0.15">
      <c r="B1786" s="69"/>
      <c r="C1786" s="70"/>
      <c r="D1786" s="71"/>
    </row>
    <row r="1787" spans="2:4" x14ac:dyDescent="0.15">
      <c r="B1787" s="69"/>
      <c r="C1787" s="70"/>
      <c r="D1787" s="71"/>
    </row>
    <row r="1788" spans="2:4" x14ac:dyDescent="0.15">
      <c r="B1788" s="69"/>
      <c r="C1788" s="70"/>
      <c r="D1788" s="71"/>
    </row>
    <row r="1789" spans="2:4" x14ac:dyDescent="0.15">
      <c r="B1789" s="69"/>
      <c r="C1789" s="70"/>
      <c r="D1789" s="71"/>
    </row>
    <row r="1790" spans="2:4" x14ac:dyDescent="0.15">
      <c r="B1790" s="69"/>
      <c r="C1790" s="70"/>
      <c r="D1790" s="71"/>
    </row>
    <row r="1791" spans="2:4" x14ac:dyDescent="0.15">
      <c r="B1791" s="69"/>
      <c r="C1791" s="70"/>
      <c r="D1791" s="71"/>
    </row>
    <row r="1792" spans="2:4" x14ac:dyDescent="0.15">
      <c r="B1792" s="69"/>
      <c r="C1792" s="70"/>
      <c r="D1792" s="71"/>
    </row>
    <row r="1793" spans="2:4" x14ac:dyDescent="0.15">
      <c r="B1793" s="69"/>
      <c r="C1793" s="70"/>
      <c r="D1793" s="71"/>
    </row>
    <row r="1794" spans="2:4" x14ac:dyDescent="0.15">
      <c r="B1794" s="69"/>
      <c r="C1794" s="70"/>
      <c r="D1794" s="71"/>
    </row>
    <row r="1795" spans="2:4" x14ac:dyDescent="0.15">
      <c r="B1795" s="69"/>
      <c r="C1795" s="70"/>
      <c r="D1795" s="71"/>
    </row>
    <row r="1796" spans="2:4" x14ac:dyDescent="0.15">
      <c r="B1796" s="69"/>
      <c r="C1796" s="70"/>
      <c r="D1796" s="71"/>
    </row>
    <row r="1797" spans="2:4" x14ac:dyDescent="0.15">
      <c r="B1797" s="69"/>
      <c r="C1797" s="70"/>
      <c r="D1797" s="71"/>
    </row>
    <row r="1798" spans="2:4" x14ac:dyDescent="0.15">
      <c r="B1798" s="69"/>
      <c r="C1798" s="70"/>
      <c r="D1798" s="71"/>
    </row>
    <row r="1799" spans="2:4" x14ac:dyDescent="0.15">
      <c r="B1799" s="69"/>
      <c r="C1799" s="70"/>
      <c r="D1799" s="71"/>
    </row>
    <row r="1800" spans="2:4" x14ac:dyDescent="0.15">
      <c r="B1800" s="69"/>
      <c r="C1800" s="70"/>
      <c r="D1800" s="71"/>
    </row>
    <row r="1801" spans="2:4" x14ac:dyDescent="0.15">
      <c r="B1801" s="69"/>
      <c r="C1801" s="70"/>
      <c r="D1801" s="71"/>
    </row>
    <row r="1802" spans="2:4" x14ac:dyDescent="0.15">
      <c r="B1802" s="69"/>
      <c r="C1802" s="70"/>
      <c r="D1802" s="71"/>
    </row>
    <row r="1803" spans="2:4" x14ac:dyDescent="0.15">
      <c r="B1803" s="69"/>
      <c r="C1803" s="70"/>
      <c r="D1803" s="71"/>
    </row>
    <row r="1804" spans="2:4" x14ac:dyDescent="0.15">
      <c r="B1804" s="69"/>
      <c r="C1804" s="70"/>
      <c r="D1804" s="71"/>
    </row>
    <row r="1805" spans="2:4" x14ac:dyDescent="0.15">
      <c r="B1805" s="69"/>
      <c r="C1805" s="70"/>
      <c r="D1805" s="71"/>
    </row>
    <row r="1806" spans="2:4" x14ac:dyDescent="0.15">
      <c r="B1806" s="69"/>
      <c r="C1806" s="70"/>
      <c r="D1806" s="71"/>
    </row>
    <row r="1807" spans="2:4" x14ac:dyDescent="0.15">
      <c r="B1807" s="69"/>
      <c r="C1807" s="70"/>
      <c r="D1807" s="71"/>
    </row>
    <row r="1808" spans="2:4" x14ac:dyDescent="0.15">
      <c r="B1808" s="69"/>
      <c r="C1808" s="70"/>
      <c r="D1808" s="71"/>
    </row>
    <row r="1809" spans="2:4" x14ac:dyDescent="0.15">
      <c r="B1809" s="69"/>
      <c r="C1809" s="70"/>
      <c r="D1809" s="71"/>
    </row>
    <row r="1810" spans="2:4" x14ac:dyDescent="0.15">
      <c r="B1810" s="69"/>
      <c r="C1810" s="70"/>
      <c r="D1810" s="71"/>
    </row>
    <row r="1811" spans="2:4" x14ac:dyDescent="0.15">
      <c r="B1811" s="69"/>
      <c r="C1811" s="70"/>
      <c r="D1811" s="71"/>
    </row>
    <row r="1812" spans="2:4" x14ac:dyDescent="0.15">
      <c r="B1812" s="69"/>
      <c r="C1812" s="70"/>
      <c r="D1812" s="71"/>
    </row>
    <row r="1813" spans="2:4" x14ac:dyDescent="0.15">
      <c r="B1813" s="69"/>
      <c r="C1813" s="70"/>
      <c r="D1813" s="71"/>
    </row>
    <row r="1814" spans="2:4" x14ac:dyDescent="0.15">
      <c r="B1814" s="69"/>
      <c r="C1814" s="70"/>
      <c r="D1814" s="71"/>
    </row>
    <row r="1815" spans="2:4" x14ac:dyDescent="0.15">
      <c r="B1815" s="69"/>
      <c r="C1815" s="70"/>
      <c r="D1815" s="71"/>
    </row>
    <row r="1816" spans="2:4" x14ac:dyDescent="0.15">
      <c r="B1816" s="69"/>
      <c r="C1816" s="70"/>
      <c r="D1816" s="71"/>
    </row>
    <row r="1817" spans="2:4" x14ac:dyDescent="0.15">
      <c r="B1817" s="69"/>
      <c r="C1817" s="70"/>
      <c r="D1817" s="71"/>
    </row>
    <row r="1818" spans="2:4" x14ac:dyDescent="0.15">
      <c r="B1818" s="69"/>
      <c r="C1818" s="70"/>
      <c r="D1818" s="71"/>
    </row>
    <row r="1819" spans="2:4" x14ac:dyDescent="0.15">
      <c r="B1819" s="69"/>
      <c r="C1819" s="70"/>
      <c r="D1819" s="71"/>
    </row>
    <row r="1820" spans="2:4" x14ac:dyDescent="0.15">
      <c r="B1820" s="69"/>
      <c r="C1820" s="70"/>
      <c r="D1820" s="71"/>
    </row>
    <row r="1821" spans="2:4" x14ac:dyDescent="0.15">
      <c r="B1821" s="69"/>
      <c r="C1821" s="70"/>
      <c r="D1821" s="71"/>
    </row>
    <row r="1822" spans="2:4" x14ac:dyDescent="0.15">
      <c r="B1822" s="69"/>
      <c r="C1822" s="70"/>
      <c r="D1822" s="71"/>
    </row>
    <row r="1823" spans="2:4" x14ac:dyDescent="0.15">
      <c r="B1823" s="69"/>
      <c r="C1823" s="70"/>
      <c r="D1823" s="71"/>
    </row>
    <row r="1824" spans="2:4" x14ac:dyDescent="0.15">
      <c r="B1824" s="69"/>
      <c r="C1824" s="70"/>
      <c r="D1824" s="71"/>
    </row>
    <row r="1825" spans="2:4" x14ac:dyDescent="0.15">
      <c r="B1825" s="69"/>
      <c r="C1825" s="70"/>
      <c r="D1825" s="71"/>
    </row>
    <row r="1826" spans="2:4" x14ac:dyDescent="0.15">
      <c r="B1826" s="69"/>
      <c r="C1826" s="70"/>
      <c r="D1826" s="71"/>
    </row>
    <row r="1827" spans="2:4" x14ac:dyDescent="0.15">
      <c r="B1827" s="69"/>
      <c r="C1827" s="70"/>
      <c r="D1827" s="71"/>
    </row>
    <row r="1828" spans="2:4" x14ac:dyDescent="0.15">
      <c r="B1828" s="69"/>
      <c r="C1828" s="70"/>
      <c r="D1828" s="71"/>
    </row>
    <row r="1829" spans="2:4" x14ac:dyDescent="0.15">
      <c r="B1829" s="69"/>
      <c r="C1829" s="70"/>
      <c r="D1829" s="71"/>
    </row>
    <row r="1830" spans="2:4" x14ac:dyDescent="0.15">
      <c r="B1830" s="69"/>
      <c r="C1830" s="70"/>
      <c r="D1830" s="71"/>
    </row>
    <row r="1831" spans="2:4" x14ac:dyDescent="0.15">
      <c r="B1831" s="69"/>
      <c r="C1831" s="70"/>
      <c r="D1831" s="71"/>
    </row>
    <row r="1832" spans="2:4" x14ac:dyDescent="0.15">
      <c r="B1832" s="69"/>
      <c r="C1832" s="70"/>
      <c r="D1832" s="71"/>
    </row>
    <row r="1833" spans="2:4" x14ac:dyDescent="0.15">
      <c r="B1833" s="69"/>
      <c r="C1833" s="70"/>
      <c r="D1833" s="71"/>
    </row>
    <row r="1834" spans="2:4" x14ac:dyDescent="0.15">
      <c r="B1834" s="69"/>
      <c r="C1834" s="70"/>
      <c r="D1834" s="71"/>
    </row>
    <row r="1835" spans="2:4" x14ac:dyDescent="0.15">
      <c r="B1835" s="69"/>
      <c r="C1835" s="70"/>
      <c r="D1835" s="71"/>
    </row>
    <row r="1836" spans="2:4" x14ac:dyDescent="0.15">
      <c r="B1836" s="69"/>
      <c r="C1836" s="70"/>
      <c r="D1836" s="71"/>
    </row>
    <row r="1837" spans="2:4" x14ac:dyDescent="0.15">
      <c r="B1837" s="69"/>
      <c r="C1837" s="70"/>
      <c r="D1837" s="71"/>
    </row>
    <row r="1838" spans="2:4" x14ac:dyDescent="0.15">
      <c r="B1838" s="69"/>
      <c r="C1838" s="70"/>
      <c r="D1838" s="71"/>
    </row>
    <row r="1839" spans="2:4" x14ac:dyDescent="0.15">
      <c r="B1839" s="69"/>
      <c r="C1839" s="70"/>
      <c r="D1839" s="71"/>
    </row>
    <row r="1840" spans="2:4" x14ac:dyDescent="0.15">
      <c r="B1840" s="69"/>
      <c r="C1840" s="70"/>
      <c r="D1840" s="71"/>
    </row>
    <row r="1841" spans="2:4" x14ac:dyDescent="0.15">
      <c r="B1841" s="69"/>
      <c r="C1841" s="70"/>
      <c r="D1841" s="71"/>
    </row>
    <row r="1842" spans="2:4" x14ac:dyDescent="0.15">
      <c r="B1842" s="69"/>
      <c r="C1842" s="70"/>
      <c r="D1842" s="71"/>
    </row>
    <row r="1843" spans="2:4" x14ac:dyDescent="0.15">
      <c r="B1843" s="69"/>
      <c r="C1843" s="70"/>
      <c r="D1843" s="71"/>
    </row>
    <row r="1844" spans="2:4" x14ac:dyDescent="0.15">
      <c r="B1844" s="69"/>
      <c r="C1844" s="70"/>
      <c r="D1844" s="71"/>
    </row>
    <row r="1845" spans="2:4" x14ac:dyDescent="0.15">
      <c r="B1845" s="69"/>
      <c r="C1845" s="70"/>
      <c r="D1845" s="71"/>
    </row>
    <row r="1846" spans="2:4" x14ac:dyDescent="0.15">
      <c r="B1846" s="69"/>
      <c r="C1846" s="70"/>
      <c r="D1846" s="71"/>
    </row>
    <row r="1847" spans="2:4" x14ac:dyDescent="0.15">
      <c r="B1847" s="69"/>
      <c r="C1847" s="70"/>
      <c r="D1847" s="71"/>
    </row>
    <row r="1848" spans="2:4" x14ac:dyDescent="0.15">
      <c r="B1848" s="69"/>
      <c r="C1848" s="70"/>
      <c r="D1848" s="71"/>
    </row>
    <row r="1849" spans="2:4" x14ac:dyDescent="0.15">
      <c r="B1849" s="69"/>
      <c r="C1849" s="70"/>
      <c r="D1849" s="71"/>
    </row>
    <row r="1850" spans="2:4" x14ac:dyDescent="0.15">
      <c r="B1850" s="69"/>
      <c r="C1850" s="70"/>
      <c r="D1850" s="71"/>
    </row>
    <row r="1851" spans="2:4" x14ac:dyDescent="0.15">
      <c r="B1851" s="69"/>
      <c r="C1851" s="70"/>
      <c r="D1851" s="71"/>
    </row>
    <row r="1852" spans="2:4" x14ac:dyDescent="0.15">
      <c r="B1852" s="69"/>
      <c r="C1852" s="70"/>
      <c r="D1852" s="71"/>
    </row>
    <row r="1853" spans="2:4" x14ac:dyDescent="0.15">
      <c r="B1853" s="69"/>
      <c r="C1853" s="70"/>
      <c r="D1853" s="71"/>
    </row>
    <row r="1854" spans="2:4" x14ac:dyDescent="0.15">
      <c r="B1854" s="69"/>
      <c r="C1854" s="70"/>
      <c r="D1854" s="71"/>
    </row>
    <row r="1855" spans="2:4" x14ac:dyDescent="0.15">
      <c r="B1855" s="69"/>
      <c r="C1855" s="70"/>
      <c r="D1855" s="71"/>
    </row>
    <row r="1856" spans="2:4" x14ac:dyDescent="0.15">
      <c r="B1856" s="69"/>
      <c r="C1856" s="70"/>
      <c r="D1856" s="71"/>
    </row>
    <row r="1857" spans="2:4" x14ac:dyDescent="0.15">
      <c r="B1857" s="69"/>
      <c r="C1857" s="70"/>
      <c r="D1857" s="71"/>
    </row>
    <row r="1858" spans="2:4" x14ac:dyDescent="0.15">
      <c r="B1858" s="69"/>
      <c r="C1858" s="70"/>
      <c r="D1858" s="71"/>
    </row>
    <row r="1859" spans="2:4" x14ac:dyDescent="0.15">
      <c r="B1859" s="69"/>
      <c r="C1859" s="70"/>
      <c r="D1859" s="71"/>
    </row>
    <row r="1860" spans="2:4" x14ac:dyDescent="0.15">
      <c r="B1860" s="69"/>
      <c r="C1860" s="70"/>
      <c r="D1860" s="71"/>
    </row>
    <row r="1861" spans="2:4" x14ac:dyDescent="0.15">
      <c r="B1861" s="69"/>
      <c r="C1861" s="70"/>
      <c r="D1861" s="71"/>
    </row>
    <row r="1862" spans="2:4" x14ac:dyDescent="0.15">
      <c r="B1862" s="69"/>
      <c r="C1862" s="70"/>
      <c r="D1862" s="71"/>
    </row>
    <row r="1863" spans="2:4" x14ac:dyDescent="0.15">
      <c r="B1863" s="69"/>
      <c r="C1863" s="70"/>
      <c r="D1863" s="71"/>
    </row>
    <row r="1864" spans="2:4" x14ac:dyDescent="0.15">
      <c r="B1864" s="69"/>
      <c r="C1864" s="70"/>
      <c r="D1864" s="71"/>
    </row>
    <row r="1865" spans="2:4" x14ac:dyDescent="0.15">
      <c r="B1865" s="69"/>
      <c r="C1865" s="70"/>
      <c r="D1865" s="71"/>
    </row>
    <row r="1866" spans="2:4" x14ac:dyDescent="0.15">
      <c r="B1866" s="69"/>
      <c r="C1866" s="70"/>
      <c r="D1866" s="71"/>
    </row>
    <row r="1867" spans="2:4" x14ac:dyDescent="0.15">
      <c r="B1867" s="69"/>
      <c r="C1867" s="70"/>
      <c r="D1867" s="71"/>
    </row>
    <row r="1868" spans="2:4" x14ac:dyDescent="0.15">
      <c r="B1868" s="69"/>
      <c r="C1868" s="70"/>
      <c r="D1868" s="71"/>
    </row>
    <row r="1869" spans="2:4" x14ac:dyDescent="0.15">
      <c r="B1869" s="69"/>
      <c r="C1869" s="70"/>
      <c r="D1869" s="71"/>
    </row>
    <row r="1870" spans="2:4" x14ac:dyDescent="0.15">
      <c r="B1870" s="69"/>
      <c r="C1870" s="70"/>
      <c r="D1870" s="71"/>
    </row>
    <row r="1871" spans="2:4" x14ac:dyDescent="0.15">
      <c r="B1871" s="69"/>
      <c r="C1871" s="70"/>
      <c r="D1871" s="71"/>
    </row>
    <row r="1872" spans="2:4" x14ac:dyDescent="0.15">
      <c r="B1872" s="69"/>
      <c r="C1872" s="70"/>
      <c r="D1872" s="71"/>
    </row>
    <row r="1873" spans="2:4" x14ac:dyDescent="0.15">
      <c r="B1873" s="69"/>
      <c r="C1873" s="70"/>
      <c r="D1873" s="71"/>
    </row>
    <row r="1874" spans="2:4" x14ac:dyDescent="0.15">
      <c r="B1874" s="69"/>
      <c r="C1874" s="70"/>
      <c r="D1874" s="71"/>
    </row>
    <row r="1875" spans="2:4" x14ac:dyDescent="0.15">
      <c r="B1875" s="69"/>
      <c r="C1875" s="70"/>
      <c r="D1875" s="71"/>
    </row>
    <row r="1876" spans="2:4" x14ac:dyDescent="0.15">
      <c r="B1876" s="69"/>
      <c r="C1876" s="70"/>
      <c r="D1876" s="71"/>
    </row>
    <row r="1877" spans="2:4" x14ac:dyDescent="0.15">
      <c r="B1877" s="69"/>
      <c r="C1877" s="70"/>
      <c r="D1877" s="71"/>
    </row>
    <row r="1878" spans="2:4" x14ac:dyDescent="0.15">
      <c r="B1878" s="69"/>
      <c r="C1878" s="70"/>
      <c r="D1878" s="71"/>
    </row>
    <row r="1879" spans="2:4" x14ac:dyDescent="0.15">
      <c r="B1879" s="69"/>
      <c r="C1879" s="70"/>
      <c r="D1879" s="71"/>
    </row>
    <row r="1880" spans="2:4" x14ac:dyDescent="0.15">
      <c r="B1880" s="69"/>
      <c r="C1880" s="70"/>
      <c r="D1880" s="71"/>
    </row>
    <row r="1881" spans="2:4" x14ac:dyDescent="0.15">
      <c r="B1881" s="69"/>
      <c r="C1881" s="70"/>
      <c r="D1881" s="71"/>
    </row>
    <row r="1882" spans="2:4" x14ac:dyDescent="0.15">
      <c r="B1882" s="69"/>
      <c r="C1882" s="70"/>
      <c r="D1882" s="71"/>
    </row>
    <row r="1883" spans="2:4" x14ac:dyDescent="0.15">
      <c r="B1883" s="69"/>
      <c r="C1883" s="70"/>
      <c r="D1883" s="71"/>
    </row>
    <row r="1884" spans="2:4" x14ac:dyDescent="0.15">
      <c r="B1884" s="69"/>
      <c r="C1884" s="70"/>
      <c r="D1884" s="71"/>
    </row>
    <row r="1885" spans="2:4" x14ac:dyDescent="0.15">
      <c r="B1885" s="69"/>
      <c r="C1885" s="70"/>
      <c r="D1885" s="71"/>
    </row>
    <row r="1886" spans="2:4" x14ac:dyDescent="0.15">
      <c r="B1886" s="69"/>
      <c r="C1886" s="70"/>
      <c r="D1886" s="71"/>
    </row>
    <row r="1887" spans="2:4" x14ac:dyDescent="0.15">
      <c r="B1887" s="69"/>
      <c r="C1887" s="70"/>
      <c r="D1887" s="71"/>
    </row>
    <row r="1888" spans="2:4" x14ac:dyDescent="0.15">
      <c r="B1888" s="69"/>
      <c r="C1888" s="70"/>
      <c r="D1888" s="71"/>
    </row>
    <row r="1889" spans="2:4" x14ac:dyDescent="0.15">
      <c r="B1889" s="69"/>
      <c r="C1889" s="70"/>
      <c r="D1889" s="71"/>
    </row>
    <row r="1890" spans="2:4" x14ac:dyDescent="0.15">
      <c r="B1890" s="69"/>
      <c r="C1890" s="70"/>
      <c r="D1890" s="71"/>
    </row>
    <row r="1891" spans="2:4" x14ac:dyDescent="0.15">
      <c r="B1891" s="69"/>
      <c r="C1891" s="70"/>
      <c r="D1891" s="71"/>
    </row>
    <row r="1892" spans="2:4" x14ac:dyDescent="0.15">
      <c r="B1892" s="69"/>
      <c r="C1892" s="70"/>
      <c r="D1892" s="71"/>
    </row>
    <row r="1893" spans="2:4" x14ac:dyDescent="0.15">
      <c r="B1893" s="69"/>
      <c r="C1893" s="70"/>
      <c r="D1893" s="71"/>
    </row>
    <row r="1894" spans="2:4" x14ac:dyDescent="0.15">
      <c r="B1894" s="69"/>
      <c r="C1894" s="70"/>
      <c r="D1894" s="71"/>
    </row>
    <row r="1895" spans="2:4" x14ac:dyDescent="0.15">
      <c r="B1895" s="69"/>
      <c r="C1895" s="70"/>
      <c r="D1895" s="71"/>
    </row>
    <row r="1896" spans="2:4" x14ac:dyDescent="0.15">
      <c r="B1896" s="69"/>
      <c r="C1896" s="70"/>
      <c r="D1896" s="71"/>
    </row>
    <row r="1897" spans="2:4" x14ac:dyDescent="0.15">
      <c r="B1897" s="69"/>
      <c r="C1897" s="70"/>
      <c r="D1897" s="71"/>
    </row>
    <row r="1898" spans="2:4" x14ac:dyDescent="0.15">
      <c r="B1898" s="69"/>
      <c r="C1898" s="70"/>
      <c r="D1898" s="71"/>
    </row>
    <row r="1899" spans="2:4" x14ac:dyDescent="0.15">
      <c r="B1899" s="69"/>
      <c r="C1899" s="70"/>
      <c r="D1899" s="71"/>
    </row>
    <row r="1900" spans="2:4" x14ac:dyDescent="0.15">
      <c r="B1900" s="69"/>
      <c r="C1900" s="70"/>
      <c r="D1900" s="71"/>
    </row>
    <row r="1901" spans="2:4" x14ac:dyDescent="0.15">
      <c r="B1901" s="69"/>
      <c r="C1901" s="70"/>
      <c r="D1901" s="71"/>
    </row>
    <row r="1902" spans="2:4" x14ac:dyDescent="0.15">
      <c r="B1902" s="69"/>
      <c r="C1902" s="70"/>
      <c r="D1902" s="71"/>
    </row>
    <row r="1903" spans="2:4" x14ac:dyDescent="0.15">
      <c r="B1903" s="69"/>
      <c r="C1903" s="70"/>
      <c r="D1903" s="71"/>
    </row>
    <row r="1904" spans="2:4" x14ac:dyDescent="0.15">
      <c r="B1904" s="69"/>
      <c r="C1904" s="70"/>
      <c r="D1904" s="71"/>
    </row>
    <row r="1905" spans="2:4" x14ac:dyDescent="0.15">
      <c r="B1905" s="69"/>
      <c r="C1905" s="70"/>
      <c r="D1905" s="71"/>
    </row>
    <row r="1906" spans="2:4" x14ac:dyDescent="0.15">
      <c r="B1906" s="69"/>
      <c r="C1906" s="70"/>
      <c r="D1906" s="71"/>
    </row>
    <row r="1907" spans="2:4" x14ac:dyDescent="0.15">
      <c r="B1907" s="69"/>
      <c r="C1907" s="70"/>
      <c r="D1907" s="71"/>
    </row>
    <row r="1908" spans="2:4" x14ac:dyDescent="0.15">
      <c r="B1908" s="69"/>
      <c r="C1908" s="70"/>
      <c r="D1908" s="71"/>
    </row>
    <row r="1909" spans="2:4" x14ac:dyDescent="0.15">
      <c r="B1909" s="69"/>
      <c r="C1909" s="70"/>
      <c r="D1909" s="71"/>
    </row>
    <row r="1910" spans="2:4" x14ac:dyDescent="0.15">
      <c r="B1910" s="69"/>
      <c r="C1910" s="70"/>
      <c r="D1910" s="71"/>
    </row>
    <row r="1911" spans="2:4" x14ac:dyDescent="0.15">
      <c r="B1911" s="69"/>
      <c r="C1911" s="70"/>
      <c r="D1911" s="71"/>
    </row>
    <row r="1912" spans="2:4" x14ac:dyDescent="0.15">
      <c r="B1912" s="69"/>
      <c r="C1912" s="70"/>
      <c r="D1912" s="71"/>
    </row>
    <row r="1913" spans="2:4" x14ac:dyDescent="0.15">
      <c r="B1913" s="69"/>
      <c r="C1913" s="70"/>
      <c r="D1913" s="71"/>
    </row>
    <row r="1914" spans="2:4" x14ac:dyDescent="0.15">
      <c r="B1914" s="69"/>
      <c r="C1914" s="70"/>
      <c r="D1914" s="71"/>
    </row>
    <row r="1915" spans="2:4" x14ac:dyDescent="0.15">
      <c r="B1915" s="69"/>
      <c r="C1915" s="70"/>
      <c r="D1915" s="71"/>
    </row>
    <row r="1916" spans="2:4" x14ac:dyDescent="0.15">
      <c r="B1916" s="69"/>
      <c r="C1916" s="70"/>
      <c r="D1916" s="71"/>
    </row>
    <row r="1917" spans="2:4" x14ac:dyDescent="0.15">
      <c r="B1917" s="69"/>
      <c r="C1917" s="70"/>
      <c r="D1917" s="71"/>
    </row>
    <row r="1918" spans="2:4" x14ac:dyDescent="0.15">
      <c r="B1918" s="69"/>
      <c r="C1918" s="70"/>
      <c r="D1918" s="71"/>
    </row>
    <row r="1919" spans="2:4" x14ac:dyDescent="0.15">
      <c r="B1919" s="69"/>
      <c r="C1919" s="70"/>
      <c r="D1919" s="71"/>
    </row>
    <row r="1920" spans="2:4" x14ac:dyDescent="0.15">
      <c r="B1920" s="69"/>
      <c r="C1920" s="70"/>
      <c r="D1920" s="71"/>
    </row>
    <row r="1921" spans="2:4" x14ac:dyDescent="0.15">
      <c r="B1921" s="69"/>
      <c r="C1921" s="70"/>
      <c r="D1921" s="71"/>
    </row>
    <row r="1922" spans="2:4" x14ac:dyDescent="0.15">
      <c r="B1922" s="69"/>
      <c r="C1922" s="70"/>
      <c r="D1922" s="71"/>
    </row>
    <row r="1923" spans="2:4" x14ac:dyDescent="0.15">
      <c r="B1923" s="69"/>
      <c r="C1923" s="70"/>
      <c r="D1923" s="71"/>
    </row>
    <row r="1924" spans="2:4" x14ac:dyDescent="0.15">
      <c r="B1924" s="69"/>
      <c r="C1924" s="70"/>
      <c r="D1924" s="71"/>
    </row>
    <row r="1925" spans="2:4" x14ac:dyDescent="0.15">
      <c r="B1925" s="69"/>
      <c r="C1925" s="70"/>
      <c r="D1925" s="71"/>
    </row>
    <row r="1926" spans="2:4" x14ac:dyDescent="0.15">
      <c r="B1926" s="69"/>
      <c r="C1926" s="70"/>
      <c r="D1926" s="71"/>
    </row>
    <row r="1927" spans="2:4" x14ac:dyDescent="0.15">
      <c r="B1927" s="69"/>
      <c r="C1927" s="70"/>
      <c r="D1927" s="71"/>
    </row>
    <row r="1928" spans="2:4" x14ac:dyDescent="0.15">
      <c r="B1928" s="69"/>
      <c r="C1928" s="70"/>
      <c r="D1928" s="71"/>
    </row>
    <row r="1929" spans="2:4" x14ac:dyDescent="0.15">
      <c r="B1929" s="69"/>
      <c r="C1929" s="70"/>
      <c r="D1929" s="71"/>
    </row>
    <row r="1930" spans="2:4" x14ac:dyDescent="0.15">
      <c r="B1930" s="69"/>
      <c r="C1930" s="70"/>
      <c r="D1930" s="71"/>
    </row>
    <row r="1931" spans="2:4" x14ac:dyDescent="0.15">
      <c r="B1931" s="69"/>
      <c r="C1931" s="70"/>
      <c r="D1931" s="71"/>
    </row>
    <row r="1932" spans="2:4" x14ac:dyDescent="0.15">
      <c r="B1932" s="69"/>
      <c r="C1932" s="70"/>
      <c r="D1932" s="71"/>
    </row>
    <row r="1933" spans="2:4" x14ac:dyDescent="0.15">
      <c r="B1933" s="69"/>
      <c r="C1933" s="70"/>
      <c r="D1933" s="71"/>
    </row>
    <row r="1934" spans="2:4" x14ac:dyDescent="0.15">
      <c r="B1934" s="69"/>
      <c r="C1934" s="70"/>
      <c r="D1934" s="71"/>
    </row>
    <row r="1935" spans="2:4" x14ac:dyDescent="0.15">
      <c r="B1935" s="69"/>
      <c r="C1935" s="70"/>
      <c r="D1935" s="71"/>
    </row>
    <row r="1936" spans="2:4" x14ac:dyDescent="0.15">
      <c r="B1936" s="69"/>
      <c r="C1936" s="70"/>
      <c r="D1936" s="71"/>
    </row>
    <row r="1937" spans="2:4" x14ac:dyDescent="0.15">
      <c r="B1937" s="69"/>
      <c r="C1937" s="70"/>
      <c r="D1937" s="71"/>
    </row>
    <row r="1938" spans="2:4" x14ac:dyDescent="0.15">
      <c r="B1938" s="69"/>
      <c r="C1938" s="70"/>
      <c r="D1938" s="71"/>
    </row>
    <row r="1939" spans="2:4" x14ac:dyDescent="0.15">
      <c r="B1939" s="69"/>
      <c r="C1939" s="70"/>
      <c r="D1939" s="71"/>
    </row>
    <row r="1940" spans="2:4" x14ac:dyDescent="0.15">
      <c r="B1940" s="69"/>
      <c r="C1940" s="70"/>
      <c r="D1940" s="71"/>
    </row>
    <row r="1941" spans="2:4" x14ac:dyDescent="0.15">
      <c r="B1941" s="69"/>
      <c r="C1941" s="70"/>
      <c r="D1941" s="71"/>
    </row>
    <row r="1942" spans="2:4" x14ac:dyDescent="0.15">
      <c r="B1942" s="69"/>
      <c r="C1942" s="70"/>
      <c r="D1942" s="71"/>
    </row>
    <row r="1943" spans="2:4" x14ac:dyDescent="0.15">
      <c r="B1943" s="69"/>
      <c r="C1943" s="70"/>
      <c r="D1943" s="71"/>
    </row>
    <row r="1944" spans="2:4" x14ac:dyDescent="0.15">
      <c r="B1944" s="69"/>
      <c r="C1944" s="70"/>
      <c r="D1944" s="71"/>
    </row>
    <row r="1945" spans="2:4" x14ac:dyDescent="0.15">
      <c r="B1945" s="69"/>
      <c r="C1945" s="70"/>
      <c r="D1945" s="71"/>
    </row>
    <row r="1946" spans="2:4" x14ac:dyDescent="0.15">
      <c r="B1946" s="69"/>
      <c r="C1946" s="70"/>
      <c r="D1946" s="71"/>
    </row>
    <row r="1947" spans="2:4" x14ac:dyDescent="0.15">
      <c r="B1947" s="69"/>
      <c r="C1947" s="70"/>
      <c r="D1947" s="71"/>
    </row>
    <row r="1948" spans="2:4" x14ac:dyDescent="0.15">
      <c r="B1948" s="69"/>
      <c r="C1948" s="70"/>
      <c r="D1948" s="71"/>
    </row>
    <row r="1949" spans="2:4" x14ac:dyDescent="0.15">
      <c r="B1949" s="69"/>
      <c r="C1949" s="70"/>
      <c r="D1949" s="71"/>
    </row>
    <row r="1950" spans="2:4" x14ac:dyDescent="0.15">
      <c r="B1950" s="69"/>
      <c r="C1950" s="70"/>
      <c r="D1950" s="71"/>
    </row>
    <row r="1951" spans="2:4" x14ac:dyDescent="0.15">
      <c r="B1951" s="69"/>
      <c r="C1951" s="70"/>
      <c r="D1951" s="71"/>
    </row>
    <row r="1952" spans="2:4" x14ac:dyDescent="0.15">
      <c r="B1952" s="69"/>
      <c r="C1952" s="70"/>
      <c r="D1952" s="71"/>
    </row>
    <row r="1953" spans="2:4" x14ac:dyDescent="0.15">
      <c r="B1953" s="69"/>
      <c r="C1953" s="70"/>
      <c r="D1953" s="71"/>
    </row>
    <row r="1954" spans="2:4" x14ac:dyDescent="0.15">
      <c r="B1954" s="69"/>
      <c r="C1954" s="70"/>
      <c r="D1954" s="71"/>
    </row>
    <row r="1955" spans="2:4" x14ac:dyDescent="0.15">
      <c r="B1955" s="69"/>
      <c r="C1955" s="70"/>
      <c r="D1955" s="71"/>
    </row>
    <row r="1956" spans="2:4" x14ac:dyDescent="0.15">
      <c r="B1956" s="69"/>
      <c r="C1956" s="70"/>
      <c r="D1956" s="71"/>
    </row>
    <row r="1957" spans="2:4" x14ac:dyDescent="0.15">
      <c r="B1957" s="69"/>
      <c r="C1957" s="70"/>
      <c r="D1957" s="71"/>
    </row>
    <row r="1958" spans="2:4" x14ac:dyDescent="0.15">
      <c r="B1958" s="69"/>
      <c r="C1958" s="70"/>
      <c r="D1958" s="71"/>
    </row>
    <row r="1959" spans="2:4" x14ac:dyDescent="0.15">
      <c r="B1959" s="69"/>
      <c r="C1959" s="70"/>
      <c r="D1959" s="71"/>
    </row>
    <row r="1960" spans="2:4" x14ac:dyDescent="0.15">
      <c r="B1960" s="69"/>
      <c r="C1960" s="70"/>
      <c r="D1960" s="71"/>
    </row>
    <row r="1961" spans="2:4" x14ac:dyDescent="0.15">
      <c r="B1961" s="69"/>
      <c r="C1961" s="70"/>
      <c r="D1961" s="71"/>
    </row>
    <row r="1962" spans="2:4" x14ac:dyDescent="0.15">
      <c r="B1962" s="69"/>
      <c r="C1962" s="70"/>
      <c r="D1962" s="71"/>
    </row>
    <row r="1963" spans="2:4" x14ac:dyDescent="0.15">
      <c r="B1963" s="69"/>
      <c r="C1963" s="70"/>
      <c r="D1963" s="71"/>
    </row>
    <row r="1964" spans="2:4" x14ac:dyDescent="0.15">
      <c r="B1964" s="69"/>
      <c r="C1964" s="70"/>
      <c r="D1964" s="71"/>
    </row>
    <row r="1965" spans="2:4" x14ac:dyDescent="0.15">
      <c r="B1965" s="69"/>
      <c r="C1965" s="70"/>
      <c r="D1965" s="71"/>
    </row>
    <row r="1966" spans="2:4" x14ac:dyDescent="0.15">
      <c r="B1966" s="69"/>
      <c r="C1966" s="70"/>
      <c r="D1966" s="71"/>
    </row>
    <row r="1967" spans="2:4" x14ac:dyDescent="0.15">
      <c r="B1967" s="69"/>
      <c r="C1967" s="70"/>
      <c r="D1967" s="71"/>
    </row>
    <row r="1968" spans="2:4" x14ac:dyDescent="0.15">
      <c r="B1968" s="69"/>
      <c r="C1968" s="70"/>
      <c r="D1968" s="71"/>
    </row>
    <row r="1969" spans="2:4" x14ac:dyDescent="0.15">
      <c r="B1969" s="69"/>
      <c r="C1969" s="70"/>
      <c r="D1969" s="71"/>
    </row>
    <row r="1970" spans="2:4" x14ac:dyDescent="0.15">
      <c r="B1970" s="69"/>
      <c r="C1970" s="70"/>
      <c r="D1970" s="71"/>
    </row>
    <row r="1971" spans="2:4" x14ac:dyDescent="0.15">
      <c r="B1971" s="69"/>
      <c r="C1971" s="70"/>
      <c r="D1971" s="71"/>
    </row>
    <row r="1972" spans="2:4" x14ac:dyDescent="0.15">
      <c r="B1972" s="69"/>
      <c r="C1972" s="70"/>
      <c r="D1972" s="71"/>
    </row>
    <row r="1973" spans="2:4" x14ac:dyDescent="0.15">
      <c r="B1973" s="69"/>
      <c r="C1973" s="70"/>
      <c r="D1973" s="71"/>
    </row>
    <row r="1974" spans="2:4" x14ac:dyDescent="0.15">
      <c r="B1974" s="69"/>
      <c r="C1974" s="70"/>
      <c r="D1974" s="71"/>
    </row>
    <row r="1975" spans="2:4" x14ac:dyDescent="0.15">
      <c r="B1975" s="69"/>
      <c r="C1975" s="70"/>
      <c r="D1975" s="71"/>
    </row>
    <row r="1976" spans="2:4" x14ac:dyDescent="0.15">
      <c r="B1976" s="69"/>
      <c r="C1976" s="70"/>
      <c r="D1976" s="71"/>
    </row>
    <row r="1977" spans="2:4" x14ac:dyDescent="0.15">
      <c r="B1977" s="69"/>
      <c r="C1977" s="70"/>
      <c r="D1977" s="71"/>
    </row>
    <row r="1978" spans="2:4" x14ac:dyDescent="0.15">
      <c r="B1978" s="69"/>
      <c r="C1978" s="70"/>
      <c r="D1978" s="71"/>
    </row>
    <row r="1979" spans="2:4" x14ac:dyDescent="0.15">
      <c r="B1979" s="69"/>
      <c r="C1979" s="70"/>
      <c r="D1979" s="71"/>
    </row>
    <row r="1980" spans="2:4" x14ac:dyDescent="0.15">
      <c r="B1980" s="69"/>
      <c r="C1980" s="70"/>
      <c r="D1980" s="71"/>
    </row>
    <row r="1981" spans="2:4" x14ac:dyDescent="0.15">
      <c r="B1981" s="69"/>
      <c r="C1981" s="70"/>
      <c r="D1981" s="71"/>
    </row>
    <row r="1982" spans="2:4" x14ac:dyDescent="0.15">
      <c r="B1982" s="69"/>
      <c r="C1982" s="70"/>
      <c r="D1982" s="71"/>
    </row>
    <row r="1983" spans="2:4" x14ac:dyDescent="0.15">
      <c r="B1983" s="69"/>
      <c r="C1983" s="70"/>
      <c r="D1983" s="71"/>
    </row>
    <row r="1984" spans="2:4" x14ac:dyDescent="0.15">
      <c r="B1984" s="69"/>
      <c r="C1984" s="70"/>
      <c r="D1984" s="71"/>
    </row>
    <row r="1985" spans="2:4" x14ac:dyDescent="0.15">
      <c r="B1985" s="69"/>
      <c r="C1985" s="70"/>
      <c r="D1985" s="71"/>
    </row>
    <row r="1986" spans="2:4" x14ac:dyDescent="0.15">
      <c r="B1986" s="69"/>
      <c r="C1986" s="70"/>
      <c r="D1986" s="71"/>
    </row>
    <row r="1987" spans="2:4" x14ac:dyDescent="0.15">
      <c r="B1987" s="69"/>
      <c r="C1987" s="70"/>
      <c r="D1987" s="71"/>
    </row>
    <row r="1988" spans="2:4" x14ac:dyDescent="0.15">
      <c r="B1988" s="69"/>
      <c r="C1988" s="70"/>
      <c r="D1988" s="71"/>
    </row>
    <row r="1989" spans="2:4" x14ac:dyDescent="0.15">
      <c r="B1989" s="69"/>
      <c r="C1989" s="70"/>
      <c r="D1989" s="71"/>
    </row>
    <row r="1990" spans="2:4" x14ac:dyDescent="0.15">
      <c r="B1990" s="69"/>
      <c r="C1990" s="70"/>
      <c r="D1990" s="71"/>
    </row>
    <row r="1991" spans="2:4" x14ac:dyDescent="0.15">
      <c r="B1991" s="69"/>
      <c r="C1991" s="70"/>
      <c r="D1991" s="71"/>
    </row>
    <row r="1992" spans="2:4" x14ac:dyDescent="0.15">
      <c r="B1992" s="69"/>
      <c r="C1992" s="70"/>
      <c r="D1992" s="71"/>
    </row>
    <row r="1993" spans="2:4" x14ac:dyDescent="0.15">
      <c r="B1993" s="69"/>
      <c r="C1993" s="70"/>
      <c r="D1993" s="71"/>
    </row>
    <row r="1994" spans="2:4" x14ac:dyDescent="0.15">
      <c r="B1994" s="69"/>
      <c r="C1994" s="70"/>
      <c r="D1994" s="71"/>
    </row>
    <row r="1995" spans="2:4" x14ac:dyDescent="0.15">
      <c r="B1995" s="69"/>
      <c r="C1995" s="70"/>
      <c r="D1995" s="71"/>
    </row>
    <row r="1996" spans="2:4" x14ac:dyDescent="0.15">
      <c r="B1996" s="69"/>
      <c r="C1996" s="70"/>
      <c r="D1996" s="71"/>
    </row>
    <row r="1997" spans="2:4" x14ac:dyDescent="0.15">
      <c r="B1997" s="69"/>
      <c r="C1997" s="70"/>
      <c r="D1997" s="71"/>
    </row>
    <row r="1998" spans="2:4" x14ac:dyDescent="0.15">
      <c r="B1998" s="69"/>
      <c r="C1998" s="70"/>
      <c r="D1998" s="71"/>
    </row>
    <row r="1999" spans="2:4" x14ac:dyDescent="0.15">
      <c r="B1999" s="69"/>
      <c r="C1999" s="70"/>
      <c r="D1999" s="71"/>
    </row>
    <row r="2000" spans="2:4" x14ac:dyDescent="0.15">
      <c r="B2000" s="69"/>
      <c r="C2000" s="70"/>
      <c r="D2000" s="71"/>
    </row>
    <row r="2001" spans="2:4" x14ac:dyDescent="0.15">
      <c r="B2001" s="69"/>
      <c r="C2001" s="70"/>
      <c r="D2001" s="71"/>
    </row>
    <row r="2002" spans="2:4" x14ac:dyDescent="0.15">
      <c r="B2002" s="69"/>
      <c r="C2002" s="70"/>
      <c r="D2002" s="71"/>
    </row>
    <row r="2003" spans="2:4" x14ac:dyDescent="0.15">
      <c r="B2003" s="69"/>
      <c r="C2003" s="70"/>
      <c r="D2003" s="71"/>
    </row>
    <row r="2004" spans="2:4" x14ac:dyDescent="0.15">
      <c r="B2004" s="69"/>
      <c r="C2004" s="70"/>
      <c r="D2004" s="71"/>
    </row>
    <row r="2005" spans="2:4" x14ac:dyDescent="0.15">
      <c r="B2005" s="69"/>
      <c r="C2005" s="70"/>
      <c r="D2005" s="71"/>
    </row>
    <row r="2006" spans="2:4" x14ac:dyDescent="0.15">
      <c r="B2006" s="69"/>
      <c r="C2006" s="70"/>
      <c r="D2006" s="71"/>
    </row>
    <row r="2007" spans="2:4" x14ac:dyDescent="0.15">
      <c r="B2007" s="69"/>
      <c r="C2007" s="70"/>
      <c r="D2007" s="71"/>
    </row>
    <row r="2008" spans="2:4" x14ac:dyDescent="0.15">
      <c r="B2008" s="69"/>
      <c r="C2008" s="70"/>
      <c r="D2008" s="71"/>
    </row>
    <row r="2009" spans="2:4" x14ac:dyDescent="0.15">
      <c r="B2009" s="69"/>
      <c r="C2009" s="70"/>
      <c r="D2009" s="71"/>
    </row>
    <row r="2010" spans="2:4" x14ac:dyDescent="0.15">
      <c r="B2010" s="69"/>
      <c r="C2010" s="70"/>
      <c r="D2010" s="71"/>
    </row>
    <row r="2011" spans="2:4" x14ac:dyDescent="0.15">
      <c r="B2011" s="69"/>
      <c r="C2011" s="70"/>
      <c r="D2011" s="71"/>
    </row>
    <row r="2012" spans="2:4" x14ac:dyDescent="0.15">
      <c r="B2012" s="69"/>
      <c r="C2012" s="70"/>
      <c r="D2012" s="71"/>
    </row>
    <row r="2013" spans="2:4" x14ac:dyDescent="0.15">
      <c r="B2013" s="69"/>
      <c r="C2013" s="70"/>
      <c r="D2013" s="71"/>
    </row>
    <row r="2014" spans="2:4" x14ac:dyDescent="0.15">
      <c r="B2014" s="69"/>
      <c r="C2014" s="70"/>
      <c r="D2014" s="71"/>
    </row>
    <row r="2015" spans="2:4" x14ac:dyDescent="0.15">
      <c r="B2015" s="69"/>
      <c r="C2015" s="70"/>
      <c r="D2015" s="71"/>
    </row>
    <row r="2016" spans="2:4" x14ac:dyDescent="0.15">
      <c r="B2016" s="69"/>
      <c r="C2016" s="70"/>
      <c r="D2016" s="71"/>
    </row>
    <row r="2017" spans="2:4" x14ac:dyDescent="0.15">
      <c r="B2017" s="69"/>
      <c r="C2017" s="70"/>
      <c r="D2017" s="71"/>
    </row>
    <row r="2018" spans="2:4" x14ac:dyDescent="0.15">
      <c r="B2018" s="69"/>
      <c r="C2018" s="70"/>
      <c r="D2018" s="71"/>
    </row>
    <row r="2019" spans="2:4" x14ac:dyDescent="0.15">
      <c r="B2019" s="69"/>
      <c r="C2019" s="70"/>
      <c r="D2019" s="71"/>
    </row>
    <row r="2020" spans="2:4" x14ac:dyDescent="0.15">
      <c r="B2020" s="69"/>
      <c r="C2020" s="70"/>
      <c r="D2020" s="71"/>
    </row>
    <row r="2021" spans="2:4" x14ac:dyDescent="0.15">
      <c r="B2021" s="69"/>
      <c r="C2021" s="70"/>
      <c r="D2021" s="71"/>
    </row>
    <row r="2022" spans="2:4" x14ac:dyDescent="0.15">
      <c r="B2022" s="69"/>
      <c r="C2022" s="70"/>
      <c r="D2022" s="71"/>
    </row>
    <row r="2023" spans="2:4" x14ac:dyDescent="0.15">
      <c r="B2023" s="69"/>
      <c r="C2023" s="70"/>
      <c r="D2023" s="71"/>
    </row>
    <row r="2024" spans="2:4" x14ac:dyDescent="0.15">
      <c r="B2024" s="69"/>
      <c r="C2024" s="70"/>
      <c r="D2024" s="71"/>
    </row>
    <row r="2025" spans="2:4" x14ac:dyDescent="0.15">
      <c r="B2025" s="69"/>
      <c r="C2025" s="70"/>
      <c r="D2025" s="71"/>
    </row>
    <row r="2026" spans="2:4" x14ac:dyDescent="0.15">
      <c r="B2026" s="69"/>
      <c r="C2026" s="70"/>
      <c r="D2026" s="71"/>
    </row>
    <row r="2027" spans="2:4" x14ac:dyDescent="0.15">
      <c r="B2027" s="69"/>
      <c r="C2027" s="70"/>
      <c r="D2027" s="71"/>
    </row>
    <row r="2028" spans="2:4" x14ac:dyDescent="0.15">
      <c r="B2028" s="69"/>
      <c r="C2028" s="70"/>
      <c r="D2028" s="71"/>
    </row>
    <row r="2029" spans="2:4" x14ac:dyDescent="0.15">
      <c r="B2029" s="69"/>
      <c r="C2029" s="70"/>
      <c r="D2029" s="71"/>
    </row>
    <row r="2030" spans="2:4" x14ac:dyDescent="0.15">
      <c r="B2030" s="69"/>
      <c r="C2030" s="70"/>
      <c r="D2030" s="71"/>
    </row>
    <row r="2031" spans="2:4" x14ac:dyDescent="0.15">
      <c r="B2031" s="69"/>
      <c r="C2031" s="70"/>
      <c r="D2031" s="71"/>
    </row>
    <row r="2032" spans="2:4" x14ac:dyDescent="0.15">
      <c r="B2032" s="69"/>
      <c r="C2032" s="70"/>
      <c r="D2032" s="71"/>
    </row>
    <row r="2033" spans="2:4" x14ac:dyDescent="0.15">
      <c r="B2033" s="69"/>
      <c r="C2033" s="70"/>
      <c r="D2033" s="71"/>
    </row>
    <row r="2034" spans="2:4" x14ac:dyDescent="0.15">
      <c r="B2034" s="69"/>
      <c r="C2034" s="70"/>
      <c r="D2034" s="71"/>
    </row>
    <row r="2035" spans="2:4" x14ac:dyDescent="0.15">
      <c r="B2035" s="69"/>
      <c r="C2035" s="70"/>
      <c r="D2035" s="71"/>
    </row>
    <row r="2036" spans="2:4" x14ac:dyDescent="0.15">
      <c r="B2036" s="69"/>
      <c r="C2036" s="70"/>
      <c r="D2036" s="71"/>
    </row>
    <row r="2037" spans="2:4" x14ac:dyDescent="0.15">
      <c r="B2037" s="69"/>
      <c r="C2037" s="70"/>
      <c r="D2037" s="71"/>
    </row>
    <row r="2038" spans="2:4" x14ac:dyDescent="0.15">
      <c r="B2038" s="69"/>
      <c r="C2038" s="70"/>
      <c r="D2038" s="71"/>
    </row>
    <row r="2039" spans="2:4" x14ac:dyDescent="0.15">
      <c r="B2039" s="69"/>
      <c r="C2039" s="70"/>
      <c r="D2039" s="71"/>
    </row>
    <row r="2040" spans="2:4" x14ac:dyDescent="0.15">
      <c r="B2040" s="69"/>
      <c r="C2040" s="70"/>
      <c r="D2040" s="71"/>
    </row>
    <row r="2041" spans="2:4" x14ac:dyDescent="0.15">
      <c r="B2041" s="69"/>
      <c r="C2041" s="70"/>
      <c r="D2041" s="71"/>
    </row>
    <row r="2042" spans="2:4" x14ac:dyDescent="0.15">
      <c r="B2042" s="69"/>
      <c r="C2042" s="70"/>
      <c r="D2042" s="71"/>
    </row>
    <row r="2043" spans="2:4" x14ac:dyDescent="0.15">
      <c r="B2043" s="69"/>
      <c r="C2043" s="70"/>
      <c r="D2043" s="71"/>
    </row>
    <row r="2044" spans="2:4" x14ac:dyDescent="0.15">
      <c r="B2044" s="69"/>
      <c r="C2044" s="70"/>
      <c r="D2044" s="71"/>
    </row>
    <row r="2045" spans="2:4" x14ac:dyDescent="0.15">
      <c r="B2045" s="69"/>
      <c r="C2045" s="70"/>
      <c r="D2045" s="71"/>
    </row>
    <row r="2046" spans="2:4" x14ac:dyDescent="0.15">
      <c r="B2046" s="69"/>
      <c r="C2046" s="70"/>
      <c r="D2046" s="71"/>
    </row>
    <row r="2047" spans="2:4" x14ac:dyDescent="0.15">
      <c r="B2047" s="69"/>
      <c r="C2047" s="70"/>
      <c r="D2047" s="71"/>
    </row>
    <row r="2048" spans="2:4" x14ac:dyDescent="0.15">
      <c r="B2048" s="69"/>
      <c r="C2048" s="70"/>
      <c r="D2048" s="71"/>
    </row>
    <row r="2049" spans="2:4" x14ac:dyDescent="0.15">
      <c r="B2049" s="69"/>
      <c r="C2049" s="70"/>
      <c r="D2049" s="71"/>
    </row>
    <row r="2050" spans="2:4" x14ac:dyDescent="0.15">
      <c r="B2050" s="69"/>
      <c r="C2050" s="70"/>
      <c r="D2050" s="71"/>
    </row>
    <row r="2051" spans="2:4" x14ac:dyDescent="0.15">
      <c r="B2051" s="69"/>
      <c r="C2051" s="70"/>
      <c r="D2051" s="71"/>
    </row>
    <row r="2052" spans="2:4" x14ac:dyDescent="0.15">
      <c r="B2052" s="69"/>
      <c r="C2052" s="70"/>
      <c r="D2052" s="71"/>
    </row>
    <row r="2053" spans="2:4" x14ac:dyDescent="0.15">
      <c r="B2053" s="69"/>
      <c r="C2053" s="70"/>
      <c r="D2053" s="71"/>
    </row>
    <row r="2054" spans="2:4" x14ac:dyDescent="0.15">
      <c r="B2054" s="69"/>
      <c r="C2054" s="70"/>
      <c r="D2054" s="71"/>
    </row>
    <row r="2055" spans="2:4" x14ac:dyDescent="0.15">
      <c r="B2055" s="69"/>
      <c r="C2055" s="70"/>
      <c r="D2055" s="71"/>
    </row>
    <row r="2056" spans="2:4" x14ac:dyDescent="0.15">
      <c r="B2056" s="69"/>
      <c r="C2056" s="70"/>
      <c r="D2056" s="71"/>
    </row>
    <row r="2057" spans="2:4" x14ac:dyDescent="0.15">
      <c r="B2057" s="69"/>
      <c r="C2057" s="70"/>
      <c r="D2057" s="71"/>
    </row>
    <row r="2058" spans="2:4" x14ac:dyDescent="0.15">
      <c r="B2058" s="69"/>
      <c r="C2058" s="70"/>
      <c r="D2058" s="71"/>
    </row>
    <row r="2059" spans="2:4" x14ac:dyDescent="0.15">
      <c r="B2059" s="69"/>
      <c r="C2059" s="70"/>
      <c r="D2059" s="71"/>
    </row>
    <row r="2060" spans="2:4" x14ac:dyDescent="0.15">
      <c r="B2060" s="69"/>
      <c r="C2060" s="70"/>
      <c r="D2060" s="71"/>
    </row>
    <row r="2061" spans="2:4" x14ac:dyDescent="0.15">
      <c r="B2061" s="69"/>
      <c r="C2061" s="70"/>
      <c r="D2061" s="71"/>
    </row>
    <row r="2062" spans="2:4" x14ac:dyDescent="0.15">
      <c r="B2062" s="69"/>
      <c r="C2062" s="70"/>
      <c r="D2062" s="71"/>
    </row>
    <row r="2063" spans="2:4" x14ac:dyDescent="0.15">
      <c r="B2063" s="69"/>
      <c r="C2063" s="70"/>
      <c r="D2063" s="71"/>
    </row>
    <row r="2064" spans="2:4" x14ac:dyDescent="0.15">
      <c r="B2064" s="69"/>
      <c r="C2064" s="70"/>
      <c r="D2064" s="71"/>
    </row>
    <row r="2065" spans="2:4" x14ac:dyDescent="0.15">
      <c r="B2065" s="69"/>
      <c r="C2065" s="70"/>
      <c r="D2065" s="71"/>
    </row>
    <row r="2066" spans="2:4" x14ac:dyDescent="0.15">
      <c r="B2066" s="69"/>
      <c r="C2066" s="70"/>
      <c r="D2066" s="71"/>
    </row>
    <row r="2067" spans="2:4" x14ac:dyDescent="0.15">
      <c r="B2067" s="69"/>
      <c r="C2067" s="70"/>
      <c r="D2067" s="71"/>
    </row>
    <row r="2068" spans="2:4" x14ac:dyDescent="0.15">
      <c r="B2068" s="69"/>
      <c r="C2068" s="70"/>
      <c r="D2068" s="71"/>
    </row>
    <row r="2069" spans="2:4" x14ac:dyDescent="0.15">
      <c r="B2069" s="69"/>
      <c r="C2069" s="70"/>
      <c r="D2069" s="71"/>
    </row>
    <row r="2070" spans="2:4" x14ac:dyDescent="0.15">
      <c r="B2070" s="69"/>
      <c r="C2070" s="70"/>
      <c r="D2070" s="71"/>
    </row>
    <row r="2071" spans="2:4" x14ac:dyDescent="0.15">
      <c r="B2071" s="69"/>
      <c r="C2071" s="70"/>
      <c r="D2071" s="71"/>
    </row>
    <row r="2072" spans="2:4" x14ac:dyDescent="0.15">
      <c r="B2072" s="69"/>
      <c r="C2072" s="70"/>
      <c r="D2072" s="71"/>
    </row>
    <row r="2073" spans="2:4" x14ac:dyDescent="0.15">
      <c r="B2073" s="69"/>
      <c r="C2073" s="70"/>
      <c r="D2073" s="71"/>
    </row>
    <row r="2074" spans="2:4" x14ac:dyDescent="0.15">
      <c r="B2074" s="69"/>
      <c r="C2074" s="70"/>
      <c r="D2074" s="71"/>
    </row>
    <row r="2075" spans="2:4" x14ac:dyDescent="0.15">
      <c r="B2075" s="69"/>
      <c r="C2075" s="70"/>
      <c r="D2075" s="71"/>
    </row>
    <row r="2076" spans="2:4" x14ac:dyDescent="0.15">
      <c r="B2076" s="69"/>
      <c r="C2076" s="70"/>
      <c r="D2076" s="71"/>
    </row>
    <row r="2077" spans="2:4" x14ac:dyDescent="0.15">
      <c r="B2077" s="69"/>
      <c r="C2077" s="70"/>
      <c r="D2077" s="71"/>
    </row>
    <row r="2078" spans="2:4" x14ac:dyDescent="0.15">
      <c r="B2078" s="69"/>
      <c r="C2078" s="70"/>
      <c r="D2078" s="71"/>
    </row>
    <row r="2079" spans="2:4" x14ac:dyDescent="0.15">
      <c r="B2079" s="69"/>
      <c r="C2079" s="70"/>
      <c r="D2079" s="71"/>
    </row>
    <row r="2080" spans="2:4" x14ac:dyDescent="0.15">
      <c r="B2080" s="69"/>
      <c r="C2080" s="70"/>
      <c r="D2080" s="71"/>
    </row>
    <row r="2081" spans="2:4" x14ac:dyDescent="0.15">
      <c r="B2081" s="69"/>
      <c r="C2081" s="70"/>
      <c r="D2081" s="71"/>
    </row>
    <row r="2082" spans="2:4" x14ac:dyDescent="0.15">
      <c r="B2082" s="69"/>
      <c r="C2082" s="70"/>
      <c r="D2082" s="71"/>
    </row>
    <row r="2083" spans="2:4" x14ac:dyDescent="0.15">
      <c r="B2083" s="69"/>
      <c r="C2083" s="70"/>
      <c r="D2083" s="71"/>
    </row>
    <row r="2084" spans="2:4" x14ac:dyDescent="0.15">
      <c r="B2084" s="69"/>
      <c r="C2084" s="70"/>
      <c r="D2084" s="71"/>
    </row>
    <row r="2085" spans="2:4" x14ac:dyDescent="0.15">
      <c r="B2085" s="69"/>
      <c r="C2085" s="70"/>
      <c r="D2085" s="71"/>
    </row>
    <row r="2086" spans="2:4" x14ac:dyDescent="0.15">
      <c r="B2086" s="69"/>
      <c r="C2086" s="70"/>
      <c r="D2086" s="71"/>
    </row>
    <row r="2087" spans="2:4" x14ac:dyDescent="0.15">
      <c r="B2087" s="69"/>
      <c r="C2087" s="70"/>
      <c r="D2087" s="71"/>
    </row>
    <row r="2088" spans="2:4" x14ac:dyDescent="0.15">
      <c r="B2088" s="69"/>
      <c r="C2088" s="70"/>
      <c r="D2088" s="71"/>
    </row>
    <row r="2089" spans="2:4" x14ac:dyDescent="0.15">
      <c r="B2089" s="69"/>
      <c r="C2089" s="70"/>
      <c r="D2089" s="71"/>
    </row>
    <row r="2090" spans="2:4" x14ac:dyDescent="0.15">
      <c r="B2090" s="69"/>
      <c r="C2090" s="70"/>
      <c r="D2090" s="71"/>
    </row>
    <row r="2091" spans="2:4" x14ac:dyDescent="0.15">
      <c r="B2091" s="69"/>
      <c r="C2091" s="70"/>
      <c r="D2091" s="71"/>
    </row>
    <row r="2092" spans="2:4" x14ac:dyDescent="0.15">
      <c r="B2092" s="69"/>
      <c r="C2092" s="70"/>
      <c r="D2092" s="71"/>
    </row>
    <row r="2093" spans="2:4" x14ac:dyDescent="0.15">
      <c r="B2093" s="69"/>
      <c r="C2093" s="70"/>
      <c r="D2093" s="71"/>
    </row>
    <row r="2094" spans="2:4" x14ac:dyDescent="0.15">
      <c r="B2094" s="69"/>
      <c r="C2094" s="70"/>
      <c r="D2094" s="71"/>
    </row>
    <row r="2095" spans="2:4" x14ac:dyDescent="0.15">
      <c r="B2095" s="69"/>
      <c r="C2095" s="70"/>
      <c r="D2095" s="71"/>
    </row>
    <row r="2096" spans="2:4" x14ac:dyDescent="0.15">
      <c r="B2096" s="69"/>
      <c r="C2096" s="70"/>
      <c r="D2096" s="71"/>
    </row>
    <row r="2097" spans="2:4" x14ac:dyDescent="0.15">
      <c r="B2097" s="69"/>
      <c r="C2097" s="70"/>
      <c r="D2097" s="71"/>
    </row>
    <row r="2098" spans="2:4" x14ac:dyDescent="0.15">
      <c r="B2098" s="69"/>
      <c r="C2098" s="70"/>
      <c r="D2098" s="71"/>
    </row>
    <row r="2099" spans="2:4" x14ac:dyDescent="0.15">
      <c r="B2099" s="69"/>
      <c r="C2099" s="70"/>
      <c r="D2099" s="71"/>
    </row>
    <row r="2100" spans="2:4" x14ac:dyDescent="0.15">
      <c r="B2100" s="69"/>
      <c r="C2100" s="70"/>
      <c r="D2100" s="71"/>
    </row>
    <row r="2101" spans="2:4" x14ac:dyDescent="0.15">
      <c r="B2101" s="69"/>
      <c r="C2101" s="70"/>
      <c r="D2101" s="71"/>
    </row>
    <row r="2102" spans="2:4" x14ac:dyDescent="0.15">
      <c r="B2102" s="69"/>
      <c r="C2102" s="70"/>
      <c r="D2102" s="71"/>
    </row>
    <row r="2103" spans="2:4" x14ac:dyDescent="0.15">
      <c r="B2103" s="69"/>
      <c r="C2103" s="70"/>
      <c r="D2103" s="71"/>
    </row>
    <row r="2104" spans="2:4" x14ac:dyDescent="0.15">
      <c r="B2104" s="69"/>
      <c r="C2104" s="70"/>
      <c r="D2104" s="71"/>
    </row>
    <row r="2105" spans="2:4" x14ac:dyDescent="0.15">
      <c r="B2105" s="69"/>
      <c r="C2105" s="70"/>
      <c r="D2105" s="71"/>
    </row>
    <row r="2106" spans="2:4" x14ac:dyDescent="0.15">
      <c r="B2106" s="69"/>
      <c r="C2106" s="70"/>
      <c r="D2106" s="71"/>
    </row>
    <row r="2107" spans="2:4" x14ac:dyDescent="0.15">
      <c r="B2107" s="69"/>
      <c r="C2107" s="70"/>
      <c r="D2107" s="71"/>
    </row>
    <row r="2108" spans="2:4" x14ac:dyDescent="0.15">
      <c r="B2108" s="69"/>
      <c r="C2108" s="70"/>
      <c r="D2108" s="71"/>
    </row>
    <row r="2109" spans="2:4" x14ac:dyDescent="0.15">
      <c r="B2109" s="69"/>
      <c r="C2109" s="70"/>
      <c r="D2109" s="71"/>
    </row>
    <row r="2110" spans="2:4" x14ac:dyDescent="0.15">
      <c r="B2110" s="69"/>
      <c r="C2110" s="70"/>
      <c r="D2110" s="71"/>
    </row>
    <row r="2111" spans="2:4" x14ac:dyDescent="0.15">
      <c r="B2111" s="69"/>
      <c r="C2111" s="70"/>
      <c r="D2111" s="71"/>
    </row>
    <row r="2112" spans="2:4" x14ac:dyDescent="0.15">
      <c r="B2112" s="69"/>
      <c r="C2112" s="70"/>
      <c r="D2112" s="71"/>
    </row>
    <row r="2113" spans="2:4" x14ac:dyDescent="0.15">
      <c r="B2113" s="69"/>
      <c r="C2113" s="70"/>
      <c r="D2113" s="71"/>
    </row>
    <row r="2114" spans="2:4" x14ac:dyDescent="0.15">
      <c r="B2114" s="69"/>
      <c r="C2114" s="70"/>
      <c r="D2114" s="71"/>
    </row>
    <row r="2115" spans="2:4" x14ac:dyDescent="0.15">
      <c r="B2115" s="69"/>
      <c r="C2115" s="70"/>
      <c r="D2115" s="71"/>
    </row>
    <row r="2116" spans="2:4" x14ac:dyDescent="0.15">
      <c r="B2116" s="69"/>
      <c r="C2116" s="70"/>
      <c r="D2116" s="71"/>
    </row>
    <row r="2117" spans="2:4" x14ac:dyDescent="0.15">
      <c r="B2117" s="69"/>
      <c r="C2117" s="70"/>
      <c r="D2117" s="71"/>
    </row>
    <row r="2118" spans="2:4" x14ac:dyDescent="0.15">
      <c r="B2118" s="69"/>
      <c r="C2118" s="70"/>
      <c r="D2118" s="71"/>
    </row>
    <row r="2119" spans="2:4" x14ac:dyDescent="0.15">
      <c r="B2119" s="69"/>
      <c r="C2119" s="70"/>
      <c r="D2119" s="71"/>
    </row>
    <row r="2120" spans="2:4" x14ac:dyDescent="0.15">
      <c r="B2120" s="69"/>
      <c r="C2120" s="70"/>
      <c r="D2120" s="71"/>
    </row>
    <row r="2121" spans="2:4" x14ac:dyDescent="0.15">
      <c r="B2121" s="69"/>
      <c r="C2121" s="70"/>
      <c r="D2121" s="71"/>
    </row>
    <row r="2122" spans="2:4" x14ac:dyDescent="0.15">
      <c r="B2122" s="69"/>
      <c r="C2122" s="70"/>
      <c r="D2122" s="71"/>
    </row>
    <row r="2123" spans="2:4" x14ac:dyDescent="0.15">
      <c r="B2123" s="69"/>
      <c r="C2123" s="70"/>
      <c r="D2123" s="71"/>
    </row>
    <row r="2124" spans="2:4" x14ac:dyDescent="0.15">
      <c r="B2124" s="69"/>
      <c r="C2124" s="70"/>
      <c r="D2124" s="71"/>
    </row>
    <row r="2125" spans="2:4" x14ac:dyDescent="0.15">
      <c r="B2125" s="69"/>
      <c r="C2125" s="70"/>
      <c r="D2125" s="71"/>
    </row>
    <row r="2126" spans="2:4" x14ac:dyDescent="0.15">
      <c r="B2126" s="69"/>
      <c r="C2126" s="70"/>
      <c r="D2126" s="71"/>
    </row>
    <row r="2127" spans="2:4" x14ac:dyDescent="0.15">
      <c r="B2127" s="69"/>
      <c r="C2127" s="70"/>
      <c r="D2127" s="71"/>
    </row>
    <row r="2128" spans="2:4" x14ac:dyDescent="0.15">
      <c r="B2128" s="69"/>
      <c r="C2128" s="70"/>
      <c r="D2128" s="71"/>
    </row>
    <row r="2129" spans="2:4" x14ac:dyDescent="0.15">
      <c r="B2129" s="69"/>
      <c r="C2129" s="70"/>
      <c r="D2129" s="71"/>
    </row>
    <row r="2130" spans="2:4" x14ac:dyDescent="0.15">
      <c r="B2130" s="69"/>
      <c r="C2130" s="70"/>
      <c r="D2130" s="71"/>
    </row>
    <row r="2131" spans="2:4" x14ac:dyDescent="0.15">
      <c r="B2131" s="69"/>
      <c r="C2131" s="70"/>
      <c r="D2131" s="71"/>
    </row>
    <row r="2132" spans="2:4" x14ac:dyDescent="0.15">
      <c r="B2132" s="69"/>
      <c r="C2132" s="70"/>
      <c r="D2132" s="71"/>
    </row>
    <row r="2133" spans="2:4" x14ac:dyDescent="0.15">
      <c r="B2133" s="69"/>
      <c r="C2133" s="70"/>
      <c r="D2133" s="71"/>
    </row>
    <row r="2134" spans="2:4" x14ac:dyDescent="0.15">
      <c r="B2134" s="69"/>
      <c r="C2134" s="70"/>
      <c r="D2134" s="71"/>
    </row>
    <row r="2135" spans="2:4" x14ac:dyDescent="0.15">
      <c r="B2135" s="69"/>
      <c r="C2135" s="70"/>
      <c r="D2135" s="71"/>
    </row>
    <row r="2136" spans="2:4" x14ac:dyDescent="0.15">
      <c r="B2136" s="69"/>
      <c r="C2136" s="70"/>
      <c r="D2136" s="71"/>
    </row>
    <row r="2137" spans="2:4" x14ac:dyDescent="0.15">
      <c r="B2137" s="69"/>
      <c r="C2137" s="70"/>
      <c r="D2137" s="71"/>
    </row>
    <row r="2138" spans="2:4" x14ac:dyDescent="0.15">
      <c r="B2138" s="69"/>
      <c r="C2138" s="70"/>
      <c r="D2138" s="71"/>
    </row>
    <row r="2139" spans="2:4" x14ac:dyDescent="0.15">
      <c r="B2139" s="69"/>
      <c r="C2139" s="70"/>
      <c r="D2139" s="71"/>
    </row>
    <row r="2140" spans="2:4" x14ac:dyDescent="0.15">
      <c r="B2140" s="69"/>
      <c r="C2140" s="70"/>
      <c r="D2140" s="71"/>
    </row>
    <row r="2141" spans="2:4" x14ac:dyDescent="0.15">
      <c r="B2141" s="69"/>
      <c r="C2141" s="70"/>
      <c r="D2141" s="71"/>
    </row>
    <row r="2142" spans="2:4" x14ac:dyDescent="0.15">
      <c r="B2142" s="69"/>
      <c r="C2142" s="70"/>
      <c r="D2142" s="71"/>
    </row>
    <row r="2143" spans="2:4" x14ac:dyDescent="0.15">
      <c r="B2143" s="69"/>
      <c r="C2143" s="70"/>
      <c r="D2143" s="71"/>
    </row>
    <row r="2144" spans="2:4" x14ac:dyDescent="0.15">
      <c r="B2144" s="69"/>
      <c r="C2144" s="70"/>
      <c r="D2144" s="71"/>
    </row>
    <row r="2145" spans="2:4" x14ac:dyDescent="0.15">
      <c r="B2145" s="69"/>
      <c r="C2145" s="70"/>
      <c r="D2145" s="71"/>
    </row>
    <row r="2146" spans="2:4" x14ac:dyDescent="0.15">
      <c r="B2146" s="69"/>
      <c r="C2146" s="70"/>
      <c r="D2146" s="71"/>
    </row>
    <row r="2147" spans="2:4" x14ac:dyDescent="0.15">
      <c r="B2147" s="69"/>
      <c r="C2147" s="70"/>
      <c r="D2147" s="71"/>
    </row>
    <row r="2148" spans="2:4" x14ac:dyDescent="0.15">
      <c r="B2148" s="69"/>
      <c r="C2148" s="70"/>
      <c r="D2148" s="71"/>
    </row>
    <row r="2149" spans="2:4" x14ac:dyDescent="0.15">
      <c r="B2149" s="69"/>
      <c r="C2149" s="70"/>
      <c r="D2149" s="71"/>
    </row>
    <row r="2150" spans="2:4" x14ac:dyDescent="0.15">
      <c r="B2150" s="69"/>
      <c r="C2150" s="70"/>
      <c r="D2150" s="71"/>
    </row>
    <row r="2151" spans="2:4" x14ac:dyDescent="0.15">
      <c r="B2151" s="69"/>
      <c r="C2151" s="70"/>
      <c r="D2151" s="71"/>
    </row>
    <row r="2152" spans="2:4" x14ac:dyDescent="0.15">
      <c r="B2152" s="69"/>
      <c r="C2152" s="70"/>
      <c r="D2152" s="71"/>
    </row>
    <row r="2153" spans="2:4" x14ac:dyDescent="0.15">
      <c r="B2153" s="69"/>
      <c r="C2153" s="70"/>
      <c r="D2153" s="71"/>
    </row>
    <row r="2154" spans="2:4" x14ac:dyDescent="0.15">
      <c r="B2154" s="69"/>
      <c r="C2154" s="70"/>
      <c r="D2154" s="71"/>
    </row>
    <row r="2155" spans="2:4" x14ac:dyDescent="0.15">
      <c r="B2155" s="69"/>
      <c r="C2155" s="70"/>
      <c r="D2155" s="71"/>
    </row>
    <row r="2156" spans="2:4" x14ac:dyDescent="0.15">
      <c r="B2156" s="69"/>
      <c r="C2156" s="70"/>
      <c r="D2156" s="71"/>
    </row>
    <row r="2157" spans="2:4" x14ac:dyDescent="0.15">
      <c r="B2157" s="69"/>
      <c r="C2157" s="70"/>
      <c r="D2157" s="71"/>
    </row>
    <row r="2158" spans="2:4" x14ac:dyDescent="0.15">
      <c r="B2158" s="69"/>
      <c r="C2158" s="70"/>
      <c r="D2158" s="71"/>
    </row>
    <row r="2159" spans="2:4" x14ac:dyDescent="0.15">
      <c r="B2159" s="69"/>
      <c r="C2159" s="70"/>
      <c r="D2159" s="71"/>
    </row>
    <row r="2160" spans="2:4" x14ac:dyDescent="0.15">
      <c r="B2160" s="69"/>
      <c r="C2160" s="70"/>
      <c r="D2160" s="71"/>
    </row>
    <row r="2161" spans="2:4" x14ac:dyDescent="0.15">
      <c r="B2161" s="69"/>
      <c r="C2161" s="70"/>
      <c r="D2161" s="71"/>
    </row>
    <row r="2162" spans="2:4" x14ac:dyDescent="0.15">
      <c r="B2162" s="69"/>
      <c r="C2162" s="70"/>
      <c r="D2162" s="71"/>
    </row>
    <row r="2163" spans="2:4" x14ac:dyDescent="0.15">
      <c r="B2163" s="69"/>
      <c r="C2163" s="70"/>
      <c r="D2163" s="71"/>
    </row>
    <row r="2164" spans="2:4" x14ac:dyDescent="0.15">
      <c r="B2164" s="69"/>
      <c r="C2164" s="70"/>
      <c r="D2164" s="71"/>
    </row>
    <row r="2165" spans="2:4" x14ac:dyDescent="0.15">
      <c r="B2165" s="69"/>
      <c r="C2165" s="70"/>
      <c r="D2165" s="71"/>
    </row>
    <row r="2166" spans="2:4" x14ac:dyDescent="0.15">
      <c r="B2166" s="69"/>
      <c r="C2166" s="70"/>
      <c r="D2166" s="71"/>
    </row>
    <row r="2167" spans="2:4" x14ac:dyDescent="0.15">
      <c r="B2167" s="69"/>
      <c r="C2167" s="70"/>
      <c r="D2167" s="71"/>
    </row>
    <row r="2168" spans="2:4" x14ac:dyDescent="0.15">
      <c r="B2168" s="69"/>
      <c r="C2168" s="70"/>
      <c r="D2168" s="71"/>
    </row>
    <row r="2169" spans="2:4" x14ac:dyDescent="0.15">
      <c r="B2169" s="69"/>
      <c r="C2169" s="70"/>
      <c r="D2169" s="71"/>
    </row>
    <row r="2170" spans="2:4" x14ac:dyDescent="0.15">
      <c r="B2170" s="69"/>
      <c r="C2170" s="70"/>
      <c r="D2170" s="71"/>
    </row>
    <row r="2171" spans="2:4" x14ac:dyDescent="0.15">
      <c r="B2171" s="69"/>
      <c r="C2171" s="70"/>
      <c r="D2171" s="71"/>
    </row>
    <row r="2172" spans="2:4" x14ac:dyDescent="0.15">
      <c r="B2172" s="69"/>
      <c r="C2172" s="70"/>
      <c r="D2172" s="71"/>
    </row>
    <row r="2173" spans="2:4" x14ac:dyDescent="0.15">
      <c r="B2173" s="69"/>
      <c r="C2173" s="70"/>
      <c r="D2173" s="71"/>
    </row>
    <row r="2174" spans="2:4" x14ac:dyDescent="0.15">
      <c r="B2174" s="69"/>
      <c r="C2174" s="70"/>
      <c r="D2174" s="71"/>
    </row>
    <row r="2175" spans="2:4" x14ac:dyDescent="0.15">
      <c r="B2175" s="69"/>
      <c r="C2175" s="70"/>
      <c r="D2175" s="71"/>
    </row>
    <row r="2176" spans="2:4" x14ac:dyDescent="0.15">
      <c r="B2176" s="69"/>
      <c r="C2176" s="70"/>
      <c r="D2176" s="71"/>
    </row>
    <row r="2177" spans="2:4" x14ac:dyDescent="0.15">
      <c r="B2177" s="69"/>
      <c r="C2177" s="70"/>
      <c r="D2177" s="71"/>
    </row>
    <row r="2178" spans="2:4" x14ac:dyDescent="0.15">
      <c r="B2178" s="69"/>
      <c r="C2178" s="70"/>
      <c r="D2178" s="71"/>
    </row>
    <row r="2179" spans="2:4" x14ac:dyDescent="0.15">
      <c r="B2179" s="69"/>
      <c r="C2179" s="70"/>
      <c r="D2179" s="71"/>
    </row>
    <row r="2180" spans="2:4" x14ac:dyDescent="0.15">
      <c r="B2180" s="69"/>
      <c r="C2180" s="70"/>
      <c r="D2180" s="71"/>
    </row>
    <row r="2181" spans="2:4" x14ac:dyDescent="0.15">
      <c r="B2181" s="69"/>
      <c r="C2181" s="70"/>
      <c r="D2181" s="71"/>
    </row>
    <row r="2182" spans="2:4" x14ac:dyDescent="0.15">
      <c r="B2182" s="69"/>
      <c r="C2182" s="70"/>
      <c r="D2182" s="71"/>
    </row>
    <row r="2183" spans="2:4" x14ac:dyDescent="0.15">
      <c r="B2183" s="69"/>
      <c r="C2183" s="70"/>
      <c r="D2183" s="71"/>
    </row>
    <row r="2184" spans="2:4" x14ac:dyDescent="0.15">
      <c r="B2184" s="69"/>
      <c r="C2184" s="70"/>
      <c r="D2184" s="71"/>
    </row>
    <row r="2185" spans="2:4" x14ac:dyDescent="0.15">
      <c r="B2185" s="69"/>
      <c r="C2185" s="70"/>
      <c r="D2185" s="71"/>
    </row>
    <row r="2186" spans="2:4" x14ac:dyDescent="0.15">
      <c r="B2186" s="69"/>
      <c r="C2186" s="70"/>
      <c r="D2186" s="71"/>
    </row>
    <row r="2187" spans="2:4" x14ac:dyDescent="0.15">
      <c r="B2187" s="69"/>
      <c r="C2187" s="70"/>
      <c r="D2187" s="71"/>
    </row>
    <row r="2188" spans="2:4" x14ac:dyDescent="0.15">
      <c r="B2188" s="69"/>
      <c r="C2188" s="70"/>
      <c r="D2188" s="71"/>
    </row>
    <row r="2189" spans="2:4" x14ac:dyDescent="0.15">
      <c r="B2189" s="69"/>
      <c r="C2189" s="70"/>
      <c r="D2189" s="71"/>
    </row>
    <row r="2190" spans="2:4" x14ac:dyDescent="0.15">
      <c r="B2190" s="69"/>
      <c r="C2190" s="70"/>
      <c r="D2190" s="71"/>
    </row>
    <row r="2191" spans="2:4" x14ac:dyDescent="0.15">
      <c r="B2191" s="69"/>
      <c r="C2191" s="70"/>
      <c r="D2191" s="71"/>
    </row>
    <row r="2192" spans="2:4" x14ac:dyDescent="0.15">
      <c r="B2192" s="69"/>
      <c r="C2192" s="70"/>
      <c r="D2192" s="71"/>
    </row>
    <row r="2193" spans="2:4" x14ac:dyDescent="0.15">
      <c r="B2193" s="69"/>
      <c r="C2193" s="70"/>
      <c r="D2193" s="71"/>
    </row>
    <row r="2194" spans="2:4" x14ac:dyDescent="0.15">
      <c r="B2194" s="69"/>
      <c r="C2194" s="70"/>
      <c r="D2194" s="71"/>
    </row>
    <row r="2195" spans="2:4" x14ac:dyDescent="0.15">
      <c r="B2195" s="69"/>
      <c r="C2195" s="70"/>
      <c r="D2195" s="71"/>
    </row>
    <row r="2196" spans="2:4" x14ac:dyDescent="0.15">
      <c r="B2196" s="69"/>
      <c r="C2196" s="70"/>
      <c r="D2196" s="71"/>
    </row>
    <row r="2197" spans="2:4" x14ac:dyDescent="0.15">
      <c r="B2197" s="69"/>
      <c r="C2197" s="70"/>
      <c r="D2197" s="71"/>
    </row>
    <row r="2198" spans="2:4" x14ac:dyDescent="0.15">
      <c r="B2198" s="69"/>
      <c r="C2198" s="70"/>
      <c r="D2198" s="71"/>
    </row>
    <row r="2199" spans="2:4" x14ac:dyDescent="0.15">
      <c r="B2199" s="69"/>
      <c r="C2199" s="70"/>
      <c r="D2199" s="71"/>
    </row>
    <row r="2200" spans="2:4" x14ac:dyDescent="0.15">
      <c r="B2200" s="69"/>
      <c r="C2200" s="70"/>
      <c r="D2200" s="71"/>
    </row>
    <row r="2201" spans="2:4" x14ac:dyDescent="0.15">
      <c r="B2201" s="69"/>
      <c r="C2201" s="70"/>
      <c r="D2201" s="71"/>
    </row>
    <row r="2202" spans="2:4" x14ac:dyDescent="0.15">
      <c r="B2202" s="69"/>
      <c r="C2202" s="70"/>
      <c r="D2202" s="71"/>
    </row>
    <row r="2203" spans="2:4" x14ac:dyDescent="0.15">
      <c r="B2203" s="69"/>
      <c r="C2203" s="70"/>
      <c r="D2203" s="71"/>
    </row>
    <row r="2204" spans="2:4" x14ac:dyDescent="0.15">
      <c r="B2204" s="69"/>
      <c r="C2204" s="70"/>
      <c r="D2204" s="71"/>
    </row>
    <row r="2205" spans="2:4" x14ac:dyDescent="0.15">
      <c r="B2205" s="69"/>
      <c r="C2205" s="70"/>
      <c r="D2205" s="71"/>
    </row>
    <row r="2206" spans="2:4" x14ac:dyDescent="0.15">
      <c r="B2206" s="69"/>
      <c r="C2206" s="70"/>
      <c r="D2206" s="71"/>
    </row>
    <row r="2207" spans="2:4" x14ac:dyDescent="0.15">
      <c r="B2207" s="69"/>
      <c r="C2207" s="70"/>
      <c r="D2207" s="71"/>
    </row>
    <row r="2208" spans="2:4" x14ac:dyDescent="0.15">
      <c r="B2208" s="69"/>
      <c r="C2208" s="70"/>
      <c r="D2208" s="71"/>
    </row>
    <row r="2209" spans="2:4" x14ac:dyDescent="0.15">
      <c r="B2209" s="69"/>
      <c r="C2209" s="70"/>
      <c r="D2209" s="71"/>
    </row>
    <row r="2210" spans="2:4" x14ac:dyDescent="0.15">
      <c r="B2210" s="69"/>
      <c r="C2210" s="70"/>
      <c r="D2210" s="71"/>
    </row>
    <row r="2211" spans="2:4" x14ac:dyDescent="0.15">
      <c r="B2211" s="69"/>
      <c r="C2211" s="70"/>
      <c r="D2211" s="71"/>
    </row>
    <row r="2212" spans="2:4" x14ac:dyDescent="0.15">
      <c r="B2212" s="69"/>
      <c r="C2212" s="70"/>
      <c r="D2212" s="71"/>
    </row>
    <row r="2213" spans="2:4" x14ac:dyDescent="0.15">
      <c r="B2213" s="69"/>
      <c r="C2213" s="70"/>
      <c r="D2213" s="71"/>
    </row>
    <row r="2214" spans="2:4" x14ac:dyDescent="0.15">
      <c r="B2214" s="69"/>
      <c r="C2214" s="70"/>
      <c r="D2214" s="71"/>
    </row>
    <row r="2215" spans="2:4" x14ac:dyDescent="0.15">
      <c r="B2215" s="69"/>
      <c r="C2215" s="70"/>
      <c r="D2215" s="71"/>
    </row>
    <row r="2216" spans="2:4" x14ac:dyDescent="0.15">
      <c r="B2216" s="69"/>
      <c r="C2216" s="70"/>
      <c r="D2216" s="71"/>
    </row>
    <row r="2217" spans="2:4" x14ac:dyDescent="0.15">
      <c r="B2217" s="69"/>
      <c r="C2217" s="70"/>
      <c r="D2217" s="71"/>
    </row>
    <row r="2218" spans="2:4" x14ac:dyDescent="0.15">
      <c r="B2218" s="69"/>
      <c r="C2218" s="70"/>
      <c r="D2218" s="71"/>
    </row>
    <row r="2219" spans="2:4" x14ac:dyDescent="0.15">
      <c r="B2219" s="69"/>
      <c r="C2219" s="70"/>
      <c r="D2219" s="71"/>
    </row>
    <row r="2220" spans="2:4" x14ac:dyDescent="0.15">
      <c r="B2220" s="69"/>
      <c r="C2220" s="70"/>
      <c r="D2220" s="71"/>
    </row>
    <row r="2221" spans="2:4" x14ac:dyDescent="0.15">
      <c r="B2221" s="69"/>
      <c r="C2221" s="70"/>
      <c r="D2221" s="71"/>
    </row>
    <row r="2222" spans="2:4" x14ac:dyDescent="0.15">
      <c r="B2222" s="69"/>
      <c r="C2222" s="70"/>
      <c r="D2222" s="71"/>
    </row>
    <row r="2223" spans="2:4" x14ac:dyDescent="0.15">
      <c r="B2223" s="69"/>
      <c r="C2223" s="70"/>
      <c r="D2223" s="71"/>
    </row>
    <row r="2224" spans="2:4" x14ac:dyDescent="0.15">
      <c r="B2224" s="69"/>
      <c r="C2224" s="70"/>
      <c r="D2224" s="71"/>
    </row>
    <row r="2225" spans="2:4" x14ac:dyDescent="0.15">
      <c r="B2225" s="69"/>
      <c r="C2225" s="70"/>
      <c r="D2225" s="71"/>
    </row>
    <row r="2226" spans="2:4" x14ac:dyDescent="0.15">
      <c r="B2226" s="69"/>
      <c r="C2226" s="70"/>
      <c r="D2226" s="71"/>
    </row>
    <row r="2227" spans="2:4" x14ac:dyDescent="0.15">
      <c r="B2227" s="69"/>
      <c r="C2227" s="70"/>
      <c r="D2227" s="71"/>
    </row>
    <row r="2228" spans="2:4" x14ac:dyDescent="0.15">
      <c r="B2228" s="69"/>
      <c r="C2228" s="70"/>
      <c r="D2228" s="71"/>
    </row>
    <row r="2229" spans="2:4" x14ac:dyDescent="0.15">
      <c r="B2229" s="69"/>
      <c r="C2229" s="70"/>
      <c r="D2229" s="71"/>
    </row>
    <row r="2230" spans="2:4" x14ac:dyDescent="0.15">
      <c r="B2230" s="69"/>
      <c r="C2230" s="70"/>
      <c r="D2230" s="71"/>
    </row>
    <row r="2231" spans="2:4" x14ac:dyDescent="0.15">
      <c r="B2231" s="69"/>
      <c r="C2231" s="70"/>
      <c r="D2231" s="71"/>
    </row>
    <row r="2232" spans="2:4" x14ac:dyDescent="0.15">
      <c r="B2232" s="69"/>
      <c r="C2232" s="70"/>
      <c r="D2232" s="71"/>
    </row>
    <row r="2233" spans="2:4" x14ac:dyDescent="0.15">
      <c r="B2233" s="69"/>
      <c r="C2233" s="70"/>
      <c r="D2233" s="71"/>
    </row>
    <row r="2234" spans="2:4" x14ac:dyDescent="0.15">
      <c r="B2234" s="69"/>
      <c r="C2234" s="70"/>
      <c r="D2234" s="71"/>
    </row>
    <row r="2235" spans="2:4" x14ac:dyDescent="0.15">
      <c r="B2235" s="69"/>
      <c r="C2235" s="70"/>
      <c r="D2235" s="71"/>
    </row>
    <row r="2236" spans="2:4" x14ac:dyDescent="0.15">
      <c r="B2236" s="69"/>
      <c r="C2236" s="70"/>
      <c r="D2236" s="71"/>
    </row>
    <row r="2237" spans="2:4" x14ac:dyDescent="0.15">
      <c r="B2237" s="69"/>
      <c r="C2237" s="70"/>
      <c r="D2237" s="71"/>
    </row>
    <row r="2238" spans="2:4" x14ac:dyDescent="0.15">
      <c r="B2238" s="69"/>
      <c r="C2238" s="70"/>
      <c r="D2238" s="71"/>
    </row>
    <row r="2239" spans="2:4" x14ac:dyDescent="0.15">
      <c r="B2239" s="69"/>
      <c r="C2239" s="70"/>
      <c r="D2239" s="71"/>
    </row>
    <row r="2240" spans="2:4" x14ac:dyDescent="0.15">
      <c r="B2240" s="69"/>
      <c r="C2240" s="70"/>
      <c r="D2240" s="71"/>
    </row>
    <row r="2241" spans="2:4" x14ac:dyDescent="0.15">
      <c r="B2241" s="69"/>
      <c r="C2241" s="70"/>
      <c r="D2241" s="71"/>
    </row>
    <row r="2242" spans="2:4" x14ac:dyDescent="0.15">
      <c r="B2242" s="69"/>
      <c r="C2242" s="70"/>
      <c r="D2242" s="71"/>
    </row>
    <row r="2243" spans="2:4" x14ac:dyDescent="0.15">
      <c r="B2243" s="69"/>
      <c r="C2243" s="70"/>
      <c r="D2243" s="71"/>
    </row>
    <row r="2244" spans="2:4" x14ac:dyDescent="0.15">
      <c r="B2244" s="69"/>
      <c r="C2244" s="70"/>
      <c r="D2244" s="71"/>
    </row>
    <row r="2245" spans="2:4" x14ac:dyDescent="0.15">
      <c r="B2245" s="69"/>
      <c r="C2245" s="70"/>
      <c r="D2245" s="71"/>
    </row>
    <row r="2246" spans="2:4" x14ac:dyDescent="0.15">
      <c r="B2246" s="69"/>
      <c r="C2246" s="70"/>
      <c r="D2246" s="71"/>
    </row>
    <row r="2247" spans="2:4" x14ac:dyDescent="0.15">
      <c r="B2247" s="69"/>
      <c r="C2247" s="70"/>
      <c r="D2247" s="71"/>
    </row>
    <row r="2248" spans="2:4" x14ac:dyDescent="0.15">
      <c r="B2248" s="69"/>
      <c r="C2248" s="70"/>
      <c r="D2248" s="71"/>
    </row>
    <row r="2249" spans="2:4" x14ac:dyDescent="0.15">
      <c r="B2249" s="69"/>
      <c r="C2249" s="70"/>
      <c r="D2249" s="71"/>
    </row>
    <row r="2250" spans="2:4" x14ac:dyDescent="0.15">
      <c r="B2250" s="69"/>
      <c r="C2250" s="70"/>
      <c r="D2250" s="71"/>
    </row>
    <row r="2251" spans="2:4" x14ac:dyDescent="0.15">
      <c r="B2251" s="69"/>
      <c r="C2251" s="70"/>
      <c r="D2251" s="71"/>
    </row>
    <row r="2252" spans="2:4" x14ac:dyDescent="0.15">
      <c r="B2252" s="69"/>
      <c r="C2252" s="70"/>
      <c r="D2252" s="71"/>
    </row>
    <row r="2253" spans="2:4" x14ac:dyDescent="0.15">
      <c r="B2253" s="69"/>
      <c r="C2253" s="70"/>
      <c r="D2253" s="71"/>
    </row>
    <row r="2254" spans="2:4" x14ac:dyDescent="0.15">
      <c r="B2254" s="69"/>
      <c r="C2254" s="70"/>
      <c r="D2254" s="71"/>
    </row>
    <row r="2255" spans="2:4" x14ac:dyDescent="0.15">
      <c r="B2255" s="69"/>
      <c r="C2255" s="70"/>
      <c r="D2255" s="71"/>
    </row>
    <row r="2256" spans="2:4" x14ac:dyDescent="0.15">
      <c r="B2256" s="69"/>
      <c r="C2256" s="70"/>
      <c r="D2256" s="71"/>
    </row>
    <row r="2257" spans="2:4" x14ac:dyDescent="0.15">
      <c r="B2257" s="69"/>
      <c r="C2257" s="70"/>
      <c r="D2257" s="71"/>
    </row>
    <row r="2258" spans="2:4" x14ac:dyDescent="0.15">
      <c r="B2258" s="69"/>
      <c r="C2258" s="70"/>
      <c r="D2258" s="71"/>
    </row>
    <row r="2259" spans="2:4" x14ac:dyDescent="0.15">
      <c r="B2259" s="69"/>
      <c r="C2259" s="70"/>
      <c r="D2259" s="71"/>
    </row>
    <row r="2260" spans="2:4" x14ac:dyDescent="0.15">
      <c r="B2260" s="69"/>
      <c r="C2260" s="70"/>
      <c r="D2260" s="71"/>
    </row>
    <row r="2261" spans="2:4" x14ac:dyDescent="0.15">
      <c r="B2261" s="69"/>
      <c r="C2261" s="70"/>
      <c r="D2261" s="71"/>
    </row>
    <row r="2262" spans="2:4" x14ac:dyDescent="0.15">
      <c r="B2262" s="69"/>
      <c r="C2262" s="70"/>
      <c r="D2262" s="71"/>
    </row>
    <row r="2263" spans="2:4" x14ac:dyDescent="0.15">
      <c r="B2263" s="69"/>
      <c r="C2263" s="70"/>
      <c r="D2263" s="71"/>
    </row>
    <row r="2264" spans="2:4" x14ac:dyDescent="0.15">
      <c r="B2264" s="69"/>
      <c r="C2264" s="70"/>
      <c r="D2264" s="71"/>
    </row>
    <row r="2265" spans="2:4" x14ac:dyDescent="0.15">
      <c r="B2265" s="69"/>
      <c r="C2265" s="70"/>
      <c r="D2265" s="71"/>
    </row>
    <row r="2266" spans="2:4" x14ac:dyDescent="0.15">
      <c r="B2266" s="69"/>
      <c r="C2266" s="70"/>
      <c r="D2266" s="71"/>
    </row>
    <row r="2267" spans="2:4" x14ac:dyDescent="0.15">
      <c r="B2267" s="69"/>
      <c r="C2267" s="70"/>
      <c r="D2267" s="71"/>
    </row>
    <row r="2268" spans="2:4" x14ac:dyDescent="0.15">
      <c r="B2268" s="69"/>
      <c r="C2268" s="70"/>
      <c r="D2268" s="71"/>
    </row>
    <row r="2269" spans="2:4" x14ac:dyDescent="0.15">
      <c r="B2269" s="69"/>
      <c r="C2269" s="70"/>
      <c r="D2269" s="71"/>
    </row>
    <row r="2270" spans="2:4" x14ac:dyDescent="0.15">
      <c r="B2270" s="69"/>
      <c r="C2270" s="70"/>
      <c r="D2270" s="71"/>
    </row>
    <row r="2271" spans="2:4" x14ac:dyDescent="0.15">
      <c r="B2271" s="69"/>
      <c r="C2271" s="70"/>
      <c r="D2271" s="71"/>
    </row>
    <row r="2272" spans="2:4" x14ac:dyDescent="0.15">
      <c r="B2272" s="69"/>
      <c r="C2272" s="70"/>
      <c r="D2272" s="71"/>
    </row>
    <row r="2273" spans="2:4" x14ac:dyDescent="0.15">
      <c r="B2273" s="69"/>
      <c r="C2273" s="70"/>
      <c r="D2273" s="71"/>
    </row>
    <row r="2274" spans="2:4" x14ac:dyDescent="0.15">
      <c r="B2274" s="69"/>
      <c r="C2274" s="70"/>
      <c r="D2274" s="71"/>
    </row>
    <row r="2275" spans="2:4" x14ac:dyDescent="0.15">
      <c r="B2275" s="69"/>
      <c r="C2275" s="70"/>
      <c r="D2275" s="71"/>
    </row>
    <row r="2276" spans="2:4" x14ac:dyDescent="0.15">
      <c r="B2276" s="69"/>
      <c r="C2276" s="70"/>
      <c r="D2276" s="71"/>
    </row>
    <row r="2277" spans="2:4" x14ac:dyDescent="0.15">
      <c r="B2277" s="69"/>
      <c r="C2277" s="70"/>
      <c r="D2277" s="71"/>
    </row>
    <row r="2278" spans="2:4" x14ac:dyDescent="0.15">
      <c r="B2278" s="69"/>
      <c r="C2278" s="70"/>
      <c r="D2278" s="71"/>
    </row>
    <row r="2279" spans="2:4" x14ac:dyDescent="0.15">
      <c r="B2279" s="69"/>
      <c r="C2279" s="70"/>
      <c r="D2279" s="71"/>
    </row>
    <row r="2280" spans="2:4" x14ac:dyDescent="0.15">
      <c r="B2280" s="69"/>
      <c r="C2280" s="70"/>
      <c r="D2280" s="71"/>
    </row>
    <row r="2281" spans="2:4" x14ac:dyDescent="0.15">
      <c r="B2281" s="69"/>
      <c r="C2281" s="70"/>
      <c r="D2281" s="71"/>
    </row>
    <row r="2282" spans="2:4" x14ac:dyDescent="0.15">
      <c r="B2282" s="69"/>
      <c r="C2282" s="70"/>
      <c r="D2282" s="71"/>
    </row>
    <row r="2283" spans="2:4" x14ac:dyDescent="0.15">
      <c r="B2283" s="69"/>
      <c r="C2283" s="70"/>
      <c r="D2283" s="71"/>
    </row>
    <row r="2284" spans="2:4" x14ac:dyDescent="0.15">
      <c r="B2284" s="69"/>
      <c r="C2284" s="70"/>
      <c r="D2284" s="71"/>
    </row>
    <row r="2285" spans="2:4" x14ac:dyDescent="0.15">
      <c r="B2285" s="69"/>
      <c r="C2285" s="70"/>
      <c r="D2285" s="71"/>
    </row>
    <row r="2286" spans="2:4" x14ac:dyDescent="0.15">
      <c r="B2286" s="69"/>
      <c r="C2286" s="70"/>
      <c r="D2286" s="71"/>
    </row>
    <row r="2287" spans="2:4" x14ac:dyDescent="0.15">
      <c r="B2287" s="69"/>
      <c r="C2287" s="70"/>
      <c r="D2287" s="71"/>
    </row>
    <row r="2288" spans="2:4" x14ac:dyDescent="0.15">
      <c r="B2288" s="69"/>
      <c r="C2288" s="70"/>
      <c r="D2288" s="71"/>
    </row>
    <row r="2289" spans="2:4" x14ac:dyDescent="0.15">
      <c r="B2289" s="69"/>
      <c r="C2289" s="70"/>
      <c r="D2289" s="71"/>
    </row>
    <row r="2290" spans="2:4" x14ac:dyDescent="0.15">
      <c r="B2290" s="69"/>
      <c r="C2290" s="70"/>
      <c r="D2290" s="71"/>
    </row>
    <row r="2291" spans="2:4" x14ac:dyDescent="0.15">
      <c r="B2291" s="69"/>
      <c r="C2291" s="70"/>
      <c r="D2291" s="71"/>
    </row>
    <row r="2292" spans="2:4" x14ac:dyDescent="0.15">
      <c r="B2292" s="69"/>
      <c r="C2292" s="70"/>
      <c r="D2292" s="71"/>
    </row>
    <row r="2293" spans="2:4" x14ac:dyDescent="0.15">
      <c r="B2293" s="69"/>
      <c r="C2293" s="70"/>
      <c r="D2293" s="71"/>
    </row>
    <row r="2294" spans="2:4" x14ac:dyDescent="0.15">
      <c r="B2294" s="69"/>
      <c r="C2294" s="70"/>
      <c r="D2294" s="71"/>
    </row>
    <row r="2295" spans="2:4" x14ac:dyDescent="0.15">
      <c r="B2295" s="69"/>
      <c r="C2295" s="70"/>
      <c r="D2295" s="71"/>
    </row>
    <row r="2296" spans="2:4" x14ac:dyDescent="0.15">
      <c r="B2296" s="69"/>
      <c r="C2296" s="70"/>
      <c r="D2296" s="71"/>
    </row>
    <row r="2297" spans="2:4" x14ac:dyDescent="0.15">
      <c r="B2297" s="69"/>
      <c r="C2297" s="70"/>
      <c r="D2297" s="71"/>
    </row>
    <row r="2298" spans="2:4" x14ac:dyDescent="0.15">
      <c r="B2298" s="69"/>
      <c r="C2298" s="70"/>
      <c r="D2298" s="71"/>
    </row>
    <row r="2299" spans="2:4" x14ac:dyDescent="0.15">
      <c r="B2299" s="69"/>
      <c r="C2299" s="70"/>
      <c r="D2299" s="71"/>
    </row>
    <row r="2300" spans="2:4" x14ac:dyDescent="0.15">
      <c r="B2300" s="69"/>
      <c r="C2300" s="70"/>
      <c r="D2300" s="71"/>
    </row>
    <row r="2301" spans="2:4" x14ac:dyDescent="0.15">
      <c r="B2301" s="69"/>
      <c r="C2301" s="70"/>
      <c r="D2301" s="71"/>
    </row>
    <row r="2302" spans="2:4" x14ac:dyDescent="0.15">
      <c r="B2302" s="69"/>
      <c r="C2302" s="70"/>
      <c r="D2302" s="71"/>
    </row>
    <row r="2303" spans="2:4" x14ac:dyDescent="0.15">
      <c r="B2303" s="69"/>
      <c r="C2303" s="70"/>
      <c r="D2303" s="71"/>
    </row>
    <row r="2304" spans="2:4" x14ac:dyDescent="0.15">
      <c r="B2304" s="69"/>
      <c r="C2304" s="70"/>
      <c r="D2304" s="71"/>
    </row>
    <row r="2305" spans="2:4" x14ac:dyDescent="0.15">
      <c r="B2305" s="69"/>
      <c r="C2305" s="70"/>
      <c r="D2305" s="71"/>
    </row>
    <row r="2306" spans="2:4" x14ac:dyDescent="0.15">
      <c r="B2306" s="69"/>
      <c r="C2306" s="70"/>
      <c r="D2306" s="71"/>
    </row>
    <row r="2307" spans="2:4" x14ac:dyDescent="0.15">
      <c r="B2307" s="69"/>
      <c r="C2307" s="70"/>
      <c r="D2307" s="71"/>
    </row>
    <row r="2308" spans="2:4" x14ac:dyDescent="0.15">
      <c r="B2308" s="69"/>
      <c r="C2308" s="70"/>
      <c r="D2308" s="71"/>
    </row>
    <row r="2309" spans="2:4" x14ac:dyDescent="0.15">
      <c r="B2309" s="69"/>
      <c r="C2309" s="70"/>
      <c r="D2309" s="71"/>
    </row>
    <row r="2310" spans="2:4" x14ac:dyDescent="0.15">
      <c r="B2310" s="69"/>
      <c r="C2310" s="70"/>
      <c r="D2310" s="71"/>
    </row>
    <row r="2311" spans="2:4" x14ac:dyDescent="0.15">
      <c r="B2311" s="69"/>
      <c r="C2311" s="70"/>
      <c r="D2311" s="71"/>
    </row>
    <row r="2312" spans="2:4" x14ac:dyDescent="0.15">
      <c r="B2312" s="69"/>
      <c r="C2312" s="70"/>
      <c r="D2312" s="71"/>
    </row>
    <row r="2313" spans="2:4" x14ac:dyDescent="0.15">
      <c r="B2313" s="69"/>
      <c r="C2313" s="70"/>
      <c r="D2313" s="71"/>
    </row>
    <row r="2314" spans="2:4" x14ac:dyDescent="0.15">
      <c r="B2314" s="69"/>
      <c r="C2314" s="70"/>
      <c r="D2314" s="71"/>
    </row>
    <row r="2315" spans="2:4" x14ac:dyDescent="0.15">
      <c r="B2315" s="69"/>
      <c r="C2315" s="70"/>
      <c r="D2315" s="71"/>
    </row>
    <row r="2316" spans="2:4" x14ac:dyDescent="0.15">
      <c r="B2316" s="69"/>
      <c r="C2316" s="70"/>
      <c r="D2316" s="71"/>
    </row>
    <row r="2317" spans="2:4" x14ac:dyDescent="0.15">
      <c r="B2317" s="69"/>
      <c r="C2317" s="70"/>
      <c r="D2317" s="71"/>
    </row>
    <row r="2318" spans="2:4" x14ac:dyDescent="0.15">
      <c r="B2318" s="69"/>
      <c r="C2318" s="70"/>
      <c r="D2318" s="71"/>
    </row>
    <row r="2319" spans="2:4" x14ac:dyDescent="0.15">
      <c r="B2319" s="69"/>
      <c r="C2319" s="70"/>
      <c r="D2319" s="71"/>
    </row>
    <row r="2320" spans="2:4" x14ac:dyDescent="0.15">
      <c r="B2320" s="69"/>
      <c r="C2320" s="70"/>
      <c r="D2320" s="71"/>
    </row>
    <row r="2321" spans="2:4" x14ac:dyDescent="0.15">
      <c r="B2321" s="69"/>
      <c r="C2321" s="70"/>
      <c r="D2321" s="71"/>
    </row>
    <row r="2322" spans="2:4" x14ac:dyDescent="0.15">
      <c r="B2322" s="69"/>
      <c r="C2322" s="70"/>
      <c r="D2322" s="71"/>
    </row>
    <row r="2323" spans="2:4" x14ac:dyDescent="0.15">
      <c r="B2323" s="69"/>
      <c r="C2323" s="70"/>
      <c r="D2323" s="71"/>
    </row>
    <row r="2324" spans="2:4" x14ac:dyDescent="0.15">
      <c r="B2324" s="69"/>
      <c r="C2324" s="70"/>
      <c r="D2324" s="71"/>
    </row>
    <row r="2325" spans="2:4" x14ac:dyDescent="0.15">
      <c r="B2325" s="69"/>
      <c r="C2325" s="70"/>
      <c r="D2325" s="71"/>
    </row>
    <row r="2326" spans="2:4" x14ac:dyDescent="0.15">
      <c r="B2326" s="69"/>
      <c r="C2326" s="70"/>
      <c r="D2326" s="71"/>
    </row>
    <row r="2327" spans="2:4" x14ac:dyDescent="0.15">
      <c r="B2327" s="69"/>
      <c r="C2327" s="70"/>
      <c r="D2327" s="71"/>
    </row>
    <row r="2328" spans="2:4" x14ac:dyDescent="0.15">
      <c r="B2328" s="69"/>
      <c r="C2328" s="70"/>
      <c r="D2328" s="71"/>
    </row>
    <row r="2329" spans="2:4" x14ac:dyDescent="0.15">
      <c r="B2329" s="69"/>
      <c r="C2329" s="70"/>
      <c r="D2329" s="71"/>
    </row>
    <row r="2330" spans="2:4" x14ac:dyDescent="0.15">
      <c r="B2330" s="69"/>
      <c r="C2330" s="70"/>
      <c r="D2330" s="71"/>
    </row>
    <row r="2331" spans="2:4" x14ac:dyDescent="0.15">
      <c r="B2331" s="69"/>
      <c r="C2331" s="70"/>
      <c r="D2331" s="71"/>
    </row>
    <row r="2332" spans="2:4" x14ac:dyDescent="0.15">
      <c r="B2332" s="69"/>
      <c r="C2332" s="70"/>
      <c r="D2332" s="71"/>
    </row>
    <row r="2333" spans="2:4" x14ac:dyDescent="0.15">
      <c r="B2333" s="69"/>
      <c r="C2333" s="70"/>
      <c r="D2333" s="71"/>
    </row>
    <row r="2334" spans="2:4" x14ac:dyDescent="0.15">
      <c r="B2334" s="69"/>
      <c r="C2334" s="70"/>
      <c r="D2334" s="71"/>
    </row>
    <row r="2335" spans="2:4" x14ac:dyDescent="0.15">
      <c r="B2335" s="69"/>
      <c r="C2335" s="70"/>
      <c r="D2335" s="71"/>
    </row>
    <row r="2336" spans="2:4" x14ac:dyDescent="0.15">
      <c r="B2336" s="69"/>
      <c r="C2336" s="70"/>
      <c r="D2336" s="71"/>
    </row>
    <row r="2337" spans="2:4" x14ac:dyDescent="0.15">
      <c r="B2337" s="69"/>
      <c r="C2337" s="70"/>
      <c r="D2337" s="71"/>
    </row>
    <row r="2338" spans="2:4" x14ac:dyDescent="0.15">
      <c r="B2338" s="69"/>
      <c r="C2338" s="70"/>
      <c r="D2338" s="71"/>
    </row>
    <row r="2339" spans="2:4" x14ac:dyDescent="0.15">
      <c r="B2339" s="69"/>
      <c r="C2339" s="70"/>
      <c r="D2339" s="71"/>
    </row>
    <row r="2340" spans="2:4" x14ac:dyDescent="0.15">
      <c r="B2340" s="69"/>
      <c r="C2340" s="70"/>
      <c r="D2340" s="71"/>
    </row>
    <row r="2341" spans="2:4" x14ac:dyDescent="0.15">
      <c r="B2341" s="69"/>
      <c r="C2341" s="70"/>
      <c r="D2341" s="71"/>
    </row>
    <row r="2342" spans="2:4" x14ac:dyDescent="0.15">
      <c r="B2342" s="69"/>
      <c r="C2342" s="70"/>
      <c r="D2342" s="71"/>
    </row>
    <row r="2343" spans="2:4" x14ac:dyDescent="0.15">
      <c r="B2343" s="69"/>
      <c r="C2343" s="70"/>
      <c r="D2343" s="71"/>
    </row>
    <row r="2344" spans="2:4" x14ac:dyDescent="0.15">
      <c r="B2344" s="69"/>
      <c r="C2344" s="70"/>
      <c r="D2344" s="71"/>
    </row>
    <row r="2345" spans="2:4" x14ac:dyDescent="0.15">
      <c r="B2345" s="69"/>
      <c r="C2345" s="70"/>
      <c r="D2345" s="71"/>
    </row>
    <row r="2346" spans="2:4" x14ac:dyDescent="0.15">
      <c r="B2346" s="69"/>
      <c r="C2346" s="70"/>
      <c r="D2346" s="71"/>
    </row>
    <row r="2347" spans="2:4" x14ac:dyDescent="0.15">
      <c r="B2347" s="69"/>
      <c r="C2347" s="70"/>
      <c r="D2347" s="71"/>
    </row>
    <row r="2348" spans="2:4" x14ac:dyDescent="0.15">
      <c r="B2348" s="69"/>
      <c r="C2348" s="70"/>
      <c r="D2348" s="71"/>
    </row>
    <row r="2349" spans="2:4" x14ac:dyDescent="0.15">
      <c r="B2349" s="69"/>
      <c r="C2349" s="70"/>
      <c r="D2349" s="71"/>
    </row>
    <row r="2350" spans="2:4" x14ac:dyDescent="0.15">
      <c r="B2350" s="69"/>
      <c r="C2350" s="70"/>
      <c r="D2350" s="71"/>
    </row>
    <row r="2351" spans="2:4" x14ac:dyDescent="0.15">
      <c r="B2351" s="69"/>
      <c r="C2351" s="70"/>
      <c r="D2351" s="71"/>
    </row>
    <row r="2352" spans="2:4" x14ac:dyDescent="0.15">
      <c r="B2352" s="69"/>
      <c r="C2352" s="70"/>
      <c r="D2352" s="71"/>
    </row>
    <row r="2353" spans="2:4" x14ac:dyDescent="0.15">
      <c r="B2353" s="69"/>
      <c r="C2353" s="70"/>
      <c r="D2353" s="71"/>
    </row>
    <row r="2354" spans="2:4" x14ac:dyDescent="0.15">
      <c r="B2354" s="69"/>
      <c r="C2354" s="70"/>
      <c r="D2354" s="71"/>
    </row>
    <row r="2355" spans="2:4" x14ac:dyDescent="0.15">
      <c r="B2355" s="69"/>
      <c r="C2355" s="70"/>
      <c r="D2355" s="71"/>
    </row>
    <row r="2356" spans="2:4" x14ac:dyDescent="0.15">
      <c r="B2356" s="69"/>
      <c r="C2356" s="70"/>
      <c r="D2356" s="71"/>
    </row>
    <row r="2357" spans="2:4" x14ac:dyDescent="0.15">
      <c r="B2357" s="69"/>
      <c r="C2357" s="70"/>
      <c r="D2357" s="71"/>
    </row>
    <row r="2358" spans="2:4" x14ac:dyDescent="0.15">
      <c r="B2358" s="69"/>
      <c r="C2358" s="70"/>
      <c r="D2358" s="71"/>
    </row>
    <row r="2359" spans="2:4" x14ac:dyDescent="0.15">
      <c r="B2359" s="69"/>
      <c r="C2359" s="70"/>
      <c r="D2359" s="71"/>
    </row>
    <row r="2360" spans="2:4" x14ac:dyDescent="0.15">
      <c r="B2360" s="69"/>
      <c r="C2360" s="70"/>
      <c r="D2360" s="71"/>
    </row>
    <row r="2361" spans="2:4" x14ac:dyDescent="0.15">
      <c r="B2361" s="69"/>
      <c r="C2361" s="70"/>
      <c r="D2361" s="71"/>
    </row>
    <row r="2362" spans="2:4" x14ac:dyDescent="0.15">
      <c r="B2362" s="69"/>
      <c r="C2362" s="70"/>
      <c r="D2362" s="71"/>
    </row>
    <row r="2363" spans="2:4" x14ac:dyDescent="0.15">
      <c r="B2363" s="69"/>
      <c r="C2363" s="70"/>
      <c r="D2363" s="71"/>
    </row>
    <row r="2364" spans="2:4" x14ac:dyDescent="0.15">
      <c r="B2364" s="69"/>
      <c r="C2364" s="70"/>
      <c r="D2364" s="71"/>
    </row>
    <row r="2365" spans="2:4" x14ac:dyDescent="0.15">
      <c r="B2365" s="69"/>
      <c r="C2365" s="70"/>
      <c r="D2365" s="71"/>
    </row>
    <row r="2366" spans="2:4" x14ac:dyDescent="0.15">
      <c r="B2366" s="69"/>
      <c r="C2366" s="70"/>
      <c r="D2366" s="71"/>
    </row>
    <row r="2367" spans="2:4" x14ac:dyDescent="0.15">
      <c r="B2367" s="69"/>
      <c r="C2367" s="70"/>
      <c r="D2367" s="71"/>
    </row>
    <row r="2368" spans="2:4" x14ac:dyDescent="0.15">
      <c r="B2368" s="69"/>
      <c r="C2368" s="70"/>
      <c r="D2368" s="71"/>
    </row>
    <row r="2369" spans="2:4" x14ac:dyDescent="0.15">
      <c r="B2369" s="69"/>
      <c r="C2369" s="70"/>
      <c r="D2369" s="71"/>
    </row>
    <row r="2370" spans="2:4" x14ac:dyDescent="0.15">
      <c r="B2370" s="69"/>
      <c r="C2370" s="70"/>
      <c r="D2370" s="71"/>
    </row>
    <row r="2371" spans="2:4" x14ac:dyDescent="0.15">
      <c r="B2371" s="69"/>
      <c r="C2371" s="70"/>
      <c r="D2371" s="71"/>
    </row>
    <row r="2372" spans="2:4" x14ac:dyDescent="0.15">
      <c r="B2372" s="69"/>
      <c r="C2372" s="70"/>
      <c r="D2372" s="71"/>
    </row>
    <row r="2373" spans="2:4" x14ac:dyDescent="0.15">
      <c r="B2373" s="69"/>
      <c r="C2373" s="70"/>
      <c r="D2373" s="71"/>
    </row>
    <row r="2374" spans="2:4" x14ac:dyDescent="0.15">
      <c r="B2374" s="69"/>
      <c r="C2374" s="70"/>
      <c r="D2374" s="71"/>
    </row>
    <row r="2375" spans="2:4" x14ac:dyDescent="0.15">
      <c r="B2375" s="69"/>
      <c r="C2375" s="70"/>
      <c r="D2375" s="71"/>
    </row>
    <row r="2376" spans="2:4" x14ac:dyDescent="0.15">
      <c r="B2376" s="69"/>
      <c r="C2376" s="70"/>
      <c r="D2376" s="71"/>
    </row>
    <row r="2377" spans="2:4" x14ac:dyDescent="0.15">
      <c r="B2377" s="69"/>
      <c r="C2377" s="70"/>
      <c r="D2377" s="71"/>
    </row>
    <row r="2378" spans="2:4" x14ac:dyDescent="0.15">
      <c r="B2378" s="69"/>
      <c r="C2378" s="70"/>
      <c r="D2378" s="71"/>
    </row>
    <row r="2379" spans="2:4" x14ac:dyDescent="0.15">
      <c r="B2379" s="69"/>
      <c r="C2379" s="70"/>
      <c r="D2379" s="71"/>
    </row>
    <row r="2380" spans="2:4" x14ac:dyDescent="0.15">
      <c r="B2380" s="69"/>
      <c r="C2380" s="70"/>
      <c r="D2380" s="71"/>
    </row>
    <row r="2381" spans="2:4" x14ac:dyDescent="0.15">
      <c r="B2381" s="69"/>
      <c r="C2381" s="70"/>
      <c r="D2381" s="71"/>
    </row>
    <row r="2382" spans="2:4" x14ac:dyDescent="0.15">
      <c r="B2382" s="69"/>
      <c r="C2382" s="70"/>
      <c r="D2382" s="71"/>
    </row>
    <row r="2383" spans="2:4" x14ac:dyDescent="0.15">
      <c r="B2383" s="69"/>
      <c r="C2383" s="70"/>
      <c r="D2383" s="71"/>
    </row>
    <row r="2384" spans="2:4" x14ac:dyDescent="0.15">
      <c r="B2384" s="69"/>
      <c r="C2384" s="70"/>
      <c r="D2384" s="71"/>
    </row>
    <row r="2385" spans="2:4" x14ac:dyDescent="0.15">
      <c r="B2385" s="69"/>
      <c r="C2385" s="70"/>
      <c r="D2385" s="71"/>
    </row>
    <row r="2386" spans="2:4" x14ac:dyDescent="0.15">
      <c r="B2386" s="69"/>
      <c r="C2386" s="70"/>
      <c r="D2386" s="71"/>
    </row>
    <row r="2387" spans="2:4" x14ac:dyDescent="0.15">
      <c r="B2387" s="69"/>
      <c r="C2387" s="70"/>
      <c r="D2387" s="71"/>
    </row>
    <row r="2388" spans="2:4" x14ac:dyDescent="0.15">
      <c r="B2388" s="69"/>
      <c r="C2388" s="70"/>
      <c r="D2388" s="71"/>
    </row>
    <row r="2389" spans="2:4" x14ac:dyDescent="0.15">
      <c r="B2389" s="69"/>
      <c r="C2389" s="70"/>
      <c r="D2389" s="71"/>
    </row>
    <row r="2390" spans="2:4" x14ac:dyDescent="0.15">
      <c r="B2390" s="69"/>
      <c r="C2390" s="70"/>
      <c r="D2390" s="71"/>
    </row>
    <row r="2391" spans="2:4" x14ac:dyDescent="0.15">
      <c r="B2391" s="69"/>
      <c r="C2391" s="70"/>
      <c r="D2391" s="71"/>
    </row>
    <row r="2392" spans="2:4" x14ac:dyDescent="0.15">
      <c r="B2392" s="69"/>
      <c r="C2392" s="70"/>
      <c r="D2392" s="71"/>
    </row>
    <row r="2393" spans="2:4" x14ac:dyDescent="0.15">
      <c r="B2393" s="69"/>
      <c r="C2393" s="70"/>
      <c r="D2393" s="71"/>
    </row>
    <row r="2394" spans="2:4" x14ac:dyDescent="0.15">
      <c r="B2394" s="69"/>
      <c r="C2394" s="70"/>
      <c r="D2394" s="71"/>
    </row>
    <row r="2395" spans="2:4" x14ac:dyDescent="0.15">
      <c r="B2395" s="69"/>
      <c r="C2395" s="70"/>
      <c r="D2395" s="71"/>
    </row>
    <row r="2396" spans="2:4" x14ac:dyDescent="0.15">
      <c r="B2396" s="69"/>
      <c r="C2396" s="70"/>
      <c r="D2396" s="71"/>
    </row>
    <row r="2397" spans="2:4" x14ac:dyDescent="0.15">
      <c r="B2397" s="69"/>
      <c r="C2397" s="70"/>
      <c r="D2397" s="71"/>
    </row>
    <row r="2398" spans="2:4" x14ac:dyDescent="0.15">
      <c r="B2398" s="69"/>
      <c r="C2398" s="70"/>
      <c r="D2398" s="71"/>
    </row>
    <row r="2399" spans="2:4" x14ac:dyDescent="0.15">
      <c r="B2399" s="69"/>
      <c r="C2399" s="70"/>
      <c r="D2399" s="71"/>
    </row>
    <row r="2400" spans="2:4" x14ac:dyDescent="0.15">
      <c r="B2400" s="69"/>
      <c r="C2400" s="70"/>
      <c r="D2400" s="71"/>
    </row>
    <row r="2401" spans="2:4" x14ac:dyDescent="0.15">
      <c r="B2401" s="69"/>
      <c r="C2401" s="70"/>
      <c r="D2401" s="71"/>
    </row>
    <row r="2402" spans="2:4" x14ac:dyDescent="0.15">
      <c r="B2402" s="69"/>
      <c r="C2402" s="70"/>
      <c r="D2402" s="71"/>
    </row>
    <row r="2403" spans="2:4" x14ac:dyDescent="0.15">
      <c r="B2403" s="69"/>
      <c r="C2403" s="70"/>
      <c r="D2403" s="71"/>
    </row>
    <row r="2404" spans="2:4" x14ac:dyDescent="0.15">
      <c r="B2404" s="69"/>
      <c r="C2404" s="70"/>
      <c r="D2404" s="71"/>
    </row>
    <row r="2405" spans="2:4" x14ac:dyDescent="0.15">
      <c r="B2405" s="69"/>
      <c r="C2405" s="70"/>
      <c r="D2405" s="71"/>
    </row>
    <row r="2406" spans="2:4" x14ac:dyDescent="0.15">
      <c r="B2406" s="69"/>
      <c r="C2406" s="70"/>
      <c r="D2406" s="71"/>
    </row>
    <row r="2407" spans="2:4" x14ac:dyDescent="0.15">
      <c r="B2407" s="69"/>
      <c r="C2407" s="70"/>
      <c r="D2407" s="71"/>
    </row>
    <row r="2408" spans="2:4" x14ac:dyDescent="0.15">
      <c r="B2408" s="69"/>
      <c r="C2408" s="70"/>
      <c r="D2408" s="71"/>
    </row>
    <row r="2409" spans="2:4" x14ac:dyDescent="0.15">
      <c r="B2409" s="69"/>
      <c r="C2409" s="70"/>
      <c r="D2409" s="71"/>
    </row>
    <row r="2410" spans="2:4" x14ac:dyDescent="0.15">
      <c r="B2410" s="69"/>
      <c r="C2410" s="70"/>
      <c r="D2410" s="71"/>
    </row>
    <row r="2411" spans="2:4" x14ac:dyDescent="0.15">
      <c r="B2411" s="69"/>
      <c r="C2411" s="70"/>
      <c r="D2411" s="71"/>
    </row>
    <row r="2412" spans="2:4" x14ac:dyDescent="0.15">
      <c r="B2412" s="69"/>
      <c r="C2412" s="70"/>
      <c r="D2412" s="71"/>
    </row>
    <row r="2413" spans="2:4" x14ac:dyDescent="0.15">
      <c r="B2413" s="69"/>
      <c r="C2413" s="70"/>
      <c r="D2413" s="71"/>
    </row>
    <row r="2414" spans="2:4" x14ac:dyDescent="0.15">
      <c r="B2414" s="69"/>
      <c r="C2414" s="70"/>
      <c r="D2414" s="71"/>
    </row>
    <row r="2415" spans="2:4" x14ac:dyDescent="0.15">
      <c r="B2415" s="69"/>
      <c r="C2415" s="70"/>
      <c r="D2415" s="71"/>
    </row>
    <row r="2416" spans="2:4" x14ac:dyDescent="0.15">
      <c r="B2416" s="69"/>
      <c r="C2416" s="70"/>
      <c r="D2416" s="71"/>
    </row>
    <row r="2417" spans="2:4" x14ac:dyDescent="0.15">
      <c r="B2417" s="69"/>
      <c r="C2417" s="70"/>
      <c r="D2417" s="71"/>
    </row>
    <row r="2418" spans="2:4" x14ac:dyDescent="0.15">
      <c r="B2418" s="69"/>
      <c r="C2418" s="70"/>
      <c r="D2418" s="71"/>
    </row>
    <row r="2419" spans="2:4" x14ac:dyDescent="0.15">
      <c r="B2419" s="69"/>
      <c r="C2419" s="70"/>
      <c r="D2419" s="71"/>
    </row>
    <row r="2420" spans="2:4" x14ac:dyDescent="0.15">
      <c r="B2420" s="69"/>
      <c r="C2420" s="70"/>
      <c r="D2420" s="71"/>
    </row>
    <row r="2421" spans="2:4" x14ac:dyDescent="0.15">
      <c r="B2421" s="69"/>
      <c r="C2421" s="70"/>
      <c r="D2421" s="71"/>
    </row>
    <row r="2422" spans="2:4" x14ac:dyDescent="0.15">
      <c r="B2422" s="69"/>
      <c r="C2422" s="70"/>
      <c r="D2422" s="71"/>
    </row>
    <row r="2423" spans="2:4" x14ac:dyDescent="0.15">
      <c r="B2423" s="69"/>
      <c r="C2423" s="70"/>
      <c r="D2423" s="71"/>
    </row>
    <row r="2424" spans="2:4" x14ac:dyDescent="0.15">
      <c r="B2424" s="69"/>
      <c r="C2424" s="70"/>
      <c r="D2424" s="71"/>
    </row>
    <row r="2425" spans="2:4" x14ac:dyDescent="0.15">
      <c r="B2425" s="69"/>
      <c r="C2425" s="70"/>
      <c r="D2425" s="71"/>
    </row>
    <row r="2426" spans="2:4" x14ac:dyDescent="0.15">
      <c r="B2426" s="69"/>
      <c r="C2426" s="70"/>
      <c r="D2426" s="71"/>
    </row>
    <row r="2427" spans="2:4" x14ac:dyDescent="0.15">
      <c r="B2427" s="69"/>
      <c r="C2427" s="70"/>
      <c r="D2427" s="71"/>
    </row>
    <row r="2428" spans="2:4" x14ac:dyDescent="0.15">
      <c r="B2428" s="69"/>
      <c r="C2428" s="70"/>
      <c r="D2428" s="71"/>
    </row>
    <row r="2429" spans="2:4" x14ac:dyDescent="0.15">
      <c r="B2429" s="69"/>
      <c r="C2429" s="70"/>
      <c r="D2429" s="71"/>
    </row>
    <row r="2430" spans="2:4" x14ac:dyDescent="0.15">
      <c r="B2430" s="69"/>
      <c r="C2430" s="70"/>
      <c r="D2430" s="71"/>
    </row>
    <row r="2431" spans="2:4" x14ac:dyDescent="0.15">
      <c r="B2431" s="69"/>
      <c r="C2431" s="70"/>
      <c r="D2431" s="71"/>
    </row>
    <row r="2432" spans="2:4" x14ac:dyDescent="0.15">
      <c r="B2432" s="69"/>
      <c r="C2432" s="70"/>
      <c r="D2432" s="71"/>
    </row>
    <row r="2433" spans="2:4" x14ac:dyDescent="0.15">
      <c r="B2433" s="69"/>
      <c r="C2433" s="70"/>
      <c r="D2433" s="71"/>
    </row>
    <row r="2434" spans="2:4" x14ac:dyDescent="0.15">
      <c r="B2434" s="69"/>
      <c r="C2434" s="70"/>
      <c r="D2434" s="71"/>
    </row>
    <row r="2435" spans="2:4" x14ac:dyDescent="0.15">
      <c r="B2435" s="69"/>
      <c r="C2435" s="70"/>
      <c r="D2435" s="71"/>
    </row>
    <row r="2436" spans="2:4" x14ac:dyDescent="0.15">
      <c r="B2436" s="69"/>
      <c r="C2436" s="70"/>
      <c r="D2436" s="71"/>
    </row>
    <row r="2437" spans="2:4" x14ac:dyDescent="0.15">
      <c r="B2437" s="69"/>
      <c r="C2437" s="70"/>
      <c r="D2437" s="71"/>
    </row>
    <row r="2438" spans="2:4" x14ac:dyDescent="0.15">
      <c r="B2438" s="69"/>
      <c r="C2438" s="70"/>
      <c r="D2438" s="71"/>
    </row>
    <row r="2439" spans="2:4" x14ac:dyDescent="0.15">
      <c r="B2439" s="69"/>
      <c r="C2439" s="70"/>
      <c r="D2439" s="71"/>
    </row>
    <row r="2440" spans="2:4" x14ac:dyDescent="0.15">
      <c r="B2440" s="69"/>
      <c r="C2440" s="70"/>
      <c r="D2440" s="71"/>
    </row>
    <row r="2441" spans="2:4" x14ac:dyDescent="0.15">
      <c r="B2441" s="69"/>
      <c r="C2441" s="70"/>
      <c r="D2441" s="71"/>
    </row>
    <row r="2442" spans="2:4" x14ac:dyDescent="0.15">
      <c r="B2442" s="69"/>
      <c r="C2442" s="70"/>
      <c r="D2442" s="71"/>
    </row>
    <row r="2443" spans="2:4" x14ac:dyDescent="0.15">
      <c r="B2443" s="69"/>
      <c r="C2443" s="70"/>
      <c r="D2443" s="71"/>
    </row>
    <row r="2444" spans="2:4" x14ac:dyDescent="0.15">
      <c r="B2444" s="69"/>
      <c r="C2444" s="70"/>
      <c r="D2444" s="71"/>
    </row>
    <row r="2445" spans="2:4" x14ac:dyDescent="0.15">
      <c r="B2445" s="69"/>
      <c r="C2445" s="70"/>
      <c r="D2445" s="71"/>
    </row>
    <row r="2446" spans="2:4" x14ac:dyDescent="0.15">
      <c r="B2446" s="69"/>
      <c r="C2446" s="70"/>
      <c r="D2446" s="71"/>
    </row>
    <row r="2447" spans="2:4" x14ac:dyDescent="0.15">
      <c r="B2447" s="69"/>
      <c r="C2447" s="70"/>
      <c r="D2447" s="71"/>
    </row>
    <row r="2448" spans="2:4" x14ac:dyDescent="0.15">
      <c r="B2448" s="69"/>
      <c r="C2448" s="70"/>
      <c r="D2448" s="71"/>
    </row>
    <row r="2449" spans="2:4" x14ac:dyDescent="0.15">
      <c r="B2449" s="69"/>
      <c r="C2449" s="70"/>
      <c r="D2449" s="71"/>
    </row>
    <row r="2450" spans="2:4" x14ac:dyDescent="0.15">
      <c r="B2450" s="69"/>
      <c r="C2450" s="70"/>
      <c r="D2450" s="71"/>
    </row>
    <row r="2451" spans="2:4" x14ac:dyDescent="0.15">
      <c r="B2451" s="69"/>
      <c r="C2451" s="70"/>
      <c r="D2451" s="71"/>
    </row>
    <row r="2452" spans="2:4" x14ac:dyDescent="0.15">
      <c r="B2452" s="69"/>
      <c r="C2452" s="70"/>
      <c r="D2452" s="71"/>
    </row>
    <row r="2453" spans="2:4" x14ac:dyDescent="0.15">
      <c r="B2453" s="69"/>
      <c r="C2453" s="70"/>
      <c r="D2453" s="71"/>
    </row>
    <row r="2454" spans="2:4" x14ac:dyDescent="0.15">
      <c r="B2454" s="69"/>
      <c r="C2454" s="70"/>
      <c r="D2454" s="71"/>
    </row>
    <row r="2455" spans="2:4" x14ac:dyDescent="0.15">
      <c r="B2455" s="69"/>
      <c r="C2455" s="70"/>
      <c r="D2455" s="71"/>
    </row>
    <row r="2456" spans="2:4" x14ac:dyDescent="0.15">
      <c r="B2456" s="69"/>
      <c r="C2456" s="70"/>
      <c r="D2456" s="71"/>
    </row>
    <row r="2457" spans="2:4" x14ac:dyDescent="0.15">
      <c r="B2457" s="69"/>
      <c r="C2457" s="70"/>
      <c r="D2457" s="71"/>
    </row>
    <row r="2458" spans="2:4" x14ac:dyDescent="0.15">
      <c r="B2458" s="69"/>
      <c r="C2458" s="70"/>
      <c r="D2458" s="71"/>
    </row>
    <row r="2459" spans="2:4" x14ac:dyDescent="0.15">
      <c r="B2459" s="69"/>
      <c r="C2459" s="70"/>
      <c r="D2459" s="71"/>
    </row>
    <row r="2460" spans="2:4" x14ac:dyDescent="0.15">
      <c r="B2460" s="69"/>
      <c r="C2460" s="70"/>
      <c r="D2460" s="71"/>
    </row>
    <row r="2461" spans="2:4" x14ac:dyDescent="0.15">
      <c r="B2461" s="69"/>
      <c r="C2461" s="70"/>
      <c r="D2461" s="71"/>
    </row>
    <row r="2462" spans="2:4" x14ac:dyDescent="0.15">
      <c r="B2462" s="69"/>
      <c r="C2462" s="70"/>
      <c r="D2462" s="71"/>
    </row>
    <row r="2463" spans="2:4" x14ac:dyDescent="0.15">
      <c r="B2463" s="69"/>
      <c r="C2463" s="70"/>
      <c r="D2463" s="71"/>
    </row>
    <row r="2464" spans="2:4" x14ac:dyDescent="0.15">
      <c r="B2464" s="69"/>
      <c r="C2464" s="70"/>
      <c r="D2464" s="71"/>
    </row>
    <row r="2465" spans="2:4" x14ac:dyDescent="0.15">
      <c r="B2465" s="69"/>
      <c r="C2465" s="70"/>
      <c r="D2465" s="71"/>
    </row>
    <row r="2466" spans="2:4" x14ac:dyDescent="0.15">
      <c r="B2466" s="69"/>
      <c r="C2466" s="70"/>
      <c r="D2466" s="71"/>
    </row>
    <row r="2467" spans="2:4" x14ac:dyDescent="0.15">
      <c r="B2467" s="69"/>
      <c r="C2467" s="70"/>
      <c r="D2467" s="71"/>
    </row>
    <row r="2468" spans="2:4" x14ac:dyDescent="0.15">
      <c r="B2468" s="69"/>
      <c r="C2468" s="70"/>
      <c r="D2468" s="71"/>
    </row>
    <row r="2469" spans="2:4" x14ac:dyDescent="0.15">
      <c r="B2469" s="69"/>
      <c r="C2469" s="70"/>
      <c r="D2469" s="71"/>
    </row>
    <row r="2470" spans="2:4" x14ac:dyDescent="0.15">
      <c r="B2470" s="69"/>
      <c r="C2470" s="70"/>
      <c r="D2470" s="71"/>
    </row>
    <row r="2471" spans="2:4" x14ac:dyDescent="0.15">
      <c r="B2471" s="69"/>
      <c r="C2471" s="70"/>
      <c r="D2471" s="71"/>
    </row>
    <row r="2472" spans="2:4" x14ac:dyDescent="0.15">
      <c r="B2472" s="69"/>
      <c r="C2472" s="70"/>
      <c r="D2472" s="71"/>
    </row>
    <row r="2473" spans="2:4" x14ac:dyDescent="0.15">
      <c r="B2473" s="69"/>
      <c r="C2473" s="70"/>
      <c r="D2473" s="71"/>
    </row>
    <row r="2474" spans="2:4" x14ac:dyDescent="0.15">
      <c r="B2474" s="69"/>
      <c r="C2474" s="70"/>
      <c r="D2474" s="71"/>
    </row>
    <row r="2475" spans="2:4" x14ac:dyDescent="0.15">
      <c r="B2475" s="69"/>
      <c r="C2475" s="70"/>
      <c r="D2475" s="71"/>
    </row>
    <row r="2476" spans="2:4" x14ac:dyDescent="0.15">
      <c r="B2476" s="69"/>
      <c r="C2476" s="70"/>
      <c r="D2476" s="71"/>
    </row>
    <row r="2477" spans="2:4" x14ac:dyDescent="0.15">
      <c r="B2477" s="69"/>
      <c r="C2477" s="70"/>
      <c r="D2477" s="71"/>
    </row>
    <row r="2478" spans="2:4" x14ac:dyDescent="0.15">
      <c r="B2478" s="69"/>
      <c r="C2478" s="70"/>
      <c r="D2478" s="71"/>
    </row>
    <row r="2479" spans="2:4" x14ac:dyDescent="0.15">
      <c r="B2479" s="69"/>
      <c r="C2479" s="70"/>
      <c r="D2479" s="71"/>
    </row>
    <row r="2480" spans="2:4" x14ac:dyDescent="0.15">
      <c r="B2480" s="69"/>
      <c r="C2480" s="70"/>
      <c r="D2480" s="71"/>
    </row>
    <row r="2481" spans="2:4" x14ac:dyDescent="0.15">
      <c r="B2481" s="69"/>
      <c r="C2481" s="70"/>
      <c r="D2481" s="71"/>
    </row>
    <row r="2482" spans="2:4" x14ac:dyDescent="0.15">
      <c r="B2482" s="69"/>
      <c r="C2482" s="70"/>
      <c r="D2482" s="71"/>
    </row>
    <row r="2483" spans="2:4" x14ac:dyDescent="0.15">
      <c r="B2483" s="69"/>
      <c r="C2483" s="70"/>
      <c r="D2483" s="71"/>
    </row>
    <row r="2484" spans="2:4" x14ac:dyDescent="0.15">
      <c r="B2484" s="69"/>
      <c r="C2484" s="70"/>
      <c r="D2484" s="71"/>
    </row>
    <row r="2485" spans="2:4" x14ac:dyDescent="0.15">
      <c r="B2485" s="69"/>
      <c r="C2485" s="70"/>
      <c r="D2485" s="71"/>
    </row>
    <row r="2486" spans="2:4" x14ac:dyDescent="0.15">
      <c r="B2486" s="69"/>
      <c r="C2486" s="70"/>
      <c r="D2486" s="71"/>
    </row>
    <row r="2487" spans="2:4" x14ac:dyDescent="0.15">
      <c r="B2487" s="69"/>
      <c r="C2487" s="70"/>
      <c r="D2487" s="71"/>
    </row>
    <row r="2488" spans="2:4" x14ac:dyDescent="0.15">
      <c r="B2488" s="69"/>
      <c r="C2488" s="70"/>
      <c r="D2488" s="71"/>
    </row>
    <row r="2489" spans="2:4" x14ac:dyDescent="0.15">
      <c r="B2489" s="69"/>
      <c r="C2489" s="70"/>
      <c r="D2489" s="71"/>
    </row>
    <row r="2490" spans="2:4" x14ac:dyDescent="0.15">
      <c r="B2490" s="69"/>
      <c r="C2490" s="70"/>
      <c r="D2490" s="71"/>
    </row>
    <row r="2491" spans="2:4" x14ac:dyDescent="0.15">
      <c r="B2491" s="69"/>
      <c r="C2491" s="70"/>
      <c r="D2491" s="71"/>
    </row>
    <row r="2492" spans="2:4" x14ac:dyDescent="0.15">
      <c r="B2492" s="69"/>
      <c r="C2492" s="70"/>
      <c r="D2492" s="71"/>
    </row>
    <row r="2493" spans="2:4" x14ac:dyDescent="0.15">
      <c r="B2493" s="69"/>
      <c r="C2493" s="70"/>
      <c r="D2493" s="71"/>
    </row>
    <row r="2494" spans="2:4" x14ac:dyDescent="0.15">
      <c r="B2494" s="69"/>
      <c r="C2494" s="70"/>
      <c r="D2494" s="71"/>
    </row>
    <row r="2495" spans="2:4" x14ac:dyDescent="0.15">
      <c r="B2495" s="69"/>
      <c r="C2495" s="70"/>
      <c r="D2495" s="71"/>
    </row>
    <row r="2496" spans="2:4" x14ac:dyDescent="0.15">
      <c r="B2496" s="69"/>
      <c r="C2496" s="70"/>
      <c r="D2496" s="71"/>
    </row>
    <row r="2497" spans="2:4" x14ac:dyDescent="0.15">
      <c r="B2497" s="69"/>
      <c r="C2497" s="70"/>
      <c r="D2497" s="71"/>
    </row>
    <row r="2498" spans="2:4" x14ac:dyDescent="0.15">
      <c r="B2498" s="69"/>
      <c r="C2498" s="70"/>
      <c r="D2498" s="71"/>
    </row>
    <row r="2499" spans="2:4" x14ac:dyDescent="0.15">
      <c r="B2499" s="69"/>
      <c r="C2499" s="70"/>
      <c r="D2499" s="71"/>
    </row>
    <row r="2500" spans="2:4" x14ac:dyDescent="0.15">
      <c r="B2500" s="69"/>
      <c r="C2500" s="70"/>
      <c r="D2500" s="71"/>
    </row>
    <row r="2501" spans="2:4" x14ac:dyDescent="0.15">
      <c r="B2501" s="69"/>
      <c r="C2501" s="70"/>
      <c r="D2501" s="71"/>
    </row>
    <row r="2502" spans="2:4" x14ac:dyDescent="0.15">
      <c r="B2502" s="69"/>
      <c r="C2502" s="70"/>
      <c r="D2502" s="71"/>
    </row>
    <row r="2503" spans="2:4" x14ac:dyDescent="0.15">
      <c r="B2503" s="69"/>
      <c r="C2503" s="70"/>
      <c r="D2503" s="71"/>
    </row>
    <row r="2504" spans="2:4" x14ac:dyDescent="0.15">
      <c r="B2504" s="69"/>
      <c r="C2504" s="70"/>
      <c r="D2504" s="71"/>
    </row>
    <row r="2505" spans="2:4" x14ac:dyDescent="0.15">
      <c r="B2505" s="69"/>
      <c r="C2505" s="70"/>
      <c r="D2505" s="71"/>
    </row>
    <row r="2506" spans="2:4" x14ac:dyDescent="0.15">
      <c r="B2506" s="69"/>
      <c r="C2506" s="70"/>
      <c r="D2506" s="71"/>
    </row>
    <row r="2507" spans="2:4" x14ac:dyDescent="0.15">
      <c r="B2507" s="69"/>
      <c r="C2507" s="70"/>
      <c r="D2507" s="71"/>
    </row>
    <row r="2508" spans="2:4" x14ac:dyDescent="0.15">
      <c r="B2508" s="69"/>
      <c r="C2508" s="70"/>
      <c r="D2508" s="71"/>
    </row>
    <row r="2509" spans="2:4" x14ac:dyDescent="0.15">
      <c r="B2509" s="69"/>
      <c r="C2509" s="70"/>
      <c r="D2509" s="71"/>
    </row>
    <row r="2510" spans="2:4" x14ac:dyDescent="0.15">
      <c r="B2510" s="69"/>
      <c r="C2510" s="70"/>
      <c r="D2510" s="71"/>
    </row>
    <row r="2511" spans="2:4" x14ac:dyDescent="0.15">
      <c r="B2511" s="69"/>
      <c r="C2511" s="70"/>
      <c r="D2511" s="71"/>
    </row>
    <row r="2512" spans="2:4" x14ac:dyDescent="0.15">
      <c r="B2512" s="69"/>
      <c r="C2512" s="70"/>
      <c r="D2512" s="71"/>
    </row>
    <row r="2513" spans="2:4" x14ac:dyDescent="0.15">
      <c r="B2513" s="69"/>
      <c r="C2513" s="70"/>
      <c r="D2513" s="71"/>
    </row>
    <row r="2514" spans="2:4" x14ac:dyDescent="0.15">
      <c r="B2514" s="69"/>
      <c r="C2514" s="70"/>
      <c r="D2514" s="71"/>
    </row>
    <row r="2515" spans="2:4" x14ac:dyDescent="0.15">
      <c r="B2515" s="69"/>
      <c r="C2515" s="70"/>
      <c r="D2515" s="71"/>
    </row>
    <row r="2516" spans="2:4" x14ac:dyDescent="0.15">
      <c r="B2516" s="69"/>
      <c r="C2516" s="70"/>
      <c r="D2516" s="71"/>
    </row>
    <row r="2517" spans="2:4" x14ac:dyDescent="0.15">
      <c r="B2517" s="69"/>
      <c r="C2517" s="70"/>
      <c r="D2517" s="71"/>
    </row>
    <row r="2518" spans="2:4" x14ac:dyDescent="0.15">
      <c r="B2518" s="69"/>
      <c r="C2518" s="70"/>
      <c r="D2518" s="71"/>
    </row>
    <row r="2519" spans="2:4" x14ac:dyDescent="0.15">
      <c r="B2519" s="69"/>
      <c r="C2519" s="70"/>
      <c r="D2519" s="71"/>
    </row>
    <row r="2520" spans="2:4" x14ac:dyDescent="0.15">
      <c r="B2520" s="69"/>
      <c r="C2520" s="70"/>
      <c r="D2520" s="71"/>
    </row>
    <row r="2521" spans="2:4" x14ac:dyDescent="0.15">
      <c r="B2521" s="69"/>
      <c r="C2521" s="70"/>
      <c r="D2521" s="71"/>
    </row>
    <row r="2522" spans="2:4" x14ac:dyDescent="0.15">
      <c r="B2522" s="69"/>
      <c r="C2522" s="70"/>
      <c r="D2522" s="71"/>
    </row>
    <row r="2523" spans="2:4" x14ac:dyDescent="0.15">
      <c r="B2523" s="69"/>
      <c r="C2523" s="70"/>
      <c r="D2523" s="71"/>
    </row>
    <row r="2524" spans="2:4" x14ac:dyDescent="0.15">
      <c r="B2524" s="69"/>
      <c r="C2524" s="70"/>
      <c r="D2524" s="71"/>
    </row>
    <row r="2525" spans="2:4" x14ac:dyDescent="0.15">
      <c r="B2525" s="69"/>
      <c r="C2525" s="70"/>
      <c r="D2525" s="71"/>
    </row>
    <row r="2526" spans="2:4" x14ac:dyDescent="0.15">
      <c r="B2526" s="69"/>
      <c r="C2526" s="70"/>
      <c r="D2526" s="71"/>
    </row>
    <row r="2527" spans="2:4" x14ac:dyDescent="0.15">
      <c r="B2527" s="69"/>
      <c r="C2527" s="70"/>
      <c r="D2527" s="71"/>
    </row>
    <row r="2528" spans="2:4" x14ac:dyDescent="0.15">
      <c r="B2528" s="69"/>
      <c r="C2528" s="70"/>
      <c r="D2528" s="71"/>
    </row>
    <row r="2529" spans="2:4" x14ac:dyDescent="0.15">
      <c r="B2529" s="69"/>
      <c r="C2529" s="70"/>
      <c r="D2529" s="71"/>
    </row>
    <row r="2530" spans="2:4" x14ac:dyDescent="0.15">
      <c r="B2530" s="69"/>
      <c r="C2530" s="70"/>
      <c r="D2530" s="71"/>
    </row>
    <row r="2531" spans="2:4" x14ac:dyDescent="0.15">
      <c r="B2531" s="69"/>
      <c r="C2531" s="70"/>
      <c r="D2531" s="71"/>
    </row>
    <row r="2532" spans="2:4" x14ac:dyDescent="0.15">
      <c r="B2532" s="69"/>
      <c r="C2532" s="70"/>
      <c r="D2532" s="71"/>
    </row>
    <row r="2533" spans="2:4" x14ac:dyDescent="0.15">
      <c r="B2533" s="69"/>
      <c r="C2533" s="70"/>
      <c r="D2533" s="71"/>
    </row>
    <row r="2534" spans="2:4" x14ac:dyDescent="0.15">
      <c r="B2534" s="69"/>
      <c r="C2534" s="70"/>
      <c r="D2534" s="71"/>
    </row>
    <row r="2535" spans="2:4" x14ac:dyDescent="0.15">
      <c r="B2535" s="69"/>
      <c r="C2535" s="70"/>
      <c r="D2535" s="71"/>
    </row>
    <row r="2536" spans="2:4" x14ac:dyDescent="0.15">
      <c r="B2536" s="69"/>
      <c r="C2536" s="70"/>
      <c r="D2536" s="71"/>
    </row>
    <row r="2537" spans="2:4" x14ac:dyDescent="0.15">
      <c r="B2537" s="69"/>
      <c r="C2537" s="70"/>
      <c r="D2537" s="71"/>
    </row>
    <row r="2538" spans="2:4" x14ac:dyDescent="0.15">
      <c r="B2538" s="69"/>
      <c r="C2538" s="70"/>
      <c r="D2538" s="71"/>
    </row>
    <row r="2539" spans="2:4" x14ac:dyDescent="0.15">
      <c r="B2539" s="69"/>
      <c r="C2539" s="70"/>
      <c r="D2539" s="71"/>
    </row>
    <row r="2540" spans="2:4" x14ac:dyDescent="0.15">
      <c r="B2540" s="69"/>
      <c r="C2540" s="70"/>
      <c r="D2540" s="71"/>
    </row>
    <row r="2541" spans="2:4" x14ac:dyDescent="0.15">
      <c r="B2541" s="69"/>
      <c r="C2541" s="70"/>
      <c r="D2541" s="71"/>
    </row>
    <row r="2542" spans="2:4" x14ac:dyDescent="0.15">
      <c r="B2542" s="69"/>
      <c r="C2542" s="70"/>
      <c r="D2542" s="71"/>
    </row>
    <row r="2543" spans="2:4" x14ac:dyDescent="0.15">
      <c r="B2543" s="69"/>
      <c r="C2543" s="70"/>
      <c r="D2543" s="71"/>
    </row>
    <row r="2544" spans="2:4" x14ac:dyDescent="0.15">
      <c r="B2544" s="69"/>
      <c r="C2544" s="70"/>
      <c r="D2544" s="71"/>
    </row>
    <row r="2545" spans="2:4" x14ac:dyDescent="0.15">
      <c r="B2545" s="69"/>
      <c r="C2545" s="70"/>
      <c r="D2545" s="71"/>
    </row>
    <row r="2546" spans="2:4" x14ac:dyDescent="0.15">
      <c r="B2546" s="69"/>
      <c r="C2546" s="70"/>
      <c r="D2546" s="71"/>
    </row>
    <row r="2547" spans="2:4" x14ac:dyDescent="0.15">
      <c r="B2547" s="69"/>
      <c r="C2547" s="70"/>
      <c r="D2547" s="71"/>
    </row>
    <row r="2548" spans="2:4" x14ac:dyDescent="0.15">
      <c r="B2548" s="69"/>
      <c r="C2548" s="70"/>
      <c r="D2548" s="71"/>
    </row>
    <row r="2549" spans="2:4" x14ac:dyDescent="0.15">
      <c r="B2549" s="69"/>
      <c r="C2549" s="70"/>
      <c r="D2549" s="71"/>
    </row>
    <row r="2550" spans="2:4" x14ac:dyDescent="0.15">
      <c r="B2550" s="69"/>
      <c r="C2550" s="70"/>
      <c r="D2550" s="71"/>
    </row>
    <row r="2551" spans="2:4" x14ac:dyDescent="0.15">
      <c r="B2551" s="69"/>
      <c r="C2551" s="70"/>
      <c r="D2551" s="71"/>
    </row>
    <row r="2552" spans="2:4" x14ac:dyDescent="0.15">
      <c r="B2552" s="69"/>
      <c r="C2552" s="70"/>
      <c r="D2552" s="71"/>
    </row>
    <row r="2553" spans="2:4" x14ac:dyDescent="0.15">
      <c r="B2553" s="69"/>
      <c r="C2553" s="70"/>
      <c r="D2553" s="71"/>
    </row>
    <row r="2554" spans="2:4" x14ac:dyDescent="0.15">
      <c r="B2554" s="69"/>
      <c r="C2554" s="70"/>
      <c r="D2554" s="71"/>
    </row>
    <row r="2555" spans="2:4" x14ac:dyDescent="0.15">
      <c r="B2555" s="69"/>
      <c r="C2555" s="70"/>
      <c r="D2555" s="71"/>
    </row>
    <row r="2556" spans="2:4" x14ac:dyDescent="0.15">
      <c r="B2556" s="69"/>
      <c r="C2556" s="70"/>
      <c r="D2556" s="71"/>
    </row>
    <row r="2557" spans="2:4" x14ac:dyDescent="0.15">
      <c r="B2557" s="69"/>
      <c r="C2557" s="70"/>
      <c r="D2557" s="71"/>
    </row>
    <row r="2558" spans="2:4" x14ac:dyDescent="0.15">
      <c r="B2558" s="69"/>
      <c r="C2558" s="70"/>
      <c r="D2558" s="71"/>
    </row>
    <row r="2559" spans="2:4" x14ac:dyDescent="0.15">
      <c r="B2559" s="69"/>
      <c r="C2559" s="70"/>
      <c r="D2559" s="71"/>
    </row>
    <row r="2560" spans="2:4" x14ac:dyDescent="0.15">
      <c r="B2560" s="69"/>
      <c r="C2560" s="70"/>
      <c r="D2560" s="71"/>
    </row>
    <row r="2561" spans="2:4" x14ac:dyDescent="0.15">
      <c r="B2561" s="69"/>
      <c r="C2561" s="70"/>
      <c r="D2561" s="71"/>
    </row>
    <row r="2562" spans="2:4" x14ac:dyDescent="0.15">
      <c r="B2562" s="69"/>
      <c r="C2562" s="70"/>
      <c r="D2562" s="71"/>
    </row>
    <row r="2563" spans="2:4" x14ac:dyDescent="0.15">
      <c r="B2563" s="69"/>
      <c r="C2563" s="70"/>
      <c r="D2563" s="71"/>
    </row>
    <row r="2564" spans="2:4" x14ac:dyDescent="0.15">
      <c r="B2564" s="69"/>
      <c r="C2564" s="70"/>
      <c r="D2564" s="71"/>
    </row>
    <row r="2565" spans="2:4" x14ac:dyDescent="0.15">
      <c r="B2565" s="69"/>
      <c r="C2565" s="70"/>
      <c r="D2565" s="71"/>
    </row>
    <row r="2566" spans="2:4" x14ac:dyDescent="0.15">
      <c r="B2566" s="69"/>
      <c r="C2566" s="70"/>
      <c r="D2566" s="71"/>
    </row>
    <row r="2567" spans="2:4" x14ac:dyDescent="0.15">
      <c r="B2567" s="69"/>
      <c r="C2567" s="70"/>
      <c r="D2567" s="71"/>
    </row>
    <row r="2568" spans="2:4" x14ac:dyDescent="0.15">
      <c r="B2568" s="69"/>
      <c r="C2568" s="70"/>
      <c r="D2568" s="71"/>
    </row>
    <row r="2569" spans="2:4" x14ac:dyDescent="0.15">
      <c r="B2569" s="69"/>
      <c r="C2569" s="70"/>
      <c r="D2569" s="71"/>
    </row>
    <row r="2570" spans="2:4" x14ac:dyDescent="0.15">
      <c r="B2570" s="69"/>
      <c r="C2570" s="70"/>
      <c r="D2570" s="71"/>
    </row>
    <row r="2571" spans="2:4" x14ac:dyDescent="0.15">
      <c r="B2571" s="69"/>
      <c r="C2571" s="70"/>
      <c r="D2571" s="71"/>
    </row>
    <row r="2572" spans="2:4" x14ac:dyDescent="0.15">
      <c r="B2572" s="69"/>
      <c r="C2572" s="70"/>
      <c r="D2572" s="71"/>
    </row>
    <row r="2573" spans="2:4" x14ac:dyDescent="0.15">
      <c r="B2573" s="69"/>
      <c r="C2573" s="70"/>
      <c r="D2573" s="71"/>
    </row>
    <row r="2574" spans="2:4" x14ac:dyDescent="0.15">
      <c r="B2574" s="69"/>
      <c r="C2574" s="70"/>
      <c r="D2574" s="71"/>
    </row>
    <row r="2575" spans="2:4" x14ac:dyDescent="0.15">
      <c r="B2575" s="69"/>
      <c r="C2575" s="70"/>
      <c r="D2575" s="71"/>
    </row>
    <row r="2576" spans="2:4" x14ac:dyDescent="0.15">
      <c r="B2576" s="69"/>
      <c r="C2576" s="70"/>
      <c r="D2576" s="71"/>
    </row>
    <row r="2577" spans="2:4" x14ac:dyDescent="0.15">
      <c r="B2577" s="69"/>
      <c r="C2577" s="70"/>
      <c r="D2577" s="71"/>
    </row>
    <row r="2578" spans="2:4" x14ac:dyDescent="0.15">
      <c r="B2578" s="69"/>
      <c r="C2578" s="70"/>
      <c r="D2578" s="71"/>
    </row>
    <row r="2579" spans="2:4" x14ac:dyDescent="0.15">
      <c r="B2579" s="69"/>
      <c r="C2579" s="70"/>
      <c r="D2579" s="71"/>
    </row>
    <row r="2580" spans="2:4" x14ac:dyDescent="0.15">
      <c r="B2580" s="69"/>
      <c r="C2580" s="70"/>
      <c r="D2580" s="71"/>
    </row>
    <row r="2581" spans="2:4" x14ac:dyDescent="0.15">
      <c r="B2581" s="69"/>
      <c r="C2581" s="70"/>
      <c r="D2581" s="71"/>
    </row>
    <row r="2582" spans="2:4" x14ac:dyDescent="0.15">
      <c r="B2582" s="69"/>
      <c r="C2582" s="70"/>
      <c r="D2582" s="71"/>
    </row>
    <row r="2583" spans="2:4" x14ac:dyDescent="0.15">
      <c r="B2583" s="69"/>
      <c r="C2583" s="70"/>
      <c r="D2583" s="71"/>
    </row>
    <row r="2584" spans="2:4" x14ac:dyDescent="0.15">
      <c r="B2584" s="69"/>
      <c r="C2584" s="70"/>
      <c r="D2584" s="71"/>
    </row>
    <row r="2585" spans="2:4" x14ac:dyDescent="0.15">
      <c r="B2585" s="69"/>
      <c r="C2585" s="70"/>
      <c r="D2585" s="71"/>
    </row>
    <row r="2586" spans="2:4" x14ac:dyDescent="0.15">
      <c r="B2586" s="69"/>
      <c r="C2586" s="70"/>
      <c r="D2586" s="71"/>
    </row>
    <row r="2587" spans="2:4" x14ac:dyDescent="0.15">
      <c r="B2587" s="69"/>
      <c r="C2587" s="70"/>
      <c r="D2587" s="71"/>
    </row>
    <row r="2588" spans="2:4" x14ac:dyDescent="0.15">
      <c r="B2588" s="69"/>
      <c r="C2588" s="70"/>
      <c r="D2588" s="71"/>
    </row>
    <row r="2589" spans="2:4" x14ac:dyDescent="0.15">
      <c r="B2589" s="69"/>
      <c r="C2589" s="70"/>
      <c r="D2589" s="71"/>
    </row>
    <row r="2590" spans="2:4" x14ac:dyDescent="0.15">
      <c r="B2590" s="69"/>
      <c r="C2590" s="70"/>
      <c r="D2590" s="71"/>
    </row>
    <row r="2591" spans="2:4" x14ac:dyDescent="0.15">
      <c r="B2591" s="69"/>
      <c r="C2591" s="70"/>
      <c r="D2591" s="71"/>
    </row>
    <row r="2592" spans="2:4" x14ac:dyDescent="0.15">
      <c r="B2592" s="69"/>
      <c r="C2592" s="70"/>
      <c r="D2592" s="71"/>
    </row>
    <row r="2593" spans="2:4" x14ac:dyDescent="0.15">
      <c r="B2593" s="69"/>
      <c r="C2593" s="70"/>
      <c r="D2593" s="71"/>
    </row>
    <row r="2594" spans="2:4" x14ac:dyDescent="0.15">
      <c r="B2594" s="69"/>
      <c r="C2594" s="70"/>
      <c r="D2594" s="71"/>
    </row>
    <row r="2595" spans="2:4" x14ac:dyDescent="0.15">
      <c r="B2595" s="69"/>
      <c r="C2595" s="70"/>
      <c r="D2595" s="71"/>
    </row>
    <row r="2596" spans="2:4" x14ac:dyDescent="0.15">
      <c r="B2596" s="69"/>
      <c r="C2596" s="70"/>
      <c r="D2596" s="71"/>
    </row>
    <row r="2597" spans="2:4" x14ac:dyDescent="0.15">
      <c r="B2597" s="69"/>
      <c r="C2597" s="70"/>
      <c r="D2597" s="71"/>
    </row>
    <row r="2598" spans="2:4" x14ac:dyDescent="0.15">
      <c r="B2598" s="69"/>
      <c r="C2598" s="70"/>
      <c r="D2598" s="71"/>
    </row>
    <row r="2599" spans="2:4" x14ac:dyDescent="0.15">
      <c r="B2599" s="69"/>
      <c r="C2599" s="70"/>
      <c r="D2599" s="71"/>
    </row>
    <row r="2600" spans="2:4" x14ac:dyDescent="0.15">
      <c r="B2600" s="69"/>
      <c r="C2600" s="70"/>
      <c r="D2600" s="71"/>
    </row>
    <row r="2601" spans="2:4" x14ac:dyDescent="0.15">
      <c r="B2601" s="69"/>
      <c r="C2601" s="70"/>
      <c r="D2601" s="71"/>
    </row>
    <row r="2602" spans="2:4" x14ac:dyDescent="0.15">
      <c r="B2602" s="69"/>
      <c r="C2602" s="70"/>
      <c r="D2602" s="71"/>
    </row>
    <row r="2603" spans="2:4" x14ac:dyDescent="0.15">
      <c r="B2603" s="69"/>
      <c r="C2603" s="70"/>
      <c r="D2603" s="71"/>
    </row>
    <row r="2604" spans="2:4" x14ac:dyDescent="0.15">
      <c r="B2604" s="69"/>
      <c r="C2604" s="70"/>
      <c r="D2604" s="71"/>
    </row>
    <row r="2605" spans="2:4" x14ac:dyDescent="0.15">
      <c r="B2605" s="69"/>
      <c r="C2605" s="70"/>
      <c r="D2605" s="71"/>
    </row>
    <row r="2606" spans="2:4" x14ac:dyDescent="0.15">
      <c r="B2606" s="69"/>
      <c r="C2606" s="70"/>
      <c r="D2606" s="71"/>
    </row>
    <row r="2607" spans="2:4" x14ac:dyDescent="0.15">
      <c r="B2607" s="69"/>
      <c r="C2607" s="70"/>
      <c r="D2607" s="71"/>
    </row>
    <row r="2608" spans="2:4" x14ac:dyDescent="0.15">
      <c r="B2608" s="69"/>
      <c r="C2608" s="70"/>
      <c r="D2608" s="71"/>
    </row>
    <row r="2609" spans="2:4" x14ac:dyDescent="0.15">
      <c r="B2609" s="69"/>
      <c r="C2609" s="70"/>
      <c r="D2609" s="71"/>
    </row>
    <row r="2610" spans="2:4" x14ac:dyDescent="0.15">
      <c r="B2610" s="69"/>
      <c r="C2610" s="70"/>
      <c r="D2610" s="71"/>
    </row>
    <row r="2611" spans="2:4" x14ac:dyDescent="0.15">
      <c r="B2611" s="69"/>
      <c r="C2611" s="70"/>
      <c r="D2611" s="71"/>
    </row>
    <row r="2612" spans="2:4" x14ac:dyDescent="0.15">
      <c r="B2612" s="69"/>
      <c r="C2612" s="70"/>
      <c r="D2612" s="71"/>
    </row>
    <row r="2613" spans="2:4" x14ac:dyDescent="0.15">
      <c r="B2613" s="69"/>
      <c r="C2613" s="70"/>
      <c r="D2613" s="71"/>
    </row>
    <row r="2614" spans="2:4" x14ac:dyDescent="0.15">
      <c r="B2614" s="69"/>
      <c r="C2614" s="70"/>
      <c r="D2614" s="71"/>
    </row>
    <row r="2615" spans="2:4" x14ac:dyDescent="0.15">
      <c r="B2615" s="69"/>
      <c r="C2615" s="70"/>
      <c r="D2615" s="71"/>
    </row>
    <row r="2616" spans="2:4" x14ac:dyDescent="0.15">
      <c r="B2616" s="69"/>
      <c r="C2616" s="70"/>
      <c r="D2616" s="71"/>
    </row>
    <row r="2617" spans="2:4" x14ac:dyDescent="0.15">
      <c r="B2617" s="69"/>
      <c r="C2617" s="70"/>
      <c r="D2617" s="71"/>
    </row>
    <row r="2618" spans="2:4" x14ac:dyDescent="0.15">
      <c r="B2618" s="69"/>
      <c r="C2618" s="70"/>
      <c r="D2618" s="71"/>
    </row>
    <row r="2619" spans="2:4" x14ac:dyDescent="0.15">
      <c r="B2619" s="69"/>
      <c r="C2619" s="70"/>
      <c r="D2619" s="71"/>
    </row>
    <row r="2620" spans="2:4" x14ac:dyDescent="0.15">
      <c r="B2620" s="69"/>
      <c r="C2620" s="70"/>
      <c r="D2620" s="71"/>
    </row>
    <row r="2621" spans="2:4" x14ac:dyDescent="0.15">
      <c r="B2621" s="69"/>
      <c r="C2621" s="70"/>
      <c r="D2621" s="71"/>
    </row>
    <row r="2622" spans="2:4" x14ac:dyDescent="0.15">
      <c r="B2622" s="69"/>
      <c r="C2622" s="70"/>
      <c r="D2622" s="71"/>
    </row>
    <row r="2623" spans="2:4" x14ac:dyDescent="0.15">
      <c r="B2623" s="69"/>
      <c r="C2623" s="70"/>
      <c r="D2623" s="71"/>
    </row>
    <row r="2624" spans="2:4" x14ac:dyDescent="0.15">
      <c r="B2624" s="69"/>
      <c r="C2624" s="70"/>
      <c r="D2624" s="71"/>
    </row>
    <row r="2625" spans="2:4" x14ac:dyDescent="0.15">
      <c r="B2625" s="69"/>
      <c r="C2625" s="70"/>
      <c r="D2625" s="71"/>
    </row>
    <row r="2626" spans="2:4" x14ac:dyDescent="0.15">
      <c r="B2626" s="69"/>
      <c r="C2626" s="70"/>
      <c r="D2626" s="71"/>
    </row>
    <row r="2627" spans="2:4" x14ac:dyDescent="0.15">
      <c r="B2627" s="69"/>
      <c r="C2627" s="70"/>
      <c r="D2627" s="71"/>
    </row>
    <row r="2628" spans="2:4" x14ac:dyDescent="0.15">
      <c r="B2628" s="69"/>
      <c r="C2628" s="70"/>
      <c r="D2628" s="71"/>
    </row>
    <row r="2629" spans="2:4" x14ac:dyDescent="0.15">
      <c r="B2629" s="69"/>
      <c r="C2629" s="70"/>
      <c r="D2629" s="71"/>
    </row>
    <row r="2630" spans="2:4" x14ac:dyDescent="0.15">
      <c r="B2630" s="69"/>
      <c r="C2630" s="70"/>
      <c r="D2630" s="71"/>
    </row>
    <row r="2631" spans="2:4" x14ac:dyDescent="0.15">
      <c r="B2631" s="69"/>
      <c r="C2631" s="70"/>
      <c r="D2631" s="71"/>
    </row>
    <row r="2632" spans="2:4" x14ac:dyDescent="0.15">
      <c r="B2632" s="69"/>
      <c r="C2632" s="70"/>
      <c r="D2632" s="71"/>
    </row>
    <row r="2633" spans="2:4" x14ac:dyDescent="0.15">
      <c r="B2633" s="69"/>
      <c r="C2633" s="70"/>
      <c r="D2633" s="71"/>
    </row>
    <row r="2634" spans="2:4" x14ac:dyDescent="0.15">
      <c r="B2634" s="69"/>
      <c r="C2634" s="70"/>
      <c r="D2634" s="71"/>
    </row>
    <row r="2635" spans="2:4" x14ac:dyDescent="0.15">
      <c r="B2635" s="69"/>
      <c r="C2635" s="70"/>
      <c r="D2635" s="71"/>
    </row>
    <row r="2636" spans="2:4" x14ac:dyDescent="0.15">
      <c r="B2636" s="69"/>
      <c r="C2636" s="70"/>
      <c r="D2636" s="71"/>
    </row>
    <row r="2637" spans="2:4" x14ac:dyDescent="0.15">
      <c r="B2637" s="69"/>
      <c r="C2637" s="70"/>
      <c r="D2637" s="71"/>
    </row>
    <row r="2638" spans="2:4" x14ac:dyDescent="0.15">
      <c r="B2638" s="69"/>
      <c r="C2638" s="70"/>
      <c r="D2638" s="71"/>
    </row>
    <row r="2639" spans="2:4" x14ac:dyDescent="0.15">
      <c r="B2639" s="69"/>
      <c r="C2639" s="70"/>
      <c r="D2639" s="71"/>
    </row>
    <row r="2640" spans="2:4" x14ac:dyDescent="0.15">
      <c r="B2640" s="69"/>
      <c r="C2640" s="70"/>
      <c r="D2640" s="71"/>
    </row>
    <row r="2641" spans="2:4" x14ac:dyDescent="0.15">
      <c r="B2641" s="69"/>
      <c r="C2641" s="70"/>
      <c r="D2641" s="71"/>
    </row>
    <row r="2642" spans="2:4" x14ac:dyDescent="0.15">
      <c r="B2642" s="69"/>
      <c r="C2642" s="70"/>
      <c r="D2642" s="71"/>
    </row>
    <row r="2643" spans="2:4" x14ac:dyDescent="0.15">
      <c r="B2643" s="69"/>
      <c r="C2643" s="70"/>
      <c r="D2643" s="71"/>
    </row>
    <row r="2644" spans="2:4" x14ac:dyDescent="0.15">
      <c r="B2644" s="69"/>
      <c r="C2644" s="70"/>
      <c r="D2644" s="71"/>
    </row>
    <row r="2645" spans="2:4" x14ac:dyDescent="0.15">
      <c r="B2645" s="69"/>
      <c r="C2645" s="70"/>
      <c r="D2645" s="71"/>
    </row>
    <row r="2646" spans="2:4" x14ac:dyDescent="0.15">
      <c r="B2646" s="69"/>
      <c r="C2646" s="70"/>
      <c r="D2646" s="71"/>
    </row>
    <row r="2647" spans="2:4" x14ac:dyDescent="0.15">
      <c r="B2647" s="69"/>
      <c r="C2647" s="70"/>
      <c r="D2647" s="71"/>
    </row>
    <row r="2648" spans="2:4" x14ac:dyDescent="0.15">
      <c r="B2648" s="69"/>
      <c r="C2648" s="70"/>
      <c r="D2648" s="71"/>
    </row>
    <row r="2649" spans="2:4" x14ac:dyDescent="0.15">
      <c r="B2649" s="69"/>
      <c r="C2649" s="70"/>
      <c r="D2649" s="71"/>
    </row>
    <row r="2650" spans="2:4" x14ac:dyDescent="0.15">
      <c r="B2650" s="69"/>
      <c r="C2650" s="70"/>
      <c r="D2650" s="71"/>
    </row>
    <row r="2651" spans="2:4" x14ac:dyDescent="0.15">
      <c r="B2651" s="69"/>
      <c r="C2651" s="70"/>
      <c r="D2651" s="71"/>
    </row>
    <row r="2652" spans="2:4" x14ac:dyDescent="0.15">
      <c r="B2652" s="69"/>
      <c r="C2652" s="70"/>
      <c r="D2652" s="71"/>
    </row>
    <row r="2653" spans="2:4" x14ac:dyDescent="0.15">
      <c r="B2653" s="69"/>
      <c r="C2653" s="70"/>
      <c r="D2653" s="71"/>
    </row>
    <row r="2654" spans="2:4" x14ac:dyDescent="0.15">
      <c r="B2654" s="69"/>
      <c r="C2654" s="70"/>
      <c r="D2654" s="71"/>
    </row>
    <row r="2655" spans="2:4" x14ac:dyDescent="0.15">
      <c r="B2655" s="69"/>
      <c r="C2655" s="70"/>
      <c r="D2655" s="71"/>
    </row>
    <row r="2656" spans="2:4" x14ac:dyDescent="0.15">
      <c r="B2656" s="69"/>
      <c r="C2656" s="70"/>
      <c r="D2656" s="71"/>
    </row>
    <row r="2657" spans="2:4" x14ac:dyDescent="0.15">
      <c r="B2657" s="69"/>
      <c r="C2657" s="70"/>
      <c r="D2657" s="71"/>
    </row>
    <row r="2658" spans="2:4" x14ac:dyDescent="0.15">
      <c r="B2658" s="69"/>
      <c r="C2658" s="70"/>
      <c r="D2658" s="71"/>
    </row>
    <row r="2659" spans="2:4" x14ac:dyDescent="0.15">
      <c r="B2659" s="69"/>
      <c r="C2659" s="70"/>
      <c r="D2659" s="71"/>
    </row>
    <row r="2660" spans="2:4" x14ac:dyDescent="0.15">
      <c r="B2660" s="69"/>
      <c r="C2660" s="70"/>
      <c r="D2660" s="71"/>
    </row>
    <row r="2661" spans="2:4" x14ac:dyDescent="0.15">
      <c r="B2661" s="69"/>
      <c r="C2661" s="70"/>
      <c r="D2661" s="71"/>
    </row>
    <row r="2662" spans="2:4" x14ac:dyDescent="0.15">
      <c r="B2662" s="69"/>
      <c r="C2662" s="70"/>
      <c r="D2662" s="71"/>
    </row>
    <row r="2663" spans="2:4" x14ac:dyDescent="0.15">
      <c r="B2663" s="69"/>
      <c r="C2663" s="70"/>
      <c r="D2663" s="71"/>
    </row>
    <row r="2664" spans="2:4" x14ac:dyDescent="0.15">
      <c r="B2664" s="69"/>
      <c r="C2664" s="70"/>
      <c r="D2664" s="71"/>
    </row>
    <row r="2665" spans="2:4" x14ac:dyDescent="0.15">
      <c r="B2665" s="69"/>
      <c r="C2665" s="70"/>
      <c r="D2665" s="71"/>
    </row>
    <row r="2666" spans="2:4" x14ac:dyDescent="0.15">
      <c r="B2666" s="69"/>
      <c r="C2666" s="70"/>
      <c r="D2666" s="71"/>
    </row>
    <row r="2667" spans="2:4" x14ac:dyDescent="0.15">
      <c r="B2667" s="69"/>
      <c r="C2667" s="70"/>
      <c r="D2667" s="71"/>
    </row>
    <row r="2668" spans="2:4" x14ac:dyDescent="0.15">
      <c r="B2668" s="69"/>
      <c r="C2668" s="70"/>
      <c r="D2668" s="71"/>
    </row>
    <row r="2669" spans="2:4" x14ac:dyDescent="0.15">
      <c r="B2669" s="69"/>
      <c r="C2669" s="70"/>
      <c r="D2669" s="71"/>
    </row>
    <row r="2670" spans="2:4" x14ac:dyDescent="0.15">
      <c r="B2670" s="69"/>
      <c r="C2670" s="70"/>
      <c r="D2670" s="71"/>
    </row>
    <row r="2671" spans="2:4" x14ac:dyDescent="0.15">
      <c r="B2671" s="69"/>
      <c r="C2671" s="70"/>
      <c r="D2671" s="71"/>
    </row>
    <row r="2672" spans="2:4" x14ac:dyDescent="0.15">
      <c r="B2672" s="69"/>
      <c r="C2672" s="70"/>
      <c r="D2672" s="71"/>
    </row>
    <row r="2673" spans="2:4" x14ac:dyDescent="0.15">
      <c r="B2673" s="69"/>
      <c r="C2673" s="70"/>
      <c r="D2673" s="71"/>
    </row>
    <row r="2674" spans="2:4" x14ac:dyDescent="0.15">
      <c r="B2674" s="69"/>
      <c r="C2674" s="70"/>
      <c r="D2674" s="71"/>
    </row>
    <row r="2675" spans="2:4" x14ac:dyDescent="0.15">
      <c r="B2675" s="69"/>
      <c r="C2675" s="70"/>
      <c r="D2675" s="71"/>
    </row>
    <row r="2676" spans="2:4" x14ac:dyDescent="0.15">
      <c r="B2676" s="69"/>
      <c r="C2676" s="70"/>
      <c r="D2676" s="71"/>
    </row>
    <row r="2677" spans="2:4" x14ac:dyDescent="0.15">
      <c r="B2677" s="69"/>
      <c r="C2677" s="70"/>
      <c r="D2677" s="71"/>
    </row>
    <row r="2678" spans="2:4" x14ac:dyDescent="0.15">
      <c r="B2678" s="69"/>
      <c r="C2678" s="70"/>
      <c r="D2678" s="71"/>
    </row>
    <row r="2679" spans="2:4" x14ac:dyDescent="0.15">
      <c r="B2679" s="69"/>
      <c r="C2679" s="70"/>
      <c r="D2679" s="71"/>
    </row>
    <row r="2680" spans="2:4" x14ac:dyDescent="0.15">
      <c r="B2680" s="69"/>
      <c r="C2680" s="70"/>
      <c r="D2680" s="71"/>
    </row>
    <row r="2681" spans="2:4" x14ac:dyDescent="0.15">
      <c r="B2681" s="69"/>
      <c r="C2681" s="70"/>
      <c r="D2681" s="71"/>
    </row>
    <row r="2682" spans="2:4" x14ac:dyDescent="0.15">
      <c r="B2682" s="69"/>
      <c r="C2682" s="70"/>
      <c r="D2682" s="71"/>
    </row>
    <row r="2683" spans="2:4" x14ac:dyDescent="0.15">
      <c r="B2683" s="69"/>
      <c r="C2683" s="70"/>
      <c r="D2683" s="71"/>
    </row>
    <row r="2684" spans="2:4" x14ac:dyDescent="0.15">
      <c r="B2684" s="69"/>
      <c r="C2684" s="70"/>
      <c r="D2684" s="71"/>
    </row>
    <row r="2685" spans="2:4" x14ac:dyDescent="0.15">
      <c r="B2685" s="69"/>
      <c r="C2685" s="70"/>
      <c r="D2685" s="71"/>
    </row>
    <row r="2686" spans="2:4" x14ac:dyDescent="0.15">
      <c r="B2686" s="69"/>
      <c r="C2686" s="70"/>
      <c r="D2686" s="71"/>
    </row>
    <row r="2687" spans="2:4" x14ac:dyDescent="0.15">
      <c r="B2687" s="69"/>
      <c r="C2687" s="70"/>
      <c r="D2687" s="71"/>
    </row>
    <row r="2688" spans="2:4" x14ac:dyDescent="0.15">
      <c r="B2688" s="69"/>
      <c r="C2688" s="70"/>
      <c r="D2688" s="71"/>
    </row>
    <row r="2689" spans="2:4" x14ac:dyDescent="0.15">
      <c r="B2689" s="69"/>
      <c r="C2689" s="70"/>
      <c r="D2689" s="71"/>
    </row>
    <row r="2690" spans="2:4" x14ac:dyDescent="0.15">
      <c r="B2690" s="69"/>
      <c r="C2690" s="70"/>
      <c r="D2690" s="71"/>
    </row>
    <row r="2691" spans="2:4" x14ac:dyDescent="0.15">
      <c r="B2691" s="69"/>
      <c r="C2691" s="70"/>
      <c r="D2691" s="71"/>
    </row>
    <row r="2692" spans="2:4" x14ac:dyDescent="0.15">
      <c r="B2692" s="69"/>
      <c r="C2692" s="70"/>
      <c r="D2692" s="71"/>
    </row>
    <row r="2693" spans="2:4" x14ac:dyDescent="0.15">
      <c r="B2693" s="69"/>
      <c r="C2693" s="70"/>
      <c r="D2693" s="71"/>
    </row>
    <row r="2694" spans="2:4" x14ac:dyDescent="0.15">
      <c r="B2694" s="69"/>
      <c r="C2694" s="70"/>
      <c r="D2694" s="71"/>
    </row>
    <row r="2695" spans="2:4" x14ac:dyDescent="0.15">
      <c r="B2695" s="69"/>
      <c r="C2695" s="70"/>
      <c r="D2695" s="71"/>
    </row>
    <row r="2696" spans="2:4" x14ac:dyDescent="0.15">
      <c r="B2696" s="69"/>
      <c r="C2696" s="70"/>
      <c r="D2696" s="71"/>
    </row>
    <row r="2697" spans="2:4" x14ac:dyDescent="0.15">
      <c r="B2697" s="69"/>
      <c r="C2697" s="70"/>
      <c r="D2697" s="71"/>
    </row>
    <row r="2698" spans="2:4" x14ac:dyDescent="0.15">
      <c r="B2698" s="69"/>
      <c r="C2698" s="70"/>
      <c r="D2698" s="71"/>
    </row>
    <row r="2699" spans="2:4" x14ac:dyDescent="0.15">
      <c r="B2699" s="69"/>
      <c r="C2699" s="70"/>
      <c r="D2699" s="71"/>
    </row>
    <row r="2700" spans="2:4" x14ac:dyDescent="0.15">
      <c r="B2700" s="69"/>
      <c r="C2700" s="70"/>
      <c r="D2700" s="71"/>
    </row>
    <row r="2701" spans="2:4" x14ac:dyDescent="0.15">
      <c r="B2701" s="69"/>
      <c r="C2701" s="70"/>
      <c r="D2701" s="71"/>
    </row>
    <row r="2702" spans="2:4" x14ac:dyDescent="0.15">
      <c r="B2702" s="69"/>
      <c r="C2702" s="70"/>
      <c r="D2702" s="71"/>
    </row>
    <row r="2703" spans="2:4" x14ac:dyDescent="0.15">
      <c r="B2703" s="69"/>
      <c r="C2703" s="70"/>
      <c r="D2703" s="71"/>
    </row>
    <row r="2704" spans="2:4" x14ac:dyDescent="0.15">
      <c r="B2704" s="69"/>
      <c r="C2704" s="70"/>
      <c r="D2704" s="71"/>
    </row>
    <row r="2705" spans="2:4" x14ac:dyDescent="0.15">
      <c r="B2705" s="69"/>
      <c r="C2705" s="70"/>
      <c r="D2705" s="71"/>
    </row>
    <row r="2706" spans="2:4" x14ac:dyDescent="0.15">
      <c r="B2706" s="69"/>
      <c r="C2706" s="70"/>
      <c r="D2706" s="71"/>
    </row>
    <row r="2707" spans="2:4" x14ac:dyDescent="0.15">
      <c r="B2707" s="69"/>
      <c r="C2707" s="70"/>
      <c r="D2707" s="71"/>
    </row>
    <row r="2708" spans="2:4" x14ac:dyDescent="0.15">
      <c r="B2708" s="69"/>
      <c r="C2708" s="70"/>
      <c r="D2708" s="71"/>
    </row>
    <row r="2709" spans="2:4" x14ac:dyDescent="0.15">
      <c r="B2709" s="69"/>
      <c r="C2709" s="70"/>
      <c r="D2709" s="71"/>
    </row>
    <row r="2710" spans="2:4" x14ac:dyDescent="0.15">
      <c r="B2710" s="69"/>
      <c r="C2710" s="70"/>
      <c r="D2710" s="71"/>
    </row>
    <row r="2711" spans="2:4" x14ac:dyDescent="0.15">
      <c r="B2711" s="69"/>
      <c r="C2711" s="70"/>
      <c r="D2711" s="71"/>
    </row>
    <row r="2712" spans="2:4" x14ac:dyDescent="0.15">
      <c r="B2712" s="69"/>
      <c r="C2712" s="70"/>
      <c r="D2712" s="71"/>
    </row>
    <row r="2713" spans="2:4" x14ac:dyDescent="0.15">
      <c r="B2713" s="69"/>
      <c r="C2713" s="70"/>
      <c r="D2713" s="71"/>
    </row>
    <row r="2714" spans="2:4" x14ac:dyDescent="0.15">
      <c r="B2714" s="69"/>
      <c r="C2714" s="70"/>
      <c r="D2714" s="71"/>
    </row>
    <row r="2715" spans="2:4" x14ac:dyDescent="0.15">
      <c r="B2715" s="69"/>
      <c r="C2715" s="70"/>
      <c r="D2715" s="71"/>
    </row>
    <row r="2716" spans="2:4" x14ac:dyDescent="0.15">
      <c r="B2716" s="69"/>
      <c r="C2716" s="70"/>
      <c r="D2716" s="71"/>
    </row>
    <row r="2717" spans="2:4" x14ac:dyDescent="0.15">
      <c r="B2717" s="69"/>
      <c r="C2717" s="70"/>
      <c r="D2717" s="71"/>
    </row>
    <row r="2718" spans="2:4" x14ac:dyDescent="0.15">
      <c r="B2718" s="69"/>
      <c r="C2718" s="70"/>
      <c r="D2718" s="71"/>
    </row>
    <row r="2719" spans="2:4" x14ac:dyDescent="0.15">
      <c r="B2719" s="69"/>
      <c r="C2719" s="70"/>
      <c r="D2719" s="71"/>
    </row>
    <row r="2720" spans="2:4" x14ac:dyDescent="0.15">
      <c r="B2720" s="69"/>
      <c r="C2720" s="70"/>
      <c r="D2720" s="71"/>
    </row>
    <row r="2721" spans="2:4" x14ac:dyDescent="0.15">
      <c r="B2721" s="69"/>
      <c r="C2721" s="70"/>
      <c r="D2721" s="71"/>
    </row>
    <row r="2722" spans="2:4" x14ac:dyDescent="0.15">
      <c r="B2722" s="69"/>
      <c r="C2722" s="70"/>
      <c r="D2722" s="71"/>
    </row>
    <row r="2723" spans="2:4" x14ac:dyDescent="0.15">
      <c r="B2723" s="69"/>
      <c r="C2723" s="70"/>
      <c r="D2723" s="71"/>
    </row>
    <row r="2724" spans="2:4" x14ac:dyDescent="0.15">
      <c r="B2724" s="69"/>
      <c r="C2724" s="70"/>
      <c r="D2724" s="71"/>
    </row>
    <row r="2725" spans="2:4" x14ac:dyDescent="0.15">
      <c r="B2725" s="69"/>
      <c r="C2725" s="70"/>
      <c r="D2725" s="71"/>
    </row>
    <row r="2726" spans="2:4" x14ac:dyDescent="0.15">
      <c r="B2726" s="69"/>
      <c r="C2726" s="70"/>
      <c r="D2726" s="71"/>
    </row>
    <row r="2727" spans="2:4" x14ac:dyDescent="0.15">
      <c r="B2727" s="69"/>
      <c r="C2727" s="70"/>
      <c r="D2727" s="71"/>
    </row>
    <row r="2728" spans="2:4" x14ac:dyDescent="0.15">
      <c r="B2728" s="69"/>
      <c r="C2728" s="70"/>
      <c r="D2728" s="71"/>
    </row>
    <row r="2729" spans="2:4" x14ac:dyDescent="0.15">
      <c r="B2729" s="69"/>
      <c r="C2729" s="70"/>
      <c r="D2729" s="71"/>
    </row>
    <row r="2730" spans="2:4" x14ac:dyDescent="0.15">
      <c r="B2730" s="69"/>
      <c r="C2730" s="70"/>
      <c r="D2730" s="71"/>
    </row>
    <row r="2731" spans="2:4" x14ac:dyDescent="0.15">
      <c r="B2731" s="69"/>
      <c r="C2731" s="70"/>
      <c r="D2731" s="71"/>
    </row>
    <row r="2732" spans="2:4" x14ac:dyDescent="0.15">
      <c r="B2732" s="69"/>
      <c r="C2732" s="70"/>
      <c r="D2732" s="71"/>
    </row>
    <row r="2733" spans="2:4" x14ac:dyDescent="0.15">
      <c r="B2733" s="69"/>
      <c r="C2733" s="70"/>
      <c r="D2733" s="71"/>
    </row>
    <row r="2734" spans="2:4" x14ac:dyDescent="0.15">
      <c r="B2734" s="69"/>
      <c r="C2734" s="70"/>
      <c r="D2734" s="71"/>
    </row>
    <row r="2735" spans="2:4" x14ac:dyDescent="0.15">
      <c r="B2735" s="69"/>
      <c r="C2735" s="70"/>
      <c r="D2735" s="71"/>
    </row>
    <row r="2736" spans="2:4" x14ac:dyDescent="0.15">
      <c r="B2736" s="69"/>
      <c r="C2736" s="70"/>
      <c r="D2736" s="71"/>
    </row>
    <row r="2737" spans="2:4" x14ac:dyDescent="0.15">
      <c r="B2737" s="69"/>
      <c r="C2737" s="70"/>
      <c r="D2737" s="71"/>
    </row>
    <row r="2738" spans="2:4" x14ac:dyDescent="0.15">
      <c r="B2738" s="69"/>
      <c r="C2738" s="70"/>
      <c r="D2738" s="71"/>
    </row>
    <row r="2739" spans="2:4" x14ac:dyDescent="0.15">
      <c r="B2739" s="69"/>
      <c r="C2739" s="70"/>
      <c r="D2739" s="71"/>
    </row>
    <row r="2740" spans="2:4" x14ac:dyDescent="0.15">
      <c r="B2740" s="69"/>
      <c r="C2740" s="70"/>
      <c r="D2740" s="71"/>
    </row>
    <row r="2741" spans="2:4" x14ac:dyDescent="0.15">
      <c r="B2741" s="69"/>
      <c r="C2741" s="70"/>
      <c r="D2741" s="71"/>
    </row>
    <row r="2742" spans="2:4" x14ac:dyDescent="0.15">
      <c r="B2742" s="69"/>
      <c r="C2742" s="70"/>
      <c r="D2742" s="71"/>
    </row>
    <row r="2743" spans="2:4" x14ac:dyDescent="0.15">
      <c r="B2743" s="69"/>
      <c r="C2743" s="70"/>
      <c r="D2743" s="71"/>
    </row>
    <row r="2744" spans="2:4" x14ac:dyDescent="0.15">
      <c r="B2744" s="69"/>
      <c r="C2744" s="70"/>
      <c r="D2744" s="71"/>
    </row>
    <row r="2745" spans="2:4" x14ac:dyDescent="0.15">
      <c r="B2745" s="69"/>
      <c r="C2745" s="70"/>
      <c r="D2745" s="71"/>
    </row>
    <row r="2746" spans="2:4" x14ac:dyDescent="0.15">
      <c r="B2746" s="69"/>
      <c r="C2746" s="70"/>
      <c r="D2746" s="71"/>
    </row>
    <row r="2747" spans="2:4" x14ac:dyDescent="0.15">
      <c r="B2747" s="69"/>
      <c r="C2747" s="70"/>
      <c r="D2747" s="71"/>
    </row>
    <row r="2748" spans="2:4" x14ac:dyDescent="0.15">
      <c r="B2748" s="69"/>
      <c r="C2748" s="70"/>
      <c r="D2748" s="71"/>
    </row>
    <row r="2749" spans="2:4" x14ac:dyDescent="0.15">
      <c r="B2749" s="69"/>
      <c r="C2749" s="70"/>
      <c r="D2749" s="71"/>
    </row>
    <row r="2750" spans="2:4" x14ac:dyDescent="0.15">
      <c r="B2750" s="69"/>
      <c r="C2750" s="70"/>
      <c r="D2750" s="71"/>
    </row>
    <row r="2751" spans="2:4" x14ac:dyDescent="0.15">
      <c r="B2751" s="69"/>
      <c r="C2751" s="70"/>
      <c r="D2751" s="71"/>
    </row>
    <row r="2752" spans="2:4" x14ac:dyDescent="0.15">
      <c r="B2752" s="69"/>
      <c r="C2752" s="70"/>
      <c r="D2752" s="71"/>
    </row>
    <row r="2753" spans="2:4" x14ac:dyDescent="0.15">
      <c r="B2753" s="69"/>
      <c r="C2753" s="70"/>
      <c r="D2753" s="71"/>
    </row>
    <row r="2754" spans="2:4" x14ac:dyDescent="0.15">
      <c r="B2754" s="69"/>
      <c r="C2754" s="70"/>
      <c r="D2754" s="71"/>
    </row>
    <row r="2755" spans="2:4" x14ac:dyDescent="0.15">
      <c r="B2755" s="69"/>
      <c r="C2755" s="70"/>
      <c r="D2755" s="71"/>
    </row>
    <row r="2756" spans="2:4" x14ac:dyDescent="0.15">
      <c r="B2756" s="69"/>
      <c r="C2756" s="70"/>
      <c r="D2756" s="71"/>
    </row>
    <row r="2757" spans="2:4" x14ac:dyDescent="0.15">
      <c r="B2757" s="69"/>
      <c r="C2757" s="70"/>
      <c r="D2757" s="71"/>
    </row>
    <row r="2758" spans="2:4" x14ac:dyDescent="0.15">
      <c r="B2758" s="69"/>
      <c r="C2758" s="70"/>
      <c r="D2758" s="71"/>
    </row>
    <row r="2759" spans="2:4" x14ac:dyDescent="0.15">
      <c r="B2759" s="69"/>
      <c r="C2759" s="70"/>
      <c r="D2759" s="71"/>
    </row>
    <row r="2760" spans="2:4" x14ac:dyDescent="0.15">
      <c r="B2760" s="69"/>
      <c r="C2760" s="70"/>
      <c r="D2760" s="71"/>
    </row>
    <row r="2761" spans="2:4" x14ac:dyDescent="0.15">
      <c r="B2761" s="69"/>
      <c r="C2761" s="70"/>
      <c r="D2761" s="71"/>
    </row>
    <row r="2762" spans="2:4" x14ac:dyDescent="0.15">
      <c r="B2762" s="69"/>
      <c r="C2762" s="70"/>
      <c r="D2762" s="71"/>
    </row>
    <row r="2763" spans="2:4" x14ac:dyDescent="0.15">
      <c r="B2763" s="69"/>
      <c r="C2763" s="70"/>
      <c r="D2763" s="71"/>
    </row>
    <row r="2764" spans="2:4" x14ac:dyDescent="0.15">
      <c r="B2764" s="69"/>
      <c r="C2764" s="70"/>
      <c r="D2764" s="71"/>
    </row>
    <row r="2765" spans="2:4" x14ac:dyDescent="0.15">
      <c r="B2765" s="69"/>
      <c r="C2765" s="70"/>
      <c r="D2765" s="71"/>
    </row>
    <row r="2766" spans="2:4" x14ac:dyDescent="0.15">
      <c r="B2766" s="69"/>
      <c r="C2766" s="70"/>
      <c r="D2766" s="71"/>
    </row>
    <row r="2767" spans="2:4" x14ac:dyDescent="0.15">
      <c r="B2767" s="69"/>
      <c r="C2767" s="70"/>
      <c r="D2767" s="71"/>
    </row>
    <row r="2768" spans="2:4" x14ac:dyDescent="0.15">
      <c r="B2768" s="69"/>
      <c r="C2768" s="70"/>
      <c r="D2768" s="71"/>
    </row>
    <row r="2769" spans="2:4" x14ac:dyDescent="0.15">
      <c r="B2769" s="69"/>
      <c r="C2769" s="70"/>
      <c r="D2769" s="71"/>
    </row>
    <row r="2770" spans="2:4" x14ac:dyDescent="0.15">
      <c r="B2770" s="69"/>
      <c r="C2770" s="70"/>
      <c r="D2770" s="71"/>
    </row>
    <row r="2771" spans="2:4" x14ac:dyDescent="0.15">
      <c r="B2771" s="69"/>
      <c r="C2771" s="70"/>
      <c r="D2771" s="71"/>
    </row>
    <row r="2772" spans="2:4" x14ac:dyDescent="0.15">
      <c r="B2772" s="69"/>
      <c r="C2772" s="70"/>
      <c r="D2772" s="71"/>
    </row>
    <row r="2773" spans="2:4" x14ac:dyDescent="0.15">
      <c r="B2773" s="69"/>
      <c r="C2773" s="70"/>
      <c r="D2773" s="71"/>
    </row>
    <row r="2774" spans="2:4" x14ac:dyDescent="0.15">
      <c r="B2774" s="69"/>
      <c r="C2774" s="70"/>
      <c r="D2774" s="71"/>
    </row>
    <row r="2775" spans="2:4" x14ac:dyDescent="0.15">
      <c r="B2775" s="69"/>
      <c r="C2775" s="70"/>
      <c r="D2775" s="71"/>
    </row>
    <row r="2776" spans="2:4" x14ac:dyDescent="0.15">
      <c r="B2776" s="69"/>
      <c r="C2776" s="70"/>
      <c r="D2776" s="71"/>
    </row>
    <row r="2777" spans="2:4" x14ac:dyDescent="0.15">
      <c r="B2777" s="69"/>
      <c r="C2777" s="70"/>
      <c r="D2777" s="71"/>
    </row>
    <row r="2778" spans="2:4" x14ac:dyDescent="0.15">
      <c r="B2778" s="69"/>
      <c r="C2778" s="70"/>
      <c r="D2778" s="71"/>
    </row>
    <row r="2779" spans="2:4" x14ac:dyDescent="0.15">
      <c r="B2779" s="69"/>
      <c r="C2779" s="70"/>
      <c r="D2779" s="71"/>
    </row>
    <row r="2780" spans="2:4" x14ac:dyDescent="0.15">
      <c r="B2780" s="69"/>
      <c r="C2780" s="70"/>
      <c r="D2780" s="71"/>
    </row>
    <row r="2781" spans="2:4" x14ac:dyDescent="0.15">
      <c r="B2781" s="69"/>
      <c r="C2781" s="70"/>
      <c r="D2781" s="71"/>
    </row>
    <row r="2782" spans="2:4" x14ac:dyDescent="0.15">
      <c r="B2782" s="69"/>
      <c r="C2782" s="70"/>
      <c r="D2782" s="71"/>
    </row>
    <row r="2783" spans="2:4" x14ac:dyDescent="0.15">
      <c r="B2783" s="69"/>
      <c r="C2783" s="70"/>
      <c r="D2783" s="71"/>
    </row>
    <row r="2784" spans="2:4" x14ac:dyDescent="0.15">
      <c r="B2784" s="69"/>
      <c r="C2784" s="70"/>
      <c r="D2784" s="71"/>
    </row>
    <row r="2785" spans="2:4" x14ac:dyDescent="0.15">
      <c r="B2785" s="69"/>
      <c r="C2785" s="70"/>
      <c r="D2785" s="71"/>
    </row>
    <row r="2786" spans="2:4" x14ac:dyDescent="0.15">
      <c r="B2786" s="69"/>
      <c r="C2786" s="70"/>
      <c r="D2786" s="71"/>
    </row>
    <row r="2787" spans="2:4" x14ac:dyDescent="0.15">
      <c r="B2787" s="69"/>
      <c r="C2787" s="70"/>
      <c r="D2787" s="71"/>
    </row>
    <row r="2788" spans="2:4" x14ac:dyDescent="0.15">
      <c r="B2788" s="69"/>
      <c r="C2788" s="70"/>
      <c r="D2788" s="71"/>
    </row>
    <row r="2789" spans="2:4" x14ac:dyDescent="0.15">
      <c r="B2789" s="69"/>
      <c r="C2789" s="70"/>
      <c r="D2789" s="71"/>
    </row>
    <row r="2790" spans="2:4" x14ac:dyDescent="0.15">
      <c r="B2790" s="69"/>
      <c r="C2790" s="70"/>
      <c r="D2790" s="71"/>
    </row>
    <row r="2791" spans="2:4" x14ac:dyDescent="0.15">
      <c r="B2791" s="69"/>
      <c r="C2791" s="70"/>
      <c r="D2791" s="71"/>
    </row>
    <row r="2792" spans="2:4" x14ac:dyDescent="0.15">
      <c r="B2792" s="69"/>
      <c r="C2792" s="70"/>
      <c r="D2792" s="71"/>
    </row>
    <row r="2793" spans="2:4" x14ac:dyDescent="0.15">
      <c r="B2793" s="69"/>
      <c r="C2793" s="70"/>
      <c r="D2793" s="71"/>
    </row>
    <row r="2794" spans="2:4" x14ac:dyDescent="0.15">
      <c r="B2794" s="69"/>
      <c r="C2794" s="70"/>
      <c r="D2794" s="71"/>
    </row>
    <row r="2795" spans="2:4" x14ac:dyDescent="0.15">
      <c r="B2795" s="69"/>
      <c r="C2795" s="70"/>
      <c r="D2795" s="71"/>
    </row>
    <row r="2796" spans="2:4" x14ac:dyDescent="0.15">
      <c r="B2796" s="69"/>
      <c r="C2796" s="70"/>
      <c r="D2796" s="71"/>
    </row>
    <row r="2797" spans="2:4" x14ac:dyDescent="0.15">
      <c r="B2797" s="69"/>
      <c r="C2797" s="70"/>
      <c r="D2797" s="71"/>
    </row>
    <row r="2798" spans="2:4" x14ac:dyDescent="0.15">
      <c r="B2798" s="69"/>
      <c r="C2798" s="70"/>
      <c r="D2798" s="71"/>
    </row>
    <row r="2799" spans="2:4" x14ac:dyDescent="0.15">
      <c r="B2799" s="69"/>
      <c r="C2799" s="70"/>
      <c r="D2799" s="71"/>
    </row>
    <row r="2800" spans="2:4" x14ac:dyDescent="0.15">
      <c r="B2800" s="69"/>
      <c r="C2800" s="70"/>
      <c r="D2800" s="71"/>
    </row>
    <row r="2801" spans="2:4" x14ac:dyDescent="0.15">
      <c r="B2801" s="69"/>
      <c r="C2801" s="70"/>
      <c r="D2801" s="71"/>
    </row>
    <row r="2802" spans="2:4" x14ac:dyDescent="0.15">
      <c r="B2802" s="69"/>
      <c r="C2802" s="70"/>
      <c r="D2802" s="71"/>
    </row>
    <row r="2803" spans="2:4" x14ac:dyDescent="0.15">
      <c r="B2803" s="69"/>
      <c r="C2803" s="70"/>
      <c r="D2803" s="71"/>
    </row>
    <row r="2804" spans="2:4" x14ac:dyDescent="0.15">
      <c r="B2804" s="69"/>
      <c r="C2804" s="70"/>
      <c r="D2804" s="71"/>
    </row>
    <row r="2805" spans="2:4" x14ac:dyDescent="0.15">
      <c r="B2805" s="69"/>
      <c r="C2805" s="70"/>
      <c r="D2805" s="71"/>
    </row>
    <row r="2806" spans="2:4" x14ac:dyDescent="0.15">
      <c r="B2806" s="69"/>
      <c r="C2806" s="70"/>
      <c r="D2806" s="71"/>
    </row>
    <row r="2807" spans="2:4" x14ac:dyDescent="0.15">
      <c r="B2807" s="69"/>
      <c r="C2807" s="70"/>
      <c r="D2807" s="71"/>
    </row>
    <row r="2808" spans="2:4" x14ac:dyDescent="0.15">
      <c r="B2808" s="69"/>
      <c r="C2808" s="70"/>
      <c r="D2808" s="71"/>
    </row>
    <row r="2809" spans="2:4" x14ac:dyDescent="0.15">
      <c r="B2809" s="69"/>
      <c r="C2809" s="70"/>
      <c r="D2809" s="71"/>
    </row>
    <row r="2810" spans="2:4" x14ac:dyDescent="0.15">
      <c r="B2810" s="69"/>
      <c r="C2810" s="70"/>
      <c r="D2810" s="71"/>
    </row>
    <row r="2811" spans="2:4" x14ac:dyDescent="0.15">
      <c r="B2811" s="69"/>
      <c r="C2811" s="70"/>
      <c r="D2811" s="71"/>
    </row>
    <row r="2812" spans="2:4" x14ac:dyDescent="0.15">
      <c r="B2812" s="69"/>
      <c r="C2812" s="70"/>
      <c r="D2812" s="71"/>
    </row>
    <row r="2813" spans="2:4" x14ac:dyDescent="0.15">
      <c r="B2813" s="69"/>
      <c r="C2813" s="70"/>
      <c r="D2813" s="71"/>
    </row>
    <row r="2814" spans="2:4" x14ac:dyDescent="0.15">
      <c r="B2814" s="69"/>
      <c r="C2814" s="70"/>
      <c r="D2814" s="71"/>
    </row>
    <row r="2815" spans="2:4" x14ac:dyDescent="0.15">
      <c r="B2815" s="69"/>
      <c r="C2815" s="70"/>
      <c r="D2815" s="71"/>
    </row>
    <row r="2816" spans="2:4" x14ac:dyDescent="0.15">
      <c r="B2816" s="69"/>
      <c r="C2816" s="70"/>
      <c r="D2816" s="71"/>
    </row>
    <row r="2817" spans="2:4" x14ac:dyDescent="0.15">
      <c r="B2817" s="69"/>
      <c r="C2817" s="70"/>
      <c r="D2817" s="71"/>
    </row>
    <row r="2818" spans="2:4" x14ac:dyDescent="0.15">
      <c r="B2818" s="69"/>
      <c r="C2818" s="70"/>
      <c r="D2818" s="71"/>
    </row>
    <row r="2819" spans="2:4" x14ac:dyDescent="0.15">
      <c r="B2819" s="69"/>
      <c r="C2819" s="70"/>
      <c r="D2819" s="71"/>
    </row>
    <row r="2820" spans="2:4" x14ac:dyDescent="0.15">
      <c r="B2820" s="69"/>
      <c r="C2820" s="70"/>
      <c r="D2820" s="71"/>
    </row>
    <row r="2821" spans="2:4" x14ac:dyDescent="0.15">
      <c r="B2821" s="69"/>
      <c r="C2821" s="70"/>
      <c r="D2821" s="71"/>
    </row>
    <row r="2822" spans="2:4" x14ac:dyDescent="0.15">
      <c r="B2822" s="69"/>
      <c r="C2822" s="70"/>
      <c r="D2822" s="71"/>
    </row>
    <row r="2823" spans="2:4" x14ac:dyDescent="0.15">
      <c r="B2823" s="69"/>
      <c r="C2823" s="70"/>
      <c r="D2823" s="71"/>
    </row>
    <row r="2824" spans="2:4" x14ac:dyDescent="0.15">
      <c r="B2824" s="69"/>
      <c r="C2824" s="70"/>
      <c r="D2824" s="71"/>
    </row>
    <row r="2825" spans="2:4" x14ac:dyDescent="0.15">
      <c r="B2825" s="69"/>
      <c r="C2825" s="70"/>
      <c r="D2825" s="71"/>
    </row>
    <row r="2826" spans="2:4" x14ac:dyDescent="0.15">
      <c r="B2826" s="69"/>
      <c r="C2826" s="70"/>
      <c r="D2826" s="71"/>
    </row>
    <row r="2827" spans="2:4" x14ac:dyDescent="0.15">
      <c r="B2827" s="69"/>
      <c r="C2827" s="70"/>
      <c r="D2827" s="71"/>
    </row>
    <row r="2828" spans="2:4" x14ac:dyDescent="0.15">
      <c r="B2828" s="69"/>
      <c r="C2828" s="70"/>
      <c r="D2828" s="71"/>
    </row>
    <row r="2829" spans="2:4" x14ac:dyDescent="0.15">
      <c r="B2829" s="69"/>
      <c r="C2829" s="70"/>
      <c r="D2829" s="71"/>
    </row>
    <row r="2830" spans="2:4" x14ac:dyDescent="0.15">
      <c r="B2830" s="69"/>
      <c r="C2830" s="70"/>
      <c r="D2830" s="71"/>
    </row>
    <row r="2831" spans="2:4" x14ac:dyDescent="0.15">
      <c r="B2831" s="69"/>
      <c r="C2831" s="70"/>
      <c r="D2831" s="71"/>
    </row>
    <row r="2832" spans="2:4" x14ac:dyDescent="0.15">
      <c r="B2832" s="69"/>
      <c r="C2832" s="70"/>
      <c r="D2832" s="71"/>
    </row>
    <row r="2833" spans="2:4" x14ac:dyDescent="0.15">
      <c r="B2833" s="69"/>
      <c r="C2833" s="70"/>
      <c r="D2833" s="71"/>
    </row>
    <row r="2834" spans="2:4" x14ac:dyDescent="0.15">
      <c r="B2834" s="69"/>
      <c r="C2834" s="70"/>
      <c r="D2834" s="71"/>
    </row>
    <row r="2835" spans="2:4" x14ac:dyDescent="0.15">
      <c r="B2835" s="69"/>
      <c r="C2835" s="70"/>
      <c r="D2835" s="71"/>
    </row>
    <row r="2836" spans="2:4" x14ac:dyDescent="0.15">
      <c r="B2836" s="69"/>
      <c r="C2836" s="70"/>
      <c r="D2836" s="71"/>
    </row>
    <row r="2837" spans="2:4" x14ac:dyDescent="0.15">
      <c r="B2837" s="69"/>
      <c r="C2837" s="70"/>
      <c r="D2837" s="71"/>
    </row>
    <row r="2838" spans="2:4" x14ac:dyDescent="0.15">
      <c r="B2838" s="69"/>
      <c r="C2838" s="70"/>
      <c r="D2838" s="71"/>
    </row>
    <row r="2839" spans="2:4" x14ac:dyDescent="0.15">
      <c r="B2839" s="69"/>
      <c r="C2839" s="70"/>
      <c r="D2839" s="71"/>
    </row>
    <row r="2840" spans="2:4" x14ac:dyDescent="0.15">
      <c r="B2840" s="69"/>
      <c r="C2840" s="70"/>
      <c r="D2840" s="71"/>
    </row>
    <row r="2841" spans="2:4" x14ac:dyDescent="0.15">
      <c r="B2841" s="69"/>
      <c r="C2841" s="70"/>
      <c r="D2841" s="71"/>
    </row>
    <row r="2842" spans="2:4" x14ac:dyDescent="0.15">
      <c r="B2842" s="69"/>
      <c r="C2842" s="70"/>
      <c r="D2842" s="71"/>
    </row>
    <row r="2843" spans="2:4" x14ac:dyDescent="0.15">
      <c r="B2843" s="69"/>
      <c r="C2843" s="70"/>
      <c r="D2843" s="71"/>
    </row>
    <row r="2844" spans="2:4" x14ac:dyDescent="0.15">
      <c r="B2844" s="69"/>
      <c r="C2844" s="70"/>
      <c r="D2844" s="71"/>
    </row>
    <row r="2845" spans="2:4" x14ac:dyDescent="0.15">
      <c r="B2845" s="69"/>
      <c r="C2845" s="70"/>
      <c r="D2845" s="71"/>
    </row>
    <row r="2846" spans="2:4" x14ac:dyDescent="0.15">
      <c r="B2846" s="69"/>
      <c r="C2846" s="70"/>
      <c r="D2846" s="71"/>
    </row>
    <row r="2847" spans="2:4" x14ac:dyDescent="0.15">
      <c r="B2847" s="69"/>
      <c r="C2847" s="70"/>
      <c r="D2847" s="71"/>
    </row>
    <row r="2848" spans="2:4" x14ac:dyDescent="0.15">
      <c r="B2848" s="69"/>
      <c r="C2848" s="70"/>
      <c r="D2848" s="71"/>
    </row>
    <row r="2849" spans="2:4" x14ac:dyDescent="0.15">
      <c r="B2849" s="69"/>
      <c r="C2849" s="70"/>
      <c r="D2849" s="71"/>
    </row>
    <row r="2850" spans="2:4" x14ac:dyDescent="0.15">
      <c r="B2850" s="69"/>
      <c r="C2850" s="70"/>
      <c r="D2850" s="71"/>
    </row>
    <row r="2851" spans="2:4" x14ac:dyDescent="0.15">
      <c r="B2851" s="69"/>
      <c r="C2851" s="70"/>
      <c r="D2851" s="71"/>
    </row>
    <row r="2852" spans="2:4" x14ac:dyDescent="0.15">
      <c r="B2852" s="69"/>
      <c r="C2852" s="70"/>
      <c r="D2852" s="71"/>
    </row>
    <row r="2853" spans="2:4" x14ac:dyDescent="0.15">
      <c r="B2853" s="69"/>
      <c r="C2853" s="70"/>
      <c r="D2853" s="71"/>
    </row>
    <row r="2854" spans="2:4" x14ac:dyDescent="0.15">
      <c r="B2854" s="69"/>
      <c r="C2854" s="70"/>
      <c r="D2854" s="71"/>
    </row>
    <row r="2855" spans="2:4" x14ac:dyDescent="0.15">
      <c r="B2855" s="69"/>
      <c r="C2855" s="70"/>
      <c r="D2855" s="71"/>
    </row>
    <row r="2856" spans="2:4" x14ac:dyDescent="0.15">
      <c r="B2856" s="69"/>
      <c r="C2856" s="70"/>
      <c r="D2856" s="71"/>
    </row>
    <row r="2857" spans="2:4" x14ac:dyDescent="0.15">
      <c r="B2857" s="69"/>
      <c r="C2857" s="70"/>
      <c r="D2857" s="71"/>
    </row>
    <row r="2858" spans="2:4" x14ac:dyDescent="0.15">
      <c r="B2858" s="69"/>
      <c r="C2858" s="70"/>
      <c r="D2858" s="71"/>
    </row>
    <row r="2859" spans="2:4" x14ac:dyDescent="0.15">
      <c r="B2859" s="69"/>
      <c r="C2859" s="70"/>
      <c r="D2859" s="71"/>
    </row>
    <row r="2860" spans="2:4" x14ac:dyDescent="0.15">
      <c r="B2860" s="69"/>
      <c r="C2860" s="70"/>
      <c r="D2860" s="71"/>
    </row>
    <row r="2861" spans="2:4" x14ac:dyDescent="0.15">
      <c r="B2861" s="69"/>
      <c r="C2861" s="70"/>
      <c r="D2861" s="71"/>
    </row>
    <row r="2862" spans="2:4" x14ac:dyDescent="0.15">
      <c r="B2862" s="69"/>
      <c r="C2862" s="70"/>
      <c r="D2862" s="71"/>
    </row>
    <row r="2863" spans="2:4" x14ac:dyDescent="0.15">
      <c r="B2863" s="69"/>
      <c r="C2863" s="70"/>
      <c r="D2863" s="71"/>
    </row>
  </sheetData>
  <mergeCells count="11">
    <mergeCell ref="B13:D13"/>
    <mergeCell ref="G13:I13"/>
    <mergeCell ref="B14:D14"/>
    <mergeCell ref="G14:I14"/>
    <mergeCell ref="F16:O25"/>
    <mergeCell ref="B1:O3"/>
    <mergeCell ref="B4:O9"/>
    <mergeCell ref="B11:D11"/>
    <mergeCell ref="G11:I11"/>
    <mergeCell ref="B12:D12"/>
    <mergeCell ref="G12:I12"/>
  </mergeCells>
  <pageMargins left="0.75" right="0.75" top="1" bottom="1" header="0.5" footer="0.5"/>
  <pageSetup scale="69" fitToHeight="5" orientation="portrait"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F9204-B548-49A7-8DA9-F175FF62F14D}">
  <sheetPr>
    <tabColor theme="9" tint="0.79998168889431442"/>
    <pageSetUpPr fitToPage="1"/>
  </sheetPr>
  <dimension ref="B1:O2863"/>
  <sheetViews>
    <sheetView workbookViewId="0">
      <selection activeCell="F16" sqref="F16:O25"/>
    </sheetView>
  </sheetViews>
  <sheetFormatPr baseColWidth="10" defaultColWidth="9.1640625" defaultRowHeight="13" x14ac:dyDescent="0.15"/>
  <cols>
    <col min="1" max="1" width="6.83203125" style="63" customWidth="1"/>
    <col min="2" max="2" width="10" style="63" customWidth="1"/>
    <col min="3" max="3" width="11.33203125" style="63" customWidth="1"/>
    <col min="4" max="4" width="11.83203125" style="63" customWidth="1"/>
    <col min="5" max="9" width="9.1640625" style="63"/>
    <col min="10" max="10" width="10.6640625" style="63" customWidth="1"/>
    <col min="11" max="13" width="9.1640625" style="63"/>
    <col min="14" max="14" width="10.83203125" style="63" customWidth="1"/>
    <col min="15" max="15" width="19.5" style="63" customWidth="1"/>
    <col min="16" max="256" width="9.1640625" style="63"/>
    <col min="257" max="257" width="6.83203125" style="63" customWidth="1"/>
    <col min="258" max="258" width="10" style="63" customWidth="1"/>
    <col min="259" max="259" width="11.33203125" style="63" customWidth="1"/>
    <col min="260" max="260" width="11.83203125" style="63" customWidth="1"/>
    <col min="261" max="265" width="9.1640625" style="63"/>
    <col min="266" max="266" width="10.6640625" style="63" customWidth="1"/>
    <col min="267" max="269" width="9.1640625" style="63"/>
    <col min="270" max="270" width="10.83203125" style="63" customWidth="1"/>
    <col min="271" max="271" width="19.5" style="63" customWidth="1"/>
    <col min="272" max="512" width="9.1640625" style="63"/>
    <col min="513" max="513" width="6.83203125" style="63" customWidth="1"/>
    <col min="514" max="514" width="10" style="63" customWidth="1"/>
    <col min="515" max="515" width="11.33203125" style="63" customWidth="1"/>
    <col min="516" max="516" width="11.83203125" style="63" customWidth="1"/>
    <col min="517" max="521" width="9.1640625" style="63"/>
    <col min="522" max="522" width="10.6640625" style="63" customWidth="1"/>
    <col min="523" max="525" width="9.1640625" style="63"/>
    <col min="526" max="526" width="10.83203125" style="63" customWidth="1"/>
    <col min="527" max="527" width="19.5" style="63" customWidth="1"/>
    <col min="528" max="768" width="9.1640625" style="63"/>
    <col min="769" max="769" width="6.83203125" style="63" customWidth="1"/>
    <col min="770" max="770" width="10" style="63" customWidth="1"/>
    <col min="771" max="771" width="11.33203125" style="63" customWidth="1"/>
    <col min="772" max="772" width="11.83203125" style="63" customWidth="1"/>
    <col min="773" max="777" width="9.1640625" style="63"/>
    <col min="778" max="778" width="10.6640625" style="63" customWidth="1"/>
    <col min="779" max="781" width="9.1640625" style="63"/>
    <col min="782" max="782" width="10.83203125" style="63" customWidth="1"/>
    <col min="783" max="783" width="19.5" style="63" customWidth="1"/>
    <col min="784" max="1024" width="9.1640625" style="63"/>
    <col min="1025" max="1025" width="6.83203125" style="63" customWidth="1"/>
    <col min="1026" max="1026" width="10" style="63" customWidth="1"/>
    <col min="1027" max="1027" width="11.33203125" style="63" customWidth="1"/>
    <col min="1028" max="1028" width="11.83203125" style="63" customWidth="1"/>
    <col min="1029" max="1033" width="9.1640625" style="63"/>
    <col min="1034" max="1034" width="10.6640625" style="63" customWidth="1"/>
    <col min="1035" max="1037" width="9.1640625" style="63"/>
    <col min="1038" max="1038" width="10.83203125" style="63" customWidth="1"/>
    <col min="1039" max="1039" width="19.5" style="63" customWidth="1"/>
    <col min="1040" max="1280" width="9.1640625" style="63"/>
    <col min="1281" max="1281" width="6.83203125" style="63" customWidth="1"/>
    <col min="1282" max="1282" width="10" style="63" customWidth="1"/>
    <col min="1283" max="1283" width="11.33203125" style="63" customWidth="1"/>
    <col min="1284" max="1284" width="11.83203125" style="63" customWidth="1"/>
    <col min="1285" max="1289" width="9.1640625" style="63"/>
    <col min="1290" max="1290" width="10.6640625" style="63" customWidth="1"/>
    <col min="1291" max="1293" width="9.1640625" style="63"/>
    <col min="1294" max="1294" width="10.83203125" style="63" customWidth="1"/>
    <col min="1295" max="1295" width="19.5" style="63" customWidth="1"/>
    <col min="1296" max="1536" width="9.1640625" style="63"/>
    <col min="1537" max="1537" width="6.83203125" style="63" customWidth="1"/>
    <col min="1538" max="1538" width="10" style="63" customWidth="1"/>
    <col min="1539" max="1539" width="11.33203125" style="63" customWidth="1"/>
    <col min="1540" max="1540" width="11.83203125" style="63" customWidth="1"/>
    <col min="1541" max="1545" width="9.1640625" style="63"/>
    <col min="1546" max="1546" width="10.6640625" style="63" customWidth="1"/>
    <col min="1547" max="1549" width="9.1640625" style="63"/>
    <col min="1550" max="1550" width="10.83203125" style="63" customWidth="1"/>
    <col min="1551" max="1551" width="19.5" style="63" customWidth="1"/>
    <col min="1552" max="1792" width="9.1640625" style="63"/>
    <col min="1793" max="1793" width="6.83203125" style="63" customWidth="1"/>
    <col min="1794" max="1794" width="10" style="63" customWidth="1"/>
    <col min="1795" max="1795" width="11.33203125" style="63" customWidth="1"/>
    <col min="1796" max="1796" width="11.83203125" style="63" customWidth="1"/>
    <col min="1797" max="1801" width="9.1640625" style="63"/>
    <col min="1802" max="1802" width="10.6640625" style="63" customWidth="1"/>
    <col min="1803" max="1805" width="9.1640625" style="63"/>
    <col min="1806" max="1806" width="10.83203125" style="63" customWidth="1"/>
    <col min="1807" max="1807" width="19.5" style="63" customWidth="1"/>
    <col min="1808" max="2048" width="9.1640625" style="63"/>
    <col min="2049" max="2049" width="6.83203125" style="63" customWidth="1"/>
    <col min="2050" max="2050" width="10" style="63" customWidth="1"/>
    <col min="2051" max="2051" width="11.33203125" style="63" customWidth="1"/>
    <col min="2052" max="2052" width="11.83203125" style="63" customWidth="1"/>
    <col min="2053" max="2057" width="9.1640625" style="63"/>
    <col min="2058" max="2058" width="10.6640625" style="63" customWidth="1"/>
    <col min="2059" max="2061" width="9.1640625" style="63"/>
    <col min="2062" max="2062" width="10.83203125" style="63" customWidth="1"/>
    <col min="2063" max="2063" width="19.5" style="63" customWidth="1"/>
    <col min="2064" max="2304" width="9.1640625" style="63"/>
    <col min="2305" max="2305" width="6.83203125" style="63" customWidth="1"/>
    <col min="2306" max="2306" width="10" style="63" customWidth="1"/>
    <col min="2307" max="2307" width="11.33203125" style="63" customWidth="1"/>
    <col min="2308" max="2308" width="11.83203125" style="63" customWidth="1"/>
    <col min="2309" max="2313" width="9.1640625" style="63"/>
    <col min="2314" max="2314" width="10.6640625" style="63" customWidth="1"/>
    <col min="2315" max="2317" width="9.1640625" style="63"/>
    <col min="2318" max="2318" width="10.83203125" style="63" customWidth="1"/>
    <col min="2319" max="2319" width="19.5" style="63" customWidth="1"/>
    <col min="2320" max="2560" width="9.1640625" style="63"/>
    <col min="2561" max="2561" width="6.83203125" style="63" customWidth="1"/>
    <col min="2562" max="2562" width="10" style="63" customWidth="1"/>
    <col min="2563" max="2563" width="11.33203125" style="63" customWidth="1"/>
    <col min="2564" max="2564" width="11.83203125" style="63" customWidth="1"/>
    <col min="2565" max="2569" width="9.1640625" style="63"/>
    <col min="2570" max="2570" width="10.6640625" style="63" customWidth="1"/>
    <col min="2571" max="2573" width="9.1640625" style="63"/>
    <col min="2574" max="2574" width="10.83203125" style="63" customWidth="1"/>
    <col min="2575" max="2575" width="19.5" style="63" customWidth="1"/>
    <col min="2576" max="2816" width="9.1640625" style="63"/>
    <col min="2817" max="2817" width="6.83203125" style="63" customWidth="1"/>
    <col min="2818" max="2818" width="10" style="63" customWidth="1"/>
    <col min="2819" max="2819" width="11.33203125" style="63" customWidth="1"/>
    <col min="2820" max="2820" width="11.83203125" style="63" customWidth="1"/>
    <col min="2821" max="2825" width="9.1640625" style="63"/>
    <col min="2826" max="2826" width="10.6640625" style="63" customWidth="1"/>
    <col min="2827" max="2829" width="9.1640625" style="63"/>
    <col min="2830" max="2830" width="10.83203125" style="63" customWidth="1"/>
    <col min="2831" max="2831" width="19.5" style="63" customWidth="1"/>
    <col min="2832" max="3072" width="9.1640625" style="63"/>
    <col min="3073" max="3073" width="6.83203125" style="63" customWidth="1"/>
    <col min="3074" max="3074" width="10" style="63" customWidth="1"/>
    <col min="3075" max="3075" width="11.33203125" style="63" customWidth="1"/>
    <col min="3076" max="3076" width="11.83203125" style="63" customWidth="1"/>
    <col min="3077" max="3081" width="9.1640625" style="63"/>
    <col min="3082" max="3082" width="10.6640625" style="63" customWidth="1"/>
    <col min="3083" max="3085" width="9.1640625" style="63"/>
    <col min="3086" max="3086" width="10.83203125" style="63" customWidth="1"/>
    <col min="3087" max="3087" width="19.5" style="63" customWidth="1"/>
    <col min="3088" max="3328" width="9.1640625" style="63"/>
    <col min="3329" max="3329" width="6.83203125" style="63" customWidth="1"/>
    <col min="3330" max="3330" width="10" style="63" customWidth="1"/>
    <col min="3331" max="3331" width="11.33203125" style="63" customWidth="1"/>
    <col min="3332" max="3332" width="11.83203125" style="63" customWidth="1"/>
    <col min="3333" max="3337" width="9.1640625" style="63"/>
    <col min="3338" max="3338" width="10.6640625" style="63" customWidth="1"/>
    <col min="3339" max="3341" width="9.1640625" style="63"/>
    <col min="3342" max="3342" width="10.83203125" style="63" customWidth="1"/>
    <col min="3343" max="3343" width="19.5" style="63" customWidth="1"/>
    <col min="3344" max="3584" width="9.1640625" style="63"/>
    <col min="3585" max="3585" width="6.83203125" style="63" customWidth="1"/>
    <col min="3586" max="3586" width="10" style="63" customWidth="1"/>
    <col min="3587" max="3587" width="11.33203125" style="63" customWidth="1"/>
    <col min="3588" max="3588" width="11.83203125" style="63" customWidth="1"/>
    <col min="3589" max="3593" width="9.1640625" style="63"/>
    <col min="3594" max="3594" width="10.6640625" style="63" customWidth="1"/>
    <col min="3595" max="3597" width="9.1640625" style="63"/>
    <col min="3598" max="3598" width="10.83203125" style="63" customWidth="1"/>
    <col min="3599" max="3599" width="19.5" style="63" customWidth="1"/>
    <col min="3600" max="3840" width="9.1640625" style="63"/>
    <col min="3841" max="3841" width="6.83203125" style="63" customWidth="1"/>
    <col min="3842" max="3842" width="10" style="63" customWidth="1"/>
    <col min="3843" max="3843" width="11.33203125" style="63" customWidth="1"/>
    <col min="3844" max="3844" width="11.83203125" style="63" customWidth="1"/>
    <col min="3845" max="3849" width="9.1640625" style="63"/>
    <col min="3850" max="3850" width="10.6640625" style="63" customWidth="1"/>
    <col min="3851" max="3853" width="9.1640625" style="63"/>
    <col min="3854" max="3854" width="10.83203125" style="63" customWidth="1"/>
    <col min="3855" max="3855" width="19.5" style="63" customWidth="1"/>
    <col min="3856" max="4096" width="9.1640625" style="63"/>
    <col min="4097" max="4097" width="6.83203125" style="63" customWidth="1"/>
    <col min="4098" max="4098" width="10" style="63" customWidth="1"/>
    <col min="4099" max="4099" width="11.33203125" style="63" customWidth="1"/>
    <col min="4100" max="4100" width="11.83203125" style="63" customWidth="1"/>
    <col min="4101" max="4105" width="9.1640625" style="63"/>
    <col min="4106" max="4106" width="10.6640625" style="63" customWidth="1"/>
    <col min="4107" max="4109" width="9.1640625" style="63"/>
    <col min="4110" max="4110" width="10.83203125" style="63" customWidth="1"/>
    <col min="4111" max="4111" width="19.5" style="63" customWidth="1"/>
    <col min="4112" max="4352" width="9.1640625" style="63"/>
    <col min="4353" max="4353" width="6.83203125" style="63" customWidth="1"/>
    <col min="4354" max="4354" width="10" style="63" customWidth="1"/>
    <col min="4355" max="4355" width="11.33203125" style="63" customWidth="1"/>
    <col min="4356" max="4356" width="11.83203125" style="63" customWidth="1"/>
    <col min="4357" max="4361" width="9.1640625" style="63"/>
    <col min="4362" max="4362" width="10.6640625" style="63" customWidth="1"/>
    <col min="4363" max="4365" width="9.1640625" style="63"/>
    <col min="4366" max="4366" width="10.83203125" style="63" customWidth="1"/>
    <col min="4367" max="4367" width="19.5" style="63" customWidth="1"/>
    <col min="4368" max="4608" width="9.1640625" style="63"/>
    <col min="4609" max="4609" width="6.83203125" style="63" customWidth="1"/>
    <col min="4610" max="4610" width="10" style="63" customWidth="1"/>
    <col min="4611" max="4611" width="11.33203125" style="63" customWidth="1"/>
    <col min="4612" max="4612" width="11.83203125" style="63" customWidth="1"/>
    <col min="4613" max="4617" width="9.1640625" style="63"/>
    <col min="4618" max="4618" width="10.6640625" style="63" customWidth="1"/>
    <col min="4619" max="4621" width="9.1640625" style="63"/>
    <col min="4622" max="4622" width="10.83203125" style="63" customWidth="1"/>
    <col min="4623" max="4623" width="19.5" style="63" customWidth="1"/>
    <col min="4624" max="4864" width="9.1640625" style="63"/>
    <col min="4865" max="4865" width="6.83203125" style="63" customWidth="1"/>
    <col min="4866" max="4866" width="10" style="63" customWidth="1"/>
    <col min="4867" max="4867" width="11.33203125" style="63" customWidth="1"/>
    <col min="4868" max="4868" width="11.83203125" style="63" customWidth="1"/>
    <col min="4869" max="4873" width="9.1640625" style="63"/>
    <col min="4874" max="4874" width="10.6640625" style="63" customWidth="1"/>
    <col min="4875" max="4877" width="9.1640625" style="63"/>
    <col min="4878" max="4878" width="10.83203125" style="63" customWidth="1"/>
    <col min="4879" max="4879" width="19.5" style="63" customWidth="1"/>
    <col min="4880" max="5120" width="9.1640625" style="63"/>
    <col min="5121" max="5121" width="6.83203125" style="63" customWidth="1"/>
    <col min="5122" max="5122" width="10" style="63" customWidth="1"/>
    <col min="5123" max="5123" width="11.33203125" style="63" customWidth="1"/>
    <col min="5124" max="5124" width="11.83203125" style="63" customWidth="1"/>
    <col min="5125" max="5129" width="9.1640625" style="63"/>
    <col min="5130" max="5130" width="10.6640625" style="63" customWidth="1"/>
    <col min="5131" max="5133" width="9.1640625" style="63"/>
    <col min="5134" max="5134" width="10.83203125" style="63" customWidth="1"/>
    <col min="5135" max="5135" width="19.5" style="63" customWidth="1"/>
    <col min="5136" max="5376" width="9.1640625" style="63"/>
    <col min="5377" max="5377" width="6.83203125" style="63" customWidth="1"/>
    <col min="5378" max="5378" width="10" style="63" customWidth="1"/>
    <col min="5379" max="5379" width="11.33203125" style="63" customWidth="1"/>
    <col min="5380" max="5380" width="11.83203125" style="63" customWidth="1"/>
    <col min="5381" max="5385" width="9.1640625" style="63"/>
    <col min="5386" max="5386" width="10.6640625" style="63" customWidth="1"/>
    <col min="5387" max="5389" width="9.1640625" style="63"/>
    <col min="5390" max="5390" width="10.83203125" style="63" customWidth="1"/>
    <col min="5391" max="5391" width="19.5" style="63" customWidth="1"/>
    <col min="5392" max="5632" width="9.1640625" style="63"/>
    <col min="5633" max="5633" width="6.83203125" style="63" customWidth="1"/>
    <col min="5634" max="5634" width="10" style="63" customWidth="1"/>
    <col min="5635" max="5635" width="11.33203125" style="63" customWidth="1"/>
    <col min="5636" max="5636" width="11.83203125" style="63" customWidth="1"/>
    <col min="5637" max="5641" width="9.1640625" style="63"/>
    <col min="5642" max="5642" width="10.6640625" style="63" customWidth="1"/>
    <col min="5643" max="5645" width="9.1640625" style="63"/>
    <col min="5646" max="5646" width="10.83203125" style="63" customWidth="1"/>
    <col min="5647" max="5647" width="19.5" style="63" customWidth="1"/>
    <col min="5648" max="5888" width="9.1640625" style="63"/>
    <col min="5889" max="5889" width="6.83203125" style="63" customWidth="1"/>
    <col min="5890" max="5890" width="10" style="63" customWidth="1"/>
    <col min="5891" max="5891" width="11.33203125" style="63" customWidth="1"/>
    <col min="5892" max="5892" width="11.83203125" style="63" customWidth="1"/>
    <col min="5893" max="5897" width="9.1640625" style="63"/>
    <col min="5898" max="5898" width="10.6640625" style="63" customWidth="1"/>
    <col min="5899" max="5901" width="9.1640625" style="63"/>
    <col min="5902" max="5902" width="10.83203125" style="63" customWidth="1"/>
    <col min="5903" max="5903" width="19.5" style="63" customWidth="1"/>
    <col min="5904" max="6144" width="9.1640625" style="63"/>
    <col min="6145" max="6145" width="6.83203125" style="63" customWidth="1"/>
    <col min="6146" max="6146" width="10" style="63" customWidth="1"/>
    <col min="6147" max="6147" width="11.33203125" style="63" customWidth="1"/>
    <col min="6148" max="6148" width="11.83203125" style="63" customWidth="1"/>
    <col min="6149" max="6153" width="9.1640625" style="63"/>
    <col min="6154" max="6154" width="10.6640625" style="63" customWidth="1"/>
    <col min="6155" max="6157" width="9.1640625" style="63"/>
    <col min="6158" max="6158" width="10.83203125" style="63" customWidth="1"/>
    <col min="6159" max="6159" width="19.5" style="63" customWidth="1"/>
    <col min="6160" max="6400" width="9.1640625" style="63"/>
    <col min="6401" max="6401" width="6.83203125" style="63" customWidth="1"/>
    <col min="6402" max="6402" width="10" style="63" customWidth="1"/>
    <col min="6403" max="6403" width="11.33203125" style="63" customWidth="1"/>
    <col min="6404" max="6404" width="11.83203125" style="63" customWidth="1"/>
    <col min="6405" max="6409" width="9.1640625" style="63"/>
    <col min="6410" max="6410" width="10.6640625" style="63" customWidth="1"/>
    <col min="6411" max="6413" width="9.1640625" style="63"/>
    <col min="6414" max="6414" width="10.83203125" style="63" customWidth="1"/>
    <col min="6415" max="6415" width="19.5" style="63" customWidth="1"/>
    <col min="6416" max="6656" width="9.1640625" style="63"/>
    <col min="6657" max="6657" width="6.83203125" style="63" customWidth="1"/>
    <col min="6658" max="6658" width="10" style="63" customWidth="1"/>
    <col min="6659" max="6659" width="11.33203125" style="63" customWidth="1"/>
    <col min="6660" max="6660" width="11.83203125" style="63" customWidth="1"/>
    <col min="6661" max="6665" width="9.1640625" style="63"/>
    <col min="6666" max="6666" width="10.6640625" style="63" customWidth="1"/>
    <col min="6667" max="6669" width="9.1640625" style="63"/>
    <col min="6670" max="6670" width="10.83203125" style="63" customWidth="1"/>
    <col min="6671" max="6671" width="19.5" style="63" customWidth="1"/>
    <col min="6672" max="6912" width="9.1640625" style="63"/>
    <col min="6913" max="6913" width="6.83203125" style="63" customWidth="1"/>
    <col min="6914" max="6914" width="10" style="63" customWidth="1"/>
    <col min="6915" max="6915" width="11.33203125" style="63" customWidth="1"/>
    <col min="6916" max="6916" width="11.83203125" style="63" customWidth="1"/>
    <col min="6917" max="6921" width="9.1640625" style="63"/>
    <col min="6922" max="6922" width="10.6640625" style="63" customWidth="1"/>
    <col min="6923" max="6925" width="9.1640625" style="63"/>
    <col min="6926" max="6926" width="10.83203125" style="63" customWidth="1"/>
    <col min="6927" max="6927" width="19.5" style="63" customWidth="1"/>
    <col min="6928" max="7168" width="9.1640625" style="63"/>
    <col min="7169" max="7169" width="6.83203125" style="63" customWidth="1"/>
    <col min="7170" max="7170" width="10" style="63" customWidth="1"/>
    <col min="7171" max="7171" width="11.33203125" style="63" customWidth="1"/>
    <col min="7172" max="7172" width="11.83203125" style="63" customWidth="1"/>
    <col min="7173" max="7177" width="9.1640625" style="63"/>
    <col min="7178" max="7178" width="10.6640625" style="63" customWidth="1"/>
    <col min="7179" max="7181" width="9.1640625" style="63"/>
    <col min="7182" max="7182" width="10.83203125" style="63" customWidth="1"/>
    <col min="7183" max="7183" width="19.5" style="63" customWidth="1"/>
    <col min="7184" max="7424" width="9.1640625" style="63"/>
    <col min="7425" max="7425" width="6.83203125" style="63" customWidth="1"/>
    <col min="7426" max="7426" width="10" style="63" customWidth="1"/>
    <col min="7427" max="7427" width="11.33203125" style="63" customWidth="1"/>
    <col min="7428" max="7428" width="11.83203125" style="63" customWidth="1"/>
    <col min="7429" max="7433" width="9.1640625" style="63"/>
    <col min="7434" max="7434" width="10.6640625" style="63" customWidth="1"/>
    <col min="7435" max="7437" width="9.1640625" style="63"/>
    <col min="7438" max="7438" width="10.83203125" style="63" customWidth="1"/>
    <col min="7439" max="7439" width="19.5" style="63" customWidth="1"/>
    <col min="7440" max="7680" width="9.1640625" style="63"/>
    <col min="7681" max="7681" width="6.83203125" style="63" customWidth="1"/>
    <col min="7682" max="7682" width="10" style="63" customWidth="1"/>
    <col min="7683" max="7683" width="11.33203125" style="63" customWidth="1"/>
    <col min="7684" max="7684" width="11.83203125" style="63" customWidth="1"/>
    <col min="7685" max="7689" width="9.1640625" style="63"/>
    <col min="7690" max="7690" width="10.6640625" style="63" customWidth="1"/>
    <col min="7691" max="7693" width="9.1640625" style="63"/>
    <col min="7694" max="7694" width="10.83203125" style="63" customWidth="1"/>
    <col min="7695" max="7695" width="19.5" style="63" customWidth="1"/>
    <col min="7696" max="7936" width="9.1640625" style="63"/>
    <col min="7937" max="7937" width="6.83203125" style="63" customWidth="1"/>
    <col min="7938" max="7938" width="10" style="63" customWidth="1"/>
    <col min="7939" max="7939" width="11.33203125" style="63" customWidth="1"/>
    <col min="7940" max="7940" width="11.83203125" style="63" customWidth="1"/>
    <col min="7941" max="7945" width="9.1640625" style="63"/>
    <col min="7946" max="7946" width="10.6640625" style="63" customWidth="1"/>
    <col min="7947" max="7949" width="9.1640625" style="63"/>
    <col min="7950" max="7950" width="10.83203125" style="63" customWidth="1"/>
    <col min="7951" max="7951" width="19.5" style="63" customWidth="1"/>
    <col min="7952" max="8192" width="9.1640625" style="63"/>
    <col min="8193" max="8193" width="6.83203125" style="63" customWidth="1"/>
    <col min="8194" max="8194" width="10" style="63" customWidth="1"/>
    <col min="8195" max="8195" width="11.33203125" style="63" customWidth="1"/>
    <col min="8196" max="8196" width="11.83203125" style="63" customWidth="1"/>
    <col min="8197" max="8201" width="9.1640625" style="63"/>
    <col min="8202" max="8202" width="10.6640625" style="63" customWidth="1"/>
    <col min="8203" max="8205" width="9.1640625" style="63"/>
    <col min="8206" max="8206" width="10.83203125" style="63" customWidth="1"/>
    <col min="8207" max="8207" width="19.5" style="63" customWidth="1"/>
    <col min="8208" max="8448" width="9.1640625" style="63"/>
    <col min="8449" max="8449" width="6.83203125" style="63" customWidth="1"/>
    <col min="8450" max="8450" width="10" style="63" customWidth="1"/>
    <col min="8451" max="8451" width="11.33203125" style="63" customWidth="1"/>
    <col min="8452" max="8452" width="11.83203125" style="63" customWidth="1"/>
    <col min="8453" max="8457" width="9.1640625" style="63"/>
    <col min="8458" max="8458" width="10.6640625" style="63" customWidth="1"/>
    <col min="8459" max="8461" width="9.1640625" style="63"/>
    <col min="8462" max="8462" width="10.83203125" style="63" customWidth="1"/>
    <col min="8463" max="8463" width="19.5" style="63" customWidth="1"/>
    <col min="8464" max="8704" width="9.1640625" style="63"/>
    <col min="8705" max="8705" width="6.83203125" style="63" customWidth="1"/>
    <col min="8706" max="8706" width="10" style="63" customWidth="1"/>
    <col min="8707" max="8707" width="11.33203125" style="63" customWidth="1"/>
    <col min="8708" max="8708" width="11.83203125" style="63" customWidth="1"/>
    <col min="8709" max="8713" width="9.1640625" style="63"/>
    <col min="8714" max="8714" width="10.6640625" style="63" customWidth="1"/>
    <col min="8715" max="8717" width="9.1640625" style="63"/>
    <col min="8718" max="8718" width="10.83203125" style="63" customWidth="1"/>
    <col min="8719" max="8719" width="19.5" style="63" customWidth="1"/>
    <col min="8720" max="8960" width="9.1640625" style="63"/>
    <col min="8961" max="8961" width="6.83203125" style="63" customWidth="1"/>
    <col min="8962" max="8962" width="10" style="63" customWidth="1"/>
    <col min="8963" max="8963" width="11.33203125" style="63" customWidth="1"/>
    <col min="8964" max="8964" width="11.83203125" style="63" customWidth="1"/>
    <col min="8965" max="8969" width="9.1640625" style="63"/>
    <col min="8970" max="8970" width="10.6640625" style="63" customWidth="1"/>
    <col min="8971" max="8973" width="9.1640625" style="63"/>
    <col min="8974" max="8974" width="10.83203125" style="63" customWidth="1"/>
    <col min="8975" max="8975" width="19.5" style="63" customWidth="1"/>
    <col min="8976" max="9216" width="9.1640625" style="63"/>
    <col min="9217" max="9217" width="6.83203125" style="63" customWidth="1"/>
    <col min="9218" max="9218" width="10" style="63" customWidth="1"/>
    <col min="9219" max="9219" width="11.33203125" style="63" customWidth="1"/>
    <col min="9220" max="9220" width="11.83203125" style="63" customWidth="1"/>
    <col min="9221" max="9225" width="9.1640625" style="63"/>
    <col min="9226" max="9226" width="10.6640625" style="63" customWidth="1"/>
    <col min="9227" max="9229" width="9.1640625" style="63"/>
    <col min="9230" max="9230" width="10.83203125" style="63" customWidth="1"/>
    <col min="9231" max="9231" width="19.5" style="63" customWidth="1"/>
    <col min="9232" max="9472" width="9.1640625" style="63"/>
    <col min="9473" max="9473" width="6.83203125" style="63" customWidth="1"/>
    <col min="9474" max="9474" width="10" style="63" customWidth="1"/>
    <col min="9475" max="9475" width="11.33203125" style="63" customWidth="1"/>
    <col min="9476" max="9476" width="11.83203125" style="63" customWidth="1"/>
    <col min="9477" max="9481" width="9.1640625" style="63"/>
    <col min="9482" max="9482" width="10.6640625" style="63" customWidth="1"/>
    <col min="9483" max="9485" width="9.1640625" style="63"/>
    <col min="9486" max="9486" width="10.83203125" style="63" customWidth="1"/>
    <col min="9487" max="9487" width="19.5" style="63" customWidth="1"/>
    <col min="9488" max="9728" width="9.1640625" style="63"/>
    <col min="9729" max="9729" width="6.83203125" style="63" customWidth="1"/>
    <col min="9730" max="9730" width="10" style="63" customWidth="1"/>
    <col min="9731" max="9731" width="11.33203125" style="63" customWidth="1"/>
    <col min="9732" max="9732" width="11.83203125" style="63" customWidth="1"/>
    <col min="9733" max="9737" width="9.1640625" style="63"/>
    <col min="9738" max="9738" width="10.6640625" style="63" customWidth="1"/>
    <col min="9739" max="9741" width="9.1640625" style="63"/>
    <col min="9742" max="9742" width="10.83203125" style="63" customWidth="1"/>
    <col min="9743" max="9743" width="19.5" style="63" customWidth="1"/>
    <col min="9744" max="9984" width="9.1640625" style="63"/>
    <col min="9985" max="9985" width="6.83203125" style="63" customWidth="1"/>
    <col min="9986" max="9986" width="10" style="63" customWidth="1"/>
    <col min="9987" max="9987" width="11.33203125" style="63" customWidth="1"/>
    <col min="9988" max="9988" width="11.83203125" style="63" customWidth="1"/>
    <col min="9989" max="9993" width="9.1640625" style="63"/>
    <col min="9994" max="9994" width="10.6640625" style="63" customWidth="1"/>
    <col min="9995" max="9997" width="9.1640625" style="63"/>
    <col min="9998" max="9998" width="10.83203125" style="63" customWidth="1"/>
    <col min="9999" max="9999" width="19.5" style="63" customWidth="1"/>
    <col min="10000" max="10240" width="9.1640625" style="63"/>
    <col min="10241" max="10241" width="6.83203125" style="63" customWidth="1"/>
    <col min="10242" max="10242" width="10" style="63" customWidth="1"/>
    <col min="10243" max="10243" width="11.33203125" style="63" customWidth="1"/>
    <col min="10244" max="10244" width="11.83203125" style="63" customWidth="1"/>
    <col min="10245" max="10249" width="9.1640625" style="63"/>
    <col min="10250" max="10250" width="10.6640625" style="63" customWidth="1"/>
    <col min="10251" max="10253" width="9.1640625" style="63"/>
    <col min="10254" max="10254" width="10.83203125" style="63" customWidth="1"/>
    <col min="10255" max="10255" width="19.5" style="63" customWidth="1"/>
    <col min="10256" max="10496" width="9.1640625" style="63"/>
    <col min="10497" max="10497" width="6.83203125" style="63" customWidth="1"/>
    <col min="10498" max="10498" width="10" style="63" customWidth="1"/>
    <col min="10499" max="10499" width="11.33203125" style="63" customWidth="1"/>
    <col min="10500" max="10500" width="11.83203125" style="63" customWidth="1"/>
    <col min="10501" max="10505" width="9.1640625" style="63"/>
    <col min="10506" max="10506" width="10.6640625" style="63" customWidth="1"/>
    <col min="10507" max="10509" width="9.1640625" style="63"/>
    <col min="10510" max="10510" width="10.83203125" style="63" customWidth="1"/>
    <col min="10511" max="10511" width="19.5" style="63" customWidth="1"/>
    <col min="10512" max="10752" width="9.1640625" style="63"/>
    <col min="10753" max="10753" width="6.83203125" style="63" customWidth="1"/>
    <col min="10754" max="10754" width="10" style="63" customWidth="1"/>
    <col min="10755" max="10755" width="11.33203125" style="63" customWidth="1"/>
    <col min="10756" max="10756" width="11.83203125" style="63" customWidth="1"/>
    <col min="10757" max="10761" width="9.1640625" style="63"/>
    <col min="10762" max="10762" width="10.6640625" style="63" customWidth="1"/>
    <col min="10763" max="10765" width="9.1640625" style="63"/>
    <col min="10766" max="10766" width="10.83203125" style="63" customWidth="1"/>
    <col min="10767" max="10767" width="19.5" style="63" customWidth="1"/>
    <col min="10768" max="11008" width="9.1640625" style="63"/>
    <col min="11009" max="11009" width="6.83203125" style="63" customWidth="1"/>
    <col min="11010" max="11010" width="10" style="63" customWidth="1"/>
    <col min="11011" max="11011" width="11.33203125" style="63" customWidth="1"/>
    <col min="11012" max="11012" width="11.83203125" style="63" customWidth="1"/>
    <col min="11013" max="11017" width="9.1640625" style="63"/>
    <col min="11018" max="11018" width="10.6640625" style="63" customWidth="1"/>
    <col min="11019" max="11021" width="9.1640625" style="63"/>
    <col min="11022" max="11022" width="10.83203125" style="63" customWidth="1"/>
    <col min="11023" max="11023" width="19.5" style="63" customWidth="1"/>
    <col min="11024" max="11264" width="9.1640625" style="63"/>
    <col min="11265" max="11265" width="6.83203125" style="63" customWidth="1"/>
    <col min="11266" max="11266" width="10" style="63" customWidth="1"/>
    <col min="11267" max="11267" width="11.33203125" style="63" customWidth="1"/>
    <col min="11268" max="11268" width="11.83203125" style="63" customWidth="1"/>
    <col min="11269" max="11273" width="9.1640625" style="63"/>
    <col min="11274" max="11274" width="10.6640625" style="63" customWidth="1"/>
    <col min="11275" max="11277" width="9.1640625" style="63"/>
    <col min="11278" max="11278" width="10.83203125" style="63" customWidth="1"/>
    <col min="11279" max="11279" width="19.5" style="63" customWidth="1"/>
    <col min="11280" max="11520" width="9.1640625" style="63"/>
    <col min="11521" max="11521" width="6.83203125" style="63" customWidth="1"/>
    <col min="11522" max="11522" width="10" style="63" customWidth="1"/>
    <col min="11523" max="11523" width="11.33203125" style="63" customWidth="1"/>
    <col min="11524" max="11524" width="11.83203125" style="63" customWidth="1"/>
    <col min="11525" max="11529" width="9.1640625" style="63"/>
    <col min="11530" max="11530" width="10.6640625" style="63" customWidth="1"/>
    <col min="11531" max="11533" width="9.1640625" style="63"/>
    <col min="11534" max="11534" width="10.83203125" style="63" customWidth="1"/>
    <col min="11535" max="11535" width="19.5" style="63" customWidth="1"/>
    <col min="11536" max="11776" width="9.1640625" style="63"/>
    <col min="11777" max="11777" width="6.83203125" style="63" customWidth="1"/>
    <col min="11778" max="11778" width="10" style="63" customWidth="1"/>
    <col min="11779" max="11779" width="11.33203125" style="63" customWidth="1"/>
    <col min="11780" max="11780" width="11.83203125" style="63" customWidth="1"/>
    <col min="11781" max="11785" width="9.1640625" style="63"/>
    <col min="11786" max="11786" width="10.6640625" style="63" customWidth="1"/>
    <col min="11787" max="11789" width="9.1640625" style="63"/>
    <col min="11790" max="11790" width="10.83203125" style="63" customWidth="1"/>
    <col min="11791" max="11791" width="19.5" style="63" customWidth="1"/>
    <col min="11792" max="12032" width="9.1640625" style="63"/>
    <col min="12033" max="12033" width="6.83203125" style="63" customWidth="1"/>
    <col min="12034" max="12034" width="10" style="63" customWidth="1"/>
    <col min="12035" max="12035" width="11.33203125" style="63" customWidth="1"/>
    <col min="12036" max="12036" width="11.83203125" style="63" customWidth="1"/>
    <col min="12037" max="12041" width="9.1640625" style="63"/>
    <col min="12042" max="12042" width="10.6640625" style="63" customWidth="1"/>
    <col min="12043" max="12045" width="9.1640625" style="63"/>
    <col min="12046" max="12046" width="10.83203125" style="63" customWidth="1"/>
    <col min="12047" max="12047" width="19.5" style="63" customWidth="1"/>
    <col min="12048" max="12288" width="9.1640625" style="63"/>
    <col min="12289" max="12289" width="6.83203125" style="63" customWidth="1"/>
    <col min="12290" max="12290" width="10" style="63" customWidth="1"/>
    <col min="12291" max="12291" width="11.33203125" style="63" customWidth="1"/>
    <col min="12292" max="12292" width="11.83203125" style="63" customWidth="1"/>
    <col min="12293" max="12297" width="9.1640625" style="63"/>
    <col min="12298" max="12298" width="10.6640625" style="63" customWidth="1"/>
    <col min="12299" max="12301" width="9.1640625" style="63"/>
    <col min="12302" max="12302" width="10.83203125" style="63" customWidth="1"/>
    <col min="12303" max="12303" width="19.5" style="63" customWidth="1"/>
    <col min="12304" max="12544" width="9.1640625" style="63"/>
    <col min="12545" max="12545" width="6.83203125" style="63" customWidth="1"/>
    <col min="12546" max="12546" width="10" style="63" customWidth="1"/>
    <col min="12547" max="12547" width="11.33203125" style="63" customWidth="1"/>
    <col min="12548" max="12548" width="11.83203125" style="63" customWidth="1"/>
    <col min="12549" max="12553" width="9.1640625" style="63"/>
    <col min="12554" max="12554" width="10.6640625" style="63" customWidth="1"/>
    <col min="12555" max="12557" width="9.1640625" style="63"/>
    <col min="12558" max="12558" width="10.83203125" style="63" customWidth="1"/>
    <col min="12559" max="12559" width="19.5" style="63" customWidth="1"/>
    <col min="12560" max="12800" width="9.1640625" style="63"/>
    <col min="12801" max="12801" width="6.83203125" style="63" customWidth="1"/>
    <col min="12802" max="12802" width="10" style="63" customWidth="1"/>
    <col min="12803" max="12803" width="11.33203125" style="63" customWidth="1"/>
    <col min="12804" max="12804" width="11.83203125" style="63" customWidth="1"/>
    <col min="12805" max="12809" width="9.1640625" style="63"/>
    <col min="12810" max="12810" width="10.6640625" style="63" customWidth="1"/>
    <col min="12811" max="12813" width="9.1640625" style="63"/>
    <col min="12814" max="12814" width="10.83203125" style="63" customWidth="1"/>
    <col min="12815" max="12815" width="19.5" style="63" customWidth="1"/>
    <col min="12816" max="13056" width="9.1640625" style="63"/>
    <col min="13057" max="13057" width="6.83203125" style="63" customWidth="1"/>
    <col min="13058" max="13058" width="10" style="63" customWidth="1"/>
    <col min="13059" max="13059" width="11.33203125" style="63" customWidth="1"/>
    <col min="13060" max="13060" width="11.83203125" style="63" customWidth="1"/>
    <col min="13061" max="13065" width="9.1640625" style="63"/>
    <col min="13066" max="13066" width="10.6640625" style="63" customWidth="1"/>
    <col min="13067" max="13069" width="9.1640625" style="63"/>
    <col min="13070" max="13070" width="10.83203125" style="63" customWidth="1"/>
    <col min="13071" max="13071" width="19.5" style="63" customWidth="1"/>
    <col min="13072" max="13312" width="9.1640625" style="63"/>
    <col min="13313" max="13313" width="6.83203125" style="63" customWidth="1"/>
    <col min="13314" max="13314" width="10" style="63" customWidth="1"/>
    <col min="13315" max="13315" width="11.33203125" style="63" customWidth="1"/>
    <col min="13316" max="13316" width="11.83203125" style="63" customWidth="1"/>
    <col min="13317" max="13321" width="9.1640625" style="63"/>
    <col min="13322" max="13322" width="10.6640625" style="63" customWidth="1"/>
    <col min="13323" max="13325" width="9.1640625" style="63"/>
    <col min="13326" max="13326" width="10.83203125" style="63" customWidth="1"/>
    <col min="13327" max="13327" width="19.5" style="63" customWidth="1"/>
    <col min="13328" max="13568" width="9.1640625" style="63"/>
    <col min="13569" max="13569" width="6.83203125" style="63" customWidth="1"/>
    <col min="13570" max="13570" width="10" style="63" customWidth="1"/>
    <col min="13571" max="13571" width="11.33203125" style="63" customWidth="1"/>
    <col min="13572" max="13572" width="11.83203125" style="63" customWidth="1"/>
    <col min="13573" max="13577" width="9.1640625" style="63"/>
    <col min="13578" max="13578" width="10.6640625" style="63" customWidth="1"/>
    <col min="13579" max="13581" width="9.1640625" style="63"/>
    <col min="13582" max="13582" width="10.83203125" style="63" customWidth="1"/>
    <col min="13583" max="13583" width="19.5" style="63" customWidth="1"/>
    <col min="13584" max="13824" width="9.1640625" style="63"/>
    <col min="13825" max="13825" width="6.83203125" style="63" customWidth="1"/>
    <col min="13826" max="13826" width="10" style="63" customWidth="1"/>
    <col min="13827" max="13827" width="11.33203125" style="63" customWidth="1"/>
    <col min="13828" max="13828" width="11.83203125" style="63" customWidth="1"/>
    <col min="13829" max="13833" width="9.1640625" style="63"/>
    <col min="13834" max="13834" width="10.6640625" style="63" customWidth="1"/>
    <col min="13835" max="13837" width="9.1640625" style="63"/>
    <col min="13838" max="13838" width="10.83203125" style="63" customWidth="1"/>
    <col min="13839" max="13839" width="19.5" style="63" customWidth="1"/>
    <col min="13840" max="14080" width="9.1640625" style="63"/>
    <col min="14081" max="14081" width="6.83203125" style="63" customWidth="1"/>
    <col min="14082" max="14082" width="10" style="63" customWidth="1"/>
    <col min="14083" max="14083" width="11.33203125" style="63" customWidth="1"/>
    <col min="14084" max="14084" width="11.83203125" style="63" customWidth="1"/>
    <col min="14085" max="14089" width="9.1640625" style="63"/>
    <col min="14090" max="14090" width="10.6640625" style="63" customWidth="1"/>
    <col min="14091" max="14093" width="9.1640625" style="63"/>
    <col min="14094" max="14094" width="10.83203125" style="63" customWidth="1"/>
    <col min="14095" max="14095" width="19.5" style="63" customWidth="1"/>
    <col min="14096" max="14336" width="9.1640625" style="63"/>
    <col min="14337" max="14337" width="6.83203125" style="63" customWidth="1"/>
    <col min="14338" max="14338" width="10" style="63" customWidth="1"/>
    <col min="14339" max="14339" width="11.33203125" style="63" customWidth="1"/>
    <col min="14340" max="14340" width="11.83203125" style="63" customWidth="1"/>
    <col min="14341" max="14345" width="9.1640625" style="63"/>
    <col min="14346" max="14346" width="10.6640625" style="63" customWidth="1"/>
    <col min="14347" max="14349" width="9.1640625" style="63"/>
    <col min="14350" max="14350" width="10.83203125" style="63" customWidth="1"/>
    <col min="14351" max="14351" width="19.5" style="63" customWidth="1"/>
    <col min="14352" max="14592" width="9.1640625" style="63"/>
    <col min="14593" max="14593" width="6.83203125" style="63" customWidth="1"/>
    <col min="14594" max="14594" width="10" style="63" customWidth="1"/>
    <col min="14595" max="14595" width="11.33203125" style="63" customWidth="1"/>
    <col min="14596" max="14596" width="11.83203125" style="63" customWidth="1"/>
    <col min="14597" max="14601" width="9.1640625" style="63"/>
    <col min="14602" max="14602" width="10.6640625" style="63" customWidth="1"/>
    <col min="14603" max="14605" width="9.1640625" style="63"/>
    <col min="14606" max="14606" width="10.83203125" style="63" customWidth="1"/>
    <col min="14607" max="14607" width="19.5" style="63" customWidth="1"/>
    <col min="14608" max="14848" width="9.1640625" style="63"/>
    <col min="14849" max="14849" width="6.83203125" style="63" customWidth="1"/>
    <col min="14850" max="14850" width="10" style="63" customWidth="1"/>
    <col min="14851" max="14851" width="11.33203125" style="63" customWidth="1"/>
    <col min="14852" max="14852" width="11.83203125" style="63" customWidth="1"/>
    <col min="14853" max="14857" width="9.1640625" style="63"/>
    <col min="14858" max="14858" width="10.6640625" style="63" customWidth="1"/>
    <col min="14859" max="14861" width="9.1640625" style="63"/>
    <col min="14862" max="14862" width="10.83203125" style="63" customWidth="1"/>
    <col min="14863" max="14863" width="19.5" style="63" customWidth="1"/>
    <col min="14864" max="15104" width="9.1640625" style="63"/>
    <col min="15105" max="15105" width="6.83203125" style="63" customWidth="1"/>
    <col min="15106" max="15106" width="10" style="63" customWidth="1"/>
    <col min="15107" max="15107" width="11.33203125" style="63" customWidth="1"/>
    <col min="15108" max="15108" width="11.83203125" style="63" customWidth="1"/>
    <col min="15109" max="15113" width="9.1640625" style="63"/>
    <col min="15114" max="15114" width="10.6640625" style="63" customWidth="1"/>
    <col min="15115" max="15117" width="9.1640625" style="63"/>
    <col min="15118" max="15118" width="10.83203125" style="63" customWidth="1"/>
    <col min="15119" max="15119" width="19.5" style="63" customWidth="1"/>
    <col min="15120" max="15360" width="9.1640625" style="63"/>
    <col min="15361" max="15361" width="6.83203125" style="63" customWidth="1"/>
    <col min="15362" max="15362" width="10" style="63" customWidth="1"/>
    <col min="15363" max="15363" width="11.33203125" style="63" customWidth="1"/>
    <col min="15364" max="15364" width="11.83203125" style="63" customWidth="1"/>
    <col min="15365" max="15369" width="9.1640625" style="63"/>
    <col min="15370" max="15370" width="10.6640625" style="63" customWidth="1"/>
    <col min="15371" max="15373" width="9.1640625" style="63"/>
    <col min="15374" max="15374" width="10.83203125" style="63" customWidth="1"/>
    <col min="15375" max="15375" width="19.5" style="63" customWidth="1"/>
    <col min="15376" max="15616" width="9.1640625" style="63"/>
    <col min="15617" max="15617" width="6.83203125" style="63" customWidth="1"/>
    <col min="15618" max="15618" width="10" style="63" customWidth="1"/>
    <col min="15619" max="15619" width="11.33203125" style="63" customWidth="1"/>
    <col min="15620" max="15620" width="11.83203125" style="63" customWidth="1"/>
    <col min="15621" max="15625" width="9.1640625" style="63"/>
    <col min="15626" max="15626" width="10.6640625" style="63" customWidth="1"/>
    <col min="15627" max="15629" width="9.1640625" style="63"/>
    <col min="15630" max="15630" width="10.83203125" style="63" customWidth="1"/>
    <col min="15631" max="15631" width="19.5" style="63" customWidth="1"/>
    <col min="15632" max="15872" width="9.1640625" style="63"/>
    <col min="15873" max="15873" width="6.83203125" style="63" customWidth="1"/>
    <col min="15874" max="15874" width="10" style="63" customWidth="1"/>
    <col min="15875" max="15875" width="11.33203125" style="63" customWidth="1"/>
    <col min="15876" max="15876" width="11.83203125" style="63" customWidth="1"/>
    <col min="15877" max="15881" width="9.1640625" style="63"/>
    <col min="15882" max="15882" width="10.6640625" style="63" customWidth="1"/>
    <col min="15883" max="15885" width="9.1640625" style="63"/>
    <col min="15886" max="15886" width="10.83203125" style="63" customWidth="1"/>
    <col min="15887" max="15887" width="19.5" style="63" customWidth="1"/>
    <col min="15888" max="16128" width="9.1640625" style="63"/>
    <col min="16129" max="16129" width="6.83203125" style="63" customWidth="1"/>
    <col min="16130" max="16130" width="10" style="63" customWidth="1"/>
    <col min="16131" max="16131" width="11.33203125" style="63" customWidth="1"/>
    <col min="16132" max="16132" width="11.83203125" style="63" customWidth="1"/>
    <col min="16133" max="16137" width="9.1640625" style="63"/>
    <col min="16138" max="16138" width="10.6640625" style="63" customWidth="1"/>
    <col min="16139" max="16141" width="9.1640625" style="63"/>
    <col min="16142" max="16142" width="10.83203125" style="63" customWidth="1"/>
    <col min="16143" max="16143" width="19.5" style="63" customWidth="1"/>
    <col min="16144" max="16384" width="9.1640625" style="63"/>
  </cols>
  <sheetData>
    <row r="1" spans="2:15" ht="18" customHeight="1" x14ac:dyDescent="0.15">
      <c r="B1" s="113" t="s">
        <v>88</v>
      </c>
      <c r="C1" s="113"/>
      <c r="D1" s="113"/>
      <c r="E1" s="113"/>
      <c r="F1" s="113"/>
      <c r="G1" s="113"/>
      <c r="H1" s="113"/>
      <c r="I1" s="113"/>
      <c r="J1" s="113"/>
      <c r="K1" s="113"/>
      <c r="L1" s="113"/>
      <c r="M1" s="113"/>
      <c r="N1" s="113"/>
      <c r="O1" s="113"/>
    </row>
    <row r="2" spans="2:15" x14ac:dyDescent="0.15">
      <c r="B2" s="113"/>
      <c r="C2" s="113"/>
      <c r="D2" s="113"/>
      <c r="E2" s="113"/>
      <c r="F2" s="113"/>
      <c r="G2" s="113"/>
      <c r="H2" s="113"/>
      <c r="I2" s="113"/>
      <c r="J2" s="113"/>
      <c r="K2" s="113"/>
      <c r="L2" s="113"/>
      <c r="M2" s="113"/>
      <c r="N2" s="113"/>
      <c r="O2" s="113"/>
    </row>
    <row r="3" spans="2:15" x14ac:dyDescent="0.15">
      <c r="B3" s="113"/>
      <c r="C3" s="113"/>
      <c r="D3" s="113"/>
      <c r="E3" s="113"/>
      <c r="F3" s="113"/>
      <c r="G3" s="113"/>
      <c r="H3" s="113"/>
      <c r="I3" s="113"/>
      <c r="J3" s="113"/>
      <c r="K3" s="113"/>
      <c r="L3" s="113"/>
      <c r="M3" s="113"/>
      <c r="N3" s="113"/>
      <c r="O3" s="113"/>
    </row>
    <row r="4" spans="2:15" ht="21" customHeight="1" x14ac:dyDescent="0.15">
      <c r="B4" s="114" t="s">
        <v>89</v>
      </c>
      <c r="C4" s="114"/>
      <c r="D4" s="114"/>
      <c r="E4" s="114"/>
      <c r="F4" s="114"/>
      <c r="G4" s="114"/>
      <c r="H4" s="114"/>
      <c r="I4" s="114"/>
      <c r="J4" s="114"/>
      <c r="K4" s="114"/>
      <c r="L4" s="114"/>
      <c r="M4" s="114"/>
      <c r="N4" s="114"/>
      <c r="O4" s="114"/>
    </row>
    <row r="5" spans="2:15" ht="19.5" customHeight="1" x14ac:dyDescent="0.15">
      <c r="B5" s="114"/>
      <c r="C5" s="114"/>
      <c r="D5" s="114"/>
      <c r="E5" s="114"/>
      <c r="F5" s="114"/>
      <c r="G5" s="114"/>
      <c r="H5" s="114"/>
      <c r="I5" s="114"/>
      <c r="J5" s="114"/>
      <c r="K5" s="114"/>
      <c r="L5" s="114"/>
      <c r="M5" s="114"/>
      <c r="N5" s="114"/>
      <c r="O5" s="114"/>
    </row>
    <row r="6" spans="2:15" ht="18" customHeight="1" x14ac:dyDescent="0.15">
      <c r="B6" s="114"/>
      <c r="C6" s="114"/>
      <c r="D6" s="114"/>
      <c r="E6" s="114"/>
      <c r="F6" s="114"/>
      <c r="G6" s="114"/>
      <c r="H6" s="114"/>
      <c r="I6" s="114"/>
      <c r="J6" s="114"/>
      <c r="K6" s="114"/>
      <c r="L6" s="114"/>
      <c r="M6" s="114"/>
      <c r="N6" s="114"/>
      <c r="O6" s="114"/>
    </row>
    <row r="7" spans="2:15" ht="19.5" customHeight="1" x14ac:dyDescent="0.15">
      <c r="B7" s="114"/>
      <c r="C7" s="114"/>
      <c r="D7" s="114"/>
      <c r="E7" s="114"/>
      <c r="F7" s="114"/>
      <c r="G7" s="114"/>
      <c r="H7" s="114"/>
      <c r="I7" s="114"/>
      <c r="J7" s="114"/>
      <c r="K7" s="114"/>
      <c r="L7" s="114"/>
      <c r="M7" s="114"/>
      <c r="N7" s="114"/>
      <c r="O7" s="114"/>
    </row>
    <row r="8" spans="2:15" ht="20.25" customHeight="1" x14ac:dyDescent="0.15">
      <c r="B8" s="114"/>
      <c r="C8" s="114"/>
      <c r="D8" s="114"/>
      <c r="E8" s="114"/>
      <c r="F8" s="114"/>
      <c r="G8" s="114"/>
      <c r="H8" s="114"/>
      <c r="I8" s="114"/>
      <c r="J8" s="114"/>
      <c r="K8" s="114"/>
      <c r="L8" s="114"/>
      <c r="M8" s="114"/>
      <c r="N8" s="114"/>
      <c r="O8" s="114"/>
    </row>
    <row r="9" spans="2:15" ht="15" customHeight="1" x14ac:dyDescent="0.15">
      <c r="B9" s="114"/>
      <c r="C9" s="114"/>
      <c r="D9" s="114"/>
      <c r="E9" s="114"/>
      <c r="F9" s="114"/>
      <c r="G9" s="114"/>
      <c r="H9" s="114"/>
      <c r="I9" s="114"/>
      <c r="J9" s="114"/>
      <c r="K9" s="114"/>
      <c r="L9" s="114"/>
      <c r="M9" s="114"/>
      <c r="N9" s="114"/>
      <c r="O9" s="114"/>
    </row>
    <row r="11" spans="2:15" ht="14.25" customHeight="1" x14ac:dyDescent="0.15">
      <c r="B11" s="115" t="s">
        <v>90</v>
      </c>
      <c r="C11" s="115"/>
      <c r="D11" s="115"/>
      <c r="E11" s="64" t="s">
        <v>102</v>
      </c>
      <c r="G11" s="115" t="s">
        <v>91</v>
      </c>
      <c r="H11" s="115"/>
      <c r="I11" s="115"/>
      <c r="J11" s="64">
        <v>252</v>
      </c>
    </row>
    <row r="12" spans="2:15" ht="14.25" customHeight="1" x14ac:dyDescent="0.15">
      <c r="B12" s="115" t="s">
        <v>92</v>
      </c>
      <c r="C12" s="115"/>
      <c r="D12" s="115"/>
      <c r="E12" s="65">
        <v>0.13964270614446417</v>
      </c>
      <c r="G12" s="115" t="s">
        <v>93</v>
      </c>
      <c r="H12" s="115"/>
      <c r="I12" s="115"/>
      <c r="J12" s="64">
        <v>252</v>
      </c>
    </row>
    <row r="13" spans="2:15" ht="14.25" customHeight="1" x14ac:dyDescent="0.15">
      <c r="B13" s="115" t="s">
        <v>94</v>
      </c>
      <c r="C13" s="115"/>
      <c r="D13" s="115"/>
      <c r="E13" s="65">
        <v>0.54952261489455034</v>
      </c>
      <c r="G13" s="115" t="s">
        <v>95</v>
      </c>
      <c r="H13" s="115"/>
      <c r="I13" s="115"/>
      <c r="J13" s="64">
        <v>1</v>
      </c>
    </row>
    <row r="14" spans="2:15" ht="14.25" customHeight="1" x14ac:dyDescent="0.15">
      <c r="B14" s="115" t="s">
        <v>96</v>
      </c>
      <c r="C14" s="115"/>
      <c r="D14" s="115"/>
      <c r="E14" s="65">
        <v>2.4783150590801578E-5</v>
      </c>
      <c r="G14" s="115" t="s">
        <v>97</v>
      </c>
      <c r="H14" s="115"/>
      <c r="I14" s="115"/>
      <c r="J14" s="66" t="b">
        <v>1</v>
      </c>
    </row>
    <row r="16" spans="2:15" ht="12.75" customHeight="1" x14ac:dyDescent="0.15">
      <c r="B16" s="67" t="s">
        <v>98</v>
      </c>
      <c r="C16" s="68" t="s">
        <v>99</v>
      </c>
      <c r="D16" s="67" t="s">
        <v>100</v>
      </c>
      <c r="F16" s="116" t="s">
        <v>101</v>
      </c>
      <c r="G16" s="116"/>
      <c r="H16" s="116"/>
      <c r="I16" s="116"/>
      <c r="J16" s="116"/>
      <c r="K16" s="116"/>
      <c r="L16" s="116"/>
      <c r="M16" s="116"/>
      <c r="N16" s="116"/>
      <c r="O16" s="116"/>
    </row>
    <row r="17" spans="2:15" ht="12.75" customHeight="1" x14ac:dyDescent="0.15">
      <c r="B17" s="69">
        <v>0</v>
      </c>
      <c r="C17" s="70">
        <v>105.76362101166683</v>
      </c>
      <c r="D17" s="69"/>
      <c r="F17" s="116"/>
      <c r="G17" s="116"/>
      <c r="H17" s="116"/>
      <c r="I17" s="116"/>
      <c r="J17" s="116"/>
      <c r="K17" s="116"/>
      <c r="L17" s="116"/>
      <c r="M17" s="116"/>
      <c r="N17" s="116"/>
      <c r="O17" s="116"/>
    </row>
    <row r="18" spans="2:15" ht="12.75" customHeight="1" x14ac:dyDescent="0.15">
      <c r="B18" s="69">
        <v>1</v>
      </c>
      <c r="C18" s="70">
        <v>104.56615193223956</v>
      </c>
      <c r="D18" s="69"/>
      <c r="F18" s="116"/>
      <c r="G18" s="116"/>
      <c r="H18" s="116"/>
      <c r="I18" s="116"/>
      <c r="J18" s="116"/>
      <c r="K18" s="116"/>
      <c r="L18" s="116"/>
      <c r="M18" s="116"/>
      <c r="N18" s="116"/>
      <c r="O18" s="116"/>
    </row>
    <row r="19" spans="2:15" ht="12.75" customHeight="1" x14ac:dyDescent="0.15">
      <c r="B19" s="69">
        <v>2</v>
      </c>
      <c r="C19" s="70">
        <v>104.83395277362308</v>
      </c>
      <c r="D19" s="71">
        <v>0.14781442778839396</v>
      </c>
      <c r="F19" s="116"/>
      <c r="G19" s="116"/>
      <c r="H19" s="116"/>
      <c r="I19" s="116"/>
      <c r="J19" s="116"/>
      <c r="K19" s="116"/>
      <c r="L19" s="116"/>
      <c r="M19" s="116"/>
      <c r="N19" s="116"/>
      <c r="O19" s="116"/>
    </row>
    <row r="20" spans="2:15" ht="12.75" customHeight="1" x14ac:dyDescent="0.15">
      <c r="B20" s="69">
        <v>3</v>
      </c>
      <c r="C20" s="70">
        <v>105.31384724392646</v>
      </c>
      <c r="D20" s="71">
        <v>0.13594908839117562</v>
      </c>
      <c r="F20" s="116"/>
      <c r="G20" s="116"/>
      <c r="H20" s="116"/>
      <c r="I20" s="116"/>
      <c r="J20" s="116"/>
      <c r="K20" s="116"/>
      <c r="L20" s="116"/>
      <c r="M20" s="116"/>
      <c r="N20" s="116"/>
      <c r="O20" s="116"/>
    </row>
    <row r="21" spans="2:15" ht="12.75" customHeight="1" x14ac:dyDescent="0.15">
      <c r="B21" s="69">
        <v>4</v>
      </c>
      <c r="C21" s="70">
        <v>104.30000650954011</v>
      </c>
      <c r="D21" s="71">
        <v>0.13090362826944879</v>
      </c>
      <c r="F21" s="116"/>
      <c r="G21" s="116"/>
      <c r="H21" s="116"/>
      <c r="I21" s="116"/>
      <c r="J21" s="116"/>
      <c r="K21" s="116"/>
      <c r="L21" s="116"/>
      <c r="M21" s="116"/>
      <c r="N21" s="116"/>
      <c r="O21" s="116"/>
    </row>
    <row r="22" spans="2:15" ht="12.75" customHeight="1" x14ac:dyDescent="0.15">
      <c r="B22" s="69">
        <v>5</v>
      </c>
      <c r="C22" s="70">
        <v>105.47210117810427</v>
      </c>
      <c r="D22" s="71">
        <v>0.13767639967341602</v>
      </c>
      <c r="F22" s="116"/>
      <c r="G22" s="116"/>
      <c r="H22" s="116"/>
      <c r="I22" s="116"/>
      <c r="J22" s="116"/>
      <c r="K22" s="116"/>
      <c r="L22" s="116"/>
      <c r="M22" s="116"/>
      <c r="N22" s="116"/>
      <c r="O22" s="116"/>
    </row>
    <row r="23" spans="2:15" ht="12.75" customHeight="1" x14ac:dyDescent="0.15">
      <c r="B23" s="69">
        <v>6</v>
      </c>
      <c r="C23" s="70">
        <v>104.46302583932699</v>
      </c>
      <c r="D23" s="71">
        <v>0.14510693926493798</v>
      </c>
      <c r="F23" s="116"/>
      <c r="G23" s="116"/>
      <c r="H23" s="116"/>
      <c r="I23" s="116"/>
      <c r="J23" s="116"/>
      <c r="K23" s="116"/>
      <c r="L23" s="116"/>
      <c r="M23" s="116"/>
      <c r="N23" s="116"/>
      <c r="O23" s="116"/>
    </row>
    <row r="24" spans="2:15" ht="12.75" customHeight="1" x14ac:dyDescent="0.15">
      <c r="B24" s="69">
        <v>7</v>
      </c>
      <c r="C24" s="70">
        <v>104.82744293780101</v>
      </c>
      <c r="D24" s="71">
        <v>0.14514890401540179</v>
      </c>
      <c r="F24" s="116"/>
      <c r="G24" s="116"/>
      <c r="H24" s="116"/>
      <c r="I24" s="116"/>
      <c r="J24" s="116"/>
      <c r="K24" s="116"/>
      <c r="L24" s="116"/>
      <c r="M24" s="116"/>
      <c r="N24" s="116"/>
      <c r="O24" s="116"/>
    </row>
    <row r="25" spans="2:15" ht="12.75" customHeight="1" x14ac:dyDescent="0.15">
      <c r="B25" s="69">
        <v>8</v>
      </c>
      <c r="C25" s="70">
        <v>105.3953353695006</v>
      </c>
      <c r="D25" s="71">
        <v>0.13509094467067106</v>
      </c>
      <c r="F25" s="116"/>
      <c r="G25" s="116"/>
      <c r="H25" s="116"/>
      <c r="I25" s="116"/>
      <c r="J25" s="116"/>
      <c r="K25" s="116"/>
      <c r="L25" s="116"/>
      <c r="M25" s="116"/>
      <c r="N25" s="116"/>
      <c r="O25" s="116"/>
    </row>
    <row r="26" spans="2:15" x14ac:dyDescent="0.15">
      <c r="B26" s="69">
        <v>9</v>
      </c>
      <c r="C26" s="70">
        <v>106.8533824642428</v>
      </c>
      <c r="D26" s="71">
        <v>0.1315336389924219</v>
      </c>
      <c r="F26" s="63">
        <v>3</v>
      </c>
    </row>
    <row r="27" spans="2:15" x14ac:dyDescent="0.15">
      <c r="B27" s="69">
        <v>10</v>
      </c>
      <c r="C27" s="70">
        <v>107.28406401950409</v>
      </c>
      <c r="D27" s="71">
        <v>0.14965096182603885</v>
      </c>
    </row>
    <row r="28" spans="2:15" x14ac:dyDescent="0.15">
      <c r="B28" s="69">
        <v>11</v>
      </c>
      <c r="C28" s="70">
        <v>106.53940851685969</v>
      </c>
      <c r="D28" s="71">
        <v>0.13828060258487679</v>
      </c>
    </row>
    <row r="29" spans="2:15" x14ac:dyDescent="0.15">
      <c r="B29" s="69">
        <v>12</v>
      </c>
      <c r="C29" s="70">
        <v>107.00105029413467</v>
      </c>
      <c r="D29" s="71">
        <v>0.13586852589078721</v>
      </c>
    </row>
    <row r="30" spans="2:15" x14ac:dyDescent="0.15">
      <c r="B30" s="69">
        <v>13</v>
      </c>
      <c r="C30" s="70">
        <v>106.28653446067561</v>
      </c>
      <c r="D30" s="71">
        <v>0.13056621697981793</v>
      </c>
    </row>
    <row r="31" spans="2:15" x14ac:dyDescent="0.15">
      <c r="B31" s="69">
        <v>14</v>
      </c>
      <c r="C31" s="70">
        <v>104.87524977567284</v>
      </c>
      <c r="D31" s="71">
        <v>0.13112231312380174</v>
      </c>
    </row>
    <row r="32" spans="2:15" x14ac:dyDescent="0.15">
      <c r="B32" s="69">
        <v>15</v>
      </c>
      <c r="C32" s="70">
        <v>103.26724627571562</v>
      </c>
      <c r="D32" s="71">
        <v>0.14825993514299371</v>
      </c>
    </row>
    <row r="33" spans="2:4" x14ac:dyDescent="0.15">
      <c r="B33" s="69">
        <v>16</v>
      </c>
      <c r="C33" s="70">
        <v>103.37380322756844</v>
      </c>
      <c r="D33" s="71">
        <v>0.16348013513455992</v>
      </c>
    </row>
    <row r="34" spans="2:4" x14ac:dyDescent="0.15">
      <c r="B34" s="69">
        <v>17</v>
      </c>
      <c r="C34" s="70">
        <v>103.93465730826856</v>
      </c>
      <c r="D34" s="71">
        <v>0.14480742239501795</v>
      </c>
    </row>
    <row r="35" spans="2:4" x14ac:dyDescent="0.15">
      <c r="B35" s="69">
        <v>18</v>
      </c>
      <c r="C35" s="70">
        <v>104.08919559002324</v>
      </c>
      <c r="D35" s="71">
        <v>0.1371081956969312</v>
      </c>
    </row>
    <row r="36" spans="2:4" x14ac:dyDescent="0.15">
      <c r="B36" s="69">
        <v>19</v>
      </c>
      <c r="C36" s="70">
        <v>103.75841421585625</v>
      </c>
      <c r="D36" s="71">
        <v>0.12904775888580336</v>
      </c>
    </row>
    <row r="37" spans="2:4" x14ac:dyDescent="0.15">
      <c r="B37" s="69">
        <v>20</v>
      </c>
      <c r="C37" s="70">
        <v>105.42582019360279</v>
      </c>
      <c r="D37" s="71">
        <v>0.12551191975802642</v>
      </c>
    </row>
    <row r="38" spans="2:4" x14ac:dyDescent="0.15">
      <c r="B38" s="69">
        <v>21</v>
      </c>
      <c r="C38" s="70">
        <v>105.12379054511401</v>
      </c>
      <c r="D38" s="71">
        <v>0.15442122561030125</v>
      </c>
    </row>
    <row r="39" spans="2:4" x14ac:dyDescent="0.15">
      <c r="B39" s="69">
        <v>22</v>
      </c>
      <c r="C39" s="70">
        <v>105.81521894963043</v>
      </c>
      <c r="D39" s="71">
        <v>0.14013875581771881</v>
      </c>
    </row>
    <row r="40" spans="2:4" x14ac:dyDescent="0.15">
      <c r="B40" s="69">
        <v>23</v>
      </c>
      <c r="C40" s="70">
        <v>105.98366943330825</v>
      </c>
      <c r="D40" s="71">
        <v>0.13619744201275016</v>
      </c>
    </row>
    <row r="41" spans="2:4" x14ac:dyDescent="0.15">
      <c r="B41" s="69">
        <v>24</v>
      </c>
      <c r="C41" s="70">
        <v>105.11778328619845</v>
      </c>
      <c r="D41" s="71">
        <v>0.12856086300634109</v>
      </c>
    </row>
    <row r="42" spans="2:4" x14ac:dyDescent="0.15">
      <c r="B42" s="69">
        <v>25</v>
      </c>
      <c r="C42" s="70">
        <v>104.2050377849754</v>
      </c>
      <c r="D42" s="71">
        <v>0.13302642750937255</v>
      </c>
    </row>
    <row r="43" spans="2:4" x14ac:dyDescent="0.15">
      <c r="B43" s="69">
        <v>26</v>
      </c>
      <c r="C43" s="70">
        <v>103.71884677913644</v>
      </c>
      <c r="D43" s="71">
        <v>0.13655079595151845</v>
      </c>
    </row>
    <row r="44" spans="2:4" x14ac:dyDescent="0.15">
      <c r="B44" s="69">
        <v>27</v>
      </c>
      <c r="C44" s="70">
        <v>104.23994988673724</v>
      </c>
      <c r="D44" s="71">
        <v>0.13138285519291543</v>
      </c>
    </row>
    <row r="45" spans="2:4" x14ac:dyDescent="0.15">
      <c r="B45" s="69">
        <v>28</v>
      </c>
      <c r="C45" s="70">
        <v>102.74336507865308</v>
      </c>
      <c r="D45" s="71">
        <v>0.1288982273155394</v>
      </c>
    </row>
    <row r="46" spans="2:4" x14ac:dyDescent="0.15">
      <c r="B46" s="69">
        <v>29</v>
      </c>
      <c r="C46" s="70">
        <v>102.73435798922169</v>
      </c>
      <c r="D46" s="71">
        <v>0.15078016102454092</v>
      </c>
    </row>
    <row r="47" spans="2:4" x14ac:dyDescent="0.15">
      <c r="B47" s="69">
        <v>30</v>
      </c>
      <c r="C47" s="70">
        <v>103.59509881318283</v>
      </c>
      <c r="D47" s="71">
        <v>0.13688985557361374</v>
      </c>
    </row>
    <row r="48" spans="2:4" x14ac:dyDescent="0.15">
      <c r="B48" s="69">
        <v>31</v>
      </c>
      <c r="C48" s="70">
        <v>102.6111103337289</v>
      </c>
      <c r="D48" s="71">
        <v>0.13781301894492573</v>
      </c>
    </row>
    <row r="49" spans="2:4" x14ac:dyDescent="0.15">
      <c r="B49" s="69">
        <v>32</v>
      </c>
      <c r="C49" s="70">
        <v>102.45578888649976</v>
      </c>
      <c r="D49" s="71">
        <v>0.14102259720986399</v>
      </c>
    </row>
    <row r="50" spans="2:4" x14ac:dyDescent="0.15">
      <c r="B50" s="69">
        <v>33</v>
      </c>
      <c r="C50" s="70">
        <v>101.74491072456183</v>
      </c>
      <c r="D50" s="71">
        <v>0.13135701974773908</v>
      </c>
    </row>
    <row r="51" spans="2:4" x14ac:dyDescent="0.15">
      <c r="B51" s="69">
        <v>34</v>
      </c>
      <c r="C51" s="70">
        <v>102.23509257688659</v>
      </c>
      <c r="D51" s="71">
        <v>0.13203447139621827</v>
      </c>
    </row>
    <row r="52" spans="2:4" x14ac:dyDescent="0.15">
      <c r="B52" s="69">
        <v>35</v>
      </c>
      <c r="C52" s="70">
        <v>102.68915153336349</v>
      </c>
      <c r="D52" s="71">
        <v>0.12898877853441046</v>
      </c>
    </row>
    <row r="53" spans="2:4" x14ac:dyDescent="0.15">
      <c r="B53" s="69">
        <v>36</v>
      </c>
      <c r="C53" s="70">
        <v>104.14565309314298</v>
      </c>
      <c r="D53" s="71">
        <v>0.12680470224398463</v>
      </c>
    </row>
    <row r="54" spans="2:4" x14ac:dyDescent="0.15">
      <c r="B54" s="69">
        <v>37</v>
      </c>
      <c r="C54" s="70">
        <v>104.37692926386772</v>
      </c>
      <c r="D54" s="71">
        <v>0.14853135996820313</v>
      </c>
    </row>
    <row r="55" spans="2:4" x14ac:dyDescent="0.15">
      <c r="B55" s="69">
        <v>38</v>
      </c>
      <c r="C55" s="70">
        <v>104.75286761322543</v>
      </c>
      <c r="D55" s="71">
        <v>0.1361684165158816</v>
      </c>
    </row>
    <row r="56" spans="2:4" x14ac:dyDescent="0.15">
      <c r="B56" s="69">
        <v>39</v>
      </c>
      <c r="C56" s="70">
        <v>105.17629498645837</v>
      </c>
      <c r="D56" s="71">
        <v>0.12995913446321997</v>
      </c>
    </row>
    <row r="57" spans="2:4" x14ac:dyDescent="0.15">
      <c r="B57" s="69">
        <v>40</v>
      </c>
      <c r="C57" s="70">
        <v>105.07629942147032</v>
      </c>
      <c r="D57" s="71">
        <v>0.126882238058344</v>
      </c>
    </row>
    <row r="58" spans="2:4" x14ac:dyDescent="0.15">
      <c r="B58" s="69">
        <v>41</v>
      </c>
      <c r="C58" s="70">
        <v>105.62458994561244</v>
      </c>
      <c r="D58" s="71">
        <v>0.12297972852570858</v>
      </c>
    </row>
    <row r="59" spans="2:4" x14ac:dyDescent="0.15">
      <c r="B59" s="69">
        <v>42</v>
      </c>
      <c r="C59" s="70">
        <v>105.5712253684582</v>
      </c>
      <c r="D59" s="71">
        <v>0.12453718139506645</v>
      </c>
    </row>
    <row r="60" spans="2:4" x14ac:dyDescent="0.15">
      <c r="B60" s="69">
        <v>43</v>
      </c>
      <c r="C60" s="70">
        <v>105.20007170039821</v>
      </c>
      <c r="D60" s="71">
        <v>0.12156137208839361</v>
      </c>
    </row>
    <row r="61" spans="2:4" x14ac:dyDescent="0.15">
      <c r="B61" s="69">
        <v>44</v>
      </c>
      <c r="C61" s="70">
        <v>104.16304781290782</v>
      </c>
      <c r="D61" s="71">
        <v>0.12166438022497568</v>
      </c>
    </row>
    <row r="62" spans="2:4" x14ac:dyDescent="0.15">
      <c r="B62" s="69">
        <v>45</v>
      </c>
      <c r="C62" s="70">
        <v>104.12203655817545</v>
      </c>
      <c r="D62" s="71">
        <v>0.13354039809564766</v>
      </c>
    </row>
    <row r="63" spans="2:4" x14ac:dyDescent="0.15">
      <c r="B63" s="69">
        <v>46</v>
      </c>
      <c r="C63" s="70">
        <v>102.64996918373301</v>
      </c>
      <c r="D63" s="71">
        <v>0.12669044464293994</v>
      </c>
    </row>
    <row r="64" spans="2:4" x14ac:dyDescent="0.15">
      <c r="B64" s="69">
        <v>47</v>
      </c>
      <c r="C64" s="70">
        <v>101.68361883646959</v>
      </c>
      <c r="D64" s="71">
        <v>0.14899657489931842</v>
      </c>
    </row>
    <row r="65" spans="2:4" x14ac:dyDescent="0.15">
      <c r="B65" s="69">
        <v>48</v>
      </c>
      <c r="C65" s="70">
        <v>102.08448102853249</v>
      </c>
      <c r="D65" s="71">
        <v>0.14694569160679627</v>
      </c>
    </row>
    <row r="66" spans="2:4" x14ac:dyDescent="0.15">
      <c r="B66" s="69">
        <v>49</v>
      </c>
      <c r="C66" s="70">
        <v>101.20399695812138</v>
      </c>
      <c r="D66" s="71">
        <v>0.13658684527819343</v>
      </c>
    </row>
    <row r="67" spans="2:4" x14ac:dyDescent="0.15">
      <c r="B67" s="69">
        <v>50</v>
      </c>
      <c r="C67" s="70">
        <v>100.48884399880306</v>
      </c>
      <c r="D67" s="71">
        <v>0.1383395233967937</v>
      </c>
    </row>
    <row r="68" spans="2:4" x14ac:dyDescent="0.15">
      <c r="B68" s="69">
        <v>51</v>
      </c>
      <c r="C68" s="70">
        <v>98.458950229047289</v>
      </c>
      <c r="D68" s="71">
        <v>0.1361312588375666</v>
      </c>
    </row>
    <row r="69" spans="2:4" x14ac:dyDescent="0.15">
      <c r="B69" s="69">
        <v>52</v>
      </c>
      <c r="C69" s="70">
        <v>99.784814731305872</v>
      </c>
      <c r="D69" s="71">
        <v>0.17630560183488886</v>
      </c>
    </row>
    <row r="70" spans="2:4" x14ac:dyDescent="0.15">
      <c r="B70" s="69">
        <v>53</v>
      </c>
      <c r="C70" s="70">
        <v>100.64173429602793</v>
      </c>
      <c r="D70" s="71">
        <v>0.17211307695383243</v>
      </c>
    </row>
    <row r="71" spans="2:4" x14ac:dyDescent="0.15">
      <c r="B71" s="69">
        <v>54</v>
      </c>
      <c r="C71" s="70">
        <v>101.27805818903997</v>
      </c>
      <c r="D71" s="71">
        <v>0.15841999887040067</v>
      </c>
    </row>
    <row r="72" spans="2:4" x14ac:dyDescent="0.15">
      <c r="B72" s="69">
        <v>55</v>
      </c>
      <c r="C72" s="70">
        <v>103.13028301110326</v>
      </c>
      <c r="D72" s="71">
        <v>0.14640553107215984</v>
      </c>
    </row>
    <row r="73" spans="2:4" x14ac:dyDescent="0.15">
      <c r="B73" s="69">
        <v>56</v>
      </c>
      <c r="C73" s="70">
        <v>103.65932792387439</v>
      </c>
      <c r="D73" s="71">
        <v>0.17199537045620841</v>
      </c>
    </row>
    <row r="74" spans="2:4" x14ac:dyDescent="0.15">
      <c r="B74" s="69">
        <v>57</v>
      </c>
      <c r="C74" s="70">
        <v>104.60452842914259</v>
      </c>
      <c r="D74" s="71">
        <v>0.15304532421205411</v>
      </c>
    </row>
    <row r="75" spans="2:4" x14ac:dyDescent="0.15">
      <c r="B75" s="69">
        <v>58</v>
      </c>
      <c r="C75" s="70">
        <v>105.12407258254709</v>
      </c>
      <c r="D75" s="71">
        <v>0.14837833183437996</v>
      </c>
    </row>
    <row r="76" spans="2:4" x14ac:dyDescent="0.15">
      <c r="B76" s="69">
        <v>59</v>
      </c>
      <c r="C76" s="70">
        <v>105.57954447861304</v>
      </c>
      <c r="D76" s="71">
        <v>0.13859115735214272</v>
      </c>
    </row>
    <row r="77" spans="2:4" x14ac:dyDescent="0.15">
      <c r="B77" s="69">
        <v>60</v>
      </c>
      <c r="C77" s="70">
        <v>105.2761733826412</v>
      </c>
      <c r="D77" s="71">
        <v>0.13212896029895785</v>
      </c>
    </row>
    <row r="78" spans="2:4" x14ac:dyDescent="0.15">
      <c r="B78" s="69">
        <v>61</v>
      </c>
      <c r="C78" s="70">
        <v>107.04168623466271</v>
      </c>
      <c r="D78" s="71">
        <v>0.12700524434385665</v>
      </c>
    </row>
    <row r="79" spans="2:4" x14ac:dyDescent="0.15">
      <c r="B79" s="69">
        <v>62</v>
      </c>
      <c r="C79" s="70">
        <v>106.43443724149833</v>
      </c>
      <c r="D79" s="71">
        <v>0.15761599641227034</v>
      </c>
    </row>
    <row r="80" spans="2:4" x14ac:dyDescent="0.15">
      <c r="B80" s="69">
        <v>63</v>
      </c>
      <c r="C80" s="70">
        <v>108.12449720017996</v>
      </c>
      <c r="D80" s="71">
        <v>0.14503798022490497</v>
      </c>
    </row>
    <row r="81" spans="2:4" x14ac:dyDescent="0.15">
      <c r="B81" s="69">
        <v>64</v>
      </c>
      <c r="C81" s="70">
        <v>108.84098270437174</v>
      </c>
      <c r="D81" s="71">
        <v>0.16290798436215748</v>
      </c>
    </row>
    <row r="82" spans="2:4" x14ac:dyDescent="0.15">
      <c r="B82" s="69">
        <v>65</v>
      </c>
      <c r="C82" s="70">
        <v>109.94826896181482</v>
      </c>
      <c r="D82" s="71">
        <v>0.14954653445669658</v>
      </c>
    </row>
    <row r="83" spans="2:4" x14ac:dyDescent="0.15">
      <c r="B83" s="69">
        <v>66</v>
      </c>
      <c r="C83" s="70">
        <v>110.54387655363432</v>
      </c>
      <c r="D83" s="71">
        <v>0.14879641772408198</v>
      </c>
    </row>
    <row r="84" spans="2:4" x14ac:dyDescent="0.15">
      <c r="B84" s="69">
        <v>67</v>
      </c>
      <c r="C84" s="70">
        <v>111.16249214694568</v>
      </c>
      <c r="D84" s="71">
        <v>0.13942415766451979</v>
      </c>
    </row>
    <row r="85" spans="2:4" x14ac:dyDescent="0.15">
      <c r="B85" s="69">
        <v>68</v>
      </c>
      <c r="C85" s="70">
        <v>110.9168673411224</v>
      </c>
      <c r="D85" s="71">
        <v>0.13425150027704913</v>
      </c>
    </row>
    <row r="86" spans="2:4" x14ac:dyDescent="0.15">
      <c r="B86" s="69">
        <v>69</v>
      </c>
      <c r="C86" s="70">
        <v>111.21409219347484</v>
      </c>
      <c r="D86" s="71">
        <v>0.1277569781124516</v>
      </c>
    </row>
    <row r="87" spans="2:4" x14ac:dyDescent="0.15">
      <c r="B87" s="69">
        <v>70</v>
      </c>
      <c r="C87" s="70">
        <v>111.05657646931948</v>
      </c>
      <c r="D87" s="71">
        <v>0.12436476602516958</v>
      </c>
    </row>
    <row r="88" spans="2:4" x14ac:dyDescent="0.15">
      <c r="B88" s="69">
        <v>71</v>
      </c>
      <c r="C88" s="70">
        <v>110.86597097931669</v>
      </c>
      <c r="D88" s="71">
        <v>0.12171806940552686</v>
      </c>
    </row>
    <row r="89" spans="2:4" x14ac:dyDescent="0.15">
      <c r="B89" s="69">
        <v>72</v>
      </c>
      <c r="C89" s="70">
        <v>111.13313464958057</v>
      </c>
      <c r="D89" s="71">
        <v>0.12037659965254882</v>
      </c>
    </row>
    <row r="90" spans="2:4" x14ac:dyDescent="0.15">
      <c r="B90" s="69">
        <v>73</v>
      </c>
      <c r="C90" s="70">
        <v>111.28691603034981</v>
      </c>
      <c r="D90" s="71">
        <v>0.12005034498593084</v>
      </c>
    </row>
    <row r="91" spans="2:4" x14ac:dyDescent="0.15">
      <c r="B91" s="69">
        <v>74</v>
      </c>
      <c r="C91" s="70">
        <v>112.26873629496293</v>
      </c>
      <c r="D91" s="71">
        <v>0.11929966015506377</v>
      </c>
    </row>
    <row r="92" spans="2:4" x14ac:dyDescent="0.15">
      <c r="B92" s="69">
        <v>75</v>
      </c>
      <c r="C92" s="70">
        <v>112.91811395784649</v>
      </c>
      <c r="D92" s="71">
        <v>0.12954315729113131</v>
      </c>
    </row>
    <row r="93" spans="2:4" x14ac:dyDescent="0.15">
      <c r="B93" s="69">
        <v>76</v>
      </c>
      <c r="C93" s="70">
        <v>113.01959546214945</v>
      </c>
      <c r="D93" s="71">
        <v>0.12898712595924836</v>
      </c>
    </row>
    <row r="94" spans="2:4" x14ac:dyDescent="0.15">
      <c r="B94" s="69">
        <v>77</v>
      </c>
      <c r="C94" s="70">
        <v>113.97904454383935</v>
      </c>
      <c r="D94" s="71">
        <v>0.12416332716432441</v>
      </c>
    </row>
    <row r="95" spans="2:4" x14ac:dyDescent="0.15">
      <c r="B95" s="69">
        <v>78</v>
      </c>
      <c r="C95" s="70">
        <v>112.95841485367575</v>
      </c>
      <c r="D95" s="71">
        <v>0.13126979330489519</v>
      </c>
    </row>
    <row r="96" spans="2:4" x14ac:dyDescent="0.15">
      <c r="B96" s="69">
        <v>79</v>
      </c>
      <c r="C96" s="70">
        <v>113.60373631752812</v>
      </c>
      <c r="D96" s="71">
        <v>0.13624145465737725</v>
      </c>
    </row>
    <row r="97" spans="2:4" x14ac:dyDescent="0.15">
      <c r="B97" s="69">
        <v>80</v>
      </c>
      <c r="C97" s="70">
        <v>114.57601833934271</v>
      </c>
      <c r="D97" s="71">
        <v>0.13261759651736277</v>
      </c>
    </row>
    <row r="98" spans="2:4" x14ac:dyDescent="0.15">
      <c r="B98" s="69">
        <v>81</v>
      </c>
      <c r="C98" s="70">
        <v>114.24808768065974</v>
      </c>
      <c r="D98" s="71">
        <v>0.13588881135156322</v>
      </c>
    </row>
    <row r="99" spans="2:4" x14ac:dyDescent="0.15">
      <c r="B99" s="69">
        <v>82</v>
      </c>
      <c r="C99" s="70">
        <v>115.11315738672043</v>
      </c>
      <c r="D99" s="71">
        <v>0.12915806662952192</v>
      </c>
    </row>
    <row r="100" spans="2:4" x14ac:dyDescent="0.15">
      <c r="B100" s="69">
        <v>83</v>
      </c>
      <c r="C100" s="70">
        <v>116.02347653711468</v>
      </c>
      <c r="D100" s="71">
        <v>0.13196498388543057</v>
      </c>
    </row>
    <row r="101" spans="2:4" x14ac:dyDescent="0.15">
      <c r="B101" s="69">
        <v>84</v>
      </c>
      <c r="C101" s="70">
        <v>117.3387410113065</v>
      </c>
      <c r="D101" s="71">
        <v>0.13415869538455452</v>
      </c>
    </row>
    <row r="102" spans="2:4" x14ac:dyDescent="0.15">
      <c r="B102" s="69">
        <v>85</v>
      </c>
      <c r="C102" s="70">
        <v>117.70700547330868</v>
      </c>
      <c r="D102" s="71">
        <v>0.14355300642924693</v>
      </c>
    </row>
    <row r="103" spans="2:4" x14ac:dyDescent="0.15">
      <c r="B103" s="69">
        <v>86</v>
      </c>
      <c r="C103" s="70">
        <v>117.80180663235649</v>
      </c>
      <c r="D103" s="71">
        <v>0.13384752212470186</v>
      </c>
    </row>
    <row r="104" spans="2:4" x14ac:dyDescent="0.15">
      <c r="B104" s="69">
        <v>87</v>
      </c>
      <c r="C104" s="70">
        <v>119.00327817382772</v>
      </c>
      <c r="D104" s="71">
        <v>0.1269367846953694</v>
      </c>
    </row>
    <row r="105" spans="2:4" x14ac:dyDescent="0.15">
      <c r="B105" s="69">
        <v>88</v>
      </c>
      <c r="C105" s="70">
        <v>117.6537841229425</v>
      </c>
      <c r="D105" s="71">
        <v>0.13683313608846248</v>
      </c>
    </row>
    <row r="106" spans="2:4" x14ac:dyDescent="0.15">
      <c r="B106" s="69">
        <v>89</v>
      </c>
      <c r="C106" s="70">
        <v>118.07539879074955</v>
      </c>
      <c r="D106" s="71">
        <v>0.145297430146686</v>
      </c>
    </row>
    <row r="107" spans="2:4" x14ac:dyDescent="0.15">
      <c r="B107" s="69">
        <v>90</v>
      </c>
      <c r="C107" s="70">
        <v>117.84966362766102</v>
      </c>
      <c r="D107" s="71">
        <v>0.13526565090940959</v>
      </c>
    </row>
    <row r="108" spans="2:4" x14ac:dyDescent="0.15">
      <c r="B108" s="69">
        <v>91</v>
      </c>
      <c r="C108" s="70">
        <v>118.18190992812018</v>
      </c>
      <c r="D108" s="71">
        <v>0.12817457090874884</v>
      </c>
    </row>
    <row r="109" spans="2:4" x14ac:dyDescent="0.15">
      <c r="B109" s="69">
        <v>92</v>
      </c>
      <c r="C109" s="70">
        <v>118.64512694960061</v>
      </c>
      <c r="D109" s="71">
        <v>0.12470851815738865</v>
      </c>
    </row>
    <row r="110" spans="2:4" x14ac:dyDescent="0.15">
      <c r="B110" s="69">
        <v>93</v>
      </c>
      <c r="C110" s="70">
        <v>119.1682739088652</v>
      </c>
      <c r="D110" s="71">
        <v>0.12381497619135066</v>
      </c>
    </row>
    <row r="111" spans="2:4" x14ac:dyDescent="0.15">
      <c r="B111" s="69">
        <v>94</v>
      </c>
      <c r="C111" s="70">
        <v>118.89331128905168</v>
      </c>
      <c r="D111" s="71">
        <v>0.12389829001301371</v>
      </c>
    </row>
    <row r="112" spans="2:4" x14ac:dyDescent="0.15">
      <c r="B112" s="69">
        <v>95</v>
      </c>
      <c r="C112" s="70">
        <v>118.55675860352919</v>
      </c>
      <c r="D112" s="71">
        <v>0.1219374327933167</v>
      </c>
    </row>
    <row r="113" spans="2:4" x14ac:dyDescent="0.15">
      <c r="B113" s="69">
        <v>96</v>
      </c>
      <c r="C113" s="70">
        <v>117.95776017133119</v>
      </c>
      <c r="D113" s="71">
        <v>0.12123875778178261</v>
      </c>
    </row>
    <row r="114" spans="2:4" x14ac:dyDescent="0.15">
      <c r="B114" s="69">
        <v>97</v>
      </c>
      <c r="C114" s="70">
        <v>117.94932579724009</v>
      </c>
      <c r="D114" s="71">
        <v>0.1233918499209108</v>
      </c>
    </row>
    <row r="115" spans="2:4" x14ac:dyDescent="0.15">
      <c r="B115" s="69">
        <v>98</v>
      </c>
      <c r="C115" s="70">
        <v>118.27116491376991</v>
      </c>
      <c r="D115" s="71">
        <v>0.12088141781560184</v>
      </c>
    </row>
    <row r="116" spans="2:4" x14ac:dyDescent="0.15">
      <c r="B116" s="69">
        <v>99</v>
      </c>
      <c r="C116" s="70">
        <v>119.00432341257817</v>
      </c>
      <c r="D116" s="71">
        <v>0.12056716851736797</v>
      </c>
    </row>
    <row r="117" spans="2:4" x14ac:dyDescent="0.15">
      <c r="B117" s="69">
        <v>100</v>
      </c>
      <c r="C117" s="70">
        <v>118.2994109049712</v>
      </c>
      <c r="D117" s="71">
        <v>0.12480934200418183</v>
      </c>
    </row>
    <row r="118" spans="2:4" x14ac:dyDescent="0.15">
      <c r="B118" s="69">
        <v>101</v>
      </c>
      <c r="C118" s="70">
        <v>118.64669891633964</v>
      </c>
      <c r="D118" s="71">
        <v>0.12667885467198425</v>
      </c>
    </row>
    <row r="119" spans="2:4" x14ac:dyDescent="0.15">
      <c r="B119" s="69">
        <v>102</v>
      </c>
      <c r="C119" s="70">
        <v>118.00045063464782</v>
      </c>
      <c r="D119" s="71">
        <v>0.12396056037201984</v>
      </c>
    </row>
    <row r="120" spans="2:4" x14ac:dyDescent="0.15">
      <c r="B120" s="69">
        <v>103</v>
      </c>
      <c r="C120" s="70">
        <v>117.62663119319043</v>
      </c>
      <c r="D120" s="71">
        <v>0.12545584336274471</v>
      </c>
    </row>
    <row r="121" spans="2:4" x14ac:dyDescent="0.15">
      <c r="B121" s="69">
        <v>104</v>
      </c>
      <c r="C121" s="70">
        <v>116.68477377746579</v>
      </c>
      <c r="D121" s="71">
        <v>0.12348549770541475</v>
      </c>
    </row>
    <row r="122" spans="2:4" x14ac:dyDescent="0.15">
      <c r="B122" s="69">
        <v>105</v>
      </c>
      <c r="C122" s="70">
        <v>116.09740816885518</v>
      </c>
      <c r="D122" s="71">
        <v>0.12999708610525129</v>
      </c>
    </row>
    <row r="123" spans="2:4" x14ac:dyDescent="0.15">
      <c r="B123" s="69">
        <v>106</v>
      </c>
      <c r="C123" s="70">
        <v>117.42536196854202</v>
      </c>
      <c r="D123" s="71">
        <v>0.12817197780203474</v>
      </c>
    </row>
    <row r="124" spans="2:4" x14ac:dyDescent="0.15">
      <c r="B124" s="69">
        <v>107</v>
      </c>
      <c r="C124" s="70">
        <v>119.32848156447589</v>
      </c>
      <c r="D124" s="71">
        <v>0.14080082602516822</v>
      </c>
    </row>
    <row r="125" spans="2:4" x14ac:dyDescent="0.15">
      <c r="B125" s="69">
        <v>108</v>
      </c>
      <c r="C125" s="70">
        <v>119.73478598832979</v>
      </c>
      <c r="D125" s="71">
        <v>0.1619730174349292</v>
      </c>
    </row>
    <row r="126" spans="2:4" x14ac:dyDescent="0.15">
      <c r="B126" s="69">
        <v>109</v>
      </c>
      <c r="C126" s="70">
        <v>119.63951793104866</v>
      </c>
      <c r="D126" s="71">
        <v>0.14515099739519829</v>
      </c>
    </row>
    <row r="127" spans="2:4" x14ac:dyDescent="0.15">
      <c r="B127" s="69">
        <v>110</v>
      </c>
      <c r="C127" s="70">
        <v>119.96060924597738</v>
      </c>
      <c r="D127" s="71">
        <v>0.13358681894942345</v>
      </c>
    </row>
    <row r="128" spans="2:4" x14ac:dyDescent="0.15">
      <c r="B128" s="69">
        <v>111</v>
      </c>
      <c r="C128" s="70">
        <v>121.11690616470584</v>
      </c>
      <c r="D128" s="71">
        <v>0.12768953455730608</v>
      </c>
    </row>
    <row r="129" spans="2:4" x14ac:dyDescent="0.15">
      <c r="B129" s="69">
        <v>112</v>
      </c>
      <c r="C129" s="70">
        <v>120.52670034148221</v>
      </c>
      <c r="D129" s="71">
        <v>0.13580634305708486</v>
      </c>
    </row>
    <row r="130" spans="2:4" x14ac:dyDescent="0.15">
      <c r="B130" s="69">
        <v>113</v>
      </c>
      <c r="C130" s="70">
        <v>120.58633537196525</v>
      </c>
      <c r="D130" s="71">
        <v>0.1312254682374133</v>
      </c>
    </row>
    <row r="131" spans="2:4" x14ac:dyDescent="0.15">
      <c r="B131" s="69">
        <v>114</v>
      </c>
      <c r="C131" s="70">
        <v>121.47937694605049</v>
      </c>
      <c r="D131" s="71">
        <v>0.12536671004692079</v>
      </c>
    </row>
    <row r="132" spans="2:4" x14ac:dyDescent="0.15">
      <c r="B132" s="69">
        <v>115</v>
      </c>
      <c r="C132" s="70">
        <v>119.96380501982604</v>
      </c>
      <c r="D132" s="71">
        <v>0.1296068626970702</v>
      </c>
    </row>
    <row r="133" spans="2:4" x14ac:dyDescent="0.15">
      <c r="B133" s="69">
        <v>116</v>
      </c>
      <c r="C133" s="70">
        <v>120.34898770268443</v>
      </c>
      <c r="D133" s="71">
        <v>0.14499182600672508</v>
      </c>
    </row>
    <row r="134" spans="2:4" x14ac:dyDescent="0.15">
      <c r="B134" s="69">
        <v>117</v>
      </c>
      <c r="C134" s="70">
        <v>120.49774546316618</v>
      </c>
      <c r="D134" s="71">
        <v>0.13475678097896959</v>
      </c>
    </row>
    <row r="135" spans="2:4" x14ac:dyDescent="0.15">
      <c r="B135" s="69">
        <v>118</v>
      </c>
      <c r="C135" s="70">
        <v>120.71028098445213</v>
      </c>
      <c r="D135" s="71">
        <v>0.1275854508002465</v>
      </c>
    </row>
    <row r="136" spans="2:4" x14ac:dyDescent="0.15">
      <c r="B136" s="69">
        <v>119</v>
      </c>
      <c r="C136" s="70">
        <v>121.25001556126004</v>
      </c>
      <c r="D136" s="71">
        <v>0.12369233419191027</v>
      </c>
    </row>
    <row r="137" spans="2:4" x14ac:dyDescent="0.15">
      <c r="B137" s="69">
        <v>120</v>
      </c>
      <c r="C137" s="70">
        <v>121.32914729227977</v>
      </c>
      <c r="D137" s="71">
        <v>0.12390862259872198</v>
      </c>
    </row>
    <row r="138" spans="2:4" x14ac:dyDescent="0.15">
      <c r="B138" s="69">
        <v>121</v>
      </c>
      <c r="C138" s="70">
        <v>120.67440957118882</v>
      </c>
      <c r="D138" s="71">
        <v>0.12123260234643313</v>
      </c>
    </row>
    <row r="139" spans="2:4" x14ac:dyDescent="0.15">
      <c r="B139" s="69">
        <v>122</v>
      </c>
      <c r="C139" s="70">
        <v>120.91374044357977</v>
      </c>
      <c r="D139" s="71">
        <v>0.12390398216156399</v>
      </c>
    </row>
    <row r="140" spans="2:4" x14ac:dyDescent="0.15">
      <c r="B140" s="69">
        <v>123</v>
      </c>
      <c r="C140" s="70">
        <v>120.97503830826061</v>
      </c>
      <c r="D140" s="71">
        <v>0.12173690946110305</v>
      </c>
    </row>
    <row r="141" spans="2:4" x14ac:dyDescent="0.15">
      <c r="B141" s="69">
        <v>124</v>
      </c>
      <c r="C141" s="70">
        <v>119.84207491470126</v>
      </c>
      <c r="D141" s="71">
        <v>0.1199927074776528</v>
      </c>
    </row>
    <row r="142" spans="2:4" x14ac:dyDescent="0.15">
      <c r="B142" s="69">
        <v>125</v>
      </c>
      <c r="C142" s="70">
        <v>120.43155027122633</v>
      </c>
      <c r="D142" s="71">
        <v>0.13142724950580337</v>
      </c>
    </row>
    <row r="143" spans="2:4" x14ac:dyDescent="0.15">
      <c r="B143" s="69">
        <v>126</v>
      </c>
      <c r="C143" s="70">
        <v>122.09577703989973</v>
      </c>
      <c r="D143" s="71">
        <v>0.12878102257515936</v>
      </c>
    </row>
    <row r="144" spans="2:4" x14ac:dyDescent="0.15">
      <c r="B144" s="69">
        <v>127</v>
      </c>
      <c r="C144" s="70">
        <v>121.38631328815191</v>
      </c>
      <c r="D144" s="71">
        <v>0.14828063685480802</v>
      </c>
    </row>
    <row r="145" spans="2:4" x14ac:dyDescent="0.15">
      <c r="B145" s="69">
        <v>128</v>
      </c>
      <c r="C145" s="70">
        <v>121.57394785243312</v>
      </c>
      <c r="D145" s="71">
        <v>0.13972436404817459</v>
      </c>
    </row>
    <row r="146" spans="2:4" x14ac:dyDescent="0.15">
      <c r="B146" s="69">
        <v>129</v>
      </c>
      <c r="C146" s="70">
        <v>122.28103789109593</v>
      </c>
      <c r="D146" s="71">
        <v>0.13060467242402801</v>
      </c>
    </row>
    <row r="147" spans="2:4" x14ac:dyDescent="0.15">
      <c r="B147" s="69">
        <v>130</v>
      </c>
      <c r="C147" s="70">
        <v>123.49566992920995</v>
      </c>
      <c r="D147" s="71">
        <v>0.12962398608329179</v>
      </c>
    </row>
    <row r="148" spans="2:4" x14ac:dyDescent="0.15">
      <c r="B148" s="69">
        <v>131</v>
      </c>
      <c r="C148" s="70">
        <v>123.5934756339596</v>
      </c>
      <c r="D148" s="71">
        <v>0.13753743336844743</v>
      </c>
    </row>
    <row r="149" spans="2:4" x14ac:dyDescent="0.15">
      <c r="B149" s="69">
        <v>132</v>
      </c>
      <c r="C149" s="70">
        <v>122.96834911143702</v>
      </c>
      <c r="D149" s="71">
        <v>0.12908322189318031</v>
      </c>
    </row>
    <row r="150" spans="2:4" x14ac:dyDescent="0.15">
      <c r="B150" s="69">
        <v>133</v>
      </c>
      <c r="C150" s="70">
        <v>123.35653166577907</v>
      </c>
      <c r="D150" s="71">
        <v>0.12769725142429017</v>
      </c>
    </row>
    <row r="151" spans="2:4" x14ac:dyDescent="0.15">
      <c r="B151" s="69">
        <v>134</v>
      </c>
      <c r="C151" s="70">
        <v>123.56130858262594</v>
      </c>
      <c r="D151" s="71">
        <v>0.12472274650749136</v>
      </c>
    </row>
    <row r="152" spans="2:4" x14ac:dyDescent="0.15">
      <c r="B152" s="69">
        <v>135</v>
      </c>
      <c r="C152" s="70">
        <v>124.13022728918283</v>
      </c>
      <c r="D152" s="71">
        <v>0.12202627303356342</v>
      </c>
    </row>
    <row r="153" spans="2:4" x14ac:dyDescent="0.15">
      <c r="B153" s="69">
        <v>136</v>
      </c>
      <c r="C153" s="70">
        <v>123.57632605542069</v>
      </c>
      <c r="D153" s="71">
        <v>0.123168898822513</v>
      </c>
    </row>
    <row r="154" spans="2:4" x14ac:dyDescent="0.15">
      <c r="B154" s="69">
        <v>137</v>
      </c>
      <c r="C154" s="70">
        <v>123.22605160003371</v>
      </c>
      <c r="D154" s="71">
        <v>0.12363560530889632</v>
      </c>
    </row>
    <row r="155" spans="2:4" x14ac:dyDescent="0.15">
      <c r="B155" s="69">
        <v>138</v>
      </c>
      <c r="C155" s="70">
        <v>123.14884409125541</v>
      </c>
      <c r="D155" s="71">
        <v>0.12218328625384066</v>
      </c>
    </row>
    <row r="156" spans="2:4" x14ac:dyDescent="0.15">
      <c r="B156" s="69">
        <v>139</v>
      </c>
      <c r="C156" s="70">
        <v>123.37830668369095</v>
      </c>
      <c r="D156" s="71">
        <v>0.12026165540442026</v>
      </c>
    </row>
    <row r="157" spans="2:4" x14ac:dyDescent="0.15">
      <c r="B157" s="69">
        <v>140</v>
      </c>
      <c r="C157" s="70">
        <v>122.59128156914032</v>
      </c>
      <c r="D157" s="71">
        <v>0.11964519788769051</v>
      </c>
    </row>
    <row r="158" spans="2:4" x14ac:dyDescent="0.15">
      <c r="B158" s="69">
        <v>141</v>
      </c>
      <c r="C158" s="70">
        <v>123.13673121732938</v>
      </c>
      <c r="D158" s="71">
        <v>0.12471111478458405</v>
      </c>
    </row>
    <row r="159" spans="2:4" x14ac:dyDescent="0.15">
      <c r="B159" s="69">
        <v>142</v>
      </c>
      <c r="C159" s="70">
        <v>123.63819006716798</v>
      </c>
      <c r="D159" s="71">
        <v>0.12444097923948019</v>
      </c>
    </row>
    <row r="160" spans="2:4" x14ac:dyDescent="0.15">
      <c r="B160" s="69">
        <v>143</v>
      </c>
      <c r="C160" s="70">
        <v>124.37400905211739</v>
      </c>
      <c r="D160" s="71">
        <v>0.12383960832796234</v>
      </c>
    </row>
    <row r="161" spans="2:4" x14ac:dyDescent="0.15">
      <c r="B161" s="69">
        <v>144</v>
      </c>
      <c r="C161" s="70">
        <v>124.64450727077232</v>
      </c>
      <c r="D161" s="71">
        <v>0.12614272183669642</v>
      </c>
    </row>
    <row r="162" spans="2:4" x14ac:dyDescent="0.15">
      <c r="B162" s="69">
        <v>145</v>
      </c>
      <c r="C162" s="70">
        <v>123.47939612096643</v>
      </c>
      <c r="D162" s="71">
        <v>0.12310743562148205</v>
      </c>
    </row>
    <row r="163" spans="2:4" x14ac:dyDescent="0.15">
      <c r="B163" s="69">
        <v>146</v>
      </c>
      <c r="C163" s="70">
        <v>124.39920112667266</v>
      </c>
      <c r="D163" s="71">
        <v>0.13295612957770167</v>
      </c>
    </row>
    <row r="164" spans="2:4" x14ac:dyDescent="0.15">
      <c r="B164" s="69">
        <v>147</v>
      </c>
      <c r="C164" s="70">
        <v>125.72709911835433</v>
      </c>
      <c r="D164" s="71">
        <v>0.13378205202320406</v>
      </c>
    </row>
    <row r="165" spans="2:4" x14ac:dyDescent="0.15">
      <c r="B165" s="69">
        <v>148</v>
      </c>
      <c r="C165" s="70">
        <v>126.64860049525923</v>
      </c>
      <c r="D165" s="71">
        <v>0.14159037529764459</v>
      </c>
    </row>
    <row r="166" spans="2:4" x14ac:dyDescent="0.15">
      <c r="B166" s="69">
        <v>149</v>
      </c>
      <c r="C166" s="70">
        <v>128.29594353692656</v>
      </c>
      <c r="D166" s="71">
        <v>0.13834278515255047</v>
      </c>
    </row>
    <row r="167" spans="2:4" x14ac:dyDescent="0.15">
      <c r="B167" s="69">
        <v>150</v>
      </c>
      <c r="C167" s="70">
        <v>127.99860191767432</v>
      </c>
      <c r="D167" s="71">
        <v>0.15046486950766916</v>
      </c>
    </row>
    <row r="168" spans="2:4" x14ac:dyDescent="0.15">
      <c r="B168" s="69">
        <v>151</v>
      </c>
      <c r="C168" s="70">
        <v>127.06854169274847</v>
      </c>
      <c r="D168" s="71">
        <v>0.13738932255953856</v>
      </c>
    </row>
    <row r="169" spans="2:4" x14ac:dyDescent="0.15">
      <c r="B169" s="69">
        <v>152</v>
      </c>
      <c r="C169" s="70">
        <v>126.04562549026821</v>
      </c>
      <c r="D169" s="71">
        <v>0.13597636803585086</v>
      </c>
    </row>
    <row r="170" spans="2:4" x14ac:dyDescent="0.15">
      <c r="B170" s="69">
        <v>153</v>
      </c>
      <c r="C170" s="70">
        <v>126.23705643405701</v>
      </c>
      <c r="D170" s="71">
        <v>0.13676530486052832</v>
      </c>
    </row>
    <row r="171" spans="2:4" x14ac:dyDescent="0.15">
      <c r="B171" s="69">
        <v>154</v>
      </c>
      <c r="C171" s="70">
        <v>128.72784955145138</v>
      </c>
      <c r="D171" s="71">
        <v>0.12886070663976895</v>
      </c>
    </row>
    <row r="172" spans="2:4" x14ac:dyDescent="0.15">
      <c r="B172" s="69">
        <v>155</v>
      </c>
      <c r="C172" s="70">
        <v>128.72314771150869</v>
      </c>
      <c r="D172" s="71">
        <v>0.16971948541137608</v>
      </c>
    </row>
    <row r="173" spans="2:4" x14ac:dyDescent="0.15">
      <c r="B173" s="69">
        <v>156</v>
      </c>
      <c r="C173" s="70">
        <v>127.79500373481559</v>
      </c>
      <c r="D173" s="71">
        <v>0.14857401189915367</v>
      </c>
    </row>
    <row r="174" spans="2:4" x14ac:dyDescent="0.15">
      <c r="B174" s="69">
        <v>157</v>
      </c>
      <c r="C174" s="70">
        <v>127.5085642045423</v>
      </c>
      <c r="D174" s="71">
        <v>0.14219156660385285</v>
      </c>
    </row>
    <row r="175" spans="2:4" x14ac:dyDescent="0.15">
      <c r="B175" s="69">
        <v>158</v>
      </c>
      <c r="C175" s="70">
        <v>127.44250004627163</v>
      </c>
      <c r="D175" s="71">
        <v>0.13241235449484354</v>
      </c>
    </row>
    <row r="176" spans="2:4" x14ac:dyDescent="0.15">
      <c r="B176" s="69">
        <v>159</v>
      </c>
      <c r="C176" s="70">
        <v>126.59080484882361</v>
      </c>
      <c r="D176" s="71">
        <v>0.12605396761351328</v>
      </c>
    </row>
    <row r="177" spans="2:4" x14ac:dyDescent="0.15">
      <c r="B177" s="69">
        <v>160</v>
      </c>
      <c r="C177" s="70">
        <v>127.48679248210641</v>
      </c>
      <c r="D177" s="71">
        <v>0.12868285904258825</v>
      </c>
    </row>
    <row r="178" spans="2:4" x14ac:dyDescent="0.15">
      <c r="B178" s="69">
        <v>161</v>
      </c>
      <c r="C178" s="70">
        <v>127.64747767192425</v>
      </c>
      <c r="D178" s="71">
        <v>0.13074982899399362</v>
      </c>
    </row>
    <row r="179" spans="2:4" x14ac:dyDescent="0.15">
      <c r="B179" s="69">
        <v>162</v>
      </c>
      <c r="C179" s="70">
        <v>127.30668212435587</v>
      </c>
      <c r="D179" s="71">
        <v>0.12528192545694122</v>
      </c>
    </row>
    <row r="180" spans="2:4" x14ac:dyDescent="0.15">
      <c r="B180" s="69">
        <v>163</v>
      </c>
      <c r="C180" s="70">
        <v>126.11349462727412</v>
      </c>
      <c r="D180" s="71">
        <v>0.12297122608944804</v>
      </c>
    </row>
    <row r="181" spans="2:4" x14ac:dyDescent="0.15">
      <c r="B181" s="69">
        <v>164</v>
      </c>
      <c r="C181" s="70">
        <v>127.4463534879695</v>
      </c>
      <c r="D181" s="71">
        <v>0.1329498543855934</v>
      </c>
    </row>
    <row r="182" spans="2:4" x14ac:dyDescent="0.15">
      <c r="B182" s="69">
        <v>165</v>
      </c>
      <c r="C182" s="70">
        <v>122.1803690685534</v>
      </c>
      <c r="D182" s="71">
        <v>0.14088305178336158</v>
      </c>
    </row>
    <row r="183" spans="2:4" x14ac:dyDescent="0.15">
      <c r="B183" s="69">
        <v>166</v>
      </c>
      <c r="C183" s="70">
        <v>121.42853521336798</v>
      </c>
      <c r="D183" s="71">
        <v>0.28250923754964946</v>
      </c>
    </row>
    <row r="184" spans="2:4" x14ac:dyDescent="0.15">
      <c r="B184" s="69">
        <v>167</v>
      </c>
      <c r="C184" s="70">
        <v>119.81014525860188</v>
      </c>
      <c r="D184" s="71">
        <v>0.22681332418875094</v>
      </c>
    </row>
    <row r="185" spans="2:4" x14ac:dyDescent="0.15">
      <c r="B185" s="69">
        <v>168</v>
      </c>
      <c r="C185" s="70">
        <v>119.25023756686156</v>
      </c>
      <c r="D185" s="71">
        <v>0.20211484121176945</v>
      </c>
    </row>
    <row r="186" spans="2:4" x14ac:dyDescent="0.15">
      <c r="B186" s="69">
        <v>169</v>
      </c>
      <c r="C186" s="70">
        <v>119.6513605995633</v>
      </c>
      <c r="D186" s="71">
        <v>0.17165582148088432</v>
      </c>
    </row>
    <row r="187" spans="2:4" x14ac:dyDescent="0.15">
      <c r="B187" s="69">
        <v>170</v>
      </c>
      <c r="C187" s="70">
        <v>121.33383815041374</v>
      </c>
      <c r="D187" s="71">
        <v>0.15111008205987467</v>
      </c>
    </row>
    <row r="188" spans="2:4" x14ac:dyDescent="0.15">
      <c r="B188" s="69">
        <v>171</v>
      </c>
      <c r="C188" s="70">
        <v>123.02356379950346</v>
      </c>
      <c r="D188" s="71">
        <v>0.16017072959593978</v>
      </c>
    </row>
    <row r="189" spans="2:4" x14ac:dyDescent="0.15">
      <c r="B189" s="69">
        <v>172</v>
      </c>
      <c r="C189" s="70">
        <v>124.4862020676201</v>
      </c>
      <c r="D189" s="71">
        <v>0.16454204638062231</v>
      </c>
    </row>
    <row r="190" spans="2:4" x14ac:dyDescent="0.15">
      <c r="B190" s="69">
        <v>173</v>
      </c>
      <c r="C190" s="70">
        <v>125.45204667559162</v>
      </c>
      <c r="D190" s="71">
        <v>0.16136540361493426</v>
      </c>
    </row>
    <row r="191" spans="2:4" x14ac:dyDescent="0.15">
      <c r="B191" s="69">
        <v>174</v>
      </c>
      <c r="C191" s="70">
        <v>125.6858712208828</v>
      </c>
      <c r="D191" s="71">
        <v>0.15051995645180399</v>
      </c>
    </row>
    <row r="192" spans="2:4" x14ac:dyDescent="0.15">
      <c r="B192" s="69">
        <v>175</v>
      </c>
      <c r="C192" s="70">
        <v>125.67477079346662</v>
      </c>
      <c r="D192" s="71">
        <v>0.13717689572462752</v>
      </c>
    </row>
    <row r="193" spans="2:4" x14ac:dyDescent="0.15">
      <c r="B193" s="69">
        <v>176</v>
      </c>
      <c r="C193" s="70">
        <v>126.51632740216189</v>
      </c>
      <c r="D193" s="71">
        <v>0.12878769608983415</v>
      </c>
    </row>
    <row r="194" spans="2:4" x14ac:dyDescent="0.15">
      <c r="B194" s="69">
        <v>177</v>
      </c>
      <c r="C194" s="70">
        <v>125.16374529642752</v>
      </c>
      <c r="D194" s="71">
        <v>0.13010502858669515</v>
      </c>
    </row>
    <row r="195" spans="2:4" x14ac:dyDescent="0.15">
      <c r="B195" s="69">
        <v>178</v>
      </c>
      <c r="C195" s="70">
        <v>125.02718468656013</v>
      </c>
      <c r="D195" s="71">
        <v>0.14004579414328175</v>
      </c>
    </row>
    <row r="196" spans="2:4" x14ac:dyDescent="0.15">
      <c r="B196" s="69">
        <v>179</v>
      </c>
      <c r="C196" s="70">
        <v>125.65243446688638</v>
      </c>
      <c r="D196" s="71">
        <v>0.13063299926002064</v>
      </c>
    </row>
    <row r="197" spans="2:4" x14ac:dyDescent="0.15">
      <c r="B197" s="69">
        <v>180</v>
      </c>
      <c r="C197" s="70">
        <v>127.22664327017391</v>
      </c>
      <c r="D197" s="71">
        <v>0.12844701291558444</v>
      </c>
    </row>
    <row r="198" spans="2:4" x14ac:dyDescent="0.15">
      <c r="B198" s="69">
        <v>181</v>
      </c>
      <c r="C198" s="70">
        <v>127.59471554883844</v>
      </c>
      <c r="D198" s="71">
        <v>0.14410639586031251</v>
      </c>
    </row>
    <row r="199" spans="2:4" x14ac:dyDescent="0.15">
      <c r="B199" s="69">
        <v>182</v>
      </c>
      <c r="C199" s="70">
        <v>127.6626288883039</v>
      </c>
      <c r="D199" s="71">
        <v>0.13398051839154512</v>
      </c>
    </row>
    <row r="200" spans="2:4" x14ac:dyDescent="0.15">
      <c r="B200" s="69">
        <v>183</v>
      </c>
      <c r="C200" s="70">
        <v>129.44609755433598</v>
      </c>
      <c r="D200" s="71">
        <v>0.12696329038596235</v>
      </c>
    </row>
    <row r="201" spans="2:4" x14ac:dyDescent="0.15">
      <c r="B201" s="69">
        <v>184</v>
      </c>
      <c r="C201" s="70">
        <v>130.63838113701846</v>
      </c>
      <c r="D201" s="71">
        <v>0.14790747469373131</v>
      </c>
    </row>
    <row r="202" spans="2:4" x14ac:dyDescent="0.15">
      <c r="B202" s="69">
        <v>185</v>
      </c>
      <c r="C202" s="70">
        <v>130.9503762720442</v>
      </c>
      <c r="D202" s="71">
        <v>0.14568859766092626</v>
      </c>
    </row>
    <row r="203" spans="2:4" x14ac:dyDescent="0.15">
      <c r="B203" s="69">
        <v>186</v>
      </c>
      <c r="C203" s="70">
        <v>131.61758028454648</v>
      </c>
      <c r="D203" s="71">
        <v>0.13457078794604557</v>
      </c>
    </row>
    <row r="204" spans="2:4" x14ac:dyDescent="0.15">
      <c r="B204" s="69">
        <v>187</v>
      </c>
      <c r="C204" s="70">
        <v>133.04945090219184</v>
      </c>
      <c r="D204" s="71">
        <v>0.13078883298972416</v>
      </c>
    </row>
    <row r="205" spans="2:4" x14ac:dyDescent="0.15">
      <c r="B205" s="69">
        <v>188</v>
      </c>
      <c r="C205" s="70">
        <v>133.7771899046358</v>
      </c>
      <c r="D205" s="71">
        <v>0.14058916552910297</v>
      </c>
    </row>
    <row r="206" spans="2:4" x14ac:dyDescent="0.15">
      <c r="B206" s="69">
        <v>189</v>
      </c>
      <c r="C206" s="70">
        <v>133.95590196397526</v>
      </c>
      <c r="D206" s="71">
        <v>0.13473643244738642</v>
      </c>
    </row>
    <row r="207" spans="2:4" x14ac:dyDescent="0.15">
      <c r="B207" s="69">
        <v>190</v>
      </c>
      <c r="C207" s="70">
        <v>134.99137947919095</v>
      </c>
      <c r="D207" s="71">
        <v>0.12760898312241734</v>
      </c>
    </row>
    <row r="208" spans="2:4" x14ac:dyDescent="0.15">
      <c r="B208" s="69">
        <v>191</v>
      </c>
      <c r="C208" s="70">
        <v>131.23620813576952</v>
      </c>
      <c r="D208" s="71">
        <v>0.13145480366318549</v>
      </c>
    </row>
    <row r="209" spans="2:4" x14ac:dyDescent="0.15">
      <c r="B209" s="69">
        <v>192</v>
      </c>
      <c r="C209" s="70">
        <v>133.14583835793729</v>
      </c>
      <c r="D209" s="71">
        <v>0.20916453380425529</v>
      </c>
    </row>
    <row r="210" spans="2:4" x14ac:dyDescent="0.15">
      <c r="B210" s="69">
        <v>193</v>
      </c>
      <c r="C210" s="70">
        <v>132.407321087187</v>
      </c>
      <c r="D210" s="71">
        <v>0.19398657098981179</v>
      </c>
    </row>
    <row r="211" spans="2:4" x14ac:dyDescent="0.15">
      <c r="B211" s="69">
        <v>194</v>
      </c>
      <c r="C211" s="70">
        <v>130.95574080532674</v>
      </c>
      <c r="D211" s="71">
        <v>0.16737085106763275</v>
      </c>
    </row>
    <row r="212" spans="2:4" x14ac:dyDescent="0.15">
      <c r="B212" s="69">
        <v>195</v>
      </c>
      <c r="C212" s="70">
        <v>133.2279520270049</v>
      </c>
      <c r="D212" s="71">
        <v>0.16098245661765492</v>
      </c>
    </row>
    <row r="213" spans="2:4" x14ac:dyDescent="0.15">
      <c r="B213" s="69">
        <v>196</v>
      </c>
      <c r="C213" s="70">
        <v>132.62310803568829</v>
      </c>
      <c r="D213" s="71">
        <v>0.17578298777826828</v>
      </c>
    </row>
    <row r="214" spans="2:4" x14ac:dyDescent="0.15">
      <c r="B214" s="69">
        <v>197</v>
      </c>
      <c r="C214" s="70">
        <v>132.02550528256791</v>
      </c>
      <c r="D214" s="71">
        <v>0.15477085333099011</v>
      </c>
    </row>
    <row r="215" spans="2:4" x14ac:dyDescent="0.15">
      <c r="B215" s="69">
        <v>198</v>
      </c>
      <c r="C215" s="70">
        <v>132.92516868763241</v>
      </c>
      <c r="D215" s="71">
        <v>0.14186742563860091</v>
      </c>
    </row>
    <row r="216" spans="2:4" x14ac:dyDescent="0.15">
      <c r="B216" s="69">
        <v>199</v>
      </c>
      <c r="C216" s="70">
        <v>134.78165439713797</v>
      </c>
      <c r="D216" s="71">
        <v>0.13757988145791708</v>
      </c>
    </row>
    <row r="217" spans="2:4" x14ac:dyDescent="0.15">
      <c r="B217" s="69">
        <v>200</v>
      </c>
      <c r="C217" s="70">
        <v>134.71690028534346</v>
      </c>
      <c r="D217" s="71">
        <v>0.15302401170051944</v>
      </c>
    </row>
    <row r="218" spans="2:4" x14ac:dyDescent="0.15">
      <c r="B218" s="69">
        <v>201</v>
      </c>
      <c r="C218" s="70">
        <v>133.77204264212668</v>
      </c>
      <c r="D218" s="71">
        <v>0.1382797644806755</v>
      </c>
    </row>
    <row r="219" spans="2:4" x14ac:dyDescent="0.15">
      <c r="B219" s="69">
        <v>202</v>
      </c>
      <c r="C219" s="70">
        <v>133.23121445371609</v>
      </c>
      <c r="D219" s="71">
        <v>0.13600072671406044</v>
      </c>
    </row>
    <row r="220" spans="2:4" x14ac:dyDescent="0.15">
      <c r="B220" s="69">
        <v>203</v>
      </c>
      <c r="C220" s="70">
        <v>132.80516002412026</v>
      </c>
      <c r="D220" s="71">
        <v>0.13033399717199254</v>
      </c>
    </row>
    <row r="221" spans="2:4" x14ac:dyDescent="0.15">
      <c r="B221" s="69">
        <v>204</v>
      </c>
      <c r="C221" s="70">
        <v>134.54088894809109</v>
      </c>
      <c r="D221" s="71">
        <v>0.1262580080132962</v>
      </c>
    </row>
    <row r="222" spans="2:4" x14ac:dyDescent="0.15">
      <c r="B222" s="69">
        <v>205</v>
      </c>
      <c r="C222" s="70">
        <v>133.55319726598998</v>
      </c>
      <c r="D222" s="71">
        <v>0.14470241871209125</v>
      </c>
    </row>
    <row r="223" spans="2:4" x14ac:dyDescent="0.15">
      <c r="B223" s="69">
        <v>206</v>
      </c>
      <c r="C223" s="70">
        <v>134.06036959212005</v>
      </c>
      <c r="D223" s="71">
        <v>0.14022200316428873</v>
      </c>
    </row>
    <row r="224" spans="2:4" x14ac:dyDescent="0.15">
      <c r="B224" s="69">
        <v>207</v>
      </c>
      <c r="C224" s="70">
        <v>133.90103008040325</v>
      </c>
      <c r="D224" s="71">
        <v>0.1324980957836995</v>
      </c>
    </row>
    <row r="225" spans="2:4" x14ac:dyDescent="0.15">
      <c r="B225" s="69">
        <v>208</v>
      </c>
      <c r="C225" s="70">
        <v>135.08430934099752</v>
      </c>
      <c r="D225" s="71">
        <v>0.12626323548239893</v>
      </c>
    </row>
    <row r="226" spans="2:4" x14ac:dyDescent="0.15">
      <c r="B226" s="69">
        <v>209</v>
      </c>
      <c r="C226" s="70">
        <v>134.78042298403005</v>
      </c>
      <c r="D226" s="71">
        <v>0.13315416551296622</v>
      </c>
    </row>
    <row r="227" spans="2:4" x14ac:dyDescent="0.15">
      <c r="B227" s="69">
        <v>210</v>
      </c>
      <c r="C227" s="70">
        <v>136.14716400453253</v>
      </c>
      <c r="D227" s="71">
        <v>0.12714910733052615</v>
      </c>
    </row>
    <row r="228" spans="2:4" x14ac:dyDescent="0.15">
      <c r="B228" s="69">
        <v>211</v>
      </c>
      <c r="C228" s="70">
        <v>136.67336273665865</v>
      </c>
      <c r="D228" s="71">
        <v>0.13679052538991321</v>
      </c>
    </row>
    <row r="229" spans="2:4" x14ac:dyDescent="0.15">
      <c r="B229" s="69">
        <v>212</v>
      </c>
      <c r="C229" s="70">
        <v>136.48290424772119</v>
      </c>
      <c r="D229" s="71">
        <v>0.13058123382126283</v>
      </c>
    </row>
    <row r="230" spans="2:4" x14ac:dyDescent="0.15">
      <c r="B230" s="69">
        <v>213</v>
      </c>
      <c r="C230" s="70">
        <v>135.13181579055777</v>
      </c>
      <c r="D230" s="71">
        <v>0.12523556910930858</v>
      </c>
    </row>
    <row r="231" spans="2:4" x14ac:dyDescent="0.15">
      <c r="B231" s="69">
        <v>214</v>
      </c>
      <c r="C231" s="70">
        <v>136.51225170778608</v>
      </c>
      <c r="D231" s="71">
        <v>0.13545104403708411</v>
      </c>
    </row>
    <row r="232" spans="2:4" x14ac:dyDescent="0.15">
      <c r="B232" s="69">
        <v>215</v>
      </c>
      <c r="C232" s="70">
        <v>136.35234828625124</v>
      </c>
      <c r="D232" s="71">
        <v>0.14128890141401157</v>
      </c>
    </row>
    <row r="233" spans="2:4" x14ac:dyDescent="0.15">
      <c r="B233" s="69">
        <v>216</v>
      </c>
      <c r="C233" s="70">
        <v>136.93685491888994</v>
      </c>
      <c r="D233" s="71">
        <v>0.1313908973211409</v>
      </c>
    </row>
    <row r="234" spans="2:4" x14ac:dyDescent="0.15">
      <c r="B234" s="69">
        <v>217</v>
      </c>
      <c r="C234" s="70">
        <v>137.85432660080986</v>
      </c>
      <c r="D234" s="71">
        <v>0.12796862286725452</v>
      </c>
    </row>
    <row r="235" spans="2:4" x14ac:dyDescent="0.15">
      <c r="B235" s="69">
        <v>218</v>
      </c>
      <c r="C235" s="70">
        <v>138.60973860585224</v>
      </c>
      <c r="D235" s="71">
        <v>0.12966672365784251</v>
      </c>
    </row>
    <row r="236" spans="2:4" x14ac:dyDescent="0.15">
      <c r="B236" s="69">
        <v>219</v>
      </c>
      <c r="C236" s="70">
        <v>141.16185023619542</v>
      </c>
      <c r="D236" s="71">
        <v>0.1285910342462149</v>
      </c>
    </row>
    <row r="237" spans="2:4" x14ac:dyDescent="0.15">
      <c r="B237" s="69">
        <v>220</v>
      </c>
      <c r="C237" s="70">
        <v>143.2772831264578</v>
      </c>
      <c r="D237" s="71">
        <v>0.16445605520468959</v>
      </c>
    </row>
    <row r="238" spans="2:4" x14ac:dyDescent="0.15">
      <c r="B238" s="69">
        <v>221</v>
      </c>
      <c r="C238" s="70">
        <v>143.43409996987262</v>
      </c>
      <c r="D238" s="71">
        <v>0.16998127338285066</v>
      </c>
    </row>
    <row r="239" spans="2:4" x14ac:dyDescent="0.15">
      <c r="B239" s="69">
        <v>222</v>
      </c>
      <c r="C239" s="70">
        <v>143.23062771299237</v>
      </c>
      <c r="D239" s="71">
        <v>0.14887970924479457</v>
      </c>
    </row>
    <row r="240" spans="2:4" x14ac:dyDescent="0.15">
      <c r="B240" s="69">
        <v>223</v>
      </c>
      <c r="C240" s="70">
        <v>143.67158329432425</v>
      </c>
      <c r="D240" s="71">
        <v>0.1360019498928664</v>
      </c>
    </row>
    <row r="241" spans="2:4" x14ac:dyDescent="0.15">
      <c r="B241" s="69">
        <v>224</v>
      </c>
      <c r="C241" s="70">
        <v>144.90495764623452</v>
      </c>
      <c r="D241" s="71">
        <v>0.12939135646971645</v>
      </c>
    </row>
    <row r="242" spans="2:4" x14ac:dyDescent="0.15">
      <c r="B242" s="69">
        <v>225</v>
      </c>
      <c r="C242" s="70">
        <v>145.91140667192147</v>
      </c>
      <c r="D242" s="71">
        <v>0.13422676313511867</v>
      </c>
    </row>
    <row r="243" spans="2:4" x14ac:dyDescent="0.15">
      <c r="B243" s="69">
        <v>226</v>
      </c>
      <c r="C243" s="70">
        <v>144.73088912218182</v>
      </c>
      <c r="D243" s="71">
        <v>0.13353610715155353</v>
      </c>
    </row>
    <row r="244" spans="2:4" x14ac:dyDescent="0.15">
      <c r="B244" s="69">
        <v>227</v>
      </c>
      <c r="C244" s="70">
        <v>144.23234045959924</v>
      </c>
      <c r="D244" s="71">
        <v>0.13552358377308585</v>
      </c>
    </row>
    <row r="245" spans="2:4" x14ac:dyDescent="0.15">
      <c r="B245" s="69">
        <v>228</v>
      </c>
      <c r="C245" s="70">
        <v>147.15070878036138</v>
      </c>
      <c r="D245" s="71">
        <v>0.12944973806199167</v>
      </c>
    </row>
    <row r="246" spans="2:4" x14ac:dyDescent="0.15">
      <c r="B246" s="69">
        <v>229</v>
      </c>
      <c r="C246" s="70">
        <v>148.91849755708535</v>
      </c>
      <c r="D246" s="71">
        <v>0.1719727851807572</v>
      </c>
    </row>
    <row r="247" spans="2:4" x14ac:dyDescent="0.15">
      <c r="B247" s="69">
        <v>230</v>
      </c>
      <c r="C247" s="70">
        <v>149.2962167964069</v>
      </c>
      <c r="D247" s="71">
        <v>0.16587846420757349</v>
      </c>
    </row>
    <row r="248" spans="2:4" x14ac:dyDescent="0.15">
      <c r="B248" s="69">
        <v>231</v>
      </c>
      <c r="C248" s="70">
        <v>145.34177355866365</v>
      </c>
      <c r="D248" s="71">
        <v>0.14694098294980068</v>
      </c>
    </row>
    <row r="249" spans="2:4" x14ac:dyDescent="0.15">
      <c r="B249" s="69">
        <v>232</v>
      </c>
      <c r="C249" s="70">
        <v>145.27456358248392</v>
      </c>
      <c r="D249" s="71">
        <v>0.2084921815232664</v>
      </c>
    </row>
    <row r="250" spans="2:4" x14ac:dyDescent="0.15">
      <c r="B250" s="69">
        <v>233</v>
      </c>
      <c r="C250" s="70">
        <v>145.21871097271071</v>
      </c>
      <c r="D250" s="71">
        <v>0.17360897248751359</v>
      </c>
    </row>
    <row r="251" spans="2:4" x14ac:dyDescent="0.15">
      <c r="B251" s="69">
        <v>234</v>
      </c>
      <c r="C251" s="70">
        <v>145.34780914954814</v>
      </c>
      <c r="D251" s="71">
        <v>0.15104042648438776</v>
      </c>
    </row>
    <row r="252" spans="2:4" x14ac:dyDescent="0.15">
      <c r="B252" s="69">
        <v>235</v>
      </c>
      <c r="C252" s="70">
        <v>143.63925932661883</v>
      </c>
      <c r="D252" s="71">
        <v>0.13714778569386604</v>
      </c>
    </row>
    <row r="253" spans="2:4" x14ac:dyDescent="0.15">
      <c r="B253" s="69">
        <v>236</v>
      </c>
      <c r="C253" s="70">
        <v>143.48550982812546</v>
      </c>
      <c r="D253" s="71">
        <v>0.1466351265020093</v>
      </c>
    </row>
    <row r="254" spans="2:4" x14ac:dyDescent="0.15">
      <c r="B254" s="69">
        <v>237</v>
      </c>
      <c r="C254" s="70">
        <v>145.12312363291878</v>
      </c>
      <c r="D254" s="71">
        <v>0.13454171748173446</v>
      </c>
    </row>
    <row r="255" spans="2:4" x14ac:dyDescent="0.15">
      <c r="B255" s="69">
        <v>238</v>
      </c>
      <c r="C255" s="70">
        <v>144.52624683470262</v>
      </c>
      <c r="D255" s="71">
        <v>0.14396023680924225</v>
      </c>
    </row>
    <row r="256" spans="2:4" x14ac:dyDescent="0.15">
      <c r="B256" s="69">
        <v>239</v>
      </c>
      <c r="C256" s="70">
        <v>146.59717270574603</v>
      </c>
      <c r="D256" s="71">
        <v>0.1350247814693499</v>
      </c>
    </row>
    <row r="257" spans="2:4" x14ac:dyDescent="0.15">
      <c r="B257" s="69">
        <v>240</v>
      </c>
      <c r="C257" s="70">
        <v>146.25309053139918</v>
      </c>
      <c r="D257" s="71">
        <v>0.15292863685530947</v>
      </c>
    </row>
    <row r="258" spans="2:4" x14ac:dyDescent="0.15">
      <c r="B258" s="69">
        <v>241</v>
      </c>
      <c r="C258" s="70">
        <v>143.51549250721192</v>
      </c>
      <c r="D258" s="71">
        <v>0.13889366191055005</v>
      </c>
    </row>
    <row r="259" spans="2:4" x14ac:dyDescent="0.15">
      <c r="B259" s="69">
        <v>242</v>
      </c>
      <c r="C259" s="70">
        <v>139.97870805239705</v>
      </c>
      <c r="D259" s="71">
        <v>0.17149586361117275</v>
      </c>
    </row>
    <row r="260" spans="2:4" x14ac:dyDescent="0.15">
      <c r="B260" s="69">
        <v>243</v>
      </c>
      <c r="C260" s="70">
        <v>135.81666671370783</v>
      </c>
      <c r="D260" s="71">
        <v>0.21051791074846068</v>
      </c>
    </row>
    <row r="261" spans="2:4" x14ac:dyDescent="0.15">
      <c r="B261" s="69">
        <v>244</v>
      </c>
      <c r="C261" s="70">
        <v>137.8789589510157</v>
      </c>
      <c r="D261" s="71">
        <v>0.25032071694609281</v>
      </c>
    </row>
    <row r="262" spans="2:4" x14ac:dyDescent="0.15">
      <c r="B262" s="69">
        <v>245</v>
      </c>
      <c r="C262" s="70">
        <v>138.45693922426568</v>
      </c>
      <c r="D262" s="71">
        <v>0.22061454273135853</v>
      </c>
    </row>
    <row r="263" spans="2:4" x14ac:dyDescent="0.15">
      <c r="B263" s="69">
        <v>246</v>
      </c>
      <c r="C263" s="70">
        <v>140.81254714244145</v>
      </c>
      <c r="D263" s="71">
        <v>0.18332166990860868</v>
      </c>
    </row>
    <row r="264" spans="2:4" x14ac:dyDescent="0.15">
      <c r="B264" s="69">
        <v>247</v>
      </c>
      <c r="C264" s="70">
        <v>142.18417661003872</v>
      </c>
      <c r="D264" s="71">
        <v>0.1863551500415605</v>
      </c>
    </row>
    <row r="265" spans="2:4" x14ac:dyDescent="0.15">
      <c r="B265" s="69">
        <v>248</v>
      </c>
      <c r="C265" s="70">
        <v>142.62160568024422</v>
      </c>
      <c r="D265" s="71">
        <v>0.16922180829261124</v>
      </c>
    </row>
    <row r="266" spans="2:4" x14ac:dyDescent="0.15">
      <c r="B266" s="69">
        <v>249</v>
      </c>
      <c r="C266" s="70">
        <v>144.17361830992252</v>
      </c>
      <c r="D266" s="71">
        <v>0.14937717334655334</v>
      </c>
    </row>
    <row r="267" spans="2:4" x14ac:dyDescent="0.15">
      <c r="B267" s="69">
        <v>250</v>
      </c>
      <c r="C267" s="70">
        <v>145.31001701699267</v>
      </c>
      <c r="D267" s="71">
        <v>0.15043069860667249</v>
      </c>
    </row>
    <row r="268" spans="2:4" x14ac:dyDescent="0.15">
      <c r="B268" s="69">
        <v>251</v>
      </c>
      <c r="C268" s="70">
        <v>146.30997986136404</v>
      </c>
      <c r="D268" s="71">
        <v>0.14439495741772407</v>
      </c>
    </row>
    <row r="269" spans="2:4" x14ac:dyDescent="0.15">
      <c r="B269" s="69">
        <v>252</v>
      </c>
      <c r="C269" s="70">
        <v>147.73615050732121</v>
      </c>
      <c r="D269" s="71">
        <v>0.13913271925266776</v>
      </c>
    </row>
    <row r="270" spans="2:4" x14ac:dyDescent="0.15">
      <c r="B270" s="69"/>
      <c r="C270" s="70"/>
      <c r="D270" s="71">
        <v>0.1404971904716435</v>
      </c>
    </row>
    <row r="271" spans="2:4" x14ac:dyDescent="0.15">
      <c r="B271" s="69"/>
      <c r="C271" s="70"/>
      <c r="D271" s="71"/>
    </row>
    <row r="272" spans="2:4" x14ac:dyDescent="0.15">
      <c r="B272" s="69"/>
      <c r="C272" s="70"/>
      <c r="D272" s="71"/>
    </row>
    <row r="273" spans="2:4" x14ac:dyDescent="0.15">
      <c r="B273" s="69"/>
      <c r="C273" s="70"/>
      <c r="D273" s="71"/>
    </row>
    <row r="274" spans="2:4" x14ac:dyDescent="0.15">
      <c r="B274" s="69"/>
      <c r="C274" s="70"/>
      <c r="D274" s="71"/>
    </row>
    <row r="275" spans="2:4" x14ac:dyDescent="0.15">
      <c r="B275" s="69"/>
      <c r="C275" s="70"/>
      <c r="D275" s="71"/>
    </row>
    <row r="276" spans="2:4" x14ac:dyDescent="0.15">
      <c r="B276" s="69"/>
      <c r="C276" s="70"/>
      <c r="D276" s="71"/>
    </row>
    <row r="277" spans="2:4" x14ac:dyDescent="0.15">
      <c r="B277" s="69"/>
      <c r="C277" s="70"/>
      <c r="D277" s="71"/>
    </row>
    <row r="278" spans="2:4" x14ac:dyDescent="0.15">
      <c r="B278" s="69"/>
      <c r="C278" s="70"/>
      <c r="D278" s="71"/>
    </row>
    <row r="279" spans="2:4" x14ac:dyDescent="0.15">
      <c r="B279" s="69"/>
      <c r="C279" s="70"/>
      <c r="D279" s="71"/>
    </row>
    <row r="280" spans="2:4" x14ac:dyDescent="0.15">
      <c r="B280" s="69"/>
      <c r="C280" s="70"/>
      <c r="D280" s="71"/>
    </row>
    <row r="281" spans="2:4" x14ac:dyDescent="0.15">
      <c r="B281" s="69"/>
      <c r="C281" s="70"/>
      <c r="D281" s="71"/>
    </row>
    <row r="282" spans="2:4" x14ac:dyDescent="0.15">
      <c r="B282" s="69"/>
      <c r="C282" s="70"/>
      <c r="D282" s="71"/>
    </row>
    <row r="283" spans="2:4" x14ac:dyDescent="0.15">
      <c r="B283" s="69"/>
      <c r="C283" s="70"/>
      <c r="D283" s="71"/>
    </row>
    <row r="284" spans="2:4" x14ac:dyDescent="0.15">
      <c r="B284" s="69"/>
      <c r="C284" s="70"/>
      <c r="D284" s="71"/>
    </row>
    <row r="285" spans="2:4" x14ac:dyDescent="0.15">
      <c r="B285" s="69"/>
      <c r="C285" s="70"/>
      <c r="D285" s="71"/>
    </row>
    <row r="286" spans="2:4" x14ac:dyDescent="0.15">
      <c r="B286" s="69"/>
      <c r="C286" s="70"/>
      <c r="D286" s="71"/>
    </row>
    <row r="287" spans="2:4" x14ac:dyDescent="0.15">
      <c r="B287" s="69"/>
      <c r="C287" s="70"/>
      <c r="D287" s="71"/>
    </row>
    <row r="288" spans="2:4" x14ac:dyDescent="0.15">
      <c r="B288" s="69"/>
      <c r="C288" s="70"/>
      <c r="D288" s="71"/>
    </row>
    <row r="289" spans="2:4" x14ac:dyDescent="0.15">
      <c r="B289" s="69"/>
      <c r="C289" s="70"/>
      <c r="D289" s="71"/>
    </row>
    <row r="290" spans="2:4" x14ac:dyDescent="0.15">
      <c r="B290" s="69"/>
      <c r="C290" s="70"/>
      <c r="D290" s="71"/>
    </row>
    <row r="291" spans="2:4" x14ac:dyDescent="0.15">
      <c r="B291" s="69"/>
      <c r="C291" s="70"/>
      <c r="D291" s="71"/>
    </row>
    <row r="292" spans="2:4" x14ac:dyDescent="0.15">
      <c r="B292" s="69"/>
      <c r="C292" s="70"/>
      <c r="D292" s="71"/>
    </row>
    <row r="293" spans="2:4" x14ac:dyDescent="0.15">
      <c r="B293" s="69"/>
      <c r="C293" s="70"/>
      <c r="D293" s="71"/>
    </row>
    <row r="294" spans="2:4" x14ac:dyDescent="0.15">
      <c r="B294" s="69"/>
      <c r="C294" s="70"/>
      <c r="D294" s="71"/>
    </row>
    <row r="295" spans="2:4" x14ac:dyDescent="0.15">
      <c r="B295" s="69"/>
      <c r="C295" s="70"/>
      <c r="D295" s="71"/>
    </row>
    <row r="296" spans="2:4" x14ac:dyDescent="0.15">
      <c r="B296" s="69"/>
      <c r="C296" s="70"/>
      <c r="D296" s="71"/>
    </row>
    <row r="297" spans="2:4" x14ac:dyDescent="0.15">
      <c r="B297" s="69"/>
      <c r="C297" s="70"/>
      <c r="D297" s="71"/>
    </row>
    <row r="298" spans="2:4" x14ac:dyDescent="0.15">
      <c r="B298" s="69"/>
      <c r="C298" s="70"/>
      <c r="D298" s="71"/>
    </row>
    <row r="299" spans="2:4" x14ac:dyDescent="0.15">
      <c r="B299" s="69"/>
      <c r="C299" s="70"/>
      <c r="D299" s="71"/>
    </row>
    <row r="300" spans="2:4" x14ac:dyDescent="0.15">
      <c r="B300" s="69"/>
      <c r="C300" s="70"/>
      <c r="D300" s="71"/>
    </row>
    <row r="301" spans="2:4" x14ac:dyDescent="0.15">
      <c r="B301" s="69"/>
      <c r="C301" s="70"/>
      <c r="D301" s="71"/>
    </row>
    <row r="302" spans="2:4" x14ac:dyDescent="0.15">
      <c r="B302" s="69"/>
      <c r="C302" s="70"/>
      <c r="D302" s="71"/>
    </row>
    <row r="303" spans="2:4" x14ac:dyDescent="0.15">
      <c r="B303" s="69"/>
      <c r="C303" s="70"/>
      <c r="D303" s="71"/>
    </row>
    <row r="304" spans="2:4" x14ac:dyDescent="0.15">
      <c r="B304" s="69"/>
      <c r="C304" s="70"/>
      <c r="D304" s="71"/>
    </row>
    <row r="305" spans="2:4" x14ac:dyDescent="0.15">
      <c r="B305" s="69"/>
      <c r="C305" s="70"/>
      <c r="D305" s="71"/>
    </row>
    <row r="306" spans="2:4" x14ac:dyDescent="0.15">
      <c r="B306" s="69"/>
      <c r="C306" s="70"/>
      <c r="D306" s="71"/>
    </row>
    <row r="307" spans="2:4" x14ac:dyDescent="0.15">
      <c r="B307" s="69"/>
      <c r="C307" s="70"/>
      <c r="D307" s="71"/>
    </row>
    <row r="308" spans="2:4" x14ac:dyDescent="0.15">
      <c r="B308" s="69"/>
      <c r="C308" s="70"/>
      <c r="D308" s="71"/>
    </row>
    <row r="309" spans="2:4" x14ac:dyDescent="0.15">
      <c r="B309" s="69"/>
      <c r="C309" s="70"/>
      <c r="D309" s="71"/>
    </row>
    <row r="310" spans="2:4" x14ac:dyDescent="0.15">
      <c r="B310" s="69"/>
      <c r="C310" s="70"/>
      <c r="D310" s="71"/>
    </row>
    <row r="311" spans="2:4" x14ac:dyDescent="0.15">
      <c r="B311" s="69"/>
      <c r="C311" s="70"/>
      <c r="D311" s="71"/>
    </row>
    <row r="312" spans="2:4" x14ac:dyDescent="0.15">
      <c r="B312" s="69"/>
      <c r="C312" s="70"/>
      <c r="D312" s="71"/>
    </row>
    <row r="313" spans="2:4" x14ac:dyDescent="0.15">
      <c r="B313" s="69"/>
      <c r="C313" s="70"/>
      <c r="D313" s="71"/>
    </row>
    <row r="314" spans="2:4" x14ac:dyDescent="0.15">
      <c r="B314" s="69"/>
      <c r="C314" s="70"/>
      <c r="D314" s="71"/>
    </row>
    <row r="315" spans="2:4" x14ac:dyDescent="0.15">
      <c r="B315" s="69"/>
      <c r="C315" s="70"/>
      <c r="D315" s="71"/>
    </row>
    <row r="316" spans="2:4" x14ac:dyDescent="0.15">
      <c r="B316" s="69"/>
      <c r="C316" s="70"/>
      <c r="D316" s="71"/>
    </row>
    <row r="317" spans="2:4" x14ac:dyDescent="0.15">
      <c r="B317" s="69"/>
      <c r="C317" s="70"/>
      <c r="D317" s="71"/>
    </row>
    <row r="318" spans="2:4" x14ac:dyDescent="0.15">
      <c r="B318" s="69"/>
      <c r="C318" s="70"/>
      <c r="D318" s="71"/>
    </row>
    <row r="319" spans="2:4" x14ac:dyDescent="0.15">
      <c r="B319" s="69"/>
      <c r="C319" s="70"/>
      <c r="D319" s="71"/>
    </row>
    <row r="320" spans="2:4" x14ac:dyDescent="0.15">
      <c r="B320" s="69"/>
      <c r="C320" s="70"/>
      <c r="D320" s="71"/>
    </row>
    <row r="321" spans="2:4" x14ac:dyDescent="0.15">
      <c r="B321" s="69"/>
      <c r="C321" s="70"/>
      <c r="D321" s="71"/>
    </row>
    <row r="322" spans="2:4" x14ac:dyDescent="0.15">
      <c r="B322" s="69"/>
      <c r="C322" s="70"/>
      <c r="D322" s="71"/>
    </row>
    <row r="323" spans="2:4" x14ac:dyDescent="0.15">
      <c r="B323" s="69"/>
      <c r="C323" s="70"/>
      <c r="D323" s="71"/>
    </row>
    <row r="324" spans="2:4" x14ac:dyDescent="0.15">
      <c r="B324" s="69"/>
      <c r="C324" s="70"/>
      <c r="D324" s="71"/>
    </row>
    <row r="325" spans="2:4" x14ac:dyDescent="0.15">
      <c r="B325" s="69"/>
      <c r="C325" s="70"/>
      <c r="D325" s="71"/>
    </row>
    <row r="326" spans="2:4" x14ac:dyDescent="0.15">
      <c r="B326" s="69"/>
      <c r="C326" s="70"/>
      <c r="D326" s="71"/>
    </row>
    <row r="327" spans="2:4" x14ac:dyDescent="0.15">
      <c r="B327" s="69"/>
      <c r="C327" s="70"/>
      <c r="D327" s="71"/>
    </row>
    <row r="328" spans="2:4" x14ac:dyDescent="0.15">
      <c r="B328" s="69"/>
      <c r="C328" s="70"/>
      <c r="D328" s="71"/>
    </row>
    <row r="329" spans="2:4" x14ac:dyDescent="0.15">
      <c r="B329" s="69"/>
      <c r="C329" s="70"/>
      <c r="D329" s="71"/>
    </row>
    <row r="330" spans="2:4" x14ac:dyDescent="0.15">
      <c r="B330" s="69"/>
      <c r="C330" s="70"/>
      <c r="D330" s="71"/>
    </row>
    <row r="331" spans="2:4" x14ac:dyDescent="0.15">
      <c r="B331" s="69"/>
      <c r="C331" s="70"/>
      <c r="D331" s="71"/>
    </row>
    <row r="332" spans="2:4" x14ac:dyDescent="0.15">
      <c r="B332" s="69"/>
      <c r="C332" s="70"/>
      <c r="D332" s="71"/>
    </row>
    <row r="333" spans="2:4" x14ac:dyDescent="0.15">
      <c r="B333" s="69"/>
      <c r="C333" s="70"/>
      <c r="D333" s="71"/>
    </row>
    <row r="334" spans="2:4" x14ac:dyDescent="0.15">
      <c r="B334" s="69"/>
      <c r="C334" s="70"/>
      <c r="D334" s="71"/>
    </row>
    <row r="335" spans="2:4" x14ac:dyDescent="0.15">
      <c r="B335" s="69"/>
      <c r="C335" s="70"/>
      <c r="D335" s="71"/>
    </row>
    <row r="336" spans="2:4" x14ac:dyDescent="0.15">
      <c r="B336" s="69"/>
      <c r="C336" s="70"/>
      <c r="D336" s="71"/>
    </row>
    <row r="337" spans="2:4" x14ac:dyDescent="0.15">
      <c r="B337" s="69"/>
      <c r="C337" s="70"/>
      <c r="D337" s="71"/>
    </row>
    <row r="338" spans="2:4" x14ac:dyDescent="0.15">
      <c r="B338" s="69"/>
      <c r="C338" s="70"/>
      <c r="D338" s="71"/>
    </row>
    <row r="339" spans="2:4" x14ac:dyDescent="0.15">
      <c r="B339" s="69"/>
      <c r="C339" s="70"/>
      <c r="D339" s="71"/>
    </row>
    <row r="340" spans="2:4" x14ac:dyDescent="0.15">
      <c r="B340" s="69"/>
      <c r="C340" s="70"/>
      <c r="D340" s="71"/>
    </row>
    <row r="341" spans="2:4" x14ac:dyDescent="0.15">
      <c r="B341" s="69"/>
      <c r="C341" s="70"/>
      <c r="D341" s="71"/>
    </row>
    <row r="342" spans="2:4" x14ac:dyDescent="0.15">
      <c r="B342" s="69"/>
      <c r="C342" s="70"/>
      <c r="D342" s="71"/>
    </row>
    <row r="343" spans="2:4" x14ac:dyDescent="0.15">
      <c r="B343" s="69"/>
      <c r="C343" s="70"/>
      <c r="D343" s="71"/>
    </row>
    <row r="344" spans="2:4" x14ac:dyDescent="0.15">
      <c r="B344" s="69"/>
      <c r="C344" s="70"/>
      <c r="D344" s="71"/>
    </row>
    <row r="345" spans="2:4" x14ac:dyDescent="0.15">
      <c r="B345" s="69"/>
      <c r="C345" s="70"/>
      <c r="D345" s="71"/>
    </row>
    <row r="346" spans="2:4" x14ac:dyDescent="0.15">
      <c r="B346" s="69"/>
      <c r="C346" s="70"/>
      <c r="D346" s="71"/>
    </row>
    <row r="347" spans="2:4" x14ac:dyDescent="0.15">
      <c r="B347" s="69"/>
      <c r="C347" s="70"/>
      <c r="D347" s="71"/>
    </row>
    <row r="348" spans="2:4" x14ac:dyDescent="0.15">
      <c r="B348" s="69"/>
      <c r="C348" s="70"/>
      <c r="D348" s="71"/>
    </row>
    <row r="349" spans="2:4" x14ac:dyDescent="0.15">
      <c r="B349" s="69"/>
      <c r="C349" s="70"/>
      <c r="D349" s="71"/>
    </row>
    <row r="350" spans="2:4" x14ac:dyDescent="0.15">
      <c r="B350" s="69"/>
      <c r="C350" s="70"/>
      <c r="D350" s="71"/>
    </row>
    <row r="351" spans="2:4" x14ac:dyDescent="0.15">
      <c r="B351" s="69"/>
      <c r="C351" s="70"/>
      <c r="D351" s="71"/>
    </row>
    <row r="352" spans="2:4" x14ac:dyDescent="0.15">
      <c r="B352" s="69"/>
      <c r="C352" s="70"/>
      <c r="D352" s="71"/>
    </row>
    <row r="353" spans="2:4" x14ac:dyDescent="0.15">
      <c r="B353" s="69"/>
      <c r="C353" s="70"/>
      <c r="D353" s="71"/>
    </row>
    <row r="354" spans="2:4" x14ac:dyDescent="0.15">
      <c r="B354" s="69"/>
      <c r="C354" s="70"/>
      <c r="D354" s="71"/>
    </row>
    <row r="355" spans="2:4" x14ac:dyDescent="0.15">
      <c r="B355" s="69"/>
      <c r="C355" s="70"/>
      <c r="D355" s="71"/>
    </row>
    <row r="356" spans="2:4" x14ac:dyDescent="0.15">
      <c r="B356" s="69"/>
      <c r="C356" s="70"/>
      <c r="D356" s="71"/>
    </row>
    <row r="357" spans="2:4" x14ac:dyDescent="0.15">
      <c r="B357" s="69"/>
      <c r="C357" s="70"/>
      <c r="D357" s="71"/>
    </row>
    <row r="358" spans="2:4" x14ac:dyDescent="0.15">
      <c r="B358" s="69"/>
      <c r="C358" s="70"/>
      <c r="D358" s="71"/>
    </row>
    <row r="359" spans="2:4" x14ac:dyDescent="0.15">
      <c r="B359" s="69"/>
      <c r="C359" s="70"/>
      <c r="D359" s="71"/>
    </row>
    <row r="360" spans="2:4" x14ac:dyDescent="0.15">
      <c r="B360" s="69"/>
      <c r="C360" s="70"/>
      <c r="D360" s="71"/>
    </row>
    <row r="361" spans="2:4" x14ac:dyDescent="0.15">
      <c r="B361" s="69"/>
      <c r="C361" s="70"/>
      <c r="D361" s="71"/>
    </row>
    <row r="362" spans="2:4" x14ac:dyDescent="0.15">
      <c r="B362" s="69"/>
      <c r="C362" s="70"/>
      <c r="D362" s="71"/>
    </row>
    <row r="363" spans="2:4" x14ac:dyDescent="0.15">
      <c r="B363" s="69"/>
      <c r="C363" s="70"/>
      <c r="D363" s="71"/>
    </row>
    <row r="364" spans="2:4" x14ac:dyDescent="0.15">
      <c r="B364" s="69"/>
      <c r="C364" s="70"/>
      <c r="D364" s="71"/>
    </row>
    <row r="365" spans="2:4" x14ac:dyDescent="0.15">
      <c r="B365" s="69"/>
      <c r="C365" s="70"/>
      <c r="D365" s="71"/>
    </row>
    <row r="366" spans="2:4" x14ac:dyDescent="0.15">
      <c r="B366" s="69"/>
      <c r="C366" s="70"/>
      <c r="D366" s="71"/>
    </row>
    <row r="367" spans="2:4" x14ac:dyDescent="0.15">
      <c r="B367" s="69"/>
      <c r="C367" s="70"/>
      <c r="D367" s="71"/>
    </row>
    <row r="368" spans="2:4" x14ac:dyDescent="0.15">
      <c r="B368" s="69"/>
      <c r="C368" s="70"/>
      <c r="D368" s="71"/>
    </row>
    <row r="369" spans="2:4" x14ac:dyDescent="0.15">
      <c r="B369" s="69"/>
      <c r="C369" s="70"/>
      <c r="D369" s="71"/>
    </row>
    <row r="370" spans="2:4" x14ac:dyDescent="0.15">
      <c r="B370" s="69"/>
      <c r="C370" s="70"/>
      <c r="D370" s="71"/>
    </row>
    <row r="371" spans="2:4" x14ac:dyDescent="0.15">
      <c r="B371" s="69"/>
      <c r="C371" s="70"/>
      <c r="D371" s="71"/>
    </row>
    <row r="372" spans="2:4" x14ac:dyDescent="0.15">
      <c r="B372" s="69"/>
      <c r="C372" s="70"/>
      <c r="D372" s="71"/>
    </row>
    <row r="373" spans="2:4" x14ac:dyDescent="0.15">
      <c r="B373" s="69"/>
      <c r="C373" s="70"/>
      <c r="D373" s="71"/>
    </row>
    <row r="374" spans="2:4" x14ac:dyDescent="0.15">
      <c r="B374" s="69"/>
      <c r="C374" s="70"/>
      <c r="D374" s="71"/>
    </row>
    <row r="375" spans="2:4" x14ac:dyDescent="0.15">
      <c r="B375" s="69"/>
      <c r="C375" s="70"/>
      <c r="D375" s="71"/>
    </row>
    <row r="376" spans="2:4" x14ac:dyDescent="0.15">
      <c r="B376" s="69"/>
      <c r="C376" s="70"/>
      <c r="D376" s="71"/>
    </row>
    <row r="377" spans="2:4" x14ac:dyDescent="0.15">
      <c r="B377" s="69"/>
      <c r="C377" s="70"/>
      <c r="D377" s="71"/>
    </row>
    <row r="378" spans="2:4" x14ac:dyDescent="0.15">
      <c r="B378" s="69"/>
      <c r="C378" s="70"/>
      <c r="D378" s="71"/>
    </row>
    <row r="379" spans="2:4" x14ac:dyDescent="0.15">
      <c r="B379" s="69"/>
      <c r="C379" s="70"/>
      <c r="D379" s="71"/>
    </row>
    <row r="380" spans="2:4" x14ac:dyDescent="0.15">
      <c r="B380" s="69"/>
      <c r="C380" s="70"/>
      <c r="D380" s="71"/>
    </row>
    <row r="381" spans="2:4" x14ac:dyDescent="0.15">
      <c r="B381" s="69"/>
      <c r="C381" s="70"/>
      <c r="D381" s="71"/>
    </row>
    <row r="382" spans="2:4" x14ac:dyDescent="0.15">
      <c r="B382" s="69"/>
      <c r="C382" s="70"/>
      <c r="D382" s="71"/>
    </row>
    <row r="383" spans="2:4" x14ac:dyDescent="0.15">
      <c r="B383" s="69"/>
      <c r="C383" s="70"/>
      <c r="D383" s="71"/>
    </row>
    <row r="384" spans="2:4" x14ac:dyDescent="0.15">
      <c r="B384" s="69"/>
      <c r="C384" s="70"/>
      <c r="D384" s="71"/>
    </row>
    <row r="385" spans="2:4" x14ac:dyDescent="0.15">
      <c r="B385" s="69"/>
      <c r="C385" s="70"/>
      <c r="D385" s="71"/>
    </row>
    <row r="386" spans="2:4" x14ac:dyDescent="0.15">
      <c r="B386" s="69"/>
      <c r="C386" s="70"/>
      <c r="D386" s="71"/>
    </row>
    <row r="387" spans="2:4" x14ac:dyDescent="0.15">
      <c r="B387" s="69"/>
      <c r="C387" s="70"/>
      <c r="D387" s="71"/>
    </row>
    <row r="388" spans="2:4" x14ac:dyDescent="0.15">
      <c r="B388" s="69"/>
      <c r="C388" s="70"/>
      <c r="D388" s="71"/>
    </row>
    <row r="389" spans="2:4" x14ac:dyDescent="0.15">
      <c r="B389" s="69"/>
      <c r="C389" s="70"/>
      <c r="D389" s="71"/>
    </row>
    <row r="390" spans="2:4" x14ac:dyDescent="0.15">
      <c r="B390" s="69"/>
      <c r="C390" s="70"/>
      <c r="D390" s="71"/>
    </row>
    <row r="391" spans="2:4" x14ac:dyDescent="0.15">
      <c r="B391" s="69"/>
      <c r="C391" s="70"/>
      <c r="D391" s="71"/>
    </row>
    <row r="392" spans="2:4" x14ac:dyDescent="0.15">
      <c r="B392" s="69"/>
      <c r="C392" s="70"/>
      <c r="D392" s="71"/>
    </row>
    <row r="393" spans="2:4" x14ac:dyDescent="0.15">
      <c r="B393" s="69"/>
      <c r="C393" s="70"/>
      <c r="D393" s="71"/>
    </row>
    <row r="394" spans="2:4" x14ac:dyDescent="0.15">
      <c r="B394" s="69"/>
      <c r="C394" s="70"/>
      <c r="D394" s="71"/>
    </row>
    <row r="395" spans="2:4" x14ac:dyDescent="0.15">
      <c r="B395" s="69"/>
      <c r="C395" s="70"/>
      <c r="D395" s="71"/>
    </row>
    <row r="396" spans="2:4" x14ac:dyDescent="0.15">
      <c r="B396" s="69"/>
      <c r="C396" s="70"/>
      <c r="D396" s="71"/>
    </row>
    <row r="397" spans="2:4" x14ac:dyDescent="0.15">
      <c r="B397" s="69"/>
      <c r="C397" s="70"/>
      <c r="D397" s="71"/>
    </row>
    <row r="398" spans="2:4" x14ac:dyDescent="0.15">
      <c r="B398" s="69"/>
      <c r="C398" s="70"/>
      <c r="D398" s="71"/>
    </row>
    <row r="399" spans="2:4" x14ac:dyDescent="0.15">
      <c r="B399" s="69"/>
      <c r="C399" s="70"/>
      <c r="D399" s="71"/>
    </row>
    <row r="400" spans="2:4" x14ac:dyDescent="0.15">
      <c r="B400" s="69"/>
      <c r="C400" s="70"/>
      <c r="D400" s="71"/>
    </row>
    <row r="401" spans="2:4" x14ac:dyDescent="0.15">
      <c r="B401" s="69"/>
      <c r="C401" s="70"/>
      <c r="D401" s="71"/>
    </row>
    <row r="402" spans="2:4" x14ac:dyDescent="0.15">
      <c r="B402" s="69"/>
      <c r="C402" s="70"/>
      <c r="D402" s="71"/>
    </row>
    <row r="403" spans="2:4" x14ac:dyDescent="0.15">
      <c r="B403" s="69"/>
      <c r="C403" s="70"/>
      <c r="D403" s="71"/>
    </row>
    <row r="404" spans="2:4" x14ac:dyDescent="0.15">
      <c r="B404" s="69"/>
      <c r="C404" s="70"/>
      <c r="D404" s="71"/>
    </row>
    <row r="405" spans="2:4" x14ac:dyDescent="0.15">
      <c r="B405" s="69"/>
      <c r="C405" s="70"/>
      <c r="D405" s="71"/>
    </row>
    <row r="406" spans="2:4" x14ac:dyDescent="0.15">
      <c r="B406" s="69"/>
      <c r="C406" s="70"/>
      <c r="D406" s="71"/>
    </row>
    <row r="407" spans="2:4" x14ac:dyDescent="0.15">
      <c r="B407" s="69"/>
      <c r="C407" s="70"/>
      <c r="D407" s="71"/>
    </row>
    <row r="408" spans="2:4" x14ac:dyDescent="0.15">
      <c r="B408" s="69"/>
      <c r="C408" s="70"/>
      <c r="D408" s="71"/>
    </row>
    <row r="409" spans="2:4" x14ac:dyDescent="0.15">
      <c r="B409" s="69"/>
      <c r="C409" s="70"/>
      <c r="D409" s="71"/>
    </row>
    <row r="410" spans="2:4" x14ac:dyDescent="0.15">
      <c r="B410" s="69"/>
      <c r="C410" s="70"/>
      <c r="D410" s="71"/>
    </row>
    <row r="411" spans="2:4" x14ac:dyDescent="0.15">
      <c r="B411" s="69"/>
      <c r="C411" s="70"/>
      <c r="D411" s="71"/>
    </row>
    <row r="412" spans="2:4" x14ac:dyDescent="0.15">
      <c r="B412" s="69"/>
      <c r="C412" s="70"/>
      <c r="D412" s="71"/>
    </row>
    <row r="413" spans="2:4" x14ac:dyDescent="0.15">
      <c r="B413" s="69"/>
      <c r="C413" s="70"/>
      <c r="D413" s="71"/>
    </row>
    <row r="414" spans="2:4" x14ac:dyDescent="0.15">
      <c r="B414" s="69"/>
      <c r="C414" s="70"/>
      <c r="D414" s="71"/>
    </row>
    <row r="415" spans="2:4" x14ac:dyDescent="0.15">
      <c r="B415" s="69"/>
      <c r="C415" s="70"/>
      <c r="D415" s="71"/>
    </row>
    <row r="416" spans="2:4" x14ac:dyDescent="0.15">
      <c r="B416" s="69"/>
      <c r="C416" s="70"/>
      <c r="D416" s="71"/>
    </row>
    <row r="417" spans="2:4" x14ac:dyDescent="0.15">
      <c r="B417" s="69"/>
      <c r="C417" s="70"/>
      <c r="D417" s="71"/>
    </row>
    <row r="418" spans="2:4" x14ac:dyDescent="0.15">
      <c r="B418" s="69"/>
      <c r="C418" s="70"/>
      <c r="D418" s="71"/>
    </row>
    <row r="419" spans="2:4" x14ac:dyDescent="0.15">
      <c r="B419" s="69"/>
      <c r="C419" s="70"/>
      <c r="D419" s="71"/>
    </row>
    <row r="420" spans="2:4" x14ac:dyDescent="0.15">
      <c r="B420" s="69"/>
      <c r="C420" s="70"/>
      <c r="D420" s="71"/>
    </row>
    <row r="421" spans="2:4" x14ac:dyDescent="0.15">
      <c r="B421" s="69"/>
      <c r="C421" s="70"/>
      <c r="D421" s="71"/>
    </row>
    <row r="422" spans="2:4" x14ac:dyDescent="0.15">
      <c r="B422" s="69"/>
      <c r="C422" s="70"/>
      <c r="D422" s="71"/>
    </row>
    <row r="423" spans="2:4" x14ac:dyDescent="0.15">
      <c r="B423" s="69"/>
      <c r="C423" s="70"/>
      <c r="D423" s="71"/>
    </row>
    <row r="424" spans="2:4" x14ac:dyDescent="0.15">
      <c r="B424" s="69"/>
      <c r="C424" s="70"/>
      <c r="D424" s="71"/>
    </row>
    <row r="425" spans="2:4" x14ac:dyDescent="0.15">
      <c r="B425" s="69"/>
      <c r="C425" s="70"/>
      <c r="D425" s="71"/>
    </row>
    <row r="426" spans="2:4" x14ac:dyDescent="0.15">
      <c r="B426" s="69"/>
      <c r="C426" s="70"/>
      <c r="D426" s="71"/>
    </row>
    <row r="427" spans="2:4" x14ac:dyDescent="0.15">
      <c r="B427" s="69"/>
      <c r="C427" s="70"/>
      <c r="D427" s="71"/>
    </row>
    <row r="428" spans="2:4" x14ac:dyDescent="0.15">
      <c r="B428" s="69"/>
      <c r="C428" s="70"/>
      <c r="D428" s="71"/>
    </row>
    <row r="429" spans="2:4" x14ac:dyDescent="0.15">
      <c r="B429" s="69"/>
      <c r="C429" s="70"/>
      <c r="D429" s="71"/>
    </row>
    <row r="430" spans="2:4" x14ac:dyDescent="0.15">
      <c r="B430" s="69"/>
      <c r="C430" s="70"/>
      <c r="D430" s="71"/>
    </row>
    <row r="431" spans="2:4" x14ac:dyDescent="0.15">
      <c r="B431" s="69"/>
      <c r="C431" s="70"/>
      <c r="D431" s="71"/>
    </row>
    <row r="432" spans="2:4" x14ac:dyDescent="0.15">
      <c r="B432" s="69"/>
      <c r="C432" s="70"/>
      <c r="D432" s="71"/>
    </row>
    <row r="433" spans="2:4" x14ac:dyDescent="0.15">
      <c r="B433" s="69"/>
      <c r="C433" s="70"/>
      <c r="D433" s="71"/>
    </row>
    <row r="434" spans="2:4" x14ac:dyDescent="0.15">
      <c r="B434" s="69"/>
      <c r="C434" s="70"/>
      <c r="D434" s="71"/>
    </row>
    <row r="435" spans="2:4" x14ac:dyDescent="0.15">
      <c r="B435" s="69"/>
      <c r="C435" s="70"/>
      <c r="D435" s="71"/>
    </row>
    <row r="436" spans="2:4" x14ac:dyDescent="0.15">
      <c r="B436" s="69"/>
      <c r="C436" s="70"/>
      <c r="D436" s="71"/>
    </row>
    <row r="437" spans="2:4" x14ac:dyDescent="0.15">
      <c r="B437" s="69"/>
      <c r="C437" s="70"/>
      <c r="D437" s="71"/>
    </row>
    <row r="438" spans="2:4" x14ac:dyDescent="0.15">
      <c r="B438" s="69"/>
      <c r="C438" s="70"/>
      <c r="D438" s="71"/>
    </row>
    <row r="439" spans="2:4" x14ac:dyDescent="0.15">
      <c r="B439" s="69"/>
      <c r="C439" s="70"/>
      <c r="D439" s="71"/>
    </row>
    <row r="440" spans="2:4" x14ac:dyDescent="0.15">
      <c r="B440" s="69"/>
      <c r="C440" s="70"/>
      <c r="D440" s="71"/>
    </row>
    <row r="441" spans="2:4" x14ac:dyDescent="0.15">
      <c r="B441" s="69"/>
      <c r="C441" s="70"/>
      <c r="D441" s="71"/>
    </row>
    <row r="442" spans="2:4" x14ac:dyDescent="0.15">
      <c r="B442" s="69"/>
      <c r="C442" s="70"/>
      <c r="D442" s="71"/>
    </row>
    <row r="443" spans="2:4" x14ac:dyDescent="0.15">
      <c r="B443" s="69"/>
      <c r="C443" s="70"/>
      <c r="D443" s="71"/>
    </row>
    <row r="444" spans="2:4" x14ac:dyDescent="0.15">
      <c r="B444" s="69"/>
      <c r="C444" s="70"/>
      <c r="D444" s="71"/>
    </row>
    <row r="445" spans="2:4" x14ac:dyDescent="0.15">
      <c r="B445" s="69"/>
      <c r="C445" s="70"/>
      <c r="D445" s="71"/>
    </row>
    <row r="446" spans="2:4" x14ac:dyDescent="0.15">
      <c r="B446" s="69"/>
      <c r="C446" s="70"/>
      <c r="D446" s="71"/>
    </row>
    <row r="447" spans="2:4" x14ac:dyDescent="0.15">
      <c r="B447" s="69"/>
      <c r="C447" s="70"/>
      <c r="D447" s="71"/>
    </row>
    <row r="448" spans="2:4" x14ac:dyDescent="0.15">
      <c r="B448" s="69"/>
      <c r="C448" s="70"/>
      <c r="D448" s="71"/>
    </row>
    <row r="449" spans="2:4" x14ac:dyDescent="0.15">
      <c r="B449" s="69"/>
      <c r="C449" s="70"/>
      <c r="D449" s="71"/>
    </row>
    <row r="450" spans="2:4" x14ac:dyDescent="0.15">
      <c r="B450" s="69"/>
      <c r="C450" s="70"/>
      <c r="D450" s="71"/>
    </row>
    <row r="451" spans="2:4" x14ac:dyDescent="0.15">
      <c r="B451" s="69"/>
      <c r="C451" s="70"/>
      <c r="D451" s="71"/>
    </row>
    <row r="452" spans="2:4" x14ac:dyDescent="0.15">
      <c r="B452" s="69"/>
      <c r="C452" s="70"/>
      <c r="D452" s="71"/>
    </row>
    <row r="453" spans="2:4" x14ac:dyDescent="0.15">
      <c r="B453" s="69"/>
      <c r="C453" s="70"/>
      <c r="D453" s="71"/>
    </row>
    <row r="454" spans="2:4" x14ac:dyDescent="0.15">
      <c r="B454" s="69"/>
      <c r="C454" s="70"/>
      <c r="D454" s="71"/>
    </row>
    <row r="455" spans="2:4" x14ac:dyDescent="0.15">
      <c r="B455" s="69"/>
      <c r="C455" s="70"/>
      <c r="D455" s="71"/>
    </row>
    <row r="456" spans="2:4" x14ac:dyDescent="0.15">
      <c r="B456" s="69"/>
      <c r="C456" s="70"/>
      <c r="D456" s="71"/>
    </row>
    <row r="457" spans="2:4" x14ac:dyDescent="0.15">
      <c r="B457" s="69"/>
      <c r="C457" s="70"/>
      <c r="D457" s="71"/>
    </row>
    <row r="458" spans="2:4" x14ac:dyDescent="0.15">
      <c r="B458" s="69"/>
      <c r="C458" s="70"/>
      <c r="D458" s="71"/>
    </row>
    <row r="459" spans="2:4" x14ac:dyDescent="0.15">
      <c r="B459" s="69"/>
      <c r="C459" s="70"/>
      <c r="D459" s="71"/>
    </row>
    <row r="460" spans="2:4" x14ac:dyDescent="0.15">
      <c r="B460" s="69"/>
      <c r="C460" s="70"/>
      <c r="D460" s="71"/>
    </row>
    <row r="461" spans="2:4" x14ac:dyDescent="0.15">
      <c r="B461" s="69"/>
      <c r="C461" s="70"/>
      <c r="D461" s="71"/>
    </row>
    <row r="462" spans="2:4" x14ac:dyDescent="0.15">
      <c r="B462" s="69"/>
      <c r="C462" s="70"/>
      <c r="D462" s="71"/>
    </row>
    <row r="463" spans="2:4" x14ac:dyDescent="0.15">
      <c r="B463" s="69"/>
      <c r="C463" s="70"/>
      <c r="D463" s="71"/>
    </row>
    <row r="464" spans="2:4" x14ac:dyDescent="0.15">
      <c r="B464" s="69"/>
      <c r="C464" s="70"/>
      <c r="D464" s="71"/>
    </row>
    <row r="465" spans="2:4" x14ac:dyDescent="0.15">
      <c r="B465" s="69"/>
      <c r="C465" s="70"/>
      <c r="D465" s="71"/>
    </row>
    <row r="466" spans="2:4" x14ac:dyDescent="0.15">
      <c r="B466" s="69"/>
      <c r="C466" s="70"/>
      <c r="D466" s="71"/>
    </row>
    <row r="467" spans="2:4" x14ac:dyDescent="0.15">
      <c r="B467" s="69"/>
      <c r="C467" s="70"/>
      <c r="D467" s="71"/>
    </row>
    <row r="468" spans="2:4" x14ac:dyDescent="0.15">
      <c r="B468" s="69"/>
      <c r="C468" s="70"/>
      <c r="D468" s="71"/>
    </row>
    <row r="469" spans="2:4" x14ac:dyDescent="0.15">
      <c r="B469" s="69"/>
      <c r="C469" s="70"/>
      <c r="D469" s="71"/>
    </row>
    <row r="470" spans="2:4" x14ac:dyDescent="0.15">
      <c r="B470" s="69"/>
      <c r="C470" s="70"/>
      <c r="D470" s="71"/>
    </row>
    <row r="471" spans="2:4" x14ac:dyDescent="0.15">
      <c r="B471" s="69"/>
      <c r="C471" s="70"/>
      <c r="D471" s="71"/>
    </row>
    <row r="472" spans="2:4" x14ac:dyDescent="0.15">
      <c r="B472" s="69"/>
      <c r="C472" s="70"/>
      <c r="D472" s="71"/>
    </row>
    <row r="473" spans="2:4" x14ac:dyDescent="0.15">
      <c r="B473" s="69"/>
      <c r="C473" s="70"/>
      <c r="D473" s="71"/>
    </row>
    <row r="474" spans="2:4" x14ac:dyDescent="0.15">
      <c r="B474" s="69"/>
      <c r="C474" s="70"/>
      <c r="D474" s="71"/>
    </row>
    <row r="475" spans="2:4" x14ac:dyDescent="0.15">
      <c r="B475" s="69"/>
      <c r="C475" s="70"/>
      <c r="D475" s="71"/>
    </row>
    <row r="476" spans="2:4" x14ac:dyDescent="0.15">
      <c r="B476" s="69"/>
      <c r="C476" s="70"/>
      <c r="D476" s="71"/>
    </row>
    <row r="477" spans="2:4" x14ac:dyDescent="0.15">
      <c r="B477" s="69"/>
      <c r="C477" s="70"/>
      <c r="D477" s="71"/>
    </row>
    <row r="478" spans="2:4" x14ac:dyDescent="0.15">
      <c r="B478" s="69"/>
      <c r="C478" s="70"/>
      <c r="D478" s="71"/>
    </row>
    <row r="479" spans="2:4" x14ac:dyDescent="0.15">
      <c r="B479" s="69"/>
      <c r="C479" s="70"/>
      <c r="D479" s="71"/>
    </row>
    <row r="480" spans="2:4" x14ac:dyDescent="0.15">
      <c r="B480" s="69"/>
      <c r="C480" s="70"/>
      <c r="D480" s="71"/>
    </row>
    <row r="481" spans="2:4" x14ac:dyDescent="0.15">
      <c r="B481" s="69"/>
      <c r="C481" s="70"/>
      <c r="D481" s="71"/>
    </row>
    <row r="482" spans="2:4" x14ac:dyDescent="0.15">
      <c r="B482" s="69"/>
      <c r="C482" s="70"/>
      <c r="D482" s="71"/>
    </row>
    <row r="483" spans="2:4" x14ac:dyDescent="0.15">
      <c r="B483" s="69"/>
      <c r="C483" s="70"/>
      <c r="D483" s="71"/>
    </row>
    <row r="484" spans="2:4" x14ac:dyDescent="0.15">
      <c r="B484" s="69"/>
      <c r="C484" s="70"/>
      <c r="D484" s="71"/>
    </row>
    <row r="485" spans="2:4" x14ac:dyDescent="0.15">
      <c r="B485" s="69"/>
      <c r="C485" s="70"/>
      <c r="D485" s="71"/>
    </row>
    <row r="486" spans="2:4" x14ac:dyDescent="0.15">
      <c r="B486" s="69"/>
      <c r="C486" s="70"/>
      <c r="D486" s="71"/>
    </row>
    <row r="487" spans="2:4" x14ac:dyDescent="0.15">
      <c r="B487" s="69"/>
      <c r="C487" s="70"/>
      <c r="D487" s="71"/>
    </row>
    <row r="488" spans="2:4" x14ac:dyDescent="0.15">
      <c r="B488" s="69"/>
      <c r="C488" s="70"/>
      <c r="D488" s="71"/>
    </row>
    <row r="489" spans="2:4" x14ac:dyDescent="0.15">
      <c r="B489" s="69"/>
      <c r="C489" s="70"/>
      <c r="D489" s="71"/>
    </row>
    <row r="490" spans="2:4" x14ac:dyDescent="0.15">
      <c r="B490" s="69"/>
      <c r="C490" s="70"/>
      <c r="D490" s="71"/>
    </row>
    <row r="491" spans="2:4" x14ac:dyDescent="0.15">
      <c r="B491" s="69"/>
      <c r="C491" s="70"/>
      <c r="D491" s="71"/>
    </row>
    <row r="492" spans="2:4" x14ac:dyDescent="0.15">
      <c r="B492" s="69"/>
      <c r="C492" s="70"/>
      <c r="D492" s="71"/>
    </row>
    <row r="493" spans="2:4" x14ac:dyDescent="0.15">
      <c r="B493" s="69"/>
      <c r="C493" s="70"/>
      <c r="D493" s="71"/>
    </row>
    <row r="494" spans="2:4" x14ac:dyDescent="0.15">
      <c r="B494" s="69"/>
      <c r="C494" s="70"/>
      <c r="D494" s="71"/>
    </row>
    <row r="495" spans="2:4" x14ac:dyDescent="0.15">
      <c r="B495" s="69"/>
      <c r="C495" s="70"/>
      <c r="D495" s="71"/>
    </row>
    <row r="496" spans="2:4" x14ac:dyDescent="0.15">
      <c r="B496" s="69"/>
      <c r="C496" s="70"/>
      <c r="D496" s="71"/>
    </row>
    <row r="497" spans="2:4" x14ac:dyDescent="0.15">
      <c r="B497" s="69"/>
      <c r="C497" s="70"/>
      <c r="D497" s="71"/>
    </row>
    <row r="498" spans="2:4" x14ac:dyDescent="0.15">
      <c r="B498" s="69"/>
      <c r="C498" s="70"/>
      <c r="D498" s="71"/>
    </row>
    <row r="499" spans="2:4" x14ac:dyDescent="0.15">
      <c r="B499" s="69"/>
      <c r="C499" s="70"/>
      <c r="D499" s="71"/>
    </row>
    <row r="500" spans="2:4" x14ac:dyDescent="0.15">
      <c r="B500" s="69"/>
      <c r="C500" s="70"/>
      <c r="D500" s="71"/>
    </row>
    <row r="501" spans="2:4" x14ac:dyDescent="0.15">
      <c r="B501" s="69"/>
      <c r="C501" s="70"/>
      <c r="D501" s="71"/>
    </row>
    <row r="502" spans="2:4" x14ac:dyDescent="0.15">
      <c r="B502" s="69"/>
      <c r="C502" s="70"/>
      <c r="D502" s="71"/>
    </row>
    <row r="503" spans="2:4" x14ac:dyDescent="0.15">
      <c r="B503" s="69"/>
      <c r="C503" s="70"/>
      <c r="D503" s="71"/>
    </row>
    <row r="504" spans="2:4" x14ac:dyDescent="0.15">
      <c r="B504" s="69"/>
      <c r="C504" s="70"/>
      <c r="D504" s="71"/>
    </row>
    <row r="505" spans="2:4" x14ac:dyDescent="0.15">
      <c r="B505" s="69"/>
      <c r="C505" s="70"/>
      <c r="D505" s="71"/>
    </row>
    <row r="506" spans="2:4" x14ac:dyDescent="0.15">
      <c r="B506" s="69"/>
      <c r="C506" s="70"/>
      <c r="D506" s="71"/>
    </row>
    <row r="507" spans="2:4" x14ac:dyDescent="0.15">
      <c r="B507" s="69"/>
      <c r="C507" s="70"/>
      <c r="D507" s="71"/>
    </row>
    <row r="508" spans="2:4" x14ac:dyDescent="0.15">
      <c r="B508" s="69"/>
      <c r="C508" s="70"/>
      <c r="D508" s="71"/>
    </row>
    <row r="509" spans="2:4" x14ac:dyDescent="0.15">
      <c r="B509" s="69"/>
      <c r="C509" s="70"/>
      <c r="D509" s="71"/>
    </row>
    <row r="510" spans="2:4" x14ac:dyDescent="0.15">
      <c r="B510" s="69"/>
      <c r="C510" s="70"/>
      <c r="D510" s="71"/>
    </row>
    <row r="511" spans="2:4" x14ac:dyDescent="0.15">
      <c r="B511" s="69"/>
      <c r="C511" s="70"/>
      <c r="D511" s="71"/>
    </row>
    <row r="512" spans="2:4" x14ac:dyDescent="0.15">
      <c r="B512" s="69"/>
      <c r="C512" s="70"/>
      <c r="D512" s="71"/>
    </row>
    <row r="513" spans="2:4" x14ac:dyDescent="0.15">
      <c r="B513" s="69"/>
      <c r="C513" s="70"/>
      <c r="D513" s="71"/>
    </row>
    <row r="514" spans="2:4" x14ac:dyDescent="0.15">
      <c r="B514" s="69"/>
      <c r="C514" s="70"/>
      <c r="D514" s="71"/>
    </row>
    <row r="515" spans="2:4" x14ac:dyDescent="0.15">
      <c r="B515" s="69"/>
      <c r="C515" s="70"/>
      <c r="D515" s="71"/>
    </row>
    <row r="516" spans="2:4" x14ac:dyDescent="0.15">
      <c r="B516" s="69"/>
      <c r="C516" s="70"/>
      <c r="D516" s="71"/>
    </row>
    <row r="517" spans="2:4" x14ac:dyDescent="0.15">
      <c r="B517" s="69"/>
      <c r="C517" s="70"/>
      <c r="D517" s="71"/>
    </row>
    <row r="518" spans="2:4" x14ac:dyDescent="0.15">
      <c r="B518" s="69"/>
      <c r="C518" s="70"/>
      <c r="D518" s="71"/>
    </row>
    <row r="519" spans="2:4" x14ac:dyDescent="0.15">
      <c r="B519" s="69"/>
      <c r="C519" s="70"/>
      <c r="D519" s="71"/>
    </row>
    <row r="520" spans="2:4" x14ac:dyDescent="0.15">
      <c r="B520" s="69"/>
      <c r="C520" s="70"/>
      <c r="D520" s="71"/>
    </row>
    <row r="521" spans="2:4" x14ac:dyDescent="0.15">
      <c r="B521" s="69"/>
      <c r="C521" s="70"/>
      <c r="D521" s="71"/>
    </row>
    <row r="522" spans="2:4" x14ac:dyDescent="0.15">
      <c r="B522" s="69"/>
      <c r="C522" s="70"/>
      <c r="D522" s="71"/>
    </row>
    <row r="523" spans="2:4" x14ac:dyDescent="0.15">
      <c r="B523" s="69"/>
      <c r="C523" s="70"/>
      <c r="D523" s="71"/>
    </row>
    <row r="524" spans="2:4" x14ac:dyDescent="0.15">
      <c r="B524" s="69"/>
      <c r="C524" s="70"/>
      <c r="D524" s="71"/>
    </row>
    <row r="525" spans="2:4" x14ac:dyDescent="0.15">
      <c r="B525" s="69"/>
      <c r="C525" s="70"/>
      <c r="D525" s="71"/>
    </row>
    <row r="526" spans="2:4" x14ac:dyDescent="0.15">
      <c r="B526" s="69"/>
      <c r="C526" s="70"/>
      <c r="D526" s="71"/>
    </row>
    <row r="527" spans="2:4" x14ac:dyDescent="0.15">
      <c r="B527" s="69"/>
      <c r="C527" s="70"/>
      <c r="D527" s="71"/>
    </row>
    <row r="528" spans="2:4" x14ac:dyDescent="0.15">
      <c r="B528" s="69"/>
      <c r="C528" s="70"/>
      <c r="D528" s="71"/>
    </row>
    <row r="529" spans="2:4" x14ac:dyDescent="0.15">
      <c r="B529" s="69"/>
      <c r="C529" s="70"/>
      <c r="D529" s="71"/>
    </row>
    <row r="530" spans="2:4" x14ac:dyDescent="0.15">
      <c r="B530" s="69"/>
      <c r="C530" s="70"/>
      <c r="D530" s="71"/>
    </row>
    <row r="531" spans="2:4" x14ac:dyDescent="0.15">
      <c r="B531" s="69"/>
      <c r="C531" s="70"/>
      <c r="D531" s="71"/>
    </row>
    <row r="532" spans="2:4" x14ac:dyDescent="0.15">
      <c r="B532" s="69"/>
      <c r="C532" s="70"/>
      <c r="D532" s="71"/>
    </row>
    <row r="533" spans="2:4" x14ac:dyDescent="0.15">
      <c r="B533" s="69"/>
      <c r="C533" s="70"/>
      <c r="D533" s="71"/>
    </row>
    <row r="534" spans="2:4" x14ac:dyDescent="0.15">
      <c r="B534" s="69"/>
      <c r="C534" s="70"/>
      <c r="D534" s="71"/>
    </row>
    <row r="535" spans="2:4" x14ac:dyDescent="0.15">
      <c r="B535" s="69"/>
      <c r="C535" s="70"/>
      <c r="D535" s="71"/>
    </row>
    <row r="536" spans="2:4" x14ac:dyDescent="0.15">
      <c r="B536" s="69"/>
      <c r="C536" s="70"/>
      <c r="D536" s="71"/>
    </row>
    <row r="537" spans="2:4" x14ac:dyDescent="0.15">
      <c r="B537" s="69"/>
      <c r="C537" s="70"/>
      <c r="D537" s="71"/>
    </row>
    <row r="538" spans="2:4" x14ac:dyDescent="0.15">
      <c r="B538" s="69"/>
      <c r="C538" s="70"/>
      <c r="D538" s="71"/>
    </row>
    <row r="539" spans="2:4" x14ac:dyDescent="0.15">
      <c r="B539" s="69"/>
      <c r="C539" s="70"/>
      <c r="D539" s="71"/>
    </row>
    <row r="540" spans="2:4" x14ac:dyDescent="0.15">
      <c r="B540" s="69"/>
      <c r="C540" s="70"/>
      <c r="D540" s="71"/>
    </row>
    <row r="541" spans="2:4" x14ac:dyDescent="0.15">
      <c r="B541" s="69"/>
      <c r="C541" s="70"/>
      <c r="D541" s="71"/>
    </row>
    <row r="542" spans="2:4" x14ac:dyDescent="0.15">
      <c r="B542" s="69"/>
      <c r="C542" s="70"/>
      <c r="D542" s="71"/>
    </row>
    <row r="543" spans="2:4" x14ac:dyDescent="0.15">
      <c r="B543" s="69"/>
      <c r="C543" s="70"/>
      <c r="D543" s="71"/>
    </row>
    <row r="544" spans="2:4" x14ac:dyDescent="0.15">
      <c r="B544" s="69"/>
      <c r="C544" s="70"/>
      <c r="D544" s="71"/>
    </row>
    <row r="545" spans="2:4" x14ac:dyDescent="0.15">
      <c r="B545" s="69"/>
      <c r="C545" s="70"/>
      <c r="D545" s="71"/>
    </row>
    <row r="546" spans="2:4" x14ac:dyDescent="0.15">
      <c r="B546" s="69"/>
      <c r="C546" s="70"/>
      <c r="D546" s="71"/>
    </row>
    <row r="547" spans="2:4" x14ac:dyDescent="0.15">
      <c r="B547" s="69"/>
      <c r="C547" s="70"/>
      <c r="D547" s="71"/>
    </row>
    <row r="548" spans="2:4" x14ac:dyDescent="0.15">
      <c r="B548" s="69"/>
      <c r="C548" s="70"/>
      <c r="D548" s="71"/>
    </row>
    <row r="549" spans="2:4" x14ac:dyDescent="0.15">
      <c r="B549" s="69"/>
      <c r="C549" s="70"/>
      <c r="D549" s="71"/>
    </row>
    <row r="550" spans="2:4" x14ac:dyDescent="0.15">
      <c r="B550" s="69"/>
      <c r="C550" s="70"/>
      <c r="D550" s="71"/>
    </row>
    <row r="551" spans="2:4" x14ac:dyDescent="0.15">
      <c r="B551" s="69"/>
      <c r="C551" s="70"/>
      <c r="D551" s="71"/>
    </row>
    <row r="552" spans="2:4" x14ac:dyDescent="0.15">
      <c r="B552" s="69"/>
      <c r="C552" s="70"/>
      <c r="D552" s="71"/>
    </row>
    <row r="553" spans="2:4" x14ac:dyDescent="0.15">
      <c r="B553" s="69"/>
      <c r="C553" s="70"/>
      <c r="D553" s="71"/>
    </row>
    <row r="554" spans="2:4" x14ac:dyDescent="0.15">
      <c r="B554" s="69"/>
      <c r="C554" s="70"/>
      <c r="D554" s="71"/>
    </row>
    <row r="555" spans="2:4" x14ac:dyDescent="0.15">
      <c r="B555" s="69"/>
      <c r="C555" s="70"/>
      <c r="D555" s="71"/>
    </row>
    <row r="556" spans="2:4" x14ac:dyDescent="0.15">
      <c r="B556" s="69"/>
      <c r="C556" s="70"/>
      <c r="D556" s="71"/>
    </row>
    <row r="557" spans="2:4" x14ac:dyDescent="0.15">
      <c r="B557" s="69"/>
      <c r="C557" s="70"/>
      <c r="D557" s="71"/>
    </row>
    <row r="558" spans="2:4" x14ac:dyDescent="0.15">
      <c r="B558" s="69"/>
      <c r="C558" s="70"/>
      <c r="D558" s="71"/>
    </row>
    <row r="559" spans="2:4" x14ac:dyDescent="0.15">
      <c r="B559" s="69"/>
      <c r="C559" s="70"/>
      <c r="D559" s="71"/>
    </row>
    <row r="560" spans="2:4" x14ac:dyDescent="0.15">
      <c r="B560" s="69"/>
      <c r="C560" s="70"/>
      <c r="D560" s="71"/>
    </row>
    <row r="561" spans="2:4" x14ac:dyDescent="0.15">
      <c r="B561" s="69"/>
      <c r="C561" s="70"/>
      <c r="D561" s="71"/>
    </row>
    <row r="562" spans="2:4" x14ac:dyDescent="0.15">
      <c r="B562" s="69"/>
      <c r="C562" s="70"/>
      <c r="D562" s="71"/>
    </row>
    <row r="563" spans="2:4" x14ac:dyDescent="0.15">
      <c r="B563" s="69"/>
      <c r="C563" s="70"/>
      <c r="D563" s="71"/>
    </row>
    <row r="564" spans="2:4" x14ac:dyDescent="0.15">
      <c r="B564" s="69"/>
      <c r="C564" s="70"/>
      <c r="D564" s="71"/>
    </row>
    <row r="565" spans="2:4" x14ac:dyDescent="0.15">
      <c r="B565" s="69"/>
      <c r="C565" s="70"/>
      <c r="D565" s="71"/>
    </row>
    <row r="566" spans="2:4" x14ac:dyDescent="0.15">
      <c r="B566" s="69"/>
      <c r="C566" s="70"/>
      <c r="D566" s="71"/>
    </row>
    <row r="567" spans="2:4" x14ac:dyDescent="0.15">
      <c r="B567" s="69"/>
      <c r="C567" s="70"/>
      <c r="D567" s="71"/>
    </row>
    <row r="568" spans="2:4" x14ac:dyDescent="0.15">
      <c r="B568" s="69"/>
      <c r="C568" s="70"/>
      <c r="D568" s="71"/>
    </row>
    <row r="569" spans="2:4" x14ac:dyDescent="0.15">
      <c r="B569" s="69"/>
      <c r="C569" s="70"/>
      <c r="D569" s="71"/>
    </row>
    <row r="570" spans="2:4" x14ac:dyDescent="0.15">
      <c r="B570" s="69"/>
      <c r="C570" s="70"/>
      <c r="D570" s="71"/>
    </row>
    <row r="571" spans="2:4" x14ac:dyDescent="0.15">
      <c r="B571" s="69"/>
      <c r="C571" s="70"/>
      <c r="D571" s="71"/>
    </row>
    <row r="572" spans="2:4" x14ac:dyDescent="0.15">
      <c r="B572" s="69"/>
      <c r="C572" s="70"/>
      <c r="D572" s="71"/>
    </row>
    <row r="573" spans="2:4" x14ac:dyDescent="0.15">
      <c r="B573" s="69"/>
      <c r="C573" s="70"/>
      <c r="D573" s="71"/>
    </row>
    <row r="574" spans="2:4" x14ac:dyDescent="0.15">
      <c r="B574" s="69"/>
      <c r="C574" s="70"/>
      <c r="D574" s="71"/>
    </row>
    <row r="575" spans="2:4" x14ac:dyDescent="0.15">
      <c r="B575" s="69"/>
      <c r="C575" s="70"/>
      <c r="D575" s="71"/>
    </row>
    <row r="576" spans="2:4" x14ac:dyDescent="0.15">
      <c r="B576" s="69"/>
      <c r="C576" s="70"/>
      <c r="D576" s="71"/>
    </row>
    <row r="577" spans="2:4" x14ac:dyDescent="0.15">
      <c r="B577" s="69"/>
      <c r="C577" s="70"/>
      <c r="D577" s="71"/>
    </row>
    <row r="578" spans="2:4" x14ac:dyDescent="0.15">
      <c r="B578" s="69"/>
      <c r="C578" s="70"/>
      <c r="D578" s="71"/>
    </row>
    <row r="579" spans="2:4" x14ac:dyDescent="0.15">
      <c r="B579" s="69"/>
      <c r="C579" s="70"/>
      <c r="D579" s="71"/>
    </row>
    <row r="580" spans="2:4" x14ac:dyDescent="0.15">
      <c r="B580" s="69"/>
      <c r="C580" s="70"/>
      <c r="D580" s="71"/>
    </row>
    <row r="581" spans="2:4" x14ac:dyDescent="0.15">
      <c r="B581" s="69"/>
      <c r="C581" s="70"/>
      <c r="D581" s="71"/>
    </row>
    <row r="582" spans="2:4" x14ac:dyDescent="0.15">
      <c r="B582" s="69"/>
      <c r="C582" s="70"/>
      <c r="D582" s="71"/>
    </row>
    <row r="583" spans="2:4" x14ac:dyDescent="0.15">
      <c r="B583" s="69"/>
      <c r="C583" s="70"/>
      <c r="D583" s="71"/>
    </row>
    <row r="584" spans="2:4" x14ac:dyDescent="0.15">
      <c r="B584" s="69"/>
      <c r="C584" s="70"/>
      <c r="D584" s="71"/>
    </row>
    <row r="585" spans="2:4" x14ac:dyDescent="0.15">
      <c r="B585" s="69"/>
      <c r="C585" s="70"/>
      <c r="D585" s="71"/>
    </row>
    <row r="586" spans="2:4" x14ac:dyDescent="0.15">
      <c r="B586" s="69"/>
      <c r="C586" s="70"/>
      <c r="D586" s="71"/>
    </row>
    <row r="587" spans="2:4" x14ac:dyDescent="0.15">
      <c r="B587" s="69"/>
      <c r="C587" s="70"/>
      <c r="D587" s="71"/>
    </row>
    <row r="588" spans="2:4" x14ac:dyDescent="0.15">
      <c r="B588" s="69"/>
      <c r="C588" s="70"/>
      <c r="D588" s="71"/>
    </row>
    <row r="589" spans="2:4" x14ac:dyDescent="0.15">
      <c r="B589" s="69"/>
      <c r="C589" s="70"/>
      <c r="D589" s="71"/>
    </row>
    <row r="590" spans="2:4" x14ac:dyDescent="0.15">
      <c r="B590" s="69"/>
      <c r="C590" s="70"/>
      <c r="D590" s="71"/>
    </row>
    <row r="591" spans="2:4" x14ac:dyDescent="0.15">
      <c r="B591" s="69"/>
      <c r="C591" s="70"/>
      <c r="D591" s="71"/>
    </row>
    <row r="592" spans="2:4" x14ac:dyDescent="0.15">
      <c r="B592" s="69"/>
      <c r="C592" s="70"/>
      <c r="D592" s="71"/>
    </row>
    <row r="593" spans="2:4" x14ac:dyDescent="0.15">
      <c r="B593" s="69"/>
      <c r="C593" s="70"/>
      <c r="D593" s="71"/>
    </row>
    <row r="594" spans="2:4" x14ac:dyDescent="0.15">
      <c r="B594" s="69"/>
      <c r="C594" s="70"/>
      <c r="D594" s="71"/>
    </row>
    <row r="595" spans="2:4" x14ac:dyDescent="0.15">
      <c r="B595" s="69"/>
      <c r="C595" s="70"/>
      <c r="D595" s="71"/>
    </row>
    <row r="596" spans="2:4" x14ac:dyDescent="0.15">
      <c r="B596" s="69"/>
      <c r="C596" s="70"/>
      <c r="D596" s="71"/>
    </row>
    <row r="597" spans="2:4" x14ac:dyDescent="0.15">
      <c r="B597" s="69"/>
      <c r="C597" s="70"/>
      <c r="D597" s="71"/>
    </row>
    <row r="598" spans="2:4" x14ac:dyDescent="0.15">
      <c r="B598" s="69"/>
      <c r="C598" s="70"/>
      <c r="D598" s="71"/>
    </row>
    <row r="599" spans="2:4" x14ac:dyDescent="0.15">
      <c r="B599" s="69"/>
      <c r="C599" s="70"/>
      <c r="D599" s="71"/>
    </row>
    <row r="600" spans="2:4" x14ac:dyDescent="0.15">
      <c r="B600" s="69"/>
      <c r="C600" s="70"/>
      <c r="D600" s="71"/>
    </row>
    <row r="601" spans="2:4" x14ac:dyDescent="0.15">
      <c r="B601" s="69"/>
      <c r="C601" s="70"/>
      <c r="D601" s="71"/>
    </row>
    <row r="602" spans="2:4" x14ac:dyDescent="0.15">
      <c r="B602" s="69"/>
      <c r="C602" s="70"/>
      <c r="D602" s="71"/>
    </row>
    <row r="603" spans="2:4" x14ac:dyDescent="0.15">
      <c r="B603" s="69"/>
      <c r="C603" s="70"/>
      <c r="D603" s="71"/>
    </row>
    <row r="604" spans="2:4" x14ac:dyDescent="0.15">
      <c r="B604" s="69"/>
      <c r="C604" s="70"/>
      <c r="D604" s="71"/>
    </row>
    <row r="605" spans="2:4" x14ac:dyDescent="0.15">
      <c r="B605" s="69"/>
      <c r="C605" s="70"/>
      <c r="D605" s="71"/>
    </row>
    <row r="606" spans="2:4" x14ac:dyDescent="0.15">
      <c r="B606" s="69"/>
      <c r="C606" s="70"/>
      <c r="D606" s="71"/>
    </row>
    <row r="607" spans="2:4" x14ac:dyDescent="0.15">
      <c r="B607" s="69"/>
      <c r="C607" s="70"/>
      <c r="D607" s="71"/>
    </row>
    <row r="608" spans="2:4" x14ac:dyDescent="0.15">
      <c r="B608" s="69"/>
      <c r="C608" s="70"/>
      <c r="D608" s="71"/>
    </row>
    <row r="609" spans="2:4" x14ac:dyDescent="0.15">
      <c r="B609" s="69"/>
      <c r="C609" s="70"/>
      <c r="D609" s="71"/>
    </row>
    <row r="610" spans="2:4" x14ac:dyDescent="0.15">
      <c r="B610" s="69"/>
      <c r="C610" s="70"/>
      <c r="D610" s="71"/>
    </row>
    <row r="611" spans="2:4" x14ac:dyDescent="0.15">
      <c r="B611" s="69"/>
      <c r="C611" s="70"/>
      <c r="D611" s="71"/>
    </row>
    <row r="612" spans="2:4" x14ac:dyDescent="0.15">
      <c r="B612" s="69"/>
      <c r="C612" s="70"/>
      <c r="D612" s="71"/>
    </row>
    <row r="613" spans="2:4" x14ac:dyDescent="0.15">
      <c r="B613" s="69"/>
      <c r="C613" s="70"/>
      <c r="D613" s="71"/>
    </row>
    <row r="614" spans="2:4" x14ac:dyDescent="0.15">
      <c r="B614" s="69"/>
      <c r="C614" s="70"/>
      <c r="D614" s="71"/>
    </row>
    <row r="615" spans="2:4" x14ac:dyDescent="0.15">
      <c r="B615" s="69"/>
      <c r="C615" s="70"/>
      <c r="D615" s="71"/>
    </row>
    <row r="616" spans="2:4" x14ac:dyDescent="0.15">
      <c r="B616" s="69"/>
      <c r="C616" s="70"/>
      <c r="D616" s="71"/>
    </row>
    <row r="617" spans="2:4" x14ac:dyDescent="0.15">
      <c r="B617" s="69"/>
      <c r="C617" s="70"/>
      <c r="D617" s="71"/>
    </row>
    <row r="618" spans="2:4" x14ac:dyDescent="0.15">
      <c r="B618" s="69"/>
      <c r="C618" s="70"/>
      <c r="D618" s="71"/>
    </row>
    <row r="619" spans="2:4" x14ac:dyDescent="0.15">
      <c r="B619" s="69"/>
      <c r="C619" s="70"/>
      <c r="D619" s="71"/>
    </row>
    <row r="620" spans="2:4" x14ac:dyDescent="0.15">
      <c r="B620" s="69"/>
      <c r="C620" s="70"/>
      <c r="D620" s="71"/>
    </row>
    <row r="621" spans="2:4" x14ac:dyDescent="0.15">
      <c r="B621" s="69"/>
      <c r="C621" s="70"/>
      <c r="D621" s="71"/>
    </row>
    <row r="622" spans="2:4" x14ac:dyDescent="0.15">
      <c r="B622" s="69"/>
      <c r="C622" s="70"/>
      <c r="D622" s="71"/>
    </row>
    <row r="623" spans="2:4" x14ac:dyDescent="0.15">
      <c r="B623" s="69"/>
      <c r="C623" s="70"/>
      <c r="D623" s="71"/>
    </row>
    <row r="624" spans="2:4" x14ac:dyDescent="0.15">
      <c r="B624" s="69"/>
      <c r="C624" s="70"/>
      <c r="D624" s="71"/>
    </row>
    <row r="625" spans="2:4" x14ac:dyDescent="0.15">
      <c r="B625" s="69"/>
      <c r="C625" s="70"/>
      <c r="D625" s="71"/>
    </row>
    <row r="626" spans="2:4" x14ac:dyDescent="0.15">
      <c r="B626" s="69"/>
      <c r="C626" s="70"/>
      <c r="D626" s="71"/>
    </row>
    <row r="627" spans="2:4" x14ac:dyDescent="0.15">
      <c r="B627" s="69"/>
      <c r="C627" s="70"/>
      <c r="D627" s="71"/>
    </row>
    <row r="628" spans="2:4" x14ac:dyDescent="0.15">
      <c r="B628" s="69"/>
      <c r="C628" s="70"/>
      <c r="D628" s="71"/>
    </row>
    <row r="629" spans="2:4" x14ac:dyDescent="0.15">
      <c r="B629" s="69"/>
      <c r="C629" s="70"/>
      <c r="D629" s="71"/>
    </row>
    <row r="630" spans="2:4" x14ac:dyDescent="0.15">
      <c r="B630" s="69"/>
      <c r="C630" s="70"/>
      <c r="D630" s="71"/>
    </row>
    <row r="631" spans="2:4" x14ac:dyDescent="0.15">
      <c r="B631" s="69"/>
      <c r="C631" s="70"/>
      <c r="D631" s="71"/>
    </row>
    <row r="632" spans="2:4" x14ac:dyDescent="0.15">
      <c r="B632" s="69"/>
      <c r="C632" s="70"/>
      <c r="D632" s="71"/>
    </row>
    <row r="633" spans="2:4" x14ac:dyDescent="0.15">
      <c r="B633" s="69"/>
      <c r="C633" s="70"/>
      <c r="D633" s="71"/>
    </row>
    <row r="634" spans="2:4" x14ac:dyDescent="0.15">
      <c r="B634" s="69"/>
      <c r="C634" s="70"/>
      <c r="D634" s="71"/>
    </row>
    <row r="635" spans="2:4" x14ac:dyDescent="0.15">
      <c r="B635" s="69"/>
      <c r="C635" s="70"/>
      <c r="D635" s="71"/>
    </row>
    <row r="636" spans="2:4" x14ac:dyDescent="0.15">
      <c r="B636" s="69"/>
      <c r="C636" s="70"/>
      <c r="D636" s="71"/>
    </row>
    <row r="637" spans="2:4" x14ac:dyDescent="0.15">
      <c r="B637" s="69"/>
      <c r="C637" s="70"/>
      <c r="D637" s="71"/>
    </row>
    <row r="638" spans="2:4" x14ac:dyDescent="0.15">
      <c r="B638" s="69"/>
      <c r="C638" s="70"/>
      <c r="D638" s="71"/>
    </row>
    <row r="639" spans="2:4" x14ac:dyDescent="0.15">
      <c r="B639" s="69"/>
      <c r="C639" s="70"/>
      <c r="D639" s="71"/>
    </row>
    <row r="640" spans="2:4" x14ac:dyDescent="0.15">
      <c r="B640" s="69"/>
      <c r="C640" s="70"/>
      <c r="D640" s="71"/>
    </row>
    <row r="641" spans="2:4" x14ac:dyDescent="0.15">
      <c r="B641" s="69"/>
      <c r="C641" s="70"/>
      <c r="D641" s="71"/>
    </row>
    <row r="642" spans="2:4" x14ac:dyDescent="0.15">
      <c r="B642" s="69"/>
      <c r="C642" s="70"/>
      <c r="D642" s="71"/>
    </row>
    <row r="643" spans="2:4" x14ac:dyDescent="0.15">
      <c r="B643" s="69"/>
      <c r="C643" s="70"/>
      <c r="D643" s="71"/>
    </row>
    <row r="644" spans="2:4" x14ac:dyDescent="0.15">
      <c r="B644" s="69"/>
      <c r="C644" s="70"/>
      <c r="D644" s="71"/>
    </row>
    <row r="645" spans="2:4" x14ac:dyDescent="0.15">
      <c r="B645" s="69"/>
      <c r="C645" s="70"/>
      <c r="D645" s="71"/>
    </row>
    <row r="646" spans="2:4" x14ac:dyDescent="0.15">
      <c r="B646" s="69"/>
      <c r="C646" s="70"/>
      <c r="D646" s="71"/>
    </row>
    <row r="647" spans="2:4" x14ac:dyDescent="0.15">
      <c r="B647" s="69"/>
      <c r="C647" s="70"/>
      <c r="D647" s="71"/>
    </row>
    <row r="648" spans="2:4" x14ac:dyDescent="0.15">
      <c r="B648" s="69"/>
      <c r="C648" s="70"/>
      <c r="D648" s="71"/>
    </row>
    <row r="649" spans="2:4" x14ac:dyDescent="0.15">
      <c r="B649" s="69"/>
      <c r="C649" s="70"/>
      <c r="D649" s="71"/>
    </row>
    <row r="650" spans="2:4" x14ac:dyDescent="0.15">
      <c r="B650" s="69"/>
      <c r="C650" s="70"/>
      <c r="D650" s="71"/>
    </row>
    <row r="651" spans="2:4" x14ac:dyDescent="0.15">
      <c r="B651" s="69"/>
      <c r="C651" s="70"/>
      <c r="D651" s="71"/>
    </row>
    <row r="652" spans="2:4" x14ac:dyDescent="0.15">
      <c r="B652" s="69"/>
      <c r="C652" s="70"/>
      <c r="D652" s="71"/>
    </row>
    <row r="653" spans="2:4" x14ac:dyDescent="0.15">
      <c r="B653" s="69"/>
      <c r="C653" s="70"/>
      <c r="D653" s="71"/>
    </row>
    <row r="654" spans="2:4" x14ac:dyDescent="0.15">
      <c r="B654" s="69"/>
      <c r="C654" s="70"/>
      <c r="D654" s="71"/>
    </row>
    <row r="655" spans="2:4" x14ac:dyDescent="0.15">
      <c r="B655" s="69"/>
      <c r="C655" s="70"/>
      <c r="D655" s="71"/>
    </row>
    <row r="656" spans="2:4" x14ac:dyDescent="0.15">
      <c r="B656" s="69"/>
      <c r="C656" s="70"/>
      <c r="D656" s="71"/>
    </row>
    <row r="657" spans="2:4" x14ac:dyDescent="0.15">
      <c r="B657" s="69"/>
      <c r="C657" s="70"/>
      <c r="D657" s="71"/>
    </row>
    <row r="658" spans="2:4" x14ac:dyDescent="0.15">
      <c r="B658" s="69"/>
      <c r="C658" s="70"/>
      <c r="D658" s="71"/>
    </row>
    <row r="659" spans="2:4" x14ac:dyDescent="0.15">
      <c r="B659" s="69"/>
      <c r="C659" s="70"/>
      <c r="D659" s="71"/>
    </row>
    <row r="660" spans="2:4" x14ac:dyDescent="0.15">
      <c r="B660" s="69"/>
      <c r="C660" s="70"/>
      <c r="D660" s="71"/>
    </row>
    <row r="661" spans="2:4" x14ac:dyDescent="0.15">
      <c r="B661" s="69"/>
      <c r="C661" s="70"/>
      <c r="D661" s="71"/>
    </row>
    <row r="662" spans="2:4" x14ac:dyDescent="0.15">
      <c r="B662" s="69"/>
      <c r="C662" s="70"/>
      <c r="D662" s="71"/>
    </row>
    <row r="663" spans="2:4" x14ac:dyDescent="0.15">
      <c r="B663" s="69"/>
      <c r="C663" s="70"/>
      <c r="D663" s="71"/>
    </row>
    <row r="664" spans="2:4" x14ac:dyDescent="0.15">
      <c r="B664" s="69"/>
      <c r="C664" s="70"/>
      <c r="D664" s="71"/>
    </row>
    <row r="665" spans="2:4" x14ac:dyDescent="0.15">
      <c r="B665" s="69"/>
      <c r="C665" s="70"/>
      <c r="D665" s="71"/>
    </row>
    <row r="666" spans="2:4" x14ac:dyDescent="0.15">
      <c r="B666" s="69"/>
      <c r="C666" s="70"/>
      <c r="D666" s="71"/>
    </row>
    <row r="667" spans="2:4" x14ac:dyDescent="0.15">
      <c r="B667" s="69"/>
      <c r="C667" s="70"/>
      <c r="D667" s="71"/>
    </row>
    <row r="668" spans="2:4" x14ac:dyDescent="0.15">
      <c r="B668" s="69"/>
      <c r="C668" s="70"/>
      <c r="D668" s="71"/>
    </row>
    <row r="669" spans="2:4" x14ac:dyDescent="0.15">
      <c r="B669" s="69"/>
      <c r="C669" s="70"/>
      <c r="D669" s="71"/>
    </row>
    <row r="670" spans="2:4" x14ac:dyDescent="0.15">
      <c r="B670" s="69"/>
      <c r="C670" s="70"/>
      <c r="D670" s="71"/>
    </row>
    <row r="671" spans="2:4" x14ac:dyDescent="0.15">
      <c r="B671" s="69"/>
      <c r="C671" s="70"/>
      <c r="D671" s="71"/>
    </row>
    <row r="672" spans="2:4" x14ac:dyDescent="0.15">
      <c r="B672" s="69"/>
      <c r="C672" s="70"/>
      <c r="D672" s="71"/>
    </row>
    <row r="673" spans="2:4" x14ac:dyDescent="0.15">
      <c r="B673" s="69"/>
      <c r="C673" s="70"/>
      <c r="D673" s="71"/>
    </row>
    <row r="674" spans="2:4" x14ac:dyDescent="0.15">
      <c r="B674" s="69"/>
      <c r="C674" s="70"/>
      <c r="D674" s="71"/>
    </row>
    <row r="675" spans="2:4" x14ac:dyDescent="0.15">
      <c r="B675" s="69"/>
      <c r="C675" s="70"/>
      <c r="D675" s="71"/>
    </row>
    <row r="676" spans="2:4" x14ac:dyDescent="0.15">
      <c r="B676" s="69"/>
      <c r="C676" s="70"/>
      <c r="D676" s="71"/>
    </row>
    <row r="677" spans="2:4" x14ac:dyDescent="0.15">
      <c r="B677" s="69"/>
      <c r="C677" s="70"/>
      <c r="D677" s="71"/>
    </row>
    <row r="678" spans="2:4" x14ac:dyDescent="0.15">
      <c r="B678" s="69"/>
      <c r="C678" s="70"/>
      <c r="D678" s="71"/>
    </row>
    <row r="679" spans="2:4" x14ac:dyDescent="0.15">
      <c r="B679" s="69"/>
      <c r="C679" s="70"/>
      <c r="D679" s="71"/>
    </row>
    <row r="680" spans="2:4" x14ac:dyDescent="0.15">
      <c r="B680" s="69"/>
      <c r="C680" s="70"/>
      <c r="D680" s="71"/>
    </row>
    <row r="681" spans="2:4" x14ac:dyDescent="0.15">
      <c r="B681" s="69"/>
      <c r="C681" s="70"/>
      <c r="D681" s="71"/>
    </row>
    <row r="682" spans="2:4" x14ac:dyDescent="0.15">
      <c r="B682" s="69"/>
      <c r="C682" s="70"/>
      <c r="D682" s="71"/>
    </row>
    <row r="683" spans="2:4" x14ac:dyDescent="0.15">
      <c r="B683" s="69"/>
      <c r="C683" s="70"/>
      <c r="D683" s="71"/>
    </row>
    <row r="684" spans="2:4" x14ac:dyDescent="0.15">
      <c r="B684" s="69"/>
      <c r="C684" s="70"/>
      <c r="D684" s="71"/>
    </row>
    <row r="685" spans="2:4" x14ac:dyDescent="0.15">
      <c r="B685" s="69"/>
      <c r="C685" s="70"/>
      <c r="D685" s="71"/>
    </row>
    <row r="686" spans="2:4" x14ac:dyDescent="0.15">
      <c r="B686" s="69"/>
      <c r="C686" s="70"/>
      <c r="D686" s="71"/>
    </row>
    <row r="687" spans="2:4" x14ac:dyDescent="0.15">
      <c r="B687" s="69"/>
      <c r="C687" s="70"/>
      <c r="D687" s="71"/>
    </row>
    <row r="688" spans="2:4" x14ac:dyDescent="0.15">
      <c r="B688" s="69"/>
      <c r="C688" s="70"/>
      <c r="D688" s="71"/>
    </row>
    <row r="689" spans="2:4" x14ac:dyDescent="0.15">
      <c r="B689" s="69"/>
      <c r="C689" s="70"/>
      <c r="D689" s="71"/>
    </row>
    <row r="690" spans="2:4" x14ac:dyDescent="0.15">
      <c r="B690" s="69"/>
      <c r="C690" s="70"/>
      <c r="D690" s="71"/>
    </row>
    <row r="691" spans="2:4" x14ac:dyDescent="0.15">
      <c r="B691" s="69"/>
      <c r="C691" s="70"/>
      <c r="D691" s="71"/>
    </row>
    <row r="692" spans="2:4" x14ac:dyDescent="0.15">
      <c r="B692" s="69"/>
      <c r="C692" s="70"/>
      <c r="D692" s="71"/>
    </row>
    <row r="693" spans="2:4" x14ac:dyDescent="0.15">
      <c r="B693" s="69"/>
      <c r="C693" s="70"/>
      <c r="D693" s="71"/>
    </row>
    <row r="694" spans="2:4" x14ac:dyDescent="0.15">
      <c r="B694" s="69"/>
      <c r="C694" s="70"/>
      <c r="D694" s="71"/>
    </row>
    <row r="695" spans="2:4" x14ac:dyDescent="0.15">
      <c r="B695" s="69"/>
      <c r="C695" s="70"/>
      <c r="D695" s="71"/>
    </row>
    <row r="696" spans="2:4" x14ac:dyDescent="0.15">
      <c r="B696" s="69"/>
      <c r="C696" s="70"/>
      <c r="D696" s="71"/>
    </row>
    <row r="697" spans="2:4" x14ac:dyDescent="0.15">
      <c r="B697" s="69"/>
      <c r="C697" s="70"/>
      <c r="D697" s="71"/>
    </row>
    <row r="698" spans="2:4" x14ac:dyDescent="0.15">
      <c r="B698" s="69"/>
      <c r="C698" s="70"/>
      <c r="D698" s="71"/>
    </row>
    <row r="699" spans="2:4" x14ac:dyDescent="0.15">
      <c r="B699" s="69"/>
      <c r="C699" s="70"/>
      <c r="D699" s="71"/>
    </row>
    <row r="700" spans="2:4" x14ac:dyDescent="0.15">
      <c r="B700" s="69"/>
      <c r="C700" s="70"/>
      <c r="D700" s="71"/>
    </row>
    <row r="701" spans="2:4" x14ac:dyDescent="0.15">
      <c r="B701" s="69"/>
      <c r="C701" s="70"/>
      <c r="D701" s="71"/>
    </row>
    <row r="702" spans="2:4" x14ac:dyDescent="0.15">
      <c r="B702" s="69"/>
      <c r="C702" s="70"/>
      <c r="D702" s="71"/>
    </row>
    <row r="703" spans="2:4" x14ac:dyDescent="0.15">
      <c r="B703" s="69"/>
      <c r="C703" s="70"/>
      <c r="D703" s="71"/>
    </row>
    <row r="704" spans="2:4" x14ac:dyDescent="0.15">
      <c r="B704" s="69"/>
      <c r="C704" s="70"/>
      <c r="D704" s="71"/>
    </row>
    <row r="705" spans="2:4" x14ac:dyDescent="0.15">
      <c r="B705" s="69"/>
      <c r="C705" s="70"/>
      <c r="D705" s="71"/>
    </row>
    <row r="706" spans="2:4" x14ac:dyDescent="0.15">
      <c r="B706" s="69"/>
      <c r="C706" s="70"/>
      <c r="D706" s="71"/>
    </row>
    <row r="707" spans="2:4" x14ac:dyDescent="0.15">
      <c r="B707" s="69"/>
      <c r="C707" s="70"/>
      <c r="D707" s="71"/>
    </row>
    <row r="708" spans="2:4" x14ac:dyDescent="0.15">
      <c r="B708" s="69"/>
      <c r="C708" s="70"/>
      <c r="D708" s="71"/>
    </row>
    <row r="709" spans="2:4" x14ac:dyDescent="0.15">
      <c r="B709" s="69"/>
      <c r="C709" s="70"/>
      <c r="D709" s="71"/>
    </row>
    <row r="710" spans="2:4" x14ac:dyDescent="0.15">
      <c r="B710" s="69"/>
      <c r="C710" s="70"/>
      <c r="D710" s="71"/>
    </row>
    <row r="711" spans="2:4" x14ac:dyDescent="0.15">
      <c r="B711" s="69"/>
      <c r="C711" s="70"/>
      <c r="D711" s="71"/>
    </row>
    <row r="712" spans="2:4" x14ac:dyDescent="0.15">
      <c r="B712" s="69"/>
      <c r="C712" s="70"/>
      <c r="D712" s="71"/>
    </row>
    <row r="713" spans="2:4" x14ac:dyDescent="0.15">
      <c r="B713" s="69"/>
      <c r="C713" s="70"/>
      <c r="D713" s="71"/>
    </row>
    <row r="714" spans="2:4" x14ac:dyDescent="0.15">
      <c r="B714" s="69"/>
      <c r="C714" s="70"/>
      <c r="D714" s="71"/>
    </row>
    <row r="715" spans="2:4" x14ac:dyDescent="0.15">
      <c r="B715" s="69"/>
      <c r="C715" s="70"/>
      <c r="D715" s="71"/>
    </row>
    <row r="716" spans="2:4" x14ac:dyDescent="0.15">
      <c r="B716" s="69"/>
      <c r="C716" s="70"/>
      <c r="D716" s="71"/>
    </row>
    <row r="717" spans="2:4" x14ac:dyDescent="0.15">
      <c r="B717" s="69"/>
      <c r="C717" s="70"/>
      <c r="D717" s="71"/>
    </row>
    <row r="718" spans="2:4" x14ac:dyDescent="0.15">
      <c r="B718" s="69"/>
      <c r="C718" s="70"/>
      <c r="D718" s="71"/>
    </row>
    <row r="719" spans="2:4" x14ac:dyDescent="0.15">
      <c r="B719" s="69"/>
      <c r="C719" s="70"/>
      <c r="D719" s="71"/>
    </row>
    <row r="720" spans="2:4" x14ac:dyDescent="0.15">
      <c r="B720" s="69"/>
      <c r="C720" s="70"/>
      <c r="D720" s="71"/>
    </row>
    <row r="721" spans="2:4" x14ac:dyDescent="0.15">
      <c r="B721" s="69"/>
      <c r="C721" s="70"/>
      <c r="D721" s="71"/>
    </row>
    <row r="722" spans="2:4" x14ac:dyDescent="0.15">
      <c r="B722" s="69"/>
      <c r="C722" s="70"/>
      <c r="D722" s="71"/>
    </row>
    <row r="723" spans="2:4" x14ac:dyDescent="0.15">
      <c r="B723" s="69"/>
      <c r="C723" s="70"/>
      <c r="D723" s="71"/>
    </row>
    <row r="724" spans="2:4" x14ac:dyDescent="0.15">
      <c r="B724" s="69"/>
      <c r="C724" s="70"/>
      <c r="D724" s="71"/>
    </row>
    <row r="725" spans="2:4" x14ac:dyDescent="0.15">
      <c r="B725" s="69"/>
      <c r="C725" s="70"/>
      <c r="D725" s="71"/>
    </row>
    <row r="726" spans="2:4" x14ac:dyDescent="0.15">
      <c r="B726" s="69"/>
      <c r="C726" s="70"/>
      <c r="D726" s="71"/>
    </row>
    <row r="727" spans="2:4" x14ac:dyDescent="0.15">
      <c r="B727" s="69"/>
      <c r="C727" s="70"/>
      <c r="D727" s="71"/>
    </row>
    <row r="728" spans="2:4" x14ac:dyDescent="0.15">
      <c r="B728" s="69"/>
      <c r="C728" s="70"/>
      <c r="D728" s="71"/>
    </row>
    <row r="729" spans="2:4" x14ac:dyDescent="0.15">
      <c r="B729" s="69"/>
      <c r="C729" s="70"/>
      <c r="D729" s="71"/>
    </row>
    <row r="730" spans="2:4" x14ac:dyDescent="0.15">
      <c r="B730" s="69"/>
      <c r="C730" s="70"/>
      <c r="D730" s="71"/>
    </row>
    <row r="731" spans="2:4" x14ac:dyDescent="0.15">
      <c r="B731" s="69"/>
      <c r="C731" s="70"/>
      <c r="D731" s="71"/>
    </row>
    <row r="732" spans="2:4" x14ac:dyDescent="0.15">
      <c r="B732" s="69"/>
      <c r="C732" s="70"/>
      <c r="D732" s="71"/>
    </row>
    <row r="733" spans="2:4" x14ac:dyDescent="0.15">
      <c r="B733" s="69"/>
      <c r="C733" s="70"/>
      <c r="D733" s="71"/>
    </row>
    <row r="734" spans="2:4" x14ac:dyDescent="0.15">
      <c r="B734" s="69"/>
      <c r="C734" s="70"/>
      <c r="D734" s="71"/>
    </row>
    <row r="735" spans="2:4" x14ac:dyDescent="0.15">
      <c r="B735" s="69"/>
      <c r="C735" s="70"/>
      <c r="D735" s="71"/>
    </row>
    <row r="736" spans="2:4" x14ac:dyDescent="0.15">
      <c r="B736" s="69"/>
      <c r="C736" s="70"/>
      <c r="D736" s="71"/>
    </row>
    <row r="737" spans="2:4" x14ac:dyDescent="0.15">
      <c r="B737" s="69"/>
      <c r="C737" s="70"/>
      <c r="D737" s="71"/>
    </row>
    <row r="738" spans="2:4" x14ac:dyDescent="0.15">
      <c r="B738" s="69"/>
      <c r="C738" s="70"/>
      <c r="D738" s="71"/>
    </row>
    <row r="739" spans="2:4" x14ac:dyDescent="0.15">
      <c r="B739" s="69"/>
      <c r="C739" s="70"/>
      <c r="D739" s="71"/>
    </row>
    <row r="740" spans="2:4" x14ac:dyDescent="0.15">
      <c r="B740" s="69"/>
      <c r="C740" s="70"/>
      <c r="D740" s="71"/>
    </row>
    <row r="741" spans="2:4" x14ac:dyDescent="0.15">
      <c r="B741" s="69"/>
      <c r="C741" s="70"/>
      <c r="D741" s="71"/>
    </row>
    <row r="742" spans="2:4" x14ac:dyDescent="0.15">
      <c r="B742" s="69"/>
      <c r="C742" s="70"/>
      <c r="D742" s="71"/>
    </row>
    <row r="743" spans="2:4" x14ac:dyDescent="0.15">
      <c r="B743" s="69"/>
      <c r="C743" s="70"/>
      <c r="D743" s="71"/>
    </row>
    <row r="744" spans="2:4" x14ac:dyDescent="0.15">
      <c r="B744" s="69"/>
      <c r="C744" s="70"/>
      <c r="D744" s="71"/>
    </row>
    <row r="745" spans="2:4" x14ac:dyDescent="0.15">
      <c r="B745" s="69"/>
      <c r="C745" s="70"/>
      <c r="D745" s="71"/>
    </row>
    <row r="746" spans="2:4" x14ac:dyDescent="0.15">
      <c r="B746" s="69"/>
      <c r="C746" s="70"/>
      <c r="D746" s="71"/>
    </row>
    <row r="747" spans="2:4" x14ac:dyDescent="0.15">
      <c r="B747" s="69"/>
      <c r="C747" s="70"/>
      <c r="D747" s="71"/>
    </row>
    <row r="748" spans="2:4" x14ac:dyDescent="0.15">
      <c r="B748" s="69"/>
      <c r="C748" s="70"/>
      <c r="D748" s="71"/>
    </row>
    <row r="749" spans="2:4" x14ac:dyDescent="0.15">
      <c r="B749" s="69"/>
      <c r="C749" s="70"/>
      <c r="D749" s="71"/>
    </row>
    <row r="750" spans="2:4" x14ac:dyDescent="0.15">
      <c r="B750" s="69"/>
      <c r="C750" s="70"/>
      <c r="D750" s="71"/>
    </row>
    <row r="751" spans="2:4" x14ac:dyDescent="0.15">
      <c r="B751" s="69"/>
      <c r="C751" s="70"/>
      <c r="D751" s="71"/>
    </row>
    <row r="752" spans="2:4" x14ac:dyDescent="0.15">
      <c r="B752" s="69"/>
      <c r="C752" s="70"/>
      <c r="D752" s="71"/>
    </row>
    <row r="753" spans="2:4" x14ac:dyDescent="0.15">
      <c r="B753" s="69"/>
      <c r="C753" s="70"/>
      <c r="D753" s="71"/>
    </row>
    <row r="754" spans="2:4" x14ac:dyDescent="0.15">
      <c r="B754" s="69"/>
      <c r="C754" s="70"/>
      <c r="D754" s="71"/>
    </row>
    <row r="755" spans="2:4" x14ac:dyDescent="0.15">
      <c r="B755" s="69"/>
      <c r="C755" s="70"/>
      <c r="D755" s="71"/>
    </row>
    <row r="756" spans="2:4" x14ac:dyDescent="0.15">
      <c r="B756" s="69"/>
      <c r="C756" s="70"/>
      <c r="D756" s="71"/>
    </row>
    <row r="757" spans="2:4" x14ac:dyDescent="0.15">
      <c r="B757" s="69"/>
      <c r="C757" s="70"/>
      <c r="D757" s="71"/>
    </row>
    <row r="758" spans="2:4" x14ac:dyDescent="0.15">
      <c r="B758" s="69"/>
      <c r="C758" s="70"/>
      <c r="D758" s="71"/>
    </row>
    <row r="759" spans="2:4" x14ac:dyDescent="0.15">
      <c r="B759" s="69"/>
      <c r="C759" s="70"/>
      <c r="D759" s="71"/>
    </row>
    <row r="760" spans="2:4" x14ac:dyDescent="0.15">
      <c r="B760" s="69"/>
      <c r="C760" s="70"/>
      <c r="D760" s="71"/>
    </row>
    <row r="761" spans="2:4" x14ac:dyDescent="0.15">
      <c r="B761" s="69"/>
      <c r="C761" s="70"/>
      <c r="D761" s="71"/>
    </row>
    <row r="762" spans="2:4" x14ac:dyDescent="0.15">
      <c r="B762" s="69"/>
      <c r="C762" s="70"/>
      <c r="D762" s="71"/>
    </row>
    <row r="763" spans="2:4" x14ac:dyDescent="0.15">
      <c r="B763" s="69"/>
      <c r="C763" s="70"/>
      <c r="D763" s="71"/>
    </row>
    <row r="764" spans="2:4" x14ac:dyDescent="0.15">
      <c r="B764" s="69"/>
      <c r="C764" s="70"/>
      <c r="D764" s="71"/>
    </row>
    <row r="765" spans="2:4" x14ac:dyDescent="0.15">
      <c r="B765" s="69"/>
      <c r="C765" s="70"/>
      <c r="D765" s="71"/>
    </row>
    <row r="766" spans="2:4" x14ac:dyDescent="0.15">
      <c r="B766" s="69"/>
      <c r="C766" s="70"/>
      <c r="D766" s="71"/>
    </row>
    <row r="767" spans="2:4" x14ac:dyDescent="0.15">
      <c r="B767" s="69"/>
      <c r="C767" s="70"/>
      <c r="D767" s="71"/>
    </row>
    <row r="768" spans="2:4" x14ac:dyDescent="0.15">
      <c r="B768" s="69"/>
      <c r="C768" s="70"/>
      <c r="D768" s="71"/>
    </row>
    <row r="769" spans="2:4" x14ac:dyDescent="0.15">
      <c r="B769" s="69"/>
      <c r="C769" s="70"/>
      <c r="D769" s="71"/>
    </row>
    <row r="770" spans="2:4" x14ac:dyDescent="0.15">
      <c r="B770" s="69"/>
      <c r="C770" s="70"/>
      <c r="D770" s="71"/>
    </row>
    <row r="771" spans="2:4" x14ac:dyDescent="0.15">
      <c r="B771" s="69"/>
      <c r="C771" s="70"/>
      <c r="D771" s="71"/>
    </row>
    <row r="772" spans="2:4" x14ac:dyDescent="0.15">
      <c r="B772" s="69"/>
      <c r="C772" s="70"/>
      <c r="D772" s="71"/>
    </row>
    <row r="773" spans="2:4" x14ac:dyDescent="0.15">
      <c r="B773" s="69"/>
      <c r="C773" s="70"/>
      <c r="D773" s="71"/>
    </row>
    <row r="774" spans="2:4" x14ac:dyDescent="0.15">
      <c r="B774" s="69"/>
      <c r="C774" s="70"/>
      <c r="D774" s="71"/>
    </row>
    <row r="775" spans="2:4" x14ac:dyDescent="0.15">
      <c r="B775" s="69"/>
      <c r="C775" s="70"/>
      <c r="D775" s="71"/>
    </row>
    <row r="776" spans="2:4" x14ac:dyDescent="0.15">
      <c r="B776" s="69"/>
      <c r="C776" s="70"/>
      <c r="D776" s="71"/>
    </row>
    <row r="777" spans="2:4" x14ac:dyDescent="0.15">
      <c r="B777" s="69"/>
      <c r="C777" s="70"/>
      <c r="D777" s="71"/>
    </row>
    <row r="778" spans="2:4" x14ac:dyDescent="0.15">
      <c r="B778" s="69"/>
      <c r="C778" s="70"/>
      <c r="D778" s="71"/>
    </row>
    <row r="779" spans="2:4" x14ac:dyDescent="0.15">
      <c r="B779" s="69"/>
      <c r="C779" s="70"/>
      <c r="D779" s="71"/>
    </row>
    <row r="780" spans="2:4" x14ac:dyDescent="0.15">
      <c r="B780" s="69"/>
      <c r="C780" s="70"/>
      <c r="D780" s="71"/>
    </row>
    <row r="781" spans="2:4" x14ac:dyDescent="0.15">
      <c r="B781" s="69"/>
      <c r="C781" s="70"/>
      <c r="D781" s="71"/>
    </row>
    <row r="782" spans="2:4" x14ac:dyDescent="0.15">
      <c r="B782" s="69"/>
      <c r="C782" s="70"/>
      <c r="D782" s="71"/>
    </row>
    <row r="783" spans="2:4" x14ac:dyDescent="0.15">
      <c r="B783" s="69"/>
      <c r="C783" s="70"/>
      <c r="D783" s="71"/>
    </row>
    <row r="784" spans="2:4" x14ac:dyDescent="0.15">
      <c r="B784" s="69"/>
      <c r="C784" s="70"/>
      <c r="D784" s="71"/>
    </row>
    <row r="785" spans="2:4" x14ac:dyDescent="0.15">
      <c r="B785" s="69"/>
      <c r="C785" s="70"/>
      <c r="D785" s="71"/>
    </row>
    <row r="786" spans="2:4" x14ac:dyDescent="0.15">
      <c r="B786" s="69"/>
      <c r="C786" s="70"/>
      <c r="D786" s="71"/>
    </row>
    <row r="787" spans="2:4" x14ac:dyDescent="0.15">
      <c r="B787" s="69"/>
      <c r="C787" s="70"/>
      <c r="D787" s="71"/>
    </row>
    <row r="788" spans="2:4" x14ac:dyDescent="0.15">
      <c r="B788" s="69"/>
      <c r="C788" s="70"/>
      <c r="D788" s="71"/>
    </row>
    <row r="789" spans="2:4" x14ac:dyDescent="0.15">
      <c r="B789" s="69"/>
      <c r="C789" s="70"/>
      <c r="D789" s="71"/>
    </row>
    <row r="790" spans="2:4" x14ac:dyDescent="0.15">
      <c r="B790" s="69"/>
      <c r="C790" s="70"/>
      <c r="D790" s="71"/>
    </row>
    <row r="791" spans="2:4" x14ac:dyDescent="0.15">
      <c r="B791" s="69"/>
      <c r="C791" s="70"/>
      <c r="D791" s="71"/>
    </row>
    <row r="792" spans="2:4" x14ac:dyDescent="0.15">
      <c r="B792" s="69"/>
      <c r="C792" s="70"/>
      <c r="D792" s="71"/>
    </row>
    <row r="793" spans="2:4" x14ac:dyDescent="0.15">
      <c r="B793" s="69"/>
      <c r="C793" s="70"/>
      <c r="D793" s="71"/>
    </row>
    <row r="794" spans="2:4" x14ac:dyDescent="0.15">
      <c r="B794" s="69"/>
      <c r="C794" s="70"/>
      <c r="D794" s="71"/>
    </row>
    <row r="795" spans="2:4" x14ac:dyDescent="0.15">
      <c r="B795" s="69"/>
      <c r="C795" s="70"/>
      <c r="D795" s="71"/>
    </row>
    <row r="796" spans="2:4" x14ac:dyDescent="0.15">
      <c r="B796" s="69"/>
      <c r="C796" s="70"/>
      <c r="D796" s="71"/>
    </row>
    <row r="797" spans="2:4" x14ac:dyDescent="0.15">
      <c r="B797" s="69"/>
      <c r="C797" s="70"/>
      <c r="D797" s="71"/>
    </row>
    <row r="798" spans="2:4" x14ac:dyDescent="0.15">
      <c r="B798" s="69"/>
      <c r="C798" s="70"/>
      <c r="D798" s="71"/>
    </row>
    <row r="799" spans="2:4" x14ac:dyDescent="0.15">
      <c r="B799" s="69"/>
      <c r="C799" s="70"/>
      <c r="D799" s="71"/>
    </row>
    <row r="800" spans="2:4" x14ac:dyDescent="0.15">
      <c r="B800" s="69"/>
      <c r="C800" s="70"/>
      <c r="D800" s="71"/>
    </row>
    <row r="801" spans="2:4" x14ac:dyDescent="0.15">
      <c r="B801" s="69"/>
      <c r="C801" s="70"/>
      <c r="D801" s="71"/>
    </row>
    <row r="802" spans="2:4" x14ac:dyDescent="0.15">
      <c r="B802" s="69"/>
      <c r="C802" s="70"/>
      <c r="D802" s="71"/>
    </row>
    <row r="803" spans="2:4" x14ac:dyDescent="0.15">
      <c r="B803" s="69"/>
      <c r="C803" s="70"/>
      <c r="D803" s="71"/>
    </row>
    <row r="804" spans="2:4" x14ac:dyDescent="0.15">
      <c r="B804" s="69"/>
      <c r="C804" s="70"/>
      <c r="D804" s="71"/>
    </row>
    <row r="805" spans="2:4" x14ac:dyDescent="0.15">
      <c r="B805" s="69"/>
      <c r="C805" s="70"/>
      <c r="D805" s="71"/>
    </row>
    <row r="806" spans="2:4" x14ac:dyDescent="0.15">
      <c r="B806" s="69"/>
      <c r="C806" s="70"/>
      <c r="D806" s="71"/>
    </row>
    <row r="807" spans="2:4" x14ac:dyDescent="0.15">
      <c r="B807" s="69"/>
      <c r="C807" s="70"/>
      <c r="D807" s="71"/>
    </row>
    <row r="808" spans="2:4" x14ac:dyDescent="0.15">
      <c r="B808" s="69"/>
      <c r="C808" s="70"/>
      <c r="D808" s="71"/>
    </row>
    <row r="809" spans="2:4" x14ac:dyDescent="0.15">
      <c r="B809" s="69"/>
      <c r="C809" s="70"/>
      <c r="D809" s="71"/>
    </row>
    <row r="810" spans="2:4" x14ac:dyDescent="0.15">
      <c r="B810" s="69"/>
      <c r="C810" s="70"/>
      <c r="D810" s="71"/>
    </row>
    <row r="811" spans="2:4" x14ac:dyDescent="0.15">
      <c r="B811" s="69"/>
      <c r="C811" s="70"/>
      <c r="D811" s="71"/>
    </row>
    <row r="812" spans="2:4" x14ac:dyDescent="0.15">
      <c r="B812" s="69"/>
      <c r="C812" s="70"/>
      <c r="D812" s="71"/>
    </row>
    <row r="813" spans="2:4" x14ac:dyDescent="0.15">
      <c r="B813" s="69"/>
      <c r="C813" s="70"/>
      <c r="D813" s="71"/>
    </row>
    <row r="814" spans="2:4" x14ac:dyDescent="0.15">
      <c r="B814" s="69"/>
      <c r="C814" s="70"/>
      <c r="D814" s="71"/>
    </row>
    <row r="815" spans="2:4" x14ac:dyDescent="0.15">
      <c r="B815" s="69"/>
      <c r="C815" s="70"/>
      <c r="D815" s="71"/>
    </row>
    <row r="816" spans="2:4" x14ac:dyDescent="0.15">
      <c r="B816" s="69"/>
      <c r="C816" s="70"/>
      <c r="D816" s="71"/>
    </row>
    <row r="817" spans="2:4" x14ac:dyDescent="0.15">
      <c r="B817" s="69"/>
      <c r="C817" s="70"/>
      <c r="D817" s="71"/>
    </row>
    <row r="818" spans="2:4" x14ac:dyDescent="0.15">
      <c r="B818" s="69"/>
      <c r="C818" s="70"/>
      <c r="D818" s="71"/>
    </row>
    <row r="819" spans="2:4" x14ac:dyDescent="0.15">
      <c r="B819" s="69"/>
      <c r="C819" s="70"/>
      <c r="D819" s="71"/>
    </row>
    <row r="820" spans="2:4" x14ac:dyDescent="0.15">
      <c r="B820" s="69"/>
      <c r="C820" s="70"/>
      <c r="D820" s="71"/>
    </row>
    <row r="821" spans="2:4" x14ac:dyDescent="0.15">
      <c r="B821" s="69"/>
      <c r="C821" s="70"/>
      <c r="D821" s="71"/>
    </row>
    <row r="822" spans="2:4" x14ac:dyDescent="0.15">
      <c r="B822" s="69"/>
      <c r="C822" s="70"/>
      <c r="D822" s="71"/>
    </row>
    <row r="823" spans="2:4" x14ac:dyDescent="0.15">
      <c r="B823" s="69"/>
      <c r="C823" s="70"/>
      <c r="D823" s="71"/>
    </row>
    <row r="824" spans="2:4" x14ac:dyDescent="0.15">
      <c r="B824" s="69"/>
      <c r="C824" s="70"/>
      <c r="D824" s="71"/>
    </row>
    <row r="825" spans="2:4" x14ac:dyDescent="0.15">
      <c r="B825" s="69"/>
      <c r="C825" s="70"/>
      <c r="D825" s="71"/>
    </row>
    <row r="826" spans="2:4" x14ac:dyDescent="0.15">
      <c r="B826" s="69"/>
      <c r="C826" s="70"/>
      <c r="D826" s="71"/>
    </row>
    <row r="827" spans="2:4" x14ac:dyDescent="0.15">
      <c r="B827" s="69"/>
      <c r="C827" s="70"/>
      <c r="D827" s="71"/>
    </row>
    <row r="828" spans="2:4" x14ac:dyDescent="0.15">
      <c r="B828" s="69"/>
      <c r="C828" s="70"/>
      <c r="D828" s="71"/>
    </row>
    <row r="829" spans="2:4" x14ac:dyDescent="0.15">
      <c r="B829" s="69"/>
      <c r="C829" s="70"/>
      <c r="D829" s="71"/>
    </row>
    <row r="830" spans="2:4" x14ac:dyDescent="0.15">
      <c r="B830" s="69"/>
      <c r="C830" s="70"/>
      <c r="D830" s="71"/>
    </row>
    <row r="831" spans="2:4" x14ac:dyDescent="0.15">
      <c r="B831" s="69"/>
      <c r="C831" s="70"/>
      <c r="D831" s="71"/>
    </row>
    <row r="832" spans="2:4" x14ac:dyDescent="0.15">
      <c r="B832" s="69"/>
      <c r="C832" s="70"/>
      <c r="D832" s="71"/>
    </row>
    <row r="833" spans="2:4" x14ac:dyDescent="0.15">
      <c r="B833" s="69"/>
      <c r="C833" s="70"/>
      <c r="D833" s="71"/>
    </row>
    <row r="834" spans="2:4" x14ac:dyDescent="0.15">
      <c r="B834" s="69"/>
      <c r="C834" s="70"/>
      <c r="D834" s="71"/>
    </row>
    <row r="835" spans="2:4" x14ac:dyDescent="0.15">
      <c r="B835" s="69"/>
      <c r="C835" s="70"/>
      <c r="D835" s="71"/>
    </row>
    <row r="836" spans="2:4" x14ac:dyDescent="0.15">
      <c r="B836" s="69"/>
      <c r="C836" s="70"/>
      <c r="D836" s="71"/>
    </row>
    <row r="837" spans="2:4" x14ac:dyDescent="0.15">
      <c r="B837" s="69"/>
      <c r="C837" s="70"/>
      <c r="D837" s="71"/>
    </row>
    <row r="838" spans="2:4" x14ac:dyDescent="0.15">
      <c r="B838" s="69"/>
      <c r="C838" s="70"/>
      <c r="D838" s="71"/>
    </row>
    <row r="839" spans="2:4" x14ac:dyDescent="0.15">
      <c r="B839" s="69"/>
      <c r="C839" s="70"/>
      <c r="D839" s="71"/>
    </row>
    <row r="840" spans="2:4" x14ac:dyDescent="0.15">
      <c r="B840" s="69"/>
      <c r="C840" s="70"/>
      <c r="D840" s="71"/>
    </row>
    <row r="841" spans="2:4" x14ac:dyDescent="0.15">
      <c r="B841" s="69"/>
      <c r="C841" s="70"/>
      <c r="D841" s="71"/>
    </row>
    <row r="842" spans="2:4" x14ac:dyDescent="0.15">
      <c r="B842" s="69"/>
      <c r="C842" s="70"/>
      <c r="D842" s="71"/>
    </row>
    <row r="843" spans="2:4" x14ac:dyDescent="0.15">
      <c r="B843" s="69"/>
      <c r="C843" s="70"/>
      <c r="D843" s="71"/>
    </row>
    <row r="844" spans="2:4" x14ac:dyDescent="0.15">
      <c r="B844" s="69"/>
      <c r="C844" s="70"/>
      <c r="D844" s="71"/>
    </row>
    <row r="845" spans="2:4" x14ac:dyDescent="0.15">
      <c r="B845" s="69"/>
      <c r="C845" s="70"/>
      <c r="D845" s="71"/>
    </row>
    <row r="846" spans="2:4" x14ac:dyDescent="0.15">
      <c r="B846" s="69"/>
      <c r="C846" s="70"/>
      <c r="D846" s="71"/>
    </row>
    <row r="847" spans="2:4" x14ac:dyDescent="0.15">
      <c r="B847" s="69"/>
      <c r="C847" s="70"/>
      <c r="D847" s="71"/>
    </row>
    <row r="848" spans="2:4" x14ac:dyDescent="0.15">
      <c r="B848" s="69"/>
      <c r="C848" s="70"/>
      <c r="D848" s="71"/>
    </row>
    <row r="849" spans="2:4" x14ac:dyDescent="0.15">
      <c r="B849" s="69"/>
      <c r="C849" s="70"/>
      <c r="D849" s="71"/>
    </row>
    <row r="850" spans="2:4" x14ac:dyDescent="0.15">
      <c r="B850" s="69"/>
      <c r="C850" s="70"/>
      <c r="D850" s="71"/>
    </row>
    <row r="851" spans="2:4" x14ac:dyDescent="0.15">
      <c r="B851" s="69"/>
      <c r="C851" s="70"/>
      <c r="D851" s="71"/>
    </row>
    <row r="852" spans="2:4" x14ac:dyDescent="0.15">
      <c r="B852" s="69"/>
      <c r="C852" s="70"/>
      <c r="D852" s="71"/>
    </row>
    <row r="853" spans="2:4" x14ac:dyDescent="0.15">
      <c r="B853" s="69"/>
      <c r="C853" s="70"/>
      <c r="D853" s="71"/>
    </row>
    <row r="854" spans="2:4" x14ac:dyDescent="0.15">
      <c r="B854" s="69"/>
      <c r="C854" s="70"/>
      <c r="D854" s="71"/>
    </row>
    <row r="855" spans="2:4" x14ac:dyDescent="0.15">
      <c r="B855" s="69"/>
      <c r="C855" s="70"/>
      <c r="D855" s="71"/>
    </row>
    <row r="856" spans="2:4" x14ac:dyDescent="0.15">
      <c r="B856" s="69"/>
      <c r="C856" s="70"/>
      <c r="D856" s="71"/>
    </row>
    <row r="857" spans="2:4" x14ac:dyDescent="0.15">
      <c r="B857" s="69"/>
      <c r="C857" s="70"/>
      <c r="D857" s="71"/>
    </row>
    <row r="858" spans="2:4" x14ac:dyDescent="0.15">
      <c r="B858" s="69"/>
      <c r="C858" s="70"/>
      <c r="D858" s="71"/>
    </row>
    <row r="859" spans="2:4" x14ac:dyDescent="0.15">
      <c r="B859" s="69"/>
      <c r="C859" s="70"/>
      <c r="D859" s="71"/>
    </row>
    <row r="860" spans="2:4" x14ac:dyDescent="0.15">
      <c r="B860" s="69"/>
      <c r="C860" s="70"/>
      <c r="D860" s="71"/>
    </row>
    <row r="861" spans="2:4" x14ac:dyDescent="0.15">
      <c r="B861" s="69"/>
      <c r="C861" s="70"/>
      <c r="D861" s="71"/>
    </row>
    <row r="862" spans="2:4" x14ac:dyDescent="0.15">
      <c r="B862" s="69"/>
      <c r="C862" s="70"/>
      <c r="D862" s="71"/>
    </row>
    <row r="863" spans="2:4" x14ac:dyDescent="0.15">
      <c r="B863" s="69"/>
      <c r="C863" s="70"/>
      <c r="D863" s="71"/>
    </row>
    <row r="864" spans="2:4" x14ac:dyDescent="0.15">
      <c r="B864" s="69"/>
      <c r="C864" s="70"/>
      <c r="D864" s="71"/>
    </row>
    <row r="865" spans="2:4" x14ac:dyDescent="0.15">
      <c r="B865" s="69"/>
      <c r="C865" s="70"/>
      <c r="D865" s="71"/>
    </row>
    <row r="866" spans="2:4" x14ac:dyDescent="0.15">
      <c r="B866" s="69"/>
      <c r="C866" s="70"/>
      <c r="D866" s="71"/>
    </row>
    <row r="867" spans="2:4" x14ac:dyDescent="0.15">
      <c r="B867" s="69"/>
      <c r="C867" s="70"/>
      <c r="D867" s="71"/>
    </row>
    <row r="868" spans="2:4" x14ac:dyDescent="0.15">
      <c r="B868" s="69"/>
      <c r="C868" s="70"/>
      <c r="D868" s="71"/>
    </row>
    <row r="869" spans="2:4" x14ac:dyDescent="0.15">
      <c r="B869" s="69"/>
      <c r="C869" s="70"/>
      <c r="D869" s="71"/>
    </row>
    <row r="870" spans="2:4" x14ac:dyDescent="0.15">
      <c r="B870" s="69"/>
      <c r="C870" s="70"/>
      <c r="D870" s="71"/>
    </row>
    <row r="871" spans="2:4" x14ac:dyDescent="0.15">
      <c r="B871" s="69"/>
      <c r="C871" s="70"/>
      <c r="D871" s="71"/>
    </row>
    <row r="872" spans="2:4" x14ac:dyDescent="0.15">
      <c r="B872" s="69"/>
      <c r="C872" s="70"/>
      <c r="D872" s="71"/>
    </row>
    <row r="873" spans="2:4" x14ac:dyDescent="0.15">
      <c r="B873" s="69"/>
      <c r="C873" s="70"/>
      <c r="D873" s="71"/>
    </row>
    <row r="874" spans="2:4" x14ac:dyDescent="0.15">
      <c r="B874" s="69"/>
      <c r="C874" s="70"/>
      <c r="D874" s="71"/>
    </row>
    <row r="875" spans="2:4" x14ac:dyDescent="0.15">
      <c r="B875" s="69"/>
      <c r="C875" s="70"/>
      <c r="D875" s="71"/>
    </row>
    <row r="876" spans="2:4" x14ac:dyDescent="0.15">
      <c r="B876" s="69"/>
      <c r="C876" s="70"/>
      <c r="D876" s="71"/>
    </row>
    <row r="877" spans="2:4" x14ac:dyDescent="0.15">
      <c r="B877" s="69"/>
      <c r="C877" s="70"/>
      <c r="D877" s="71"/>
    </row>
    <row r="878" spans="2:4" x14ac:dyDescent="0.15">
      <c r="B878" s="69"/>
      <c r="C878" s="70"/>
      <c r="D878" s="71"/>
    </row>
    <row r="879" spans="2:4" x14ac:dyDescent="0.15">
      <c r="B879" s="69"/>
      <c r="C879" s="70"/>
      <c r="D879" s="71"/>
    </row>
    <row r="880" spans="2:4" x14ac:dyDescent="0.15">
      <c r="B880" s="69"/>
      <c r="C880" s="70"/>
      <c r="D880" s="71"/>
    </row>
    <row r="881" spans="2:4" x14ac:dyDescent="0.15">
      <c r="B881" s="69"/>
      <c r="C881" s="70"/>
      <c r="D881" s="71"/>
    </row>
    <row r="882" spans="2:4" x14ac:dyDescent="0.15">
      <c r="B882" s="69"/>
      <c r="C882" s="70"/>
      <c r="D882" s="71"/>
    </row>
    <row r="883" spans="2:4" x14ac:dyDescent="0.15">
      <c r="B883" s="69"/>
      <c r="C883" s="70"/>
      <c r="D883" s="71"/>
    </row>
    <row r="884" spans="2:4" x14ac:dyDescent="0.15">
      <c r="B884" s="69"/>
      <c r="C884" s="70"/>
      <c r="D884" s="71"/>
    </row>
    <row r="885" spans="2:4" x14ac:dyDescent="0.15">
      <c r="B885" s="69"/>
      <c r="C885" s="70"/>
      <c r="D885" s="71"/>
    </row>
    <row r="886" spans="2:4" x14ac:dyDescent="0.15">
      <c r="B886" s="69"/>
      <c r="C886" s="70"/>
      <c r="D886" s="71"/>
    </row>
    <row r="887" spans="2:4" x14ac:dyDescent="0.15">
      <c r="B887" s="69"/>
      <c r="C887" s="70"/>
      <c r="D887" s="71"/>
    </row>
    <row r="888" spans="2:4" x14ac:dyDescent="0.15">
      <c r="B888" s="69"/>
      <c r="C888" s="70"/>
      <c r="D888" s="71"/>
    </row>
    <row r="889" spans="2:4" x14ac:dyDescent="0.15">
      <c r="B889" s="69"/>
      <c r="C889" s="70"/>
      <c r="D889" s="71"/>
    </row>
    <row r="890" spans="2:4" x14ac:dyDescent="0.15">
      <c r="B890" s="69"/>
      <c r="C890" s="70"/>
      <c r="D890" s="71"/>
    </row>
    <row r="891" spans="2:4" x14ac:dyDescent="0.15">
      <c r="B891" s="69"/>
      <c r="C891" s="70"/>
      <c r="D891" s="71"/>
    </row>
    <row r="892" spans="2:4" x14ac:dyDescent="0.15">
      <c r="B892" s="69"/>
      <c r="C892" s="70"/>
      <c r="D892" s="71"/>
    </row>
    <row r="893" spans="2:4" x14ac:dyDescent="0.15">
      <c r="B893" s="69"/>
      <c r="C893" s="70"/>
      <c r="D893" s="71"/>
    </row>
    <row r="894" spans="2:4" x14ac:dyDescent="0.15">
      <c r="B894" s="69"/>
      <c r="C894" s="70"/>
      <c r="D894" s="71"/>
    </row>
    <row r="895" spans="2:4" x14ac:dyDescent="0.15">
      <c r="B895" s="69"/>
      <c r="C895" s="70"/>
      <c r="D895" s="71"/>
    </row>
    <row r="896" spans="2:4" x14ac:dyDescent="0.15">
      <c r="B896" s="69"/>
      <c r="C896" s="70"/>
      <c r="D896" s="71"/>
    </row>
    <row r="897" spans="2:4" x14ac:dyDescent="0.15">
      <c r="B897" s="69"/>
      <c r="C897" s="70"/>
      <c r="D897" s="71"/>
    </row>
    <row r="898" spans="2:4" x14ac:dyDescent="0.15">
      <c r="B898" s="69"/>
      <c r="C898" s="70"/>
      <c r="D898" s="71"/>
    </row>
    <row r="899" spans="2:4" x14ac:dyDescent="0.15">
      <c r="B899" s="69"/>
      <c r="C899" s="70"/>
      <c r="D899" s="71"/>
    </row>
    <row r="900" spans="2:4" x14ac:dyDescent="0.15">
      <c r="B900" s="69"/>
      <c r="C900" s="70"/>
      <c r="D900" s="71"/>
    </row>
    <row r="901" spans="2:4" x14ac:dyDescent="0.15">
      <c r="B901" s="69"/>
      <c r="C901" s="70"/>
      <c r="D901" s="71"/>
    </row>
    <row r="902" spans="2:4" x14ac:dyDescent="0.15">
      <c r="B902" s="69"/>
      <c r="C902" s="70"/>
      <c r="D902" s="71"/>
    </row>
    <row r="903" spans="2:4" x14ac:dyDescent="0.15">
      <c r="B903" s="69"/>
      <c r="C903" s="70"/>
      <c r="D903" s="71"/>
    </row>
    <row r="904" spans="2:4" x14ac:dyDescent="0.15">
      <c r="B904" s="69"/>
      <c r="C904" s="70"/>
      <c r="D904" s="71"/>
    </row>
    <row r="905" spans="2:4" x14ac:dyDescent="0.15">
      <c r="B905" s="69"/>
      <c r="C905" s="70"/>
      <c r="D905" s="71"/>
    </row>
    <row r="906" spans="2:4" x14ac:dyDescent="0.15">
      <c r="B906" s="69"/>
      <c r="C906" s="70"/>
      <c r="D906" s="71"/>
    </row>
    <row r="907" spans="2:4" x14ac:dyDescent="0.15">
      <c r="B907" s="69"/>
      <c r="C907" s="70"/>
      <c r="D907" s="71"/>
    </row>
    <row r="908" spans="2:4" x14ac:dyDescent="0.15">
      <c r="B908" s="69"/>
      <c r="C908" s="70"/>
      <c r="D908" s="71"/>
    </row>
    <row r="909" spans="2:4" x14ac:dyDescent="0.15">
      <c r="B909" s="69"/>
      <c r="C909" s="70"/>
      <c r="D909" s="71"/>
    </row>
    <row r="910" spans="2:4" x14ac:dyDescent="0.15">
      <c r="B910" s="69"/>
      <c r="C910" s="70"/>
      <c r="D910" s="71"/>
    </row>
    <row r="911" spans="2:4" x14ac:dyDescent="0.15">
      <c r="B911" s="69"/>
      <c r="C911" s="70"/>
      <c r="D911" s="71"/>
    </row>
    <row r="912" spans="2:4" x14ac:dyDescent="0.15">
      <c r="B912" s="69"/>
      <c r="C912" s="70"/>
      <c r="D912" s="71"/>
    </row>
    <row r="913" spans="2:4" x14ac:dyDescent="0.15">
      <c r="B913" s="69"/>
      <c r="C913" s="70"/>
      <c r="D913" s="71"/>
    </row>
    <row r="914" spans="2:4" x14ac:dyDescent="0.15">
      <c r="B914" s="69"/>
      <c r="C914" s="70"/>
      <c r="D914" s="71"/>
    </row>
    <row r="915" spans="2:4" x14ac:dyDescent="0.15">
      <c r="B915" s="69"/>
      <c r="C915" s="70"/>
      <c r="D915" s="71"/>
    </row>
    <row r="916" spans="2:4" x14ac:dyDescent="0.15">
      <c r="B916" s="69"/>
      <c r="C916" s="70"/>
      <c r="D916" s="71"/>
    </row>
    <row r="917" spans="2:4" x14ac:dyDescent="0.15">
      <c r="B917" s="69"/>
      <c r="C917" s="70"/>
      <c r="D917" s="71"/>
    </row>
    <row r="918" spans="2:4" x14ac:dyDescent="0.15">
      <c r="B918" s="69"/>
      <c r="C918" s="70"/>
      <c r="D918" s="71"/>
    </row>
    <row r="919" spans="2:4" x14ac:dyDescent="0.15">
      <c r="B919" s="69"/>
      <c r="C919" s="70"/>
      <c r="D919" s="71"/>
    </row>
    <row r="920" spans="2:4" x14ac:dyDescent="0.15">
      <c r="B920" s="69"/>
      <c r="C920" s="70"/>
      <c r="D920" s="71"/>
    </row>
    <row r="921" spans="2:4" x14ac:dyDescent="0.15">
      <c r="B921" s="69"/>
      <c r="C921" s="70"/>
      <c r="D921" s="71"/>
    </row>
    <row r="922" spans="2:4" x14ac:dyDescent="0.15">
      <c r="B922" s="69"/>
      <c r="C922" s="70"/>
      <c r="D922" s="71"/>
    </row>
    <row r="923" spans="2:4" x14ac:dyDescent="0.15">
      <c r="B923" s="69"/>
      <c r="C923" s="70"/>
      <c r="D923" s="71"/>
    </row>
    <row r="924" spans="2:4" x14ac:dyDescent="0.15">
      <c r="B924" s="69"/>
      <c r="C924" s="70"/>
      <c r="D924" s="71"/>
    </row>
    <row r="925" spans="2:4" x14ac:dyDescent="0.15">
      <c r="B925" s="69"/>
      <c r="C925" s="70"/>
      <c r="D925" s="71"/>
    </row>
    <row r="926" spans="2:4" x14ac:dyDescent="0.15">
      <c r="B926" s="69"/>
      <c r="C926" s="70"/>
      <c r="D926" s="71"/>
    </row>
    <row r="927" spans="2:4" x14ac:dyDescent="0.15">
      <c r="B927" s="69"/>
      <c r="C927" s="70"/>
      <c r="D927" s="71"/>
    </row>
    <row r="928" spans="2:4" x14ac:dyDescent="0.15">
      <c r="B928" s="69"/>
      <c r="C928" s="70"/>
      <c r="D928" s="71"/>
    </row>
    <row r="929" spans="2:4" x14ac:dyDescent="0.15">
      <c r="B929" s="69"/>
      <c r="C929" s="70"/>
      <c r="D929" s="71"/>
    </row>
    <row r="930" spans="2:4" x14ac:dyDescent="0.15">
      <c r="B930" s="69"/>
      <c r="C930" s="70"/>
      <c r="D930" s="71"/>
    </row>
    <row r="931" spans="2:4" x14ac:dyDescent="0.15">
      <c r="B931" s="69"/>
      <c r="C931" s="70"/>
      <c r="D931" s="71"/>
    </row>
    <row r="932" spans="2:4" x14ac:dyDescent="0.15">
      <c r="B932" s="69"/>
      <c r="C932" s="70"/>
      <c r="D932" s="71"/>
    </row>
    <row r="933" spans="2:4" x14ac:dyDescent="0.15">
      <c r="B933" s="69"/>
      <c r="C933" s="70"/>
      <c r="D933" s="71"/>
    </row>
    <row r="934" spans="2:4" x14ac:dyDescent="0.15">
      <c r="B934" s="69"/>
      <c r="C934" s="70"/>
      <c r="D934" s="71"/>
    </row>
    <row r="935" spans="2:4" x14ac:dyDescent="0.15">
      <c r="B935" s="69"/>
      <c r="C935" s="70"/>
      <c r="D935" s="71"/>
    </row>
    <row r="936" spans="2:4" x14ac:dyDescent="0.15">
      <c r="B936" s="69"/>
      <c r="C936" s="70"/>
      <c r="D936" s="71"/>
    </row>
    <row r="937" spans="2:4" x14ac:dyDescent="0.15">
      <c r="B937" s="69"/>
      <c r="C937" s="70"/>
      <c r="D937" s="71"/>
    </row>
    <row r="938" spans="2:4" x14ac:dyDescent="0.15">
      <c r="B938" s="69"/>
      <c r="C938" s="70"/>
      <c r="D938" s="71"/>
    </row>
    <row r="939" spans="2:4" x14ac:dyDescent="0.15">
      <c r="B939" s="69"/>
      <c r="C939" s="70"/>
      <c r="D939" s="71"/>
    </row>
    <row r="940" spans="2:4" x14ac:dyDescent="0.15">
      <c r="B940" s="69"/>
      <c r="C940" s="70"/>
      <c r="D940" s="71"/>
    </row>
    <row r="941" spans="2:4" x14ac:dyDescent="0.15">
      <c r="B941" s="69"/>
      <c r="C941" s="70"/>
      <c r="D941" s="71"/>
    </row>
    <row r="942" spans="2:4" x14ac:dyDescent="0.15">
      <c r="B942" s="69"/>
      <c r="C942" s="70"/>
      <c r="D942" s="71"/>
    </row>
    <row r="943" spans="2:4" x14ac:dyDescent="0.15">
      <c r="B943" s="69"/>
      <c r="C943" s="70"/>
      <c r="D943" s="71"/>
    </row>
    <row r="944" spans="2:4" x14ac:dyDescent="0.15">
      <c r="B944" s="69"/>
      <c r="C944" s="70"/>
      <c r="D944" s="71"/>
    </row>
    <row r="945" spans="2:4" x14ac:dyDescent="0.15">
      <c r="B945" s="69"/>
      <c r="C945" s="70"/>
      <c r="D945" s="71"/>
    </row>
    <row r="946" spans="2:4" x14ac:dyDescent="0.15">
      <c r="B946" s="69"/>
      <c r="C946" s="70"/>
      <c r="D946" s="71"/>
    </row>
    <row r="947" spans="2:4" x14ac:dyDescent="0.15">
      <c r="B947" s="69"/>
      <c r="C947" s="70"/>
      <c r="D947" s="71"/>
    </row>
    <row r="948" spans="2:4" x14ac:dyDescent="0.15">
      <c r="B948" s="69"/>
      <c r="C948" s="70"/>
      <c r="D948" s="71"/>
    </row>
    <row r="949" spans="2:4" x14ac:dyDescent="0.15">
      <c r="B949" s="69"/>
      <c r="C949" s="70"/>
      <c r="D949" s="71"/>
    </row>
    <row r="950" spans="2:4" x14ac:dyDescent="0.15">
      <c r="B950" s="69"/>
      <c r="C950" s="70"/>
      <c r="D950" s="71"/>
    </row>
    <row r="951" spans="2:4" x14ac:dyDescent="0.15">
      <c r="B951" s="69"/>
      <c r="C951" s="70"/>
      <c r="D951" s="71"/>
    </row>
    <row r="952" spans="2:4" x14ac:dyDescent="0.15">
      <c r="B952" s="69"/>
      <c r="C952" s="70"/>
      <c r="D952" s="71"/>
    </row>
    <row r="953" spans="2:4" x14ac:dyDescent="0.15">
      <c r="B953" s="69"/>
      <c r="C953" s="70"/>
      <c r="D953" s="71"/>
    </row>
    <row r="954" spans="2:4" x14ac:dyDescent="0.15">
      <c r="B954" s="69"/>
      <c r="C954" s="70"/>
      <c r="D954" s="71"/>
    </row>
    <row r="955" spans="2:4" x14ac:dyDescent="0.15">
      <c r="B955" s="69"/>
      <c r="C955" s="70"/>
      <c r="D955" s="71"/>
    </row>
    <row r="956" spans="2:4" x14ac:dyDescent="0.15">
      <c r="B956" s="69"/>
      <c r="C956" s="70"/>
      <c r="D956" s="71"/>
    </row>
    <row r="957" spans="2:4" x14ac:dyDescent="0.15">
      <c r="B957" s="69"/>
      <c r="C957" s="70"/>
      <c r="D957" s="71"/>
    </row>
    <row r="958" spans="2:4" x14ac:dyDescent="0.15">
      <c r="B958" s="69"/>
      <c r="C958" s="70"/>
      <c r="D958" s="71"/>
    </row>
    <row r="959" spans="2:4" x14ac:dyDescent="0.15">
      <c r="B959" s="69"/>
      <c r="C959" s="70"/>
      <c r="D959" s="71"/>
    </row>
    <row r="960" spans="2:4" x14ac:dyDescent="0.15">
      <c r="B960" s="69"/>
      <c r="C960" s="70"/>
      <c r="D960" s="71"/>
    </row>
    <row r="961" spans="2:4" x14ac:dyDescent="0.15">
      <c r="B961" s="69"/>
      <c r="C961" s="70"/>
      <c r="D961" s="71"/>
    </row>
    <row r="962" spans="2:4" x14ac:dyDescent="0.15">
      <c r="B962" s="69"/>
      <c r="C962" s="70"/>
      <c r="D962" s="71"/>
    </row>
    <row r="963" spans="2:4" x14ac:dyDescent="0.15">
      <c r="B963" s="69"/>
      <c r="C963" s="70"/>
      <c r="D963" s="71"/>
    </row>
    <row r="964" spans="2:4" x14ac:dyDescent="0.15">
      <c r="B964" s="69"/>
      <c r="C964" s="70"/>
      <c r="D964" s="71"/>
    </row>
    <row r="965" spans="2:4" x14ac:dyDescent="0.15">
      <c r="B965" s="69"/>
      <c r="C965" s="70"/>
      <c r="D965" s="71"/>
    </row>
    <row r="966" spans="2:4" x14ac:dyDescent="0.15">
      <c r="B966" s="69"/>
      <c r="C966" s="70"/>
      <c r="D966" s="71"/>
    </row>
    <row r="967" spans="2:4" x14ac:dyDescent="0.15">
      <c r="B967" s="69"/>
      <c r="C967" s="70"/>
      <c r="D967" s="71"/>
    </row>
    <row r="968" spans="2:4" x14ac:dyDescent="0.15">
      <c r="B968" s="69"/>
      <c r="C968" s="70"/>
      <c r="D968" s="71"/>
    </row>
    <row r="969" spans="2:4" x14ac:dyDescent="0.15">
      <c r="B969" s="69"/>
      <c r="C969" s="70"/>
      <c r="D969" s="71"/>
    </row>
    <row r="970" spans="2:4" x14ac:dyDescent="0.15">
      <c r="B970" s="69"/>
      <c r="C970" s="70"/>
      <c r="D970" s="71"/>
    </row>
    <row r="971" spans="2:4" x14ac:dyDescent="0.15">
      <c r="B971" s="69"/>
      <c r="C971" s="70"/>
      <c r="D971" s="71"/>
    </row>
    <row r="972" spans="2:4" x14ac:dyDescent="0.15">
      <c r="B972" s="69"/>
      <c r="C972" s="70"/>
      <c r="D972" s="71"/>
    </row>
    <row r="973" spans="2:4" x14ac:dyDescent="0.15">
      <c r="B973" s="69"/>
      <c r="C973" s="70"/>
      <c r="D973" s="71"/>
    </row>
    <row r="974" spans="2:4" x14ac:dyDescent="0.15">
      <c r="B974" s="69"/>
      <c r="C974" s="70"/>
      <c r="D974" s="71"/>
    </row>
    <row r="975" spans="2:4" x14ac:dyDescent="0.15">
      <c r="B975" s="69"/>
      <c r="C975" s="70"/>
      <c r="D975" s="71"/>
    </row>
    <row r="976" spans="2:4" x14ac:dyDescent="0.15">
      <c r="B976" s="69"/>
      <c r="C976" s="70"/>
      <c r="D976" s="71"/>
    </row>
    <row r="977" spans="2:4" x14ac:dyDescent="0.15">
      <c r="B977" s="69"/>
      <c r="C977" s="70"/>
      <c r="D977" s="71"/>
    </row>
    <row r="978" spans="2:4" x14ac:dyDescent="0.15">
      <c r="B978" s="69"/>
      <c r="C978" s="70"/>
      <c r="D978" s="71"/>
    </row>
    <row r="979" spans="2:4" x14ac:dyDescent="0.15">
      <c r="B979" s="69"/>
      <c r="C979" s="70"/>
      <c r="D979" s="71"/>
    </row>
    <row r="980" spans="2:4" x14ac:dyDescent="0.15">
      <c r="B980" s="69"/>
      <c r="C980" s="70"/>
      <c r="D980" s="71"/>
    </row>
    <row r="981" spans="2:4" x14ac:dyDescent="0.15">
      <c r="B981" s="69"/>
      <c r="C981" s="70"/>
      <c r="D981" s="71"/>
    </row>
    <row r="982" spans="2:4" x14ac:dyDescent="0.15">
      <c r="B982" s="69"/>
      <c r="C982" s="70"/>
      <c r="D982" s="71"/>
    </row>
    <row r="983" spans="2:4" x14ac:dyDescent="0.15">
      <c r="B983" s="69"/>
      <c r="C983" s="70"/>
      <c r="D983" s="71"/>
    </row>
    <row r="984" spans="2:4" x14ac:dyDescent="0.15">
      <c r="B984" s="69"/>
      <c r="C984" s="70"/>
      <c r="D984" s="71"/>
    </row>
    <row r="985" spans="2:4" x14ac:dyDescent="0.15">
      <c r="B985" s="69"/>
      <c r="C985" s="70"/>
      <c r="D985" s="71"/>
    </row>
    <row r="986" spans="2:4" x14ac:dyDescent="0.15">
      <c r="B986" s="69"/>
      <c r="C986" s="70"/>
      <c r="D986" s="71"/>
    </row>
    <row r="987" spans="2:4" x14ac:dyDescent="0.15">
      <c r="B987" s="69"/>
      <c r="C987" s="70"/>
      <c r="D987" s="71"/>
    </row>
    <row r="988" spans="2:4" x14ac:dyDescent="0.15">
      <c r="B988" s="69"/>
      <c r="C988" s="70"/>
      <c r="D988" s="71"/>
    </row>
    <row r="989" spans="2:4" x14ac:dyDescent="0.15">
      <c r="B989" s="69"/>
      <c r="C989" s="70"/>
      <c r="D989" s="71"/>
    </row>
    <row r="990" spans="2:4" x14ac:dyDescent="0.15">
      <c r="B990" s="69"/>
      <c r="C990" s="70"/>
      <c r="D990" s="71"/>
    </row>
    <row r="991" spans="2:4" x14ac:dyDescent="0.15">
      <c r="B991" s="69"/>
      <c r="C991" s="70"/>
      <c r="D991" s="71"/>
    </row>
    <row r="992" spans="2:4" x14ac:dyDescent="0.15">
      <c r="B992" s="69"/>
      <c r="C992" s="70"/>
      <c r="D992" s="71"/>
    </row>
    <row r="993" spans="2:4" x14ac:dyDescent="0.15">
      <c r="B993" s="69"/>
      <c r="C993" s="70"/>
      <c r="D993" s="71"/>
    </row>
    <row r="994" spans="2:4" x14ac:dyDescent="0.15">
      <c r="B994" s="69"/>
      <c r="C994" s="70"/>
      <c r="D994" s="71"/>
    </row>
    <row r="995" spans="2:4" x14ac:dyDescent="0.15">
      <c r="B995" s="69"/>
      <c r="C995" s="70"/>
      <c r="D995" s="71"/>
    </row>
    <row r="996" spans="2:4" x14ac:dyDescent="0.15">
      <c r="B996" s="69"/>
      <c r="C996" s="70"/>
      <c r="D996" s="71"/>
    </row>
    <row r="997" spans="2:4" x14ac:dyDescent="0.15">
      <c r="B997" s="69"/>
      <c r="C997" s="70"/>
      <c r="D997" s="71"/>
    </row>
    <row r="998" spans="2:4" x14ac:dyDescent="0.15">
      <c r="B998" s="69"/>
      <c r="C998" s="70"/>
      <c r="D998" s="71"/>
    </row>
    <row r="999" spans="2:4" x14ac:dyDescent="0.15">
      <c r="B999" s="69"/>
      <c r="C999" s="70"/>
      <c r="D999" s="71"/>
    </row>
    <row r="1000" spans="2:4" x14ac:dyDescent="0.15">
      <c r="B1000" s="69"/>
      <c r="C1000" s="70"/>
      <c r="D1000" s="71"/>
    </row>
    <row r="1001" spans="2:4" x14ac:dyDescent="0.15">
      <c r="B1001" s="69"/>
      <c r="C1001" s="70"/>
      <c r="D1001" s="71"/>
    </row>
    <row r="1002" spans="2:4" x14ac:dyDescent="0.15">
      <c r="B1002" s="69"/>
      <c r="C1002" s="70"/>
      <c r="D1002" s="71"/>
    </row>
    <row r="1003" spans="2:4" x14ac:dyDescent="0.15">
      <c r="B1003" s="69"/>
      <c r="C1003" s="70"/>
      <c r="D1003" s="71"/>
    </row>
    <row r="1004" spans="2:4" x14ac:dyDescent="0.15">
      <c r="B1004" s="69"/>
      <c r="C1004" s="70"/>
      <c r="D1004" s="71"/>
    </row>
    <row r="1005" spans="2:4" x14ac:dyDescent="0.15">
      <c r="B1005" s="69"/>
      <c r="C1005" s="70"/>
      <c r="D1005" s="71"/>
    </row>
    <row r="1006" spans="2:4" x14ac:dyDescent="0.15">
      <c r="B1006" s="69"/>
      <c r="C1006" s="70"/>
      <c r="D1006" s="71"/>
    </row>
    <row r="1007" spans="2:4" x14ac:dyDescent="0.15">
      <c r="B1007" s="69"/>
      <c r="C1007" s="70"/>
      <c r="D1007" s="71"/>
    </row>
    <row r="1008" spans="2:4" x14ac:dyDescent="0.15">
      <c r="B1008" s="69"/>
      <c r="C1008" s="70"/>
      <c r="D1008" s="71"/>
    </row>
    <row r="1009" spans="2:4" x14ac:dyDescent="0.15">
      <c r="B1009" s="69"/>
      <c r="C1009" s="70"/>
      <c r="D1009" s="71"/>
    </row>
    <row r="1010" spans="2:4" x14ac:dyDescent="0.15">
      <c r="B1010" s="69"/>
      <c r="C1010" s="70"/>
      <c r="D1010" s="71"/>
    </row>
    <row r="1011" spans="2:4" x14ac:dyDescent="0.15">
      <c r="B1011" s="69"/>
      <c r="C1011" s="70"/>
      <c r="D1011" s="71"/>
    </row>
    <row r="1012" spans="2:4" x14ac:dyDescent="0.15">
      <c r="B1012" s="69"/>
      <c r="C1012" s="70"/>
      <c r="D1012" s="71"/>
    </row>
    <row r="1013" spans="2:4" x14ac:dyDescent="0.15">
      <c r="B1013" s="69"/>
      <c r="C1013" s="70"/>
      <c r="D1013" s="71"/>
    </row>
    <row r="1014" spans="2:4" x14ac:dyDescent="0.15">
      <c r="B1014" s="69"/>
      <c r="C1014" s="70"/>
      <c r="D1014" s="71"/>
    </row>
    <row r="1015" spans="2:4" x14ac:dyDescent="0.15">
      <c r="B1015" s="69"/>
      <c r="C1015" s="70"/>
      <c r="D1015" s="71"/>
    </row>
    <row r="1016" spans="2:4" x14ac:dyDescent="0.15">
      <c r="B1016" s="69"/>
      <c r="C1016" s="70"/>
      <c r="D1016" s="71"/>
    </row>
    <row r="1017" spans="2:4" x14ac:dyDescent="0.15">
      <c r="B1017" s="69"/>
      <c r="C1017" s="70"/>
      <c r="D1017" s="71"/>
    </row>
    <row r="1018" spans="2:4" x14ac:dyDescent="0.15">
      <c r="B1018" s="69"/>
      <c r="C1018" s="70"/>
      <c r="D1018" s="71"/>
    </row>
    <row r="1019" spans="2:4" x14ac:dyDescent="0.15">
      <c r="B1019" s="69"/>
      <c r="C1019" s="70"/>
      <c r="D1019" s="71"/>
    </row>
    <row r="1020" spans="2:4" x14ac:dyDescent="0.15">
      <c r="B1020" s="69"/>
      <c r="C1020" s="70"/>
      <c r="D1020" s="71"/>
    </row>
    <row r="1021" spans="2:4" x14ac:dyDescent="0.15">
      <c r="B1021" s="69"/>
      <c r="C1021" s="70"/>
      <c r="D1021" s="71"/>
    </row>
    <row r="1022" spans="2:4" x14ac:dyDescent="0.15">
      <c r="B1022" s="69"/>
      <c r="C1022" s="70"/>
      <c r="D1022" s="71"/>
    </row>
    <row r="1023" spans="2:4" x14ac:dyDescent="0.15">
      <c r="B1023" s="69"/>
      <c r="C1023" s="70"/>
      <c r="D1023" s="71"/>
    </row>
    <row r="1024" spans="2:4" x14ac:dyDescent="0.15">
      <c r="B1024" s="69"/>
      <c r="C1024" s="70"/>
      <c r="D1024" s="71"/>
    </row>
    <row r="1025" spans="2:4" x14ac:dyDescent="0.15">
      <c r="B1025" s="69"/>
      <c r="C1025" s="70"/>
      <c r="D1025" s="71"/>
    </row>
    <row r="1026" spans="2:4" x14ac:dyDescent="0.15">
      <c r="B1026" s="69"/>
      <c r="C1026" s="70"/>
      <c r="D1026" s="71"/>
    </row>
    <row r="1027" spans="2:4" x14ac:dyDescent="0.15">
      <c r="B1027" s="69"/>
      <c r="C1027" s="70"/>
      <c r="D1027" s="71"/>
    </row>
    <row r="1028" spans="2:4" x14ac:dyDescent="0.15">
      <c r="B1028" s="69"/>
      <c r="C1028" s="70"/>
      <c r="D1028" s="71"/>
    </row>
    <row r="1029" spans="2:4" x14ac:dyDescent="0.15">
      <c r="B1029" s="69"/>
      <c r="C1029" s="70"/>
      <c r="D1029" s="71"/>
    </row>
    <row r="1030" spans="2:4" x14ac:dyDescent="0.15">
      <c r="B1030" s="69"/>
      <c r="C1030" s="70"/>
      <c r="D1030" s="71"/>
    </row>
    <row r="1031" spans="2:4" x14ac:dyDescent="0.15">
      <c r="B1031" s="69"/>
      <c r="C1031" s="70"/>
      <c r="D1031" s="71"/>
    </row>
    <row r="1032" spans="2:4" x14ac:dyDescent="0.15">
      <c r="B1032" s="69"/>
      <c r="C1032" s="70"/>
      <c r="D1032" s="71"/>
    </row>
    <row r="1033" spans="2:4" x14ac:dyDescent="0.15">
      <c r="B1033" s="69"/>
      <c r="C1033" s="70"/>
      <c r="D1033" s="71"/>
    </row>
    <row r="1034" spans="2:4" x14ac:dyDescent="0.15">
      <c r="B1034" s="69"/>
      <c r="C1034" s="70"/>
      <c r="D1034" s="71"/>
    </row>
    <row r="1035" spans="2:4" x14ac:dyDescent="0.15">
      <c r="B1035" s="69"/>
      <c r="C1035" s="70"/>
      <c r="D1035" s="71"/>
    </row>
    <row r="1036" spans="2:4" x14ac:dyDescent="0.15">
      <c r="B1036" s="69"/>
      <c r="C1036" s="70"/>
      <c r="D1036" s="71"/>
    </row>
    <row r="1037" spans="2:4" x14ac:dyDescent="0.15">
      <c r="B1037" s="69"/>
      <c r="C1037" s="70"/>
      <c r="D1037" s="71"/>
    </row>
    <row r="1038" spans="2:4" x14ac:dyDescent="0.15">
      <c r="B1038" s="69"/>
      <c r="C1038" s="70"/>
      <c r="D1038" s="71"/>
    </row>
    <row r="1039" spans="2:4" x14ac:dyDescent="0.15">
      <c r="B1039" s="69"/>
      <c r="C1039" s="70"/>
      <c r="D1039" s="71"/>
    </row>
    <row r="1040" spans="2:4" x14ac:dyDescent="0.15">
      <c r="B1040" s="69"/>
      <c r="C1040" s="70"/>
      <c r="D1040" s="71"/>
    </row>
    <row r="1041" spans="2:4" x14ac:dyDescent="0.15">
      <c r="B1041" s="69"/>
      <c r="C1041" s="70"/>
      <c r="D1041" s="71"/>
    </row>
    <row r="1042" spans="2:4" x14ac:dyDescent="0.15">
      <c r="B1042" s="69"/>
      <c r="C1042" s="70"/>
      <c r="D1042" s="71"/>
    </row>
    <row r="1043" spans="2:4" x14ac:dyDescent="0.15">
      <c r="B1043" s="69"/>
      <c r="C1043" s="70"/>
      <c r="D1043" s="71"/>
    </row>
    <row r="1044" spans="2:4" x14ac:dyDescent="0.15">
      <c r="B1044" s="69"/>
      <c r="C1044" s="70"/>
      <c r="D1044" s="71"/>
    </row>
    <row r="1045" spans="2:4" x14ac:dyDescent="0.15">
      <c r="B1045" s="69"/>
      <c r="C1045" s="70"/>
      <c r="D1045" s="71"/>
    </row>
    <row r="1046" spans="2:4" x14ac:dyDescent="0.15">
      <c r="B1046" s="69"/>
      <c r="C1046" s="70"/>
      <c r="D1046" s="71"/>
    </row>
    <row r="1047" spans="2:4" x14ac:dyDescent="0.15">
      <c r="B1047" s="69"/>
      <c r="C1047" s="70"/>
      <c r="D1047" s="71"/>
    </row>
    <row r="1048" spans="2:4" x14ac:dyDescent="0.15">
      <c r="B1048" s="69"/>
      <c r="C1048" s="70"/>
      <c r="D1048" s="71"/>
    </row>
    <row r="1049" spans="2:4" x14ac:dyDescent="0.15">
      <c r="B1049" s="69"/>
      <c r="C1049" s="70"/>
      <c r="D1049" s="71"/>
    </row>
    <row r="1050" spans="2:4" x14ac:dyDescent="0.15">
      <c r="B1050" s="69"/>
      <c r="C1050" s="70"/>
      <c r="D1050" s="71"/>
    </row>
    <row r="1051" spans="2:4" x14ac:dyDescent="0.15">
      <c r="B1051" s="69"/>
      <c r="C1051" s="70"/>
      <c r="D1051" s="71"/>
    </row>
    <row r="1052" spans="2:4" x14ac:dyDescent="0.15">
      <c r="B1052" s="69"/>
      <c r="C1052" s="70"/>
      <c r="D1052" s="71"/>
    </row>
    <row r="1053" spans="2:4" x14ac:dyDescent="0.15">
      <c r="B1053" s="69"/>
      <c r="C1053" s="70"/>
      <c r="D1053" s="71"/>
    </row>
    <row r="1054" spans="2:4" x14ac:dyDescent="0.15">
      <c r="B1054" s="69"/>
      <c r="C1054" s="70"/>
      <c r="D1054" s="71"/>
    </row>
    <row r="1055" spans="2:4" x14ac:dyDescent="0.15">
      <c r="B1055" s="69"/>
      <c r="C1055" s="70"/>
      <c r="D1055" s="71"/>
    </row>
    <row r="1056" spans="2:4" x14ac:dyDescent="0.15">
      <c r="B1056" s="69"/>
      <c r="C1056" s="70"/>
      <c r="D1056" s="71"/>
    </row>
    <row r="1057" spans="2:4" x14ac:dyDescent="0.15">
      <c r="B1057" s="69"/>
      <c r="C1057" s="70"/>
      <c r="D1057" s="71"/>
    </row>
    <row r="1058" spans="2:4" x14ac:dyDescent="0.15">
      <c r="B1058" s="69"/>
      <c r="C1058" s="70"/>
      <c r="D1058" s="71"/>
    </row>
    <row r="1059" spans="2:4" x14ac:dyDescent="0.15">
      <c r="B1059" s="69"/>
      <c r="C1059" s="70"/>
      <c r="D1059" s="71"/>
    </row>
    <row r="1060" spans="2:4" x14ac:dyDescent="0.15">
      <c r="B1060" s="69"/>
      <c r="C1060" s="70"/>
      <c r="D1060" s="71"/>
    </row>
    <row r="1061" spans="2:4" x14ac:dyDescent="0.15">
      <c r="B1061" s="69"/>
      <c r="C1061" s="70"/>
      <c r="D1061" s="71"/>
    </row>
    <row r="1062" spans="2:4" x14ac:dyDescent="0.15">
      <c r="B1062" s="69"/>
      <c r="C1062" s="70"/>
      <c r="D1062" s="71"/>
    </row>
    <row r="1063" spans="2:4" x14ac:dyDescent="0.15">
      <c r="B1063" s="69"/>
      <c r="C1063" s="70"/>
      <c r="D1063" s="71"/>
    </row>
    <row r="1064" spans="2:4" x14ac:dyDescent="0.15">
      <c r="B1064" s="69"/>
      <c r="C1064" s="70"/>
      <c r="D1064" s="71"/>
    </row>
    <row r="1065" spans="2:4" x14ac:dyDescent="0.15">
      <c r="B1065" s="69"/>
      <c r="C1065" s="70"/>
      <c r="D1065" s="71"/>
    </row>
    <row r="1066" spans="2:4" x14ac:dyDescent="0.15">
      <c r="B1066" s="69"/>
      <c r="C1066" s="70"/>
      <c r="D1066" s="71"/>
    </row>
    <row r="1067" spans="2:4" x14ac:dyDescent="0.15">
      <c r="B1067" s="69"/>
      <c r="C1067" s="70"/>
      <c r="D1067" s="71"/>
    </row>
    <row r="1068" spans="2:4" x14ac:dyDescent="0.15">
      <c r="B1068" s="69"/>
      <c r="C1068" s="70"/>
      <c r="D1068" s="71"/>
    </row>
    <row r="1069" spans="2:4" x14ac:dyDescent="0.15">
      <c r="B1069" s="69"/>
      <c r="C1069" s="70"/>
      <c r="D1069" s="71"/>
    </row>
    <row r="1070" spans="2:4" x14ac:dyDescent="0.15">
      <c r="B1070" s="69"/>
      <c r="C1070" s="70"/>
      <c r="D1070" s="71"/>
    </row>
    <row r="1071" spans="2:4" x14ac:dyDescent="0.15">
      <c r="B1071" s="69"/>
      <c r="C1071" s="70"/>
      <c r="D1071" s="71"/>
    </row>
    <row r="1072" spans="2:4" x14ac:dyDescent="0.15">
      <c r="B1072" s="69"/>
      <c r="C1072" s="70"/>
      <c r="D1072" s="71"/>
    </row>
    <row r="1073" spans="2:4" x14ac:dyDescent="0.15">
      <c r="B1073" s="69"/>
      <c r="C1073" s="70"/>
      <c r="D1073" s="71"/>
    </row>
    <row r="1074" spans="2:4" x14ac:dyDescent="0.15">
      <c r="B1074" s="69"/>
      <c r="C1074" s="70"/>
      <c r="D1074" s="71"/>
    </row>
    <row r="1075" spans="2:4" x14ac:dyDescent="0.15">
      <c r="B1075" s="69"/>
      <c r="C1075" s="70"/>
      <c r="D1075" s="71"/>
    </row>
    <row r="1076" spans="2:4" x14ac:dyDescent="0.15">
      <c r="B1076" s="69"/>
      <c r="C1076" s="70"/>
      <c r="D1076" s="71"/>
    </row>
    <row r="1077" spans="2:4" x14ac:dyDescent="0.15">
      <c r="B1077" s="69"/>
      <c r="C1077" s="70"/>
      <c r="D1077" s="71"/>
    </row>
    <row r="1078" spans="2:4" x14ac:dyDescent="0.15">
      <c r="B1078" s="69"/>
      <c r="C1078" s="70"/>
      <c r="D1078" s="71"/>
    </row>
    <row r="1079" spans="2:4" x14ac:dyDescent="0.15">
      <c r="B1079" s="69"/>
      <c r="C1079" s="70"/>
      <c r="D1079" s="71"/>
    </row>
    <row r="1080" spans="2:4" x14ac:dyDescent="0.15">
      <c r="B1080" s="69"/>
      <c r="C1080" s="70"/>
      <c r="D1080" s="71"/>
    </row>
    <row r="1081" spans="2:4" x14ac:dyDescent="0.15">
      <c r="B1081" s="69"/>
      <c r="C1081" s="70"/>
      <c r="D1081" s="71"/>
    </row>
    <row r="1082" spans="2:4" x14ac:dyDescent="0.15">
      <c r="B1082" s="69"/>
      <c r="C1082" s="70"/>
      <c r="D1082" s="71"/>
    </row>
    <row r="1083" spans="2:4" x14ac:dyDescent="0.15">
      <c r="B1083" s="69"/>
      <c r="C1083" s="70"/>
      <c r="D1083" s="71"/>
    </row>
    <row r="1084" spans="2:4" x14ac:dyDescent="0.15">
      <c r="B1084" s="69"/>
      <c r="C1084" s="70"/>
      <c r="D1084" s="71"/>
    </row>
    <row r="1085" spans="2:4" x14ac:dyDescent="0.15">
      <c r="B1085" s="69"/>
      <c r="C1085" s="70"/>
      <c r="D1085" s="71"/>
    </row>
    <row r="1086" spans="2:4" x14ac:dyDescent="0.15">
      <c r="B1086" s="69"/>
      <c r="C1086" s="70"/>
      <c r="D1086" s="71"/>
    </row>
    <row r="1087" spans="2:4" x14ac:dyDescent="0.15">
      <c r="B1087" s="69"/>
      <c r="C1087" s="70"/>
      <c r="D1087" s="71"/>
    </row>
    <row r="1088" spans="2:4" x14ac:dyDescent="0.15">
      <c r="B1088" s="69"/>
      <c r="C1088" s="70"/>
      <c r="D1088" s="71"/>
    </row>
    <row r="1089" spans="2:4" x14ac:dyDescent="0.15">
      <c r="B1089" s="69"/>
      <c r="C1089" s="70"/>
      <c r="D1089" s="71"/>
    </row>
    <row r="1090" spans="2:4" x14ac:dyDescent="0.15">
      <c r="B1090" s="69"/>
      <c r="C1090" s="70"/>
      <c r="D1090" s="71"/>
    </row>
    <row r="1091" spans="2:4" x14ac:dyDescent="0.15">
      <c r="B1091" s="69"/>
      <c r="C1091" s="70"/>
      <c r="D1091" s="71"/>
    </row>
    <row r="1092" spans="2:4" x14ac:dyDescent="0.15">
      <c r="B1092" s="69"/>
      <c r="C1092" s="70"/>
      <c r="D1092" s="71"/>
    </row>
    <row r="1093" spans="2:4" x14ac:dyDescent="0.15">
      <c r="B1093" s="69"/>
      <c r="C1093" s="70"/>
      <c r="D1093" s="71"/>
    </row>
    <row r="1094" spans="2:4" x14ac:dyDescent="0.15">
      <c r="B1094" s="69"/>
      <c r="C1094" s="70"/>
      <c r="D1094" s="71"/>
    </row>
    <row r="1095" spans="2:4" x14ac:dyDescent="0.15">
      <c r="B1095" s="69"/>
      <c r="C1095" s="70"/>
      <c r="D1095" s="71"/>
    </row>
    <row r="1096" spans="2:4" x14ac:dyDescent="0.15">
      <c r="B1096" s="69"/>
      <c r="C1096" s="70"/>
      <c r="D1096" s="71"/>
    </row>
    <row r="1097" spans="2:4" x14ac:dyDescent="0.15">
      <c r="B1097" s="69"/>
      <c r="C1097" s="70"/>
      <c r="D1097" s="71"/>
    </row>
    <row r="1098" spans="2:4" x14ac:dyDescent="0.15">
      <c r="B1098" s="69"/>
      <c r="C1098" s="70"/>
      <c r="D1098" s="71"/>
    </row>
    <row r="1099" spans="2:4" x14ac:dyDescent="0.15">
      <c r="B1099" s="69"/>
      <c r="C1099" s="70"/>
      <c r="D1099" s="71"/>
    </row>
    <row r="1100" spans="2:4" x14ac:dyDescent="0.15">
      <c r="B1100" s="69"/>
      <c r="C1100" s="70"/>
      <c r="D1100" s="71"/>
    </row>
    <row r="1101" spans="2:4" x14ac:dyDescent="0.15">
      <c r="B1101" s="69"/>
      <c r="C1101" s="70"/>
      <c r="D1101" s="71"/>
    </row>
    <row r="1102" spans="2:4" x14ac:dyDescent="0.15">
      <c r="B1102" s="69"/>
      <c r="C1102" s="70"/>
      <c r="D1102" s="71"/>
    </row>
    <row r="1103" spans="2:4" x14ac:dyDescent="0.15">
      <c r="B1103" s="69"/>
      <c r="C1103" s="70"/>
      <c r="D1103" s="71"/>
    </row>
    <row r="1104" spans="2:4" x14ac:dyDescent="0.15">
      <c r="B1104" s="69"/>
      <c r="C1104" s="70"/>
      <c r="D1104" s="71"/>
    </row>
    <row r="1105" spans="2:4" x14ac:dyDescent="0.15">
      <c r="B1105" s="69"/>
      <c r="C1105" s="70"/>
      <c r="D1105" s="71"/>
    </row>
    <row r="1106" spans="2:4" x14ac:dyDescent="0.15">
      <c r="B1106" s="69"/>
      <c r="C1106" s="70"/>
      <c r="D1106" s="71"/>
    </row>
    <row r="1107" spans="2:4" x14ac:dyDescent="0.15">
      <c r="B1107" s="69"/>
      <c r="C1107" s="70"/>
      <c r="D1107" s="71"/>
    </row>
    <row r="1108" spans="2:4" x14ac:dyDescent="0.15">
      <c r="B1108" s="69"/>
      <c r="C1108" s="70"/>
      <c r="D1108" s="71"/>
    </row>
    <row r="1109" spans="2:4" x14ac:dyDescent="0.15">
      <c r="B1109" s="69"/>
      <c r="C1109" s="70"/>
      <c r="D1109" s="71"/>
    </row>
    <row r="1110" spans="2:4" x14ac:dyDescent="0.15">
      <c r="B1110" s="69"/>
      <c r="C1110" s="70"/>
      <c r="D1110" s="71"/>
    </row>
    <row r="1111" spans="2:4" x14ac:dyDescent="0.15">
      <c r="B1111" s="69"/>
      <c r="C1111" s="70"/>
      <c r="D1111" s="71"/>
    </row>
    <row r="1112" spans="2:4" x14ac:dyDescent="0.15">
      <c r="B1112" s="69"/>
      <c r="C1112" s="70"/>
      <c r="D1112" s="71"/>
    </row>
    <row r="1113" spans="2:4" x14ac:dyDescent="0.15">
      <c r="B1113" s="69"/>
      <c r="C1113" s="70"/>
      <c r="D1113" s="71"/>
    </row>
    <row r="1114" spans="2:4" x14ac:dyDescent="0.15">
      <c r="B1114" s="69"/>
      <c r="C1114" s="70"/>
      <c r="D1114" s="71"/>
    </row>
    <row r="1115" spans="2:4" x14ac:dyDescent="0.15">
      <c r="B1115" s="69"/>
      <c r="C1115" s="70"/>
      <c r="D1115" s="71"/>
    </row>
    <row r="1116" spans="2:4" x14ac:dyDescent="0.15">
      <c r="B1116" s="69"/>
      <c r="C1116" s="70"/>
      <c r="D1116" s="71"/>
    </row>
    <row r="1117" spans="2:4" x14ac:dyDescent="0.15">
      <c r="B1117" s="69"/>
      <c r="C1117" s="70"/>
      <c r="D1117" s="71"/>
    </row>
    <row r="1118" spans="2:4" x14ac:dyDescent="0.15">
      <c r="B1118" s="69"/>
      <c r="C1118" s="70"/>
      <c r="D1118" s="71"/>
    </row>
    <row r="1119" spans="2:4" x14ac:dyDescent="0.15">
      <c r="B1119" s="69"/>
      <c r="C1119" s="70"/>
      <c r="D1119" s="71"/>
    </row>
    <row r="1120" spans="2:4" x14ac:dyDescent="0.15">
      <c r="B1120" s="69"/>
      <c r="C1120" s="70"/>
      <c r="D1120" s="71"/>
    </row>
    <row r="1121" spans="2:4" x14ac:dyDescent="0.15">
      <c r="B1121" s="69"/>
      <c r="C1121" s="70"/>
      <c r="D1121" s="71"/>
    </row>
    <row r="1122" spans="2:4" x14ac:dyDescent="0.15">
      <c r="B1122" s="69"/>
      <c r="C1122" s="70"/>
      <c r="D1122" s="71"/>
    </row>
    <row r="1123" spans="2:4" x14ac:dyDescent="0.15">
      <c r="B1123" s="69"/>
      <c r="C1123" s="70"/>
      <c r="D1123" s="71"/>
    </row>
    <row r="1124" spans="2:4" x14ac:dyDescent="0.15">
      <c r="B1124" s="69"/>
      <c r="C1124" s="70"/>
      <c r="D1124" s="71"/>
    </row>
    <row r="1125" spans="2:4" x14ac:dyDescent="0.15">
      <c r="B1125" s="69"/>
      <c r="C1125" s="70"/>
      <c r="D1125" s="71"/>
    </row>
    <row r="1126" spans="2:4" x14ac:dyDescent="0.15">
      <c r="B1126" s="69"/>
      <c r="C1126" s="70"/>
      <c r="D1126" s="71"/>
    </row>
    <row r="1127" spans="2:4" x14ac:dyDescent="0.15">
      <c r="B1127" s="69"/>
      <c r="C1127" s="70"/>
      <c r="D1127" s="71"/>
    </row>
    <row r="1128" spans="2:4" x14ac:dyDescent="0.15">
      <c r="B1128" s="69"/>
      <c r="C1128" s="70"/>
      <c r="D1128" s="71"/>
    </row>
    <row r="1129" spans="2:4" x14ac:dyDescent="0.15">
      <c r="B1129" s="69"/>
      <c r="C1129" s="70"/>
      <c r="D1129" s="71"/>
    </row>
    <row r="1130" spans="2:4" x14ac:dyDescent="0.15">
      <c r="B1130" s="69"/>
      <c r="C1130" s="70"/>
      <c r="D1130" s="71"/>
    </row>
    <row r="1131" spans="2:4" x14ac:dyDescent="0.15">
      <c r="B1131" s="69"/>
      <c r="C1131" s="70"/>
      <c r="D1131" s="71"/>
    </row>
    <row r="1132" spans="2:4" x14ac:dyDescent="0.15">
      <c r="B1132" s="69"/>
      <c r="C1132" s="70"/>
      <c r="D1132" s="71"/>
    </row>
    <row r="1133" spans="2:4" x14ac:dyDescent="0.15">
      <c r="B1133" s="69"/>
      <c r="C1133" s="70"/>
      <c r="D1133" s="71"/>
    </row>
    <row r="1134" spans="2:4" x14ac:dyDescent="0.15">
      <c r="B1134" s="69"/>
      <c r="C1134" s="70"/>
      <c r="D1134" s="71"/>
    </row>
    <row r="1135" spans="2:4" x14ac:dyDescent="0.15">
      <c r="B1135" s="69"/>
      <c r="C1135" s="70"/>
      <c r="D1135" s="71"/>
    </row>
    <row r="1136" spans="2:4" x14ac:dyDescent="0.15">
      <c r="B1136" s="69"/>
      <c r="C1136" s="70"/>
      <c r="D1136" s="71"/>
    </row>
    <row r="1137" spans="2:4" x14ac:dyDescent="0.15">
      <c r="B1137" s="69"/>
      <c r="C1137" s="70"/>
      <c r="D1137" s="71"/>
    </row>
    <row r="1138" spans="2:4" x14ac:dyDescent="0.15">
      <c r="B1138" s="69"/>
      <c r="C1138" s="70"/>
      <c r="D1138" s="71"/>
    </row>
    <row r="1139" spans="2:4" x14ac:dyDescent="0.15">
      <c r="B1139" s="69"/>
      <c r="C1139" s="70"/>
      <c r="D1139" s="71"/>
    </row>
    <row r="1140" spans="2:4" x14ac:dyDescent="0.15">
      <c r="B1140" s="69"/>
      <c r="C1140" s="70"/>
      <c r="D1140" s="71"/>
    </row>
    <row r="1141" spans="2:4" x14ac:dyDescent="0.15">
      <c r="B1141" s="69"/>
      <c r="C1141" s="70"/>
      <c r="D1141" s="71"/>
    </row>
    <row r="1142" spans="2:4" x14ac:dyDescent="0.15">
      <c r="B1142" s="69"/>
      <c r="C1142" s="70"/>
      <c r="D1142" s="71"/>
    </row>
    <row r="1143" spans="2:4" x14ac:dyDescent="0.15">
      <c r="B1143" s="69"/>
      <c r="C1143" s="70"/>
      <c r="D1143" s="71"/>
    </row>
    <row r="1144" spans="2:4" x14ac:dyDescent="0.15">
      <c r="B1144" s="69"/>
      <c r="C1144" s="70"/>
      <c r="D1144" s="71"/>
    </row>
    <row r="1145" spans="2:4" x14ac:dyDescent="0.15">
      <c r="B1145" s="69"/>
      <c r="C1145" s="70"/>
      <c r="D1145" s="71"/>
    </row>
    <row r="1146" spans="2:4" x14ac:dyDescent="0.15">
      <c r="B1146" s="69"/>
      <c r="C1146" s="70"/>
      <c r="D1146" s="71"/>
    </row>
    <row r="1147" spans="2:4" x14ac:dyDescent="0.15">
      <c r="B1147" s="69"/>
      <c r="C1147" s="70"/>
      <c r="D1147" s="71"/>
    </row>
    <row r="1148" spans="2:4" x14ac:dyDescent="0.15">
      <c r="B1148" s="69"/>
      <c r="C1148" s="70"/>
      <c r="D1148" s="71"/>
    </row>
    <row r="1149" spans="2:4" x14ac:dyDescent="0.15">
      <c r="B1149" s="69"/>
      <c r="C1149" s="70"/>
      <c r="D1149" s="71"/>
    </row>
    <row r="1150" spans="2:4" x14ac:dyDescent="0.15">
      <c r="B1150" s="69"/>
      <c r="C1150" s="70"/>
      <c r="D1150" s="71"/>
    </row>
    <row r="1151" spans="2:4" x14ac:dyDescent="0.15">
      <c r="B1151" s="69"/>
      <c r="C1151" s="70"/>
      <c r="D1151" s="71"/>
    </row>
    <row r="1152" spans="2:4" x14ac:dyDescent="0.15">
      <c r="B1152" s="69"/>
      <c r="C1152" s="70"/>
      <c r="D1152" s="71"/>
    </row>
    <row r="1153" spans="2:4" x14ac:dyDescent="0.15">
      <c r="B1153" s="69"/>
      <c r="C1153" s="70"/>
      <c r="D1153" s="71"/>
    </row>
    <row r="1154" spans="2:4" x14ac:dyDescent="0.15">
      <c r="B1154" s="69"/>
      <c r="C1154" s="70"/>
      <c r="D1154" s="71"/>
    </row>
    <row r="1155" spans="2:4" x14ac:dyDescent="0.15">
      <c r="B1155" s="69"/>
      <c r="C1155" s="70"/>
      <c r="D1155" s="71"/>
    </row>
    <row r="1156" spans="2:4" x14ac:dyDescent="0.15">
      <c r="B1156" s="69"/>
      <c r="C1156" s="70"/>
      <c r="D1156" s="71"/>
    </row>
    <row r="1157" spans="2:4" x14ac:dyDescent="0.15">
      <c r="B1157" s="69"/>
      <c r="C1157" s="70"/>
      <c r="D1157" s="71"/>
    </row>
    <row r="1158" spans="2:4" x14ac:dyDescent="0.15">
      <c r="B1158" s="69"/>
      <c r="C1158" s="70"/>
      <c r="D1158" s="71"/>
    </row>
    <row r="1159" spans="2:4" x14ac:dyDescent="0.15">
      <c r="B1159" s="69"/>
      <c r="C1159" s="70"/>
      <c r="D1159" s="71"/>
    </row>
    <row r="1160" spans="2:4" x14ac:dyDescent="0.15">
      <c r="B1160" s="69"/>
      <c r="C1160" s="70"/>
      <c r="D1160" s="71"/>
    </row>
    <row r="1161" spans="2:4" x14ac:dyDescent="0.15">
      <c r="B1161" s="69"/>
      <c r="C1161" s="70"/>
      <c r="D1161" s="71"/>
    </row>
    <row r="1162" spans="2:4" x14ac:dyDescent="0.15">
      <c r="B1162" s="69"/>
      <c r="C1162" s="70"/>
      <c r="D1162" s="71"/>
    </row>
    <row r="1163" spans="2:4" x14ac:dyDescent="0.15">
      <c r="B1163" s="69"/>
      <c r="C1163" s="70"/>
      <c r="D1163" s="71"/>
    </row>
    <row r="1164" spans="2:4" x14ac:dyDescent="0.15">
      <c r="B1164" s="69"/>
      <c r="C1164" s="70"/>
      <c r="D1164" s="71"/>
    </row>
    <row r="1165" spans="2:4" x14ac:dyDescent="0.15">
      <c r="B1165" s="69"/>
      <c r="C1165" s="70"/>
      <c r="D1165" s="71"/>
    </row>
    <row r="1166" spans="2:4" x14ac:dyDescent="0.15">
      <c r="B1166" s="69"/>
      <c r="C1166" s="70"/>
      <c r="D1166" s="71"/>
    </row>
    <row r="1167" spans="2:4" x14ac:dyDescent="0.15">
      <c r="B1167" s="69"/>
      <c r="C1167" s="70"/>
      <c r="D1167" s="71"/>
    </row>
    <row r="1168" spans="2:4" x14ac:dyDescent="0.15">
      <c r="B1168" s="69"/>
      <c r="C1168" s="70"/>
      <c r="D1168" s="71"/>
    </row>
    <row r="1169" spans="2:4" x14ac:dyDescent="0.15">
      <c r="B1169" s="69"/>
      <c r="C1169" s="70"/>
      <c r="D1169" s="71"/>
    </row>
    <row r="1170" spans="2:4" x14ac:dyDescent="0.15">
      <c r="B1170" s="69"/>
      <c r="C1170" s="70"/>
      <c r="D1170" s="71"/>
    </row>
    <row r="1171" spans="2:4" x14ac:dyDescent="0.15">
      <c r="B1171" s="69"/>
      <c r="C1171" s="70"/>
      <c r="D1171" s="71"/>
    </row>
    <row r="1172" spans="2:4" x14ac:dyDescent="0.15">
      <c r="B1172" s="69"/>
      <c r="C1172" s="70"/>
      <c r="D1172" s="71"/>
    </row>
    <row r="1173" spans="2:4" x14ac:dyDescent="0.15">
      <c r="B1173" s="69"/>
      <c r="C1173" s="70"/>
      <c r="D1173" s="71"/>
    </row>
    <row r="1174" spans="2:4" x14ac:dyDescent="0.15">
      <c r="B1174" s="69"/>
      <c r="C1174" s="70"/>
      <c r="D1174" s="71"/>
    </row>
    <row r="1175" spans="2:4" x14ac:dyDescent="0.15">
      <c r="B1175" s="69"/>
      <c r="C1175" s="70"/>
      <c r="D1175" s="71"/>
    </row>
    <row r="1176" spans="2:4" x14ac:dyDescent="0.15">
      <c r="B1176" s="69"/>
      <c r="C1176" s="70"/>
      <c r="D1176" s="71"/>
    </row>
    <row r="1177" spans="2:4" x14ac:dyDescent="0.15">
      <c r="B1177" s="69"/>
      <c r="C1177" s="70"/>
      <c r="D1177" s="71"/>
    </row>
    <row r="1178" spans="2:4" x14ac:dyDescent="0.15">
      <c r="B1178" s="69"/>
      <c r="C1178" s="70"/>
      <c r="D1178" s="71"/>
    </row>
    <row r="1179" spans="2:4" x14ac:dyDescent="0.15">
      <c r="B1179" s="69"/>
      <c r="C1179" s="70"/>
      <c r="D1179" s="71"/>
    </row>
    <row r="1180" spans="2:4" x14ac:dyDescent="0.15">
      <c r="B1180" s="69"/>
      <c r="C1180" s="70"/>
      <c r="D1180" s="71"/>
    </row>
    <row r="1181" spans="2:4" x14ac:dyDescent="0.15">
      <c r="B1181" s="69"/>
      <c r="C1181" s="70"/>
      <c r="D1181" s="71"/>
    </row>
    <row r="1182" spans="2:4" x14ac:dyDescent="0.15">
      <c r="B1182" s="69"/>
      <c r="C1182" s="70"/>
      <c r="D1182" s="71"/>
    </row>
    <row r="1183" spans="2:4" x14ac:dyDescent="0.15">
      <c r="B1183" s="69"/>
      <c r="C1183" s="70"/>
      <c r="D1183" s="71"/>
    </row>
    <row r="1184" spans="2:4" x14ac:dyDescent="0.15">
      <c r="B1184" s="69"/>
      <c r="C1184" s="70"/>
      <c r="D1184" s="71"/>
    </row>
    <row r="1185" spans="2:4" x14ac:dyDescent="0.15">
      <c r="B1185" s="69"/>
      <c r="C1185" s="70"/>
      <c r="D1185" s="71"/>
    </row>
    <row r="1186" spans="2:4" x14ac:dyDescent="0.15">
      <c r="B1186" s="69"/>
      <c r="C1186" s="70"/>
      <c r="D1186" s="71"/>
    </row>
    <row r="1187" spans="2:4" x14ac:dyDescent="0.15">
      <c r="B1187" s="69"/>
      <c r="C1187" s="70"/>
      <c r="D1187" s="71"/>
    </row>
    <row r="1188" spans="2:4" x14ac:dyDescent="0.15">
      <c r="B1188" s="69"/>
      <c r="C1188" s="70"/>
      <c r="D1188" s="71"/>
    </row>
    <row r="1189" spans="2:4" x14ac:dyDescent="0.15">
      <c r="B1189" s="69"/>
      <c r="C1189" s="70"/>
      <c r="D1189" s="71"/>
    </row>
    <row r="1190" spans="2:4" x14ac:dyDescent="0.15">
      <c r="B1190" s="69"/>
      <c r="C1190" s="70"/>
      <c r="D1190" s="71"/>
    </row>
    <row r="1191" spans="2:4" x14ac:dyDescent="0.15">
      <c r="B1191" s="69"/>
      <c r="C1191" s="70"/>
      <c r="D1191" s="71"/>
    </row>
    <row r="1192" spans="2:4" x14ac:dyDescent="0.15">
      <c r="B1192" s="69"/>
      <c r="C1192" s="70"/>
      <c r="D1192" s="71"/>
    </row>
    <row r="1193" spans="2:4" x14ac:dyDescent="0.15">
      <c r="B1193" s="69"/>
      <c r="C1193" s="70"/>
      <c r="D1193" s="71"/>
    </row>
    <row r="1194" spans="2:4" x14ac:dyDescent="0.15">
      <c r="B1194" s="69"/>
      <c r="C1194" s="70"/>
      <c r="D1194" s="71"/>
    </row>
    <row r="1195" spans="2:4" x14ac:dyDescent="0.15">
      <c r="B1195" s="69"/>
      <c r="C1195" s="70"/>
      <c r="D1195" s="71"/>
    </row>
    <row r="1196" spans="2:4" x14ac:dyDescent="0.15">
      <c r="B1196" s="69"/>
      <c r="C1196" s="70"/>
      <c r="D1196" s="71"/>
    </row>
    <row r="1197" spans="2:4" x14ac:dyDescent="0.15">
      <c r="B1197" s="69"/>
      <c r="C1197" s="70"/>
      <c r="D1197" s="71"/>
    </row>
    <row r="1198" spans="2:4" x14ac:dyDescent="0.15">
      <c r="B1198" s="69"/>
      <c r="C1198" s="70"/>
      <c r="D1198" s="71"/>
    </row>
    <row r="1199" spans="2:4" x14ac:dyDescent="0.15">
      <c r="B1199" s="69"/>
      <c r="C1199" s="70"/>
      <c r="D1199" s="71"/>
    </row>
    <row r="1200" spans="2:4" x14ac:dyDescent="0.15">
      <c r="B1200" s="69"/>
      <c r="C1200" s="70"/>
      <c r="D1200" s="71"/>
    </row>
    <row r="1201" spans="2:4" x14ac:dyDescent="0.15">
      <c r="B1201" s="69"/>
      <c r="C1201" s="70"/>
      <c r="D1201" s="71"/>
    </row>
    <row r="1202" spans="2:4" x14ac:dyDescent="0.15">
      <c r="B1202" s="69"/>
      <c r="C1202" s="70"/>
      <c r="D1202" s="71"/>
    </row>
    <row r="1203" spans="2:4" x14ac:dyDescent="0.15">
      <c r="B1203" s="69"/>
      <c r="C1203" s="70"/>
      <c r="D1203" s="71"/>
    </row>
    <row r="1204" spans="2:4" x14ac:dyDescent="0.15">
      <c r="B1204" s="69"/>
      <c r="C1204" s="70"/>
      <c r="D1204" s="71"/>
    </row>
    <row r="1205" spans="2:4" x14ac:dyDescent="0.15">
      <c r="B1205" s="69"/>
      <c r="C1205" s="70"/>
      <c r="D1205" s="71"/>
    </row>
    <row r="1206" spans="2:4" x14ac:dyDescent="0.15">
      <c r="B1206" s="69"/>
      <c r="C1206" s="70"/>
      <c r="D1206" s="71"/>
    </row>
    <row r="1207" spans="2:4" x14ac:dyDescent="0.15">
      <c r="B1207" s="69"/>
      <c r="C1207" s="70"/>
      <c r="D1207" s="71"/>
    </row>
    <row r="1208" spans="2:4" x14ac:dyDescent="0.15">
      <c r="B1208" s="69"/>
      <c r="C1208" s="70"/>
      <c r="D1208" s="71"/>
    </row>
    <row r="1209" spans="2:4" x14ac:dyDescent="0.15">
      <c r="B1209" s="69"/>
      <c r="C1209" s="70"/>
      <c r="D1209" s="71"/>
    </row>
    <row r="1210" spans="2:4" x14ac:dyDescent="0.15">
      <c r="B1210" s="69"/>
      <c r="C1210" s="70"/>
      <c r="D1210" s="71"/>
    </row>
    <row r="1211" spans="2:4" x14ac:dyDescent="0.15">
      <c r="B1211" s="69"/>
      <c r="C1211" s="70"/>
      <c r="D1211" s="71"/>
    </row>
    <row r="1212" spans="2:4" x14ac:dyDescent="0.15">
      <c r="B1212" s="69"/>
      <c r="C1212" s="70"/>
      <c r="D1212" s="71"/>
    </row>
    <row r="1213" spans="2:4" x14ac:dyDescent="0.15">
      <c r="B1213" s="69"/>
      <c r="C1213" s="70"/>
      <c r="D1213" s="71"/>
    </row>
    <row r="1214" spans="2:4" x14ac:dyDescent="0.15">
      <c r="B1214" s="69"/>
      <c r="C1214" s="70"/>
      <c r="D1214" s="71"/>
    </row>
    <row r="1215" spans="2:4" x14ac:dyDescent="0.15">
      <c r="B1215" s="69"/>
      <c r="C1215" s="70"/>
      <c r="D1215" s="71"/>
    </row>
    <row r="1216" spans="2:4" x14ac:dyDescent="0.15">
      <c r="B1216" s="69"/>
      <c r="C1216" s="70"/>
      <c r="D1216" s="71"/>
    </row>
    <row r="1217" spans="2:4" x14ac:dyDescent="0.15">
      <c r="B1217" s="69"/>
      <c r="C1217" s="70"/>
      <c r="D1217" s="71"/>
    </row>
    <row r="1218" spans="2:4" x14ac:dyDescent="0.15">
      <c r="B1218" s="69"/>
      <c r="C1218" s="70"/>
      <c r="D1218" s="71"/>
    </row>
    <row r="1219" spans="2:4" x14ac:dyDescent="0.15">
      <c r="B1219" s="69"/>
      <c r="C1219" s="70"/>
      <c r="D1219" s="71"/>
    </row>
    <row r="1220" spans="2:4" x14ac:dyDescent="0.15">
      <c r="B1220" s="69"/>
      <c r="C1220" s="70"/>
      <c r="D1220" s="71"/>
    </row>
    <row r="1221" spans="2:4" x14ac:dyDescent="0.15">
      <c r="B1221" s="69"/>
      <c r="C1221" s="70"/>
      <c r="D1221" s="71"/>
    </row>
    <row r="1222" spans="2:4" x14ac:dyDescent="0.15">
      <c r="B1222" s="69"/>
      <c r="C1222" s="70"/>
      <c r="D1222" s="71"/>
    </row>
    <row r="1223" spans="2:4" x14ac:dyDescent="0.15">
      <c r="B1223" s="69"/>
      <c r="C1223" s="70"/>
      <c r="D1223" s="71"/>
    </row>
    <row r="1224" spans="2:4" x14ac:dyDescent="0.15">
      <c r="B1224" s="69"/>
      <c r="C1224" s="70"/>
      <c r="D1224" s="71"/>
    </row>
    <row r="1225" spans="2:4" x14ac:dyDescent="0.15">
      <c r="B1225" s="69"/>
      <c r="C1225" s="70"/>
      <c r="D1225" s="71"/>
    </row>
    <row r="1226" spans="2:4" x14ac:dyDescent="0.15">
      <c r="B1226" s="69"/>
      <c r="C1226" s="70"/>
      <c r="D1226" s="71"/>
    </row>
    <row r="1227" spans="2:4" x14ac:dyDescent="0.15">
      <c r="B1227" s="69"/>
      <c r="C1227" s="70"/>
      <c r="D1227" s="71"/>
    </row>
    <row r="1228" spans="2:4" x14ac:dyDescent="0.15">
      <c r="B1228" s="69"/>
      <c r="C1228" s="70"/>
      <c r="D1228" s="71"/>
    </row>
    <row r="1229" spans="2:4" x14ac:dyDescent="0.15">
      <c r="B1229" s="69"/>
      <c r="C1229" s="70"/>
      <c r="D1229" s="71"/>
    </row>
    <row r="1230" spans="2:4" x14ac:dyDescent="0.15">
      <c r="B1230" s="69"/>
      <c r="C1230" s="70"/>
      <c r="D1230" s="71"/>
    </row>
    <row r="1231" spans="2:4" x14ac:dyDescent="0.15">
      <c r="B1231" s="69"/>
      <c r="C1231" s="70"/>
      <c r="D1231" s="71"/>
    </row>
    <row r="1232" spans="2:4" x14ac:dyDescent="0.15">
      <c r="B1232" s="69"/>
      <c r="C1232" s="70"/>
      <c r="D1232" s="71"/>
    </row>
    <row r="1233" spans="2:4" x14ac:dyDescent="0.15">
      <c r="B1233" s="69"/>
      <c r="C1233" s="70"/>
      <c r="D1233" s="71"/>
    </row>
    <row r="1234" spans="2:4" x14ac:dyDescent="0.15">
      <c r="B1234" s="69"/>
      <c r="C1234" s="70"/>
      <c r="D1234" s="71"/>
    </row>
    <row r="1235" spans="2:4" x14ac:dyDescent="0.15">
      <c r="B1235" s="69"/>
      <c r="C1235" s="70"/>
      <c r="D1235" s="71"/>
    </row>
    <row r="1236" spans="2:4" x14ac:dyDescent="0.15">
      <c r="B1236" s="69"/>
      <c r="C1236" s="70"/>
      <c r="D1236" s="71"/>
    </row>
    <row r="1237" spans="2:4" x14ac:dyDescent="0.15">
      <c r="B1237" s="69"/>
      <c r="C1237" s="70"/>
      <c r="D1237" s="71"/>
    </row>
    <row r="1238" spans="2:4" x14ac:dyDescent="0.15">
      <c r="B1238" s="69"/>
      <c r="C1238" s="70"/>
      <c r="D1238" s="71"/>
    </row>
    <row r="1239" spans="2:4" x14ac:dyDescent="0.15">
      <c r="B1239" s="69"/>
      <c r="C1239" s="70"/>
      <c r="D1239" s="71"/>
    </row>
    <row r="1240" spans="2:4" x14ac:dyDescent="0.15">
      <c r="B1240" s="69"/>
      <c r="C1240" s="70"/>
      <c r="D1240" s="71"/>
    </row>
    <row r="1241" spans="2:4" x14ac:dyDescent="0.15">
      <c r="B1241" s="69"/>
      <c r="C1241" s="70"/>
      <c r="D1241" s="71"/>
    </row>
    <row r="1242" spans="2:4" x14ac:dyDescent="0.15">
      <c r="B1242" s="69"/>
      <c r="C1242" s="70"/>
      <c r="D1242" s="71"/>
    </row>
    <row r="1243" spans="2:4" x14ac:dyDescent="0.15">
      <c r="B1243" s="69"/>
      <c r="C1243" s="70"/>
      <c r="D1243" s="71"/>
    </row>
    <row r="1244" spans="2:4" x14ac:dyDescent="0.15">
      <c r="B1244" s="69"/>
      <c r="C1244" s="70"/>
      <c r="D1244" s="71"/>
    </row>
    <row r="1245" spans="2:4" x14ac:dyDescent="0.15">
      <c r="B1245" s="69"/>
      <c r="C1245" s="70"/>
      <c r="D1245" s="71"/>
    </row>
    <row r="1246" spans="2:4" x14ac:dyDescent="0.15">
      <c r="B1246" s="69"/>
      <c r="C1246" s="70"/>
      <c r="D1246" s="71"/>
    </row>
    <row r="1247" spans="2:4" x14ac:dyDescent="0.15">
      <c r="B1247" s="69"/>
      <c r="C1247" s="70"/>
      <c r="D1247" s="71"/>
    </row>
    <row r="1248" spans="2:4" x14ac:dyDescent="0.15">
      <c r="B1248" s="69"/>
      <c r="C1248" s="70"/>
      <c r="D1248" s="71"/>
    </row>
    <row r="1249" spans="2:4" x14ac:dyDescent="0.15">
      <c r="B1249" s="69"/>
      <c r="C1249" s="70"/>
      <c r="D1249" s="71"/>
    </row>
    <row r="1250" spans="2:4" x14ac:dyDescent="0.15">
      <c r="B1250" s="69"/>
      <c r="C1250" s="70"/>
      <c r="D1250" s="71"/>
    </row>
    <row r="1251" spans="2:4" x14ac:dyDescent="0.15">
      <c r="B1251" s="69"/>
      <c r="C1251" s="70"/>
      <c r="D1251" s="71"/>
    </row>
    <row r="1252" spans="2:4" x14ac:dyDescent="0.15">
      <c r="B1252" s="69"/>
      <c r="C1252" s="70"/>
      <c r="D1252" s="71"/>
    </row>
    <row r="1253" spans="2:4" x14ac:dyDescent="0.15">
      <c r="B1253" s="69"/>
      <c r="C1253" s="70"/>
      <c r="D1253" s="71"/>
    </row>
    <row r="1254" spans="2:4" x14ac:dyDescent="0.15">
      <c r="B1254" s="69"/>
      <c r="C1254" s="70"/>
      <c r="D1254" s="71"/>
    </row>
    <row r="1255" spans="2:4" x14ac:dyDescent="0.15">
      <c r="B1255" s="69"/>
      <c r="C1255" s="70"/>
      <c r="D1255" s="71"/>
    </row>
    <row r="1256" spans="2:4" x14ac:dyDescent="0.15">
      <c r="B1256" s="69"/>
      <c r="C1256" s="70"/>
      <c r="D1256" s="71"/>
    </row>
    <row r="1257" spans="2:4" x14ac:dyDescent="0.15">
      <c r="B1257" s="69"/>
      <c r="C1257" s="70"/>
      <c r="D1257" s="71"/>
    </row>
    <row r="1258" spans="2:4" x14ac:dyDescent="0.15">
      <c r="B1258" s="69"/>
      <c r="C1258" s="70"/>
      <c r="D1258" s="71"/>
    </row>
    <row r="1259" spans="2:4" x14ac:dyDescent="0.15">
      <c r="B1259" s="69"/>
      <c r="C1259" s="70"/>
      <c r="D1259" s="71"/>
    </row>
    <row r="1260" spans="2:4" x14ac:dyDescent="0.15">
      <c r="B1260" s="69"/>
      <c r="C1260" s="70"/>
      <c r="D1260" s="71"/>
    </row>
    <row r="1261" spans="2:4" x14ac:dyDescent="0.15">
      <c r="B1261" s="69"/>
      <c r="C1261" s="70"/>
      <c r="D1261" s="71"/>
    </row>
    <row r="1262" spans="2:4" x14ac:dyDescent="0.15">
      <c r="B1262" s="69"/>
      <c r="C1262" s="70"/>
      <c r="D1262" s="71"/>
    </row>
    <row r="1263" spans="2:4" x14ac:dyDescent="0.15">
      <c r="B1263" s="69"/>
      <c r="C1263" s="70"/>
      <c r="D1263" s="71"/>
    </row>
    <row r="1264" spans="2:4" x14ac:dyDescent="0.15">
      <c r="B1264" s="69"/>
      <c r="C1264" s="70"/>
      <c r="D1264" s="71"/>
    </row>
    <row r="1265" spans="2:4" x14ac:dyDescent="0.15">
      <c r="B1265" s="69"/>
      <c r="C1265" s="70"/>
      <c r="D1265" s="71"/>
    </row>
    <row r="1266" spans="2:4" x14ac:dyDescent="0.15">
      <c r="B1266" s="69"/>
      <c r="C1266" s="70"/>
      <c r="D1266" s="71"/>
    </row>
    <row r="1267" spans="2:4" x14ac:dyDescent="0.15">
      <c r="B1267" s="69"/>
      <c r="C1267" s="70"/>
      <c r="D1267" s="71"/>
    </row>
    <row r="1268" spans="2:4" x14ac:dyDescent="0.15">
      <c r="B1268" s="69"/>
      <c r="C1268" s="70"/>
      <c r="D1268" s="71"/>
    </row>
    <row r="1269" spans="2:4" x14ac:dyDescent="0.15">
      <c r="B1269" s="69"/>
      <c r="C1269" s="70"/>
      <c r="D1269" s="71"/>
    </row>
    <row r="1270" spans="2:4" x14ac:dyDescent="0.15">
      <c r="B1270" s="69"/>
      <c r="C1270" s="70"/>
      <c r="D1270" s="71"/>
    </row>
    <row r="1271" spans="2:4" x14ac:dyDescent="0.15">
      <c r="B1271" s="69"/>
      <c r="C1271" s="70"/>
      <c r="D1271" s="71"/>
    </row>
    <row r="1272" spans="2:4" x14ac:dyDescent="0.15">
      <c r="B1272" s="69"/>
      <c r="C1272" s="70"/>
      <c r="D1272" s="71"/>
    </row>
    <row r="1273" spans="2:4" x14ac:dyDescent="0.15">
      <c r="B1273" s="69"/>
      <c r="C1273" s="70"/>
      <c r="D1273" s="71"/>
    </row>
    <row r="1274" spans="2:4" x14ac:dyDescent="0.15">
      <c r="B1274" s="69"/>
      <c r="C1274" s="70"/>
      <c r="D1274" s="71"/>
    </row>
    <row r="1275" spans="2:4" x14ac:dyDescent="0.15">
      <c r="B1275" s="69"/>
      <c r="C1275" s="70"/>
      <c r="D1275" s="71"/>
    </row>
    <row r="1276" spans="2:4" x14ac:dyDescent="0.15">
      <c r="B1276" s="69"/>
      <c r="C1276" s="70"/>
      <c r="D1276" s="71"/>
    </row>
    <row r="1277" spans="2:4" x14ac:dyDescent="0.15">
      <c r="B1277" s="69"/>
      <c r="C1277" s="70"/>
      <c r="D1277" s="71"/>
    </row>
    <row r="1278" spans="2:4" x14ac:dyDescent="0.15">
      <c r="B1278" s="69"/>
      <c r="C1278" s="70"/>
      <c r="D1278" s="71"/>
    </row>
    <row r="1279" spans="2:4" x14ac:dyDescent="0.15">
      <c r="B1279" s="69"/>
      <c r="C1279" s="70"/>
      <c r="D1279" s="71"/>
    </row>
    <row r="1280" spans="2:4" x14ac:dyDescent="0.15">
      <c r="B1280" s="69"/>
      <c r="C1280" s="70"/>
      <c r="D1280" s="71"/>
    </row>
    <row r="1281" spans="2:4" x14ac:dyDescent="0.15">
      <c r="B1281" s="69"/>
      <c r="C1281" s="70"/>
      <c r="D1281" s="71"/>
    </row>
    <row r="1282" spans="2:4" x14ac:dyDescent="0.15">
      <c r="B1282" s="69"/>
      <c r="C1282" s="70"/>
      <c r="D1282" s="71"/>
    </row>
    <row r="1283" spans="2:4" x14ac:dyDescent="0.15">
      <c r="B1283" s="69"/>
      <c r="C1283" s="70"/>
      <c r="D1283" s="71"/>
    </row>
    <row r="1284" spans="2:4" x14ac:dyDescent="0.15">
      <c r="B1284" s="69"/>
      <c r="C1284" s="70"/>
      <c r="D1284" s="71"/>
    </row>
    <row r="1285" spans="2:4" x14ac:dyDescent="0.15">
      <c r="B1285" s="69"/>
      <c r="C1285" s="70"/>
      <c r="D1285" s="71"/>
    </row>
    <row r="1286" spans="2:4" x14ac:dyDescent="0.15">
      <c r="B1286" s="69"/>
      <c r="C1286" s="70"/>
      <c r="D1286" s="71"/>
    </row>
    <row r="1287" spans="2:4" x14ac:dyDescent="0.15">
      <c r="B1287" s="69"/>
      <c r="C1287" s="70"/>
      <c r="D1287" s="71"/>
    </row>
    <row r="1288" spans="2:4" x14ac:dyDescent="0.15">
      <c r="B1288" s="69"/>
      <c r="C1288" s="70"/>
      <c r="D1288" s="71"/>
    </row>
    <row r="1289" spans="2:4" x14ac:dyDescent="0.15">
      <c r="B1289" s="69"/>
      <c r="C1289" s="70"/>
      <c r="D1289" s="71"/>
    </row>
    <row r="1290" spans="2:4" x14ac:dyDescent="0.15">
      <c r="B1290" s="69"/>
      <c r="C1290" s="70"/>
      <c r="D1290" s="71"/>
    </row>
    <row r="1291" spans="2:4" x14ac:dyDescent="0.15">
      <c r="B1291" s="69"/>
      <c r="C1291" s="70"/>
      <c r="D1291" s="71"/>
    </row>
    <row r="1292" spans="2:4" x14ac:dyDescent="0.15">
      <c r="B1292" s="69"/>
      <c r="C1292" s="70"/>
      <c r="D1292" s="71"/>
    </row>
    <row r="1293" spans="2:4" x14ac:dyDescent="0.15">
      <c r="B1293" s="69"/>
      <c r="C1293" s="70"/>
      <c r="D1293" s="71"/>
    </row>
    <row r="1294" spans="2:4" x14ac:dyDescent="0.15">
      <c r="B1294" s="69"/>
      <c r="C1294" s="70"/>
      <c r="D1294" s="71"/>
    </row>
    <row r="1295" spans="2:4" x14ac:dyDescent="0.15">
      <c r="B1295" s="69"/>
      <c r="C1295" s="70"/>
      <c r="D1295" s="71"/>
    </row>
    <row r="1296" spans="2:4" x14ac:dyDescent="0.15">
      <c r="B1296" s="69"/>
      <c r="C1296" s="70"/>
      <c r="D1296" s="71"/>
    </row>
    <row r="1297" spans="2:4" x14ac:dyDescent="0.15">
      <c r="B1297" s="69"/>
      <c r="C1297" s="70"/>
      <c r="D1297" s="71"/>
    </row>
    <row r="1298" spans="2:4" x14ac:dyDescent="0.15">
      <c r="B1298" s="69"/>
      <c r="C1298" s="70"/>
      <c r="D1298" s="71"/>
    </row>
    <row r="1299" spans="2:4" x14ac:dyDescent="0.15">
      <c r="B1299" s="69"/>
      <c r="C1299" s="70"/>
      <c r="D1299" s="71"/>
    </row>
    <row r="1300" spans="2:4" x14ac:dyDescent="0.15">
      <c r="B1300" s="69"/>
      <c r="C1300" s="70"/>
      <c r="D1300" s="71"/>
    </row>
    <row r="1301" spans="2:4" x14ac:dyDescent="0.15">
      <c r="B1301" s="69"/>
      <c r="C1301" s="70"/>
      <c r="D1301" s="71"/>
    </row>
    <row r="1302" spans="2:4" x14ac:dyDescent="0.15">
      <c r="B1302" s="69"/>
      <c r="C1302" s="70"/>
      <c r="D1302" s="71"/>
    </row>
    <row r="1303" spans="2:4" x14ac:dyDescent="0.15">
      <c r="B1303" s="69"/>
      <c r="C1303" s="70"/>
      <c r="D1303" s="71"/>
    </row>
    <row r="1304" spans="2:4" x14ac:dyDescent="0.15">
      <c r="B1304" s="69"/>
      <c r="C1304" s="70"/>
      <c r="D1304" s="71"/>
    </row>
    <row r="1305" spans="2:4" x14ac:dyDescent="0.15">
      <c r="B1305" s="69"/>
      <c r="C1305" s="70"/>
      <c r="D1305" s="71"/>
    </row>
    <row r="1306" spans="2:4" x14ac:dyDescent="0.15">
      <c r="B1306" s="69"/>
      <c r="C1306" s="70"/>
      <c r="D1306" s="71"/>
    </row>
    <row r="1307" spans="2:4" x14ac:dyDescent="0.15">
      <c r="B1307" s="69"/>
      <c r="C1307" s="70"/>
      <c r="D1307" s="71"/>
    </row>
    <row r="1308" spans="2:4" x14ac:dyDescent="0.15">
      <c r="B1308" s="69"/>
      <c r="C1308" s="70"/>
      <c r="D1308" s="71"/>
    </row>
    <row r="1309" spans="2:4" x14ac:dyDescent="0.15">
      <c r="B1309" s="69"/>
      <c r="C1309" s="70"/>
      <c r="D1309" s="71"/>
    </row>
    <row r="1310" spans="2:4" x14ac:dyDescent="0.15">
      <c r="B1310" s="69"/>
      <c r="C1310" s="70"/>
      <c r="D1310" s="71"/>
    </row>
    <row r="1311" spans="2:4" x14ac:dyDescent="0.15">
      <c r="B1311" s="69"/>
      <c r="C1311" s="70"/>
      <c r="D1311" s="71"/>
    </row>
    <row r="1312" spans="2:4" x14ac:dyDescent="0.15">
      <c r="B1312" s="69"/>
      <c r="C1312" s="70"/>
      <c r="D1312" s="71"/>
    </row>
    <row r="1313" spans="2:4" x14ac:dyDescent="0.15">
      <c r="B1313" s="69"/>
      <c r="C1313" s="70"/>
      <c r="D1313" s="71"/>
    </row>
    <row r="1314" spans="2:4" x14ac:dyDescent="0.15">
      <c r="B1314" s="69"/>
      <c r="C1314" s="70"/>
      <c r="D1314" s="71"/>
    </row>
    <row r="1315" spans="2:4" x14ac:dyDescent="0.15">
      <c r="B1315" s="69"/>
      <c r="C1315" s="70"/>
      <c r="D1315" s="71"/>
    </row>
    <row r="1316" spans="2:4" x14ac:dyDescent="0.15">
      <c r="B1316" s="69"/>
      <c r="C1316" s="70"/>
      <c r="D1316" s="71"/>
    </row>
    <row r="1317" spans="2:4" x14ac:dyDescent="0.15">
      <c r="B1317" s="69"/>
      <c r="C1317" s="70"/>
      <c r="D1317" s="71"/>
    </row>
    <row r="1318" spans="2:4" x14ac:dyDescent="0.15">
      <c r="B1318" s="69"/>
      <c r="C1318" s="70"/>
      <c r="D1318" s="71"/>
    </row>
    <row r="1319" spans="2:4" x14ac:dyDescent="0.15">
      <c r="B1319" s="69"/>
      <c r="C1319" s="70"/>
      <c r="D1319" s="71"/>
    </row>
    <row r="1320" spans="2:4" x14ac:dyDescent="0.15">
      <c r="B1320" s="69"/>
      <c r="C1320" s="70"/>
      <c r="D1320" s="71"/>
    </row>
    <row r="1321" spans="2:4" x14ac:dyDescent="0.15">
      <c r="B1321" s="69"/>
      <c r="C1321" s="70"/>
      <c r="D1321" s="71"/>
    </row>
    <row r="1322" spans="2:4" x14ac:dyDescent="0.15">
      <c r="B1322" s="69"/>
      <c r="C1322" s="70"/>
      <c r="D1322" s="71"/>
    </row>
    <row r="1323" spans="2:4" x14ac:dyDescent="0.15">
      <c r="B1323" s="69"/>
      <c r="C1323" s="70"/>
      <c r="D1323" s="71"/>
    </row>
    <row r="1324" spans="2:4" x14ac:dyDescent="0.15">
      <c r="B1324" s="69"/>
      <c r="C1324" s="70"/>
      <c r="D1324" s="71"/>
    </row>
    <row r="1325" spans="2:4" x14ac:dyDescent="0.15">
      <c r="B1325" s="69"/>
      <c r="C1325" s="70"/>
      <c r="D1325" s="71"/>
    </row>
    <row r="1326" spans="2:4" x14ac:dyDescent="0.15">
      <c r="B1326" s="69"/>
      <c r="C1326" s="70"/>
      <c r="D1326" s="71"/>
    </row>
    <row r="1327" spans="2:4" x14ac:dyDescent="0.15">
      <c r="B1327" s="69"/>
      <c r="C1327" s="70"/>
      <c r="D1327" s="71"/>
    </row>
    <row r="1328" spans="2:4" x14ac:dyDescent="0.15">
      <c r="B1328" s="69"/>
      <c r="C1328" s="70"/>
      <c r="D1328" s="71"/>
    </row>
    <row r="1329" spans="2:4" x14ac:dyDescent="0.15">
      <c r="B1329" s="69"/>
      <c r="C1329" s="70"/>
      <c r="D1329" s="71"/>
    </row>
    <row r="1330" spans="2:4" x14ac:dyDescent="0.15">
      <c r="B1330" s="69"/>
      <c r="C1330" s="70"/>
      <c r="D1330" s="71"/>
    </row>
    <row r="1331" spans="2:4" x14ac:dyDescent="0.15">
      <c r="B1331" s="69"/>
      <c r="C1331" s="70"/>
      <c r="D1331" s="71"/>
    </row>
    <row r="1332" spans="2:4" x14ac:dyDescent="0.15">
      <c r="B1332" s="69"/>
      <c r="C1332" s="70"/>
      <c r="D1332" s="71"/>
    </row>
    <row r="1333" spans="2:4" x14ac:dyDescent="0.15">
      <c r="B1333" s="69"/>
      <c r="C1333" s="70"/>
      <c r="D1333" s="71"/>
    </row>
    <row r="1334" spans="2:4" x14ac:dyDescent="0.15">
      <c r="B1334" s="69"/>
      <c r="C1334" s="70"/>
      <c r="D1334" s="71"/>
    </row>
    <row r="1335" spans="2:4" x14ac:dyDescent="0.15">
      <c r="B1335" s="69"/>
      <c r="C1335" s="70"/>
      <c r="D1335" s="71"/>
    </row>
    <row r="1336" spans="2:4" x14ac:dyDescent="0.15">
      <c r="B1336" s="69"/>
      <c r="C1336" s="70"/>
      <c r="D1336" s="71"/>
    </row>
    <row r="1337" spans="2:4" x14ac:dyDescent="0.15">
      <c r="B1337" s="69"/>
      <c r="C1337" s="70"/>
      <c r="D1337" s="71"/>
    </row>
    <row r="1338" spans="2:4" x14ac:dyDescent="0.15">
      <c r="B1338" s="69"/>
      <c r="C1338" s="70"/>
      <c r="D1338" s="71"/>
    </row>
    <row r="1339" spans="2:4" x14ac:dyDescent="0.15">
      <c r="B1339" s="69"/>
      <c r="C1339" s="70"/>
      <c r="D1339" s="71"/>
    </row>
    <row r="1340" spans="2:4" x14ac:dyDescent="0.15">
      <c r="B1340" s="69"/>
      <c r="C1340" s="70"/>
      <c r="D1340" s="71"/>
    </row>
    <row r="1341" spans="2:4" x14ac:dyDescent="0.15">
      <c r="B1341" s="69"/>
      <c r="C1341" s="70"/>
      <c r="D1341" s="71"/>
    </row>
    <row r="1342" spans="2:4" x14ac:dyDescent="0.15">
      <c r="B1342" s="69"/>
      <c r="C1342" s="70"/>
      <c r="D1342" s="71"/>
    </row>
    <row r="1343" spans="2:4" x14ac:dyDescent="0.15">
      <c r="B1343" s="69"/>
      <c r="C1343" s="70"/>
      <c r="D1343" s="71"/>
    </row>
    <row r="1344" spans="2:4" x14ac:dyDescent="0.15">
      <c r="B1344" s="69"/>
      <c r="C1344" s="70"/>
      <c r="D1344" s="71"/>
    </row>
    <row r="1345" spans="2:4" x14ac:dyDescent="0.15">
      <c r="B1345" s="69"/>
      <c r="C1345" s="70"/>
      <c r="D1345" s="71"/>
    </row>
    <row r="1346" spans="2:4" x14ac:dyDescent="0.15">
      <c r="B1346" s="69"/>
      <c r="C1346" s="70"/>
      <c r="D1346" s="71"/>
    </row>
    <row r="1347" spans="2:4" x14ac:dyDescent="0.15">
      <c r="B1347" s="69"/>
      <c r="C1347" s="70"/>
      <c r="D1347" s="71"/>
    </row>
    <row r="1348" spans="2:4" x14ac:dyDescent="0.15">
      <c r="B1348" s="69"/>
      <c r="C1348" s="70"/>
      <c r="D1348" s="71"/>
    </row>
    <row r="1349" spans="2:4" x14ac:dyDescent="0.15">
      <c r="B1349" s="69"/>
      <c r="C1349" s="70"/>
      <c r="D1349" s="71"/>
    </row>
    <row r="1350" spans="2:4" x14ac:dyDescent="0.15">
      <c r="B1350" s="69"/>
      <c r="C1350" s="70"/>
      <c r="D1350" s="71"/>
    </row>
    <row r="1351" spans="2:4" x14ac:dyDescent="0.15">
      <c r="B1351" s="69"/>
      <c r="C1351" s="70"/>
      <c r="D1351" s="71"/>
    </row>
    <row r="1352" spans="2:4" x14ac:dyDescent="0.15">
      <c r="B1352" s="69"/>
      <c r="C1352" s="70"/>
      <c r="D1352" s="71"/>
    </row>
    <row r="1353" spans="2:4" x14ac:dyDescent="0.15">
      <c r="B1353" s="69"/>
      <c r="C1353" s="70"/>
      <c r="D1353" s="71"/>
    </row>
    <row r="1354" spans="2:4" x14ac:dyDescent="0.15">
      <c r="B1354" s="69"/>
      <c r="C1354" s="70"/>
      <c r="D1354" s="71"/>
    </row>
    <row r="1355" spans="2:4" x14ac:dyDescent="0.15">
      <c r="B1355" s="69"/>
      <c r="C1355" s="70"/>
      <c r="D1355" s="71"/>
    </row>
    <row r="1356" spans="2:4" x14ac:dyDescent="0.15">
      <c r="B1356" s="69"/>
      <c r="C1356" s="70"/>
      <c r="D1356" s="71"/>
    </row>
    <row r="1357" spans="2:4" x14ac:dyDescent="0.15">
      <c r="B1357" s="69"/>
      <c r="C1357" s="70"/>
      <c r="D1357" s="71"/>
    </row>
    <row r="1358" spans="2:4" x14ac:dyDescent="0.15">
      <c r="B1358" s="69"/>
      <c r="C1358" s="70"/>
      <c r="D1358" s="71"/>
    </row>
    <row r="1359" spans="2:4" x14ac:dyDescent="0.15">
      <c r="B1359" s="69"/>
      <c r="C1359" s="70"/>
      <c r="D1359" s="71"/>
    </row>
    <row r="1360" spans="2:4" x14ac:dyDescent="0.15">
      <c r="B1360" s="69"/>
      <c r="C1360" s="70"/>
      <c r="D1360" s="71"/>
    </row>
    <row r="1361" spans="2:4" x14ac:dyDescent="0.15">
      <c r="B1361" s="69"/>
      <c r="C1361" s="70"/>
      <c r="D1361" s="71"/>
    </row>
    <row r="1362" spans="2:4" x14ac:dyDescent="0.15">
      <c r="B1362" s="69"/>
      <c r="C1362" s="70"/>
      <c r="D1362" s="71"/>
    </row>
    <row r="1363" spans="2:4" x14ac:dyDescent="0.15">
      <c r="B1363" s="69"/>
      <c r="C1363" s="70"/>
      <c r="D1363" s="71"/>
    </row>
    <row r="1364" spans="2:4" x14ac:dyDescent="0.15">
      <c r="B1364" s="69"/>
      <c r="C1364" s="70"/>
      <c r="D1364" s="71"/>
    </row>
    <row r="1365" spans="2:4" x14ac:dyDescent="0.15">
      <c r="B1365" s="69"/>
      <c r="C1365" s="70"/>
      <c r="D1365" s="71"/>
    </row>
    <row r="1366" spans="2:4" x14ac:dyDescent="0.15">
      <c r="B1366" s="69"/>
      <c r="C1366" s="70"/>
      <c r="D1366" s="71"/>
    </row>
    <row r="1367" spans="2:4" x14ac:dyDescent="0.15">
      <c r="B1367" s="69"/>
      <c r="C1367" s="70"/>
      <c r="D1367" s="71"/>
    </row>
    <row r="1368" spans="2:4" x14ac:dyDescent="0.15">
      <c r="B1368" s="69"/>
      <c r="C1368" s="70"/>
      <c r="D1368" s="71"/>
    </row>
    <row r="1369" spans="2:4" x14ac:dyDescent="0.15">
      <c r="B1369" s="69"/>
      <c r="C1369" s="70"/>
      <c r="D1369" s="71"/>
    </row>
    <row r="1370" spans="2:4" x14ac:dyDescent="0.15">
      <c r="B1370" s="69"/>
      <c r="C1370" s="70"/>
      <c r="D1370" s="71"/>
    </row>
    <row r="1371" spans="2:4" x14ac:dyDescent="0.15">
      <c r="B1371" s="69"/>
      <c r="C1371" s="70"/>
      <c r="D1371" s="71"/>
    </row>
    <row r="1372" spans="2:4" x14ac:dyDescent="0.15">
      <c r="B1372" s="69"/>
      <c r="C1372" s="70"/>
      <c r="D1372" s="71"/>
    </row>
    <row r="1373" spans="2:4" x14ac:dyDescent="0.15">
      <c r="B1373" s="69"/>
      <c r="C1373" s="70"/>
      <c r="D1373" s="71"/>
    </row>
    <row r="1374" spans="2:4" x14ac:dyDescent="0.15">
      <c r="B1374" s="69"/>
      <c r="C1374" s="70"/>
      <c r="D1374" s="71"/>
    </row>
    <row r="1375" spans="2:4" x14ac:dyDescent="0.15">
      <c r="B1375" s="69"/>
      <c r="C1375" s="70"/>
      <c r="D1375" s="71"/>
    </row>
    <row r="1376" spans="2:4" x14ac:dyDescent="0.15">
      <c r="B1376" s="69"/>
      <c r="C1376" s="70"/>
      <c r="D1376" s="71"/>
    </row>
    <row r="1377" spans="2:4" x14ac:dyDescent="0.15">
      <c r="B1377" s="69"/>
      <c r="C1377" s="70"/>
      <c r="D1377" s="71"/>
    </row>
    <row r="1378" spans="2:4" x14ac:dyDescent="0.15">
      <c r="B1378" s="69"/>
      <c r="C1378" s="70"/>
      <c r="D1378" s="71"/>
    </row>
    <row r="1379" spans="2:4" x14ac:dyDescent="0.15">
      <c r="B1379" s="69"/>
      <c r="C1379" s="70"/>
      <c r="D1379" s="71"/>
    </row>
    <row r="1380" spans="2:4" x14ac:dyDescent="0.15">
      <c r="B1380" s="69"/>
      <c r="C1380" s="70"/>
      <c r="D1380" s="71"/>
    </row>
    <row r="1381" spans="2:4" x14ac:dyDescent="0.15">
      <c r="B1381" s="69"/>
      <c r="C1381" s="70"/>
      <c r="D1381" s="71"/>
    </row>
    <row r="1382" spans="2:4" x14ac:dyDescent="0.15">
      <c r="B1382" s="69"/>
      <c r="C1382" s="70"/>
      <c r="D1382" s="71"/>
    </row>
    <row r="1383" spans="2:4" x14ac:dyDescent="0.15">
      <c r="B1383" s="69"/>
      <c r="C1383" s="70"/>
      <c r="D1383" s="71"/>
    </row>
    <row r="1384" spans="2:4" x14ac:dyDescent="0.15">
      <c r="B1384" s="69"/>
      <c r="C1384" s="70"/>
      <c r="D1384" s="71"/>
    </row>
    <row r="1385" spans="2:4" x14ac:dyDescent="0.15">
      <c r="B1385" s="69"/>
      <c r="C1385" s="70"/>
      <c r="D1385" s="71"/>
    </row>
    <row r="1386" spans="2:4" x14ac:dyDescent="0.15">
      <c r="B1386" s="69"/>
      <c r="C1386" s="70"/>
      <c r="D1386" s="71"/>
    </row>
    <row r="1387" spans="2:4" x14ac:dyDescent="0.15">
      <c r="B1387" s="69"/>
      <c r="C1387" s="70"/>
      <c r="D1387" s="71"/>
    </row>
    <row r="1388" spans="2:4" x14ac:dyDescent="0.15">
      <c r="B1388" s="69"/>
      <c r="C1388" s="70"/>
      <c r="D1388" s="71"/>
    </row>
    <row r="1389" spans="2:4" x14ac:dyDescent="0.15">
      <c r="B1389" s="69"/>
      <c r="C1389" s="70"/>
      <c r="D1389" s="71"/>
    </row>
    <row r="1390" spans="2:4" x14ac:dyDescent="0.15">
      <c r="B1390" s="69"/>
      <c r="C1390" s="70"/>
      <c r="D1390" s="71"/>
    </row>
    <row r="1391" spans="2:4" x14ac:dyDescent="0.15">
      <c r="B1391" s="69"/>
      <c r="C1391" s="70"/>
      <c r="D1391" s="71"/>
    </row>
    <row r="1392" spans="2:4" x14ac:dyDescent="0.15">
      <c r="B1392" s="69"/>
      <c r="C1392" s="70"/>
      <c r="D1392" s="71"/>
    </row>
    <row r="1393" spans="2:4" x14ac:dyDescent="0.15">
      <c r="B1393" s="69"/>
      <c r="C1393" s="70"/>
      <c r="D1393" s="71"/>
    </row>
    <row r="1394" spans="2:4" x14ac:dyDescent="0.15">
      <c r="B1394" s="69"/>
      <c r="C1394" s="70"/>
      <c r="D1394" s="71"/>
    </row>
    <row r="1395" spans="2:4" x14ac:dyDescent="0.15">
      <c r="B1395" s="69"/>
      <c r="C1395" s="70"/>
      <c r="D1395" s="71"/>
    </row>
    <row r="1396" spans="2:4" x14ac:dyDescent="0.15">
      <c r="B1396" s="69"/>
      <c r="C1396" s="70"/>
      <c r="D1396" s="71"/>
    </row>
    <row r="1397" spans="2:4" x14ac:dyDescent="0.15">
      <c r="B1397" s="69"/>
      <c r="C1397" s="70"/>
      <c r="D1397" s="71"/>
    </row>
    <row r="1398" spans="2:4" x14ac:dyDescent="0.15">
      <c r="B1398" s="69"/>
      <c r="C1398" s="70"/>
      <c r="D1398" s="71"/>
    </row>
    <row r="1399" spans="2:4" x14ac:dyDescent="0.15">
      <c r="B1399" s="69"/>
      <c r="C1399" s="70"/>
      <c r="D1399" s="71"/>
    </row>
    <row r="1400" spans="2:4" x14ac:dyDescent="0.15">
      <c r="B1400" s="69"/>
      <c r="C1400" s="70"/>
      <c r="D1400" s="71"/>
    </row>
    <row r="1401" spans="2:4" x14ac:dyDescent="0.15">
      <c r="B1401" s="69"/>
      <c r="C1401" s="70"/>
      <c r="D1401" s="71"/>
    </row>
    <row r="1402" spans="2:4" x14ac:dyDescent="0.15">
      <c r="B1402" s="69"/>
      <c r="C1402" s="70"/>
      <c r="D1402" s="71"/>
    </row>
    <row r="1403" spans="2:4" x14ac:dyDescent="0.15">
      <c r="B1403" s="69"/>
      <c r="C1403" s="70"/>
      <c r="D1403" s="71"/>
    </row>
    <row r="1404" spans="2:4" x14ac:dyDescent="0.15">
      <c r="B1404" s="69"/>
      <c r="C1404" s="70"/>
      <c r="D1404" s="71"/>
    </row>
    <row r="1405" spans="2:4" x14ac:dyDescent="0.15">
      <c r="B1405" s="69"/>
      <c r="C1405" s="70"/>
      <c r="D1405" s="71"/>
    </row>
    <row r="1406" spans="2:4" x14ac:dyDescent="0.15">
      <c r="B1406" s="69"/>
      <c r="C1406" s="70"/>
      <c r="D1406" s="71"/>
    </row>
    <row r="1407" spans="2:4" x14ac:dyDescent="0.15">
      <c r="B1407" s="69"/>
      <c r="C1407" s="70"/>
      <c r="D1407" s="71"/>
    </row>
    <row r="1408" spans="2:4" x14ac:dyDescent="0.15">
      <c r="B1408" s="69"/>
      <c r="C1408" s="70"/>
      <c r="D1408" s="71"/>
    </row>
    <row r="1409" spans="2:4" x14ac:dyDescent="0.15">
      <c r="B1409" s="69"/>
      <c r="C1409" s="70"/>
      <c r="D1409" s="71"/>
    </row>
    <row r="1410" spans="2:4" x14ac:dyDescent="0.15">
      <c r="B1410" s="69"/>
      <c r="C1410" s="70"/>
      <c r="D1410" s="71"/>
    </row>
    <row r="1411" spans="2:4" x14ac:dyDescent="0.15">
      <c r="B1411" s="69"/>
      <c r="C1411" s="70"/>
      <c r="D1411" s="71"/>
    </row>
    <row r="1412" spans="2:4" x14ac:dyDescent="0.15">
      <c r="B1412" s="69"/>
      <c r="C1412" s="70"/>
      <c r="D1412" s="71"/>
    </row>
    <row r="1413" spans="2:4" x14ac:dyDescent="0.15">
      <c r="B1413" s="69"/>
      <c r="C1413" s="70"/>
      <c r="D1413" s="71"/>
    </row>
    <row r="1414" spans="2:4" x14ac:dyDescent="0.15">
      <c r="B1414" s="69"/>
      <c r="C1414" s="70"/>
      <c r="D1414" s="71"/>
    </row>
    <row r="1415" spans="2:4" x14ac:dyDescent="0.15">
      <c r="B1415" s="69"/>
      <c r="C1415" s="70"/>
      <c r="D1415" s="71"/>
    </row>
    <row r="1416" spans="2:4" x14ac:dyDescent="0.15">
      <c r="B1416" s="69"/>
      <c r="C1416" s="70"/>
      <c r="D1416" s="71"/>
    </row>
    <row r="1417" spans="2:4" x14ac:dyDescent="0.15">
      <c r="B1417" s="69"/>
      <c r="C1417" s="70"/>
      <c r="D1417" s="71"/>
    </row>
    <row r="1418" spans="2:4" x14ac:dyDescent="0.15">
      <c r="B1418" s="69"/>
      <c r="C1418" s="70"/>
      <c r="D1418" s="71"/>
    </row>
    <row r="1419" spans="2:4" x14ac:dyDescent="0.15">
      <c r="B1419" s="69"/>
      <c r="C1419" s="70"/>
      <c r="D1419" s="71"/>
    </row>
    <row r="1420" spans="2:4" x14ac:dyDescent="0.15">
      <c r="B1420" s="69"/>
      <c r="C1420" s="70"/>
      <c r="D1420" s="71"/>
    </row>
    <row r="1421" spans="2:4" x14ac:dyDescent="0.15">
      <c r="B1421" s="69"/>
      <c r="C1421" s="70"/>
      <c r="D1421" s="71"/>
    </row>
    <row r="1422" spans="2:4" x14ac:dyDescent="0.15">
      <c r="B1422" s="69"/>
      <c r="C1422" s="70"/>
      <c r="D1422" s="71"/>
    </row>
    <row r="1423" spans="2:4" x14ac:dyDescent="0.15">
      <c r="B1423" s="69"/>
      <c r="C1423" s="70"/>
      <c r="D1423" s="71"/>
    </row>
    <row r="1424" spans="2:4" x14ac:dyDescent="0.15">
      <c r="B1424" s="69"/>
      <c r="C1424" s="70"/>
      <c r="D1424" s="71"/>
    </row>
    <row r="1425" spans="2:4" x14ac:dyDescent="0.15">
      <c r="B1425" s="69"/>
      <c r="C1425" s="70"/>
      <c r="D1425" s="71"/>
    </row>
    <row r="1426" spans="2:4" x14ac:dyDescent="0.15">
      <c r="B1426" s="69"/>
      <c r="C1426" s="70"/>
      <c r="D1426" s="71"/>
    </row>
    <row r="1427" spans="2:4" x14ac:dyDescent="0.15">
      <c r="B1427" s="69"/>
      <c r="C1427" s="70"/>
      <c r="D1427" s="71"/>
    </row>
    <row r="1428" spans="2:4" x14ac:dyDescent="0.15">
      <c r="B1428" s="69"/>
      <c r="C1428" s="70"/>
      <c r="D1428" s="71"/>
    </row>
    <row r="1429" spans="2:4" x14ac:dyDescent="0.15">
      <c r="B1429" s="69"/>
      <c r="C1429" s="70"/>
      <c r="D1429" s="71"/>
    </row>
    <row r="1430" spans="2:4" x14ac:dyDescent="0.15">
      <c r="B1430" s="69"/>
      <c r="C1430" s="70"/>
      <c r="D1430" s="71"/>
    </row>
    <row r="1431" spans="2:4" x14ac:dyDescent="0.15">
      <c r="B1431" s="69"/>
      <c r="C1431" s="70"/>
      <c r="D1431" s="71"/>
    </row>
    <row r="1432" spans="2:4" x14ac:dyDescent="0.15">
      <c r="B1432" s="69"/>
      <c r="C1432" s="70"/>
      <c r="D1432" s="71"/>
    </row>
    <row r="1433" spans="2:4" x14ac:dyDescent="0.15">
      <c r="B1433" s="69"/>
      <c r="C1433" s="70"/>
      <c r="D1433" s="71"/>
    </row>
    <row r="1434" spans="2:4" x14ac:dyDescent="0.15">
      <c r="B1434" s="69"/>
      <c r="C1434" s="70"/>
      <c r="D1434" s="71"/>
    </row>
    <row r="1435" spans="2:4" x14ac:dyDescent="0.15">
      <c r="B1435" s="69"/>
      <c r="C1435" s="70"/>
      <c r="D1435" s="71"/>
    </row>
    <row r="1436" spans="2:4" x14ac:dyDescent="0.15">
      <c r="B1436" s="69"/>
      <c r="C1436" s="70"/>
      <c r="D1436" s="71"/>
    </row>
    <row r="1437" spans="2:4" x14ac:dyDescent="0.15">
      <c r="B1437" s="69"/>
      <c r="C1437" s="70"/>
      <c r="D1437" s="71"/>
    </row>
    <row r="1438" spans="2:4" x14ac:dyDescent="0.15">
      <c r="B1438" s="69"/>
      <c r="C1438" s="70"/>
      <c r="D1438" s="71"/>
    </row>
    <row r="1439" spans="2:4" x14ac:dyDescent="0.15">
      <c r="B1439" s="69"/>
      <c r="C1439" s="70"/>
      <c r="D1439" s="71"/>
    </row>
    <row r="1440" spans="2:4" x14ac:dyDescent="0.15">
      <c r="B1440" s="69"/>
      <c r="C1440" s="70"/>
      <c r="D1440" s="71"/>
    </row>
    <row r="1441" spans="2:4" x14ac:dyDescent="0.15">
      <c r="B1441" s="69"/>
      <c r="C1441" s="70"/>
      <c r="D1441" s="71"/>
    </row>
    <row r="1442" spans="2:4" x14ac:dyDescent="0.15">
      <c r="B1442" s="69"/>
      <c r="C1442" s="70"/>
      <c r="D1442" s="71"/>
    </row>
    <row r="1443" spans="2:4" x14ac:dyDescent="0.15">
      <c r="B1443" s="69"/>
      <c r="C1443" s="70"/>
      <c r="D1443" s="71"/>
    </row>
    <row r="1444" spans="2:4" x14ac:dyDescent="0.15">
      <c r="B1444" s="69"/>
      <c r="C1444" s="70"/>
      <c r="D1444" s="71"/>
    </row>
    <row r="1445" spans="2:4" x14ac:dyDescent="0.15">
      <c r="B1445" s="69"/>
      <c r="C1445" s="70"/>
      <c r="D1445" s="71"/>
    </row>
    <row r="1446" spans="2:4" x14ac:dyDescent="0.15">
      <c r="B1446" s="69"/>
      <c r="C1446" s="70"/>
      <c r="D1446" s="71"/>
    </row>
    <row r="1447" spans="2:4" x14ac:dyDescent="0.15">
      <c r="B1447" s="69"/>
      <c r="C1447" s="70"/>
      <c r="D1447" s="71"/>
    </row>
    <row r="1448" spans="2:4" x14ac:dyDescent="0.15">
      <c r="B1448" s="69"/>
      <c r="C1448" s="70"/>
      <c r="D1448" s="71"/>
    </row>
    <row r="1449" spans="2:4" x14ac:dyDescent="0.15">
      <c r="B1449" s="69"/>
      <c r="C1449" s="70"/>
      <c r="D1449" s="71"/>
    </row>
    <row r="1450" spans="2:4" x14ac:dyDescent="0.15">
      <c r="B1450" s="69"/>
      <c r="C1450" s="70"/>
      <c r="D1450" s="71"/>
    </row>
    <row r="1451" spans="2:4" x14ac:dyDescent="0.15">
      <c r="B1451" s="69"/>
      <c r="C1451" s="70"/>
      <c r="D1451" s="71"/>
    </row>
    <row r="1452" spans="2:4" x14ac:dyDescent="0.15">
      <c r="B1452" s="69"/>
      <c r="C1452" s="70"/>
      <c r="D1452" s="71"/>
    </row>
    <row r="1453" spans="2:4" x14ac:dyDescent="0.15">
      <c r="B1453" s="69"/>
      <c r="C1453" s="70"/>
      <c r="D1453" s="71"/>
    </row>
    <row r="1454" spans="2:4" x14ac:dyDescent="0.15">
      <c r="B1454" s="69"/>
      <c r="C1454" s="70"/>
      <c r="D1454" s="71"/>
    </row>
    <row r="1455" spans="2:4" x14ac:dyDescent="0.15">
      <c r="B1455" s="69"/>
      <c r="C1455" s="70"/>
      <c r="D1455" s="71"/>
    </row>
    <row r="1456" spans="2:4" x14ac:dyDescent="0.15">
      <c r="B1456" s="69"/>
      <c r="C1456" s="70"/>
      <c r="D1456" s="71"/>
    </row>
    <row r="1457" spans="2:4" x14ac:dyDescent="0.15">
      <c r="B1457" s="69"/>
      <c r="C1457" s="70"/>
      <c r="D1457" s="71"/>
    </row>
    <row r="1458" spans="2:4" x14ac:dyDescent="0.15">
      <c r="B1458" s="69"/>
      <c r="C1458" s="70"/>
      <c r="D1458" s="71"/>
    </row>
    <row r="1459" spans="2:4" x14ac:dyDescent="0.15">
      <c r="B1459" s="69"/>
      <c r="C1459" s="70"/>
      <c r="D1459" s="71"/>
    </row>
    <row r="1460" spans="2:4" x14ac:dyDescent="0.15">
      <c r="B1460" s="69"/>
      <c r="C1460" s="70"/>
      <c r="D1460" s="71"/>
    </row>
    <row r="1461" spans="2:4" x14ac:dyDescent="0.15">
      <c r="B1461" s="69"/>
      <c r="C1461" s="70"/>
      <c r="D1461" s="71"/>
    </row>
    <row r="1462" spans="2:4" x14ac:dyDescent="0.15">
      <c r="B1462" s="69"/>
      <c r="C1462" s="70"/>
      <c r="D1462" s="71"/>
    </row>
    <row r="1463" spans="2:4" x14ac:dyDescent="0.15">
      <c r="B1463" s="69"/>
      <c r="C1463" s="70"/>
      <c r="D1463" s="71"/>
    </row>
    <row r="1464" spans="2:4" x14ac:dyDescent="0.15">
      <c r="B1464" s="69"/>
      <c r="C1464" s="70"/>
      <c r="D1464" s="71"/>
    </row>
    <row r="1465" spans="2:4" x14ac:dyDescent="0.15">
      <c r="B1465" s="69"/>
      <c r="C1465" s="70"/>
      <c r="D1465" s="71"/>
    </row>
    <row r="1466" spans="2:4" x14ac:dyDescent="0.15">
      <c r="B1466" s="69"/>
      <c r="C1466" s="70"/>
      <c r="D1466" s="71"/>
    </row>
    <row r="1467" spans="2:4" x14ac:dyDescent="0.15">
      <c r="B1467" s="69"/>
      <c r="C1467" s="70"/>
      <c r="D1467" s="71"/>
    </row>
    <row r="1468" spans="2:4" x14ac:dyDescent="0.15">
      <c r="B1468" s="69"/>
      <c r="C1468" s="70"/>
      <c r="D1468" s="71"/>
    </row>
    <row r="1469" spans="2:4" x14ac:dyDescent="0.15">
      <c r="B1469" s="69"/>
      <c r="C1469" s="70"/>
      <c r="D1469" s="71"/>
    </row>
    <row r="1470" spans="2:4" x14ac:dyDescent="0.15">
      <c r="B1470" s="69"/>
      <c r="C1470" s="70"/>
      <c r="D1470" s="71"/>
    </row>
    <row r="1471" spans="2:4" x14ac:dyDescent="0.15">
      <c r="B1471" s="69"/>
      <c r="C1471" s="70"/>
      <c r="D1471" s="71"/>
    </row>
    <row r="1472" spans="2:4" x14ac:dyDescent="0.15">
      <c r="B1472" s="69"/>
      <c r="C1472" s="70"/>
      <c r="D1472" s="71"/>
    </row>
    <row r="1473" spans="2:4" x14ac:dyDescent="0.15">
      <c r="B1473" s="69"/>
      <c r="C1473" s="70"/>
      <c r="D1473" s="71"/>
    </row>
    <row r="1474" spans="2:4" x14ac:dyDescent="0.15">
      <c r="B1474" s="69"/>
      <c r="C1474" s="70"/>
      <c r="D1474" s="71"/>
    </row>
    <row r="1475" spans="2:4" x14ac:dyDescent="0.15">
      <c r="B1475" s="69"/>
      <c r="C1475" s="70"/>
      <c r="D1475" s="71"/>
    </row>
    <row r="1476" spans="2:4" x14ac:dyDescent="0.15">
      <c r="B1476" s="69"/>
      <c r="C1476" s="70"/>
      <c r="D1476" s="71"/>
    </row>
    <row r="1477" spans="2:4" x14ac:dyDescent="0.15">
      <c r="B1477" s="69"/>
      <c r="C1477" s="70"/>
      <c r="D1477" s="71"/>
    </row>
    <row r="1478" spans="2:4" x14ac:dyDescent="0.15">
      <c r="B1478" s="69"/>
      <c r="C1478" s="70"/>
      <c r="D1478" s="71"/>
    </row>
    <row r="1479" spans="2:4" x14ac:dyDescent="0.15">
      <c r="B1479" s="69"/>
      <c r="C1479" s="70"/>
      <c r="D1479" s="71"/>
    </row>
    <row r="1480" spans="2:4" x14ac:dyDescent="0.15">
      <c r="B1480" s="69"/>
      <c r="C1480" s="70"/>
      <c r="D1480" s="71"/>
    </row>
    <row r="1481" spans="2:4" x14ac:dyDescent="0.15">
      <c r="B1481" s="69"/>
      <c r="C1481" s="70"/>
      <c r="D1481" s="71"/>
    </row>
    <row r="1482" spans="2:4" x14ac:dyDescent="0.15">
      <c r="B1482" s="69"/>
      <c r="C1482" s="70"/>
      <c r="D1482" s="71"/>
    </row>
    <row r="1483" spans="2:4" x14ac:dyDescent="0.15">
      <c r="B1483" s="69"/>
      <c r="C1483" s="70"/>
      <c r="D1483" s="71"/>
    </row>
    <row r="1484" spans="2:4" x14ac:dyDescent="0.15">
      <c r="B1484" s="69"/>
      <c r="C1484" s="70"/>
      <c r="D1484" s="71"/>
    </row>
    <row r="1485" spans="2:4" x14ac:dyDescent="0.15">
      <c r="B1485" s="69"/>
      <c r="C1485" s="70"/>
      <c r="D1485" s="71"/>
    </row>
    <row r="1486" spans="2:4" x14ac:dyDescent="0.15">
      <c r="B1486" s="69"/>
      <c r="C1486" s="70"/>
      <c r="D1486" s="71"/>
    </row>
    <row r="1487" spans="2:4" x14ac:dyDescent="0.15">
      <c r="B1487" s="69"/>
      <c r="C1487" s="70"/>
      <c r="D1487" s="71"/>
    </row>
    <row r="1488" spans="2:4" x14ac:dyDescent="0.15">
      <c r="B1488" s="69"/>
      <c r="C1488" s="70"/>
      <c r="D1488" s="71"/>
    </row>
    <row r="1489" spans="2:4" x14ac:dyDescent="0.15">
      <c r="B1489" s="69"/>
      <c r="C1489" s="70"/>
      <c r="D1489" s="71"/>
    </row>
    <row r="1490" spans="2:4" x14ac:dyDescent="0.15">
      <c r="B1490" s="69"/>
      <c r="C1490" s="70"/>
      <c r="D1490" s="71"/>
    </row>
    <row r="1491" spans="2:4" x14ac:dyDescent="0.15">
      <c r="B1491" s="69"/>
      <c r="C1491" s="70"/>
      <c r="D1491" s="71"/>
    </row>
    <row r="1492" spans="2:4" x14ac:dyDescent="0.15">
      <c r="B1492" s="69"/>
      <c r="C1492" s="70"/>
      <c r="D1492" s="71"/>
    </row>
    <row r="1493" spans="2:4" x14ac:dyDescent="0.15">
      <c r="B1493" s="69"/>
      <c r="C1493" s="70"/>
      <c r="D1493" s="71"/>
    </row>
    <row r="1494" spans="2:4" x14ac:dyDescent="0.15">
      <c r="B1494" s="69"/>
      <c r="C1494" s="70"/>
      <c r="D1494" s="71"/>
    </row>
    <row r="1495" spans="2:4" x14ac:dyDescent="0.15">
      <c r="B1495" s="69"/>
      <c r="C1495" s="70"/>
      <c r="D1495" s="71"/>
    </row>
    <row r="1496" spans="2:4" x14ac:dyDescent="0.15">
      <c r="B1496" s="69"/>
      <c r="C1496" s="70"/>
      <c r="D1496" s="71"/>
    </row>
    <row r="1497" spans="2:4" x14ac:dyDescent="0.15">
      <c r="B1497" s="69"/>
      <c r="C1497" s="70"/>
      <c r="D1497" s="71"/>
    </row>
    <row r="1498" spans="2:4" x14ac:dyDescent="0.15">
      <c r="B1498" s="69"/>
      <c r="C1498" s="70"/>
      <c r="D1498" s="71"/>
    </row>
    <row r="1499" spans="2:4" x14ac:dyDescent="0.15">
      <c r="B1499" s="69"/>
      <c r="C1499" s="70"/>
      <c r="D1499" s="71"/>
    </row>
    <row r="1500" spans="2:4" x14ac:dyDescent="0.15">
      <c r="B1500" s="69"/>
      <c r="C1500" s="70"/>
      <c r="D1500" s="71"/>
    </row>
    <row r="1501" spans="2:4" x14ac:dyDescent="0.15">
      <c r="B1501" s="69"/>
      <c r="C1501" s="70"/>
      <c r="D1501" s="71"/>
    </row>
    <row r="1502" spans="2:4" x14ac:dyDescent="0.15">
      <c r="B1502" s="69"/>
      <c r="C1502" s="70"/>
      <c r="D1502" s="71"/>
    </row>
    <row r="1503" spans="2:4" x14ac:dyDescent="0.15">
      <c r="B1503" s="69"/>
      <c r="C1503" s="70"/>
      <c r="D1503" s="71"/>
    </row>
    <row r="1504" spans="2:4" x14ac:dyDescent="0.15">
      <c r="B1504" s="69"/>
      <c r="C1504" s="70"/>
      <c r="D1504" s="71"/>
    </row>
    <row r="1505" spans="2:4" x14ac:dyDescent="0.15">
      <c r="B1505" s="69"/>
      <c r="C1505" s="70"/>
      <c r="D1505" s="71"/>
    </row>
    <row r="1506" spans="2:4" x14ac:dyDescent="0.15">
      <c r="B1506" s="69"/>
      <c r="C1506" s="70"/>
      <c r="D1506" s="71"/>
    </row>
    <row r="1507" spans="2:4" x14ac:dyDescent="0.15">
      <c r="B1507" s="69"/>
      <c r="C1507" s="70"/>
      <c r="D1507" s="71"/>
    </row>
    <row r="1508" spans="2:4" x14ac:dyDescent="0.15">
      <c r="B1508" s="69"/>
      <c r="C1508" s="70"/>
      <c r="D1508" s="71"/>
    </row>
    <row r="1509" spans="2:4" x14ac:dyDescent="0.15">
      <c r="B1509" s="69"/>
      <c r="C1509" s="70"/>
      <c r="D1509" s="71"/>
    </row>
    <row r="1510" spans="2:4" x14ac:dyDescent="0.15">
      <c r="B1510" s="69"/>
      <c r="C1510" s="70"/>
      <c r="D1510" s="71"/>
    </row>
    <row r="1511" spans="2:4" x14ac:dyDescent="0.15">
      <c r="B1511" s="69"/>
      <c r="C1511" s="70"/>
      <c r="D1511" s="71"/>
    </row>
    <row r="1512" spans="2:4" x14ac:dyDescent="0.15">
      <c r="B1512" s="69"/>
      <c r="C1512" s="70"/>
      <c r="D1512" s="71"/>
    </row>
    <row r="1513" spans="2:4" x14ac:dyDescent="0.15">
      <c r="B1513" s="69"/>
      <c r="C1513" s="70"/>
      <c r="D1513" s="71"/>
    </row>
    <row r="1514" spans="2:4" x14ac:dyDescent="0.15">
      <c r="B1514" s="69"/>
      <c r="C1514" s="70"/>
      <c r="D1514" s="71"/>
    </row>
    <row r="1515" spans="2:4" x14ac:dyDescent="0.15">
      <c r="B1515" s="69"/>
      <c r="C1515" s="70"/>
      <c r="D1515" s="71"/>
    </row>
    <row r="1516" spans="2:4" x14ac:dyDescent="0.15">
      <c r="B1516" s="69"/>
      <c r="C1516" s="70"/>
      <c r="D1516" s="71"/>
    </row>
    <row r="1517" spans="2:4" x14ac:dyDescent="0.15">
      <c r="B1517" s="69"/>
      <c r="C1517" s="70"/>
      <c r="D1517" s="71"/>
    </row>
    <row r="1518" spans="2:4" x14ac:dyDescent="0.15">
      <c r="B1518" s="69"/>
      <c r="C1518" s="70"/>
      <c r="D1518" s="71"/>
    </row>
    <row r="1519" spans="2:4" x14ac:dyDescent="0.15">
      <c r="B1519" s="69"/>
      <c r="C1519" s="70"/>
      <c r="D1519" s="71"/>
    </row>
    <row r="1520" spans="2:4" x14ac:dyDescent="0.15">
      <c r="B1520" s="69"/>
      <c r="C1520" s="70"/>
      <c r="D1520" s="71"/>
    </row>
    <row r="1521" spans="2:4" x14ac:dyDescent="0.15">
      <c r="B1521" s="69"/>
      <c r="C1521" s="70"/>
      <c r="D1521" s="71"/>
    </row>
    <row r="1522" spans="2:4" x14ac:dyDescent="0.15">
      <c r="B1522" s="69"/>
      <c r="C1522" s="70"/>
      <c r="D1522" s="71"/>
    </row>
    <row r="1523" spans="2:4" x14ac:dyDescent="0.15">
      <c r="B1523" s="69"/>
      <c r="C1523" s="70"/>
      <c r="D1523" s="71"/>
    </row>
    <row r="1524" spans="2:4" x14ac:dyDescent="0.15">
      <c r="B1524" s="69"/>
      <c r="C1524" s="70"/>
      <c r="D1524" s="71"/>
    </row>
    <row r="1525" spans="2:4" x14ac:dyDescent="0.15">
      <c r="B1525" s="69"/>
      <c r="C1525" s="70"/>
      <c r="D1525" s="71"/>
    </row>
    <row r="1526" spans="2:4" x14ac:dyDescent="0.15">
      <c r="B1526" s="69"/>
      <c r="C1526" s="70"/>
      <c r="D1526" s="71"/>
    </row>
    <row r="1527" spans="2:4" x14ac:dyDescent="0.15">
      <c r="B1527" s="69"/>
      <c r="C1527" s="70"/>
      <c r="D1527" s="71"/>
    </row>
    <row r="1528" spans="2:4" x14ac:dyDescent="0.15">
      <c r="B1528" s="69"/>
      <c r="C1528" s="70"/>
      <c r="D1528" s="71"/>
    </row>
    <row r="1529" spans="2:4" x14ac:dyDescent="0.15">
      <c r="B1529" s="69"/>
      <c r="C1529" s="70"/>
      <c r="D1529" s="71"/>
    </row>
    <row r="1530" spans="2:4" x14ac:dyDescent="0.15">
      <c r="B1530" s="69"/>
      <c r="C1530" s="70"/>
      <c r="D1530" s="71"/>
    </row>
    <row r="1531" spans="2:4" x14ac:dyDescent="0.15">
      <c r="B1531" s="69"/>
      <c r="C1531" s="70"/>
      <c r="D1531" s="71"/>
    </row>
    <row r="1532" spans="2:4" x14ac:dyDescent="0.15">
      <c r="B1532" s="69"/>
      <c r="C1532" s="70"/>
      <c r="D1532" s="71"/>
    </row>
    <row r="1533" spans="2:4" x14ac:dyDescent="0.15">
      <c r="B1533" s="69"/>
      <c r="C1533" s="70"/>
      <c r="D1533" s="71"/>
    </row>
    <row r="1534" spans="2:4" x14ac:dyDescent="0.15">
      <c r="B1534" s="69"/>
      <c r="C1534" s="70"/>
      <c r="D1534" s="71"/>
    </row>
    <row r="1535" spans="2:4" x14ac:dyDescent="0.15">
      <c r="B1535" s="69"/>
      <c r="C1535" s="70"/>
      <c r="D1535" s="71"/>
    </row>
    <row r="1536" spans="2:4" x14ac:dyDescent="0.15">
      <c r="B1536" s="69"/>
      <c r="C1536" s="70"/>
      <c r="D1536" s="71"/>
    </row>
    <row r="1537" spans="2:4" x14ac:dyDescent="0.15">
      <c r="B1537" s="69"/>
      <c r="C1537" s="70"/>
      <c r="D1537" s="71"/>
    </row>
    <row r="1538" spans="2:4" x14ac:dyDescent="0.15">
      <c r="B1538" s="69"/>
      <c r="C1538" s="70"/>
      <c r="D1538" s="71"/>
    </row>
    <row r="1539" spans="2:4" x14ac:dyDescent="0.15">
      <c r="B1539" s="69"/>
      <c r="C1539" s="70"/>
      <c r="D1539" s="71"/>
    </row>
    <row r="1540" spans="2:4" x14ac:dyDescent="0.15">
      <c r="B1540" s="69"/>
      <c r="C1540" s="70"/>
      <c r="D1540" s="71"/>
    </row>
    <row r="1541" spans="2:4" x14ac:dyDescent="0.15">
      <c r="B1541" s="69"/>
      <c r="C1541" s="70"/>
      <c r="D1541" s="71"/>
    </row>
    <row r="1542" spans="2:4" x14ac:dyDescent="0.15">
      <c r="B1542" s="69"/>
      <c r="C1542" s="70"/>
      <c r="D1542" s="71"/>
    </row>
    <row r="1543" spans="2:4" x14ac:dyDescent="0.15">
      <c r="B1543" s="69"/>
      <c r="C1543" s="70"/>
      <c r="D1543" s="71"/>
    </row>
    <row r="1544" spans="2:4" x14ac:dyDescent="0.15">
      <c r="B1544" s="69"/>
      <c r="C1544" s="70"/>
      <c r="D1544" s="71"/>
    </row>
    <row r="1545" spans="2:4" x14ac:dyDescent="0.15">
      <c r="B1545" s="69"/>
      <c r="C1545" s="70"/>
      <c r="D1545" s="71"/>
    </row>
    <row r="1546" spans="2:4" x14ac:dyDescent="0.15">
      <c r="B1546" s="69"/>
      <c r="C1546" s="70"/>
      <c r="D1546" s="71"/>
    </row>
    <row r="1547" spans="2:4" x14ac:dyDescent="0.15">
      <c r="B1547" s="69"/>
      <c r="C1547" s="70"/>
      <c r="D1547" s="71"/>
    </row>
    <row r="1548" spans="2:4" x14ac:dyDescent="0.15">
      <c r="B1548" s="69"/>
      <c r="C1548" s="70"/>
      <c r="D1548" s="71"/>
    </row>
    <row r="1549" spans="2:4" x14ac:dyDescent="0.15">
      <c r="B1549" s="69"/>
      <c r="C1549" s="70"/>
      <c r="D1549" s="71"/>
    </row>
    <row r="1550" spans="2:4" x14ac:dyDescent="0.15">
      <c r="B1550" s="69"/>
      <c r="C1550" s="70"/>
      <c r="D1550" s="71"/>
    </row>
    <row r="1551" spans="2:4" x14ac:dyDescent="0.15">
      <c r="B1551" s="69"/>
      <c r="C1551" s="70"/>
      <c r="D1551" s="71"/>
    </row>
    <row r="1552" spans="2:4" x14ac:dyDescent="0.15">
      <c r="B1552" s="69"/>
      <c r="C1552" s="70"/>
      <c r="D1552" s="71"/>
    </row>
    <row r="1553" spans="2:4" x14ac:dyDescent="0.15">
      <c r="B1553" s="69"/>
      <c r="C1553" s="70"/>
      <c r="D1553" s="71"/>
    </row>
    <row r="1554" spans="2:4" x14ac:dyDescent="0.15">
      <c r="B1554" s="69"/>
      <c r="C1554" s="70"/>
      <c r="D1554" s="71"/>
    </row>
    <row r="1555" spans="2:4" x14ac:dyDescent="0.15">
      <c r="B1555" s="69"/>
      <c r="C1555" s="70"/>
      <c r="D1555" s="71"/>
    </row>
    <row r="1556" spans="2:4" x14ac:dyDescent="0.15">
      <c r="B1556" s="69"/>
      <c r="C1556" s="70"/>
      <c r="D1556" s="71"/>
    </row>
    <row r="1557" spans="2:4" x14ac:dyDescent="0.15">
      <c r="B1557" s="69"/>
      <c r="C1557" s="70"/>
      <c r="D1557" s="71"/>
    </row>
    <row r="1558" spans="2:4" x14ac:dyDescent="0.15">
      <c r="B1558" s="69"/>
      <c r="C1558" s="70"/>
      <c r="D1558" s="71"/>
    </row>
    <row r="1559" spans="2:4" x14ac:dyDescent="0.15">
      <c r="B1559" s="69"/>
      <c r="C1559" s="70"/>
      <c r="D1559" s="71"/>
    </row>
    <row r="1560" spans="2:4" x14ac:dyDescent="0.15">
      <c r="B1560" s="69"/>
      <c r="C1560" s="70"/>
      <c r="D1560" s="71"/>
    </row>
    <row r="1561" spans="2:4" x14ac:dyDescent="0.15">
      <c r="B1561" s="69"/>
      <c r="C1561" s="70"/>
      <c r="D1561" s="71"/>
    </row>
    <row r="1562" spans="2:4" x14ac:dyDescent="0.15">
      <c r="B1562" s="69"/>
      <c r="C1562" s="70"/>
      <c r="D1562" s="71"/>
    </row>
    <row r="1563" spans="2:4" x14ac:dyDescent="0.15">
      <c r="B1563" s="69"/>
      <c r="C1563" s="70"/>
      <c r="D1563" s="71"/>
    </row>
    <row r="1564" spans="2:4" x14ac:dyDescent="0.15">
      <c r="B1564" s="69"/>
      <c r="C1564" s="70"/>
      <c r="D1564" s="71"/>
    </row>
    <row r="1565" spans="2:4" x14ac:dyDescent="0.15">
      <c r="B1565" s="69"/>
      <c r="C1565" s="70"/>
      <c r="D1565" s="71"/>
    </row>
    <row r="1566" spans="2:4" x14ac:dyDescent="0.15">
      <c r="B1566" s="69"/>
      <c r="C1566" s="70"/>
      <c r="D1566" s="71"/>
    </row>
    <row r="1567" spans="2:4" x14ac:dyDescent="0.15">
      <c r="B1567" s="69"/>
      <c r="C1567" s="70"/>
      <c r="D1567" s="71"/>
    </row>
    <row r="1568" spans="2:4" x14ac:dyDescent="0.15">
      <c r="B1568" s="69"/>
      <c r="C1568" s="70"/>
      <c r="D1568" s="71"/>
    </row>
    <row r="1569" spans="2:4" x14ac:dyDescent="0.15">
      <c r="B1569" s="69"/>
      <c r="C1569" s="70"/>
      <c r="D1569" s="71"/>
    </row>
    <row r="1570" spans="2:4" x14ac:dyDescent="0.15">
      <c r="B1570" s="69"/>
      <c r="C1570" s="70"/>
      <c r="D1570" s="71"/>
    </row>
    <row r="1571" spans="2:4" x14ac:dyDescent="0.15">
      <c r="B1571" s="69"/>
      <c r="C1571" s="70"/>
      <c r="D1571" s="71"/>
    </row>
    <row r="1572" spans="2:4" x14ac:dyDescent="0.15">
      <c r="B1572" s="69"/>
      <c r="C1572" s="70"/>
      <c r="D1572" s="71"/>
    </row>
    <row r="1573" spans="2:4" x14ac:dyDescent="0.15">
      <c r="B1573" s="69"/>
      <c r="C1573" s="70"/>
      <c r="D1573" s="71"/>
    </row>
    <row r="1574" spans="2:4" x14ac:dyDescent="0.15">
      <c r="B1574" s="69"/>
      <c r="C1574" s="70"/>
      <c r="D1574" s="71"/>
    </row>
    <row r="1575" spans="2:4" x14ac:dyDescent="0.15">
      <c r="B1575" s="69"/>
      <c r="C1575" s="70"/>
      <c r="D1575" s="71"/>
    </row>
    <row r="1576" spans="2:4" x14ac:dyDescent="0.15">
      <c r="B1576" s="69"/>
      <c r="C1576" s="70"/>
      <c r="D1576" s="71"/>
    </row>
    <row r="1577" spans="2:4" x14ac:dyDescent="0.15">
      <c r="B1577" s="69"/>
      <c r="C1577" s="70"/>
      <c r="D1577" s="71"/>
    </row>
    <row r="1578" spans="2:4" x14ac:dyDescent="0.15">
      <c r="B1578" s="69"/>
      <c r="C1578" s="70"/>
      <c r="D1578" s="71"/>
    </row>
    <row r="1579" spans="2:4" x14ac:dyDescent="0.15">
      <c r="B1579" s="69"/>
      <c r="C1579" s="70"/>
      <c r="D1579" s="71"/>
    </row>
    <row r="1580" spans="2:4" x14ac:dyDescent="0.15">
      <c r="B1580" s="69"/>
      <c r="C1580" s="70"/>
      <c r="D1580" s="71"/>
    </row>
    <row r="1581" spans="2:4" x14ac:dyDescent="0.15">
      <c r="B1581" s="69"/>
      <c r="C1581" s="70"/>
      <c r="D1581" s="71"/>
    </row>
    <row r="1582" spans="2:4" x14ac:dyDescent="0.15">
      <c r="B1582" s="69"/>
      <c r="C1582" s="70"/>
      <c r="D1582" s="71"/>
    </row>
    <row r="1583" spans="2:4" x14ac:dyDescent="0.15">
      <c r="B1583" s="69"/>
      <c r="C1583" s="70"/>
      <c r="D1583" s="71"/>
    </row>
    <row r="1584" spans="2:4" x14ac:dyDescent="0.15">
      <c r="B1584" s="69"/>
      <c r="C1584" s="70"/>
      <c r="D1584" s="71"/>
    </row>
    <row r="1585" spans="2:4" x14ac:dyDescent="0.15">
      <c r="B1585" s="69"/>
      <c r="C1585" s="70"/>
      <c r="D1585" s="71"/>
    </row>
    <row r="1586" spans="2:4" x14ac:dyDescent="0.15">
      <c r="B1586" s="69"/>
      <c r="C1586" s="70"/>
      <c r="D1586" s="71"/>
    </row>
    <row r="1587" spans="2:4" x14ac:dyDescent="0.15">
      <c r="B1587" s="69"/>
      <c r="C1587" s="70"/>
      <c r="D1587" s="71"/>
    </row>
    <row r="1588" spans="2:4" x14ac:dyDescent="0.15">
      <c r="B1588" s="69"/>
      <c r="C1588" s="70"/>
      <c r="D1588" s="71"/>
    </row>
    <row r="1589" spans="2:4" x14ac:dyDescent="0.15">
      <c r="B1589" s="69"/>
      <c r="C1589" s="70"/>
      <c r="D1589" s="71"/>
    </row>
    <row r="1590" spans="2:4" x14ac:dyDescent="0.15">
      <c r="B1590" s="69"/>
      <c r="C1590" s="70"/>
      <c r="D1590" s="71"/>
    </row>
    <row r="1591" spans="2:4" x14ac:dyDescent="0.15">
      <c r="B1591" s="69"/>
      <c r="C1591" s="70"/>
      <c r="D1591" s="71"/>
    </row>
    <row r="1592" spans="2:4" x14ac:dyDescent="0.15">
      <c r="B1592" s="69"/>
      <c r="C1592" s="70"/>
      <c r="D1592" s="71"/>
    </row>
    <row r="1593" spans="2:4" x14ac:dyDescent="0.15">
      <c r="B1593" s="69"/>
      <c r="C1593" s="70"/>
      <c r="D1593" s="71"/>
    </row>
    <row r="1594" spans="2:4" x14ac:dyDescent="0.15">
      <c r="B1594" s="69"/>
      <c r="C1594" s="70"/>
      <c r="D1594" s="71"/>
    </row>
    <row r="1595" spans="2:4" x14ac:dyDescent="0.15">
      <c r="B1595" s="69"/>
      <c r="C1595" s="70"/>
      <c r="D1595" s="71"/>
    </row>
    <row r="1596" spans="2:4" x14ac:dyDescent="0.15">
      <c r="B1596" s="69"/>
      <c r="C1596" s="70"/>
      <c r="D1596" s="71"/>
    </row>
    <row r="1597" spans="2:4" x14ac:dyDescent="0.15">
      <c r="B1597" s="69"/>
      <c r="C1597" s="70"/>
      <c r="D1597" s="71"/>
    </row>
    <row r="1598" spans="2:4" x14ac:dyDescent="0.15">
      <c r="B1598" s="69"/>
      <c r="C1598" s="70"/>
      <c r="D1598" s="71"/>
    </row>
    <row r="1599" spans="2:4" x14ac:dyDescent="0.15">
      <c r="B1599" s="69"/>
      <c r="C1599" s="70"/>
      <c r="D1599" s="71"/>
    </row>
    <row r="1600" spans="2:4" x14ac:dyDescent="0.15">
      <c r="B1600" s="69"/>
      <c r="C1600" s="70"/>
      <c r="D1600" s="71"/>
    </row>
    <row r="1601" spans="2:4" x14ac:dyDescent="0.15">
      <c r="B1601" s="69"/>
      <c r="C1601" s="70"/>
      <c r="D1601" s="71"/>
    </row>
    <row r="1602" spans="2:4" x14ac:dyDescent="0.15">
      <c r="B1602" s="69"/>
      <c r="C1602" s="70"/>
      <c r="D1602" s="71"/>
    </row>
    <row r="1603" spans="2:4" x14ac:dyDescent="0.15">
      <c r="B1603" s="69"/>
      <c r="C1603" s="70"/>
      <c r="D1603" s="71"/>
    </row>
    <row r="1604" spans="2:4" x14ac:dyDescent="0.15">
      <c r="B1604" s="69"/>
      <c r="C1604" s="70"/>
      <c r="D1604" s="71"/>
    </row>
    <row r="1605" spans="2:4" x14ac:dyDescent="0.15">
      <c r="B1605" s="69"/>
      <c r="C1605" s="70"/>
      <c r="D1605" s="71"/>
    </row>
    <row r="1606" spans="2:4" x14ac:dyDescent="0.15">
      <c r="B1606" s="69"/>
      <c r="C1606" s="70"/>
      <c r="D1606" s="71"/>
    </row>
    <row r="1607" spans="2:4" x14ac:dyDescent="0.15">
      <c r="B1607" s="69"/>
      <c r="C1607" s="70"/>
      <c r="D1607" s="71"/>
    </row>
    <row r="1608" spans="2:4" x14ac:dyDescent="0.15">
      <c r="B1608" s="69"/>
      <c r="C1608" s="70"/>
      <c r="D1608" s="71"/>
    </row>
    <row r="1609" spans="2:4" x14ac:dyDescent="0.15">
      <c r="B1609" s="69"/>
      <c r="C1609" s="70"/>
      <c r="D1609" s="71"/>
    </row>
    <row r="1610" spans="2:4" x14ac:dyDescent="0.15">
      <c r="B1610" s="69"/>
      <c r="C1610" s="70"/>
      <c r="D1610" s="71"/>
    </row>
    <row r="1611" spans="2:4" x14ac:dyDescent="0.15">
      <c r="B1611" s="69"/>
      <c r="C1611" s="70"/>
      <c r="D1611" s="71"/>
    </row>
    <row r="1612" spans="2:4" x14ac:dyDescent="0.15">
      <c r="B1612" s="69"/>
      <c r="C1612" s="70"/>
      <c r="D1612" s="71"/>
    </row>
    <row r="1613" spans="2:4" x14ac:dyDescent="0.15">
      <c r="B1613" s="69"/>
      <c r="C1613" s="70"/>
      <c r="D1613" s="71"/>
    </row>
    <row r="1614" spans="2:4" x14ac:dyDescent="0.15">
      <c r="B1614" s="69"/>
      <c r="C1614" s="70"/>
      <c r="D1614" s="71"/>
    </row>
    <row r="1615" spans="2:4" x14ac:dyDescent="0.15">
      <c r="B1615" s="69"/>
      <c r="C1615" s="70"/>
      <c r="D1615" s="71"/>
    </row>
    <row r="1616" spans="2:4" x14ac:dyDescent="0.15">
      <c r="B1616" s="69"/>
      <c r="C1616" s="70"/>
      <c r="D1616" s="71"/>
    </row>
    <row r="1617" spans="2:4" x14ac:dyDescent="0.15">
      <c r="B1617" s="69"/>
      <c r="C1617" s="70"/>
      <c r="D1617" s="71"/>
    </row>
    <row r="1618" spans="2:4" x14ac:dyDescent="0.15">
      <c r="B1618" s="69"/>
      <c r="C1618" s="70"/>
      <c r="D1618" s="71"/>
    </row>
    <row r="1619" spans="2:4" x14ac:dyDescent="0.15">
      <c r="B1619" s="69"/>
      <c r="C1619" s="70"/>
      <c r="D1619" s="71"/>
    </row>
    <row r="1620" spans="2:4" x14ac:dyDescent="0.15">
      <c r="B1620" s="69"/>
      <c r="C1620" s="70"/>
      <c r="D1620" s="71"/>
    </row>
    <row r="1621" spans="2:4" x14ac:dyDescent="0.15">
      <c r="B1621" s="69"/>
      <c r="C1621" s="70"/>
      <c r="D1621" s="71"/>
    </row>
    <row r="1622" spans="2:4" x14ac:dyDescent="0.15">
      <c r="B1622" s="69"/>
      <c r="C1622" s="70"/>
      <c r="D1622" s="71"/>
    </row>
    <row r="1623" spans="2:4" x14ac:dyDescent="0.15">
      <c r="B1623" s="69"/>
      <c r="C1623" s="70"/>
      <c r="D1623" s="71"/>
    </row>
    <row r="1624" spans="2:4" x14ac:dyDescent="0.15">
      <c r="B1624" s="69"/>
      <c r="C1624" s="70"/>
      <c r="D1624" s="71"/>
    </row>
    <row r="1625" spans="2:4" x14ac:dyDescent="0.15">
      <c r="B1625" s="69"/>
      <c r="C1625" s="70"/>
      <c r="D1625" s="71"/>
    </row>
    <row r="1626" spans="2:4" x14ac:dyDescent="0.15">
      <c r="B1626" s="69"/>
      <c r="C1626" s="70"/>
      <c r="D1626" s="71"/>
    </row>
    <row r="1627" spans="2:4" x14ac:dyDescent="0.15">
      <c r="B1627" s="69"/>
      <c r="C1627" s="70"/>
      <c r="D1627" s="71"/>
    </row>
    <row r="1628" spans="2:4" x14ac:dyDescent="0.15">
      <c r="B1628" s="69"/>
      <c r="C1628" s="70"/>
      <c r="D1628" s="71"/>
    </row>
    <row r="1629" spans="2:4" x14ac:dyDescent="0.15">
      <c r="B1629" s="69"/>
      <c r="C1629" s="70"/>
      <c r="D1629" s="71"/>
    </row>
    <row r="1630" spans="2:4" x14ac:dyDescent="0.15">
      <c r="B1630" s="69"/>
      <c r="C1630" s="70"/>
      <c r="D1630" s="71"/>
    </row>
    <row r="1631" spans="2:4" x14ac:dyDescent="0.15">
      <c r="B1631" s="69"/>
      <c r="C1631" s="70"/>
      <c r="D1631" s="71"/>
    </row>
    <row r="1632" spans="2:4" x14ac:dyDescent="0.15">
      <c r="B1632" s="69"/>
      <c r="C1632" s="70"/>
      <c r="D1632" s="71"/>
    </row>
    <row r="1633" spans="2:4" x14ac:dyDescent="0.15">
      <c r="B1633" s="69"/>
      <c r="C1633" s="70"/>
      <c r="D1633" s="71"/>
    </row>
    <row r="1634" spans="2:4" x14ac:dyDescent="0.15">
      <c r="B1634" s="69"/>
      <c r="C1634" s="70"/>
      <c r="D1634" s="71"/>
    </row>
    <row r="1635" spans="2:4" x14ac:dyDescent="0.15">
      <c r="B1635" s="69"/>
      <c r="C1635" s="70"/>
      <c r="D1635" s="71"/>
    </row>
    <row r="1636" spans="2:4" x14ac:dyDescent="0.15">
      <c r="B1636" s="69"/>
      <c r="C1636" s="70"/>
      <c r="D1636" s="71"/>
    </row>
    <row r="1637" spans="2:4" x14ac:dyDescent="0.15">
      <c r="B1637" s="69"/>
      <c r="C1637" s="70"/>
      <c r="D1637" s="71"/>
    </row>
    <row r="1638" spans="2:4" x14ac:dyDescent="0.15">
      <c r="B1638" s="69"/>
      <c r="C1638" s="70"/>
      <c r="D1638" s="71"/>
    </row>
    <row r="1639" spans="2:4" x14ac:dyDescent="0.15">
      <c r="B1639" s="69"/>
      <c r="C1639" s="70"/>
      <c r="D1639" s="71"/>
    </row>
    <row r="1640" spans="2:4" x14ac:dyDescent="0.15">
      <c r="B1640" s="69"/>
      <c r="C1640" s="70"/>
      <c r="D1640" s="71"/>
    </row>
    <row r="1641" spans="2:4" x14ac:dyDescent="0.15">
      <c r="B1641" s="69"/>
      <c r="C1641" s="70"/>
      <c r="D1641" s="71"/>
    </row>
    <row r="1642" spans="2:4" x14ac:dyDescent="0.15">
      <c r="B1642" s="69"/>
      <c r="C1642" s="70"/>
      <c r="D1642" s="71"/>
    </row>
    <row r="1643" spans="2:4" x14ac:dyDescent="0.15">
      <c r="B1643" s="69"/>
      <c r="C1643" s="70"/>
      <c r="D1643" s="71"/>
    </row>
    <row r="1644" spans="2:4" x14ac:dyDescent="0.15">
      <c r="B1644" s="69"/>
      <c r="C1644" s="70"/>
      <c r="D1644" s="71"/>
    </row>
    <row r="1645" spans="2:4" x14ac:dyDescent="0.15">
      <c r="B1645" s="69"/>
      <c r="C1645" s="70"/>
      <c r="D1645" s="71"/>
    </row>
    <row r="1646" spans="2:4" x14ac:dyDescent="0.15">
      <c r="B1646" s="69"/>
      <c r="C1646" s="70"/>
      <c r="D1646" s="71"/>
    </row>
    <row r="1647" spans="2:4" x14ac:dyDescent="0.15">
      <c r="B1647" s="69"/>
      <c r="C1647" s="70"/>
      <c r="D1647" s="71"/>
    </row>
    <row r="1648" spans="2:4" x14ac:dyDescent="0.15">
      <c r="B1648" s="69"/>
      <c r="C1648" s="70"/>
      <c r="D1648" s="71"/>
    </row>
    <row r="1649" spans="2:4" x14ac:dyDescent="0.15">
      <c r="B1649" s="69"/>
      <c r="C1649" s="70"/>
      <c r="D1649" s="71"/>
    </row>
    <row r="1650" spans="2:4" x14ac:dyDescent="0.15">
      <c r="B1650" s="69"/>
      <c r="C1650" s="70"/>
      <c r="D1650" s="71"/>
    </row>
    <row r="1651" spans="2:4" x14ac:dyDescent="0.15">
      <c r="B1651" s="69"/>
      <c r="C1651" s="70"/>
      <c r="D1651" s="71"/>
    </row>
    <row r="1652" spans="2:4" x14ac:dyDescent="0.15">
      <c r="B1652" s="69"/>
      <c r="C1652" s="70"/>
      <c r="D1652" s="71"/>
    </row>
    <row r="1653" spans="2:4" x14ac:dyDescent="0.15">
      <c r="B1653" s="69"/>
      <c r="C1653" s="70"/>
      <c r="D1653" s="71"/>
    </row>
    <row r="1654" spans="2:4" x14ac:dyDescent="0.15">
      <c r="B1654" s="69"/>
      <c r="C1654" s="70"/>
      <c r="D1654" s="71"/>
    </row>
    <row r="1655" spans="2:4" x14ac:dyDescent="0.15">
      <c r="B1655" s="69"/>
      <c r="C1655" s="70"/>
      <c r="D1655" s="71"/>
    </row>
    <row r="1656" spans="2:4" x14ac:dyDescent="0.15">
      <c r="B1656" s="69"/>
      <c r="C1656" s="70"/>
      <c r="D1656" s="71"/>
    </row>
    <row r="1657" spans="2:4" x14ac:dyDescent="0.15">
      <c r="B1657" s="69"/>
      <c r="C1657" s="70"/>
      <c r="D1657" s="71"/>
    </row>
    <row r="1658" spans="2:4" x14ac:dyDescent="0.15">
      <c r="B1658" s="69"/>
      <c r="C1658" s="70"/>
      <c r="D1658" s="71"/>
    </row>
    <row r="1659" spans="2:4" x14ac:dyDescent="0.15">
      <c r="B1659" s="69"/>
      <c r="C1659" s="70"/>
      <c r="D1659" s="71"/>
    </row>
    <row r="1660" spans="2:4" x14ac:dyDescent="0.15">
      <c r="B1660" s="69"/>
      <c r="C1660" s="70"/>
      <c r="D1660" s="71"/>
    </row>
    <row r="1661" spans="2:4" x14ac:dyDescent="0.15">
      <c r="B1661" s="69"/>
      <c r="C1661" s="70"/>
      <c r="D1661" s="71"/>
    </row>
    <row r="1662" spans="2:4" x14ac:dyDescent="0.15">
      <c r="B1662" s="69"/>
      <c r="C1662" s="70"/>
      <c r="D1662" s="71"/>
    </row>
    <row r="1663" spans="2:4" x14ac:dyDescent="0.15">
      <c r="B1663" s="69"/>
      <c r="C1663" s="70"/>
      <c r="D1663" s="71"/>
    </row>
    <row r="1664" spans="2:4" x14ac:dyDescent="0.15">
      <c r="B1664" s="69"/>
      <c r="C1664" s="70"/>
      <c r="D1664" s="71"/>
    </row>
    <row r="1665" spans="2:4" x14ac:dyDescent="0.15">
      <c r="B1665" s="69"/>
      <c r="C1665" s="70"/>
      <c r="D1665" s="71"/>
    </row>
    <row r="1666" spans="2:4" x14ac:dyDescent="0.15">
      <c r="B1666" s="69"/>
      <c r="C1666" s="70"/>
      <c r="D1666" s="71"/>
    </row>
    <row r="1667" spans="2:4" x14ac:dyDescent="0.15">
      <c r="B1667" s="69"/>
      <c r="C1667" s="70"/>
      <c r="D1667" s="71"/>
    </row>
    <row r="1668" spans="2:4" x14ac:dyDescent="0.15">
      <c r="B1668" s="69"/>
      <c r="C1668" s="70"/>
      <c r="D1668" s="71"/>
    </row>
    <row r="1669" spans="2:4" x14ac:dyDescent="0.15">
      <c r="B1669" s="69"/>
      <c r="C1669" s="70"/>
      <c r="D1669" s="71"/>
    </row>
    <row r="1670" spans="2:4" x14ac:dyDescent="0.15">
      <c r="B1670" s="69"/>
      <c r="C1670" s="70"/>
      <c r="D1670" s="71"/>
    </row>
    <row r="1671" spans="2:4" x14ac:dyDescent="0.15">
      <c r="B1671" s="69"/>
      <c r="C1671" s="70"/>
      <c r="D1671" s="71"/>
    </row>
    <row r="1672" spans="2:4" x14ac:dyDescent="0.15">
      <c r="B1672" s="69"/>
      <c r="C1672" s="70"/>
      <c r="D1672" s="71"/>
    </row>
    <row r="1673" spans="2:4" x14ac:dyDescent="0.15">
      <c r="B1673" s="69"/>
      <c r="C1673" s="70"/>
      <c r="D1673" s="71"/>
    </row>
    <row r="1674" spans="2:4" x14ac:dyDescent="0.15">
      <c r="B1674" s="69"/>
      <c r="C1674" s="70"/>
      <c r="D1674" s="71"/>
    </row>
    <row r="1675" spans="2:4" x14ac:dyDescent="0.15">
      <c r="B1675" s="69"/>
      <c r="C1675" s="70"/>
      <c r="D1675" s="71"/>
    </row>
    <row r="1676" spans="2:4" x14ac:dyDescent="0.15">
      <c r="B1676" s="69"/>
      <c r="C1676" s="70"/>
      <c r="D1676" s="71"/>
    </row>
    <row r="1677" spans="2:4" x14ac:dyDescent="0.15">
      <c r="B1677" s="69"/>
      <c r="C1677" s="70"/>
      <c r="D1677" s="71"/>
    </row>
    <row r="1678" spans="2:4" x14ac:dyDescent="0.15">
      <c r="B1678" s="69"/>
      <c r="C1678" s="70"/>
      <c r="D1678" s="71"/>
    </row>
    <row r="1679" spans="2:4" x14ac:dyDescent="0.15">
      <c r="B1679" s="69"/>
      <c r="C1679" s="70"/>
      <c r="D1679" s="71"/>
    </row>
    <row r="1680" spans="2:4" x14ac:dyDescent="0.15">
      <c r="B1680" s="69"/>
      <c r="C1680" s="70"/>
      <c r="D1680" s="71"/>
    </row>
    <row r="1681" spans="2:4" x14ac:dyDescent="0.15">
      <c r="B1681" s="69"/>
      <c r="C1681" s="70"/>
      <c r="D1681" s="71"/>
    </row>
    <row r="1682" spans="2:4" x14ac:dyDescent="0.15">
      <c r="B1682" s="69"/>
      <c r="C1682" s="70"/>
      <c r="D1682" s="71"/>
    </row>
    <row r="1683" spans="2:4" x14ac:dyDescent="0.15">
      <c r="B1683" s="69"/>
      <c r="C1683" s="70"/>
      <c r="D1683" s="71"/>
    </row>
    <row r="1684" spans="2:4" x14ac:dyDescent="0.15">
      <c r="B1684" s="69"/>
      <c r="C1684" s="70"/>
      <c r="D1684" s="71"/>
    </row>
    <row r="1685" spans="2:4" x14ac:dyDescent="0.15">
      <c r="B1685" s="69"/>
      <c r="C1685" s="70"/>
      <c r="D1685" s="71"/>
    </row>
    <row r="1686" spans="2:4" x14ac:dyDescent="0.15">
      <c r="B1686" s="69"/>
      <c r="C1686" s="70"/>
      <c r="D1686" s="71"/>
    </row>
    <row r="1687" spans="2:4" x14ac:dyDescent="0.15">
      <c r="B1687" s="69"/>
      <c r="C1687" s="70"/>
      <c r="D1687" s="71"/>
    </row>
    <row r="1688" spans="2:4" x14ac:dyDescent="0.15">
      <c r="B1688" s="69"/>
      <c r="C1688" s="70"/>
      <c r="D1688" s="71"/>
    </row>
    <row r="1689" spans="2:4" x14ac:dyDescent="0.15">
      <c r="B1689" s="69"/>
      <c r="C1689" s="70"/>
      <c r="D1689" s="71"/>
    </row>
    <row r="1690" spans="2:4" x14ac:dyDescent="0.15">
      <c r="B1690" s="69"/>
      <c r="C1690" s="70"/>
      <c r="D1690" s="71"/>
    </row>
    <row r="1691" spans="2:4" x14ac:dyDescent="0.15">
      <c r="B1691" s="69"/>
      <c r="C1691" s="70"/>
      <c r="D1691" s="71"/>
    </row>
    <row r="1692" spans="2:4" x14ac:dyDescent="0.15">
      <c r="B1692" s="69"/>
      <c r="C1692" s="70"/>
      <c r="D1692" s="71"/>
    </row>
    <row r="1693" spans="2:4" x14ac:dyDescent="0.15">
      <c r="B1693" s="69"/>
      <c r="C1693" s="70"/>
      <c r="D1693" s="71"/>
    </row>
    <row r="1694" spans="2:4" x14ac:dyDescent="0.15">
      <c r="B1694" s="69"/>
      <c r="C1694" s="70"/>
      <c r="D1694" s="71"/>
    </row>
    <row r="1695" spans="2:4" x14ac:dyDescent="0.15">
      <c r="B1695" s="69"/>
      <c r="C1695" s="70"/>
      <c r="D1695" s="71"/>
    </row>
    <row r="1696" spans="2:4" x14ac:dyDescent="0.15">
      <c r="B1696" s="69"/>
      <c r="C1696" s="70"/>
      <c r="D1696" s="71"/>
    </row>
    <row r="1697" spans="2:4" x14ac:dyDescent="0.15">
      <c r="B1697" s="69"/>
      <c r="C1697" s="70"/>
      <c r="D1697" s="71"/>
    </row>
    <row r="1698" spans="2:4" x14ac:dyDescent="0.15">
      <c r="B1698" s="69"/>
      <c r="C1698" s="70"/>
      <c r="D1698" s="71"/>
    </row>
    <row r="1699" spans="2:4" x14ac:dyDescent="0.15">
      <c r="B1699" s="69"/>
      <c r="C1699" s="70"/>
      <c r="D1699" s="71"/>
    </row>
    <row r="1700" spans="2:4" x14ac:dyDescent="0.15">
      <c r="B1700" s="69"/>
      <c r="C1700" s="70"/>
      <c r="D1700" s="71"/>
    </row>
    <row r="1701" spans="2:4" x14ac:dyDescent="0.15">
      <c r="B1701" s="69"/>
      <c r="C1701" s="70"/>
      <c r="D1701" s="71"/>
    </row>
    <row r="1702" spans="2:4" x14ac:dyDescent="0.15">
      <c r="B1702" s="69"/>
      <c r="C1702" s="70"/>
      <c r="D1702" s="71"/>
    </row>
    <row r="1703" spans="2:4" x14ac:dyDescent="0.15">
      <c r="B1703" s="69"/>
      <c r="C1703" s="70"/>
      <c r="D1703" s="71"/>
    </row>
    <row r="1704" spans="2:4" x14ac:dyDescent="0.15">
      <c r="B1704" s="69"/>
      <c r="C1704" s="70"/>
      <c r="D1704" s="71"/>
    </row>
    <row r="1705" spans="2:4" x14ac:dyDescent="0.15">
      <c r="B1705" s="69"/>
      <c r="C1705" s="70"/>
      <c r="D1705" s="71"/>
    </row>
    <row r="1706" spans="2:4" x14ac:dyDescent="0.15">
      <c r="B1706" s="69"/>
      <c r="C1706" s="70"/>
      <c r="D1706" s="71"/>
    </row>
    <row r="1707" spans="2:4" x14ac:dyDescent="0.15">
      <c r="B1707" s="69"/>
      <c r="C1707" s="70"/>
      <c r="D1707" s="71"/>
    </row>
    <row r="1708" spans="2:4" x14ac:dyDescent="0.15">
      <c r="B1708" s="69"/>
      <c r="C1708" s="70"/>
      <c r="D1708" s="71"/>
    </row>
    <row r="1709" spans="2:4" x14ac:dyDescent="0.15">
      <c r="B1709" s="69"/>
      <c r="C1709" s="70"/>
      <c r="D1709" s="71"/>
    </row>
    <row r="1710" spans="2:4" x14ac:dyDescent="0.15">
      <c r="B1710" s="69"/>
      <c r="C1710" s="70"/>
      <c r="D1710" s="71"/>
    </row>
    <row r="1711" spans="2:4" x14ac:dyDescent="0.15">
      <c r="B1711" s="69"/>
      <c r="C1711" s="70"/>
      <c r="D1711" s="71"/>
    </row>
    <row r="1712" spans="2:4" x14ac:dyDescent="0.15">
      <c r="B1712" s="69"/>
      <c r="C1712" s="70"/>
      <c r="D1712" s="71"/>
    </row>
    <row r="1713" spans="2:4" x14ac:dyDescent="0.15">
      <c r="B1713" s="69"/>
      <c r="C1713" s="70"/>
      <c r="D1713" s="71"/>
    </row>
    <row r="1714" spans="2:4" x14ac:dyDescent="0.15">
      <c r="B1714" s="69"/>
      <c r="C1714" s="70"/>
      <c r="D1714" s="71"/>
    </row>
    <row r="1715" spans="2:4" x14ac:dyDescent="0.15">
      <c r="B1715" s="69"/>
      <c r="C1715" s="70"/>
      <c r="D1715" s="71"/>
    </row>
    <row r="1716" spans="2:4" x14ac:dyDescent="0.15">
      <c r="B1716" s="69"/>
      <c r="C1716" s="70"/>
      <c r="D1716" s="71"/>
    </row>
    <row r="1717" spans="2:4" x14ac:dyDescent="0.15">
      <c r="B1717" s="69"/>
      <c r="C1717" s="70"/>
      <c r="D1717" s="71"/>
    </row>
    <row r="1718" spans="2:4" x14ac:dyDescent="0.15">
      <c r="B1718" s="69"/>
      <c r="C1718" s="70"/>
      <c r="D1718" s="71"/>
    </row>
    <row r="1719" spans="2:4" x14ac:dyDescent="0.15">
      <c r="B1719" s="69"/>
      <c r="C1719" s="70"/>
      <c r="D1719" s="71"/>
    </row>
    <row r="1720" spans="2:4" x14ac:dyDescent="0.15">
      <c r="B1720" s="69"/>
      <c r="C1720" s="70"/>
      <c r="D1720" s="71"/>
    </row>
    <row r="1721" spans="2:4" x14ac:dyDescent="0.15">
      <c r="B1721" s="69"/>
      <c r="C1721" s="70"/>
      <c r="D1721" s="71"/>
    </row>
    <row r="1722" spans="2:4" x14ac:dyDescent="0.15">
      <c r="B1722" s="69"/>
      <c r="C1722" s="70"/>
      <c r="D1722" s="71"/>
    </row>
    <row r="1723" spans="2:4" x14ac:dyDescent="0.15">
      <c r="B1723" s="69"/>
      <c r="C1723" s="70"/>
      <c r="D1723" s="71"/>
    </row>
    <row r="1724" spans="2:4" x14ac:dyDescent="0.15">
      <c r="B1724" s="69"/>
      <c r="C1724" s="70"/>
      <c r="D1724" s="71"/>
    </row>
    <row r="1725" spans="2:4" x14ac:dyDescent="0.15">
      <c r="B1725" s="69"/>
      <c r="C1725" s="70"/>
      <c r="D1725" s="71"/>
    </row>
    <row r="1726" spans="2:4" x14ac:dyDescent="0.15">
      <c r="B1726" s="69"/>
      <c r="C1726" s="70"/>
      <c r="D1726" s="71"/>
    </row>
    <row r="1727" spans="2:4" x14ac:dyDescent="0.15">
      <c r="B1727" s="69"/>
      <c r="C1727" s="70"/>
      <c r="D1727" s="71"/>
    </row>
    <row r="1728" spans="2:4" x14ac:dyDescent="0.15">
      <c r="B1728" s="69"/>
      <c r="C1728" s="70"/>
      <c r="D1728" s="71"/>
    </row>
    <row r="1729" spans="2:4" x14ac:dyDescent="0.15">
      <c r="B1729" s="69"/>
      <c r="C1729" s="70"/>
      <c r="D1729" s="71"/>
    </row>
    <row r="1730" spans="2:4" x14ac:dyDescent="0.15">
      <c r="B1730" s="69"/>
      <c r="C1730" s="70"/>
      <c r="D1730" s="71"/>
    </row>
    <row r="1731" spans="2:4" x14ac:dyDescent="0.15">
      <c r="B1731" s="69"/>
      <c r="C1731" s="70"/>
      <c r="D1731" s="71"/>
    </row>
    <row r="1732" spans="2:4" x14ac:dyDescent="0.15">
      <c r="B1732" s="69"/>
      <c r="C1732" s="70"/>
      <c r="D1732" s="71"/>
    </row>
    <row r="1733" spans="2:4" x14ac:dyDescent="0.15">
      <c r="B1733" s="69"/>
      <c r="C1733" s="70"/>
      <c r="D1733" s="71"/>
    </row>
    <row r="1734" spans="2:4" x14ac:dyDescent="0.15">
      <c r="B1734" s="69"/>
      <c r="C1734" s="70"/>
      <c r="D1734" s="71"/>
    </row>
    <row r="1735" spans="2:4" x14ac:dyDescent="0.15">
      <c r="B1735" s="69"/>
      <c r="C1735" s="70"/>
      <c r="D1735" s="71"/>
    </row>
    <row r="1736" spans="2:4" x14ac:dyDescent="0.15">
      <c r="B1736" s="69"/>
      <c r="C1736" s="70"/>
      <c r="D1736" s="71"/>
    </row>
    <row r="1737" spans="2:4" x14ac:dyDescent="0.15">
      <c r="B1737" s="69"/>
      <c r="C1737" s="70"/>
      <c r="D1737" s="71"/>
    </row>
    <row r="1738" spans="2:4" x14ac:dyDescent="0.15">
      <c r="B1738" s="69"/>
      <c r="C1738" s="70"/>
      <c r="D1738" s="71"/>
    </row>
    <row r="1739" spans="2:4" x14ac:dyDescent="0.15">
      <c r="B1739" s="69"/>
      <c r="C1739" s="70"/>
      <c r="D1739" s="71"/>
    </row>
    <row r="1740" spans="2:4" x14ac:dyDescent="0.15">
      <c r="B1740" s="69"/>
      <c r="C1740" s="70"/>
      <c r="D1740" s="71"/>
    </row>
    <row r="1741" spans="2:4" x14ac:dyDescent="0.15">
      <c r="B1741" s="69"/>
      <c r="C1741" s="70"/>
      <c r="D1741" s="71"/>
    </row>
    <row r="1742" spans="2:4" x14ac:dyDescent="0.15">
      <c r="B1742" s="69"/>
      <c r="C1742" s="70"/>
      <c r="D1742" s="71"/>
    </row>
    <row r="1743" spans="2:4" x14ac:dyDescent="0.15">
      <c r="B1743" s="69"/>
      <c r="C1743" s="70"/>
      <c r="D1743" s="71"/>
    </row>
    <row r="1744" spans="2:4" x14ac:dyDescent="0.15">
      <c r="B1744" s="69"/>
      <c r="C1744" s="70"/>
      <c r="D1744" s="71"/>
    </row>
    <row r="1745" spans="2:4" x14ac:dyDescent="0.15">
      <c r="B1745" s="69"/>
      <c r="C1745" s="70"/>
      <c r="D1745" s="71"/>
    </row>
    <row r="1746" spans="2:4" x14ac:dyDescent="0.15">
      <c r="B1746" s="69"/>
      <c r="C1746" s="70"/>
      <c r="D1746" s="71"/>
    </row>
    <row r="1747" spans="2:4" x14ac:dyDescent="0.15">
      <c r="B1747" s="69"/>
      <c r="C1747" s="70"/>
      <c r="D1747" s="71"/>
    </row>
    <row r="1748" spans="2:4" x14ac:dyDescent="0.15">
      <c r="B1748" s="69"/>
      <c r="C1748" s="70"/>
      <c r="D1748" s="71"/>
    </row>
    <row r="1749" spans="2:4" x14ac:dyDescent="0.15">
      <c r="B1749" s="69"/>
      <c r="C1749" s="70"/>
      <c r="D1749" s="71"/>
    </row>
    <row r="1750" spans="2:4" x14ac:dyDescent="0.15">
      <c r="B1750" s="69"/>
      <c r="C1750" s="70"/>
      <c r="D1750" s="71"/>
    </row>
    <row r="1751" spans="2:4" x14ac:dyDescent="0.15">
      <c r="B1751" s="69"/>
      <c r="C1751" s="70"/>
      <c r="D1751" s="71"/>
    </row>
    <row r="1752" spans="2:4" x14ac:dyDescent="0.15">
      <c r="B1752" s="69"/>
      <c r="C1752" s="70"/>
      <c r="D1752" s="71"/>
    </row>
    <row r="1753" spans="2:4" x14ac:dyDescent="0.15">
      <c r="B1753" s="69"/>
      <c r="C1753" s="70"/>
      <c r="D1753" s="71"/>
    </row>
    <row r="1754" spans="2:4" x14ac:dyDescent="0.15">
      <c r="B1754" s="69"/>
      <c r="C1754" s="70"/>
      <c r="D1754" s="71"/>
    </row>
    <row r="1755" spans="2:4" x14ac:dyDescent="0.15">
      <c r="B1755" s="69"/>
      <c r="C1755" s="70"/>
      <c r="D1755" s="71"/>
    </row>
    <row r="1756" spans="2:4" x14ac:dyDescent="0.15">
      <c r="B1756" s="69"/>
      <c r="C1756" s="70"/>
      <c r="D1756" s="71"/>
    </row>
    <row r="1757" spans="2:4" x14ac:dyDescent="0.15">
      <c r="B1757" s="69"/>
      <c r="C1757" s="70"/>
      <c r="D1757" s="71"/>
    </row>
    <row r="1758" spans="2:4" x14ac:dyDescent="0.15">
      <c r="B1758" s="69"/>
      <c r="C1758" s="70"/>
      <c r="D1758" s="71"/>
    </row>
    <row r="1759" spans="2:4" x14ac:dyDescent="0.15">
      <c r="B1759" s="69"/>
      <c r="C1759" s="70"/>
      <c r="D1759" s="71"/>
    </row>
    <row r="1760" spans="2:4" x14ac:dyDescent="0.15">
      <c r="B1760" s="69"/>
      <c r="C1760" s="70"/>
      <c r="D1760" s="71"/>
    </row>
    <row r="1761" spans="2:4" x14ac:dyDescent="0.15">
      <c r="B1761" s="69"/>
      <c r="C1761" s="70"/>
      <c r="D1761" s="71"/>
    </row>
    <row r="1762" spans="2:4" x14ac:dyDescent="0.15">
      <c r="B1762" s="69"/>
      <c r="C1762" s="70"/>
      <c r="D1762" s="71"/>
    </row>
    <row r="1763" spans="2:4" x14ac:dyDescent="0.15">
      <c r="B1763" s="69"/>
      <c r="C1763" s="70"/>
      <c r="D1763" s="71"/>
    </row>
    <row r="1764" spans="2:4" x14ac:dyDescent="0.15">
      <c r="B1764" s="69"/>
      <c r="C1764" s="70"/>
      <c r="D1764" s="71"/>
    </row>
    <row r="1765" spans="2:4" x14ac:dyDescent="0.15">
      <c r="B1765" s="69"/>
      <c r="C1765" s="70"/>
      <c r="D1765" s="71"/>
    </row>
    <row r="1766" spans="2:4" x14ac:dyDescent="0.15">
      <c r="B1766" s="69"/>
      <c r="C1766" s="70"/>
      <c r="D1766" s="71"/>
    </row>
    <row r="1767" spans="2:4" x14ac:dyDescent="0.15">
      <c r="B1767" s="69"/>
      <c r="C1767" s="70"/>
      <c r="D1767" s="71"/>
    </row>
    <row r="1768" spans="2:4" x14ac:dyDescent="0.15">
      <c r="B1768" s="69"/>
      <c r="C1768" s="70"/>
      <c r="D1768" s="71"/>
    </row>
    <row r="1769" spans="2:4" x14ac:dyDescent="0.15">
      <c r="B1769" s="69"/>
      <c r="C1769" s="70"/>
      <c r="D1769" s="71"/>
    </row>
    <row r="1770" spans="2:4" x14ac:dyDescent="0.15">
      <c r="B1770" s="69"/>
      <c r="C1770" s="70"/>
      <c r="D1770" s="71"/>
    </row>
    <row r="1771" spans="2:4" x14ac:dyDescent="0.15">
      <c r="B1771" s="69"/>
      <c r="C1771" s="70"/>
      <c r="D1771" s="71"/>
    </row>
    <row r="1772" spans="2:4" x14ac:dyDescent="0.15">
      <c r="B1772" s="69"/>
      <c r="C1772" s="70"/>
      <c r="D1772" s="71"/>
    </row>
    <row r="1773" spans="2:4" x14ac:dyDescent="0.15">
      <c r="B1773" s="69"/>
      <c r="C1773" s="70"/>
      <c r="D1773" s="71"/>
    </row>
    <row r="1774" spans="2:4" x14ac:dyDescent="0.15">
      <c r="B1774" s="69"/>
      <c r="C1774" s="70"/>
      <c r="D1774" s="71"/>
    </row>
    <row r="1775" spans="2:4" x14ac:dyDescent="0.15">
      <c r="B1775" s="69"/>
      <c r="C1775" s="70"/>
      <c r="D1775" s="71"/>
    </row>
    <row r="1776" spans="2:4" x14ac:dyDescent="0.15">
      <c r="B1776" s="69"/>
      <c r="C1776" s="70"/>
      <c r="D1776" s="71"/>
    </row>
    <row r="1777" spans="2:4" x14ac:dyDescent="0.15">
      <c r="B1777" s="69"/>
      <c r="C1777" s="70"/>
      <c r="D1777" s="71"/>
    </row>
    <row r="1778" spans="2:4" x14ac:dyDescent="0.15">
      <c r="B1778" s="69"/>
      <c r="C1778" s="70"/>
      <c r="D1778" s="71"/>
    </row>
    <row r="1779" spans="2:4" x14ac:dyDescent="0.15">
      <c r="B1779" s="69"/>
      <c r="C1779" s="70"/>
      <c r="D1779" s="71"/>
    </row>
    <row r="1780" spans="2:4" x14ac:dyDescent="0.15">
      <c r="B1780" s="69"/>
      <c r="C1780" s="70"/>
      <c r="D1780" s="71"/>
    </row>
    <row r="1781" spans="2:4" x14ac:dyDescent="0.15">
      <c r="B1781" s="69"/>
      <c r="C1781" s="70"/>
      <c r="D1781" s="71"/>
    </row>
    <row r="1782" spans="2:4" x14ac:dyDescent="0.15">
      <c r="B1782" s="69"/>
      <c r="C1782" s="70"/>
      <c r="D1782" s="71"/>
    </row>
    <row r="1783" spans="2:4" x14ac:dyDescent="0.15">
      <c r="B1783" s="69"/>
      <c r="C1783" s="70"/>
      <c r="D1783" s="71"/>
    </row>
    <row r="1784" spans="2:4" x14ac:dyDescent="0.15">
      <c r="B1784" s="69"/>
      <c r="C1784" s="70"/>
      <c r="D1784" s="71"/>
    </row>
    <row r="1785" spans="2:4" x14ac:dyDescent="0.15">
      <c r="B1785" s="69"/>
      <c r="C1785" s="70"/>
      <c r="D1785" s="71"/>
    </row>
    <row r="1786" spans="2:4" x14ac:dyDescent="0.15">
      <c r="B1786" s="69"/>
      <c r="C1786" s="70"/>
      <c r="D1786" s="71"/>
    </row>
    <row r="1787" spans="2:4" x14ac:dyDescent="0.15">
      <c r="B1787" s="69"/>
      <c r="C1787" s="70"/>
      <c r="D1787" s="71"/>
    </row>
    <row r="1788" spans="2:4" x14ac:dyDescent="0.15">
      <c r="B1788" s="69"/>
      <c r="C1788" s="70"/>
      <c r="D1788" s="71"/>
    </row>
    <row r="1789" spans="2:4" x14ac:dyDescent="0.15">
      <c r="B1789" s="69"/>
      <c r="C1789" s="70"/>
      <c r="D1789" s="71"/>
    </row>
    <row r="1790" spans="2:4" x14ac:dyDescent="0.15">
      <c r="B1790" s="69"/>
      <c r="C1790" s="70"/>
      <c r="D1790" s="71"/>
    </row>
    <row r="1791" spans="2:4" x14ac:dyDescent="0.15">
      <c r="B1791" s="69"/>
      <c r="C1791" s="70"/>
      <c r="D1791" s="71"/>
    </row>
    <row r="1792" spans="2:4" x14ac:dyDescent="0.15">
      <c r="B1792" s="69"/>
      <c r="C1792" s="70"/>
      <c r="D1792" s="71"/>
    </row>
    <row r="1793" spans="2:4" x14ac:dyDescent="0.15">
      <c r="B1793" s="69"/>
      <c r="C1793" s="70"/>
      <c r="D1793" s="71"/>
    </row>
    <row r="1794" spans="2:4" x14ac:dyDescent="0.15">
      <c r="B1794" s="69"/>
      <c r="C1794" s="70"/>
      <c r="D1794" s="71"/>
    </row>
    <row r="1795" spans="2:4" x14ac:dyDescent="0.15">
      <c r="B1795" s="69"/>
      <c r="C1795" s="70"/>
      <c r="D1795" s="71"/>
    </row>
    <row r="1796" spans="2:4" x14ac:dyDescent="0.15">
      <c r="B1796" s="69"/>
      <c r="C1796" s="70"/>
      <c r="D1796" s="71"/>
    </row>
    <row r="1797" spans="2:4" x14ac:dyDescent="0.15">
      <c r="B1797" s="69"/>
      <c r="C1797" s="70"/>
      <c r="D1797" s="71"/>
    </row>
    <row r="1798" spans="2:4" x14ac:dyDescent="0.15">
      <c r="B1798" s="69"/>
      <c r="C1798" s="70"/>
      <c r="D1798" s="71"/>
    </row>
    <row r="1799" spans="2:4" x14ac:dyDescent="0.15">
      <c r="B1799" s="69"/>
      <c r="C1799" s="70"/>
      <c r="D1799" s="71"/>
    </row>
    <row r="1800" spans="2:4" x14ac:dyDescent="0.15">
      <c r="B1800" s="69"/>
      <c r="C1800" s="70"/>
      <c r="D1800" s="71"/>
    </row>
    <row r="1801" spans="2:4" x14ac:dyDescent="0.15">
      <c r="B1801" s="69"/>
      <c r="C1801" s="70"/>
      <c r="D1801" s="71"/>
    </row>
    <row r="1802" spans="2:4" x14ac:dyDescent="0.15">
      <c r="B1802" s="69"/>
      <c r="C1802" s="70"/>
      <c r="D1802" s="71"/>
    </row>
    <row r="1803" spans="2:4" x14ac:dyDescent="0.15">
      <c r="B1803" s="69"/>
      <c r="C1803" s="70"/>
      <c r="D1803" s="71"/>
    </row>
    <row r="1804" spans="2:4" x14ac:dyDescent="0.15">
      <c r="B1804" s="69"/>
      <c r="C1804" s="70"/>
      <c r="D1804" s="71"/>
    </row>
    <row r="1805" spans="2:4" x14ac:dyDescent="0.15">
      <c r="B1805" s="69"/>
      <c r="C1805" s="70"/>
      <c r="D1805" s="71"/>
    </row>
    <row r="1806" spans="2:4" x14ac:dyDescent="0.15">
      <c r="B1806" s="69"/>
      <c r="C1806" s="70"/>
      <c r="D1806" s="71"/>
    </row>
    <row r="1807" spans="2:4" x14ac:dyDescent="0.15">
      <c r="B1807" s="69"/>
      <c r="C1807" s="70"/>
      <c r="D1807" s="71"/>
    </row>
    <row r="1808" spans="2:4" x14ac:dyDescent="0.15">
      <c r="B1808" s="69"/>
      <c r="C1808" s="70"/>
      <c r="D1808" s="71"/>
    </row>
    <row r="1809" spans="2:4" x14ac:dyDescent="0.15">
      <c r="B1809" s="69"/>
      <c r="C1809" s="70"/>
      <c r="D1809" s="71"/>
    </row>
    <row r="1810" spans="2:4" x14ac:dyDescent="0.15">
      <c r="B1810" s="69"/>
      <c r="C1810" s="70"/>
      <c r="D1810" s="71"/>
    </row>
    <row r="1811" spans="2:4" x14ac:dyDescent="0.15">
      <c r="B1811" s="69"/>
      <c r="C1811" s="70"/>
      <c r="D1811" s="71"/>
    </row>
    <row r="1812" spans="2:4" x14ac:dyDescent="0.15">
      <c r="B1812" s="69"/>
      <c r="C1812" s="70"/>
      <c r="D1812" s="71"/>
    </row>
    <row r="1813" spans="2:4" x14ac:dyDescent="0.15">
      <c r="B1813" s="69"/>
      <c r="C1813" s="70"/>
      <c r="D1813" s="71"/>
    </row>
    <row r="1814" spans="2:4" x14ac:dyDescent="0.15">
      <c r="B1814" s="69"/>
      <c r="C1814" s="70"/>
      <c r="D1814" s="71"/>
    </row>
    <row r="1815" spans="2:4" x14ac:dyDescent="0.15">
      <c r="B1815" s="69"/>
      <c r="C1815" s="70"/>
      <c r="D1815" s="71"/>
    </row>
    <row r="1816" spans="2:4" x14ac:dyDescent="0.15">
      <c r="B1816" s="69"/>
      <c r="C1816" s="70"/>
      <c r="D1816" s="71"/>
    </row>
    <row r="1817" spans="2:4" x14ac:dyDescent="0.15">
      <c r="B1817" s="69"/>
      <c r="C1817" s="70"/>
      <c r="D1817" s="71"/>
    </row>
    <row r="1818" spans="2:4" x14ac:dyDescent="0.15">
      <c r="B1818" s="69"/>
      <c r="C1818" s="70"/>
      <c r="D1818" s="71"/>
    </row>
    <row r="1819" spans="2:4" x14ac:dyDescent="0.15">
      <c r="B1819" s="69"/>
      <c r="C1819" s="70"/>
      <c r="D1819" s="71"/>
    </row>
    <row r="1820" spans="2:4" x14ac:dyDescent="0.15">
      <c r="B1820" s="69"/>
      <c r="C1820" s="70"/>
      <c r="D1820" s="71"/>
    </row>
    <row r="1821" spans="2:4" x14ac:dyDescent="0.15">
      <c r="B1821" s="69"/>
      <c r="C1821" s="70"/>
      <c r="D1821" s="71"/>
    </row>
    <row r="1822" spans="2:4" x14ac:dyDescent="0.15">
      <c r="B1822" s="69"/>
      <c r="C1822" s="70"/>
      <c r="D1822" s="71"/>
    </row>
    <row r="1823" spans="2:4" x14ac:dyDescent="0.15">
      <c r="B1823" s="69"/>
      <c r="C1823" s="70"/>
      <c r="D1823" s="71"/>
    </row>
    <row r="1824" spans="2:4" x14ac:dyDescent="0.15">
      <c r="B1824" s="69"/>
      <c r="C1824" s="70"/>
      <c r="D1824" s="71"/>
    </row>
    <row r="1825" spans="2:4" x14ac:dyDescent="0.15">
      <c r="B1825" s="69"/>
      <c r="C1825" s="70"/>
      <c r="D1825" s="71"/>
    </row>
    <row r="1826" spans="2:4" x14ac:dyDescent="0.15">
      <c r="B1826" s="69"/>
      <c r="C1826" s="70"/>
      <c r="D1826" s="71"/>
    </row>
    <row r="1827" spans="2:4" x14ac:dyDescent="0.15">
      <c r="B1827" s="69"/>
      <c r="C1827" s="70"/>
      <c r="D1827" s="71"/>
    </row>
    <row r="1828" spans="2:4" x14ac:dyDescent="0.15">
      <c r="B1828" s="69"/>
      <c r="C1828" s="70"/>
      <c r="D1828" s="71"/>
    </row>
    <row r="1829" spans="2:4" x14ac:dyDescent="0.15">
      <c r="B1829" s="69"/>
      <c r="C1829" s="70"/>
      <c r="D1829" s="71"/>
    </row>
    <row r="1830" spans="2:4" x14ac:dyDescent="0.15">
      <c r="B1830" s="69"/>
      <c r="C1830" s="70"/>
      <c r="D1830" s="71"/>
    </row>
    <row r="1831" spans="2:4" x14ac:dyDescent="0.15">
      <c r="B1831" s="69"/>
      <c r="C1831" s="70"/>
      <c r="D1831" s="71"/>
    </row>
    <row r="1832" spans="2:4" x14ac:dyDescent="0.15">
      <c r="B1832" s="69"/>
      <c r="C1832" s="70"/>
      <c r="D1832" s="71"/>
    </row>
    <row r="1833" spans="2:4" x14ac:dyDescent="0.15">
      <c r="B1833" s="69"/>
      <c r="C1833" s="70"/>
      <c r="D1833" s="71"/>
    </row>
    <row r="1834" spans="2:4" x14ac:dyDescent="0.15">
      <c r="B1834" s="69"/>
      <c r="C1834" s="70"/>
      <c r="D1834" s="71"/>
    </row>
    <row r="1835" spans="2:4" x14ac:dyDescent="0.15">
      <c r="B1835" s="69"/>
      <c r="C1835" s="70"/>
      <c r="D1835" s="71"/>
    </row>
    <row r="1836" spans="2:4" x14ac:dyDescent="0.15">
      <c r="B1836" s="69"/>
      <c r="C1836" s="70"/>
      <c r="D1836" s="71"/>
    </row>
    <row r="1837" spans="2:4" x14ac:dyDescent="0.15">
      <c r="B1837" s="69"/>
      <c r="C1837" s="70"/>
      <c r="D1837" s="71"/>
    </row>
    <row r="1838" spans="2:4" x14ac:dyDescent="0.15">
      <c r="B1838" s="69"/>
      <c r="C1838" s="70"/>
      <c r="D1838" s="71"/>
    </row>
    <row r="1839" spans="2:4" x14ac:dyDescent="0.15">
      <c r="B1839" s="69"/>
      <c r="C1839" s="70"/>
      <c r="D1839" s="71"/>
    </row>
    <row r="1840" spans="2:4" x14ac:dyDescent="0.15">
      <c r="B1840" s="69"/>
      <c r="C1840" s="70"/>
      <c r="D1840" s="71"/>
    </row>
    <row r="1841" spans="2:4" x14ac:dyDescent="0.15">
      <c r="B1841" s="69"/>
      <c r="C1841" s="70"/>
      <c r="D1841" s="71"/>
    </row>
    <row r="1842" spans="2:4" x14ac:dyDescent="0.15">
      <c r="B1842" s="69"/>
      <c r="C1842" s="70"/>
      <c r="D1842" s="71"/>
    </row>
    <row r="1843" spans="2:4" x14ac:dyDescent="0.15">
      <c r="B1843" s="69"/>
      <c r="C1843" s="70"/>
      <c r="D1843" s="71"/>
    </row>
    <row r="1844" spans="2:4" x14ac:dyDescent="0.15">
      <c r="B1844" s="69"/>
      <c r="C1844" s="70"/>
      <c r="D1844" s="71"/>
    </row>
    <row r="1845" spans="2:4" x14ac:dyDescent="0.15">
      <c r="B1845" s="69"/>
      <c r="C1845" s="70"/>
      <c r="D1845" s="71"/>
    </row>
    <row r="1846" spans="2:4" x14ac:dyDescent="0.15">
      <c r="B1846" s="69"/>
      <c r="C1846" s="70"/>
      <c r="D1846" s="71"/>
    </row>
    <row r="1847" spans="2:4" x14ac:dyDescent="0.15">
      <c r="B1847" s="69"/>
      <c r="C1847" s="70"/>
      <c r="D1847" s="71"/>
    </row>
    <row r="1848" spans="2:4" x14ac:dyDescent="0.15">
      <c r="B1848" s="69"/>
      <c r="C1848" s="70"/>
      <c r="D1848" s="71"/>
    </row>
    <row r="1849" spans="2:4" x14ac:dyDescent="0.15">
      <c r="B1849" s="69"/>
      <c r="C1849" s="70"/>
      <c r="D1849" s="71"/>
    </row>
    <row r="1850" spans="2:4" x14ac:dyDescent="0.15">
      <c r="B1850" s="69"/>
      <c r="C1850" s="70"/>
      <c r="D1850" s="71"/>
    </row>
    <row r="1851" spans="2:4" x14ac:dyDescent="0.15">
      <c r="B1851" s="69"/>
      <c r="C1851" s="70"/>
      <c r="D1851" s="71"/>
    </row>
    <row r="1852" spans="2:4" x14ac:dyDescent="0.15">
      <c r="B1852" s="69"/>
      <c r="C1852" s="70"/>
      <c r="D1852" s="71"/>
    </row>
    <row r="1853" spans="2:4" x14ac:dyDescent="0.15">
      <c r="B1853" s="69"/>
      <c r="C1853" s="70"/>
      <c r="D1853" s="71"/>
    </row>
    <row r="1854" spans="2:4" x14ac:dyDescent="0.15">
      <c r="B1854" s="69"/>
      <c r="C1854" s="70"/>
      <c r="D1854" s="71"/>
    </row>
    <row r="1855" spans="2:4" x14ac:dyDescent="0.15">
      <c r="B1855" s="69"/>
      <c r="C1855" s="70"/>
      <c r="D1855" s="71"/>
    </row>
    <row r="1856" spans="2:4" x14ac:dyDescent="0.15">
      <c r="B1856" s="69"/>
      <c r="C1856" s="70"/>
      <c r="D1856" s="71"/>
    </row>
    <row r="1857" spans="2:4" x14ac:dyDescent="0.15">
      <c r="B1857" s="69"/>
      <c r="C1857" s="70"/>
      <c r="D1857" s="71"/>
    </row>
    <row r="1858" spans="2:4" x14ac:dyDescent="0.15">
      <c r="B1858" s="69"/>
      <c r="C1858" s="70"/>
      <c r="D1858" s="71"/>
    </row>
    <row r="1859" spans="2:4" x14ac:dyDescent="0.15">
      <c r="B1859" s="69"/>
      <c r="C1859" s="70"/>
      <c r="D1859" s="71"/>
    </row>
    <row r="1860" spans="2:4" x14ac:dyDescent="0.15">
      <c r="B1860" s="69"/>
      <c r="C1860" s="70"/>
      <c r="D1860" s="71"/>
    </row>
    <row r="1861" spans="2:4" x14ac:dyDescent="0.15">
      <c r="B1861" s="69"/>
      <c r="C1861" s="70"/>
      <c r="D1861" s="71"/>
    </row>
    <row r="1862" spans="2:4" x14ac:dyDescent="0.15">
      <c r="B1862" s="69"/>
      <c r="C1862" s="70"/>
      <c r="D1862" s="71"/>
    </row>
    <row r="1863" spans="2:4" x14ac:dyDescent="0.15">
      <c r="B1863" s="69"/>
      <c r="C1863" s="70"/>
      <c r="D1863" s="71"/>
    </row>
    <row r="1864" spans="2:4" x14ac:dyDescent="0.15">
      <c r="B1864" s="69"/>
      <c r="C1864" s="70"/>
      <c r="D1864" s="71"/>
    </row>
    <row r="1865" spans="2:4" x14ac:dyDescent="0.15">
      <c r="B1865" s="69"/>
      <c r="C1865" s="70"/>
      <c r="D1865" s="71"/>
    </row>
    <row r="1866" spans="2:4" x14ac:dyDescent="0.15">
      <c r="B1866" s="69"/>
      <c r="C1866" s="70"/>
      <c r="D1866" s="71"/>
    </row>
    <row r="1867" spans="2:4" x14ac:dyDescent="0.15">
      <c r="B1867" s="69"/>
      <c r="C1867" s="70"/>
      <c r="D1867" s="71"/>
    </row>
    <row r="1868" spans="2:4" x14ac:dyDescent="0.15">
      <c r="B1868" s="69"/>
      <c r="C1868" s="70"/>
      <c r="D1868" s="71"/>
    </row>
    <row r="1869" spans="2:4" x14ac:dyDescent="0.15">
      <c r="B1869" s="69"/>
      <c r="C1869" s="70"/>
      <c r="D1869" s="71"/>
    </row>
    <row r="1870" spans="2:4" x14ac:dyDescent="0.15">
      <c r="B1870" s="69"/>
      <c r="C1870" s="70"/>
      <c r="D1870" s="71"/>
    </row>
    <row r="1871" spans="2:4" x14ac:dyDescent="0.15">
      <c r="B1871" s="69"/>
      <c r="C1871" s="70"/>
      <c r="D1871" s="71"/>
    </row>
    <row r="1872" spans="2:4" x14ac:dyDescent="0.15">
      <c r="B1872" s="69"/>
      <c r="C1872" s="70"/>
      <c r="D1872" s="71"/>
    </row>
    <row r="1873" spans="2:4" x14ac:dyDescent="0.15">
      <c r="B1873" s="69"/>
      <c r="C1873" s="70"/>
      <c r="D1873" s="71"/>
    </row>
    <row r="1874" spans="2:4" x14ac:dyDescent="0.15">
      <c r="B1874" s="69"/>
      <c r="C1874" s="70"/>
      <c r="D1874" s="71"/>
    </row>
    <row r="1875" spans="2:4" x14ac:dyDescent="0.15">
      <c r="B1875" s="69"/>
      <c r="C1875" s="70"/>
      <c r="D1875" s="71"/>
    </row>
    <row r="1876" spans="2:4" x14ac:dyDescent="0.15">
      <c r="B1876" s="69"/>
      <c r="C1876" s="70"/>
      <c r="D1876" s="71"/>
    </row>
    <row r="1877" spans="2:4" x14ac:dyDescent="0.15">
      <c r="B1877" s="69"/>
      <c r="C1877" s="70"/>
      <c r="D1877" s="71"/>
    </row>
    <row r="1878" spans="2:4" x14ac:dyDescent="0.15">
      <c r="B1878" s="69"/>
      <c r="C1878" s="70"/>
      <c r="D1878" s="71"/>
    </row>
    <row r="1879" spans="2:4" x14ac:dyDescent="0.15">
      <c r="B1879" s="69"/>
      <c r="C1879" s="70"/>
      <c r="D1879" s="71"/>
    </row>
    <row r="1880" spans="2:4" x14ac:dyDescent="0.15">
      <c r="B1880" s="69"/>
      <c r="C1880" s="70"/>
      <c r="D1880" s="71"/>
    </row>
    <row r="1881" spans="2:4" x14ac:dyDescent="0.15">
      <c r="B1881" s="69"/>
      <c r="C1881" s="70"/>
      <c r="D1881" s="71"/>
    </row>
    <row r="1882" spans="2:4" x14ac:dyDescent="0.15">
      <c r="B1882" s="69"/>
      <c r="C1882" s="70"/>
      <c r="D1882" s="71"/>
    </row>
    <row r="1883" spans="2:4" x14ac:dyDescent="0.15">
      <c r="B1883" s="69"/>
      <c r="C1883" s="70"/>
      <c r="D1883" s="71"/>
    </row>
    <row r="1884" spans="2:4" x14ac:dyDescent="0.15">
      <c r="B1884" s="69"/>
      <c r="C1884" s="70"/>
      <c r="D1884" s="71"/>
    </row>
    <row r="1885" spans="2:4" x14ac:dyDescent="0.15">
      <c r="B1885" s="69"/>
      <c r="C1885" s="70"/>
      <c r="D1885" s="71"/>
    </row>
    <row r="1886" spans="2:4" x14ac:dyDescent="0.15">
      <c r="B1886" s="69"/>
      <c r="C1886" s="70"/>
      <c r="D1886" s="71"/>
    </row>
    <row r="1887" spans="2:4" x14ac:dyDescent="0.15">
      <c r="B1887" s="69"/>
      <c r="C1887" s="70"/>
      <c r="D1887" s="71"/>
    </row>
    <row r="1888" spans="2:4" x14ac:dyDescent="0.15">
      <c r="B1888" s="69"/>
      <c r="C1888" s="70"/>
      <c r="D1888" s="71"/>
    </row>
    <row r="1889" spans="2:4" x14ac:dyDescent="0.15">
      <c r="B1889" s="69"/>
      <c r="C1889" s="70"/>
      <c r="D1889" s="71"/>
    </row>
    <row r="1890" spans="2:4" x14ac:dyDescent="0.15">
      <c r="B1890" s="69"/>
      <c r="C1890" s="70"/>
      <c r="D1890" s="71"/>
    </row>
    <row r="1891" spans="2:4" x14ac:dyDescent="0.15">
      <c r="B1891" s="69"/>
      <c r="C1891" s="70"/>
      <c r="D1891" s="71"/>
    </row>
    <row r="1892" spans="2:4" x14ac:dyDescent="0.15">
      <c r="B1892" s="69"/>
      <c r="C1892" s="70"/>
      <c r="D1892" s="71"/>
    </row>
    <row r="1893" spans="2:4" x14ac:dyDescent="0.15">
      <c r="B1893" s="69"/>
      <c r="C1893" s="70"/>
      <c r="D1893" s="71"/>
    </row>
    <row r="1894" spans="2:4" x14ac:dyDescent="0.15">
      <c r="B1894" s="69"/>
      <c r="C1894" s="70"/>
      <c r="D1894" s="71"/>
    </row>
    <row r="1895" spans="2:4" x14ac:dyDescent="0.15">
      <c r="B1895" s="69"/>
      <c r="C1895" s="70"/>
      <c r="D1895" s="71"/>
    </row>
    <row r="1896" spans="2:4" x14ac:dyDescent="0.15">
      <c r="B1896" s="69"/>
      <c r="C1896" s="70"/>
      <c r="D1896" s="71"/>
    </row>
    <row r="1897" spans="2:4" x14ac:dyDescent="0.15">
      <c r="B1897" s="69"/>
      <c r="C1897" s="70"/>
      <c r="D1897" s="71"/>
    </row>
    <row r="1898" spans="2:4" x14ac:dyDescent="0.15">
      <c r="B1898" s="69"/>
      <c r="C1898" s="70"/>
      <c r="D1898" s="71"/>
    </row>
    <row r="1899" spans="2:4" x14ac:dyDescent="0.15">
      <c r="B1899" s="69"/>
      <c r="C1899" s="70"/>
      <c r="D1899" s="71"/>
    </row>
    <row r="1900" spans="2:4" x14ac:dyDescent="0.15">
      <c r="B1900" s="69"/>
      <c r="C1900" s="70"/>
      <c r="D1900" s="71"/>
    </row>
    <row r="1901" spans="2:4" x14ac:dyDescent="0.15">
      <c r="B1901" s="69"/>
      <c r="C1901" s="70"/>
      <c r="D1901" s="71"/>
    </row>
    <row r="1902" spans="2:4" x14ac:dyDescent="0.15">
      <c r="B1902" s="69"/>
      <c r="C1902" s="70"/>
      <c r="D1902" s="71"/>
    </row>
    <row r="1903" spans="2:4" x14ac:dyDescent="0.15">
      <c r="B1903" s="69"/>
      <c r="C1903" s="70"/>
      <c r="D1903" s="71"/>
    </row>
    <row r="1904" spans="2:4" x14ac:dyDescent="0.15">
      <c r="B1904" s="69"/>
      <c r="C1904" s="70"/>
      <c r="D1904" s="71"/>
    </row>
    <row r="1905" spans="2:4" x14ac:dyDescent="0.15">
      <c r="B1905" s="69"/>
      <c r="C1905" s="70"/>
      <c r="D1905" s="71"/>
    </row>
    <row r="1906" spans="2:4" x14ac:dyDescent="0.15">
      <c r="B1906" s="69"/>
      <c r="C1906" s="70"/>
      <c r="D1906" s="71"/>
    </row>
    <row r="1907" spans="2:4" x14ac:dyDescent="0.15">
      <c r="B1907" s="69"/>
      <c r="C1907" s="70"/>
      <c r="D1907" s="71"/>
    </row>
    <row r="1908" spans="2:4" x14ac:dyDescent="0.15">
      <c r="B1908" s="69"/>
      <c r="C1908" s="70"/>
      <c r="D1908" s="71"/>
    </row>
    <row r="1909" spans="2:4" x14ac:dyDescent="0.15">
      <c r="B1909" s="69"/>
      <c r="C1909" s="70"/>
      <c r="D1909" s="71"/>
    </row>
    <row r="1910" spans="2:4" x14ac:dyDescent="0.15">
      <c r="B1910" s="69"/>
      <c r="C1910" s="70"/>
      <c r="D1910" s="71"/>
    </row>
    <row r="1911" spans="2:4" x14ac:dyDescent="0.15">
      <c r="B1911" s="69"/>
      <c r="C1911" s="70"/>
      <c r="D1911" s="71"/>
    </row>
    <row r="1912" spans="2:4" x14ac:dyDescent="0.15">
      <c r="B1912" s="69"/>
      <c r="C1912" s="70"/>
      <c r="D1912" s="71"/>
    </row>
    <row r="1913" spans="2:4" x14ac:dyDescent="0.15">
      <c r="B1913" s="69"/>
      <c r="C1913" s="70"/>
      <c r="D1913" s="71"/>
    </row>
    <row r="1914" spans="2:4" x14ac:dyDescent="0.15">
      <c r="B1914" s="69"/>
      <c r="C1914" s="70"/>
      <c r="D1914" s="71"/>
    </row>
    <row r="1915" spans="2:4" x14ac:dyDescent="0.15">
      <c r="B1915" s="69"/>
      <c r="C1915" s="70"/>
      <c r="D1915" s="71"/>
    </row>
    <row r="1916" spans="2:4" x14ac:dyDescent="0.15">
      <c r="B1916" s="69"/>
      <c r="C1916" s="70"/>
      <c r="D1916" s="71"/>
    </row>
    <row r="1917" spans="2:4" x14ac:dyDescent="0.15">
      <c r="B1917" s="69"/>
      <c r="C1917" s="70"/>
      <c r="D1917" s="71"/>
    </row>
    <row r="1918" spans="2:4" x14ac:dyDescent="0.15">
      <c r="B1918" s="69"/>
      <c r="C1918" s="70"/>
      <c r="D1918" s="71"/>
    </row>
    <row r="1919" spans="2:4" x14ac:dyDescent="0.15">
      <c r="B1919" s="69"/>
      <c r="C1919" s="70"/>
      <c r="D1919" s="71"/>
    </row>
    <row r="1920" spans="2:4" x14ac:dyDescent="0.15">
      <c r="B1920" s="69"/>
      <c r="C1920" s="70"/>
      <c r="D1920" s="71"/>
    </row>
    <row r="1921" spans="2:4" x14ac:dyDescent="0.15">
      <c r="B1921" s="69"/>
      <c r="C1921" s="70"/>
      <c r="D1921" s="71"/>
    </row>
    <row r="1922" spans="2:4" x14ac:dyDescent="0.15">
      <c r="B1922" s="69"/>
      <c r="C1922" s="70"/>
      <c r="D1922" s="71"/>
    </row>
    <row r="1923" spans="2:4" x14ac:dyDescent="0.15">
      <c r="B1923" s="69"/>
      <c r="C1923" s="70"/>
      <c r="D1923" s="71"/>
    </row>
    <row r="1924" spans="2:4" x14ac:dyDescent="0.15">
      <c r="B1924" s="69"/>
      <c r="C1924" s="70"/>
      <c r="D1924" s="71"/>
    </row>
    <row r="1925" spans="2:4" x14ac:dyDescent="0.15">
      <c r="B1925" s="69"/>
      <c r="C1925" s="70"/>
      <c r="D1925" s="71"/>
    </row>
    <row r="1926" spans="2:4" x14ac:dyDescent="0.15">
      <c r="B1926" s="69"/>
      <c r="C1926" s="70"/>
      <c r="D1926" s="71"/>
    </row>
    <row r="1927" spans="2:4" x14ac:dyDescent="0.15">
      <c r="B1927" s="69"/>
      <c r="C1927" s="70"/>
      <c r="D1927" s="71"/>
    </row>
    <row r="1928" spans="2:4" x14ac:dyDescent="0.15">
      <c r="B1928" s="69"/>
      <c r="C1928" s="70"/>
      <c r="D1928" s="71"/>
    </row>
    <row r="1929" spans="2:4" x14ac:dyDescent="0.15">
      <c r="B1929" s="69"/>
      <c r="C1929" s="70"/>
      <c r="D1929" s="71"/>
    </row>
    <row r="1930" spans="2:4" x14ac:dyDescent="0.15">
      <c r="B1930" s="69"/>
      <c r="C1930" s="70"/>
      <c r="D1930" s="71"/>
    </row>
    <row r="1931" spans="2:4" x14ac:dyDescent="0.15">
      <c r="B1931" s="69"/>
      <c r="C1931" s="70"/>
      <c r="D1931" s="71"/>
    </row>
    <row r="1932" spans="2:4" x14ac:dyDescent="0.15">
      <c r="B1932" s="69"/>
      <c r="C1932" s="70"/>
      <c r="D1932" s="71"/>
    </row>
    <row r="1933" spans="2:4" x14ac:dyDescent="0.15">
      <c r="B1933" s="69"/>
      <c r="C1933" s="70"/>
      <c r="D1933" s="71"/>
    </row>
    <row r="1934" spans="2:4" x14ac:dyDescent="0.15">
      <c r="B1934" s="69"/>
      <c r="C1934" s="70"/>
      <c r="D1934" s="71"/>
    </row>
    <row r="1935" spans="2:4" x14ac:dyDescent="0.15">
      <c r="B1935" s="69"/>
      <c r="C1935" s="70"/>
      <c r="D1935" s="71"/>
    </row>
    <row r="1936" spans="2:4" x14ac:dyDescent="0.15">
      <c r="B1936" s="69"/>
      <c r="C1936" s="70"/>
      <c r="D1936" s="71"/>
    </row>
    <row r="1937" spans="2:4" x14ac:dyDescent="0.15">
      <c r="B1937" s="69"/>
      <c r="C1937" s="70"/>
      <c r="D1937" s="71"/>
    </row>
    <row r="1938" spans="2:4" x14ac:dyDescent="0.15">
      <c r="B1938" s="69"/>
      <c r="C1938" s="70"/>
      <c r="D1938" s="71"/>
    </row>
    <row r="1939" spans="2:4" x14ac:dyDescent="0.15">
      <c r="B1939" s="69"/>
      <c r="C1939" s="70"/>
      <c r="D1939" s="71"/>
    </row>
    <row r="1940" spans="2:4" x14ac:dyDescent="0.15">
      <c r="B1940" s="69"/>
      <c r="C1940" s="70"/>
      <c r="D1940" s="71"/>
    </row>
    <row r="1941" spans="2:4" x14ac:dyDescent="0.15">
      <c r="B1941" s="69"/>
      <c r="C1941" s="70"/>
      <c r="D1941" s="71"/>
    </row>
    <row r="1942" spans="2:4" x14ac:dyDescent="0.15">
      <c r="B1942" s="69"/>
      <c r="C1942" s="70"/>
      <c r="D1942" s="71"/>
    </row>
    <row r="1943" spans="2:4" x14ac:dyDescent="0.15">
      <c r="B1943" s="69"/>
      <c r="C1943" s="70"/>
      <c r="D1943" s="71"/>
    </row>
    <row r="1944" spans="2:4" x14ac:dyDescent="0.15">
      <c r="B1944" s="69"/>
      <c r="C1944" s="70"/>
      <c r="D1944" s="71"/>
    </row>
    <row r="1945" spans="2:4" x14ac:dyDescent="0.15">
      <c r="B1945" s="69"/>
      <c r="C1945" s="70"/>
      <c r="D1945" s="71"/>
    </row>
    <row r="1946" spans="2:4" x14ac:dyDescent="0.15">
      <c r="B1946" s="69"/>
      <c r="C1946" s="70"/>
      <c r="D1946" s="71"/>
    </row>
    <row r="1947" spans="2:4" x14ac:dyDescent="0.15">
      <c r="B1947" s="69"/>
      <c r="C1947" s="70"/>
      <c r="D1947" s="71"/>
    </row>
    <row r="1948" spans="2:4" x14ac:dyDescent="0.15">
      <c r="B1948" s="69"/>
      <c r="C1948" s="70"/>
      <c r="D1948" s="71"/>
    </row>
    <row r="1949" spans="2:4" x14ac:dyDescent="0.15">
      <c r="B1949" s="69"/>
      <c r="C1949" s="70"/>
      <c r="D1949" s="71"/>
    </row>
    <row r="1950" spans="2:4" x14ac:dyDescent="0.15">
      <c r="B1950" s="69"/>
      <c r="C1950" s="70"/>
      <c r="D1950" s="71"/>
    </row>
    <row r="1951" spans="2:4" x14ac:dyDescent="0.15">
      <c r="B1951" s="69"/>
      <c r="C1951" s="70"/>
      <c r="D1951" s="71"/>
    </row>
    <row r="1952" spans="2:4" x14ac:dyDescent="0.15">
      <c r="B1952" s="69"/>
      <c r="C1952" s="70"/>
      <c r="D1952" s="71"/>
    </row>
    <row r="1953" spans="2:4" x14ac:dyDescent="0.15">
      <c r="B1953" s="69"/>
      <c r="C1953" s="70"/>
      <c r="D1953" s="71"/>
    </row>
    <row r="1954" spans="2:4" x14ac:dyDescent="0.15">
      <c r="B1954" s="69"/>
      <c r="C1954" s="70"/>
      <c r="D1954" s="71"/>
    </row>
    <row r="1955" spans="2:4" x14ac:dyDescent="0.15">
      <c r="B1955" s="69"/>
      <c r="C1955" s="70"/>
      <c r="D1955" s="71"/>
    </row>
    <row r="1956" spans="2:4" x14ac:dyDescent="0.15">
      <c r="B1956" s="69"/>
      <c r="C1956" s="70"/>
      <c r="D1956" s="71"/>
    </row>
    <row r="1957" spans="2:4" x14ac:dyDescent="0.15">
      <c r="B1957" s="69"/>
      <c r="C1957" s="70"/>
      <c r="D1957" s="71"/>
    </row>
    <row r="1958" spans="2:4" x14ac:dyDescent="0.15">
      <c r="B1958" s="69"/>
      <c r="C1958" s="70"/>
      <c r="D1958" s="71"/>
    </row>
    <row r="1959" spans="2:4" x14ac:dyDescent="0.15">
      <c r="B1959" s="69"/>
      <c r="C1959" s="70"/>
      <c r="D1959" s="71"/>
    </row>
    <row r="1960" spans="2:4" x14ac:dyDescent="0.15">
      <c r="B1960" s="69"/>
      <c r="C1960" s="70"/>
      <c r="D1960" s="71"/>
    </row>
    <row r="1961" spans="2:4" x14ac:dyDescent="0.15">
      <c r="B1961" s="69"/>
      <c r="C1961" s="70"/>
      <c r="D1961" s="71"/>
    </row>
    <row r="1962" spans="2:4" x14ac:dyDescent="0.15">
      <c r="B1962" s="69"/>
      <c r="C1962" s="70"/>
      <c r="D1962" s="71"/>
    </row>
    <row r="1963" spans="2:4" x14ac:dyDescent="0.15">
      <c r="B1963" s="69"/>
      <c r="C1963" s="70"/>
      <c r="D1963" s="71"/>
    </row>
    <row r="1964" spans="2:4" x14ac:dyDescent="0.15">
      <c r="B1964" s="69"/>
      <c r="C1964" s="70"/>
      <c r="D1964" s="71"/>
    </row>
    <row r="1965" spans="2:4" x14ac:dyDescent="0.15">
      <c r="B1965" s="69"/>
      <c r="C1965" s="70"/>
      <c r="D1965" s="71"/>
    </row>
    <row r="1966" spans="2:4" x14ac:dyDescent="0.15">
      <c r="B1966" s="69"/>
      <c r="C1966" s="70"/>
      <c r="D1966" s="71"/>
    </row>
    <row r="1967" spans="2:4" x14ac:dyDescent="0.15">
      <c r="B1967" s="69"/>
      <c r="C1967" s="70"/>
      <c r="D1967" s="71"/>
    </row>
    <row r="1968" spans="2:4" x14ac:dyDescent="0.15">
      <c r="B1968" s="69"/>
      <c r="C1968" s="70"/>
      <c r="D1968" s="71"/>
    </row>
    <row r="1969" spans="2:4" x14ac:dyDescent="0.15">
      <c r="B1969" s="69"/>
      <c r="C1969" s="70"/>
      <c r="D1969" s="71"/>
    </row>
    <row r="1970" spans="2:4" x14ac:dyDescent="0.15">
      <c r="B1970" s="69"/>
      <c r="C1970" s="70"/>
      <c r="D1970" s="71"/>
    </row>
    <row r="1971" spans="2:4" x14ac:dyDescent="0.15">
      <c r="B1971" s="69"/>
      <c r="C1971" s="70"/>
      <c r="D1971" s="71"/>
    </row>
    <row r="1972" spans="2:4" x14ac:dyDescent="0.15">
      <c r="B1972" s="69"/>
      <c r="C1972" s="70"/>
      <c r="D1972" s="71"/>
    </row>
    <row r="1973" spans="2:4" x14ac:dyDescent="0.15">
      <c r="B1973" s="69"/>
      <c r="C1973" s="70"/>
      <c r="D1973" s="71"/>
    </row>
    <row r="1974" spans="2:4" x14ac:dyDescent="0.15">
      <c r="B1974" s="69"/>
      <c r="C1974" s="70"/>
      <c r="D1974" s="71"/>
    </row>
    <row r="1975" spans="2:4" x14ac:dyDescent="0.15">
      <c r="B1975" s="69"/>
      <c r="C1975" s="70"/>
      <c r="D1975" s="71"/>
    </row>
    <row r="1976" spans="2:4" x14ac:dyDescent="0.15">
      <c r="B1976" s="69"/>
      <c r="C1976" s="70"/>
      <c r="D1976" s="71"/>
    </row>
    <row r="1977" spans="2:4" x14ac:dyDescent="0.15">
      <c r="B1977" s="69"/>
      <c r="C1977" s="70"/>
      <c r="D1977" s="71"/>
    </row>
    <row r="1978" spans="2:4" x14ac:dyDescent="0.15">
      <c r="B1978" s="69"/>
      <c r="C1978" s="70"/>
      <c r="D1978" s="71"/>
    </row>
    <row r="1979" spans="2:4" x14ac:dyDescent="0.15">
      <c r="B1979" s="69"/>
      <c r="C1979" s="70"/>
      <c r="D1979" s="71"/>
    </row>
    <row r="1980" spans="2:4" x14ac:dyDescent="0.15">
      <c r="B1980" s="69"/>
      <c r="C1980" s="70"/>
      <c r="D1980" s="71"/>
    </row>
    <row r="1981" spans="2:4" x14ac:dyDescent="0.15">
      <c r="B1981" s="69"/>
      <c r="C1981" s="70"/>
      <c r="D1981" s="71"/>
    </row>
    <row r="1982" spans="2:4" x14ac:dyDescent="0.15">
      <c r="B1982" s="69"/>
      <c r="C1982" s="70"/>
      <c r="D1982" s="71"/>
    </row>
    <row r="1983" spans="2:4" x14ac:dyDescent="0.15">
      <c r="B1983" s="69"/>
      <c r="C1983" s="70"/>
      <c r="D1983" s="71"/>
    </row>
    <row r="1984" spans="2:4" x14ac:dyDescent="0.15">
      <c r="B1984" s="69"/>
      <c r="C1984" s="70"/>
      <c r="D1984" s="71"/>
    </row>
    <row r="1985" spans="2:4" x14ac:dyDescent="0.15">
      <c r="B1985" s="69"/>
      <c r="C1985" s="70"/>
      <c r="D1985" s="71"/>
    </row>
    <row r="1986" spans="2:4" x14ac:dyDescent="0.15">
      <c r="B1986" s="69"/>
      <c r="C1986" s="70"/>
      <c r="D1986" s="71"/>
    </row>
    <row r="1987" spans="2:4" x14ac:dyDescent="0.15">
      <c r="B1987" s="69"/>
      <c r="C1987" s="70"/>
      <c r="D1987" s="71"/>
    </row>
    <row r="1988" spans="2:4" x14ac:dyDescent="0.15">
      <c r="B1988" s="69"/>
      <c r="C1988" s="70"/>
      <c r="D1988" s="71"/>
    </row>
    <row r="1989" spans="2:4" x14ac:dyDescent="0.15">
      <c r="B1989" s="69"/>
      <c r="C1989" s="70"/>
      <c r="D1989" s="71"/>
    </row>
    <row r="1990" spans="2:4" x14ac:dyDescent="0.15">
      <c r="B1990" s="69"/>
      <c r="C1990" s="70"/>
      <c r="D1990" s="71"/>
    </row>
    <row r="1991" spans="2:4" x14ac:dyDescent="0.15">
      <c r="B1991" s="69"/>
      <c r="C1991" s="70"/>
      <c r="D1991" s="71"/>
    </row>
    <row r="1992" spans="2:4" x14ac:dyDescent="0.15">
      <c r="B1992" s="69"/>
      <c r="C1992" s="70"/>
      <c r="D1992" s="71"/>
    </row>
    <row r="1993" spans="2:4" x14ac:dyDescent="0.15">
      <c r="B1993" s="69"/>
      <c r="C1993" s="70"/>
      <c r="D1993" s="71"/>
    </row>
    <row r="1994" spans="2:4" x14ac:dyDescent="0.15">
      <c r="B1994" s="69"/>
      <c r="C1994" s="70"/>
      <c r="D1994" s="71"/>
    </row>
    <row r="1995" spans="2:4" x14ac:dyDescent="0.15">
      <c r="B1995" s="69"/>
      <c r="C1995" s="70"/>
      <c r="D1995" s="71"/>
    </row>
    <row r="1996" spans="2:4" x14ac:dyDescent="0.15">
      <c r="B1996" s="69"/>
      <c r="C1996" s="70"/>
      <c r="D1996" s="71"/>
    </row>
    <row r="1997" spans="2:4" x14ac:dyDescent="0.15">
      <c r="B1997" s="69"/>
      <c r="C1997" s="70"/>
      <c r="D1997" s="71"/>
    </row>
    <row r="1998" spans="2:4" x14ac:dyDescent="0.15">
      <c r="B1998" s="69"/>
      <c r="C1998" s="70"/>
      <c r="D1998" s="71"/>
    </row>
    <row r="1999" spans="2:4" x14ac:dyDescent="0.15">
      <c r="B1999" s="69"/>
      <c r="C1999" s="70"/>
      <c r="D1999" s="71"/>
    </row>
    <row r="2000" spans="2:4" x14ac:dyDescent="0.15">
      <c r="B2000" s="69"/>
      <c r="C2000" s="70"/>
      <c r="D2000" s="71"/>
    </row>
    <row r="2001" spans="2:4" x14ac:dyDescent="0.15">
      <c r="B2001" s="69"/>
      <c r="C2001" s="70"/>
      <c r="D2001" s="71"/>
    </row>
    <row r="2002" spans="2:4" x14ac:dyDescent="0.15">
      <c r="B2002" s="69"/>
      <c r="C2002" s="70"/>
      <c r="D2002" s="71"/>
    </row>
    <row r="2003" spans="2:4" x14ac:dyDescent="0.15">
      <c r="B2003" s="69"/>
      <c r="C2003" s="70"/>
      <c r="D2003" s="71"/>
    </row>
    <row r="2004" spans="2:4" x14ac:dyDescent="0.15">
      <c r="B2004" s="69"/>
      <c r="C2004" s="70"/>
      <c r="D2004" s="71"/>
    </row>
    <row r="2005" spans="2:4" x14ac:dyDescent="0.15">
      <c r="B2005" s="69"/>
      <c r="C2005" s="70"/>
      <c r="D2005" s="71"/>
    </row>
    <row r="2006" spans="2:4" x14ac:dyDescent="0.15">
      <c r="B2006" s="69"/>
      <c r="C2006" s="70"/>
      <c r="D2006" s="71"/>
    </row>
    <row r="2007" spans="2:4" x14ac:dyDescent="0.15">
      <c r="B2007" s="69"/>
      <c r="C2007" s="70"/>
      <c r="D2007" s="71"/>
    </row>
    <row r="2008" spans="2:4" x14ac:dyDescent="0.15">
      <c r="B2008" s="69"/>
      <c r="C2008" s="70"/>
      <c r="D2008" s="71"/>
    </row>
    <row r="2009" spans="2:4" x14ac:dyDescent="0.15">
      <c r="B2009" s="69"/>
      <c r="C2009" s="70"/>
      <c r="D2009" s="71"/>
    </row>
    <row r="2010" spans="2:4" x14ac:dyDescent="0.15">
      <c r="B2010" s="69"/>
      <c r="C2010" s="70"/>
      <c r="D2010" s="71"/>
    </row>
    <row r="2011" spans="2:4" x14ac:dyDescent="0.15">
      <c r="B2011" s="69"/>
      <c r="C2011" s="70"/>
      <c r="D2011" s="71"/>
    </row>
    <row r="2012" spans="2:4" x14ac:dyDescent="0.15">
      <c r="B2012" s="69"/>
      <c r="C2012" s="70"/>
      <c r="D2012" s="71"/>
    </row>
    <row r="2013" spans="2:4" x14ac:dyDescent="0.15">
      <c r="B2013" s="69"/>
      <c r="C2013" s="70"/>
      <c r="D2013" s="71"/>
    </row>
    <row r="2014" spans="2:4" x14ac:dyDescent="0.15">
      <c r="B2014" s="69"/>
      <c r="C2014" s="70"/>
      <c r="D2014" s="71"/>
    </row>
    <row r="2015" spans="2:4" x14ac:dyDescent="0.15">
      <c r="B2015" s="69"/>
      <c r="C2015" s="70"/>
      <c r="D2015" s="71"/>
    </row>
    <row r="2016" spans="2:4" x14ac:dyDescent="0.15">
      <c r="B2016" s="69"/>
      <c r="C2016" s="70"/>
      <c r="D2016" s="71"/>
    </row>
    <row r="2017" spans="2:4" x14ac:dyDescent="0.15">
      <c r="B2017" s="69"/>
      <c r="C2017" s="70"/>
      <c r="D2017" s="71"/>
    </row>
    <row r="2018" spans="2:4" x14ac:dyDescent="0.15">
      <c r="B2018" s="69"/>
      <c r="C2018" s="70"/>
      <c r="D2018" s="71"/>
    </row>
    <row r="2019" spans="2:4" x14ac:dyDescent="0.15">
      <c r="B2019" s="69"/>
      <c r="C2019" s="70"/>
      <c r="D2019" s="71"/>
    </row>
    <row r="2020" spans="2:4" x14ac:dyDescent="0.15">
      <c r="B2020" s="69"/>
      <c r="C2020" s="70"/>
      <c r="D2020" s="71"/>
    </row>
    <row r="2021" spans="2:4" x14ac:dyDescent="0.15">
      <c r="B2021" s="69"/>
      <c r="C2021" s="70"/>
      <c r="D2021" s="71"/>
    </row>
    <row r="2022" spans="2:4" x14ac:dyDescent="0.15">
      <c r="B2022" s="69"/>
      <c r="C2022" s="70"/>
      <c r="D2022" s="71"/>
    </row>
    <row r="2023" spans="2:4" x14ac:dyDescent="0.15">
      <c r="B2023" s="69"/>
      <c r="C2023" s="70"/>
      <c r="D2023" s="71"/>
    </row>
    <row r="2024" spans="2:4" x14ac:dyDescent="0.15">
      <c r="B2024" s="69"/>
      <c r="C2024" s="70"/>
      <c r="D2024" s="71"/>
    </row>
    <row r="2025" spans="2:4" x14ac:dyDescent="0.15">
      <c r="B2025" s="69"/>
      <c r="C2025" s="70"/>
      <c r="D2025" s="71"/>
    </row>
    <row r="2026" spans="2:4" x14ac:dyDescent="0.15">
      <c r="B2026" s="69"/>
      <c r="C2026" s="70"/>
      <c r="D2026" s="71"/>
    </row>
    <row r="2027" spans="2:4" x14ac:dyDescent="0.15">
      <c r="B2027" s="69"/>
      <c r="C2027" s="70"/>
      <c r="D2027" s="71"/>
    </row>
    <row r="2028" spans="2:4" x14ac:dyDescent="0.15">
      <c r="B2028" s="69"/>
      <c r="C2028" s="70"/>
      <c r="D2028" s="71"/>
    </row>
    <row r="2029" spans="2:4" x14ac:dyDescent="0.15">
      <c r="B2029" s="69"/>
      <c r="C2029" s="70"/>
      <c r="D2029" s="71"/>
    </row>
    <row r="2030" spans="2:4" x14ac:dyDescent="0.15">
      <c r="B2030" s="69"/>
      <c r="C2030" s="70"/>
      <c r="D2030" s="71"/>
    </row>
    <row r="2031" spans="2:4" x14ac:dyDescent="0.15">
      <c r="B2031" s="69"/>
      <c r="C2031" s="70"/>
      <c r="D2031" s="71"/>
    </row>
    <row r="2032" spans="2:4" x14ac:dyDescent="0.15">
      <c r="B2032" s="69"/>
      <c r="C2032" s="70"/>
      <c r="D2032" s="71"/>
    </row>
    <row r="2033" spans="2:4" x14ac:dyDescent="0.15">
      <c r="B2033" s="69"/>
      <c r="C2033" s="70"/>
      <c r="D2033" s="71"/>
    </row>
    <row r="2034" spans="2:4" x14ac:dyDescent="0.15">
      <c r="B2034" s="69"/>
      <c r="C2034" s="70"/>
      <c r="D2034" s="71"/>
    </row>
    <row r="2035" spans="2:4" x14ac:dyDescent="0.15">
      <c r="B2035" s="69"/>
      <c r="C2035" s="70"/>
      <c r="D2035" s="71"/>
    </row>
    <row r="2036" spans="2:4" x14ac:dyDescent="0.15">
      <c r="B2036" s="69"/>
      <c r="C2036" s="70"/>
      <c r="D2036" s="71"/>
    </row>
    <row r="2037" spans="2:4" x14ac:dyDescent="0.15">
      <c r="B2037" s="69"/>
      <c r="C2037" s="70"/>
      <c r="D2037" s="71"/>
    </row>
    <row r="2038" spans="2:4" x14ac:dyDescent="0.15">
      <c r="B2038" s="69"/>
      <c r="C2038" s="70"/>
      <c r="D2038" s="71"/>
    </row>
    <row r="2039" spans="2:4" x14ac:dyDescent="0.15">
      <c r="B2039" s="69"/>
      <c r="C2039" s="70"/>
      <c r="D2039" s="71"/>
    </row>
    <row r="2040" spans="2:4" x14ac:dyDescent="0.15">
      <c r="B2040" s="69"/>
      <c r="C2040" s="70"/>
      <c r="D2040" s="71"/>
    </row>
    <row r="2041" spans="2:4" x14ac:dyDescent="0.15">
      <c r="B2041" s="69"/>
      <c r="C2041" s="70"/>
      <c r="D2041" s="71"/>
    </row>
    <row r="2042" spans="2:4" x14ac:dyDescent="0.15">
      <c r="B2042" s="69"/>
      <c r="C2042" s="70"/>
      <c r="D2042" s="71"/>
    </row>
    <row r="2043" spans="2:4" x14ac:dyDescent="0.15">
      <c r="B2043" s="69"/>
      <c r="C2043" s="70"/>
      <c r="D2043" s="71"/>
    </row>
    <row r="2044" spans="2:4" x14ac:dyDescent="0.15">
      <c r="B2044" s="69"/>
      <c r="C2044" s="70"/>
      <c r="D2044" s="71"/>
    </row>
    <row r="2045" spans="2:4" x14ac:dyDescent="0.15">
      <c r="B2045" s="69"/>
      <c r="C2045" s="70"/>
      <c r="D2045" s="71"/>
    </row>
    <row r="2046" spans="2:4" x14ac:dyDescent="0.15">
      <c r="B2046" s="69"/>
      <c r="C2046" s="70"/>
      <c r="D2046" s="71"/>
    </row>
    <row r="2047" spans="2:4" x14ac:dyDescent="0.15">
      <c r="B2047" s="69"/>
      <c r="C2047" s="70"/>
      <c r="D2047" s="71"/>
    </row>
    <row r="2048" spans="2:4" x14ac:dyDescent="0.15">
      <c r="B2048" s="69"/>
      <c r="C2048" s="70"/>
      <c r="D2048" s="71"/>
    </row>
    <row r="2049" spans="2:4" x14ac:dyDescent="0.15">
      <c r="B2049" s="69"/>
      <c r="C2049" s="70"/>
      <c r="D2049" s="71"/>
    </row>
    <row r="2050" spans="2:4" x14ac:dyDescent="0.15">
      <c r="B2050" s="69"/>
      <c r="C2050" s="70"/>
      <c r="D2050" s="71"/>
    </row>
    <row r="2051" spans="2:4" x14ac:dyDescent="0.15">
      <c r="B2051" s="69"/>
      <c r="C2051" s="70"/>
      <c r="D2051" s="71"/>
    </row>
    <row r="2052" spans="2:4" x14ac:dyDescent="0.15">
      <c r="B2052" s="69"/>
      <c r="C2052" s="70"/>
      <c r="D2052" s="71"/>
    </row>
    <row r="2053" spans="2:4" x14ac:dyDescent="0.15">
      <c r="B2053" s="69"/>
      <c r="C2053" s="70"/>
      <c r="D2053" s="71"/>
    </row>
    <row r="2054" spans="2:4" x14ac:dyDescent="0.15">
      <c r="B2054" s="69"/>
      <c r="C2054" s="70"/>
      <c r="D2054" s="71"/>
    </row>
    <row r="2055" spans="2:4" x14ac:dyDescent="0.15">
      <c r="B2055" s="69"/>
      <c r="C2055" s="70"/>
      <c r="D2055" s="71"/>
    </row>
    <row r="2056" spans="2:4" x14ac:dyDescent="0.15">
      <c r="B2056" s="69"/>
      <c r="C2056" s="70"/>
      <c r="D2056" s="71"/>
    </row>
    <row r="2057" spans="2:4" x14ac:dyDescent="0.15">
      <c r="B2057" s="69"/>
      <c r="C2057" s="70"/>
      <c r="D2057" s="71"/>
    </row>
    <row r="2058" spans="2:4" x14ac:dyDescent="0.15">
      <c r="B2058" s="69"/>
      <c r="C2058" s="70"/>
      <c r="D2058" s="71"/>
    </row>
    <row r="2059" spans="2:4" x14ac:dyDescent="0.15">
      <c r="B2059" s="69"/>
      <c r="C2059" s="70"/>
      <c r="D2059" s="71"/>
    </row>
    <row r="2060" spans="2:4" x14ac:dyDescent="0.15">
      <c r="B2060" s="69"/>
      <c r="C2060" s="70"/>
      <c r="D2060" s="71"/>
    </row>
    <row r="2061" spans="2:4" x14ac:dyDescent="0.15">
      <c r="B2061" s="69"/>
      <c r="C2061" s="70"/>
      <c r="D2061" s="71"/>
    </row>
    <row r="2062" spans="2:4" x14ac:dyDescent="0.15">
      <c r="B2062" s="69"/>
      <c r="C2062" s="70"/>
      <c r="D2062" s="71"/>
    </row>
    <row r="2063" spans="2:4" x14ac:dyDescent="0.15">
      <c r="B2063" s="69"/>
      <c r="C2063" s="70"/>
      <c r="D2063" s="71"/>
    </row>
    <row r="2064" spans="2:4" x14ac:dyDescent="0.15">
      <c r="B2064" s="69"/>
      <c r="C2064" s="70"/>
      <c r="D2064" s="71"/>
    </row>
    <row r="2065" spans="2:4" x14ac:dyDescent="0.15">
      <c r="B2065" s="69"/>
      <c r="C2065" s="70"/>
      <c r="D2065" s="71"/>
    </row>
    <row r="2066" spans="2:4" x14ac:dyDescent="0.15">
      <c r="B2066" s="69"/>
      <c r="C2066" s="70"/>
      <c r="D2066" s="71"/>
    </row>
    <row r="2067" spans="2:4" x14ac:dyDescent="0.15">
      <c r="B2067" s="69"/>
      <c r="C2067" s="70"/>
      <c r="D2067" s="71"/>
    </row>
    <row r="2068" spans="2:4" x14ac:dyDescent="0.15">
      <c r="B2068" s="69"/>
      <c r="C2068" s="70"/>
      <c r="D2068" s="71"/>
    </row>
    <row r="2069" spans="2:4" x14ac:dyDescent="0.15">
      <c r="B2069" s="69"/>
      <c r="C2069" s="70"/>
      <c r="D2069" s="71"/>
    </row>
    <row r="2070" spans="2:4" x14ac:dyDescent="0.15">
      <c r="B2070" s="69"/>
      <c r="C2070" s="70"/>
      <c r="D2070" s="71"/>
    </row>
    <row r="2071" spans="2:4" x14ac:dyDescent="0.15">
      <c r="B2071" s="69"/>
      <c r="C2071" s="70"/>
      <c r="D2071" s="71"/>
    </row>
    <row r="2072" spans="2:4" x14ac:dyDescent="0.15">
      <c r="B2072" s="69"/>
      <c r="C2072" s="70"/>
      <c r="D2072" s="71"/>
    </row>
    <row r="2073" spans="2:4" x14ac:dyDescent="0.15">
      <c r="B2073" s="69"/>
      <c r="C2073" s="70"/>
      <c r="D2073" s="71"/>
    </row>
    <row r="2074" spans="2:4" x14ac:dyDescent="0.15">
      <c r="B2074" s="69"/>
      <c r="C2074" s="70"/>
      <c r="D2074" s="71"/>
    </row>
    <row r="2075" spans="2:4" x14ac:dyDescent="0.15">
      <c r="B2075" s="69"/>
      <c r="C2075" s="70"/>
      <c r="D2075" s="71"/>
    </row>
    <row r="2076" spans="2:4" x14ac:dyDescent="0.15">
      <c r="B2076" s="69"/>
      <c r="C2076" s="70"/>
      <c r="D2076" s="71"/>
    </row>
    <row r="2077" spans="2:4" x14ac:dyDescent="0.15">
      <c r="B2077" s="69"/>
      <c r="C2077" s="70"/>
      <c r="D2077" s="71"/>
    </row>
    <row r="2078" spans="2:4" x14ac:dyDescent="0.15">
      <c r="B2078" s="69"/>
      <c r="C2078" s="70"/>
      <c r="D2078" s="71"/>
    </row>
    <row r="2079" spans="2:4" x14ac:dyDescent="0.15">
      <c r="B2079" s="69"/>
      <c r="C2079" s="70"/>
      <c r="D2079" s="71"/>
    </row>
    <row r="2080" spans="2:4" x14ac:dyDescent="0.15">
      <c r="B2080" s="69"/>
      <c r="C2080" s="70"/>
      <c r="D2080" s="71"/>
    </row>
    <row r="2081" spans="2:4" x14ac:dyDescent="0.15">
      <c r="B2081" s="69"/>
      <c r="C2081" s="70"/>
      <c r="D2081" s="71"/>
    </row>
    <row r="2082" spans="2:4" x14ac:dyDescent="0.15">
      <c r="B2082" s="69"/>
      <c r="C2082" s="70"/>
      <c r="D2082" s="71"/>
    </row>
    <row r="2083" spans="2:4" x14ac:dyDescent="0.15">
      <c r="B2083" s="69"/>
      <c r="C2083" s="70"/>
      <c r="D2083" s="71"/>
    </row>
    <row r="2084" spans="2:4" x14ac:dyDescent="0.15">
      <c r="B2084" s="69"/>
      <c r="C2084" s="70"/>
      <c r="D2084" s="71"/>
    </row>
    <row r="2085" spans="2:4" x14ac:dyDescent="0.15">
      <c r="B2085" s="69"/>
      <c r="C2085" s="70"/>
      <c r="D2085" s="71"/>
    </row>
    <row r="2086" spans="2:4" x14ac:dyDescent="0.15">
      <c r="B2086" s="69"/>
      <c r="C2086" s="70"/>
      <c r="D2086" s="71"/>
    </row>
    <row r="2087" spans="2:4" x14ac:dyDescent="0.15">
      <c r="B2087" s="69"/>
      <c r="C2087" s="70"/>
      <c r="D2087" s="71"/>
    </row>
    <row r="2088" spans="2:4" x14ac:dyDescent="0.15">
      <c r="B2088" s="69"/>
      <c r="C2088" s="70"/>
      <c r="D2088" s="71"/>
    </row>
    <row r="2089" spans="2:4" x14ac:dyDescent="0.15">
      <c r="B2089" s="69"/>
      <c r="C2089" s="70"/>
      <c r="D2089" s="71"/>
    </row>
    <row r="2090" spans="2:4" x14ac:dyDescent="0.15">
      <c r="B2090" s="69"/>
      <c r="C2090" s="70"/>
      <c r="D2090" s="71"/>
    </row>
    <row r="2091" spans="2:4" x14ac:dyDescent="0.15">
      <c r="B2091" s="69"/>
      <c r="C2091" s="70"/>
      <c r="D2091" s="71"/>
    </row>
    <row r="2092" spans="2:4" x14ac:dyDescent="0.15">
      <c r="B2092" s="69"/>
      <c r="C2092" s="70"/>
      <c r="D2092" s="71"/>
    </row>
    <row r="2093" spans="2:4" x14ac:dyDescent="0.15">
      <c r="B2093" s="69"/>
      <c r="C2093" s="70"/>
      <c r="D2093" s="71"/>
    </row>
    <row r="2094" spans="2:4" x14ac:dyDescent="0.15">
      <c r="B2094" s="69"/>
      <c r="C2094" s="70"/>
      <c r="D2094" s="71"/>
    </row>
    <row r="2095" spans="2:4" x14ac:dyDescent="0.15">
      <c r="B2095" s="69"/>
      <c r="C2095" s="70"/>
      <c r="D2095" s="71"/>
    </row>
    <row r="2096" spans="2:4" x14ac:dyDescent="0.15">
      <c r="B2096" s="69"/>
      <c r="C2096" s="70"/>
      <c r="D2096" s="71"/>
    </row>
    <row r="2097" spans="2:4" x14ac:dyDescent="0.15">
      <c r="B2097" s="69"/>
      <c r="C2097" s="70"/>
      <c r="D2097" s="71"/>
    </row>
    <row r="2098" spans="2:4" x14ac:dyDescent="0.15">
      <c r="B2098" s="69"/>
      <c r="C2098" s="70"/>
      <c r="D2098" s="71"/>
    </row>
    <row r="2099" spans="2:4" x14ac:dyDescent="0.15">
      <c r="B2099" s="69"/>
      <c r="C2099" s="70"/>
      <c r="D2099" s="71"/>
    </row>
    <row r="2100" spans="2:4" x14ac:dyDescent="0.15">
      <c r="B2100" s="69"/>
      <c r="C2100" s="70"/>
      <c r="D2100" s="71"/>
    </row>
    <row r="2101" spans="2:4" x14ac:dyDescent="0.15">
      <c r="B2101" s="69"/>
      <c r="C2101" s="70"/>
      <c r="D2101" s="71"/>
    </row>
    <row r="2102" spans="2:4" x14ac:dyDescent="0.15">
      <c r="B2102" s="69"/>
      <c r="C2102" s="70"/>
      <c r="D2102" s="71"/>
    </row>
    <row r="2103" spans="2:4" x14ac:dyDescent="0.15">
      <c r="B2103" s="69"/>
      <c r="C2103" s="70"/>
      <c r="D2103" s="71"/>
    </row>
    <row r="2104" spans="2:4" x14ac:dyDescent="0.15">
      <c r="B2104" s="69"/>
      <c r="C2104" s="70"/>
      <c r="D2104" s="71"/>
    </row>
    <row r="2105" spans="2:4" x14ac:dyDescent="0.15">
      <c r="B2105" s="69"/>
      <c r="C2105" s="70"/>
      <c r="D2105" s="71"/>
    </row>
    <row r="2106" spans="2:4" x14ac:dyDescent="0.15">
      <c r="B2106" s="69"/>
      <c r="C2106" s="70"/>
      <c r="D2106" s="71"/>
    </row>
    <row r="2107" spans="2:4" x14ac:dyDescent="0.15">
      <c r="B2107" s="69"/>
      <c r="C2107" s="70"/>
      <c r="D2107" s="71"/>
    </row>
    <row r="2108" spans="2:4" x14ac:dyDescent="0.15">
      <c r="B2108" s="69"/>
      <c r="C2108" s="70"/>
      <c r="D2108" s="71"/>
    </row>
    <row r="2109" spans="2:4" x14ac:dyDescent="0.15">
      <c r="B2109" s="69"/>
      <c r="C2109" s="70"/>
      <c r="D2109" s="71"/>
    </row>
    <row r="2110" spans="2:4" x14ac:dyDescent="0.15">
      <c r="B2110" s="69"/>
      <c r="C2110" s="70"/>
      <c r="D2110" s="71"/>
    </row>
    <row r="2111" spans="2:4" x14ac:dyDescent="0.15">
      <c r="B2111" s="69"/>
      <c r="C2111" s="70"/>
      <c r="D2111" s="71"/>
    </row>
    <row r="2112" spans="2:4" x14ac:dyDescent="0.15">
      <c r="B2112" s="69"/>
      <c r="C2112" s="70"/>
      <c r="D2112" s="71"/>
    </row>
    <row r="2113" spans="2:4" x14ac:dyDescent="0.15">
      <c r="B2113" s="69"/>
      <c r="C2113" s="70"/>
      <c r="D2113" s="71"/>
    </row>
    <row r="2114" spans="2:4" x14ac:dyDescent="0.15">
      <c r="B2114" s="69"/>
      <c r="C2114" s="70"/>
      <c r="D2114" s="71"/>
    </row>
    <row r="2115" spans="2:4" x14ac:dyDescent="0.15">
      <c r="B2115" s="69"/>
      <c r="C2115" s="70"/>
      <c r="D2115" s="71"/>
    </row>
    <row r="2116" spans="2:4" x14ac:dyDescent="0.15">
      <c r="B2116" s="69"/>
      <c r="C2116" s="70"/>
      <c r="D2116" s="71"/>
    </row>
    <row r="2117" spans="2:4" x14ac:dyDescent="0.15">
      <c r="B2117" s="69"/>
      <c r="C2117" s="70"/>
      <c r="D2117" s="71"/>
    </row>
    <row r="2118" spans="2:4" x14ac:dyDescent="0.15">
      <c r="B2118" s="69"/>
      <c r="C2118" s="70"/>
      <c r="D2118" s="71"/>
    </row>
    <row r="2119" spans="2:4" x14ac:dyDescent="0.15">
      <c r="B2119" s="69"/>
      <c r="C2119" s="70"/>
      <c r="D2119" s="71"/>
    </row>
    <row r="2120" spans="2:4" x14ac:dyDescent="0.15">
      <c r="B2120" s="69"/>
      <c r="C2120" s="70"/>
      <c r="D2120" s="71"/>
    </row>
    <row r="2121" spans="2:4" x14ac:dyDescent="0.15">
      <c r="B2121" s="69"/>
      <c r="C2121" s="70"/>
      <c r="D2121" s="71"/>
    </row>
    <row r="2122" spans="2:4" x14ac:dyDescent="0.15">
      <c r="B2122" s="69"/>
      <c r="C2122" s="70"/>
      <c r="D2122" s="71"/>
    </row>
    <row r="2123" spans="2:4" x14ac:dyDescent="0.15">
      <c r="B2123" s="69"/>
      <c r="C2123" s="70"/>
      <c r="D2123" s="71"/>
    </row>
    <row r="2124" spans="2:4" x14ac:dyDescent="0.15">
      <c r="B2124" s="69"/>
      <c r="C2124" s="70"/>
      <c r="D2124" s="71"/>
    </row>
    <row r="2125" spans="2:4" x14ac:dyDescent="0.15">
      <c r="B2125" s="69"/>
      <c r="C2125" s="70"/>
      <c r="D2125" s="71"/>
    </row>
    <row r="2126" spans="2:4" x14ac:dyDescent="0.15">
      <c r="B2126" s="69"/>
      <c r="C2126" s="70"/>
      <c r="D2126" s="71"/>
    </row>
    <row r="2127" spans="2:4" x14ac:dyDescent="0.15">
      <c r="B2127" s="69"/>
      <c r="C2127" s="70"/>
      <c r="D2127" s="71"/>
    </row>
    <row r="2128" spans="2:4" x14ac:dyDescent="0.15">
      <c r="B2128" s="69"/>
      <c r="C2128" s="70"/>
      <c r="D2128" s="71"/>
    </row>
    <row r="2129" spans="2:4" x14ac:dyDescent="0.15">
      <c r="B2129" s="69"/>
      <c r="C2129" s="70"/>
      <c r="D2129" s="71"/>
    </row>
    <row r="2130" spans="2:4" x14ac:dyDescent="0.15">
      <c r="B2130" s="69"/>
      <c r="C2130" s="70"/>
      <c r="D2130" s="71"/>
    </row>
    <row r="2131" spans="2:4" x14ac:dyDescent="0.15">
      <c r="B2131" s="69"/>
      <c r="C2131" s="70"/>
      <c r="D2131" s="71"/>
    </row>
    <row r="2132" spans="2:4" x14ac:dyDescent="0.15">
      <c r="B2132" s="69"/>
      <c r="C2132" s="70"/>
      <c r="D2132" s="71"/>
    </row>
    <row r="2133" spans="2:4" x14ac:dyDescent="0.15">
      <c r="B2133" s="69"/>
      <c r="C2133" s="70"/>
      <c r="D2133" s="71"/>
    </row>
    <row r="2134" spans="2:4" x14ac:dyDescent="0.15">
      <c r="B2134" s="69"/>
      <c r="C2134" s="70"/>
      <c r="D2134" s="71"/>
    </row>
    <row r="2135" spans="2:4" x14ac:dyDescent="0.15">
      <c r="B2135" s="69"/>
      <c r="C2135" s="70"/>
      <c r="D2135" s="71"/>
    </row>
    <row r="2136" spans="2:4" x14ac:dyDescent="0.15">
      <c r="B2136" s="69"/>
      <c r="C2136" s="70"/>
      <c r="D2136" s="71"/>
    </row>
    <row r="2137" spans="2:4" x14ac:dyDescent="0.15">
      <c r="B2137" s="69"/>
      <c r="C2137" s="70"/>
      <c r="D2137" s="71"/>
    </row>
    <row r="2138" spans="2:4" x14ac:dyDescent="0.15">
      <c r="B2138" s="69"/>
      <c r="C2138" s="70"/>
      <c r="D2138" s="71"/>
    </row>
    <row r="2139" spans="2:4" x14ac:dyDescent="0.15">
      <c r="B2139" s="69"/>
      <c r="C2139" s="70"/>
      <c r="D2139" s="71"/>
    </row>
    <row r="2140" spans="2:4" x14ac:dyDescent="0.15">
      <c r="B2140" s="69"/>
      <c r="C2140" s="70"/>
      <c r="D2140" s="71"/>
    </row>
    <row r="2141" spans="2:4" x14ac:dyDescent="0.15">
      <c r="B2141" s="69"/>
      <c r="C2141" s="70"/>
      <c r="D2141" s="71"/>
    </row>
    <row r="2142" spans="2:4" x14ac:dyDescent="0.15">
      <c r="B2142" s="69"/>
      <c r="C2142" s="70"/>
      <c r="D2142" s="71"/>
    </row>
    <row r="2143" spans="2:4" x14ac:dyDescent="0.15">
      <c r="B2143" s="69"/>
      <c r="C2143" s="70"/>
      <c r="D2143" s="71"/>
    </row>
    <row r="2144" spans="2:4" x14ac:dyDescent="0.15">
      <c r="B2144" s="69"/>
      <c r="C2144" s="70"/>
      <c r="D2144" s="71"/>
    </row>
    <row r="2145" spans="2:4" x14ac:dyDescent="0.15">
      <c r="B2145" s="69"/>
      <c r="C2145" s="70"/>
      <c r="D2145" s="71"/>
    </row>
    <row r="2146" spans="2:4" x14ac:dyDescent="0.15">
      <c r="B2146" s="69"/>
      <c r="C2146" s="70"/>
      <c r="D2146" s="71"/>
    </row>
    <row r="2147" spans="2:4" x14ac:dyDescent="0.15">
      <c r="B2147" s="69"/>
      <c r="C2147" s="70"/>
      <c r="D2147" s="71"/>
    </row>
    <row r="2148" spans="2:4" x14ac:dyDescent="0.15">
      <c r="B2148" s="69"/>
      <c r="C2148" s="70"/>
      <c r="D2148" s="71"/>
    </row>
    <row r="2149" spans="2:4" x14ac:dyDescent="0.15">
      <c r="B2149" s="69"/>
      <c r="C2149" s="70"/>
      <c r="D2149" s="71"/>
    </row>
    <row r="2150" spans="2:4" x14ac:dyDescent="0.15">
      <c r="B2150" s="69"/>
      <c r="C2150" s="70"/>
      <c r="D2150" s="71"/>
    </row>
    <row r="2151" spans="2:4" x14ac:dyDescent="0.15">
      <c r="B2151" s="69"/>
      <c r="C2151" s="70"/>
      <c r="D2151" s="71"/>
    </row>
    <row r="2152" spans="2:4" x14ac:dyDescent="0.15">
      <c r="B2152" s="69"/>
      <c r="C2152" s="70"/>
      <c r="D2152" s="71"/>
    </row>
    <row r="2153" spans="2:4" x14ac:dyDescent="0.15">
      <c r="B2153" s="69"/>
      <c r="C2153" s="70"/>
      <c r="D2153" s="71"/>
    </row>
    <row r="2154" spans="2:4" x14ac:dyDescent="0.15">
      <c r="B2154" s="69"/>
      <c r="C2154" s="70"/>
      <c r="D2154" s="71"/>
    </row>
    <row r="2155" spans="2:4" x14ac:dyDescent="0.15">
      <c r="B2155" s="69"/>
      <c r="C2155" s="70"/>
      <c r="D2155" s="71"/>
    </row>
    <row r="2156" spans="2:4" x14ac:dyDescent="0.15">
      <c r="B2156" s="69"/>
      <c r="C2156" s="70"/>
      <c r="D2156" s="71"/>
    </row>
    <row r="2157" spans="2:4" x14ac:dyDescent="0.15">
      <c r="B2157" s="69"/>
      <c r="C2157" s="70"/>
      <c r="D2157" s="71"/>
    </row>
    <row r="2158" spans="2:4" x14ac:dyDescent="0.15">
      <c r="B2158" s="69"/>
      <c r="C2158" s="70"/>
      <c r="D2158" s="71"/>
    </row>
    <row r="2159" spans="2:4" x14ac:dyDescent="0.15">
      <c r="B2159" s="69"/>
      <c r="C2159" s="70"/>
      <c r="D2159" s="71"/>
    </row>
    <row r="2160" spans="2:4" x14ac:dyDescent="0.15">
      <c r="B2160" s="69"/>
      <c r="C2160" s="70"/>
      <c r="D2160" s="71"/>
    </row>
    <row r="2161" spans="2:4" x14ac:dyDescent="0.15">
      <c r="B2161" s="69"/>
      <c r="C2161" s="70"/>
      <c r="D2161" s="71"/>
    </row>
    <row r="2162" spans="2:4" x14ac:dyDescent="0.15">
      <c r="B2162" s="69"/>
      <c r="C2162" s="70"/>
      <c r="D2162" s="71"/>
    </row>
    <row r="2163" spans="2:4" x14ac:dyDescent="0.15">
      <c r="B2163" s="69"/>
      <c r="C2163" s="70"/>
      <c r="D2163" s="71"/>
    </row>
    <row r="2164" spans="2:4" x14ac:dyDescent="0.15">
      <c r="B2164" s="69"/>
      <c r="C2164" s="70"/>
      <c r="D2164" s="71"/>
    </row>
    <row r="2165" spans="2:4" x14ac:dyDescent="0.15">
      <c r="B2165" s="69"/>
      <c r="C2165" s="70"/>
      <c r="D2165" s="71"/>
    </row>
    <row r="2166" spans="2:4" x14ac:dyDescent="0.15">
      <c r="B2166" s="69"/>
      <c r="C2166" s="70"/>
      <c r="D2166" s="71"/>
    </row>
    <row r="2167" spans="2:4" x14ac:dyDescent="0.15">
      <c r="B2167" s="69"/>
      <c r="C2167" s="70"/>
      <c r="D2167" s="71"/>
    </row>
    <row r="2168" spans="2:4" x14ac:dyDescent="0.15">
      <c r="B2168" s="69"/>
      <c r="C2168" s="70"/>
      <c r="D2168" s="71"/>
    </row>
    <row r="2169" spans="2:4" x14ac:dyDescent="0.15">
      <c r="B2169" s="69"/>
      <c r="C2169" s="70"/>
      <c r="D2169" s="71"/>
    </row>
    <row r="2170" spans="2:4" x14ac:dyDescent="0.15">
      <c r="B2170" s="69"/>
      <c r="C2170" s="70"/>
      <c r="D2170" s="71"/>
    </row>
    <row r="2171" spans="2:4" x14ac:dyDescent="0.15">
      <c r="B2171" s="69"/>
      <c r="C2171" s="70"/>
      <c r="D2171" s="71"/>
    </row>
    <row r="2172" spans="2:4" x14ac:dyDescent="0.15">
      <c r="B2172" s="69"/>
      <c r="C2172" s="70"/>
      <c r="D2172" s="71"/>
    </row>
    <row r="2173" spans="2:4" x14ac:dyDescent="0.15">
      <c r="B2173" s="69"/>
      <c r="C2173" s="70"/>
      <c r="D2173" s="71"/>
    </row>
    <row r="2174" spans="2:4" x14ac:dyDescent="0.15">
      <c r="B2174" s="69"/>
      <c r="C2174" s="70"/>
      <c r="D2174" s="71"/>
    </row>
    <row r="2175" spans="2:4" x14ac:dyDescent="0.15">
      <c r="B2175" s="69"/>
      <c r="C2175" s="70"/>
      <c r="D2175" s="71"/>
    </row>
    <row r="2176" spans="2:4" x14ac:dyDescent="0.15">
      <c r="B2176" s="69"/>
      <c r="C2176" s="70"/>
      <c r="D2176" s="71"/>
    </row>
    <row r="2177" spans="2:4" x14ac:dyDescent="0.15">
      <c r="B2177" s="69"/>
      <c r="C2177" s="70"/>
      <c r="D2177" s="71"/>
    </row>
    <row r="2178" spans="2:4" x14ac:dyDescent="0.15">
      <c r="B2178" s="69"/>
      <c r="C2178" s="70"/>
      <c r="D2178" s="71"/>
    </row>
    <row r="2179" spans="2:4" x14ac:dyDescent="0.15">
      <c r="B2179" s="69"/>
      <c r="C2179" s="70"/>
      <c r="D2179" s="71"/>
    </row>
    <row r="2180" spans="2:4" x14ac:dyDescent="0.15">
      <c r="B2180" s="69"/>
      <c r="C2180" s="70"/>
      <c r="D2180" s="71"/>
    </row>
    <row r="2181" spans="2:4" x14ac:dyDescent="0.15">
      <c r="B2181" s="69"/>
      <c r="C2181" s="70"/>
      <c r="D2181" s="71"/>
    </row>
    <row r="2182" spans="2:4" x14ac:dyDescent="0.15">
      <c r="B2182" s="69"/>
      <c r="C2182" s="70"/>
      <c r="D2182" s="71"/>
    </row>
    <row r="2183" spans="2:4" x14ac:dyDescent="0.15">
      <c r="B2183" s="69"/>
      <c r="C2183" s="70"/>
      <c r="D2183" s="71"/>
    </row>
    <row r="2184" spans="2:4" x14ac:dyDescent="0.15">
      <c r="B2184" s="69"/>
      <c r="C2184" s="70"/>
      <c r="D2184" s="71"/>
    </row>
    <row r="2185" spans="2:4" x14ac:dyDescent="0.15">
      <c r="B2185" s="69"/>
      <c r="C2185" s="70"/>
      <c r="D2185" s="71"/>
    </row>
    <row r="2186" spans="2:4" x14ac:dyDescent="0.15">
      <c r="B2186" s="69"/>
      <c r="C2186" s="70"/>
      <c r="D2186" s="71"/>
    </row>
    <row r="2187" spans="2:4" x14ac:dyDescent="0.15">
      <c r="B2187" s="69"/>
      <c r="C2187" s="70"/>
      <c r="D2187" s="71"/>
    </row>
    <row r="2188" spans="2:4" x14ac:dyDescent="0.15">
      <c r="B2188" s="69"/>
      <c r="C2188" s="70"/>
      <c r="D2188" s="71"/>
    </row>
    <row r="2189" spans="2:4" x14ac:dyDescent="0.15">
      <c r="B2189" s="69"/>
      <c r="C2189" s="70"/>
      <c r="D2189" s="71"/>
    </row>
    <row r="2190" spans="2:4" x14ac:dyDescent="0.15">
      <c r="B2190" s="69"/>
      <c r="C2190" s="70"/>
      <c r="D2190" s="71"/>
    </row>
    <row r="2191" spans="2:4" x14ac:dyDescent="0.15">
      <c r="B2191" s="69"/>
      <c r="C2191" s="70"/>
      <c r="D2191" s="71"/>
    </row>
    <row r="2192" spans="2:4" x14ac:dyDescent="0.15">
      <c r="B2192" s="69"/>
      <c r="C2192" s="70"/>
      <c r="D2192" s="71"/>
    </row>
    <row r="2193" spans="2:4" x14ac:dyDescent="0.15">
      <c r="B2193" s="69"/>
      <c r="C2193" s="70"/>
      <c r="D2193" s="71"/>
    </row>
    <row r="2194" spans="2:4" x14ac:dyDescent="0.15">
      <c r="B2194" s="69"/>
      <c r="C2194" s="70"/>
      <c r="D2194" s="71"/>
    </row>
    <row r="2195" spans="2:4" x14ac:dyDescent="0.15">
      <c r="B2195" s="69"/>
      <c r="C2195" s="70"/>
      <c r="D2195" s="71"/>
    </row>
    <row r="2196" spans="2:4" x14ac:dyDescent="0.15">
      <c r="B2196" s="69"/>
      <c r="C2196" s="70"/>
      <c r="D2196" s="71"/>
    </row>
    <row r="2197" spans="2:4" x14ac:dyDescent="0.15">
      <c r="B2197" s="69"/>
      <c r="C2197" s="70"/>
      <c r="D2197" s="71"/>
    </row>
    <row r="2198" spans="2:4" x14ac:dyDescent="0.15">
      <c r="B2198" s="69"/>
      <c r="C2198" s="70"/>
      <c r="D2198" s="71"/>
    </row>
    <row r="2199" spans="2:4" x14ac:dyDescent="0.15">
      <c r="B2199" s="69"/>
      <c r="C2199" s="70"/>
      <c r="D2199" s="71"/>
    </row>
    <row r="2200" spans="2:4" x14ac:dyDescent="0.15">
      <c r="B2200" s="69"/>
      <c r="C2200" s="70"/>
      <c r="D2200" s="71"/>
    </row>
    <row r="2201" spans="2:4" x14ac:dyDescent="0.15">
      <c r="B2201" s="69"/>
      <c r="C2201" s="70"/>
      <c r="D2201" s="71"/>
    </row>
    <row r="2202" spans="2:4" x14ac:dyDescent="0.15">
      <c r="B2202" s="69"/>
      <c r="C2202" s="70"/>
      <c r="D2202" s="71"/>
    </row>
    <row r="2203" spans="2:4" x14ac:dyDescent="0.15">
      <c r="B2203" s="69"/>
      <c r="C2203" s="70"/>
      <c r="D2203" s="71"/>
    </row>
    <row r="2204" spans="2:4" x14ac:dyDescent="0.15">
      <c r="B2204" s="69"/>
      <c r="C2204" s="70"/>
      <c r="D2204" s="71"/>
    </row>
    <row r="2205" spans="2:4" x14ac:dyDescent="0.15">
      <c r="B2205" s="69"/>
      <c r="C2205" s="70"/>
      <c r="D2205" s="71"/>
    </row>
    <row r="2206" spans="2:4" x14ac:dyDescent="0.15">
      <c r="B2206" s="69"/>
      <c r="C2206" s="70"/>
      <c r="D2206" s="71"/>
    </row>
    <row r="2207" spans="2:4" x14ac:dyDescent="0.15">
      <c r="B2207" s="69"/>
      <c r="C2207" s="70"/>
      <c r="D2207" s="71"/>
    </row>
    <row r="2208" spans="2:4" x14ac:dyDescent="0.15">
      <c r="B2208" s="69"/>
      <c r="C2208" s="70"/>
      <c r="D2208" s="71"/>
    </row>
    <row r="2209" spans="2:4" x14ac:dyDescent="0.15">
      <c r="B2209" s="69"/>
      <c r="C2209" s="70"/>
      <c r="D2209" s="71"/>
    </row>
    <row r="2210" spans="2:4" x14ac:dyDescent="0.15">
      <c r="B2210" s="69"/>
      <c r="C2210" s="70"/>
      <c r="D2210" s="71"/>
    </row>
    <row r="2211" spans="2:4" x14ac:dyDescent="0.15">
      <c r="B2211" s="69"/>
      <c r="C2211" s="70"/>
      <c r="D2211" s="71"/>
    </row>
    <row r="2212" spans="2:4" x14ac:dyDescent="0.15">
      <c r="B2212" s="69"/>
      <c r="C2212" s="70"/>
      <c r="D2212" s="71"/>
    </row>
    <row r="2213" spans="2:4" x14ac:dyDescent="0.15">
      <c r="B2213" s="69"/>
      <c r="C2213" s="70"/>
      <c r="D2213" s="71"/>
    </row>
    <row r="2214" spans="2:4" x14ac:dyDescent="0.15">
      <c r="B2214" s="69"/>
      <c r="C2214" s="70"/>
      <c r="D2214" s="71"/>
    </row>
    <row r="2215" spans="2:4" x14ac:dyDescent="0.15">
      <c r="B2215" s="69"/>
      <c r="C2215" s="70"/>
      <c r="D2215" s="71"/>
    </row>
    <row r="2216" spans="2:4" x14ac:dyDescent="0.15">
      <c r="B2216" s="69"/>
      <c r="C2216" s="70"/>
      <c r="D2216" s="71"/>
    </row>
    <row r="2217" spans="2:4" x14ac:dyDescent="0.15">
      <c r="B2217" s="69"/>
      <c r="C2217" s="70"/>
      <c r="D2217" s="71"/>
    </row>
    <row r="2218" spans="2:4" x14ac:dyDescent="0.15">
      <c r="B2218" s="69"/>
      <c r="C2218" s="70"/>
      <c r="D2218" s="71"/>
    </row>
    <row r="2219" spans="2:4" x14ac:dyDescent="0.15">
      <c r="B2219" s="69"/>
      <c r="C2219" s="70"/>
      <c r="D2219" s="71"/>
    </row>
    <row r="2220" spans="2:4" x14ac:dyDescent="0.15">
      <c r="B2220" s="69"/>
      <c r="C2220" s="70"/>
      <c r="D2220" s="71"/>
    </row>
    <row r="2221" spans="2:4" x14ac:dyDescent="0.15">
      <c r="B2221" s="69"/>
      <c r="C2221" s="70"/>
      <c r="D2221" s="71"/>
    </row>
    <row r="2222" spans="2:4" x14ac:dyDescent="0.15">
      <c r="B2222" s="69"/>
      <c r="C2222" s="70"/>
      <c r="D2222" s="71"/>
    </row>
    <row r="2223" spans="2:4" x14ac:dyDescent="0.15">
      <c r="B2223" s="69"/>
      <c r="C2223" s="70"/>
      <c r="D2223" s="71"/>
    </row>
    <row r="2224" spans="2:4" x14ac:dyDescent="0.15">
      <c r="B2224" s="69"/>
      <c r="C2224" s="70"/>
      <c r="D2224" s="71"/>
    </row>
    <row r="2225" spans="2:4" x14ac:dyDescent="0.15">
      <c r="B2225" s="69"/>
      <c r="C2225" s="70"/>
      <c r="D2225" s="71"/>
    </row>
    <row r="2226" spans="2:4" x14ac:dyDescent="0.15">
      <c r="B2226" s="69"/>
      <c r="C2226" s="70"/>
      <c r="D2226" s="71"/>
    </row>
    <row r="2227" spans="2:4" x14ac:dyDescent="0.15">
      <c r="B2227" s="69"/>
      <c r="C2227" s="70"/>
      <c r="D2227" s="71"/>
    </row>
    <row r="2228" spans="2:4" x14ac:dyDescent="0.15">
      <c r="B2228" s="69"/>
      <c r="C2228" s="70"/>
      <c r="D2228" s="71"/>
    </row>
    <row r="2229" spans="2:4" x14ac:dyDescent="0.15">
      <c r="B2229" s="69"/>
      <c r="C2229" s="70"/>
      <c r="D2229" s="71"/>
    </row>
    <row r="2230" spans="2:4" x14ac:dyDescent="0.15">
      <c r="B2230" s="69"/>
      <c r="C2230" s="70"/>
      <c r="D2230" s="71"/>
    </row>
    <row r="2231" spans="2:4" x14ac:dyDescent="0.15">
      <c r="B2231" s="69"/>
      <c r="C2231" s="70"/>
      <c r="D2231" s="71"/>
    </row>
    <row r="2232" spans="2:4" x14ac:dyDescent="0.15">
      <c r="B2232" s="69"/>
      <c r="C2232" s="70"/>
      <c r="D2232" s="71"/>
    </row>
    <row r="2233" spans="2:4" x14ac:dyDescent="0.15">
      <c r="B2233" s="69"/>
      <c r="C2233" s="70"/>
      <c r="D2233" s="71"/>
    </row>
    <row r="2234" spans="2:4" x14ac:dyDescent="0.15">
      <c r="B2234" s="69"/>
      <c r="C2234" s="70"/>
      <c r="D2234" s="71"/>
    </row>
    <row r="2235" spans="2:4" x14ac:dyDescent="0.15">
      <c r="B2235" s="69"/>
      <c r="C2235" s="70"/>
      <c r="D2235" s="71"/>
    </row>
    <row r="2236" spans="2:4" x14ac:dyDescent="0.15">
      <c r="B2236" s="69"/>
      <c r="C2236" s="70"/>
      <c r="D2236" s="71"/>
    </row>
    <row r="2237" spans="2:4" x14ac:dyDescent="0.15">
      <c r="B2237" s="69"/>
      <c r="C2237" s="70"/>
      <c r="D2237" s="71"/>
    </row>
    <row r="2238" spans="2:4" x14ac:dyDescent="0.15">
      <c r="B2238" s="69"/>
      <c r="C2238" s="70"/>
      <c r="D2238" s="71"/>
    </row>
    <row r="2239" spans="2:4" x14ac:dyDescent="0.15">
      <c r="B2239" s="69"/>
      <c r="C2239" s="70"/>
      <c r="D2239" s="71"/>
    </row>
    <row r="2240" spans="2:4" x14ac:dyDescent="0.15">
      <c r="B2240" s="69"/>
      <c r="C2240" s="70"/>
      <c r="D2240" s="71"/>
    </row>
    <row r="2241" spans="2:4" x14ac:dyDescent="0.15">
      <c r="B2241" s="69"/>
      <c r="C2241" s="70"/>
      <c r="D2241" s="71"/>
    </row>
    <row r="2242" spans="2:4" x14ac:dyDescent="0.15">
      <c r="B2242" s="69"/>
      <c r="C2242" s="70"/>
      <c r="D2242" s="71"/>
    </row>
    <row r="2243" spans="2:4" x14ac:dyDescent="0.15">
      <c r="B2243" s="69"/>
      <c r="C2243" s="70"/>
      <c r="D2243" s="71"/>
    </row>
    <row r="2244" spans="2:4" x14ac:dyDescent="0.15">
      <c r="B2244" s="69"/>
      <c r="C2244" s="70"/>
      <c r="D2244" s="71"/>
    </row>
    <row r="2245" spans="2:4" x14ac:dyDescent="0.15">
      <c r="B2245" s="69"/>
      <c r="C2245" s="70"/>
      <c r="D2245" s="71"/>
    </row>
    <row r="2246" spans="2:4" x14ac:dyDescent="0.15">
      <c r="B2246" s="69"/>
      <c r="C2246" s="70"/>
      <c r="D2246" s="71"/>
    </row>
    <row r="2247" spans="2:4" x14ac:dyDescent="0.15">
      <c r="B2247" s="69"/>
      <c r="C2247" s="70"/>
      <c r="D2247" s="71"/>
    </row>
    <row r="2248" spans="2:4" x14ac:dyDescent="0.15">
      <c r="B2248" s="69"/>
      <c r="C2248" s="70"/>
      <c r="D2248" s="71"/>
    </row>
    <row r="2249" spans="2:4" x14ac:dyDescent="0.15">
      <c r="B2249" s="69"/>
      <c r="C2249" s="70"/>
      <c r="D2249" s="71"/>
    </row>
    <row r="2250" spans="2:4" x14ac:dyDescent="0.15">
      <c r="B2250" s="69"/>
      <c r="C2250" s="70"/>
      <c r="D2250" s="71"/>
    </row>
    <row r="2251" spans="2:4" x14ac:dyDescent="0.15">
      <c r="B2251" s="69"/>
      <c r="C2251" s="70"/>
      <c r="D2251" s="71"/>
    </row>
    <row r="2252" spans="2:4" x14ac:dyDescent="0.15">
      <c r="B2252" s="69"/>
      <c r="C2252" s="70"/>
      <c r="D2252" s="71"/>
    </row>
    <row r="2253" spans="2:4" x14ac:dyDescent="0.15">
      <c r="B2253" s="69"/>
      <c r="C2253" s="70"/>
      <c r="D2253" s="71"/>
    </row>
    <row r="2254" spans="2:4" x14ac:dyDescent="0.15">
      <c r="B2254" s="69"/>
      <c r="C2254" s="70"/>
      <c r="D2254" s="71"/>
    </row>
    <row r="2255" spans="2:4" x14ac:dyDescent="0.15">
      <c r="B2255" s="69"/>
      <c r="C2255" s="70"/>
      <c r="D2255" s="71"/>
    </row>
    <row r="2256" spans="2:4" x14ac:dyDescent="0.15">
      <c r="B2256" s="69"/>
      <c r="C2256" s="70"/>
      <c r="D2256" s="71"/>
    </row>
    <row r="2257" spans="2:4" x14ac:dyDescent="0.15">
      <c r="B2257" s="69"/>
      <c r="C2257" s="70"/>
      <c r="D2257" s="71"/>
    </row>
    <row r="2258" spans="2:4" x14ac:dyDescent="0.15">
      <c r="B2258" s="69"/>
      <c r="C2258" s="70"/>
      <c r="D2258" s="71"/>
    </row>
    <row r="2259" spans="2:4" x14ac:dyDescent="0.15">
      <c r="B2259" s="69"/>
      <c r="C2259" s="70"/>
      <c r="D2259" s="71"/>
    </row>
    <row r="2260" spans="2:4" x14ac:dyDescent="0.15">
      <c r="B2260" s="69"/>
      <c r="C2260" s="70"/>
      <c r="D2260" s="71"/>
    </row>
    <row r="2261" spans="2:4" x14ac:dyDescent="0.15">
      <c r="B2261" s="69"/>
      <c r="C2261" s="70"/>
      <c r="D2261" s="71"/>
    </row>
    <row r="2262" spans="2:4" x14ac:dyDescent="0.15">
      <c r="B2262" s="69"/>
      <c r="C2262" s="70"/>
      <c r="D2262" s="71"/>
    </row>
    <row r="2263" spans="2:4" x14ac:dyDescent="0.15">
      <c r="B2263" s="69"/>
      <c r="C2263" s="70"/>
      <c r="D2263" s="71"/>
    </row>
    <row r="2264" spans="2:4" x14ac:dyDescent="0.15">
      <c r="B2264" s="69"/>
      <c r="C2264" s="70"/>
      <c r="D2264" s="71"/>
    </row>
    <row r="2265" spans="2:4" x14ac:dyDescent="0.15">
      <c r="B2265" s="69"/>
      <c r="C2265" s="70"/>
      <c r="D2265" s="71"/>
    </row>
    <row r="2266" spans="2:4" x14ac:dyDescent="0.15">
      <c r="B2266" s="69"/>
      <c r="C2266" s="70"/>
      <c r="D2266" s="71"/>
    </row>
    <row r="2267" spans="2:4" x14ac:dyDescent="0.15">
      <c r="B2267" s="69"/>
      <c r="C2267" s="70"/>
      <c r="D2267" s="71"/>
    </row>
    <row r="2268" spans="2:4" x14ac:dyDescent="0.15">
      <c r="B2268" s="69"/>
      <c r="C2268" s="70"/>
      <c r="D2268" s="71"/>
    </row>
    <row r="2269" spans="2:4" x14ac:dyDescent="0.15">
      <c r="B2269" s="69"/>
      <c r="C2269" s="70"/>
      <c r="D2269" s="71"/>
    </row>
    <row r="2270" spans="2:4" x14ac:dyDescent="0.15">
      <c r="B2270" s="69"/>
      <c r="C2270" s="70"/>
      <c r="D2270" s="71"/>
    </row>
    <row r="2271" spans="2:4" x14ac:dyDescent="0.15">
      <c r="B2271" s="69"/>
      <c r="C2271" s="70"/>
      <c r="D2271" s="71"/>
    </row>
    <row r="2272" spans="2:4" x14ac:dyDescent="0.15">
      <c r="B2272" s="69"/>
      <c r="C2272" s="70"/>
      <c r="D2272" s="71"/>
    </row>
    <row r="2273" spans="2:4" x14ac:dyDescent="0.15">
      <c r="B2273" s="69"/>
      <c r="C2273" s="70"/>
      <c r="D2273" s="71"/>
    </row>
    <row r="2274" spans="2:4" x14ac:dyDescent="0.15">
      <c r="B2274" s="69"/>
      <c r="C2274" s="70"/>
      <c r="D2274" s="71"/>
    </row>
    <row r="2275" spans="2:4" x14ac:dyDescent="0.15">
      <c r="B2275" s="69"/>
      <c r="C2275" s="70"/>
      <c r="D2275" s="71"/>
    </row>
    <row r="2276" spans="2:4" x14ac:dyDescent="0.15">
      <c r="B2276" s="69"/>
      <c r="C2276" s="70"/>
      <c r="D2276" s="71"/>
    </row>
    <row r="2277" spans="2:4" x14ac:dyDescent="0.15">
      <c r="B2277" s="69"/>
      <c r="C2277" s="70"/>
      <c r="D2277" s="71"/>
    </row>
    <row r="2278" spans="2:4" x14ac:dyDescent="0.15">
      <c r="B2278" s="69"/>
      <c r="C2278" s="70"/>
      <c r="D2278" s="71"/>
    </row>
    <row r="2279" spans="2:4" x14ac:dyDescent="0.15">
      <c r="B2279" s="69"/>
      <c r="C2279" s="70"/>
      <c r="D2279" s="71"/>
    </row>
    <row r="2280" spans="2:4" x14ac:dyDescent="0.15">
      <c r="B2280" s="69"/>
      <c r="C2280" s="70"/>
      <c r="D2280" s="71"/>
    </row>
    <row r="2281" spans="2:4" x14ac:dyDescent="0.15">
      <c r="B2281" s="69"/>
      <c r="C2281" s="70"/>
      <c r="D2281" s="71"/>
    </row>
    <row r="2282" spans="2:4" x14ac:dyDescent="0.15">
      <c r="B2282" s="69"/>
      <c r="C2282" s="70"/>
      <c r="D2282" s="71"/>
    </row>
    <row r="2283" spans="2:4" x14ac:dyDescent="0.15">
      <c r="B2283" s="69"/>
      <c r="C2283" s="70"/>
      <c r="D2283" s="71"/>
    </row>
    <row r="2284" spans="2:4" x14ac:dyDescent="0.15">
      <c r="B2284" s="69"/>
      <c r="C2284" s="70"/>
      <c r="D2284" s="71"/>
    </row>
    <row r="2285" spans="2:4" x14ac:dyDescent="0.15">
      <c r="B2285" s="69"/>
      <c r="C2285" s="70"/>
      <c r="D2285" s="71"/>
    </row>
    <row r="2286" spans="2:4" x14ac:dyDescent="0.15">
      <c r="B2286" s="69"/>
      <c r="C2286" s="70"/>
      <c r="D2286" s="71"/>
    </row>
    <row r="2287" spans="2:4" x14ac:dyDescent="0.15">
      <c r="B2287" s="69"/>
      <c r="C2287" s="70"/>
      <c r="D2287" s="71"/>
    </row>
    <row r="2288" spans="2:4" x14ac:dyDescent="0.15">
      <c r="B2288" s="69"/>
      <c r="C2288" s="70"/>
      <c r="D2288" s="71"/>
    </row>
    <row r="2289" spans="2:4" x14ac:dyDescent="0.15">
      <c r="B2289" s="69"/>
      <c r="C2289" s="70"/>
      <c r="D2289" s="71"/>
    </row>
    <row r="2290" spans="2:4" x14ac:dyDescent="0.15">
      <c r="B2290" s="69"/>
      <c r="C2290" s="70"/>
      <c r="D2290" s="71"/>
    </row>
    <row r="2291" spans="2:4" x14ac:dyDescent="0.15">
      <c r="B2291" s="69"/>
      <c r="C2291" s="70"/>
      <c r="D2291" s="71"/>
    </row>
    <row r="2292" spans="2:4" x14ac:dyDescent="0.15">
      <c r="B2292" s="69"/>
      <c r="C2292" s="70"/>
      <c r="D2292" s="71"/>
    </row>
    <row r="2293" spans="2:4" x14ac:dyDescent="0.15">
      <c r="B2293" s="69"/>
      <c r="C2293" s="70"/>
      <c r="D2293" s="71"/>
    </row>
    <row r="2294" spans="2:4" x14ac:dyDescent="0.15">
      <c r="B2294" s="69"/>
      <c r="C2294" s="70"/>
      <c r="D2294" s="71"/>
    </row>
    <row r="2295" spans="2:4" x14ac:dyDescent="0.15">
      <c r="B2295" s="69"/>
      <c r="C2295" s="70"/>
      <c r="D2295" s="71"/>
    </row>
    <row r="2296" spans="2:4" x14ac:dyDescent="0.15">
      <c r="B2296" s="69"/>
      <c r="C2296" s="70"/>
      <c r="D2296" s="71"/>
    </row>
    <row r="2297" spans="2:4" x14ac:dyDescent="0.15">
      <c r="B2297" s="69"/>
      <c r="C2297" s="70"/>
      <c r="D2297" s="71"/>
    </row>
    <row r="2298" spans="2:4" x14ac:dyDescent="0.15">
      <c r="B2298" s="69"/>
      <c r="C2298" s="70"/>
      <c r="D2298" s="71"/>
    </row>
    <row r="2299" spans="2:4" x14ac:dyDescent="0.15">
      <c r="B2299" s="69"/>
      <c r="C2299" s="70"/>
      <c r="D2299" s="71"/>
    </row>
    <row r="2300" spans="2:4" x14ac:dyDescent="0.15">
      <c r="B2300" s="69"/>
      <c r="C2300" s="70"/>
      <c r="D2300" s="71"/>
    </row>
    <row r="2301" spans="2:4" x14ac:dyDescent="0.15">
      <c r="B2301" s="69"/>
      <c r="C2301" s="70"/>
      <c r="D2301" s="71"/>
    </row>
    <row r="2302" spans="2:4" x14ac:dyDescent="0.15">
      <c r="B2302" s="69"/>
      <c r="C2302" s="70"/>
      <c r="D2302" s="71"/>
    </row>
    <row r="2303" spans="2:4" x14ac:dyDescent="0.15">
      <c r="B2303" s="69"/>
      <c r="C2303" s="70"/>
      <c r="D2303" s="71"/>
    </row>
    <row r="2304" spans="2:4" x14ac:dyDescent="0.15">
      <c r="B2304" s="69"/>
      <c r="C2304" s="70"/>
      <c r="D2304" s="71"/>
    </row>
    <row r="2305" spans="2:4" x14ac:dyDescent="0.15">
      <c r="B2305" s="69"/>
      <c r="C2305" s="70"/>
      <c r="D2305" s="71"/>
    </row>
    <row r="2306" spans="2:4" x14ac:dyDescent="0.15">
      <c r="B2306" s="69"/>
      <c r="C2306" s="70"/>
      <c r="D2306" s="71"/>
    </row>
    <row r="2307" spans="2:4" x14ac:dyDescent="0.15">
      <c r="B2307" s="69"/>
      <c r="C2307" s="70"/>
      <c r="D2307" s="71"/>
    </row>
    <row r="2308" spans="2:4" x14ac:dyDescent="0.15">
      <c r="B2308" s="69"/>
      <c r="C2308" s="70"/>
      <c r="D2308" s="71"/>
    </row>
    <row r="2309" spans="2:4" x14ac:dyDescent="0.15">
      <c r="B2309" s="69"/>
      <c r="C2309" s="70"/>
      <c r="D2309" s="71"/>
    </row>
    <row r="2310" spans="2:4" x14ac:dyDescent="0.15">
      <c r="B2310" s="69"/>
      <c r="C2310" s="70"/>
      <c r="D2310" s="71"/>
    </row>
    <row r="2311" spans="2:4" x14ac:dyDescent="0.15">
      <c r="B2311" s="69"/>
      <c r="C2311" s="70"/>
      <c r="D2311" s="71"/>
    </row>
    <row r="2312" spans="2:4" x14ac:dyDescent="0.15">
      <c r="B2312" s="69"/>
      <c r="C2312" s="70"/>
      <c r="D2312" s="71"/>
    </row>
    <row r="2313" spans="2:4" x14ac:dyDescent="0.15">
      <c r="B2313" s="69"/>
      <c r="C2313" s="70"/>
      <c r="D2313" s="71"/>
    </row>
    <row r="2314" spans="2:4" x14ac:dyDescent="0.15">
      <c r="B2314" s="69"/>
      <c r="C2314" s="70"/>
      <c r="D2314" s="71"/>
    </row>
    <row r="2315" spans="2:4" x14ac:dyDescent="0.15">
      <c r="B2315" s="69"/>
      <c r="C2315" s="70"/>
      <c r="D2315" s="71"/>
    </row>
    <row r="2316" spans="2:4" x14ac:dyDescent="0.15">
      <c r="B2316" s="69"/>
      <c r="C2316" s="70"/>
      <c r="D2316" s="71"/>
    </row>
    <row r="2317" spans="2:4" x14ac:dyDescent="0.15">
      <c r="B2317" s="69"/>
      <c r="C2317" s="70"/>
      <c r="D2317" s="71"/>
    </row>
    <row r="2318" spans="2:4" x14ac:dyDescent="0.15">
      <c r="B2318" s="69"/>
      <c r="C2318" s="70"/>
      <c r="D2318" s="71"/>
    </row>
    <row r="2319" spans="2:4" x14ac:dyDescent="0.15">
      <c r="B2319" s="69"/>
      <c r="C2319" s="70"/>
      <c r="D2319" s="71"/>
    </row>
    <row r="2320" spans="2:4" x14ac:dyDescent="0.15">
      <c r="B2320" s="69"/>
      <c r="C2320" s="70"/>
      <c r="D2320" s="71"/>
    </row>
    <row r="2321" spans="2:4" x14ac:dyDescent="0.15">
      <c r="B2321" s="69"/>
      <c r="C2321" s="70"/>
      <c r="D2321" s="71"/>
    </row>
    <row r="2322" spans="2:4" x14ac:dyDescent="0.15">
      <c r="B2322" s="69"/>
      <c r="C2322" s="70"/>
      <c r="D2322" s="71"/>
    </row>
    <row r="2323" spans="2:4" x14ac:dyDescent="0.15">
      <c r="B2323" s="69"/>
      <c r="C2323" s="70"/>
      <c r="D2323" s="71"/>
    </row>
    <row r="2324" spans="2:4" x14ac:dyDescent="0.15">
      <c r="B2324" s="69"/>
      <c r="C2324" s="70"/>
      <c r="D2324" s="71"/>
    </row>
    <row r="2325" spans="2:4" x14ac:dyDescent="0.15">
      <c r="B2325" s="69"/>
      <c r="C2325" s="70"/>
      <c r="D2325" s="71"/>
    </row>
    <row r="2326" spans="2:4" x14ac:dyDescent="0.15">
      <c r="B2326" s="69"/>
      <c r="C2326" s="70"/>
      <c r="D2326" s="71"/>
    </row>
    <row r="2327" spans="2:4" x14ac:dyDescent="0.15">
      <c r="B2327" s="69"/>
      <c r="C2327" s="70"/>
      <c r="D2327" s="71"/>
    </row>
    <row r="2328" spans="2:4" x14ac:dyDescent="0.15">
      <c r="B2328" s="69"/>
      <c r="C2328" s="70"/>
      <c r="D2328" s="71"/>
    </row>
    <row r="2329" spans="2:4" x14ac:dyDescent="0.15">
      <c r="B2329" s="69"/>
      <c r="C2329" s="70"/>
      <c r="D2329" s="71"/>
    </row>
    <row r="2330" spans="2:4" x14ac:dyDescent="0.15">
      <c r="B2330" s="69"/>
      <c r="C2330" s="70"/>
      <c r="D2330" s="71"/>
    </row>
    <row r="2331" spans="2:4" x14ac:dyDescent="0.15">
      <c r="B2331" s="69"/>
      <c r="C2331" s="70"/>
      <c r="D2331" s="71"/>
    </row>
    <row r="2332" spans="2:4" x14ac:dyDescent="0.15">
      <c r="B2332" s="69"/>
      <c r="C2332" s="70"/>
      <c r="D2332" s="71"/>
    </row>
    <row r="2333" spans="2:4" x14ac:dyDescent="0.15">
      <c r="B2333" s="69"/>
      <c r="C2333" s="70"/>
      <c r="D2333" s="71"/>
    </row>
    <row r="2334" spans="2:4" x14ac:dyDescent="0.15">
      <c r="B2334" s="69"/>
      <c r="C2334" s="70"/>
      <c r="D2334" s="71"/>
    </row>
    <row r="2335" spans="2:4" x14ac:dyDescent="0.15">
      <c r="B2335" s="69"/>
      <c r="C2335" s="70"/>
      <c r="D2335" s="71"/>
    </row>
    <row r="2336" spans="2:4" x14ac:dyDescent="0.15">
      <c r="B2336" s="69"/>
      <c r="C2336" s="70"/>
      <c r="D2336" s="71"/>
    </row>
    <row r="2337" spans="2:4" x14ac:dyDescent="0.15">
      <c r="B2337" s="69"/>
      <c r="C2337" s="70"/>
      <c r="D2337" s="71"/>
    </row>
    <row r="2338" spans="2:4" x14ac:dyDescent="0.15">
      <c r="B2338" s="69"/>
      <c r="C2338" s="70"/>
      <c r="D2338" s="71"/>
    </row>
    <row r="2339" spans="2:4" x14ac:dyDescent="0.15">
      <c r="B2339" s="69"/>
      <c r="C2339" s="70"/>
      <c r="D2339" s="71"/>
    </row>
    <row r="2340" spans="2:4" x14ac:dyDescent="0.15">
      <c r="B2340" s="69"/>
      <c r="C2340" s="70"/>
      <c r="D2340" s="71"/>
    </row>
    <row r="2341" spans="2:4" x14ac:dyDescent="0.15">
      <c r="B2341" s="69"/>
      <c r="C2341" s="70"/>
      <c r="D2341" s="71"/>
    </row>
    <row r="2342" spans="2:4" x14ac:dyDescent="0.15">
      <c r="B2342" s="69"/>
      <c r="C2342" s="70"/>
      <c r="D2342" s="71"/>
    </row>
    <row r="2343" spans="2:4" x14ac:dyDescent="0.15">
      <c r="B2343" s="69"/>
      <c r="C2343" s="70"/>
      <c r="D2343" s="71"/>
    </row>
    <row r="2344" spans="2:4" x14ac:dyDescent="0.15">
      <c r="B2344" s="69"/>
      <c r="C2344" s="70"/>
      <c r="D2344" s="71"/>
    </row>
    <row r="2345" spans="2:4" x14ac:dyDescent="0.15">
      <c r="B2345" s="69"/>
      <c r="C2345" s="70"/>
      <c r="D2345" s="71"/>
    </row>
    <row r="2346" spans="2:4" x14ac:dyDescent="0.15">
      <c r="B2346" s="69"/>
      <c r="C2346" s="70"/>
      <c r="D2346" s="71"/>
    </row>
    <row r="2347" spans="2:4" x14ac:dyDescent="0.15">
      <c r="B2347" s="69"/>
      <c r="C2347" s="70"/>
      <c r="D2347" s="71"/>
    </row>
    <row r="2348" spans="2:4" x14ac:dyDescent="0.15">
      <c r="B2348" s="69"/>
      <c r="C2348" s="70"/>
      <c r="D2348" s="71"/>
    </row>
    <row r="2349" spans="2:4" x14ac:dyDescent="0.15">
      <c r="B2349" s="69"/>
      <c r="C2349" s="70"/>
      <c r="D2349" s="71"/>
    </row>
    <row r="2350" spans="2:4" x14ac:dyDescent="0.15">
      <c r="B2350" s="69"/>
      <c r="C2350" s="70"/>
      <c r="D2350" s="71"/>
    </row>
    <row r="2351" spans="2:4" x14ac:dyDescent="0.15">
      <c r="B2351" s="69"/>
      <c r="C2351" s="70"/>
      <c r="D2351" s="71"/>
    </row>
    <row r="2352" spans="2:4" x14ac:dyDescent="0.15">
      <c r="B2352" s="69"/>
      <c r="C2352" s="70"/>
      <c r="D2352" s="71"/>
    </row>
    <row r="2353" spans="2:4" x14ac:dyDescent="0.15">
      <c r="B2353" s="69"/>
      <c r="C2353" s="70"/>
      <c r="D2353" s="71"/>
    </row>
    <row r="2354" spans="2:4" x14ac:dyDescent="0.15">
      <c r="B2354" s="69"/>
      <c r="C2354" s="70"/>
      <c r="D2354" s="71"/>
    </row>
    <row r="2355" spans="2:4" x14ac:dyDescent="0.15">
      <c r="B2355" s="69"/>
      <c r="C2355" s="70"/>
      <c r="D2355" s="71"/>
    </row>
    <row r="2356" spans="2:4" x14ac:dyDescent="0.15">
      <c r="B2356" s="69"/>
      <c r="C2356" s="70"/>
      <c r="D2356" s="71"/>
    </row>
    <row r="2357" spans="2:4" x14ac:dyDescent="0.15">
      <c r="B2357" s="69"/>
      <c r="C2357" s="70"/>
      <c r="D2357" s="71"/>
    </row>
    <row r="2358" spans="2:4" x14ac:dyDescent="0.15">
      <c r="B2358" s="69"/>
      <c r="C2358" s="70"/>
      <c r="D2358" s="71"/>
    </row>
    <row r="2359" spans="2:4" x14ac:dyDescent="0.15">
      <c r="B2359" s="69"/>
      <c r="C2359" s="70"/>
      <c r="D2359" s="71"/>
    </row>
    <row r="2360" spans="2:4" x14ac:dyDescent="0.15">
      <c r="B2360" s="69"/>
      <c r="C2360" s="70"/>
      <c r="D2360" s="71"/>
    </row>
    <row r="2361" spans="2:4" x14ac:dyDescent="0.15">
      <c r="B2361" s="69"/>
      <c r="C2361" s="70"/>
      <c r="D2361" s="71"/>
    </row>
    <row r="2362" spans="2:4" x14ac:dyDescent="0.15">
      <c r="B2362" s="69"/>
      <c r="C2362" s="70"/>
      <c r="D2362" s="71"/>
    </row>
    <row r="2363" spans="2:4" x14ac:dyDescent="0.15">
      <c r="B2363" s="69"/>
      <c r="C2363" s="70"/>
      <c r="D2363" s="71"/>
    </row>
    <row r="2364" spans="2:4" x14ac:dyDescent="0.15">
      <c r="B2364" s="69"/>
      <c r="C2364" s="70"/>
      <c r="D2364" s="71"/>
    </row>
    <row r="2365" spans="2:4" x14ac:dyDescent="0.15">
      <c r="B2365" s="69"/>
      <c r="C2365" s="70"/>
      <c r="D2365" s="71"/>
    </row>
    <row r="2366" spans="2:4" x14ac:dyDescent="0.15">
      <c r="B2366" s="69"/>
      <c r="C2366" s="70"/>
      <c r="D2366" s="71"/>
    </row>
    <row r="2367" spans="2:4" x14ac:dyDescent="0.15">
      <c r="B2367" s="69"/>
      <c r="C2367" s="70"/>
      <c r="D2367" s="71"/>
    </row>
    <row r="2368" spans="2:4" x14ac:dyDescent="0.15">
      <c r="B2368" s="69"/>
      <c r="C2368" s="70"/>
      <c r="D2368" s="71"/>
    </row>
    <row r="2369" spans="2:4" x14ac:dyDescent="0.15">
      <c r="B2369" s="69"/>
      <c r="C2369" s="70"/>
      <c r="D2369" s="71"/>
    </row>
    <row r="2370" spans="2:4" x14ac:dyDescent="0.15">
      <c r="B2370" s="69"/>
      <c r="C2370" s="70"/>
      <c r="D2370" s="71"/>
    </row>
    <row r="2371" spans="2:4" x14ac:dyDescent="0.15">
      <c r="B2371" s="69"/>
      <c r="C2371" s="70"/>
      <c r="D2371" s="71"/>
    </row>
    <row r="2372" spans="2:4" x14ac:dyDescent="0.15">
      <c r="B2372" s="69"/>
      <c r="C2372" s="70"/>
      <c r="D2372" s="71"/>
    </row>
    <row r="2373" spans="2:4" x14ac:dyDescent="0.15">
      <c r="B2373" s="69"/>
      <c r="C2373" s="70"/>
      <c r="D2373" s="71"/>
    </row>
    <row r="2374" spans="2:4" x14ac:dyDescent="0.15">
      <c r="B2374" s="69"/>
      <c r="C2374" s="70"/>
      <c r="D2374" s="71"/>
    </row>
    <row r="2375" spans="2:4" x14ac:dyDescent="0.15">
      <c r="B2375" s="69"/>
      <c r="C2375" s="70"/>
      <c r="D2375" s="71"/>
    </row>
    <row r="2376" spans="2:4" x14ac:dyDescent="0.15">
      <c r="B2376" s="69"/>
      <c r="C2376" s="70"/>
      <c r="D2376" s="71"/>
    </row>
    <row r="2377" spans="2:4" x14ac:dyDescent="0.15">
      <c r="B2377" s="69"/>
      <c r="C2377" s="70"/>
      <c r="D2377" s="71"/>
    </row>
    <row r="2378" spans="2:4" x14ac:dyDescent="0.15">
      <c r="B2378" s="69"/>
      <c r="C2378" s="70"/>
      <c r="D2378" s="71"/>
    </row>
    <row r="2379" spans="2:4" x14ac:dyDescent="0.15">
      <c r="B2379" s="69"/>
      <c r="C2379" s="70"/>
      <c r="D2379" s="71"/>
    </row>
    <row r="2380" spans="2:4" x14ac:dyDescent="0.15">
      <c r="B2380" s="69"/>
      <c r="C2380" s="70"/>
      <c r="D2380" s="71"/>
    </row>
    <row r="2381" spans="2:4" x14ac:dyDescent="0.15">
      <c r="B2381" s="69"/>
      <c r="C2381" s="70"/>
      <c r="D2381" s="71"/>
    </row>
    <row r="2382" spans="2:4" x14ac:dyDescent="0.15">
      <c r="B2382" s="69"/>
      <c r="C2382" s="70"/>
      <c r="D2382" s="71"/>
    </row>
    <row r="2383" spans="2:4" x14ac:dyDescent="0.15">
      <c r="B2383" s="69"/>
      <c r="C2383" s="70"/>
      <c r="D2383" s="71"/>
    </row>
    <row r="2384" spans="2:4" x14ac:dyDescent="0.15">
      <c r="B2384" s="69"/>
      <c r="C2384" s="70"/>
      <c r="D2384" s="71"/>
    </row>
    <row r="2385" spans="2:4" x14ac:dyDescent="0.15">
      <c r="B2385" s="69"/>
      <c r="C2385" s="70"/>
      <c r="D2385" s="71"/>
    </row>
    <row r="2386" spans="2:4" x14ac:dyDescent="0.15">
      <c r="B2386" s="69"/>
      <c r="C2386" s="70"/>
      <c r="D2386" s="71"/>
    </row>
    <row r="2387" spans="2:4" x14ac:dyDescent="0.15">
      <c r="B2387" s="69"/>
      <c r="C2387" s="70"/>
      <c r="D2387" s="71"/>
    </row>
    <row r="2388" spans="2:4" x14ac:dyDescent="0.15">
      <c r="B2388" s="69"/>
      <c r="C2388" s="70"/>
      <c r="D2388" s="71"/>
    </row>
    <row r="2389" spans="2:4" x14ac:dyDescent="0.15">
      <c r="B2389" s="69"/>
      <c r="C2389" s="70"/>
      <c r="D2389" s="71"/>
    </row>
    <row r="2390" spans="2:4" x14ac:dyDescent="0.15">
      <c r="B2390" s="69"/>
      <c r="C2390" s="70"/>
      <c r="D2390" s="71"/>
    </row>
    <row r="2391" spans="2:4" x14ac:dyDescent="0.15">
      <c r="B2391" s="69"/>
      <c r="C2391" s="70"/>
      <c r="D2391" s="71"/>
    </row>
    <row r="2392" spans="2:4" x14ac:dyDescent="0.15">
      <c r="B2392" s="69"/>
      <c r="C2392" s="70"/>
      <c r="D2392" s="71"/>
    </row>
    <row r="2393" spans="2:4" x14ac:dyDescent="0.15">
      <c r="B2393" s="69"/>
      <c r="C2393" s="70"/>
      <c r="D2393" s="71"/>
    </row>
    <row r="2394" spans="2:4" x14ac:dyDescent="0.15">
      <c r="B2394" s="69"/>
      <c r="C2394" s="70"/>
      <c r="D2394" s="71"/>
    </row>
    <row r="2395" spans="2:4" x14ac:dyDescent="0.15">
      <c r="B2395" s="69"/>
      <c r="C2395" s="70"/>
      <c r="D2395" s="71"/>
    </row>
    <row r="2396" spans="2:4" x14ac:dyDescent="0.15">
      <c r="B2396" s="69"/>
      <c r="C2396" s="70"/>
      <c r="D2396" s="71"/>
    </row>
    <row r="2397" spans="2:4" x14ac:dyDescent="0.15">
      <c r="B2397" s="69"/>
      <c r="C2397" s="70"/>
      <c r="D2397" s="71"/>
    </row>
    <row r="2398" spans="2:4" x14ac:dyDescent="0.15">
      <c r="B2398" s="69"/>
      <c r="C2398" s="70"/>
      <c r="D2398" s="71"/>
    </row>
    <row r="2399" spans="2:4" x14ac:dyDescent="0.15">
      <c r="B2399" s="69"/>
      <c r="C2399" s="70"/>
      <c r="D2399" s="71"/>
    </row>
    <row r="2400" spans="2:4" x14ac:dyDescent="0.15">
      <c r="B2400" s="69"/>
      <c r="C2400" s="70"/>
      <c r="D2400" s="71"/>
    </row>
    <row r="2401" spans="2:4" x14ac:dyDescent="0.15">
      <c r="B2401" s="69"/>
      <c r="C2401" s="70"/>
      <c r="D2401" s="71"/>
    </row>
    <row r="2402" spans="2:4" x14ac:dyDescent="0.15">
      <c r="B2402" s="69"/>
      <c r="C2402" s="70"/>
      <c r="D2402" s="71"/>
    </row>
    <row r="2403" spans="2:4" x14ac:dyDescent="0.15">
      <c r="B2403" s="69"/>
      <c r="C2403" s="70"/>
      <c r="D2403" s="71"/>
    </row>
    <row r="2404" spans="2:4" x14ac:dyDescent="0.15">
      <c r="B2404" s="69"/>
      <c r="C2404" s="70"/>
      <c r="D2404" s="71"/>
    </row>
    <row r="2405" spans="2:4" x14ac:dyDescent="0.15">
      <c r="B2405" s="69"/>
      <c r="C2405" s="70"/>
      <c r="D2405" s="71"/>
    </row>
    <row r="2406" spans="2:4" x14ac:dyDescent="0.15">
      <c r="B2406" s="69"/>
      <c r="C2406" s="70"/>
      <c r="D2406" s="71"/>
    </row>
    <row r="2407" spans="2:4" x14ac:dyDescent="0.15">
      <c r="B2407" s="69"/>
      <c r="C2407" s="70"/>
      <c r="D2407" s="71"/>
    </row>
    <row r="2408" spans="2:4" x14ac:dyDescent="0.15">
      <c r="B2408" s="69"/>
      <c r="C2408" s="70"/>
      <c r="D2408" s="71"/>
    </row>
    <row r="2409" spans="2:4" x14ac:dyDescent="0.15">
      <c r="B2409" s="69"/>
      <c r="C2409" s="70"/>
      <c r="D2409" s="71"/>
    </row>
    <row r="2410" spans="2:4" x14ac:dyDescent="0.15">
      <c r="B2410" s="69"/>
      <c r="C2410" s="70"/>
      <c r="D2410" s="71"/>
    </row>
    <row r="2411" spans="2:4" x14ac:dyDescent="0.15">
      <c r="B2411" s="69"/>
      <c r="C2411" s="70"/>
      <c r="D2411" s="71"/>
    </row>
    <row r="2412" spans="2:4" x14ac:dyDescent="0.15">
      <c r="B2412" s="69"/>
      <c r="C2412" s="70"/>
      <c r="D2412" s="71"/>
    </row>
    <row r="2413" spans="2:4" x14ac:dyDescent="0.15">
      <c r="B2413" s="69"/>
      <c r="C2413" s="70"/>
      <c r="D2413" s="71"/>
    </row>
    <row r="2414" spans="2:4" x14ac:dyDescent="0.15">
      <c r="B2414" s="69"/>
      <c r="C2414" s="70"/>
      <c r="D2414" s="71"/>
    </row>
    <row r="2415" spans="2:4" x14ac:dyDescent="0.15">
      <c r="B2415" s="69"/>
      <c r="C2415" s="70"/>
      <c r="D2415" s="71"/>
    </row>
    <row r="2416" spans="2:4" x14ac:dyDescent="0.15">
      <c r="B2416" s="69"/>
      <c r="C2416" s="70"/>
      <c r="D2416" s="71"/>
    </row>
    <row r="2417" spans="2:4" x14ac:dyDescent="0.15">
      <c r="B2417" s="69"/>
      <c r="C2417" s="70"/>
      <c r="D2417" s="71"/>
    </row>
    <row r="2418" spans="2:4" x14ac:dyDescent="0.15">
      <c r="B2418" s="69"/>
      <c r="C2418" s="70"/>
      <c r="D2418" s="71"/>
    </row>
    <row r="2419" spans="2:4" x14ac:dyDescent="0.15">
      <c r="B2419" s="69"/>
      <c r="C2419" s="70"/>
      <c r="D2419" s="71"/>
    </row>
    <row r="2420" spans="2:4" x14ac:dyDescent="0.15">
      <c r="B2420" s="69"/>
      <c r="C2420" s="70"/>
      <c r="D2420" s="71"/>
    </row>
    <row r="2421" spans="2:4" x14ac:dyDescent="0.15">
      <c r="B2421" s="69"/>
      <c r="C2421" s="70"/>
      <c r="D2421" s="71"/>
    </row>
    <row r="2422" spans="2:4" x14ac:dyDescent="0.15">
      <c r="B2422" s="69"/>
      <c r="C2422" s="70"/>
      <c r="D2422" s="71"/>
    </row>
    <row r="2423" spans="2:4" x14ac:dyDescent="0.15">
      <c r="B2423" s="69"/>
      <c r="C2423" s="70"/>
      <c r="D2423" s="71"/>
    </row>
    <row r="2424" spans="2:4" x14ac:dyDescent="0.15">
      <c r="B2424" s="69"/>
      <c r="C2424" s="70"/>
      <c r="D2424" s="71"/>
    </row>
    <row r="2425" spans="2:4" x14ac:dyDescent="0.15">
      <c r="B2425" s="69"/>
      <c r="C2425" s="70"/>
      <c r="D2425" s="71"/>
    </row>
    <row r="2426" spans="2:4" x14ac:dyDescent="0.15">
      <c r="B2426" s="69"/>
      <c r="C2426" s="70"/>
      <c r="D2426" s="71"/>
    </row>
    <row r="2427" spans="2:4" x14ac:dyDescent="0.15">
      <c r="B2427" s="69"/>
      <c r="C2427" s="70"/>
      <c r="D2427" s="71"/>
    </row>
    <row r="2428" spans="2:4" x14ac:dyDescent="0.15">
      <c r="B2428" s="69"/>
      <c r="C2428" s="70"/>
      <c r="D2428" s="71"/>
    </row>
    <row r="2429" spans="2:4" x14ac:dyDescent="0.15">
      <c r="B2429" s="69"/>
      <c r="C2429" s="70"/>
      <c r="D2429" s="71"/>
    </row>
    <row r="2430" spans="2:4" x14ac:dyDescent="0.15">
      <c r="B2430" s="69"/>
      <c r="C2430" s="70"/>
      <c r="D2430" s="71"/>
    </row>
    <row r="2431" spans="2:4" x14ac:dyDescent="0.15">
      <c r="B2431" s="69"/>
      <c r="C2431" s="70"/>
      <c r="D2431" s="71"/>
    </row>
    <row r="2432" spans="2:4" x14ac:dyDescent="0.15">
      <c r="B2432" s="69"/>
      <c r="C2432" s="70"/>
      <c r="D2432" s="71"/>
    </row>
    <row r="2433" spans="2:4" x14ac:dyDescent="0.15">
      <c r="B2433" s="69"/>
      <c r="C2433" s="70"/>
      <c r="D2433" s="71"/>
    </row>
    <row r="2434" spans="2:4" x14ac:dyDescent="0.15">
      <c r="B2434" s="69"/>
      <c r="C2434" s="70"/>
      <c r="D2434" s="71"/>
    </row>
    <row r="2435" spans="2:4" x14ac:dyDescent="0.15">
      <c r="B2435" s="69"/>
      <c r="C2435" s="70"/>
      <c r="D2435" s="71"/>
    </row>
    <row r="2436" spans="2:4" x14ac:dyDescent="0.15">
      <c r="B2436" s="69"/>
      <c r="C2436" s="70"/>
      <c r="D2436" s="71"/>
    </row>
    <row r="2437" spans="2:4" x14ac:dyDescent="0.15">
      <c r="B2437" s="69"/>
      <c r="C2437" s="70"/>
      <c r="D2437" s="71"/>
    </row>
    <row r="2438" spans="2:4" x14ac:dyDescent="0.15">
      <c r="B2438" s="69"/>
      <c r="C2438" s="70"/>
      <c r="D2438" s="71"/>
    </row>
    <row r="2439" spans="2:4" x14ac:dyDescent="0.15">
      <c r="B2439" s="69"/>
      <c r="C2439" s="70"/>
      <c r="D2439" s="71"/>
    </row>
    <row r="2440" spans="2:4" x14ac:dyDescent="0.15">
      <c r="B2440" s="69"/>
      <c r="C2440" s="70"/>
      <c r="D2440" s="71"/>
    </row>
    <row r="2441" spans="2:4" x14ac:dyDescent="0.15">
      <c r="B2441" s="69"/>
      <c r="C2441" s="70"/>
      <c r="D2441" s="71"/>
    </row>
    <row r="2442" spans="2:4" x14ac:dyDescent="0.15">
      <c r="B2442" s="69"/>
      <c r="C2442" s="70"/>
      <c r="D2442" s="71"/>
    </row>
    <row r="2443" spans="2:4" x14ac:dyDescent="0.15">
      <c r="B2443" s="69"/>
      <c r="C2443" s="70"/>
      <c r="D2443" s="71"/>
    </row>
    <row r="2444" spans="2:4" x14ac:dyDescent="0.15">
      <c r="B2444" s="69"/>
      <c r="C2444" s="70"/>
      <c r="D2444" s="71"/>
    </row>
    <row r="2445" spans="2:4" x14ac:dyDescent="0.15">
      <c r="B2445" s="69"/>
      <c r="C2445" s="70"/>
      <c r="D2445" s="71"/>
    </row>
    <row r="2446" spans="2:4" x14ac:dyDescent="0.15">
      <c r="B2446" s="69"/>
      <c r="C2446" s="70"/>
      <c r="D2446" s="71"/>
    </row>
    <row r="2447" spans="2:4" x14ac:dyDescent="0.15">
      <c r="B2447" s="69"/>
      <c r="C2447" s="70"/>
      <c r="D2447" s="71"/>
    </row>
    <row r="2448" spans="2:4" x14ac:dyDescent="0.15">
      <c r="B2448" s="69"/>
      <c r="C2448" s="70"/>
      <c r="D2448" s="71"/>
    </row>
    <row r="2449" spans="2:4" x14ac:dyDescent="0.15">
      <c r="B2449" s="69"/>
      <c r="C2449" s="70"/>
      <c r="D2449" s="71"/>
    </row>
    <row r="2450" spans="2:4" x14ac:dyDescent="0.15">
      <c r="B2450" s="69"/>
      <c r="C2450" s="70"/>
      <c r="D2450" s="71"/>
    </row>
    <row r="2451" spans="2:4" x14ac:dyDescent="0.15">
      <c r="B2451" s="69"/>
      <c r="C2451" s="70"/>
      <c r="D2451" s="71"/>
    </row>
    <row r="2452" spans="2:4" x14ac:dyDescent="0.15">
      <c r="B2452" s="69"/>
      <c r="C2452" s="70"/>
      <c r="D2452" s="71"/>
    </row>
    <row r="2453" spans="2:4" x14ac:dyDescent="0.15">
      <c r="B2453" s="69"/>
      <c r="C2453" s="70"/>
      <c r="D2453" s="71"/>
    </row>
    <row r="2454" spans="2:4" x14ac:dyDescent="0.15">
      <c r="B2454" s="69"/>
      <c r="C2454" s="70"/>
      <c r="D2454" s="71"/>
    </row>
    <row r="2455" spans="2:4" x14ac:dyDescent="0.15">
      <c r="B2455" s="69"/>
      <c r="C2455" s="70"/>
      <c r="D2455" s="71"/>
    </row>
    <row r="2456" spans="2:4" x14ac:dyDescent="0.15">
      <c r="B2456" s="69"/>
      <c r="C2456" s="70"/>
      <c r="D2456" s="71"/>
    </row>
    <row r="2457" spans="2:4" x14ac:dyDescent="0.15">
      <c r="B2457" s="69"/>
      <c r="C2457" s="70"/>
      <c r="D2457" s="71"/>
    </row>
    <row r="2458" spans="2:4" x14ac:dyDescent="0.15">
      <c r="B2458" s="69"/>
      <c r="C2458" s="70"/>
      <c r="D2458" s="71"/>
    </row>
    <row r="2459" spans="2:4" x14ac:dyDescent="0.15">
      <c r="B2459" s="69"/>
      <c r="C2459" s="70"/>
      <c r="D2459" s="71"/>
    </row>
    <row r="2460" spans="2:4" x14ac:dyDescent="0.15">
      <c r="B2460" s="69"/>
      <c r="C2460" s="70"/>
      <c r="D2460" s="71"/>
    </row>
    <row r="2461" spans="2:4" x14ac:dyDescent="0.15">
      <c r="B2461" s="69"/>
      <c r="C2461" s="70"/>
      <c r="D2461" s="71"/>
    </row>
    <row r="2462" spans="2:4" x14ac:dyDescent="0.15">
      <c r="B2462" s="69"/>
      <c r="C2462" s="70"/>
      <c r="D2462" s="71"/>
    </row>
    <row r="2463" spans="2:4" x14ac:dyDescent="0.15">
      <c r="B2463" s="69"/>
      <c r="C2463" s="70"/>
      <c r="D2463" s="71"/>
    </row>
    <row r="2464" spans="2:4" x14ac:dyDescent="0.15">
      <c r="B2464" s="69"/>
      <c r="C2464" s="70"/>
      <c r="D2464" s="71"/>
    </row>
    <row r="2465" spans="2:4" x14ac:dyDescent="0.15">
      <c r="B2465" s="69"/>
      <c r="C2465" s="70"/>
      <c r="D2465" s="71"/>
    </row>
    <row r="2466" spans="2:4" x14ac:dyDescent="0.15">
      <c r="B2466" s="69"/>
      <c r="C2466" s="70"/>
      <c r="D2466" s="71"/>
    </row>
    <row r="2467" spans="2:4" x14ac:dyDescent="0.15">
      <c r="B2467" s="69"/>
      <c r="C2467" s="70"/>
      <c r="D2467" s="71"/>
    </row>
    <row r="2468" spans="2:4" x14ac:dyDescent="0.15">
      <c r="B2468" s="69"/>
      <c r="C2468" s="70"/>
      <c r="D2468" s="71"/>
    </row>
    <row r="2469" spans="2:4" x14ac:dyDescent="0.15">
      <c r="B2469" s="69"/>
      <c r="C2469" s="70"/>
      <c r="D2469" s="71"/>
    </row>
    <row r="2470" spans="2:4" x14ac:dyDescent="0.15">
      <c r="B2470" s="69"/>
      <c r="C2470" s="70"/>
      <c r="D2470" s="71"/>
    </row>
    <row r="2471" spans="2:4" x14ac:dyDescent="0.15">
      <c r="B2471" s="69"/>
      <c r="C2471" s="70"/>
      <c r="D2471" s="71"/>
    </row>
    <row r="2472" spans="2:4" x14ac:dyDescent="0.15">
      <c r="B2472" s="69"/>
      <c r="C2472" s="70"/>
      <c r="D2472" s="71"/>
    </row>
    <row r="2473" spans="2:4" x14ac:dyDescent="0.15">
      <c r="B2473" s="69"/>
      <c r="C2473" s="70"/>
      <c r="D2473" s="71"/>
    </row>
    <row r="2474" spans="2:4" x14ac:dyDescent="0.15">
      <c r="B2474" s="69"/>
      <c r="C2474" s="70"/>
      <c r="D2474" s="71"/>
    </row>
    <row r="2475" spans="2:4" x14ac:dyDescent="0.15">
      <c r="B2475" s="69"/>
      <c r="C2475" s="70"/>
      <c r="D2475" s="71"/>
    </row>
    <row r="2476" spans="2:4" x14ac:dyDescent="0.15">
      <c r="B2476" s="69"/>
      <c r="C2476" s="70"/>
      <c r="D2476" s="71"/>
    </row>
    <row r="2477" spans="2:4" x14ac:dyDescent="0.15">
      <c r="B2477" s="69"/>
      <c r="C2477" s="70"/>
      <c r="D2477" s="71"/>
    </row>
    <row r="2478" spans="2:4" x14ac:dyDescent="0.15">
      <c r="B2478" s="69"/>
      <c r="C2478" s="70"/>
      <c r="D2478" s="71"/>
    </row>
    <row r="2479" spans="2:4" x14ac:dyDescent="0.15">
      <c r="B2479" s="69"/>
      <c r="C2479" s="70"/>
      <c r="D2479" s="71"/>
    </row>
    <row r="2480" spans="2:4" x14ac:dyDescent="0.15">
      <c r="B2480" s="69"/>
      <c r="C2480" s="70"/>
      <c r="D2480" s="71"/>
    </row>
    <row r="2481" spans="2:4" x14ac:dyDescent="0.15">
      <c r="B2481" s="69"/>
      <c r="C2481" s="70"/>
      <c r="D2481" s="71"/>
    </row>
    <row r="2482" spans="2:4" x14ac:dyDescent="0.15">
      <c r="B2482" s="69"/>
      <c r="C2482" s="70"/>
      <c r="D2482" s="71"/>
    </row>
    <row r="2483" spans="2:4" x14ac:dyDescent="0.15">
      <c r="B2483" s="69"/>
      <c r="C2483" s="70"/>
      <c r="D2483" s="71"/>
    </row>
    <row r="2484" spans="2:4" x14ac:dyDescent="0.15">
      <c r="B2484" s="69"/>
      <c r="C2484" s="70"/>
      <c r="D2484" s="71"/>
    </row>
    <row r="2485" spans="2:4" x14ac:dyDescent="0.15">
      <c r="B2485" s="69"/>
      <c r="C2485" s="70"/>
      <c r="D2485" s="71"/>
    </row>
    <row r="2486" spans="2:4" x14ac:dyDescent="0.15">
      <c r="B2486" s="69"/>
      <c r="C2486" s="70"/>
      <c r="D2486" s="71"/>
    </row>
    <row r="2487" spans="2:4" x14ac:dyDescent="0.15">
      <c r="B2487" s="69"/>
      <c r="C2487" s="70"/>
      <c r="D2487" s="71"/>
    </row>
    <row r="2488" spans="2:4" x14ac:dyDescent="0.15">
      <c r="B2488" s="69"/>
      <c r="C2488" s="70"/>
      <c r="D2488" s="71"/>
    </row>
    <row r="2489" spans="2:4" x14ac:dyDescent="0.15">
      <c r="B2489" s="69"/>
      <c r="C2489" s="70"/>
      <c r="D2489" s="71"/>
    </row>
    <row r="2490" spans="2:4" x14ac:dyDescent="0.15">
      <c r="B2490" s="69"/>
      <c r="C2490" s="70"/>
      <c r="D2490" s="71"/>
    </row>
    <row r="2491" spans="2:4" x14ac:dyDescent="0.15">
      <c r="B2491" s="69"/>
      <c r="C2491" s="70"/>
      <c r="D2491" s="71"/>
    </row>
    <row r="2492" spans="2:4" x14ac:dyDescent="0.15">
      <c r="B2492" s="69"/>
      <c r="C2492" s="70"/>
      <c r="D2492" s="71"/>
    </row>
    <row r="2493" spans="2:4" x14ac:dyDescent="0.15">
      <c r="B2493" s="69"/>
      <c r="C2493" s="70"/>
      <c r="D2493" s="71"/>
    </row>
    <row r="2494" spans="2:4" x14ac:dyDescent="0.15">
      <c r="B2494" s="69"/>
      <c r="C2494" s="70"/>
      <c r="D2494" s="71"/>
    </row>
    <row r="2495" spans="2:4" x14ac:dyDescent="0.15">
      <c r="B2495" s="69"/>
      <c r="C2495" s="70"/>
      <c r="D2495" s="71"/>
    </row>
    <row r="2496" spans="2:4" x14ac:dyDescent="0.15">
      <c r="B2496" s="69"/>
      <c r="C2496" s="70"/>
      <c r="D2496" s="71"/>
    </row>
    <row r="2497" spans="2:4" x14ac:dyDescent="0.15">
      <c r="B2497" s="69"/>
      <c r="C2497" s="70"/>
      <c r="D2497" s="71"/>
    </row>
    <row r="2498" spans="2:4" x14ac:dyDescent="0.15">
      <c r="B2498" s="69"/>
      <c r="C2498" s="70"/>
      <c r="D2498" s="71"/>
    </row>
    <row r="2499" spans="2:4" x14ac:dyDescent="0.15">
      <c r="B2499" s="69"/>
      <c r="C2499" s="70"/>
      <c r="D2499" s="71"/>
    </row>
    <row r="2500" spans="2:4" x14ac:dyDescent="0.15">
      <c r="B2500" s="69"/>
      <c r="C2500" s="70"/>
      <c r="D2500" s="71"/>
    </row>
    <row r="2501" spans="2:4" x14ac:dyDescent="0.15">
      <c r="B2501" s="69"/>
      <c r="C2501" s="70"/>
      <c r="D2501" s="71"/>
    </row>
    <row r="2502" spans="2:4" x14ac:dyDescent="0.15">
      <c r="B2502" s="69"/>
      <c r="C2502" s="70"/>
      <c r="D2502" s="71"/>
    </row>
    <row r="2503" spans="2:4" x14ac:dyDescent="0.15">
      <c r="B2503" s="69"/>
      <c r="C2503" s="70"/>
      <c r="D2503" s="71"/>
    </row>
    <row r="2504" spans="2:4" x14ac:dyDescent="0.15">
      <c r="B2504" s="69"/>
      <c r="C2504" s="70"/>
      <c r="D2504" s="71"/>
    </row>
    <row r="2505" spans="2:4" x14ac:dyDescent="0.15">
      <c r="B2505" s="69"/>
      <c r="C2505" s="70"/>
      <c r="D2505" s="71"/>
    </row>
    <row r="2506" spans="2:4" x14ac:dyDescent="0.15">
      <c r="B2506" s="69"/>
      <c r="C2506" s="70"/>
      <c r="D2506" s="71"/>
    </row>
    <row r="2507" spans="2:4" x14ac:dyDescent="0.15">
      <c r="B2507" s="69"/>
      <c r="C2507" s="70"/>
      <c r="D2507" s="71"/>
    </row>
    <row r="2508" spans="2:4" x14ac:dyDescent="0.15">
      <c r="B2508" s="69"/>
      <c r="C2508" s="70"/>
      <c r="D2508" s="71"/>
    </row>
    <row r="2509" spans="2:4" x14ac:dyDescent="0.15">
      <c r="B2509" s="69"/>
      <c r="C2509" s="70"/>
      <c r="D2509" s="71"/>
    </row>
    <row r="2510" spans="2:4" x14ac:dyDescent="0.15">
      <c r="B2510" s="69"/>
      <c r="C2510" s="70"/>
      <c r="D2510" s="71"/>
    </row>
    <row r="2511" spans="2:4" x14ac:dyDescent="0.15">
      <c r="B2511" s="69"/>
      <c r="C2511" s="70"/>
      <c r="D2511" s="71"/>
    </row>
    <row r="2512" spans="2:4" x14ac:dyDescent="0.15">
      <c r="B2512" s="69"/>
      <c r="C2512" s="70"/>
      <c r="D2512" s="71"/>
    </row>
    <row r="2513" spans="2:4" x14ac:dyDescent="0.15">
      <c r="B2513" s="69"/>
      <c r="C2513" s="70"/>
      <c r="D2513" s="71"/>
    </row>
    <row r="2514" spans="2:4" x14ac:dyDescent="0.15">
      <c r="B2514" s="69"/>
      <c r="C2514" s="70"/>
      <c r="D2514" s="71"/>
    </row>
    <row r="2515" spans="2:4" x14ac:dyDescent="0.15">
      <c r="B2515" s="69"/>
      <c r="C2515" s="70"/>
      <c r="D2515" s="71"/>
    </row>
    <row r="2516" spans="2:4" x14ac:dyDescent="0.15">
      <c r="B2516" s="69"/>
      <c r="C2516" s="70"/>
      <c r="D2516" s="71"/>
    </row>
    <row r="2517" spans="2:4" x14ac:dyDescent="0.15">
      <c r="B2517" s="69"/>
      <c r="C2517" s="70"/>
      <c r="D2517" s="71"/>
    </row>
    <row r="2518" spans="2:4" x14ac:dyDescent="0.15">
      <c r="B2518" s="69"/>
      <c r="C2518" s="70"/>
      <c r="D2518" s="71"/>
    </row>
    <row r="2519" spans="2:4" x14ac:dyDescent="0.15">
      <c r="B2519" s="69"/>
      <c r="C2519" s="70"/>
      <c r="D2519" s="71"/>
    </row>
    <row r="2520" spans="2:4" x14ac:dyDescent="0.15">
      <c r="B2520" s="69"/>
      <c r="C2520" s="70"/>
      <c r="D2520" s="71"/>
    </row>
    <row r="2521" spans="2:4" x14ac:dyDescent="0.15">
      <c r="B2521" s="69"/>
      <c r="C2521" s="70"/>
      <c r="D2521" s="71"/>
    </row>
    <row r="2522" spans="2:4" x14ac:dyDescent="0.15">
      <c r="B2522" s="69"/>
      <c r="C2522" s="70"/>
      <c r="D2522" s="71"/>
    </row>
    <row r="2523" spans="2:4" x14ac:dyDescent="0.15">
      <c r="B2523" s="69"/>
      <c r="C2523" s="70"/>
      <c r="D2523" s="71"/>
    </row>
    <row r="2524" spans="2:4" x14ac:dyDescent="0.15">
      <c r="B2524" s="69"/>
      <c r="C2524" s="70"/>
      <c r="D2524" s="71"/>
    </row>
    <row r="2525" spans="2:4" x14ac:dyDescent="0.15">
      <c r="B2525" s="69"/>
      <c r="C2525" s="70"/>
      <c r="D2525" s="71"/>
    </row>
    <row r="2526" spans="2:4" x14ac:dyDescent="0.15">
      <c r="B2526" s="69"/>
      <c r="C2526" s="70"/>
      <c r="D2526" s="71"/>
    </row>
    <row r="2527" spans="2:4" x14ac:dyDescent="0.15">
      <c r="B2527" s="69"/>
      <c r="C2527" s="70"/>
      <c r="D2527" s="71"/>
    </row>
    <row r="2528" spans="2:4" x14ac:dyDescent="0.15">
      <c r="B2528" s="69"/>
      <c r="C2528" s="70"/>
      <c r="D2528" s="71"/>
    </row>
    <row r="2529" spans="2:4" x14ac:dyDescent="0.15">
      <c r="B2529" s="69"/>
      <c r="C2529" s="70"/>
      <c r="D2529" s="71"/>
    </row>
    <row r="2530" spans="2:4" x14ac:dyDescent="0.15">
      <c r="B2530" s="69"/>
      <c r="C2530" s="70"/>
      <c r="D2530" s="71"/>
    </row>
    <row r="2531" spans="2:4" x14ac:dyDescent="0.15">
      <c r="B2531" s="69"/>
      <c r="C2531" s="70"/>
      <c r="D2531" s="71"/>
    </row>
    <row r="2532" spans="2:4" x14ac:dyDescent="0.15">
      <c r="B2532" s="69"/>
      <c r="C2532" s="70"/>
      <c r="D2532" s="71"/>
    </row>
    <row r="2533" spans="2:4" x14ac:dyDescent="0.15">
      <c r="B2533" s="69"/>
      <c r="C2533" s="70"/>
      <c r="D2533" s="71"/>
    </row>
    <row r="2534" spans="2:4" x14ac:dyDescent="0.15">
      <c r="B2534" s="69"/>
      <c r="C2534" s="70"/>
      <c r="D2534" s="71"/>
    </row>
    <row r="2535" spans="2:4" x14ac:dyDescent="0.15">
      <c r="B2535" s="69"/>
      <c r="C2535" s="70"/>
      <c r="D2535" s="71"/>
    </row>
    <row r="2536" spans="2:4" x14ac:dyDescent="0.15">
      <c r="B2536" s="69"/>
      <c r="C2536" s="70"/>
      <c r="D2536" s="71"/>
    </row>
    <row r="2537" spans="2:4" x14ac:dyDescent="0.15">
      <c r="B2537" s="69"/>
      <c r="C2537" s="70"/>
      <c r="D2537" s="71"/>
    </row>
    <row r="2538" spans="2:4" x14ac:dyDescent="0.15">
      <c r="B2538" s="69"/>
      <c r="C2538" s="70"/>
      <c r="D2538" s="71"/>
    </row>
    <row r="2539" spans="2:4" x14ac:dyDescent="0.15">
      <c r="B2539" s="69"/>
      <c r="C2539" s="70"/>
      <c r="D2539" s="71"/>
    </row>
    <row r="2540" spans="2:4" x14ac:dyDescent="0.15">
      <c r="B2540" s="69"/>
      <c r="C2540" s="70"/>
      <c r="D2540" s="71"/>
    </row>
    <row r="2541" spans="2:4" x14ac:dyDescent="0.15">
      <c r="B2541" s="69"/>
      <c r="C2541" s="70"/>
      <c r="D2541" s="71"/>
    </row>
    <row r="2542" spans="2:4" x14ac:dyDescent="0.15">
      <c r="B2542" s="69"/>
      <c r="C2542" s="70"/>
      <c r="D2542" s="71"/>
    </row>
    <row r="2543" spans="2:4" x14ac:dyDescent="0.15">
      <c r="B2543" s="69"/>
      <c r="C2543" s="70"/>
      <c r="D2543" s="71"/>
    </row>
    <row r="2544" spans="2:4" x14ac:dyDescent="0.15">
      <c r="B2544" s="69"/>
      <c r="C2544" s="70"/>
      <c r="D2544" s="71"/>
    </row>
    <row r="2545" spans="2:4" x14ac:dyDescent="0.15">
      <c r="B2545" s="69"/>
      <c r="C2545" s="70"/>
      <c r="D2545" s="71"/>
    </row>
    <row r="2546" spans="2:4" x14ac:dyDescent="0.15">
      <c r="B2546" s="69"/>
      <c r="C2546" s="70"/>
      <c r="D2546" s="71"/>
    </row>
    <row r="2547" spans="2:4" x14ac:dyDescent="0.15">
      <c r="B2547" s="69"/>
      <c r="C2547" s="70"/>
      <c r="D2547" s="71"/>
    </row>
    <row r="2548" spans="2:4" x14ac:dyDescent="0.15">
      <c r="B2548" s="69"/>
      <c r="C2548" s="70"/>
      <c r="D2548" s="71"/>
    </row>
    <row r="2549" spans="2:4" x14ac:dyDescent="0.15">
      <c r="B2549" s="69"/>
      <c r="C2549" s="70"/>
      <c r="D2549" s="71"/>
    </row>
    <row r="2550" spans="2:4" x14ac:dyDescent="0.15">
      <c r="B2550" s="69"/>
      <c r="C2550" s="70"/>
      <c r="D2550" s="71"/>
    </row>
    <row r="2551" spans="2:4" x14ac:dyDescent="0.15">
      <c r="B2551" s="69"/>
      <c r="C2551" s="70"/>
      <c r="D2551" s="71"/>
    </row>
    <row r="2552" spans="2:4" x14ac:dyDescent="0.15">
      <c r="B2552" s="69"/>
      <c r="C2552" s="70"/>
      <c r="D2552" s="71"/>
    </row>
    <row r="2553" spans="2:4" x14ac:dyDescent="0.15">
      <c r="B2553" s="69"/>
      <c r="C2553" s="70"/>
      <c r="D2553" s="71"/>
    </row>
    <row r="2554" spans="2:4" x14ac:dyDescent="0.15">
      <c r="B2554" s="69"/>
      <c r="C2554" s="70"/>
      <c r="D2554" s="71"/>
    </row>
    <row r="2555" spans="2:4" x14ac:dyDescent="0.15">
      <c r="B2555" s="69"/>
      <c r="C2555" s="70"/>
      <c r="D2555" s="71"/>
    </row>
    <row r="2556" spans="2:4" x14ac:dyDescent="0.15">
      <c r="B2556" s="69"/>
      <c r="C2556" s="70"/>
      <c r="D2556" s="71"/>
    </row>
    <row r="2557" spans="2:4" x14ac:dyDescent="0.15">
      <c r="B2557" s="69"/>
      <c r="C2557" s="70"/>
      <c r="D2557" s="71"/>
    </row>
    <row r="2558" spans="2:4" x14ac:dyDescent="0.15">
      <c r="B2558" s="69"/>
      <c r="C2558" s="70"/>
      <c r="D2558" s="71"/>
    </row>
    <row r="2559" spans="2:4" x14ac:dyDescent="0.15">
      <c r="B2559" s="69"/>
      <c r="C2559" s="70"/>
      <c r="D2559" s="71"/>
    </row>
    <row r="2560" spans="2:4" x14ac:dyDescent="0.15">
      <c r="B2560" s="69"/>
      <c r="C2560" s="70"/>
      <c r="D2560" s="71"/>
    </row>
    <row r="2561" spans="2:4" x14ac:dyDescent="0.15">
      <c r="B2561" s="69"/>
      <c r="C2561" s="70"/>
      <c r="D2561" s="71"/>
    </row>
    <row r="2562" spans="2:4" x14ac:dyDescent="0.15">
      <c r="B2562" s="69"/>
      <c r="C2562" s="70"/>
      <c r="D2562" s="71"/>
    </row>
    <row r="2563" spans="2:4" x14ac:dyDescent="0.15">
      <c r="B2563" s="69"/>
      <c r="C2563" s="70"/>
      <c r="D2563" s="71"/>
    </row>
    <row r="2564" spans="2:4" x14ac:dyDescent="0.15">
      <c r="B2564" s="69"/>
      <c r="C2564" s="70"/>
      <c r="D2564" s="71"/>
    </row>
    <row r="2565" spans="2:4" x14ac:dyDescent="0.15">
      <c r="B2565" s="69"/>
      <c r="C2565" s="70"/>
      <c r="D2565" s="71"/>
    </row>
    <row r="2566" spans="2:4" x14ac:dyDescent="0.15">
      <c r="B2566" s="69"/>
      <c r="C2566" s="70"/>
      <c r="D2566" s="71"/>
    </row>
    <row r="2567" spans="2:4" x14ac:dyDescent="0.15">
      <c r="B2567" s="69"/>
      <c r="C2567" s="70"/>
      <c r="D2567" s="71"/>
    </row>
    <row r="2568" spans="2:4" x14ac:dyDescent="0.15">
      <c r="B2568" s="69"/>
      <c r="C2568" s="70"/>
      <c r="D2568" s="71"/>
    </row>
    <row r="2569" spans="2:4" x14ac:dyDescent="0.15">
      <c r="B2569" s="69"/>
      <c r="C2569" s="70"/>
      <c r="D2569" s="71"/>
    </row>
    <row r="2570" spans="2:4" x14ac:dyDescent="0.15">
      <c r="B2570" s="69"/>
      <c r="C2570" s="70"/>
      <c r="D2570" s="71"/>
    </row>
    <row r="2571" spans="2:4" x14ac:dyDescent="0.15">
      <c r="B2571" s="69"/>
      <c r="C2571" s="70"/>
      <c r="D2571" s="71"/>
    </row>
    <row r="2572" spans="2:4" x14ac:dyDescent="0.15">
      <c r="B2572" s="69"/>
      <c r="C2572" s="70"/>
      <c r="D2572" s="71"/>
    </row>
    <row r="2573" spans="2:4" x14ac:dyDescent="0.15">
      <c r="B2573" s="69"/>
      <c r="C2573" s="70"/>
      <c r="D2573" s="71"/>
    </row>
    <row r="2574" spans="2:4" x14ac:dyDescent="0.15">
      <c r="B2574" s="69"/>
      <c r="C2574" s="70"/>
      <c r="D2574" s="71"/>
    </row>
    <row r="2575" spans="2:4" x14ac:dyDescent="0.15">
      <c r="B2575" s="69"/>
      <c r="C2575" s="70"/>
      <c r="D2575" s="71"/>
    </row>
    <row r="2576" spans="2:4" x14ac:dyDescent="0.15">
      <c r="B2576" s="69"/>
      <c r="C2576" s="70"/>
      <c r="D2576" s="71"/>
    </row>
    <row r="2577" spans="2:4" x14ac:dyDescent="0.15">
      <c r="B2577" s="69"/>
      <c r="C2577" s="70"/>
      <c r="D2577" s="71"/>
    </row>
    <row r="2578" spans="2:4" x14ac:dyDescent="0.15">
      <c r="B2578" s="69"/>
      <c r="C2578" s="70"/>
      <c r="D2578" s="71"/>
    </row>
    <row r="2579" spans="2:4" x14ac:dyDescent="0.15">
      <c r="B2579" s="69"/>
      <c r="C2579" s="70"/>
      <c r="D2579" s="71"/>
    </row>
    <row r="2580" spans="2:4" x14ac:dyDescent="0.15">
      <c r="B2580" s="69"/>
      <c r="C2580" s="70"/>
      <c r="D2580" s="71"/>
    </row>
    <row r="2581" spans="2:4" x14ac:dyDescent="0.15">
      <c r="B2581" s="69"/>
      <c r="C2581" s="70"/>
      <c r="D2581" s="71"/>
    </row>
    <row r="2582" spans="2:4" x14ac:dyDescent="0.15">
      <c r="B2582" s="69"/>
      <c r="C2582" s="70"/>
      <c r="D2582" s="71"/>
    </row>
    <row r="2583" spans="2:4" x14ac:dyDescent="0.15">
      <c r="B2583" s="69"/>
      <c r="C2583" s="70"/>
      <c r="D2583" s="71"/>
    </row>
    <row r="2584" spans="2:4" x14ac:dyDescent="0.15">
      <c r="B2584" s="69"/>
      <c r="C2584" s="70"/>
      <c r="D2584" s="71"/>
    </row>
    <row r="2585" spans="2:4" x14ac:dyDescent="0.15">
      <c r="B2585" s="69"/>
      <c r="C2585" s="70"/>
      <c r="D2585" s="71"/>
    </row>
    <row r="2586" spans="2:4" x14ac:dyDescent="0.15">
      <c r="B2586" s="69"/>
      <c r="C2586" s="70"/>
      <c r="D2586" s="71"/>
    </row>
    <row r="2587" spans="2:4" x14ac:dyDescent="0.15">
      <c r="B2587" s="69"/>
      <c r="C2587" s="70"/>
      <c r="D2587" s="71"/>
    </row>
    <row r="2588" spans="2:4" x14ac:dyDescent="0.15">
      <c r="B2588" s="69"/>
      <c r="C2588" s="70"/>
      <c r="D2588" s="71"/>
    </row>
    <row r="2589" spans="2:4" x14ac:dyDescent="0.15">
      <c r="B2589" s="69"/>
      <c r="C2589" s="70"/>
      <c r="D2589" s="71"/>
    </row>
    <row r="2590" spans="2:4" x14ac:dyDescent="0.15">
      <c r="B2590" s="69"/>
      <c r="C2590" s="70"/>
      <c r="D2590" s="71"/>
    </row>
    <row r="2591" spans="2:4" x14ac:dyDescent="0.15">
      <c r="B2591" s="69"/>
      <c r="C2591" s="70"/>
      <c r="D2591" s="71"/>
    </row>
    <row r="2592" spans="2:4" x14ac:dyDescent="0.15">
      <c r="B2592" s="69"/>
      <c r="C2592" s="70"/>
      <c r="D2592" s="71"/>
    </row>
    <row r="2593" spans="2:4" x14ac:dyDescent="0.15">
      <c r="B2593" s="69"/>
      <c r="C2593" s="70"/>
      <c r="D2593" s="71"/>
    </row>
    <row r="2594" spans="2:4" x14ac:dyDescent="0.15">
      <c r="B2594" s="69"/>
      <c r="C2594" s="70"/>
      <c r="D2594" s="71"/>
    </row>
    <row r="2595" spans="2:4" x14ac:dyDescent="0.15">
      <c r="B2595" s="69"/>
      <c r="C2595" s="70"/>
      <c r="D2595" s="71"/>
    </row>
    <row r="2596" spans="2:4" x14ac:dyDescent="0.15">
      <c r="B2596" s="69"/>
      <c r="C2596" s="70"/>
      <c r="D2596" s="71"/>
    </row>
    <row r="2597" spans="2:4" x14ac:dyDescent="0.15">
      <c r="B2597" s="69"/>
      <c r="C2597" s="70"/>
      <c r="D2597" s="71"/>
    </row>
    <row r="2598" spans="2:4" x14ac:dyDescent="0.15">
      <c r="B2598" s="69"/>
      <c r="C2598" s="70"/>
      <c r="D2598" s="71"/>
    </row>
    <row r="2599" spans="2:4" x14ac:dyDescent="0.15">
      <c r="B2599" s="69"/>
      <c r="C2599" s="70"/>
      <c r="D2599" s="71"/>
    </row>
    <row r="2600" spans="2:4" x14ac:dyDescent="0.15">
      <c r="B2600" s="69"/>
      <c r="C2600" s="70"/>
      <c r="D2600" s="71"/>
    </row>
    <row r="2601" spans="2:4" x14ac:dyDescent="0.15">
      <c r="B2601" s="69"/>
      <c r="C2601" s="70"/>
      <c r="D2601" s="71"/>
    </row>
    <row r="2602" spans="2:4" x14ac:dyDescent="0.15">
      <c r="B2602" s="69"/>
      <c r="C2602" s="70"/>
      <c r="D2602" s="71"/>
    </row>
    <row r="2603" spans="2:4" x14ac:dyDescent="0.15">
      <c r="B2603" s="69"/>
      <c r="C2603" s="70"/>
      <c r="D2603" s="71"/>
    </row>
    <row r="2604" spans="2:4" x14ac:dyDescent="0.15">
      <c r="B2604" s="69"/>
      <c r="C2604" s="70"/>
      <c r="D2604" s="71"/>
    </row>
    <row r="2605" spans="2:4" x14ac:dyDescent="0.15">
      <c r="B2605" s="69"/>
      <c r="C2605" s="70"/>
      <c r="D2605" s="71"/>
    </row>
    <row r="2606" spans="2:4" x14ac:dyDescent="0.15">
      <c r="B2606" s="69"/>
      <c r="C2606" s="70"/>
      <c r="D2606" s="71"/>
    </row>
    <row r="2607" spans="2:4" x14ac:dyDescent="0.15">
      <c r="B2607" s="69"/>
      <c r="C2607" s="70"/>
      <c r="D2607" s="71"/>
    </row>
    <row r="2608" spans="2:4" x14ac:dyDescent="0.15">
      <c r="B2608" s="69"/>
      <c r="C2608" s="70"/>
      <c r="D2608" s="71"/>
    </row>
    <row r="2609" spans="2:4" x14ac:dyDescent="0.15">
      <c r="B2609" s="69"/>
      <c r="C2609" s="70"/>
      <c r="D2609" s="71"/>
    </row>
    <row r="2610" spans="2:4" x14ac:dyDescent="0.15">
      <c r="B2610" s="69"/>
      <c r="C2610" s="70"/>
      <c r="D2610" s="71"/>
    </row>
    <row r="2611" spans="2:4" x14ac:dyDescent="0.15">
      <c r="B2611" s="69"/>
      <c r="C2611" s="70"/>
      <c r="D2611" s="71"/>
    </row>
    <row r="2612" spans="2:4" x14ac:dyDescent="0.15">
      <c r="B2612" s="69"/>
      <c r="C2612" s="70"/>
      <c r="D2612" s="71"/>
    </row>
    <row r="2613" spans="2:4" x14ac:dyDescent="0.15">
      <c r="B2613" s="69"/>
      <c r="C2613" s="70"/>
      <c r="D2613" s="71"/>
    </row>
    <row r="2614" spans="2:4" x14ac:dyDescent="0.15">
      <c r="B2614" s="69"/>
      <c r="C2614" s="70"/>
      <c r="D2614" s="71"/>
    </row>
    <row r="2615" spans="2:4" x14ac:dyDescent="0.15">
      <c r="B2615" s="69"/>
      <c r="C2615" s="70"/>
      <c r="D2615" s="71"/>
    </row>
    <row r="2616" spans="2:4" x14ac:dyDescent="0.15">
      <c r="B2616" s="69"/>
      <c r="C2616" s="70"/>
      <c r="D2616" s="71"/>
    </row>
    <row r="2617" spans="2:4" x14ac:dyDescent="0.15">
      <c r="B2617" s="69"/>
      <c r="C2617" s="70"/>
      <c r="D2617" s="71"/>
    </row>
    <row r="2618" spans="2:4" x14ac:dyDescent="0.15">
      <c r="B2618" s="69"/>
      <c r="C2618" s="70"/>
      <c r="D2618" s="71"/>
    </row>
    <row r="2619" spans="2:4" x14ac:dyDescent="0.15">
      <c r="B2619" s="69"/>
      <c r="C2619" s="70"/>
      <c r="D2619" s="71"/>
    </row>
    <row r="2620" spans="2:4" x14ac:dyDescent="0.15">
      <c r="B2620" s="69"/>
      <c r="C2620" s="70"/>
      <c r="D2620" s="71"/>
    </row>
    <row r="2621" spans="2:4" x14ac:dyDescent="0.15">
      <c r="B2621" s="69"/>
      <c r="C2621" s="70"/>
      <c r="D2621" s="71"/>
    </row>
    <row r="2622" spans="2:4" x14ac:dyDescent="0.15">
      <c r="B2622" s="69"/>
      <c r="C2622" s="70"/>
      <c r="D2622" s="71"/>
    </row>
    <row r="2623" spans="2:4" x14ac:dyDescent="0.15">
      <c r="B2623" s="69"/>
      <c r="C2623" s="70"/>
      <c r="D2623" s="71"/>
    </row>
    <row r="2624" spans="2:4" x14ac:dyDescent="0.15">
      <c r="B2624" s="69"/>
      <c r="C2624" s="70"/>
      <c r="D2624" s="71"/>
    </row>
    <row r="2625" spans="2:4" x14ac:dyDescent="0.15">
      <c r="B2625" s="69"/>
      <c r="C2625" s="70"/>
      <c r="D2625" s="71"/>
    </row>
    <row r="2626" spans="2:4" x14ac:dyDescent="0.15">
      <c r="B2626" s="69"/>
      <c r="C2626" s="70"/>
      <c r="D2626" s="71"/>
    </row>
    <row r="2627" spans="2:4" x14ac:dyDescent="0.15">
      <c r="B2627" s="69"/>
      <c r="C2627" s="70"/>
      <c r="D2627" s="71"/>
    </row>
    <row r="2628" spans="2:4" x14ac:dyDescent="0.15">
      <c r="B2628" s="69"/>
      <c r="C2628" s="70"/>
      <c r="D2628" s="71"/>
    </row>
    <row r="2629" spans="2:4" x14ac:dyDescent="0.15">
      <c r="B2629" s="69"/>
      <c r="C2629" s="70"/>
      <c r="D2629" s="71"/>
    </row>
    <row r="2630" spans="2:4" x14ac:dyDescent="0.15">
      <c r="B2630" s="69"/>
      <c r="C2630" s="70"/>
      <c r="D2630" s="71"/>
    </row>
    <row r="2631" spans="2:4" x14ac:dyDescent="0.15">
      <c r="B2631" s="69"/>
      <c r="C2631" s="70"/>
      <c r="D2631" s="71"/>
    </row>
    <row r="2632" spans="2:4" x14ac:dyDescent="0.15">
      <c r="B2632" s="69"/>
      <c r="C2632" s="70"/>
      <c r="D2632" s="71"/>
    </row>
    <row r="2633" spans="2:4" x14ac:dyDescent="0.15">
      <c r="B2633" s="69"/>
      <c r="C2633" s="70"/>
      <c r="D2633" s="71"/>
    </row>
    <row r="2634" spans="2:4" x14ac:dyDescent="0.15">
      <c r="B2634" s="69"/>
      <c r="C2634" s="70"/>
      <c r="D2634" s="71"/>
    </row>
    <row r="2635" spans="2:4" x14ac:dyDescent="0.15">
      <c r="B2635" s="69"/>
      <c r="C2635" s="70"/>
      <c r="D2635" s="71"/>
    </row>
    <row r="2636" spans="2:4" x14ac:dyDescent="0.15">
      <c r="B2636" s="69"/>
      <c r="C2636" s="70"/>
      <c r="D2636" s="71"/>
    </row>
    <row r="2637" spans="2:4" x14ac:dyDescent="0.15">
      <c r="B2637" s="69"/>
      <c r="C2637" s="70"/>
      <c r="D2637" s="71"/>
    </row>
    <row r="2638" spans="2:4" x14ac:dyDescent="0.15">
      <c r="B2638" s="69"/>
      <c r="C2638" s="70"/>
      <c r="D2638" s="71"/>
    </row>
    <row r="2639" spans="2:4" x14ac:dyDescent="0.15">
      <c r="B2639" s="69"/>
      <c r="C2639" s="70"/>
      <c r="D2639" s="71"/>
    </row>
    <row r="2640" spans="2:4" x14ac:dyDescent="0.15">
      <c r="B2640" s="69"/>
      <c r="C2640" s="70"/>
      <c r="D2640" s="71"/>
    </row>
    <row r="2641" spans="2:4" x14ac:dyDescent="0.15">
      <c r="B2641" s="69"/>
      <c r="C2641" s="70"/>
      <c r="D2641" s="71"/>
    </row>
    <row r="2642" spans="2:4" x14ac:dyDescent="0.15">
      <c r="B2642" s="69"/>
      <c r="C2642" s="70"/>
      <c r="D2642" s="71"/>
    </row>
    <row r="2643" spans="2:4" x14ac:dyDescent="0.15">
      <c r="B2643" s="69"/>
      <c r="C2643" s="70"/>
      <c r="D2643" s="71"/>
    </row>
    <row r="2644" spans="2:4" x14ac:dyDescent="0.15">
      <c r="B2644" s="69"/>
      <c r="C2644" s="70"/>
      <c r="D2644" s="71"/>
    </row>
    <row r="2645" spans="2:4" x14ac:dyDescent="0.15">
      <c r="B2645" s="69"/>
      <c r="C2645" s="70"/>
      <c r="D2645" s="71"/>
    </row>
    <row r="2646" spans="2:4" x14ac:dyDescent="0.15">
      <c r="B2646" s="69"/>
      <c r="C2646" s="70"/>
      <c r="D2646" s="71"/>
    </row>
    <row r="2647" spans="2:4" x14ac:dyDescent="0.15">
      <c r="B2647" s="69"/>
      <c r="C2647" s="70"/>
      <c r="D2647" s="71"/>
    </row>
    <row r="2648" spans="2:4" x14ac:dyDescent="0.15">
      <c r="B2648" s="69"/>
      <c r="C2648" s="70"/>
      <c r="D2648" s="71"/>
    </row>
    <row r="2649" spans="2:4" x14ac:dyDescent="0.15">
      <c r="B2649" s="69"/>
      <c r="C2649" s="70"/>
      <c r="D2649" s="71"/>
    </row>
    <row r="2650" spans="2:4" x14ac:dyDescent="0.15">
      <c r="B2650" s="69"/>
      <c r="C2650" s="70"/>
      <c r="D2650" s="71"/>
    </row>
    <row r="2651" spans="2:4" x14ac:dyDescent="0.15">
      <c r="B2651" s="69"/>
      <c r="C2651" s="70"/>
      <c r="D2651" s="71"/>
    </row>
    <row r="2652" spans="2:4" x14ac:dyDescent="0.15">
      <c r="B2652" s="69"/>
      <c r="C2652" s="70"/>
      <c r="D2652" s="71"/>
    </row>
    <row r="2653" spans="2:4" x14ac:dyDescent="0.15">
      <c r="B2653" s="69"/>
      <c r="C2653" s="70"/>
      <c r="D2653" s="71"/>
    </row>
    <row r="2654" spans="2:4" x14ac:dyDescent="0.15">
      <c r="B2654" s="69"/>
      <c r="C2654" s="70"/>
      <c r="D2654" s="71"/>
    </row>
    <row r="2655" spans="2:4" x14ac:dyDescent="0.15">
      <c r="B2655" s="69"/>
      <c r="C2655" s="70"/>
      <c r="D2655" s="71"/>
    </row>
    <row r="2656" spans="2:4" x14ac:dyDescent="0.15">
      <c r="B2656" s="69"/>
      <c r="C2656" s="70"/>
      <c r="D2656" s="71"/>
    </row>
    <row r="2657" spans="2:4" x14ac:dyDescent="0.15">
      <c r="B2657" s="69"/>
      <c r="C2657" s="70"/>
      <c r="D2657" s="71"/>
    </row>
    <row r="2658" spans="2:4" x14ac:dyDescent="0.15">
      <c r="B2658" s="69"/>
      <c r="C2658" s="70"/>
      <c r="D2658" s="71"/>
    </row>
    <row r="2659" spans="2:4" x14ac:dyDescent="0.15">
      <c r="B2659" s="69"/>
      <c r="C2659" s="70"/>
      <c r="D2659" s="71"/>
    </row>
    <row r="2660" spans="2:4" x14ac:dyDescent="0.15">
      <c r="B2660" s="69"/>
      <c r="C2660" s="70"/>
      <c r="D2660" s="71"/>
    </row>
    <row r="2661" spans="2:4" x14ac:dyDescent="0.15">
      <c r="B2661" s="69"/>
      <c r="C2661" s="70"/>
      <c r="D2661" s="71"/>
    </row>
    <row r="2662" spans="2:4" x14ac:dyDescent="0.15">
      <c r="B2662" s="69"/>
      <c r="C2662" s="70"/>
      <c r="D2662" s="71"/>
    </row>
    <row r="2663" spans="2:4" x14ac:dyDescent="0.15">
      <c r="B2663" s="69"/>
      <c r="C2663" s="70"/>
      <c r="D2663" s="71"/>
    </row>
    <row r="2664" spans="2:4" x14ac:dyDescent="0.15">
      <c r="B2664" s="69"/>
      <c r="C2664" s="70"/>
      <c r="D2664" s="71"/>
    </row>
    <row r="2665" spans="2:4" x14ac:dyDescent="0.15">
      <c r="B2665" s="69"/>
      <c r="C2665" s="70"/>
      <c r="D2665" s="71"/>
    </row>
    <row r="2666" spans="2:4" x14ac:dyDescent="0.15">
      <c r="B2666" s="69"/>
      <c r="C2666" s="70"/>
      <c r="D2666" s="71"/>
    </row>
    <row r="2667" spans="2:4" x14ac:dyDescent="0.15">
      <c r="B2667" s="69"/>
      <c r="C2667" s="70"/>
      <c r="D2667" s="71"/>
    </row>
    <row r="2668" spans="2:4" x14ac:dyDescent="0.15">
      <c r="B2668" s="69"/>
      <c r="C2668" s="70"/>
      <c r="D2668" s="71"/>
    </row>
    <row r="2669" spans="2:4" x14ac:dyDescent="0.15">
      <c r="B2669" s="69"/>
      <c r="C2669" s="70"/>
      <c r="D2669" s="71"/>
    </row>
    <row r="2670" spans="2:4" x14ac:dyDescent="0.15">
      <c r="B2670" s="69"/>
      <c r="C2670" s="70"/>
      <c r="D2670" s="71"/>
    </row>
    <row r="2671" spans="2:4" x14ac:dyDescent="0.15">
      <c r="B2671" s="69"/>
      <c r="C2671" s="70"/>
      <c r="D2671" s="71"/>
    </row>
    <row r="2672" spans="2:4" x14ac:dyDescent="0.15">
      <c r="B2672" s="69"/>
      <c r="C2672" s="70"/>
      <c r="D2672" s="71"/>
    </row>
    <row r="2673" spans="2:4" x14ac:dyDescent="0.15">
      <c r="B2673" s="69"/>
      <c r="C2673" s="70"/>
      <c r="D2673" s="71"/>
    </row>
    <row r="2674" spans="2:4" x14ac:dyDescent="0.15">
      <c r="B2674" s="69"/>
      <c r="C2674" s="70"/>
      <c r="D2674" s="71"/>
    </row>
    <row r="2675" spans="2:4" x14ac:dyDescent="0.15">
      <c r="B2675" s="69"/>
      <c r="C2675" s="70"/>
      <c r="D2675" s="71"/>
    </row>
    <row r="2676" spans="2:4" x14ac:dyDescent="0.15">
      <c r="B2676" s="69"/>
      <c r="C2676" s="70"/>
      <c r="D2676" s="71"/>
    </row>
    <row r="2677" spans="2:4" x14ac:dyDescent="0.15">
      <c r="B2677" s="69"/>
      <c r="C2677" s="70"/>
      <c r="D2677" s="71"/>
    </row>
    <row r="2678" spans="2:4" x14ac:dyDescent="0.15">
      <c r="B2678" s="69"/>
      <c r="C2678" s="70"/>
      <c r="D2678" s="71"/>
    </row>
    <row r="2679" spans="2:4" x14ac:dyDescent="0.15">
      <c r="B2679" s="69"/>
      <c r="C2679" s="70"/>
      <c r="D2679" s="71"/>
    </row>
    <row r="2680" spans="2:4" x14ac:dyDescent="0.15">
      <c r="B2680" s="69"/>
      <c r="C2680" s="70"/>
      <c r="D2680" s="71"/>
    </row>
    <row r="2681" spans="2:4" x14ac:dyDescent="0.15">
      <c r="B2681" s="69"/>
      <c r="C2681" s="70"/>
      <c r="D2681" s="71"/>
    </row>
    <row r="2682" spans="2:4" x14ac:dyDescent="0.15">
      <c r="B2682" s="69"/>
      <c r="C2682" s="70"/>
      <c r="D2682" s="71"/>
    </row>
    <row r="2683" spans="2:4" x14ac:dyDescent="0.15">
      <c r="B2683" s="69"/>
      <c r="C2683" s="70"/>
      <c r="D2683" s="71"/>
    </row>
    <row r="2684" spans="2:4" x14ac:dyDescent="0.15">
      <c r="B2684" s="69"/>
      <c r="C2684" s="70"/>
      <c r="D2684" s="71"/>
    </row>
    <row r="2685" spans="2:4" x14ac:dyDescent="0.15">
      <c r="B2685" s="69"/>
      <c r="C2685" s="70"/>
      <c r="D2685" s="71"/>
    </row>
    <row r="2686" spans="2:4" x14ac:dyDescent="0.15">
      <c r="B2686" s="69"/>
      <c r="C2686" s="70"/>
      <c r="D2686" s="71"/>
    </row>
    <row r="2687" spans="2:4" x14ac:dyDescent="0.15">
      <c r="B2687" s="69"/>
      <c r="C2687" s="70"/>
      <c r="D2687" s="71"/>
    </row>
    <row r="2688" spans="2:4" x14ac:dyDescent="0.15">
      <c r="B2688" s="69"/>
      <c r="C2688" s="70"/>
      <c r="D2688" s="71"/>
    </row>
    <row r="2689" spans="2:4" x14ac:dyDescent="0.15">
      <c r="B2689" s="69"/>
      <c r="C2689" s="70"/>
      <c r="D2689" s="71"/>
    </row>
    <row r="2690" spans="2:4" x14ac:dyDescent="0.15">
      <c r="B2690" s="69"/>
      <c r="C2690" s="70"/>
      <c r="D2690" s="71"/>
    </row>
    <row r="2691" spans="2:4" x14ac:dyDescent="0.15">
      <c r="B2691" s="69"/>
      <c r="C2691" s="70"/>
      <c r="D2691" s="71"/>
    </row>
    <row r="2692" spans="2:4" x14ac:dyDescent="0.15">
      <c r="B2692" s="69"/>
      <c r="C2692" s="70"/>
      <c r="D2692" s="71"/>
    </row>
    <row r="2693" spans="2:4" x14ac:dyDescent="0.15">
      <c r="B2693" s="69"/>
      <c r="C2693" s="70"/>
      <c r="D2693" s="71"/>
    </row>
    <row r="2694" spans="2:4" x14ac:dyDescent="0.15">
      <c r="B2694" s="69"/>
      <c r="C2694" s="70"/>
      <c r="D2694" s="71"/>
    </row>
    <row r="2695" spans="2:4" x14ac:dyDescent="0.15">
      <c r="B2695" s="69"/>
      <c r="C2695" s="70"/>
      <c r="D2695" s="71"/>
    </row>
    <row r="2696" spans="2:4" x14ac:dyDescent="0.15">
      <c r="B2696" s="69"/>
      <c r="C2696" s="70"/>
      <c r="D2696" s="71"/>
    </row>
    <row r="2697" spans="2:4" x14ac:dyDescent="0.15">
      <c r="B2697" s="69"/>
      <c r="C2697" s="70"/>
      <c r="D2697" s="71"/>
    </row>
    <row r="2698" spans="2:4" x14ac:dyDescent="0.15">
      <c r="B2698" s="69"/>
      <c r="C2698" s="70"/>
      <c r="D2698" s="71"/>
    </row>
    <row r="2699" spans="2:4" x14ac:dyDescent="0.15">
      <c r="B2699" s="69"/>
      <c r="C2699" s="70"/>
      <c r="D2699" s="71"/>
    </row>
    <row r="2700" spans="2:4" x14ac:dyDescent="0.15">
      <c r="B2700" s="69"/>
      <c r="C2700" s="70"/>
      <c r="D2700" s="71"/>
    </row>
    <row r="2701" spans="2:4" x14ac:dyDescent="0.15">
      <c r="B2701" s="69"/>
      <c r="C2701" s="70"/>
      <c r="D2701" s="71"/>
    </row>
    <row r="2702" spans="2:4" x14ac:dyDescent="0.15">
      <c r="B2702" s="69"/>
      <c r="C2702" s="70"/>
      <c r="D2702" s="71"/>
    </row>
    <row r="2703" spans="2:4" x14ac:dyDescent="0.15">
      <c r="B2703" s="69"/>
      <c r="C2703" s="70"/>
      <c r="D2703" s="71"/>
    </row>
    <row r="2704" spans="2:4" x14ac:dyDescent="0.15">
      <c r="B2704" s="69"/>
      <c r="C2704" s="70"/>
      <c r="D2704" s="71"/>
    </row>
    <row r="2705" spans="2:4" x14ac:dyDescent="0.15">
      <c r="B2705" s="69"/>
      <c r="C2705" s="70"/>
      <c r="D2705" s="71"/>
    </row>
    <row r="2706" spans="2:4" x14ac:dyDescent="0.15">
      <c r="B2706" s="69"/>
      <c r="C2706" s="70"/>
      <c r="D2706" s="71"/>
    </row>
    <row r="2707" spans="2:4" x14ac:dyDescent="0.15">
      <c r="B2707" s="69"/>
      <c r="C2707" s="70"/>
      <c r="D2707" s="71"/>
    </row>
    <row r="2708" spans="2:4" x14ac:dyDescent="0.15">
      <c r="B2708" s="69"/>
      <c r="C2708" s="70"/>
      <c r="D2708" s="71"/>
    </row>
    <row r="2709" spans="2:4" x14ac:dyDescent="0.15">
      <c r="B2709" s="69"/>
      <c r="C2709" s="70"/>
      <c r="D2709" s="71"/>
    </row>
    <row r="2710" spans="2:4" x14ac:dyDescent="0.15">
      <c r="B2710" s="69"/>
      <c r="C2710" s="70"/>
      <c r="D2710" s="71"/>
    </row>
    <row r="2711" spans="2:4" x14ac:dyDescent="0.15">
      <c r="B2711" s="69"/>
      <c r="C2711" s="70"/>
      <c r="D2711" s="71"/>
    </row>
    <row r="2712" spans="2:4" x14ac:dyDescent="0.15">
      <c r="B2712" s="69"/>
      <c r="C2712" s="70"/>
      <c r="D2712" s="71"/>
    </row>
    <row r="2713" spans="2:4" x14ac:dyDescent="0.15">
      <c r="B2713" s="69"/>
      <c r="C2713" s="70"/>
      <c r="D2713" s="71"/>
    </row>
    <row r="2714" spans="2:4" x14ac:dyDescent="0.15">
      <c r="B2714" s="69"/>
      <c r="C2714" s="70"/>
      <c r="D2714" s="71"/>
    </row>
    <row r="2715" spans="2:4" x14ac:dyDescent="0.15">
      <c r="B2715" s="69"/>
      <c r="C2715" s="70"/>
      <c r="D2715" s="71"/>
    </row>
    <row r="2716" spans="2:4" x14ac:dyDescent="0.15">
      <c r="B2716" s="69"/>
      <c r="C2716" s="70"/>
      <c r="D2716" s="71"/>
    </row>
    <row r="2717" spans="2:4" x14ac:dyDescent="0.15">
      <c r="B2717" s="69"/>
      <c r="C2717" s="70"/>
      <c r="D2717" s="71"/>
    </row>
    <row r="2718" spans="2:4" x14ac:dyDescent="0.15">
      <c r="B2718" s="69"/>
      <c r="C2718" s="70"/>
      <c r="D2718" s="71"/>
    </row>
    <row r="2719" spans="2:4" x14ac:dyDescent="0.15">
      <c r="B2719" s="69"/>
      <c r="C2719" s="70"/>
      <c r="D2719" s="71"/>
    </row>
    <row r="2720" spans="2:4" x14ac:dyDescent="0.15">
      <c r="B2720" s="69"/>
      <c r="C2720" s="70"/>
      <c r="D2720" s="71"/>
    </row>
    <row r="2721" spans="2:4" x14ac:dyDescent="0.15">
      <c r="B2721" s="69"/>
      <c r="C2721" s="70"/>
      <c r="D2721" s="71"/>
    </row>
    <row r="2722" spans="2:4" x14ac:dyDescent="0.15">
      <c r="B2722" s="69"/>
      <c r="C2722" s="70"/>
      <c r="D2722" s="71"/>
    </row>
    <row r="2723" spans="2:4" x14ac:dyDescent="0.15">
      <c r="B2723" s="69"/>
      <c r="C2723" s="70"/>
      <c r="D2723" s="71"/>
    </row>
    <row r="2724" spans="2:4" x14ac:dyDescent="0.15">
      <c r="B2724" s="69"/>
      <c r="C2724" s="70"/>
      <c r="D2724" s="71"/>
    </row>
    <row r="2725" spans="2:4" x14ac:dyDescent="0.15">
      <c r="B2725" s="69"/>
      <c r="C2725" s="70"/>
      <c r="D2725" s="71"/>
    </row>
    <row r="2726" spans="2:4" x14ac:dyDescent="0.15">
      <c r="B2726" s="69"/>
      <c r="C2726" s="70"/>
      <c r="D2726" s="71"/>
    </row>
    <row r="2727" spans="2:4" x14ac:dyDescent="0.15">
      <c r="B2727" s="69"/>
      <c r="C2727" s="70"/>
      <c r="D2727" s="71"/>
    </row>
    <row r="2728" spans="2:4" x14ac:dyDescent="0.15">
      <c r="B2728" s="69"/>
      <c r="C2728" s="70"/>
      <c r="D2728" s="71"/>
    </row>
    <row r="2729" spans="2:4" x14ac:dyDescent="0.15">
      <c r="B2729" s="69"/>
      <c r="C2729" s="70"/>
      <c r="D2729" s="71"/>
    </row>
    <row r="2730" spans="2:4" x14ac:dyDescent="0.15">
      <c r="B2730" s="69"/>
      <c r="C2730" s="70"/>
      <c r="D2730" s="71"/>
    </row>
    <row r="2731" spans="2:4" x14ac:dyDescent="0.15">
      <c r="B2731" s="69"/>
      <c r="C2731" s="70"/>
      <c r="D2731" s="71"/>
    </row>
    <row r="2732" spans="2:4" x14ac:dyDescent="0.15">
      <c r="B2732" s="69"/>
      <c r="C2732" s="70"/>
      <c r="D2732" s="71"/>
    </row>
    <row r="2733" spans="2:4" x14ac:dyDescent="0.15">
      <c r="B2733" s="69"/>
      <c r="C2733" s="70"/>
      <c r="D2733" s="71"/>
    </row>
    <row r="2734" spans="2:4" x14ac:dyDescent="0.15">
      <c r="B2734" s="69"/>
      <c r="C2734" s="70"/>
      <c r="D2734" s="71"/>
    </row>
    <row r="2735" spans="2:4" x14ac:dyDescent="0.15">
      <c r="B2735" s="69"/>
      <c r="C2735" s="70"/>
      <c r="D2735" s="71"/>
    </row>
    <row r="2736" spans="2:4" x14ac:dyDescent="0.15">
      <c r="B2736" s="69"/>
      <c r="C2736" s="70"/>
      <c r="D2736" s="71"/>
    </row>
    <row r="2737" spans="2:4" x14ac:dyDescent="0.15">
      <c r="B2737" s="69"/>
      <c r="C2737" s="70"/>
      <c r="D2737" s="71"/>
    </row>
    <row r="2738" spans="2:4" x14ac:dyDescent="0.15">
      <c r="B2738" s="69"/>
      <c r="C2738" s="70"/>
      <c r="D2738" s="71"/>
    </row>
    <row r="2739" spans="2:4" x14ac:dyDescent="0.15">
      <c r="B2739" s="69"/>
      <c r="C2739" s="70"/>
      <c r="D2739" s="71"/>
    </row>
    <row r="2740" spans="2:4" x14ac:dyDescent="0.15">
      <c r="B2740" s="69"/>
      <c r="C2740" s="70"/>
      <c r="D2740" s="71"/>
    </row>
    <row r="2741" spans="2:4" x14ac:dyDescent="0.15">
      <c r="B2741" s="69"/>
      <c r="C2741" s="70"/>
      <c r="D2741" s="71"/>
    </row>
    <row r="2742" spans="2:4" x14ac:dyDescent="0.15">
      <c r="B2742" s="69"/>
      <c r="C2742" s="70"/>
      <c r="D2742" s="71"/>
    </row>
    <row r="2743" spans="2:4" x14ac:dyDescent="0.15">
      <c r="B2743" s="69"/>
      <c r="C2743" s="70"/>
      <c r="D2743" s="71"/>
    </row>
    <row r="2744" spans="2:4" x14ac:dyDescent="0.15">
      <c r="B2744" s="69"/>
      <c r="C2744" s="70"/>
      <c r="D2744" s="71"/>
    </row>
    <row r="2745" spans="2:4" x14ac:dyDescent="0.15">
      <c r="B2745" s="69"/>
      <c r="C2745" s="70"/>
      <c r="D2745" s="71"/>
    </row>
    <row r="2746" spans="2:4" x14ac:dyDescent="0.15">
      <c r="B2746" s="69"/>
      <c r="C2746" s="70"/>
      <c r="D2746" s="71"/>
    </row>
    <row r="2747" spans="2:4" x14ac:dyDescent="0.15">
      <c r="B2747" s="69"/>
      <c r="C2747" s="70"/>
      <c r="D2747" s="71"/>
    </row>
    <row r="2748" spans="2:4" x14ac:dyDescent="0.15">
      <c r="B2748" s="69"/>
      <c r="C2748" s="70"/>
      <c r="D2748" s="71"/>
    </row>
    <row r="2749" spans="2:4" x14ac:dyDescent="0.15">
      <c r="B2749" s="69"/>
      <c r="C2749" s="70"/>
      <c r="D2749" s="71"/>
    </row>
    <row r="2750" spans="2:4" x14ac:dyDescent="0.15">
      <c r="B2750" s="69"/>
      <c r="C2750" s="70"/>
      <c r="D2750" s="71"/>
    </row>
    <row r="2751" spans="2:4" x14ac:dyDescent="0.15">
      <c r="B2751" s="69"/>
      <c r="C2751" s="70"/>
      <c r="D2751" s="71"/>
    </row>
    <row r="2752" spans="2:4" x14ac:dyDescent="0.15">
      <c r="B2752" s="69"/>
      <c r="C2752" s="70"/>
      <c r="D2752" s="71"/>
    </row>
    <row r="2753" spans="2:4" x14ac:dyDescent="0.15">
      <c r="B2753" s="69"/>
      <c r="C2753" s="70"/>
      <c r="D2753" s="71"/>
    </row>
    <row r="2754" spans="2:4" x14ac:dyDescent="0.15">
      <c r="B2754" s="69"/>
      <c r="C2754" s="70"/>
      <c r="D2754" s="71"/>
    </row>
    <row r="2755" spans="2:4" x14ac:dyDescent="0.15">
      <c r="B2755" s="69"/>
      <c r="C2755" s="70"/>
      <c r="D2755" s="71"/>
    </row>
    <row r="2756" spans="2:4" x14ac:dyDescent="0.15">
      <c r="B2756" s="69"/>
      <c r="C2756" s="70"/>
      <c r="D2756" s="71"/>
    </row>
    <row r="2757" spans="2:4" x14ac:dyDescent="0.15">
      <c r="B2757" s="69"/>
      <c r="C2757" s="70"/>
      <c r="D2757" s="71"/>
    </row>
    <row r="2758" spans="2:4" x14ac:dyDescent="0.15">
      <c r="B2758" s="69"/>
      <c r="C2758" s="70"/>
      <c r="D2758" s="71"/>
    </row>
    <row r="2759" spans="2:4" x14ac:dyDescent="0.15">
      <c r="B2759" s="69"/>
      <c r="C2759" s="70"/>
      <c r="D2759" s="71"/>
    </row>
    <row r="2760" spans="2:4" x14ac:dyDescent="0.15">
      <c r="B2760" s="69"/>
      <c r="C2760" s="70"/>
      <c r="D2760" s="71"/>
    </row>
    <row r="2761" spans="2:4" x14ac:dyDescent="0.15">
      <c r="B2761" s="69"/>
      <c r="C2761" s="70"/>
      <c r="D2761" s="71"/>
    </row>
    <row r="2762" spans="2:4" x14ac:dyDescent="0.15">
      <c r="B2762" s="69"/>
      <c r="C2762" s="70"/>
      <c r="D2762" s="71"/>
    </row>
    <row r="2763" spans="2:4" x14ac:dyDescent="0.15">
      <c r="B2763" s="69"/>
      <c r="C2763" s="70"/>
      <c r="D2763" s="71"/>
    </row>
    <row r="2764" spans="2:4" x14ac:dyDescent="0.15">
      <c r="B2764" s="69"/>
      <c r="C2764" s="70"/>
      <c r="D2764" s="71"/>
    </row>
    <row r="2765" spans="2:4" x14ac:dyDescent="0.15">
      <c r="B2765" s="69"/>
      <c r="C2765" s="70"/>
      <c r="D2765" s="71"/>
    </row>
    <row r="2766" spans="2:4" x14ac:dyDescent="0.15">
      <c r="B2766" s="69"/>
      <c r="C2766" s="70"/>
      <c r="D2766" s="71"/>
    </row>
    <row r="2767" spans="2:4" x14ac:dyDescent="0.15">
      <c r="B2767" s="69"/>
      <c r="C2767" s="70"/>
      <c r="D2767" s="71"/>
    </row>
    <row r="2768" spans="2:4" x14ac:dyDescent="0.15">
      <c r="B2768" s="69"/>
      <c r="C2768" s="70"/>
      <c r="D2768" s="71"/>
    </row>
    <row r="2769" spans="2:4" x14ac:dyDescent="0.15">
      <c r="B2769" s="69"/>
      <c r="C2769" s="70"/>
      <c r="D2769" s="71"/>
    </row>
    <row r="2770" spans="2:4" x14ac:dyDescent="0.15">
      <c r="B2770" s="69"/>
      <c r="C2770" s="70"/>
      <c r="D2770" s="71"/>
    </row>
    <row r="2771" spans="2:4" x14ac:dyDescent="0.15">
      <c r="B2771" s="69"/>
      <c r="C2771" s="70"/>
      <c r="D2771" s="71"/>
    </row>
    <row r="2772" spans="2:4" x14ac:dyDescent="0.15">
      <c r="B2772" s="69"/>
      <c r="C2772" s="70"/>
      <c r="D2772" s="71"/>
    </row>
    <row r="2773" spans="2:4" x14ac:dyDescent="0.15">
      <c r="B2773" s="69"/>
      <c r="C2773" s="70"/>
      <c r="D2773" s="71"/>
    </row>
    <row r="2774" spans="2:4" x14ac:dyDescent="0.15">
      <c r="B2774" s="69"/>
      <c r="C2774" s="70"/>
      <c r="D2774" s="71"/>
    </row>
    <row r="2775" spans="2:4" x14ac:dyDescent="0.15">
      <c r="B2775" s="69"/>
      <c r="C2775" s="70"/>
      <c r="D2775" s="71"/>
    </row>
    <row r="2776" spans="2:4" x14ac:dyDescent="0.15">
      <c r="B2776" s="69"/>
      <c r="C2776" s="70"/>
      <c r="D2776" s="71"/>
    </row>
    <row r="2777" spans="2:4" x14ac:dyDescent="0.15">
      <c r="B2777" s="69"/>
      <c r="C2777" s="70"/>
      <c r="D2777" s="71"/>
    </row>
    <row r="2778" spans="2:4" x14ac:dyDescent="0.15">
      <c r="B2778" s="69"/>
      <c r="C2778" s="70"/>
      <c r="D2778" s="71"/>
    </row>
    <row r="2779" spans="2:4" x14ac:dyDescent="0.15">
      <c r="B2779" s="69"/>
      <c r="C2779" s="70"/>
      <c r="D2779" s="71"/>
    </row>
    <row r="2780" spans="2:4" x14ac:dyDescent="0.15">
      <c r="B2780" s="69"/>
      <c r="C2780" s="70"/>
      <c r="D2780" s="71"/>
    </row>
    <row r="2781" spans="2:4" x14ac:dyDescent="0.15">
      <c r="B2781" s="69"/>
      <c r="C2781" s="70"/>
      <c r="D2781" s="71"/>
    </row>
    <row r="2782" spans="2:4" x14ac:dyDescent="0.15">
      <c r="B2782" s="69"/>
      <c r="C2782" s="70"/>
      <c r="D2782" s="71"/>
    </row>
    <row r="2783" spans="2:4" x14ac:dyDescent="0.15">
      <c r="B2783" s="69"/>
      <c r="C2783" s="70"/>
      <c r="D2783" s="71"/>
    </row>
    <row r="2784" spans="2:4" x14ac:dyDescent="0.15">
      <c r="B2784" s="69"/>
      <c r="C2784" s="70"/>
      <c r="D2784" s="71"/>
    </row>
    <row r="2785" spans="2:4" x14ac:dyDescent="0.15">
      <c r="B2785" s="69"/>
      <c r="C2785" s="70"/>
      <c r="D2785" s="71"/>
    </row>
    <row r="2786" spans="2:4" x14ac:dyDescent="0.15">
      <c r="B2786" s="69"/>
      <c r="C2786" s="70"/>
      <c r="D2786" s="71"/>
    </row>
    <row r="2787" spans="2:4" x14ac:dyDescent="0.15">
      <c r="B2787" s="69"/>
      <c r="C2787" s="70"/>
      <c r="D2787" s="71"/>
    </row>
    <row r="2788" spans="2:4" x14ac:dyDescent="0.15">
      <c r="B2788" s="69"/>
      <c r="C2788" s="70"/>
      <c r="D2788" s="71"/>
    </row>
    <row r="2789" spans="2:4" x14ac:dyDescent="0.15">
      <c r="B2789" s="69"/>
      <c r="C2789" s="70"/>
      <c r="D2789" s="71"/>
    </row>
    <row r="2790" spans="2:4" x14ac:dyDescent="0.15">
      <c r="B2790" s="69"/>
      <c r="C2790" s="70"/>
      <c r="D2790" s="71"/>
    </row>
    <row r="2791" spans="2:4" x14ac:dyDescent="0.15">
      <c r="B2791" s="69"/>
      <c r="C2791" s="70"/>
      <c r="D2791" s="71"/>
    </row>
    <row r="2792" spans="2:4" x14ac:dyDescent="0.15">
      <c r="B2792" s="69"/>
      <c r="C2792" s="70"/>
      <c r="D2792" s="71"/>
    </row>
    <row r="2793" spans="2:4" x14ac:dyDescent="0.15">
      <c r="B2793" s="69"/>
      <c r="C2793" s="70"/>
      <c r="D2793" s="71"/>
    </row>
    <row r="2794" spans="2:4" x14ac:dyDescent="0.15">
      <c r="B2794" s="69"/>
      <c r="C2794" s="70"/>
      <c r="D2794" s="71"/>
    </row>
    <row r="2795" spans="2:4" x14ac:dyDescent="0.15">
      <c r="B2795" s="69"/>
      <c r="C2795" s="70"/>
      <c r="D2795" s="71"/>
    </row>
    <row r="2796" spans="2:4" x14ac:dyDescent="0.15">
      <c r="B2796" s="69"/>
      <c r="C2796" s="70"/>
      <c r="D2796" s="71"/>
    </row>
    <row r="2797" spans="2:4" x14ac:dyDescent="0.15">
      <c r="B2797" s="69"/>
      <c r="C2797" s="70"/>
      <c r="D2797" s="71"/>
    </row>
    <row r="2798" spans="2:4" x14ac:dyDescent="0.15">
      <c r="B2798" s="69"/>
      <c r="C2798" s="70"/>
      <c r="D2798" s="71"/>
    </row>
    <row r="2799" spans="2:4" x14ac:dyDescent="0.15">
      <c r="B2799" s="69"/>
      <c r="C2799" s="70"/>
      <c r="D2799" s="71"/>
    </row>
    <row r="2800" spans="2:4" x14ac:dyDescent="0.15">
      <c r="B2800" s="69"/>
      <c r="C2800" s="70"/>
      <c r="D2800" s="71"/>
    </row>
    <row r="2801" spans="2:4" x14ac:dyDescent="0.15">
      <c r="B2801" s="69"/>
      <c r="C2801" s="70"/>
      <c r="D2801" s="71"/>
    </row>
    <row r="2802" spans="2:4" x14ac:dyDescent="0.15">
      <c r="B2802" s="69"/>
      <c r="C2802" s="70"/>
      <c r="D2802" s="71"/>
    </row>
    <row r="2803" spans="2:4" x14ac:dyDescent="0.15">
      <c r="B2803" s="69"/>
      <c r="C2803" s="70"/>
      <c r="D2803" s="71"/>
    </row>
    <row r="2804" spans="2:4" x14ac:dyDescent="0.15">
      <c r="B2804" s="69"/>
      <c r="C2804" s="70"/>
      <c r="D2804" s="71"/>
    </row>
    <row r="2805" spans="2:4" x14ac:dyDescent="0.15">
      <c r="B2805" s="69"/>
      <c r="C2805" s="70"/>
      <c r="D2805" s="71"/>
    </row>
    <row r="2806" spans="2:4" x14ac:dyDescent="0.15">
      <c r="B2806" s="69"/>
      <c r="C2806" s="70"/>
      <c r="D2806" s="71"/>
    </row>
    <row r="2807" spans="2:4" x14ac:dyDescent="0.15">
      <c r="B2807" s="69"/>
      <c r="C2807" s="70"/>
      <c r="D2807" s="71"/>
    </row>
    <row r="2808" spans="2:4" x14ac:dyDescent="0.15">
      <c r="B2808" s="69"/>
      <c r="C2808" s="70"/>
      <c r="D2808" s="71"/>
    </row>
    <row r="2809" spans="2:4" x14ac:dyDescent="0.15">
      <c r="B2809" s="69"/>
      <c r="C2809" s="70"/>
      <c r="D2809" s="71"/>
    </row>
    <row r="2810" spans="2:4" x14ac:dyDescent="0.15">
      <c r="B2810" s="69"/>
      <c r="C2810" s="70"/>
      <c r="D2810" s="71"/>
    </row>
    <row r="2811" spans="2:4" x14ac:dyDescent="0.15">
      <c r="B2811" s="69"/>
      <c r="C2811" s="70"/>
      <c r="D2811" s="71"/>
    </row>
    <row r="2812" spans="2:4" x14ac:dyDescent="0.15">
      <c r="B2812" s="69"/>
      <c r="C2812" s="70"/>
      <c r="D2812" s="71"/>
    </row>
    <row r="2813" spans="2:4" x14ac:dyDescent="0.15">
      <c r="B2813" s="69"/>
      <c r="C2813" s="70"/>
      <c r="D2813" s="71"/>
    </row>
    <row r="2814" spans="2:4" x14ac:dyDescent="0.15">
      <c r="B2814" s="69"/>
      <c r="C2814" s="70"/>
      <c r="D2814" s="71"/>
    </row>
    <row r="2815" spans="2:4" x14ac:dyDescent="0.15">
      <c r="B2815" s="69"/>
      <c r="C2815" s="70"/>
      <c r="D2815" s="71"/>
    </row>
    <row r="2816" spans="2:4" x14ac:dyDescent="0.15">
      <c r="B2816" s="69"/>
      <c r="C2816" s="70"/>
      <c r="D2816" s="71"/>
    </row>
    <row r="2817" spans="2:4" x14ac:dyDescent="0.15">
      <c r="B2817" s="69"/>
      <c r="C2817" s="70"/>
      <c r="D2817" s="71"/>
    </row>
    <row r="2818" spans="2:4" x14ac:dyDescent="0.15">
      <c r="B2818" s="69"/>
      <c r="C2818" s="70"/>
      <c r="D2818" s="71"/>
    </row>
    <row r="2819" spans="2:4" x14ac:dyDescent="0.15">
      <c r="B2819" s="69"/>
      <c r="C2819" s="70"/>
      <c r="D2819" s="71"/>
    </row>
    <row r="2820" spans="2:4" x14ac:dyDescent="0.15">
      <c r="B2820" s="69"/>
      <c r="C2820" s="70"/>
      <c r="D2820" s="71"/>
    </row>
    <row r="2821" spans="2:4" x14ac:dyDescent="0.15">
      <c r="B2821" s="69"/>
      <c r="C2821" s="70"/>
      <c r="D2821" s="71"/>
    </row>
    <row r="2822" spans="2:4" x14ac:dyDescent="0.15">
      <c r="B2822" s="69"/>
      <c r="C2822" s="70"/>
      <c r="D2822" s="71"/>
    </row>
    <row r="2823" spans="2:4" x14ac:dyDescent="0.15">
      <c r="B2823" s="69"/>
      <c r="C2823" s="70"/>
      <c r="D2823" s="71"/>
    </row>
    <row r="2824" spans="2:4" x14ac:dyDescent="0.15">
      <c r="B2824" s="69"/>
      <c r="C2824" s="70"/>
      <c r="D2824" s="71"/>
    </row>
    <row r="2825" spans="2:4" x14ac:dyDescent="0.15">
      <c r="B2825" s="69"/>
      <c r="C2825" s="70"/>
      <c r="D2825" s="71"/>
    </row>
    <row r="2826" spans="2:4" x14ac:dyDescent="0.15">
      <c r="B2826" s="69"/>
      <c r="C2826" s="70"/>
      <c r="D2826" s="71"/>
    </row>
    <row r="2827" spans="2:4" x14ac:dyDescent="0.15">
      <c r="B2827" s="69"/>
      <c r="C2827" s="70"/>
      <c r="D2827" s="71"/>
    </row>
    <row r="2828" spans="2:4" x14ac:dyDescent="0.15">
      <c r="B2828" s="69"/>
      <c r="C2828" s="70"/>
      <c r="D2828" s="71"/>
    </row>
    <row r="2829" spans="2:4" x14ac:dyDescent="0.15">
      <c r="B2829" s="69"/>
      <c r="C2829" s="70"/>
      <c r="D2829" s="71"/>
    </row>
    <row r="2830" spans="2:4" x14ac:dyDescent="0.15">
      <c r="B2830" s="69"/>
      <c r="C2830" s="70"/>
      <c r="D2830" s="71"/>
    </row>
    <row r="2831" spans="2:4" x14ac:dyDescent="0.15">
      <c r="B2831" s="69"/>
      <c r="C2831" s="70"/>
      <c r="D2831" s="71"/>
    </row>
    <row r="2832" spans="2:4" x14ac:dyDescent="0.15">
      <c r="B2832" s="69"/>
      <c r="C2832" s="70"/>
      <c r="D2832" s="71"/>
    </row>
    <row r="2833" spans="2:4" x14ac:dyDescent="0.15">
      <c r="B2833" s="69"/>
      <c r="C2833" s="70"/>
      <c r="D2833" s="71"/>
    </row>
    <row r="2834" spans="2:4" x14ac:dyDescent="0.15">
      <c r="B2834" s="69"/>
      <c r="C2834" s="70"/>
      <c r="D2834" s="71"/>
    </row>
    <row r="2835" spans="2:4" x14ac:dyDescent="0.15">
      <c r="B2835" s="69"/>
      <c r="C2835" s="70"/>
      <c r="D2835" s="71"/>
    </row>
    <row r="2836" spans="2:4" x14ac:dyDescent="0.15">
      <c r="B2836" s="69"/>
      <c r="C2836" s="70"/>
      <c r="D2836" s="71"/>
    </row>
    <row r="2837" spans="2:4" x14ac:dyDescent="0.15">
      <c r="B2837" s="69"/>
      <c r="C2837" s="70"/>
      <c r="D2837" s="71"/>
    </row>
    <row r="2838" spans="2:4" x14ac:dyDescent="0.15">
      <c r="B2838" s="69"/>
      <c r="C2838" s="70"/>
      <c r="D2838" s="71"/>
    </row>
    <row r="2839" spans="2:4" x14ac:dyDescent="0.15">
      <c r="B2839" s="69"/>
      <c r="C2839" s="70"/>
      <c r="D2839" s="71"/>
    </row>
    <row r="2840" spans="2:4" x14ac:dyDescent="0.15">
      <c r="B2840" s="69"/>
      <c r="C2840" s="70"/>
      <c r="D2840" s="71"/>
    </row>
    <row r="2841" spans="2:4" x14ac:dyDescent="0.15">
      <c r="B2841" s="69"/>
      <c r="C2841" s="70"/>
      <c r="D2841" s="71"/>
    </row>
    <row r="2842" spans="2:4" x14ac:dyDescent="0.15">
      <c r="B2842" s="69"/>
      <c r="C2842" s="70"/>
      <c r="D2842" s="71"/>
    </row>
    <row r="2843" spans="2:4" x14ac:dyDescent="0.15">
      <c r="B2843" s="69"/>
      <c r="C2843" s="70"/>
      <c r="D2843" s="71"/>
    </row>
    <row r="2844" spans="2:4" x14ac:dyDescent="0.15">
      <c r="B2844" s="69"/>
      <c r="C2844" s="70"/>
      <c r="D2844" s="71"/>
    </row>
    <row r="2845" spans="2:4" x14ac:dyDescent="0.15">
      <c r="B2845" s="69"/>
      <c r="C2845" s="70"/>
      <c r="D2845" s="71"/>
    </row>
    <row r="2846" spans="2:4" x14ac:dyDescent="0.15">
      <c r="B2846" s="69"/>
      <c r="C2846" s="70"/>
      <c r="D2846" s="71"/>
    </row>
    <row r="2847" spans="2:4" x14ac:dyDescent="0.15">
      <c r="B2847" s="69"/>
      <c r="C2847" s="70"/>
      <c r="D2847" s="71"/>
    </row>
    <row r="2848" spans="2:4" x14ac:dyDescent="0.15">
      <c r="B2848" s="69"/>
      <c r="C2848" s="70"/>
      <c r="D2848" s="71"/>
    </row>
    <row r="2849" spans="2:4" x14ac:dyDescent="0.15">
      <c r="B2849" s="69"/>
      <c r="C2849" s="70"/>
      <c r="D2849" s="71"/>
    </row>
    <row r="2850" spans="2:4" x14ac:dyDescent="0.15">
      <c r="B2850" s="69"/>
      <c r="C2850" s="70"/>
      <c r="D2850" s="71"/>
    </row>
    <row r="2851" spans="2:4" x14ac:dyDescent="0.15">
      <c r="B2851" s="69"/>
      <c r="C2851" s="70"/>
      <c r="D2851" s="71"/>
    </row>
    <row r="2852" spans="2:4" x14ac:dyDescent="0.15">
      <c r="B2852" s="69"/>
      <c r="C2852" s="70"/>
      <c r="D2852" s="71"/>
    </row>
    <row r="2853" spans="2:4" x14ac:dyDescent="0.15">
      <c r="B2853" s="69"/>
      <c r="C2853" s="70"/>
      <c r="D2853" s="71"/>
    </row>
    <row r="2854" spans="2:4" x14ac:dyDescent="0.15">
      <c r="B2854" s="69"/>
      <c r="C2854" s="70"/>
      <c r="D2854" s="71"/>
    </row>
    <row r="2855" spans="2:4" x14ac:dyDescent="0.15">
      <c r="B2855" s="69"/>
      <c r="C2855" s="70"/>
      <c r="D2855" s="71"/>
    </row>
    <row r="2856" spans="2:4" x14ac:dyDescent="0.15">
      <c r="B2856" s="69"/>
      <c r="C2856" s="70"/>
      <c r="D2856" s="71"/>
    </row>
    <row r="2857" spans="2:4" x14ac:dyDescent="0.15">
      <c r="B2857" s="69"/>
      <c r="C2857" s="70"/>
      <c r="D2857" s="71"/>
    </row>
    <row r="2858" spans="2:4" x14ac:dyDescent="0.15">
      <c r="B2858" s="69"/>
      <c r="C2858" s="70"/>
      <c r="D2858" s="71"/>
    </row>
    <row r="2859" spans="2:4" x14ac:dyDescent="0.15">
      <c r="B2859" s="69"/>
      <c r="C2859" s="70"/>
      <c r="D2859" s="71"/>
    </row>
    <row r="2860" spans="2:4" x14ac:dyDescent="0.15">
      <c r="B2860" s="69"/>
      <c r="C2860" s="70"/>
      <c r="D2860" s="71"/>
    </row>
    <row r="2861" spans="2:4" x14ac:dyDescent="0.15">
      <c r="B2861" s="69"/>
      <c r="C2861" s="70"/>
      <c r="D2861" s="71"/>
    </row>
    <row r="2862" spans="2:4" x14ac:dyDescent="0.15">
      <c r="B2862" s="69"/>
      <c r="C2862" s="70"/>
      <c r="D2862" s="71"/>
    </row>
    <row r="2863" spans="2:4" x14ac:dyDescent="0.15">
      <c r="B2863" s="69"/>
      <c r="C2863" s="70"/>
      <c r="D2863" s="71"/>
    </row>
  </sheetData>
  <mergeCells count="11">
    <mergeCell ref="B13:D13"/>
    <mergeCell ref="G13:I13"/>
    <mergeCell ref="B14:D14"/>
    <mergeCell ref="G14:I14"/>
    <mergeCell ref="F16:O25"/>
    <mergeCell ref="B1:O3"/>
    <mergeCell ref="B4:O9"/>
    <mergeCell ref="B11:D11"/>
    <mergeCell ref="G11:I11"/>
    <mergeCell ref="B12:D12"/>
    <mergeCell ref="G12:I12"/>
  </mergeCells>
  <pageMargins left="0.75" right="0.75" top="1" bottom="1" header="0.5" footer="0.5"/>
  <pageSetup scale="69" fitToHeight="5"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14</vt:i4>
      </vt:variant>
      <vt:variant>
        <vt:lpstr>Rangos con nombre</vt:lpstr>
      </vt:variant>
      <vt:variant>
        <vt:i4>5</vt:i4>
      </vt:variant>
    </vt:vector>
  </HeadingPairs>
  <TitlesOfParts>
    <vt:vector size="19" baseType="lpstr">
      <vt:lpstr>BD Original</vt:lpstr>
      <vt:lpstr>Precios</vt:lpstr>
      <vt:lpstr>Retorno</vt:lpstr>
      <vt:lpstr>Portafolio</vt:lpstr>
      <vt:lpstr>VaR (Volt. Hist)</vt:lpstr>
      <vt:lpstr>VaR (No-Param) </vt:lpstr>
      <vt:lpstr>VaR (Montecarlos)</vt:lpstr>
      <vt:lpstr>Ajuste Distr. All</vt:lpstr>
      <vt:lpstr>VaR (GARCH)</vt:lpstr>
      <vt:lpstr>GARCH-Apple</vt:lpstr>
      <vt:lpstr>GARCH-CC</vt:lpstr>
      <vt:lpstr>GARCH-JPMorgan</vt:lpstr>
      <vt:lpstr>GARCH-AT&amp;T</vt:lpstr>
      <vt:lpstr>GARCH-Portafolio</vt:lpstr>
      <vt:lpstr>'GARCH-Apple'!Área_de_impresión</vt:lpstr>
      <vt:lpstr>'GARCH-AT&amp;T'!Área_de_impresión</vt:lpstr>
      <vt:lpstr>'GARCH-CC'!Área_de_impresión</vt:lpstr>
      <vt:lpstr>'GARCH-JPMorgan'!Área_de_impresión</vt:lpstr>
      <vt:lpstr>'GARCH-Portafolio'!Área_de_impresión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francomansilla</dc:creator>
  <cp:lastModifiedBy>Franco Mansilla IbaÃ±ez</cp:lastModifiedBy>
  <dcterms:created xsi:type="dcterms:W3CDTF">2023-01-30T23:03:32Z</dcterms:created>
  <dcterms:modified xsi:type="dcterms:W3CDTF">2025-12-16T22:36:00Z</dcterms:modified>
</cp:coreProperties>
</file>